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18.xml" ContentType="application/vnd.openxmlformats-officedocument.drawingml.chart+xml"/>
  <Override PartName="/xl/theme/themeOverride4.xml" ContentType="application/vnd.openxmlformats-officedocument.themeOverride+xml"/>
  <Override PartName="/xl/charts/chart19.xml" ContentType="application/vnd.openxmlformats-officedocument.drawingml.chart+xml"/>
  <Override PartName="/xl/theme/themeOverride5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drawings/drawing8.xml" ContentType="application/vnd.openxmlformats-officedocument.drawingml.chartshapes+xml"/>
  <Override PartName="/xl/charts/chart21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22.xml" ContentType="application/vnd.openxmlformats-officedocument.drawingml.chart+xml"/>
  <Override PartName="/xl/drawings/drawing11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drawings/drawing1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L:\Environmental Stewardship\Fish, Wild, Habitat\Fisheries\Steelhead\Annual Summary Reports\2025-2026\PSF Annual Report\"/>
    </mc:Choice>
  </mc:AlternateContent>
  <xr:revisionPtr revIDLastSave="0" documentId="8_{D498A9F3-93C3-43BD-B15B-4C2828C377CF}" xr6:coauthVersionLast="47" xr6:coauthVersionMax="47" xr10:uidLastSave="{00000000-0000-0000-0000-000000000000}"/>
  <bookViews>
    <workbookView xWindow="-28035" yWindow="1020" windowWidth="23175" windowHeight="13755" tabRatio="820" xr2:uid="{00000000-000D-0000-FFFF-FFFF00000000}"/>
  </bookViews>
  <sheets>
    <sheet name="Summary Data" sheetId="16" r:id="rId1"/>
    <sheet name="Summary Charts" sheetId="17" r:id="rId2"/>
    <sheet name="Solving Unknown Survey Sections" sheetId="18" r:id="rId3"/>
    <sheet name="Percent of Run" sheetId="19" r:id="rId4"/>
    <sheet name="Time and Area Standardization" sheetId="14" r:id="rId5"/>
    <sheet name="Peak Historic" sheetId="5" r:id="rId6"/>
    <sheet name="raw 2002-2016 Comparison" sheetId="3" r:id="rId7"/>
    <sheet name="March 82-06" sheetId="2" r:id="rId8"/>
    <sheet name="Age Structure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6" i="16" l="1"/>
  <c r="AC46" i="16"/>
  <c r="N45" i="16"/>
  <c r="S45" i="16"/>
  <c r="X45" i="16"/>
  <c r="B207" i="14"/>
  <c r="CR2" i="14"/>
  <c r="V50" i="15"/>
  <c r="AT25" i="16"/>
  <c r="AT26" i="16"/>
  <c r="AT27" i="16"/>
  <c r="AT28" i="16"/>
  <c r="AT29" i="16"/>
  <c r="AT30" i="16"/>
  <c r="AT31" i="16"/>
  <c r="AT32" i="16"/>
  <c r="AT33" i="16"/>
  <c r="AT34" i="16"/>
  <c r="AT35" i="16"/>
  <c r="AT36" i="16"/>
  <c r="AT37" i="16"/>
  <c r="AT38" i="16"/>
  <c r="AT39" i="16"/>
  <c r="AT40" i="16"/>
  <c r="AT41" i="16"/>
  <c r="AT42" i="16"/>
  <c r="AT43" i="16"/>
  <c r="AT44" i="16"/>
  <c r="AT45" i="16"/>
  <c r="AT46" i="16"/>
  <c r="AT47" i="16"/>
  <c r="AT48" i="16"/>
  <c r="AT49" i="16"/>
  <c r="AT50" i="16"/>
  <c r="AT51" i="16"/>
  <c r="AR25" i="16"/>
  <c r="AR26" i="16"/>
  <c r="AR27" i="16"/>
  <c r="AR28" i="16"/>
  <c r="AR29" i="16"/>
  <c r="AR30" i="16"/>
  <c r="AR31" i="16"/>
  <c r="AR32" i="16"/>
  <c r="AR33" i="16"/>
  <c r="AR34" i="16"/>
  <c r="AR35" i="16"/>
  <c r="AR36" i="16"/>
  <c r="AR37" i="16"/>
  <c r="AR38" i="16"/>
  <c r="AR39" i="16"/>
  <c r="AR40" i="16"/>
  <c r="AR41" i="16"/>
  <c r="AR42" i="16"/>
  <c r="AR43" i="16"/>
  <c r="AR44" i="16"/>
  <c r="AR45" i="16"/>
  <c r="AR46" i="16"/>
  <c r="AR47" i="16"/>
  <c r="AR48" i="16"/>
  <c r="AR49" i="16"/>
  <c r="AU49" i="16" s="1"/>
  <c r="AR50" i="16"/>
  <c r="AR51" i="16"/>
  <c r="AO45" i="16"/>
  <c r="AO46" i="16"/>
  <c r="AO47" i="16"/>
  <c r="AO48" i="16"/>
  <c r="AO49" i="16"/>
  <c r="AO50" i="16"/>
  <c r="AO51" i="16"/>
  <c r="AM34" i="16"/>
  <c r="AM35" i="16"/>
  <c r="AM36" i="16"/>
  <c r="AM37" i="16"/>
  <c r="AM38" i="16"/>
  <c r="AM39" i="16"/>
  <c r="AM40" i="16"/>
  <c r="AM41" i="16"/>
  <c r="AM42" i="16"/>
  <c r="AM43" i="16"/>
  <c r="AM44" i="16"/>
  <c r="AM45" i="16"/>
  <c r="AP45" i="16" s="1"/>
  <c r="AM46" i="16"/>
  <c r="AM47" i="16"/>
  <c r="AP47" i="16" s="1"/>
  <c r="AM48" i="16"/>
  <c r="AM49" i="16"/>
  <c r="AM50" i="16"/>
  <c r="AM51" i="16"/>
  <c r="AJ45" i="16"/>
  <c r="AJ46" i="16"/>
  <c r="AJ47" i="16"/>
  <c r="AJ48" i="16"/>
  <c r="AJ49" i="16"/>
  <c r="AJ50" i="16"/>
  <c r="AJ51" i="16"/>
  <c r="AH45" i="16"/>
  <c r="AH46" i="16"/>
  <c r="AH47" i="16"/>
  <c r="AK47" i="16" s="1"/>
  <c r="AH48" i="16"/>
  <c r="AH49" i="16"/>
  <c r="AH50" i="16"/>
  <c r="AH51" i="16"/>
  <c r="AE45" i="16"/>
  <c r="AE46" i="16"/>
  <c r="AE47" i="16"/>
  <c r="AE48" i="16"/>
  <c r="AE49" i="16"/>
  <c r="AE50" i="16"/>
  <c r="AE51" i="16"/>
  <c r="AC45" i="16"/>
  <c r="AC47" i="16"/>
  <c r="AC48" i="16"/>
  <c r="AC49" i="16"/>
  <c r="AC50" i="16"/>
  <c r="AC51" i="16"/>
  <c r="Z45" i="16"/>
  <c r="Z46" i="16"/>
  <c r="Z47" i="16"/>
  <c r="Z48" i="16"/>
  <c r="Z49" i="16"/>
  <c r="AA49" i="16" s="1"/>
  <c r="Z50" i="16"/>
  <c r="Z51" i="16"/>
  <c r="X46" i="16"/>
  <c r="X47" i="16"/>
  <c r="X48" i="16"/>
  <c r="AA48" i="16" s="1"/>
  <c r="X49" i="16"/>
  <c r="X50" i="16"/>
  <c r="X51" i="16"/>
  <c r="AA51" i="16" s="1"/>
  <c r="U45" i="16"/>
  <c r="U46" i="16"/>
  <c r="U47" i="16"/>
  <c r="U48" i="16"/>
  <c r="U49" i="16"/>
  <c r="U50" i="16"/>
  <c r="U51" i="16"/>
  <c r="S46" i="16"/>
  <c r="S47" i="16"/>
  <c r="S48" i="16"/>
  <c r="V48" i="16" s="1"/>
  <c r="S49" i="16"/>
  <c r="S50" i="16"/>
  <c r="S51" i="16"/>
  <c r="P45" i="16"/>
  <c r="P46" i="16"/>
  <c r="P47" i="16"/>
  <c r="P48" i="16"/>
  <c r="P49" i="16"/>
  <c r="P50" i="16"/>
  <c r="P51" i="16"/>
  <c r="N46" i="16"/>
  <c r="N47" i="16"/>
  <c r="Q47" i="16" s="1"/>
  <c r="N48" i="16"/>
  <c r="N49" i="16"/>
  <c r="N50" i="16"/>
  <c r="N51" i="16"/>
  <c r="L45" i="16"/>
  <c r="L46" i="16"/>
  <c r="L47" i="16"/>
  <c r="L48" i="16"/>
  <c r="L49" i="16"/>
  <c r="L50" i="16"/>
  <c r="L51" i="16"/>
  <c r="J45" i="16"/>
  <c r="J46" i="16"/>
  <c r="J47" i="16"/>
  <c r="J48" i="16"/>
  <c r="Q48" i="16" s="1"/>
  <c r="J49" i="16"/>
  <c r="J50" i="16"/>
  <c r="J51" i="16"/>
  <c r="V46" i="16" l="1"/>
  <c r="Q46" i="16"/>
  <c r="AF49" i="16"/>
  <c r="V51" i="16"/>
  <c r="AF46" i="16"/>
  <c r="AP51" i="16"/>
  <c r="AF51" i="16"/>
  <c r="AU51" i="16"/>
  <c r="V47" i="16"/>
  <c r="AP48" i="16"/>
  <c r="AU50" i="16"/>
  <c r="AP46" i="16"/>
  <c r="AF48" i="16"/>
  <c r="AU48" i="16"/>
  <c r="AF47" i="16"/>
  <c r="AK48" i="16"/>
  <c r="AU47" i="16"/>
  <c r="AU46" i="16"/>
  <c r="F51" i="16"/>
  <c r="Q49" i="16"/>
  <c r="AK51" i="16"/>
  <c r="AU45" i="16"/>
  <c r="Q50" i="16"/>
  <c r="V49" i="16"/>
  <c r="AK50" i="16"/>
  <c r="AK49" i="16"/>
  <c r="AP49" i="16"/>
  <c r="AA47" i="16"/>
  <c r="F47" i="16"/>
  <c r="AA50" i="16"/>
  <c r="F45" i="16"/>
  <c r="G47" i="16"/>
  <c r="E47" i="16" s="1"/>
  <c r="H47" i="16" s="1"/>
  <c r="G48" i="16"/>
  <c r="E48" i="16" s="1"/>
  <c r="V50" i="16"/>
  <c r="AA46" i="16"/>
  <c r="AF50" i="16"/>
  <c r="AK46" i="16"/>
  <c r="G46" i="16" s="1"/>
  <c r="E46" i="16" s="1"/>
  <c r="H46" i="16" s="1"/>
  <c r="Q51" i="16"/>
  <c r="G51" i="16" s="1"/>
  <c r="E51" i="16" s="1"/>
  <c r="H51" i="16" s="1"/>
  <c r="AP50" i="16"/>
  <c r="G50" i="16" s="1"/>
  <c r="E50" i="16" s="1"/>
  <c r="H50" i="16" s="1"/>
  <c r="AF45" i="16"/>
  <c r="AK45" i="16"/>
  <c r="AA45" i="16"/>
  <c r="V45" i="16"/>
  <c r="Q45" i="16"/>
  <c r="G49" i="16"/>
  <c r="E49" i="16" s="1"/>
  <c r="F50" i="16"/>
  <c r="F48" i="16"/>
  <c r="F49" i="16"/>
  <c r="AE44" i="16"/>
  <c r="L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3" i="16"/>
  <c r="AJ38" i="14"/>
  <c r="AJ39" i="14"/>
  <c r="AJ87" i="14"/>
  <c r="AJ71" i="14"/>
  <c r="AJ172" i="14"/>
  <c r="AJ170" i="14"/>
  <c r="AJ193" i="14"/>
  <c r="AG192" i="14"/>
  <c r="AJ202" i="14"/>
  <c r="H48" i="16" l="1"/>
  <c r="H49" i="16"/>
  <c r="G45" i="16"/>
  <c r="E45" i="16" s="1"/>
  <c r="H45" i="16" s="1"/>
  <c r="AB86" i="14" l="1"/>
  <c r="AB89" i="14"/>
  <c r="AB90" i="14"/>
  <c r="AB91" i="14"/>
  <c r="AB85" i="14"/>
  <c r="AB59" i="14"/>
  <c r="AB52" i="14"/>
  <c r="AB44" i="14"/>
  <c r="AB42" i="14"/>
  <c r="AB33" i="14"/>
  <c r="AB29" i="14"/>
  <c r="AB25" i="14"/>
  <c r="AJ25" i="14"/>
  <c r="AB203" i="14"/>
  <c r="AJ206" i="14"/>
  <c r="AJ203" i="14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AB13" i="14"/>
  <c r="N165" i="18"/>
  <c r="M165" i="18"/>
  <c r="N164" i="18"/>
  <c r="M164" i="18"/>
  <c r="N163" i="18"/>
  <c r="M163" i="18"/>
  <c r="N162" i="18"/>
  <c r="M162" i="18"/>
  <c r="N161" i="18"/>
  <c r="M161" i="18"/>
  <c r="N160" i="18"/>
  <c r="M160" i="18"/>
  <c r="N159" i="18"/>
  <c r="M159" i="18"/>
  <c r="N158" i="18"/>
  <c r="M158" i="18"/>
  <c r="N157" i="18"/>
  <c r="M157" i="18"/>
  <c r="N156" i="18"/>
  <c r="M156" i="18"/>
  <c r="N155" i="18"/>
  <c r="M155" i="18"/>
  <c r="N154" i="18"/>
  <c r="M154" i="18"/>
  <c r="N153" i="18"/>
  <c r="M153" i="18"/>
  <c r="N152" i="18"/>
  <c r="M152" i="18"/>
  <c r="N151" i="18"/>
  <c r="M151" i="18"/>
  <c r="N150" i="18"/>
  <c r="M150" i="18"/>
  <c r="N149" i="18"/>
  <c r="M149" i="18"/>
  <c r="N148" i="18"/>
  <c r="M148" i="18"/>
  <c r="N147" i="18"/>
  <c r="M147" i="18"/>
  <c r="N146" i="18"/>
  <c r="M146" i="18"/>
  <c r="N145" i="18"/>
  <c r="M145" i="18"/>
  <c r="N144" i="18"/>
  <c r="M144" i="18"/>
  <c r="N143" i="18"/>
  <c r="M143" i="18"/>
  <c r="N142" i="18"/>
  <c r="M142" i="18"/>
  <c r="N141" i="18"/>
  <c r="M141" i="18"/>
  <c r="N140" i="18"/>
  <c r="M140" i="18"/>
  <c r="N139" i="18"/>
  <c r="M139" i="18"/>
  <c r="N138" i="18"/>
  <c r="M138" i="18"/>
  <c r="N137" i="18"/>
  <c r="M137" i="18"/>
  <c r="N136" i="18"/>
  <c r="M136" i="18"/>
  <c r="N135" i="18"/>
  <c r="M135" i="18"/>
  <c r="N134" i="18"/>
  <c r="M134" i="18"/>
  <c r="N133" i="18"/>
  <c r="M133" i="18"/>
  <c r="N132" i="18"/>
  <c r="M132" i="18"/>
  <c r="N131" i="18"/>
  <c r="M131" i="18"/>
  <c r="N130" i="18"/>
  <c r="M130" i="18"/>
  <c r="N129" i="18"/>
  <c r="M129" i="18"/>
  <c r="N128" i="18"/>
  <c r="M128" i="18"/>
  <c r="N127" i="18"/>
  <c r="M127" i="18"/>
  <c r="N126" i="18"/>
  <c r="M126" i="18"/>
  <c r="N125" i="18"/>
  <c r="M125" i="18"/>
  <c r="N124" i="18"/>
  <c r="M124" i="18"/>
  <c r="N123" i="18"/>
  <c r="M123" i="18"/>
  <c r="N122" i="18"/>
  <c r="M122" i="18"/>
  <c r="N121" i="18"/>
  <c r="M121" i="18"/>
  <c r="N120" i="18"/>
  <c r="M120" i="18"/>
  <c r="N119" i="18"/>
  <c r="M119" i="18"/>
  <c r="N118" i="18"/>
  <c r="M118" i="18"/>
  <c r="N117" i="18"/>
  <c r="M117" i="18"/>
  <c r="N116" i="18"/>
  <c r="M116" i="18"/>
  <c r="N115" i="18"/>
  <c r="M115" i="18"/>
  <c r="N114" i="18"/>
  <c r="M114" i="18"/>
  <c r="N113" i="18"/>
  <c r="M113" i="18"/>
  <c r="N111" i="18"/>
  <c r="M111" i="18"/>
  <c r="N110" i="18"/>
  <c r="M110" i="18"/>
  <c r="N109" i="18"/>
  <c r="M109" i="18"/>
  <c r="N108" i="18"/>
  <c r="M108" i="18"/>
  <c r="N107" i="18"/>
  <c r="M107" i="18"/>
  <c r="N106" i="18"/>
  <c r="M106" i="18"/>
  <c r="N105" i="18"/>
  <c r="M105" i="18"/>
  <c r="N104" i="18"/>
  <c r="M104" i="18"/>
  <c r="N103" i="18"/>
  <c r="M103" i="18"/>
  <c r="N102" i="18"/>
  <c r="M102" i="18"/>
  <c r="N101" i="18"/>
  <c r="M101" i="18"/>
  <c r="N100" i="18"/>
  <c r="M100" i="18"/>
  <c r="N99" i="18"/>
  <c r="M99" i="18"/>
  <c r="N98" i="18"/>
  <c r="M98" i="18"/>
  <c r="N97" i="18"/>
  <c r="M97" i="18"/>
  <c r="N96" i="18"/>
  <c r="M96" i="18"/>
  <c r="N95" i="18"/>
  <c r="M95" i="18"/>
  <c r="N94" i="18"/>
  <c r="M94" i="18"/>
  <c r="N93" i="18"/>
  <c r="M93" i="18"/>
  <c r="N92" i="18"/>
  <c r="M92" i="18"/>
  <c r="N91" i="18"/>
  <c r="M91" i="18"/>
  <c r="N90" i="18"/>
  <c r="M90" i="18"/>
  <c r="N89" i="18"/>
  <c r="M89" i="18"/>
  <c r="N88" i="18"/>
  <c r="M88" i="18"/>
  <c r="N87" i="18"/>
  <c r="M87" i="18"/>
  <c r="N86" i="18"/>
  <c r="M86" i="18"/>
  <c r="N85" i="18"/>
  <c r="M85" i="18"/>
  <c r="N84" i="18"/>
  <c r="M84" i="18"/>
  <c r="N83" i="18"/>
  <c r="M83" i="18"/>
  <c r="N82" i="18"/>
  <c r="M82" i="18"/>
  <c r="N81" i="18"/>
  <c r="M81" i="18"/>
  <c r="N80" i="18"/>
  <c r="M80" i="18"/>
  <c r="N79" i="18"/>
  <c r="M79" i="18"/>
  <c r="N78" i="18"/>
  <c r="M78" i="18"/>
  <c r="N77" i="18"/>
  <c r="M77" i="18"/>
  <c r="N76" i="18"/>
  <c r="M76" i="18"/>
  <c r="N75" i="18"/>
  <c r="M75" i="18"/>
  <c r="N74" i="18"/>
  <c r="M74" i="18"/>
  <c r="N73" i="18"/>
  <c r="M73" i="18"/>
  <c r="N72" i="18"/>
  <c r="M72" i="18"/>
  <c r="N71" i="18"/>
  <c r="M71" i="18"/>
  <c r="N70" i="18"/>
  <c r="M70" i="18"/>
  <c r="N69" i="18"/>
  <c r="M69" i="18"/>
  <c r="N68" i="18"/>
  <c r="M68" i="18"/>
  <c r="N67" i="18"/>
  <c r="M67" i="18"/>
  <c r="N66" i="18"/>
  <c r="M66" i="18"/>
  <c r="N65" i="18"/>
  <c r="M65" i="18"/>
  <c r="N64" i="18"/>
  <c r="M64" i="18"/>
  <c r="N63" i="18"/>
  <c r="M63" i="18"/>
  <c r="N62" i="18"/>
  <c r="M62" i="18"/>
  <c r="N61" i="18"/>
  <c r="M61" i="18"/>
  <c r="N60" i="18"/>
  <c r="M60" i="18"/>
  <c r="N59" i="18"/>
  <c r="M59" i="18"/>
  <c r="N58" i="18"/>
  <c r="M58" i="18"/>
  <c r="N57" i="18"/>
  <c r="M57" i="18"/>
  <c r="N56" i="18"/>
  <c r="M56" i="18"/>
  <c r="N55" i="18"/>
  <c r="M55" i="18"/>
  <c r="N54" i="18"/>
  <c r="M54" i="18"/>
  <c r="N53" i="18"/>
  <c r="M53" i="18"/>
  <c r="N52" i="18"/>
  <c r="M52" i="18"/>
  <c r="N51" i="18"/>
  <c r="M51" i="18"/>
  <c r="N50" i="18"/>
  <c r="M50" i="18"/>
  <c r="N49" i="18"/>
  <c r="M49" i="18"/>
  <c r="N48" i="18"/>
  <c r="M48" i="18"/>
  <c r="N47" i="18"/>
  <c r="M47" i="18"/>
  <c r="N46" i="18"/>
  <c r="M46" i="18"/>
  <c r="N45" i="18"/>
  <c r="M45" i="18"/>
  <c r="N44" i="18"/>
  <c r="M44" i="18"/>
  <c r="N43" i="18"/>
  <c r="M43" i="18"/>
  <c r="N42" i="18"/>
  <c r="M42" i="18"/>
  <c r="N41" i="18"/>
  <c r="M41" i="18"/>
  <c r="N40" i="18"/>
  <c r="M40" i="18"/>
  <c r="N39" i="18"/>
  <c r="M39" i="18"/>
  <c r="N38" i="18"/>
  <c r="M38" i="18"/>
  <c r="N37" i="18"/>
  <c r="M37" i="18"/>
  <c r="N36" i="18"/>
  <c r="M36" i="18"/>
  <c r="N35" i="18"/>
  <c r="M35" i="18"/>
  <c r="N34" i="18"/>
  <c r="M34" i="18"/>
  <c r="N33" i="18"/>
  <c r="M33" i="18"/>
  <c r="N32" i="18"/>
  <c r="M32" i="18"/>
  <c r="N31" i="18"/>
  <c r="M31" i="18"/>
  <c r="N30" i="18"/>
  <c r="M30" i="18"/>
  <c r="N29" i="18"/>
  <c r="M29" i="18"/>
  <c r="N28" i="18"/>
  <c r="M28" i="18"/>
  <c r="N27" i="18"/>
  <c r="M27" i="18"/>
  <c r="N26" i="18"/>
  <c r="M26" i="18"/>
  <c r="N25" i="18"/>
  <c r="M25" i="18"/>
  <c r="N24" i="18"/>
  <c r="M24" i="18"/>
  <c r="N23" i="18"/>
  <c r="M23" i="18"/>
  <c r="N22" i="18"/>
  <c r="M22" i="18"/>
  <c r="N21" i="18"/>
  <c r="M21" i="18"/>
  <c r="N20" i="18"/>
  <c r="M20" i="18"/>
  <c r="N19" i="18"/>
  <c r="M19" i="18"/>
  <c r="N18" i="18"/>
  <c r="M18" i="18"/>
  <c r="N17" i="18"/>
  <c r="M17" i="18"/>
  <c r="N16" i="18"/>
  <c r="M16" i="18"/>
  <c r="N15" i="18"/>
  <c r="M15" i="18"/>
  <c r="N14" i="18"/>
  <c r="M14" i="18"/>
  <c r="N13" i="18"/>
  <c r="M13" i="18"/>
  <c r="N12" i="18"/>
  <c r="M12" i="18"/>
  <c r="N11" i="18"/>
  <c r="M11" i="18"/>
  <c r="N10" i="18"/>
  <c r="M10" i="18"/>
  <c r="N9" i="18"/>
  <c r="M9" i="18"/>
  <c r="E165" i="18"/>
  <c r="D165" i="18"/>
  <c r="G165" i="18" s="1"/>
  <c r="C165" i="18"/>
  <c r="E164" i="18"/>
  <c r="D164" i="18"/>
  <c r="G164" i="18" s="1"/>
  <c r="C164" i="18"/>
  <c r="E163" i="18"/>
  <c r="D163" i="18"/>
  <c r="C163" i="18"/>
  <c r="E162" i="18"/>
  <c r="D162" i="18"/>
  <c r="G162" i="18" s="1"/>
  <c r="C162" i="18"/>
  <c r="F162" i="18" s="1"/>
  <c r="E161" i="18"/>
  <c r="D161" i="18"/>
  <c r="G161" i="18" s="1"/>
  <c r="C161" i="18"/>
  <c r="E160" i="18"/>
  <c r="D160" i="18"/>
  <c r="G160" i="18" s="1"/>
  <c r="C160" i="18"/>
  <c r="E159" i="18"/>
  <c r="D159" i="18"/>
  <c r="C159" i="18"/>
  <c r="F159" i="18" s="1"/>
  <c r="E158" i="18"/>
  <c r="D158" i="18"/>
  <c r="C158" i="18"/>
  <c r="E157" i="18"/>
  <c r="D157" i="18"/>
  <c r="G157" i="18" s="1"/>
  <c r="C157" i="18"/>
  <c r="F157" i="18" s="1"/>
  <c r="E156" i="18"/>
  <c r="D156" i="18"/>
  <c r="C156" i="18"/>
  <c r="E155" i="18"/>
  <c r="D155" i="18"/>
  <c r="C155" i="18"/>
  <c r="E154" i="18"/>
  <c r="D154" i="18"/>
  <c r="C154" i="18"/>
  <c r="F154" i="18" s="1"/>
  <c r="G153" i="18"/>
  <c r="F153" i="18"/>
  <c r="E153" i="18"/>
  <c r="D153" i="18"/>
  <c r="C153" i="18"/>
  <c r="E152" i="18"/>
  <c r="D152" i="18"/>
  <c r="C152" i="18"/>
  <c r="F152" i="18" s="1"/>
  <c r="F151" i="18"/>
  <c r="E151" i="18"/>
  <c r="G151" i="18" s="1"/>
  <c r="D151" i="18"/>
  <c r="C151" i="18"/>
  <c r="E150" i="18"/>
  <c r="D150" i="18"/>
  <c r="C150" i="18"/>
  <c r="F150" i="18" s="1"/>
  <c r="E149" i="18"/>
  <c r="D149" i="18"/>
  <c r="G149" i="18" s="1"/>
  <c r="C149" i="18"/>
  <c r="E148" i="18"/>
  <c r="D148" i="18"/>
  <c r="C148" i="18"/>
  <c r="E147" i="18"/>
  <c r="D147" i="18"/>
  <c r="C147" i="18"/>
  <c r="E146" i="18"/>
  <c r="D146" i="18"/>
  <c r="G146" i="18" s="1"/>
  <c r="C146" i="18"/>
  <c r="E145" i="18"/>
  <c r="D145" i="18"/>
  <c r="G145" i="18" s="1"/>
  <c r="C145" i="18"/>
  <c r="E144" i="18"/>
  <c r="D144" i="18"/>
  <c r="G144" i="18" s="1"/>
  <c r="C144" i="18"/>
  <c r="F144" i="18" s="1"/>
  <c r="E143" i="18"/>
  <c r="D143" i="18"/>
  <c r="C143" i="18"/>
  <c r="E142" i="18"/>
  <c r="D142" i="18"/>
  <c r="C142" i="18"/>
  <c r="F142" i="18" s="1"/>
  <c r="E141" i="18"/>
  <c r="D141" i="18"/>
  <c r="G141" i="18" s="1"/>
  <c r="C141" i="18"/>
  <c r="F141" i="18" s="1"/>
  <c r="G140" i="18"/>
  <c r="E140" i="18"/>
  <c r="D140" i="18"/>
  <c r="C140" i="18"/>
  <c r="E139" i="18"/>
  <c r="D139" i="18"/>
  <c r="C139" i="18"/>
  <c r="E138" i="18"/>
  <c r="G138" i="18" s="1"/>
  <c r="D138" i="18"/>
  <c r="C138" i="18"/>
  <c r="E137" i="18"/>
  <c r="D137" i="18"/>
  <c r="G137" i="18" s="1"/>
  <c r="C137" i="18"/>
  <c r="F137" i="18" s="1"/>
  <c r="E136" i="18"/>
  <c r="D136" i="18"/>
  <c r="C136" i="18"/>
  <c r="F136" i="18" s="1"/>
  <c r="E135" i="18"/>
  <c r="G135" i="18" s="1"/>
  <c r="D135" i="18"/>
  <c r="C135" i="18"/>
  <c r="E134" i="18"/>
  <c r="D134" i="18"/>
  <c r="C134" i="18"/>
  <c r="F134" i="18" s="1"/>
  <c r="E133" i="18"/>
  <c r="D133" i="18"/>
  <c r="C133" i="18"/>
  <c r="E132" i="18"/>
  <c r="D132" i="18"/>
  <c r="C132" i="18"/>
  <c r="E131" i="18"/>
  <c r="D131" i="18"/>
  <c r="C131" i="18"/>
  <c r="E130" i="18"/>
  <c r="D130" i="18"/>
  <c r="C130" i="18"/>
  <c r="F130" i="18" s="1"/>
  <c r="E129" i="18"/>
  <c r="D129" i="18"/>
  <c r="G129" i="18" s="1"/>
  <c r="C129" i="18"/>
  <c r="E128" i="18"/>
  <c r="D128" i="18"/>
  <c r="G128" i="18" s="1"/>
  <c r="C128" i="18"/>
  <c r="E127" i="18"/>
  <c r="D127" i="18"/>
  <c r="C127" i="18"/>
  <c r="E126" i="18"/>
  <c r="D126" i="18"/>
  <c r="C126" i="18"/>
  <c r="F126" i="18" s="1"/>
  <c r="E125" i="18"/>
  <c r="D125" i="18"/>
  <c r="C125" i="18"/>
  <c r="E124" i="18"/>
  <c r="D124" i="18"/>
  <c r="C124" i="18"/>
  <c r="E123" i="18"/>
  <c r="D123" i="18"/>
  <c r="C123" i="18"/>
  <c r="E122" i="18"/>
  <c r="G122" i="18" s="1"/>
  <c r="D122" i="18"/>
  <c r="C122" i="18"/>
  <c r="E121" i="18"/>
  <c r="D121" i="18"/>
  <c r="G121" i="18" s="1"/>
  <c r="C121" i="18"/>
  <c r="F121" i="18" s="1"/>
  <c r="E120" i="18"/>
  <c r="D120" i="18"/>
  <c r="C120" i="18"/>
  <c r="F120" i="18" s="1"/>
  <c r="E119" i="18"/>
  <c r="D119" i="18"/>
  <c r="C119" i="18"/>
  <c r="F119" i="18" s="1"/>
  <c r="E118" i="18"/>
  <c r="G118" i="18" s="1"/>
  <c r="D118" i="18"/>
  <c r="C118" i="18"/>
  <c r="E117" i="18"/>
  <c r="D117" i="18"/>
  <c r="C117" i="18"/>
  <c r="E116" i="18"/>
  <c r="D116" i="18"/>
  <c r="C116" i="18"/>
  <c r="E115" i="18"/>
  <c r="D115" i="18"/>
  <c r="C115" i="18"/>
  <c r="E114" i="18"/>
  <c r="D114" i="18"/>
  <c r="G114" i="18" s="1"/>
  <c r="C114" i="18"/>
  <c r="F114" i="18" s="1"/>
  <c r="E113" i="18"/>
  <c r="D113" i="18"/>
  <c r="G113" i="18" s="1"/>
  <c r="C113" i="18"/>
  <c r="E111" i="18"/>
  <c r="D111" i="18"/>
  <c r="C111" i="18"/>
  <c r="F111" i="18" s="1"/>
  <c r="E110" i="18"/>
  <c r="D110" i="18"/>
  <c r="C110" i="18"/>
  <c r="F110" i="18" s="1"/>
  <c r="E109" i="18"/>
  <c r="D109" i="18"/>
  <c r="C109" i="18"/>
  <c r="E108" i="18"/>
  <c r="D108" i="18"/>
  <c r="G108" i="18" s="1"/>
  <c r="C108" i="18"/>
  <c r="F108" i="18" s="1"/>
  <c r="E107" i="18"/>
  <c r="D107" i="18"/>
  <c r="G107" i="18" s="1"/>
  <c r="C107" i="18"/>
  <c r="E106" i="18"/>
  <c r="D106" i="18"/>
  <c r="C106" i="18"/>
  <c r="E105" i="18"/>
  <c r="D105" i="18"/>
  <c r="C105" i="18"/>
  <c r="F105" i="18" s="1"/>
  <c r="E104" i="18"/>
  <c r="D104" i="18"/>
  <c r="C104" i="18"/>
  <c r="F104" i="18" s="1"/>
  <c r="E103" i="18"/>
  <c r="D103" i="18"/>
  <c r="C103" i="18"/>
  <c r="F103" i="18" s="1"/>
  <c r="E102" i="18"/>
  <c r="D102" i="18"/>
  <c r="C102" i="18"/>
  <c r="F102" i="18" s="1"/>
  <c r="E101" i="18"/>
  <c r="G101" i="18" s="1"/>
  <c r="D101" i="18"/>
  <c r="C101" i="18"/>
  <c r="F101" i="18" s="1"/>
  <c r="E100" i="18"/>
  <c r="D100" i="18"/>
  <c r="G100" i="18" s="1"/>
  <c r="C100" i="18"/>
  <c r="E99" i="18"/>
  <c r="D99" i="18"/>
  <c r="F99" i="18" s="1"/>
  <c r="C99" i="18"/>
  <c r="E98" i="18"/>
  <c r="D98" i="18"/>
  <c r="C98" i="18"/>
  <c r="E97" i="18"/>
  <c r="D97" i="18"/>
  <c r="G97" i="18" s="1"/>
  <c r="C97" i="18"/>
  <c r="F97" i="18" s="1"/>
  <c r="E96" i="18"/>
  <c r="D96" i="18"/>
  <c r="C96" i="18"/>
  <c r="E95" i="18"/>
  <c r="D95" i="18"/>
  <c r="G95" i="18" s="1"/>
  <c r="C95" i="18"/>
  <c r="F95" i="18" s="1"/>
  <c r="E94" i="18"/>
  <c r="D94" i="18"/>
  <c r="C94" i="18"/>
  <c r="E93" i="18"/>
  <c r="D93" i="18"/>
  <c r="C93" i="18"/>
  <c r="F93" i="18" s="1"/>
  <c r="E92" i="18"/>
  <c r="D92" i="18"/>
  <c r="G92" i="18" s="1"/>
  <c r="C92" i="18"/>
  <c r="F92" i="18" s="1"/>
  <c r="E91" i="18"/>
  <c r="D91" i="18"/>
  <c r="C91" i="18"/>
  <c r="E90" i="18"/>
  <c r="D90" i="18"/>
  <c r="C90" i="18"/>
  <c r="E89" i="18"/>
  <c r="D89" i="18"/>
  <c r="C89" i="18"/>
  <c r="F89" i="18" s="1"/>
  <c r="E88" i="18"/>
  <c r="D88" i="18"/>
  <c r="G88" i="18" s="1"/>
  <c r="C88" i="18"/>
  <c r="F88" i="18" s="1"/>
  <c r="E87" i="18"/>
  <c r="D87" i="18"/>
  <c r="C87" i="18"/>
  <c r="F87" i="18" s="1"/>
  <c r="E86" i="18"/>
  <c r="G86" i="18" s="1"/>
  <c r="D86" i="18"/>
  <c r="C86" i="18"/>
  <c r="F86" i="18" s="1"/>
  <c r="E85" i="18"/>
  <c r="D85" i="18"/>
  <c r="C85" i="18"/>
  <c r="F85" i="18" s="1"/>
  <c r="E84" i="18"/>
  <c r="D84" i="18"/>
  <c r="C84" i="18"/>
  <c r="E83" i="18"/>
  <c r="D83" i="18"/>
  <c r="C83" i="18"/>
  <c r="E82" i="18"/>
  <c r="D82" i="18"/>
  <c r="C82" i="18"/>
  <c r="E81" i="18"/>
  <c r="D81" i="18"/>
  <c r="G81" i="18" s="1"/>
  <c r="C81" i="18"/>
  <c r="E80" i="18"/>
  <c r="D80" i="18"/>
  <c r="G80" i="18" s="1"/>
  <c r="C80" i="18"/>
  <c r="E79" i="18"/>
  <c r="D79" i="18"/>
  <c r="G79" i="18" s="1"/>
  <c r="C79" i="18"/>
  <c r="E78" i="18"/>
  <c r="D78" i="18"/>
  <c r="C78" i="18"/>
  <c r="F78" i="18" s="1"/>
  <c r="E77" i="18"/>
  <c r="D77" i="18"/>
  <c r="C77" i="18"/>
  <c r="F77" i="18" s="1"/>
  <c r="E76" i="18"/>
  <c r="D76" i="18"/>
  <c r="C76" i="18"/>
  <c r="E75" i="18"/>
  <c r="D75" i="18"/>
  <c r="G75" i="18" s="1"/>
  <c r="C75" i="18"/>
  <c r="E74" i="18"/>
  <c r="D74" i="18"/>
  <c r="C74" i="18"/>
  <c r="E73" i="18"/>
  <c r="G73" i="18" s="1"/>
  <c r="D73" i="18"/>
  <c r="C73" i="18"/>
  <c r="F73" i="18" s="1"/>
  <c r="E72" i="18"/>
  <c r="D72" i="18"/>
  <c r="G72" i="18" s="1"/>
  <c r="C72" i="18"/>
  <c r="F72" i="18" s="1"/>
  <c r="E71" i="18"/>
  <c r="D71" i="18"/>
  <c r="C71" i="18"/>
  <c r="F71" i="18" s="1"/>
  <c r="E70" i="18"/>
  <c r="D70" i="18"/>
  <c r="C70" i="18"/>
  <c r="F70" i="18" s="1"/>
  <c r="E69" i="18"/>
  <c r="D69" i="18"/>
  <c r="F69" i="18" s="1"/>
  <c r="C69" i="18"/>
  <c r="E68" i="18"/>
  <c r="D68" i="18"/>
  <c r="C68" i="18"/>
  <c r="E67" i="18"/>
  <c r="D67" i="18"/>
  <c r="C67" i="18"/>
  <c r="E66" i="18"/>
  <c r="D66" i="18"/>
  <c r="C66" i="18"/>
  <c r="E65" i="18"/>
  <c r="D65" i="18"/>
  <c r="G65" i="18" s="1"/>
  <c r="C65" i="18"/>
  <c r="F65" i="18" s="1"/>
  <c r="E64" i="18"/>
  <c r="D64" i="18"/>
  <c r="G64" i="18" s="1"/>
  <c r="C64" i="18"/>
  <c r="E63" i="18"/>
  <c r="D63" i="18"/>
  <c r="G63" i="18" s="1"/>
  <c r="C63" i="18"/>
  <c r="E62" i="18"/>
  <c r="D62" i="18"/>
  <c r="C62" i="18"/>
  <c r="F62" i="18" s="1"/>
  <c r="E61" i="18"/>
  <c r="D61" i="18"/>
  <c r="C61" i="18"/>
  <c r="E60" i="18"/>
  <c r="D60" i="18"/>
  <c r="C60" i="18"/>
  <c r="F60" i="18" s="1"/>
  <c r="E59" i="18"/>
  <c r="D59" i="18"/>
  <c r="C59" i="18"/>
  <c r="E58" i="18"/>
  <c r="D58" i="18"/>
  <c r="C58" i="18"/>
  <c r="E57" i="18"/>
  <c r="D57" i="18"/>
  <c r="C57" i="18"/>
  <c r="F57" i="18" s="1"/>
  <c r="F56" i="18"/>
  <c r="E56" i="18"/>
  <c r="G56" i="18" s="1"/>
  <c r="D56" i="18"/>
  <c r="C56" i="18"/>
  <c r="E55" i="18"/>
  <c r="D55" i="18"/>
  <c r="C55" i="18"/>
  <c r="F55" i="18" s="1"/>
  <c r="E54" i="18"/>
  <c r="D54" i="18"/>
  <c r="F54" i="18" s="1"/>
  <c r="C54" i="18"/>
  <c r="E53" i="18"/>
  <c r="G53" i="18" s="1"/>
  <c r="D53" i="18"/>
  <c r="C53" i="18"/>
  <c r="F53" i="18" s="1"/>
  <c r="E52" i="18"/>
  <c r="D52" i="18"/>
  <c r="G52" i="18" s="1"/>
  <c r="C52" i="18"/>
  <c r="E51" i="18"/>
  <c r="D51" i="18"/>
  <c r="C51" i="18"/>
  <c r="E50" i="18"/>
  <c r="D50" i="18"/>
  <c r="C50" i="18"/>
  <c r="E49" i="18"/>
  <c r="D49" i="18"/>
  <c r="G49" i="18" s="1"/>
  <c r="C49" i="18"/>
  <c r="F49" i="18" s="1"/>
  <c r="E48" i="18"/>
  <c r="D48" i="18"/>
  <c r="G48" i="18" s="1"/>
  <c r="C48" i="18"/>
  <c r="E47" i="18"/>
  <c r="D47" i="18"/>
  <c r="G47" i="18" s="1"/>
  <c r="C47" i="18"/>
  <c r="F47" i="18" s="1"/>
  <c r="E46" i="18"/>
  <c r="D46" i="18"/>
  <c r="C46" i="18"/>
  <c r="E45" i="18"/>
  <c r="D45" i="18"/>
  <c r="C45" i="18"/>
  <c r="F45" i="18" s="1"/>
  <c r="E44" i="18"/>
  <c r="D44" i="18"/>
  <c r="G44" i="18" s="1"/>
  <c r="C44" i="18"/>
  <c r="F44" i="18" s="1"/>
  <c r="G43" i="18"/>
  <c r="E43" i="18"/>
  <c r="D43" i="18"/>
  <c r="C43" i="18"/>
  <c r="E42" i="18"/>
  <c r="D42" i="18"/>
  <c r="C42" i="18"/>
  <c r="E41" i="18"/>
  <c r="D41" i="18"/>
  <c r="C41" i="18"/>
  <c r="E40" i="18"/>
  <c r="D40" i="18"/>
  <c r="C40" i="18"/>
  <c r="F40" i="18" s="1"/>
  <c r="E39" i="18"/>
  <c r="D39" i="18"/>
  <c r="C39" i="18"/>
  <c r="F39" i="18" s="1"/>
  <c r="E38" i="18"/>
  <c r="G38" i="18" s="1"/>
  <c r="D38" i="18"/>
  <c r="C38" i="18"/>
  <c r="F38" i="18" s="1"/>
  <c r="E37" i="18"/>
  <c r="D37" i="18"/>
  <c r="C37" i="18"/>
  <c r="F37" i="18" s="1"/>
  <c r="E36" i="18"/>
  <c r="D36" i="18"/>
  <c r="G36" i="18" s="1"/>
  <c r="C36" i="18"/>
  <c r="E35" i="18"/>
  <c r="D35" i="18"/>
  <c r="C35" i="18"/>
  <c r="E34" i="18"/>
  <c r="D34" i="18"/>
  <c r="C34" i="18"/>
  <c r="E33" i="18"/>
  <c r="D33" i="18"/>
  <c r="C33" i="18"/>
  <c r="F33" i="18" s="1"/>
  <c r="E32" i="18"/>
  <c r="D32" i="18"/>
  <c r="G32" i="18" s="1"/>
  <c r="C32" i="18"/>
  <c r="E31" i="18"/>
  <c r="D31" i="18"/>
  <c r="G31" i="18" s="1"/>
  <c r="C31" i="18"/>
  <c r="F31" i="18" s="1"/>
  <c r="E30" i="18"/>
  <c r="D30" i="18"/>
  <c r="C30" i="18"/>
  <c r="E29" i="18"/>
  <c r="D29" i="18"/>
  <c r="C29" i="18"/>
  <c r="F29" i="18" s="1"/>
  <c r="E28" i="18"/>
  <c r="D28" i="18"/>
  <c r="G28" i="18" s="1"/>
  <c r="C28" i="18"/>
  <c r="E27" i="18"/>
  <c r="D27" i="18"/>
  <c r="C27" i="18"/>
  <c r="E26" i="18"/>
  <c r="D26" i="18"/>
  <c r="C26" i="18"/>
  <c r="E25" i="18"/>
  <c r="G25" i="18" s="1"/>
  <c r="D25" i="18"/>
  <c r="C25" i="18"/>
  <c r="E24" i="18"/>
  <c r="D24" i="18"/>
  <c r="G24" i="18" s="1"/>
  <c r="C24" i="18"/>
  <c r="F24" i="18" s="1"/>
  <c r="E23" i="18"/>
  <c r="D23" i="18"/>
  <c r="C23" i="18"/>
  <c r="F23" i="18" s="1"/>
  <c r="E22" i="18"/>
  <c r="D22" i="18"/>
  <c r="C22" i="18"/>
  <c r="F22" i="18" s="1"/>
  <c r="E21" i="18"/>
  <c r="D21" i="18"/>
  <c r="C21" i="18"/>
  <c r="E20" i="18"/>
  <c r="D20" i="18"/>
  <c r="C20" i="18"/>
  <c r="E19" i="18"/>
  <c r="D19" i="18"/>
  <c r="C19" i="18"/>
  <c r="F19" i="18" s="1"/>
  <c r="E18" i="18"/>
  <c r="D18" i="18"/>
  <c r="C18" i="18"/>
  <c r="E17" i="18"/>
  <c r="D17" i="18"/>
  <c r="G17" i="18" s="1"/>
  <c r="C17" i="18"/>
  <c r="E16" i="18"/>
  <c r="D16" i="18"/>
  <c r="G16" i="18" s="1"/>
  <c r="C16" i="18"/>
  <c r="E15" i="18"/>
  <c r="D15" i="18"/>
  <c r="G15" i="18" s="1"/>
  <c r="C15" i="18"/>
  <c r="E14" i="18"/>
  <c r="D14" i="18"/>
  <c r="C14" i="18"/>
  <c r="E13" i="18"/>
  <c r="D13" i="18"/>
  <c r="C13" i="18"/>
  <c r="E12" i="18"/>
  <c r="D12" i="18"/>
  <c r="C12" i="18"/>
  <c r="E11" i="18"/>
  <c r="D11" i="18"/>
  <c r="C11" i="18"/>
  <c r="F11" i="18" s="1"/>
  <c r="E10" i="18"/>
  <c r="D10" i="18"/>
  <c r="F10" i="18" s="1"/>
  <c r="C10" i="18"/>
  <c r="E9" i="18"/>
  <c r="D9" i="18"/>
  <c r="G9" i="18" s="1"/>
  <c r="C9" i="18"/>
  <c r="AB15" i="14"/>
  <c r="AB14" i="14"/>
  <c r="AO44" i="16"/>
  <c r="AU44" i="16" s="1"/>
  <c r="AB156" i="14"/>
  <c r="AB18" i="14"/>
  <c r="AB17" i="14"/>
  <c r="AB19" i="14"/>
  <c r="AB23" i="14"/>
  <c r="AB21" i="14"/>
  <c r="AB22" i="14"/>
  <c r="G5" i="14"/>
  <c r="AB5" i="14"/>
  <c r="AB8" i="14"/>
  <c r="AT23" i="16"/>
  <c r="AT24" i="16"/>
  <c r="AT22" i="16"/>
  <c r="AO23" i="16"/>
  <c r="AO24" i="16"/>
  <c r="AO33" i="16"/>
  <c r="AO22" i="16"/>
  <c r="AJ23" i="16"/>
  <c r="AJ24" i="16"/>
  <c r="AJ25" i="16"/>
  <c r="AJ26" i="16"/>
  <c r="AJ32" i="16"/>
  <c r="AJ33" i="16"/>
  <c r="AJ44" i="16"/>
  <c r="AJ22" i="16"/>
  <c r="AE10" i="16"/>
  <c r="AE12" i="16"/>
  <c r="AE19" i="16"/>
  <c r="AE20" i="16"/>
  <c r="AE21" i="16"/>
  <c r="AE22" i="16"/>
  <c r="AE23" i="16"/>
  <c r="AE24" i="16"/>
  <c r="AE25" i="16"/>
  <c r="AE26" i="16"/>
  <c r="AE27" i="16"/>
  <c r="AE32" i="16"/>
  <c r="AE33" i="16"/>
  <c r="AE34" i="16"/>
  <c r="AE35" i="16"/>
  <c r="AE36" i="16"/>
  <c r="AE37" i="16"/>
  <c r="AE41" i="16"/>
  <c r="AE42" i="16"/>
  <c r="AE43" i="16"/>
  <c r="AE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" i="16"/>
  <c r="U4" i="16"/>
  <c r="U5" i="16"/>
  <c r="U6" i="16"/>
  <c r="U7" i="16"/>
  <c r="U8" i="16"/>
  <c r="U9" i="16"/>
  <c r="U10" i="16"/>
  <c r="U11" i="16"/>
  <c r="U12" i="16"/>
  <c r="U13" i="16"/>
  <c r="U14" i="16"/>
  <c r="U15" i="16"/>
  <c r="U16" i="16"/>
  <c r="U17" i="16"/>
  <c r="U18" i="16"/>
  <c r="U19" i="16"/>
  <c r="U20" i="16"/>
  <c r="U21" i="16"/>
  <c r="U22" i="16"/>
  <c r="U23" i="16"/>
  <c r="U24" i="16"/>
  <c r="U25" i="16"/>
  <c r="U26" i="16"/>
  <c r="U27" i="16"/>
  <c r="U28" i="16"/>
  <c r="U29" i="16"/>
  <c r="U30" i="16"/>
  <c r="U31" i="16"/>
  <c r="U32" i="16"/>
  <c r="U33" i="16"/>
  <c r="U34" i="16"/>
  <c r="U35" i="16"/>
  <c r="U36" i="16"/>
  <c r="U37" i="16"/>
  <c r="U38" i="16"/>
  <c r="U39" i="16"/>
  <c r="U40" i="16"/>
  <c r="U41" i="16"/>
  <c r="U42" i="16"/>
  <c r="U43" i="16"/>
  <c r="U44" i="16"/>
  <c r="P4" i="16"/>
  <c r="P5" i="16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F67" i="18" l="1"/>
  <c r="G11" i="18"/>
  <c r="G85" i="18"/>
  <c r="G105" i="18"/>
  <c r="F13" i="18"/>
  <c r="F18" i="18"/>
  <c r="F21" i="18"/>
  <c r="F28" i="18"/>
  <c r="G33" i="18"/>
  <c r="F41" i="18"/>
  <c r="F46" i="18"/>
  <c r="F51" i="18"/>
  <c r="F61" i="18"/>
  <c r="G76" i="18"/>
  <c r="F79" i="18"/>
  <c r="G84" i="18"/>
  <c r="F94" i="18"/>
  <c r="G104" i="18"/>
  <c r="G125" i="18"/>
  <c r="F128" i="18"/>
  <c r="G133" i="18"/>
  <c r="F146" i="18"/>
  <c r="F161" i="18"/>
  <c r="G89" i="18"/>
  <c r="G19" i="18"/>
  <c r="G22" i="18"/>
  <c r="G37" i="18"/>
  <c r="F83" i="18"/>
  <c r="G117" i="18"/>
  <c r="F127" i="18"/>
  <c r="F132" i="18"/>
  <c r="G154" i="18"/>
  <c r="F160" i="18"/>
  <c r="G54" i="18"/>
  <c r="G69" i="18"/>
  <c r="G102" i="18"/>
  <c r="G119" i="18"/>
  <c r="G134" i="18"/>
  <c r="G12" i="18"/>
  <c r="G20" i="18"/>
  <c r="F30" i="18"/>
  <c r="F35" i="18"/>
  <c r="G40" i="18"/>
  <c r="G57" i="18"/>
  <c r="G60" i="18"/>
  <c r="F63" i="18"/>
  <c r="G68" i="18"/>
  <c r="G70" i="18"/>
  <c r="F81" i="18"/>
  <c r="G111" i="18"/>
  <c r="F122" i="18"/>
  <c r="F135" i="18"/>
  <c r="G150" i="18"/>
  <c r="G13" i="18"/>
  <c r="G21" i="18"/>
  <c r="G41" i="18"/>
  <c r="F116" i="18"/>
  <c r="F14" i="18"/>
  <c r="F25" i="18"/>
  <c r="F76" i="18"/>
  <c r="G96" i="18"/>
  <c r="F109" i="18"/>
  <c r="F118" i="18"/>
  <c r="F125" i="18"/>
  <c r="G130" i="18"/>
  <c r="F138" i="18"/>
  <c r="F143" i="18"/>
  <c r="F148" i="18"/>
  <c r="F158" i="18"/>
  <c r="F16" i="18"/>
  <c r="G30" i="18"/>
  <c r="F32" i="18"/>
  <c r="F43" i="18"/>
  <c r="G45" i="18"/>
  <c r="G51" i="18"/>
  <c r="G62" i="18"/>
  <c r="F64" i="18"/>
  <c r="F75" i="18"/>
  <c r="G77" i="18"/>
  <c r="G83" i="18"/>
  <c r="G94" i="18"/>
  <c r="F96" i="18"/>
  <c r="F107" i="18"/>
  <c r="G109" i="18"/>
  <c r="G116" i="18"/>
  <c r="G127" i="18"/>
  <c r="F129" i="18"/>
  <c r="F140" i="18"/>
  <c r="G142" i="18"/>
  <c r="G148" i="18"/>
  <c r="G159" i="18"/>
  <c r="F12" i="18"/>
  <c r="F20" i="18"/>
  <c r="F26" i="18"/>
  <c r="G39" i="18"/>
  <c r="F52" i="18"/>
  <c r="G58" i="18"/>
  <c r="G71" i="18"/>
  <c r="F84" i="18"/>
  <c r="G90" i="18"/>
  <c r="G103" i="18"/>
  <c r="F117" i="18"/>
  <c r="F123" i="18"/>
  <c r="G136" i="18"/>
  <c r="F149" i="18"/>
  <c r="F155" i="18"/>
  <c r="F164" i="18"/>
  <c r="F50" i="18"/>
  <c r="F82" i="18"/>
  <c r="F115" i="18"/>
  <c r="F147" i="18"/>
  <c r="F27" i="18"/>
  <c r="G29" i="18"/>
  <c r="G46" i="18"/>
  <c r="F48" i="18"/>
  <c r="F59" i="18"/>
  <c r="G61" i="18"/>
  <c r="G67" i="18"/>
  <c r="G78" i="18"/>
  <c r="F80" i="18"/>
  <c r="F91" i="18"/>
  <c r="G93" i="18"/>
  <c r="G99" i="18"/>
  <c r="G110" i="18"/>
  <c r="F113" i="18"/>
  <c r="F124" i="18"/>
  <c r="G126" i="18"/>
  <c r="G132" i="18"/>
  <c r="G143" i="18"/>
  <c r="F145" i="18"/>
  <c r="F156" i="18"/>
  <c r="G158" i="18"/>
  <c r="F9" i="18"/>
  <c r="F15" i="18"/>
  <c r="F17" i="18"/>
  <c r="G23" i="18"/>
  <c r="F36" i="18"/>
  <c r="F42" i="18"/>
  <c r="G55" i="18"/>
  <c r="F68" i="18"/>
  <c r="F74" i="18"/>
  <c r="G87" i="18"/>
  <c r="F100" i="18"/>
  <c r="F106" i="18"/>
  <c r="G120" i="18"/>
  <c r="F133" i="18"/>
  <c r="F139" i="18"/>
  <c r="G152" i="18"/>
  <c r="F165" i="18"/>
  <c r="G14" i="18"/>
  <c r="G35" i="18"/>
  <c r="G27" i="18"/>
  <c r="G91" i="18"/>
  <c r="G124" i="18"/>
  <c r="G156" i="18"/>
  <c r="G59" i="18"/>
  <c r="F34" i="18"/>
  <c r="F66" i="18"/>
  <c r="F98" i="18"/>
  <c r="F131" i="18"/>
  <c r="F163" i="18"/>
  <c r="F58" i="18"/>
  <c r="F90" i="18"/>
  <c r="G10" i="18"/>
  <c r="G18" i="18"/>
  <c r="G26" i="18"/>
  <c r="G34" i="18"/>
  <c r="G42" i="18"/>
  <c r="G50" i="18"/>
  <c r="G66" i="18"/>
  <c r="G74" i="18"/>
  <c r="G82" i="18"/>
  <c r="G98" i="18"/>
  <c r="G106" i="18"/>
  <c r="G115" i="18"/>
  <c r="G123" i="18"/>
  <c r="G131" i="18"/>
  <c r="G139" i="18"/>
  <c r="G147" i="18"/>
  <c r="G155" i="18"/>
  <c r="G163" i="18"/>
  <c r="B8" i="14" l="1"/>
  <c r="U3" i="16"/>
  <c r="P3" i="16"/>
  <c r="B5" i="14"/>
  <c r="B4" i="14"/>
  <c r="AR23" i="16" l="1"/>
  <c r="AR24" i="16"/>
  <c r="AR22" i="16"/>
  <c r="AM23" i="16"/>
  <c r="AM24" i="16"/>
  <c r="AM33" i="16"/>
  <c r="AM22" i="16"/>
  <c r="AH23" i="16"/>
  <c r="AK23" i="16" s="1"/>
  <c r="AH24" i="16"/>
  <c r="AH25" i="16"/>
  <c r="AH26" i="16"/>
  <c r="AH32" i="16"/>
  <c r="AH33" i="16"/>
  <c r="AK33" i="16" s="1"/>
  <c r="AH44" i="16"/>
  <c r="AH22" i="16"/>
  <c r="AK22" i="16" s="1"/>
  <c r="AC10" i="16"/>
  <c r="AF10" i="16" s="1"/>
  <c r="AC12" i="16"/>
  <c r="AC19" i="16"/>
  <c r="AC21" i="16"/>
  <c r="AC22" i="16"/>
  <c r="AC23" i="16"/>
  <c r="AC24" i="16"/>
  <c r="AC25" i="16"/>
  <c r="AC26" i="16"/>
  <c r="AF26" i="16" s="1"/>
  <c r="AC27" i="16"/>
  <c r="AC32" i="16"/>
  <c r="AC33" i="16"/>
  <c r="AC34" i="16"/>
  <c r="AC35" i="16"/>
  <c r="AF35" i="16" s="1"/>
  <c r="AC36" i="16"/>
  <c r="AC37" i="16"/>
  <c r="AC41" i="16"/>
  <c r="AC42" i="16"/>
  <c r="AC43" i="16"/>
  <c r="AC44" i="16"/>
  <c r="AC4" i="16"/>
  <c r="X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37" i="16"/>
  <c r="X38" i="16"/>
  <c r="X39" i="16"/>
  <c r="X40" i="16"/>
  <c r="AA40" i="16" s="1"/>
  <c r="X41" i="16"/>
  <c r="X42" i="16"/>
  <c r="X43" i="16"/>
  <c r="X44" i="16"/>
  <c r="X4" i="16"/>
  <c r="S5" i="16"/>
  <c r="S6" i="16"/>
  <c r="S7" i="16"/>
  <c r="V7" i="16" s="1"/>
  <c r="S8" i="16"/>
  <c r="S9" i="16"/>
  <c r="S10" i="16"/>
  <c r="S11" i="16"/>
  <c r="S12" i="16"/>
  <c r="S13" i="16"/>
  <c r="S14" i="16"/>
  <c r="S15" i="16"/>
  <c r="V15" i="16" s="1"/>
  <c r="S16" i="16"/>
  <c r="S17" i="16"/>
  <c r="S18" i="16"/>
  <c r="S19" i="16"/>
  <c r="S20" i="16"/>
  <c r="S21" i="16"/>
  <c r="S22" i="16"/>
  <c r="S23" i="16"/>
  <c r="V23" i="16" s="1"/>
  <c r="S24" i="16"/>
  <c r="S25" i="16"/>
  <c r="S26" i="16"/>
  <c r="S27" i="16"/>
  <c r="S28" i="16"/>
  <c r="S29" i="16"/>
  <c r="S30" i="16"/>
  <c r="S31" i="16"/>
  <c r="V31" i="16" s="1"/>
  <c r="S32" i="16"/>
  <c r="S33" i="16"/>
  <c r="S34" i="16"/>
  <c r="S35" i="16"/>
  <c r="S36" i="16"/>
  <c r="S37" i="16"/>
  <c r="S38" i="16"/>
  <c r="V38" i="16" s="1"/>
  <c r="S39" i="16"/>
  <c r="V39" i="16" s="1"/>
  <c r="S40" i="16"/>
  <c r="S41" i="16"/>
  <c r="S42" i="16"/>
  <c r="S43" i="16"/>
  <c r="S44" i="16"/>
  <c r="S4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3" i="16"/>
  <c r="AA32" i="16" l="1"/>
  <c r="AA8" i="16"/>
  <c r="V30" i="16"/>
  <c r="V14" i="16"/>
  <c r="V6" i="16"/>
  <c r="AF25" i="16"/>
  <c r="AA24" i="16"/>
  <c r="AK32" i="16"/>
  <c r="AA16" i="16"/>
  <c r="V22" i="16"/>
  <c r="AP24" i="16"/>
  <c r="AF41" i="16"/>
  <c r="F3" i="16"/>
  <c r="V3" i="16"/>
  <c r="G3" i="16" s="1"/>
  <c r="E3" i="16" s="1"/>
  <c r="H3" i="16" s="1"/>
  <c r="Q13" i="16"/>
  <c r="F13" i="16"/>
  <c r="Q36" i="16"/>
  <c r="F36" i="16"/>
  <c r="Q4" i="16"/>
  <c r="F4" i="16"/>
  <c r="AA39" i="16"/>
  <c r="AA31" i="16"/>
  <c r="AA23" i="16"/>
  <c r="AA15" i="16"/>
  <c r="AA7" i="16"/>
  <c r="AF37" i="16"/>
  <c r="AP22" i="16"/>
  <c r="Q21" i="16"/>
  <c r="F21" i="16"/>
  <c r="Q43" i="16"/>
  <c r="F43" i="16"/>
  <c r="Q35" i="16"/>
  <c r="F35" i="16"/>
  <c r="Q27" i="16"/>
  <c r="F27" i="16"/>
  <c r="Q19" i="16"/>
  <c r="F19" i="16"/>
  <c r="Q11" i="16"/>
  <c r="F11" i="16"/>
  <c r="V4" i="16"/>
  <c r="V37" i="16"/>
  <c r="V29" i="16"/>
  <c r="V21" i="16"/>
  <c r="V13" i="16"/>
  <c r="V5" i="16"/>
  <c r="AA38" i="16"/>
  <c r="AA30" i="16"/>
  <c r="AA22" i="16"/>
  <c r="AA14" i="16"/>
  <c r="AA6" i="16"/>
  <c r="AF36" i="16"/>
  <c r="AF24" i="16"/>
  <c r="AK44" i="16"/>
  <c r="AP44" i="16"/>
  <c r="AP33" i="16"/>
  <c r="F18" i="16"/>
  <c r="Q18" i="16"/>
  <c r="V20" i="16"/>
  <c r="V12" i="16"/>
  <c r="AA4" i="16"/>
  <c r="AA37" i="16"/>
  <c r="AA29" i="16"/>
  <c r="AA21" i="16"/>
  <c r="AA13" i="16"/>
  <c r="AA5" i="16"/>
  <c r="AF23" i="16"/>
  <c r="Q37" i="16"/>
  <c r="F37" i="16"/>
  <c r="Q5" i="16"/>
  <c r="F5" i="16"/>
  <c r="Q44" i="16"/>
  <c r="F44" i="16"/>
  <c r="Q12" i="16"/>
  <c r="F12" i="16"/>
  <c r="V44" i="16"/>
  <c r="F9" i="16"/>
  <c r="Q9" i="16"/>
  <c r="V27" i="16"/>
  <c r="V19" i="16"/>
  <c r="V11" i="16"/>
  <c r="AA44" i="16"/>
  <c r="AA36" i="16"/>
  <c r="AA28" i="16"/>
  <c r="AA20" i="16"/>
  <c r="AA12" i="16"/>
  <c r="AF4" i="16"/>
  <c r="AF34" i="16"/>
  <c r="AF22" i="16"/>
  <c r="AP23" i="16"/>
  <c r="Q28" i="16"/>
  <c r="F28" i="16"/>
  <c r="Q42" i="16"/>
  <c r="F42" i="16"/>
  <c r="V28" i="16"/>
  <c r="Q33" i="16"/>
  <c r="F33" i="16"/>
  <c r="F17" i="16"/>
  <c r="Q17" i="16"/>
  <c r="Q40" i="16"/>
  <c r="F40" i="16"/>
  <c r="Q32" i="16"/>
  <c r="F32" i="16"/>
  <c r="F24" i="16"/>
  <c r="Q24" i="16"/>
  <c r="Q16" i="16"/>
  <c r="F16" i="16"/>
  <c r="F8" i="16"/>
  <c r="Q8" i="16"/>
  <c r="V42" i="16"/>
  <c r="V34" i="16"/>
  <c r="V26" i="16"/>
  <c r="V18" i="16"/>
  <c r="V10" i="16"/>
  <c r="AA43" i="16"/>
  <c r="AA35" i="16"/>
  <c r="AA27" i="16"/>
  <c r="AA19" i="16"/>
  <c r="AA11" i="16"/>
  <c r="AF44" i="16"/>
  <c r="AF33" i="16"/>
  <c r="AF21" i="16"/>
  <c r="AK26" i="16"/>
  <c r="AU22" i="16"/>
  <c r="Q20" i="16"/>
  <c r="G20" i="16" s="1"/>
  <c r="E20" i="16" s="1"/>
  <c r="H20" i="16" s="1"/>
  <c r="F20" i="16"/>
  <c r="Q34" i="16"/>
  <c r="F34" i="16"/>
  <c r="V36" i="16"/>
  <c r="Q25" i="16"/>
  <c r="F25" i="16"/>
  <c r="V35" i="16"/>
  <c r="Q31" i="16"/>
  <c r="G31" i="16" s="1"/>
  <c r="E31" i="16" s="1"/>
  <c r="H31" i="16" s="1"/>
  <c r="F31" i="16"/>
  <c r="F15" i="16"/>
  <c r="Q15" i="16"/>
  <c r="F7" i="16"/>
  <c r="Q7" i="16"/>
  <c r="G7" i="16" s="1"/>
  <c r="E7" i="16" s="1"/>
  <c r="V41" i="16"/>
  <c r="V33" i="16"/>
  <c r="V25" i="16"/>
  <c r="V17" i="16"/>
  <c r="V9" i="16"/>
  <c r="AA42" i="16"/>
  <c r="AA34" i="16"/>
  <c r="AA26" i="16"/>
  <c r="AA18" i="16"/>
  <c r="AA10" i="16"/>
  <c r="AF43" i="16"/>
  <c r="AF32" i="16"/>
  <c r="AF19" i="16"/>
  <c r="AK25" i="16"/>
  <c r="AU24" i="16"/>
  <c r="Q29" i="16"/>
  <c r="G29" i="16" s="1"/>
  <c r="E29" i="16" s="1"/>
  <c r="H29" i="16" s="1"/>
  <c r="F29" i="16"/>
  <c r="F26" i="16"/>
  <c r="Q26" i="16"/>
  <c r="F10" i="16"/>
  <c r="Q10" i="16"/>
  <c r="G10" i="16" s="1"/>
  <c r="E10" i="16" s="1"/>
  <c r="H10" i="16" s="1"/>
  <c r="F41" i="16"/>
  <c r="Q41" i="16"/>
  <c r="G41" i="16" s="1"/>
  <c r="E41" i="16" s="1"/>
  <c r="H41" i="16" s="1"/>
  <c r="V43" i="16"/>
  <c r="Q39" i="16"/>
  <c r="G39" i="16" s="1"/>
  <c r="E39" i="16" s="1"/>
  <c r="F39" i="16"/>
  <c r="F23" i="16"/>
  <c r="Q23" i="16"/>
  <c r="Q38" i="16"/>
  <c r="G38" i="16" s="1"/>
  <c r="E38" i="16" s="1"/>
  <c r="F38" i="16"/>
  <c r="Q30" i="16"/>
  <c r="G30" i="16" s="1"/>
  <c r="E30" i="16" s="1"/>
  <c r="F30" i="16"/>
  <c r="Q22" i="16"/>
  <c r="F22" i="16"/>
  <c r="Q14" i="16"/>
  <c r="G14" i="16" s="1"/>
  <c r="E14" i="16" s="1"/>
  <c r="H14" i="16" s="1"/>
  <c r="F14" i="16"/>
  <c r="Q6" i="16"/>
  <c r="G6" i="16" s="1"/>
  <c r="E6" i="16" s="1"/>
  <c r="F6" i="16"/>
  <c r="V40" i="16"/>
  <c r="V32" i="16"/>
  <c r="V24" i="16"/>
  <c r="V16" i="16"/>
  <c r="V8" i="16"/>
  <c r="AA41" i="16"/>
  <c r="AA33" i="16"/>
  <c r="AA25" i="16"/>
  <c r="AA17" i="16"/>
  <c r="AA9" i="16"/>
  <c r="AF42" i="16"/>
  <c r="AF27" i="16"/>
  <c r="AF12" i="16"/>
  <c r="AK24" i="16"/>
  <c r="AU23" i="16"/>
  <c r="AL201" i="14"/>
  <c r="AL203" i="14"/>
  <c r="AL204" i="14"/>
  <c r="AL205" i="14"/>
  <c r="AL206" i="14"/>
  <c r="AL202" i="14"/>
  <c r="AJ204" i="14"/>
  <c r="AH204" i="14"/>
  <c r="AG204" i="14" s="1"/>
  <c r="B204" i="14"/>
  <c r="CV206" i="14"/>
  <c r="CU206" i="14"/>
  <c r="CN206" i="14"/>
  <c r="CM206" i="14"/>
  <c r="CP206" i="14" s="1"/>
  <c r="CL206" i="14"/>
  <c r="CH206" i="14"/>
  <c r="CC206" i="14"/>
  <c r="AH206" i="14"/>
  <c r="AG206" i="14" s="1"/>
  <c r="AD206" i="14"/>
  <c r="B206" i="14"/>
  <c r="CV205" i="14"/>
  <c r="CU205" i="14"/>
  <c r="CN205" i="14"/>
  <c r="CM205" i="14"/>
  <c r="CP205" i="14" s="1"/>
  <c r="CL205" i="14"/>
  <c r="CH205" i="14"/>
  <c r="CC205" i="14"/>
  <c r="AH205" i="14"/>
  <c r="AD205" i="14"/>
  <c r="B205" i="14"/>
  <c r="CV203" i="14"/>
  <c r="CU203" i="14"/>
  <c r="CN203" i="14"/>
  <c r="CM203" i="14"/>
  <c r="CP203" i="14" s="1"/>
  <c r="CL203" i="14"/>
  <c r="CO203" i="14" s="1"/>
  <c r="CH203" i="14"/>
  <c r="CC203" i="14"/>
  <c r="AH203" i="14"/>
  <c r="AG203" i="14"/>
  <c r="AD203" i="14"/>
  <c r="B203" i="14"/>
  <c r="CV202" i="14"/>
  <c r="CU202" i="14"/>
  <c r="CN202" i="14"/>
  <c r="CM202" i="14"/>
  <c r="CP202" i="14" s="1"/>
  <c r="CL202" i="14"/>
  <c r="CH202" i="14"/>
  <c r="CC202" i="14"/>
  <c r="AH202" i="14"/>
  <c r="AD202" i="14"/>
  <c r="B202" i="14"/>
  <c r="CV201" i="14"/>
  <c r="CU201" i="14"/>
  <c r="CN201" i="14"/>
  <c r="CM201" i="14"/>
  <c r="CL201" i="14"/>
  <c r="CO201" i="14" s="1"/>
  <c r="CH201" i="14"/>
  <c r="CC201" i="14"/>
  <c r="AH201" i="14"/>
  <c r="AG201" i="14" s="1"/>
  <c r="AD201" i="14"/>
  <c r="B201" i="14"/>
  <c r="AH200" i="14"/>
  <c r="AL200" i="14" s="1"/>
  <c r="AG200" i="14"/>
  <c r="AD200" i="14"/>
  <c r="B200" i="14"/>
  <c r="AH199" i="14"/>
  <c r="AG199" i="14" s="1"/>
  <c r="AD199" i="14"/>
  <c r="B199" i="14"/>
  <c r="AH198" i="14"/>
  <c r="AL198" i="14" s="1"/>
  <c r="AD198" i="14"/>
  <c r="B198" i="14"/>
  <c r="AL197" i="14"/>
  <c r="AH197" i="14"/>
  <c r="AL196" i="14" s="1"/>
  <c r="AG197" i="14"/>
  <c r="AD197" i="14"/>
  <c r="B197" i="14"/>
  <c r="AH196" i="14"/>
  <c r="AG196" i="14" s="1"/>
  <c r="AD196" i="14"/>
  <c r="B196" i="14"/>
  <c r="AL194" i="14"/>
  <c r="AL191" i="14"/>
  <c r="CV195" i="14"/>
  <c r="CU195" i="14"/>
  <c r="CN195" i="14"/>
  <c r="CM195" i="14"/>
  <c r="CP195" i="14" s="1"/>
  <c r="CL195" i="14"/>
  <c r="CH195" i="14"/>
  <c r="CC195" i="14"/>
  <c r="AH195" i="14"/>
  <c r="AG195" i="14" s="1"/>
  <c r="AD195" i="14"/>
  <c r="B195" i="14"/>
  <c r="CV194" i="14"/>
  <c r="CU194" i="14"/>
  <c r="CN194" i="14"/>
  <c r="CM194" i="14"/>
  <c r="CP194" i="14" s="1"/>
  <c r="CL194" i="14"/>
  <c r="CH194" i="14"/>
  <c r="CC194" i="14"/>
  <c r="AH194" i="14"/>
  <c r="AG194" i="14" s="1"/>
  <c r="AD194" i="14"/>
  <c r="B194" i="14"/>
  <c r="CV193" i="14"/>
  <c r="CU193" i="14"/>
  <c r="CN193" i="14"/>
  <c r="CM193" i="14"/>
  <c r="CL193" i="14"/>
  <c r="CH193" i="14"/>
  <c r="CC193" i="14"/>
  <c r="AH193" i="14"/>
  <c r="AL193" i="14" s="1"/>
  <c r="AG193" i="14"/>
  <c r="AD193" i="14"/>
  <c r="B193" i="14"/>
  <c r="CV192" i="14"/>
  <c r="CU192" i="14"/>
  <c r="CN192" i="14"/>
  <c r="CM192" i="14"/>
  <c r="CP192" i="14" s="1"/>
  <c r="CL192" i="14"/>
  <c r="CO192" i="14" s="1"/>
  <c r="CH192" i="14"/>
  <c r="CC192" i="14"/>
  <c r="AH192" i="14"/>
  <c r="AD192" i="14"/>
  <c r="B192" i="14"/>
  <c r="CV191" i="14"/>
  <c r="CU191" i="14"/>
  <c r="CN191" i="14"/>
  <c r="CM191" i="14"/>
  <c r="CP191" i="14" s="1"/>
  <c r="CL191" i="14"/>
  <c r="CH191" i="14"/>
  <c r="CC191" i="14"/>
  <c r="AH191" i="14"/>
  <c r="AG191" i="14" s="1"/>
  <c r="AD191" i="14"/>
  <c r="B191" i="14"/>
  <c r="H38" i="16" l="1"/>
  <c r="H6" i="16"/>
  <c r="G42" i="16"/>
  <c r="E42" i="16" s="1"/>
  <c r="H42" i="16" s="1"/>
  <c r="G21" i="16"/>
  <c r="E21" i="16" s="1"/>
  <c r="H21" i="16" s="1"/>
  <c r="G37" i="16"/>
  <c r="E37" i="16" s="1"/>
  <c r="H37" i="16" s="1"/>
  <c r="G26" i="16"/>
  <c r="E26" i="16" s="1"/>
  <c r="H26" i="16" s="1"/>
  <c r="G35" i="16"/>
  <c r="E35" i="16" s="1"/>
  <c r="H35" i="16" s="1"/>
  <c r="H30" i="16"/>
  <c r="G8" i="16"/>
  <c r="E8" i="16" s="1"/>
  <c r="H8" i="16" s="1"/>
  <c r="G19" i="16"/>
  <c r="E19" i="16" s="1"/>
  <c r="H19" i="16" s="1"/>
  <c r="G40" i="16"/>
  <c r="E40" i="16" s="1"/>
  <c r="H40" i="16" s="1"/>
  <c r="G4" i="16"/>
  <c r="G22" i="16"/>
  <c r="E22" i="16" s="1"/>
  <c r="H22" i="16" s="1"/>
  <c r="H39" i="16"/>
  <c r="G17" i="16"/>
  <c r="E17" i="16" s="1"/>
  <c r="H17" i="16" s="1"/>
  <c r="G28" i="16"/>
  <c r="E28" i="16" s="1"/>
  <c r="H28" i="16" s="1"/>
  <c r="G27" i="16"/>
  <c r="E27" i="16" s="1"/>
  <c r="H27" i="16" s="1"/>
  <c r="H7" i="16"/>
  <c r="G25" i="16"/>
  <c r="E25" i="16" s="1"/>
  <c r="H25" i="16" s="1"/>
  <c r="G16" i="16"/>
  <c r="E16" i="16" s="1"/>
  <c r="H16" i="16" s="1"/>
  <c r="G12" i="16"/>
  <c r="E12" i="16" s="1"/>
  <c r="H12" i="16" s="1"/>
  <c r="G18" i="16"/>
  <c r="E18" i="16" s="1"/>
  <c r="H18" i="16" s="1"/>
  <c r="G36" i="16"/>
  <c r="E36" i="16" s="1"/>
  <c r="H36" i="16" s="1"/>
  <c r="G24" i="16"/>
  <c r="E24" i="16" s="1"/>
  <c r="H24" i="16" s="1"/>
  <c r="G15" i="16"/>
  <c r="E15" i="16" s="1"/>
  <c r="H15" i="16" s="1"/>
  <c r="G33" i="16"/>
  <c r="E33" i="16" s="1"/>
  <c r="H33" i="16" s="1"/>
  <c r="G44" i="16"/>
  <c r="E44" i="16" s="1"/>
  <c r="H44" i="16" s="1"/>
  <c r="G13" i="16"/>
  <c r="E13" i="16" s="1"/>
  <c r="H13" i="16" s="1"/>
  <c r="G34" i="16"/>
  <c r="E34" i="16" s="1"/>
  <c r="H34" i="16" s="1"/>
  <c r="G11" i="16"/>
  <c r="E11" i="16" s="1"/>
  <c r="H11" i="16" s="1"/>
  <c r="G43" i="16"/>
  <c r="E43" i="16" s="1"/>
  <c r="H43" i="16" s="1"/>
  <c r="G23" i="16"/>
  <c r="E23" i="16" s="1"/>
  <c r="H23" i="16" s="1"/>
  <c r="G32" i="16"/>
  <c r="E32" i="16" s="1"/>
  <c r="H32" i="16" s="1"/>
  <c r="G9" i="16"/>
  <c r="E9" i="16" s="1"/>
  <c r="H9" i="16" s="1"/>
  <c r="G5" i="16"/>
  <c r="E5" i="16" s="1"/>
  <c r="H5" i="16" s="1"/>
  <c r="AB206" i="14"/>
  <c r="AL195" i="14"/>
  <c r="AQ195" i="14" s="1"/>
  <c r="CO202" i="14"/>
  <c r="CO195" i="14"/>
  <c r="AG205" i="14"/>
  <c r="AJ205" i="14" s="1"/>
  <c r="AG198" i="14"/>
  <c r="AJ198" i="14" s="1"/>
  <c r="AG202" i="14"/>
  <c r="AJ197" i="14"/>
  <c r="CP193" i="14"/>
  <c r="CP201" i="14"/>
  <c r="CO205" i="14"/>
  <c r="AB205" i="14"/>
  <c r="CO206" i="14"/>
  <c r="CO193" i="14"/>
  <c r="AL192" i="14"/>
  <c r="AB198" i="14"/>
  <c r="CO191" i="14"/>
  <c r="CO194" i="14"/>
  <c r="AB200" i="14"/>
  <c r="AB199" i="14"/>
  <c r="AJ199" i="14"/>
  <c r="AL199" i="14"/>
  <c r="AJ200" i="14"/>
  <c r="AJ195" i="14"/>
  <c r="AT192" i="14"/>
  <c r="AT191" i="14"/>
  <c r="AJ194" i="14"/>
  <c r="AJ192" i="14"/>
  <c r="AB195" i="14"/>
  <c r="AB193" i="14"/>
  <c r="AB194" i="14"/>
  <c r="AN206" i="14" l="1"/>
  <c r="AK206" i="14" s="1"/>
  <c r="AM206" i="14" s="1"/>
  <c r="AF200" i="14"/>
  <c r="AC200" i="14" s="1"/>
  <c r="AE200" i="14" s="1"/>
  <c r="AF206" i="14"/>
  <c r="AC206" i="14" s="1"/>
  <c r="AE206" i="14" s="1"/>
  <c r="AN200" i="14"/>
  <c r="AK200" i="14" s="1"/>
  <c r="AM200" i="14" s="1"/>
  <c r="AN195" i="14"/>
  <c r="AK195" i="14" s="1"/>
  <c r="AM195" i="14" s="1"/>
  <c r="AF195" i="14"/>
  <c r="AC195" i="14" s="1"/>
  <c r="AE195" i="14" s="1"/>
  <c r="W212" i="14" l="1"/>
  <c r="W209" i="14"/>
  <c r="AD187" i="14"/>
  <c r="AD188" i="14"/>
  <c r="AD189" i="14"/>
  <c r="AD190" i="14"/>
  <c r="AD186" i="14"/>
  <c r="B187" i="14"/>
  <c r="AH187" i="14"/>
  <c r="CC187" i="14"/>
  <c r="CH187" i="14"/>
  <c r="CL187" i="14"/>
  <c r="CM187" i="14"/>
  <c r="CN187" i="14"/>
  <c r="CO187" i="14"/>
  <c r="CU187" i="14"/>
  <c r="CV187" i="14"/>
  <c r="CV190" i="14"/>
  <c r="CU190" i="14"/>
  <c r="CN190" i="14"/>
  <c r="CM190" i="14"/>
  <c r="CP190" i="14" s="1"/>
  <c r="CL190" i="14"/>
  <c r="CH190" i="14"/>
  <c r="CC190" i="14"/>
  <c r="AH190" i="14"/>
  <c r="B190" i="14"/>
  <c r="CV189" i="14"/>
  <c r="CU189" i="14"/>
  <c r="CN189" i="14"/>
  <c r="CM189" i="14"/>
  <c r="CL189" i="14"/>
  <c r="CH189" i="14"/>
  <c r="CC189" i="14"/>
  <c r="AH189" i="14"/>
  <c r="AL189" i="14" s="1"/>
  <c r="B189" i="14"/>
  <c r="CV188" i="14"/>
  <c r="CU188" i="14"/>
  <c r="CN188" i="14"/>
  <c r="CM188" i="14"/>
  <c r="CL188" i="14"/>
  <c r="CH188" i="14"/>
  <c r="CC188" i="14"/>
  <c r="AH188" i="14"/>
  <c r="B188" i="14"/>
  <c r="CV186" i="14"/>
  <c r="CU186" i="14"/>
  <c r="CN186" i="14"/>
  <c r="CM186" i="14"/>
  <c r="CL186" i="14"/>
  <c r="CH186" i="14"/>
  <c r="CC186" i="14"/>
  <c r="AH186" i="14"/>
  <c r="AL186" i="14" s="1"/>
  <c r="AG186" i="14"/>
  <c r="B186" i="14"/>
  <c r="CP189" i="14" l="1"/>
  <c r="CP187" i="14"/>
  <c r="AB188" i="14"/>
  <c r="AG188" i="14"/>
  <c r="AL188" i="14"/>
  <c r="AB189" i="14"/>
  <c r="AJ189" i="14"/>
  <c r="AJ190" i="14"/>
  <c r="AB190" i="14"/>
  <c r="AG190" i="14"/>
  <c r="AL190" i="14"/>
  <c r="AL187" i="14"/>
  <c r="AT187" i="14" s="1"/>
  <c r="CP186" i="14"/>
  <c r="CP188" i="14"/>
  <c r="CO189" i="14"/>
  <c r="AJ187" i="14"/>
  <c r="AT186" i="14"/>
  <c r="AG187" i="14"/>
  <c r="CO188" i="14"/>
  <c r="AG189" i="14"/>
  <c r="CO190" i="14"/>
  <c r="CO186" i="14"/>
  <c r="AQ190" i="14"/>
  <c r="AJ188" i="14" l="1"/>
  <c r="AN190" i="14" s="1"/>
  <c r="AK190" i="14" s="1"/>
  <c r="AM190" i="14" s="1"/>
  <c r="AF190" i="14"/>
  <c r="AC190" i="14" s="1"/>
  <c r="AE190" i="14" s="1"/>
  <c r="CV185" i="14"/>
  <c r="CU185" i="14"/>
  <c r="CN185" i="14"/>
  <c r="CM185" i="14"/>
  <c r="CL185" i="14"/>
  <c r="CH185" i="14"/>
  <c r="CC185" i="14"/>
  <c r="AH185" i="14"/>
  <c r="AL185" i="14" s="1"/>
  <c r="AD185" i="14"/>
  <c r="CV184" i="14"/>
  <c r="CU184" i="14"/>
  <c r="CN184" i="14"/>
  <c r="CM184" i="14"/>
  <c r="CL184" i="14"/>
  <c r="CH184" i="14"/>
  <c r="CC184" i="14"/>
  <c r="AH184" i="14"/>
  <c r="AL184" i="14" s="1"/>
  <c r="AD184" i="14"/>
  <c r="CV183" i="14"/>
  <c r="CU183" i="14"/>
  <c r="CN183" i="14"/>
  <c r="CM183" i="14"/>
  <c r="CL183" i="14"/>
  <c r="CH183" i="14"/>
  <c r="CC183" i="14"/>
  <c r="AH183" i="14"/>
  <c r="AL183" i="14" s="1"/>
  <c r="AD183" i="14"/>
  <c r="CV182" i="14"/>
  <c r="CU182" i="14"/>
  <c r="CN182" i="14"/>
  <c r="CM182" i="14"/>
  <c r="CL182" i="14"/>
  <c r="CH182" i="14"/>
  <c r="CC182" i="14"/>
  <c r="AH182" i="14"/>
  <c r="AL182" i="14" s="1"/>
  <c r="AD182" i="14"/>
  <c r="B185" i="14"/>
  <c r="B184" i="14"/>
  <c r="B183" i="14"/>
  <c r="B182" i="14"/>
  <c r="AG184" i="14" l="1"/>
  <c r="AJ185" i="14" s="1"/>
  <c r="AQ185" i="14"/>
  <c r="AB183" i="14"/>
  <c r="AG183" i="14"/>
  <c r="AJ183" i="14" s="1"/>
  <c r="AB184" i="14"/>
  <c r="AG182" i="14"/>
  <c r="AG185" i="14"/>
  <c r="AB185" i="14"/>
  <c r="CO184" i="14"/>
  <c r="CO182" i="14"/>
  <c r="CO183" i="14"/>
  <c r="CO185" i="14"/>
  <c r="CP185" i="14"/>
  <c r="CP183" i="14"/>
  <c r="CP182" i="14"/>
  <c r="CP184" i="14"/>
  <c r="AH178" i="14"/>
  <c r="AL178" i="14" s="1"/>
  <c r="AH179" i="14"/>
  <c r="AH180" i="14"/>
  <c r="AH181" i="14"/>
  <c r="AD179" i="14"/>
  <c r="AD180" i="14"/>
  <c r="AD181" i="14"/>
  <c r="AD178" i="14"/>
  <c r="AJ184" i="14" l="1"/>
  <c r="AN185" i="14" s="1"/>
  <c r="AK185" i="14" s="1"/>
  <c r="AM185" i="14" s="1"/>
  <c r="AF185" i="14"/>
  <c r="AC185" i="14" s="1"/>
  <c r="AE185" i="14" s="1"/>
  <c r="AL181" i="14"/>
  <c r="AG181" i="14"/>
  <c r="AL180" i="14"/>
  <c r="AG180" i="14"/>
  <c r="AL179" i="14"/>
  <c r="AG179" i="14"/>
  <c r="AG178" i="14"/>
  <c r="B180" i="14"/>
  <c r="B178" i="14"/>
  <c r="B179" i="14"/>
  <c r="B181" i="14"/>
  <c r="AJ181" i="14" s="1"/>
  <c r="AJ179" i="14" l="1"/>
  <c r="AB180" i="14"/>
  <c r="AB179" i="14"/>
  <c r="AJ180" i="14"/>
  <c r="AB181" i="14"/>
  <c r="AN181" i="14" l="1"/>
  <c r="AK181" i="14" s="1"/>
  <c r="AM181" i="14" s="1"/>
  <c r="AF181" i="14"/>
  <c r="AC181" i="14" s="1"/>
  <c r="AE181" i="14" s="1"/>
  <c r="AQ181" i="14"/>
  <c r="AH176" i="14"/>
  <c r="AG176" i="14" s="1"/>
  <c r="CC176" i="14"/>
  <c r="CH176" i="14"/>
  <c r="CL176" i="14"/>
  <c r="CM176" i="14"/>
  <c r="CN176" i="14"/>
  <c r="CU176" i="14"/>
  <c r="CV176" i="14"/>
  <c r="AH177" i="14"/>
  <c r="AG177" i="14" s="1"/>
  <c r="AH175" i="14"/>
  <c r="AG175" i="14" s="1"/>
  <c r="AH174" i="14"/>
  <c r="AL174" i="14" s="1"/>
  <c r="AH169" i="14"/>
  <c r="AL169" i="14" s="1"/>
  <c r="AH170" i="14"/>
  <c r="AL170" i="14" s="1"/>
  <c r="AH171" i="14"/>
  <c r="AG171" i="14" s="1"/>
  <c r="AH172" i="14"/>
  <c r="AL172" i="14" s="1"/>
  <c r="AD173" i="14"/>
  <c r="AD172" i="14" s="1"/>
  <c r="AH173" i="14"/>
  <c r="AG173" i="14" s="1"/>
  <c r="AT178" i="14" l="1"/>
  <c r="AT182" i="14"/>
  <c r="AG174" i="14"/>
  <c r="AL177" i="14"/>
  <c r="AL171" i="14"/>
  <c r="CP176" i="14"/>
  <c r="AL176" i="14"/>
  <c r="AQ177" i="14" s="1"/>
  <c r="CO176" i="14"/>
  <c r="AL175" i="14"/>
  <c r="BC173" i="14"/>
  <c r="AG170" i="14"/>
  <c r="AL173" i="14"/>
  <c r="BH172" i="14"/>
  <c r="AD171" i="14"/>
  <c r="BJ172" i="14"/>
  <c r="BC172" i="14"/>
  <c r="BF172" i="14"/>
  <c r="AG169" i="14"/>
  <c r="AG172" i="14"/>
  <c r="AQ173" i="14" l="1"/>
  <c r="AT173" i="14"/>
  <c r="BC171" i="14"/>
  <c r="BF171" i="14"/>
  <c r="BH171" i="14"/>
  <c r="AD170" i="14"/>
  <c r="BJ171" i="14"/>
  <c r="AD169" i="14" l="1"/>
  <c r="BJ170" i="14"/>
  <c r="BC170" i="14"/>
  <c r="BF170" i="14"/>
  <c r="BH170" i="14"/>
  <c r="B174" i="14" l="1"/>
  <c r="B175" i="14"/>
  <c r="B177" i="14"/>
  <c r="AJ177" i="14" s="1"/>
  <c r="AB177" i="14" l="1"/>
  <c r="AB176" i="14"/>
  <c r="AJ175" i="14"/>
  <c r="AB175" i="14"/>
  <c r="AJ176" i="14"/>
  <c r="B173" i="14"/>
  <c r="B172" i="14"/>
  <c r="B171" i="14"/>
  <c r="AN177" i="14" l="1"/>
  <c r="AJ173" i="14"/>
  <c r="AK177" i="14"/>
  <c r="AM177" i="14" s="1"/>
  <c r="AF177" i="14"/>
  <c r="AC177" i="14" s="1"/>
  <c r="AE177" i="14" s="1"/>
  <c r="BB171" i="14"/>
  <c r="AB172" i="14"/>
  <c r="BB172" i="14"/>
  <c r="AB173" i="14"/>
  <c r="AQ99" i="14"/>
  <c r="AQ107" i="14"/>
  <c r="AQ113" i="14"/>
  <c r="AQ146" i="14"/>
  <c r="AQ153" i="14"/>
  <c r="AQ158" i="14"/>
  <c r="AQ163" i="14"/>
  <c r="AQ168" i="14"/>
  <c r="AQ124" i="14"/>
  <c r="AQ136" i="14"/>
  <c r="AQ140" i="14"/>
  <c r="AQ91" i="14"/>
  <c r="B170" i="14" l="1"/>
  <c r="B169" i="14"/>
  <c r="AB170" i="14" l="1"/>
  <c r="BB170" i="14"/>
  <c r="AJ171" i="14"/>
  <c r="AB171" i="14"/>
  <c r="AH16" i="14"/>
  <c r="AG16" i="14" s="1"/>
  <c r="AH17" i="14"/>
  <c r="AG17" i="14" s="1"/>
  <c r="AH18" i="14"/>
  <c r="AN18" i="14" s="1"/>
  <c r="AH19" i="14"/>
  <c r="AN19" i="14" s="1"/>
  <c r="AH20" i="14"/>
  <c r="AH21" i="14"/>
  <c r="AH22" i="14"/>
  <c r="AH23" i="14"/>
  <c r="AN23" i="14" s="1"/>
  <c r="AH24" i="14"/>
  <c r="AG24" i="14" s="1"/>
  <c r="AH25" i="14"/>
  <c r="AH26" i="14"/>
  <c r="AH27" i="14"/>
  <c r="AN27" i="14" s="1"/>
  <c r="AH28" i="14"/>
  <c r="AH29" i="14"/>
  <c r="AH30" i="14"/>
  <c r="AH31" i="14"/>
  <c r="AL31" i="14" s="1"/>
  <c r="AH32" i="14"/>
  <c r="AG32" i="14" s="1"/>
  <c r="AH33" i="14"/>
  <c r="AH34" i="14"/>
  <c r="AH35" i="14"/>
  <c r="AL35" i="14" s="1"/>
  <c r="AH36" i="14"/>
  <c r="AG36" i="14" s="1"/>
  <c r="AH37" i="14"/>
  <c r="AJ37" i="14" s="1"/>
  <c r="AH38" i="14"/>
  <c r="AH39" i="14"/>
  <c r="AL39" i="14" s="1"/>
  <c r="AH40" i="14"/>
  <c r="AH41" i="14"/>
  <c r="AG41" i="14" s="1"/>
  <c r="AH42" i="14"/>
  <c r="AH43" i="14"/>
  <c r="AL43" i="14" s="1"/>
  <c r="AH44" i="14"/>
  <c r="AH45" i="14"/>
  <c r="AN45" i="14" s="1"/>
  <c r="AH46" i="14"/>
  <c r="AH47" i="14"/>
  <c r="AH48" i="14"/>
  <c r="AH49" i="14"/>
  <c r="AH50" i="14"/>
  <c r="AG50" i="14" s="1"/>
  <c r="AH51" i="14"/>
  <c r="AH52" i="14"/>
  <c r="AH53" i="14"/>
  <c r="AH54" i="14"/>
  <c r="AH55" i="14"/>
  <c r="AH56" i="14"/>
  <c r="AH57" i="14"/>
  <c r="AH58" i="14"/>
  <c r="AG58" i="14" s="1"/>
  <c r="AH59" i="14"/>
  <c r="AH60" i="14"/>
  <c r="AH61" i="14"/>
  <c r="AH62" i="14"/>
  <c r="AH63" i="14"/>
  <c r="AH64" i="14"/>
  <c r="AH65" i="14"/>
  <c r="AH66" i="14"/>
  <c r="AG66" i="14" s="1"/>
  <c r="AH67" i="14"/>
  <c r="AH68" i="14"/>
  <c r="AH69" i="14"/>
  <c r="AH70" i="14"/>
  <c r="AG70" i="14" s="1"/>
  <c r="AH71" i="14"/>
  <c r="AH72" i="14"/>
  <c r="AH73" i="14"/>
  <c r="AH74" i="14"/>
  <c r="AG74" i="14" s="1"/>
  <c r="AH75" i="14"/>
  <c r="AL75" i="14" s="1"/>
  <c r="AH76" i="14"/>
  <c r="AH77" i="14"/>
  <c r="AH78" i="14"/>
  <c r="AG78" i="14" s="1"/>
  <c r="AH79" i="14"/>
  <c r="AL79" i="14" s="1"/>
  <c r="AH80" i="14"/>
  <c r="AH81" i="14"/>
  <c r="AH82" i="14"/>
  <c r="AH9" i="14"/>
  <c r="AH10" i="14"/>
  <c r="AL10" i="14" s="1"/>
  <c r="AH11" i="14"/>
  <c r="AG11" i="14" s="1"/>
  <c r="AH12" i="14"/>
  <c r="AH13" i="14"/>
  <c r="AH14" i="14"/>
  <c r="AL14" i="14" s="1"/>
  <c r="AH15" i="14"/>
  <c r="AG7" i="14"/>
  <c r="B82" i="14"/>
  <c r="E82" i="14"/>
  <c r="B77" i="14"/>
  <c r="E77" i="14"/>
  <c r="B73" i="14"/>
  <c r="E73" i="14"/>
  <c r="B68" i="14"/>
  <c r="E68" i="14"/>
  <c r="B64" i="14"/>
  <c r="E64" i="14"/>
  <c r="E60" i="14"/>
  <c r="B60" i="14"/>
  <c r="B56" i="14"/>
  <c r="E56" i="14"/>
  <c r="B48" i="14"/>
  <c r="E48" i="14"/>
  <c r="E44" i="14"/>
  <c r="B44" i="14"/>
  <c r="E39" i="14"/>
  <c r="B39" i="14"/>
  <c r="E35" i="14"/>
  <c r="B35" i="14"/>
  <c r="E30" i="14"/>
  <c r="B30" i="14"/>
  <c r="E26" i="14"/>
  <c r="B26" i="14"/>
  <c r="E22" i="14"/>
  <c r="F22" i="14"/>
  <c r="B22" i="14"/>
  <c r="B18" i="14"/>
  <c r="E18" i="14"/>
  <c r="E14" i="14"/>
  <c r="B14" i="14"/>
  <c r="B10" i="14"/>
  <c r="E10" i="14"/>
  <c r="AN173" i="14" l="1"/>
  <c r="AF173" i="14"/>
  <c r="AC173" i="14" s="1"/>
  <c r="AE173" i="14" s="1"/>
  <c r="AG79" i="14"/>
  <c r="AJ79" i="14"/>
  <c r="AN79" i="14"/>
  <c r="AN31" i="14"/>
  <c r="AN11" i="14"/>
  <c r="AJ66" i="14"/>
  <c r="AJ50" i="14"/>
  <c r="AN34" i="14"/>
  <c r="AJ58" i="14"/>
  <c r="AN26" i="14"/>
  <c r="AN42" i="14"/>
  <c r="AN39" i="14"/>
  <c r="AL23" i="14"/>
  <c r="AJ32" i="14"/>
  <c r="AJ28" i="14"/>
  <c r="AJ24" i="14"/>
  <c r="AJ20" i="14"/>
  <c r="AN9" i="14"/>
  <c r="AN30" i="14"/>
  <c r="AN22" i="14"/>
  <c r="AN35" i="14"/>
  <c r="AN48" i="14"/>
  <c r="AN44" i="14"/>
  <c r="AN81" i="14"/>
  <c r="AN77" i="14"/>
  <c r="AN73" i="14"/>
  <c r="AN69" i="14"/>
  <c r="AN65" i="14"/>
  <c r="AN61" i="14"/>
  <c r="AN57" i="14"/>
  <c r="AN53" i="14"/>
  <c r="AN49" i="14"/>
  <c r="AL9" i="14"/>
  <c r="AL82" i="14"/>
  <c r="AL78" i="14"/>
  <c r="AL74" i="14"/>
  <c r="AL70" i="14"/>
  <c r="AL66" i="14"/>
  <c r="AL62" i="14"/>
  <c r="AL58" i="14"/>
  <c r="AL54" i="14"/>
  <c r="AL50" i="14"/>
  <c r="AL46" i="14"/>
  <c r="AL42" i="14"/>
  <c r="AL34" i="14"/>
  <c r="AJ12" i="14"/>
  <c r="AJ75" i="14"/>
  <c r="AN12" i="14"/>
  <c r="AN43" i="14"/>
  <c r="AN72" i="14"/>
  <c r="AN68" i="14"/>
  <c r="AN64" i="14"/>
  <c r="AN60" i="14"/>
  <c r="AN56" i="14"/>
  <c r="AN52" i="14"/>
  <c r="AL28" i="14"/>
  <c r="AL24" i="14"/>
  <c r="AL20" i="14"/>
  <c r="AL16" i="14"/>
  <c r="AL12" i="14"/>
  <c r="AL81" i="14"/>
  <c r="AL77" i="14"/>
  <c r="AL73" i="14"/>
  <c r="AL69" i="14"/>
  <c r="AL65" i="14"/>
  <c r="AL61" i="14"/>
  <c r="AL57" i="14"/>
  <c r="AL53" i="14"/>
  <c r="AL49" i="14"/>
  <c r="AL45" i="14"/>
  <c r="AL37" i="14"/>
  <c r="AG75" i="14"/>
  <c r="AG27" i="14"/>
  <c r="AG19" i="14"/>
  <c r="AJ16" i="14"/>
  <c r="AJ70" i="14"/>
  <c r="AJ62" i="14"/>
  <c r="AJ54" i="14"/>
  <c r="AJ46" i="14"/>
  <c r="AN28" i="14"/>
  <c r="AN24" i="14"/>
  <c r="AN20" i="14"/>
  <c r="AN16" i="14"/>
  <c r="AN37" i="14"/>
  <c r="AN46" i="14"/>
  <c r="AN75" i="14"/>
  <c r="AL27" i="14"/>
  <c r="AL19" i="14"/>
  <c r="AL15" i="14"/>
  <c r="AL11" i="14"/>
  <c r="AL72" i="14"/>
  <c r="AL68" i="14"/>
  <c r="AL64" i="14"/>
  <c r="AL60" i="14"/>
  <c r="AL56" i="14"/>
  <c r="AL52" i="14"/>
  <c r="AL48" i="14"/>
  <c r="AL44" i="14"/>
  <c r="AL40" i="14"/>
  <c r="AL36" i="14"/>
  <c r="AL32" i="14"/>
  <c r="AG69" i="14"/>
  <c r="AG61" i="14"/>
  <c r="AG53" i="14"/>
  <c r="AG45" i="14"/>
  <c r="AN14" i="14"/>
  <c r="AN10" i="14"/>
  <c r="AN15" i="14"/>
  <c r="AN32" i="14"/>
  <c r="AN40" i="14"/>
  <c r="AN36" i="14"/>
  <c r="AN82" i="14"/>
  <c r="AN78" i="14"/>
  <c r="AN74" i="14"/>
  <c r="AN70" i="14"/>
  <c r="AN66" i="14"/>
  <c r="AN62" i="14"/>
  <c r="AN58" i="14"/>
  <c r="AN54" i="14"/>
  <c r="AN50" i="14"/>
  <c r="AL30" i="14"/>
  <c r="AL26" i="14"/>
  <c r="AL22" i="14"/>
  <c r="AL18" i="14"/>
  <c r="G65" i="14"/>
  <c r="AG65" i="14" s="1"/>
  <c r="G62" i="14"/>
  <c r="AG62" i="14" s="1"/>
  <c r="G57" i="14"/>
  <c r="AG57" i="14" s="1"/>
  <c r="G54" i="14"/>
  <c r="AG54" i="14" s="1"/>
  <c r="G49" i="14"/>
  <c r="AG49" i="14" s="1"/>
  <c r="G46" i="14"/>
  <c r="AG46" i="14" s="1"/>
  <c r="G40" i="14"/>
  <c r="AG40" i="14" s="1"/>
  <c r="G37" i="14"/>
  <c r="AG37" i="14" s="1"/>
  <c r="G31" i="14"/>
  <c r="AG31" i="14" s="1"/>
  <c r="G28" i="14"/>
  <c r="AG28" i="14" s="1"/>
  <c r="G23" i="14"/>
  <c r="AG23" i="14" s="1"/>
  <c r="G20" i="14"/>
  <c r="AG20" i="14" s="1"/>
  <c r="G15" i="14"/>
  <c r="AG15" i="14" s="1"/>
  <c r="G12" i="14"/>
  <c r="AG12" i="14" s="1"/>
  <c r="G6" i="14"/>
  <c r="B52" i="14"/>
  <c r="E52" i="14"/>
  <c r="AH168" i="14"/>
  <c r="AL168" i="14" s="1"/>
  <c r="AT168" i="14" s="1"/>
  <c r="AH167" i="14"/>
  <c r="AL167" i="14" s="1"/>
  <c r="AH166" i="14"/>
  <c r="AL166" i="14" s="1"/>
  <c r="AH165" i="14"/>
  <c r="AL165" i="14" s="1"/>
  <c r="AH164" i="14"/>
  <c r="AL164" i="14" s="1"/>
  <c r="AH163" i="14"/>
  <c r="AL163" i="14" s="1"/>
  <c r="AT163" i="14" s="1"/>
  <c r="AH162" i="14"/>
  <c r="AL162" i="14" s="1"/>
  <c r="AH161" i="14"/>
  <c r="AL161" i="14" s="1"/>
  <c r="AH160" i="14"/>
  <c r="AL160" i="14" s="1"/>
  <c r="AH159" i="14"/>
  <c r="AL159" i="14" s="1"/>
  <c r="AH158" i="14"/>
  <c r="AL158" i="14" s="1"/>
  <c r="AT158" i="14" s="1"/>
  <c r="AH157" i="14"/>
  <c r="AL157" i="14" s="1"/>
  <c r="AH156" i="14"/>
  <c r="AL156" i="14" s="1"/>
  <c r="AH155" i="14"/>
  <c r="AL155" i="14" s="1"/>
  <c r="AH154" i="14"/>
  <c r="AL154" i="14" s="1"/>
  <c r="AH153" i="14"/>
  <c r="AL153" i="14" s="1"/>
  <c r="AT153" i="14" s="1"/>
  <c r="AH152" i="14"/>
  <c r="AL152" i="14" s="1"/>
  <c r="AH151" i="14"/>
  <c r="AL151" i="14" s="1"/>
  <c r="AH150" i="14"/>
  <c r="AL150" i="14" s="1"/>
  <c r="AH149" i="14"/>
  <c r="AL149" i="14" s="1"/>
  <c r="AH148" i="14"/>
  <c r="AL148" i="14" s="1"/>
  <c r="AH147" i="14"/>
  <c r="AL147" i="14" s="1"/>
  <c r="AH146" i="14"/>
  <c r="AL146" i="14" s="1"/>
  <c r="AT146" i="14" s="1"/>
  <c r="AH145" i="14"/>
  <c r="AL145" i="14" s="1"/>
  <c r="AH144" i="14"/>
  <c r="AL144" i="14" s="1"/>
  <c r="AH143" i="14"/>
  <c r="AL143" i="14" s="1"/>
  <c r="AH142" i="14"/>
  <c r="AL142" i="14" s="1"/>
  <c r="AH141" i="14"/>
  <c r="AL141" i="14" s="1"/>
  <c r="AH140" i="14"/>
  <c r="AL140" i="14" s="1"/>
  <c r="AT140" i="14" s="1"/>
  <c r="AH139" i="14"/>
  <c r="AL139" i="14" s="1"/>
  <c r="AH138" i="14"/>
  <c r="AL138" i="14" s="1"/>
  <c r="AH137" i="14"/>
  <c r="AL137" i="14" s="1"/>
  <c r="AH136" i="14"/>
  <c r="AH135" i="14"/>
  <c r="AH134" i="14"/>
  <c r="AH133" i="14"/>
  <c r="AH132" i="14"/>
  <c r="AL132" i="14" s="1"/>
  <c r="AH131" i="14"/>
  <c r="AL131" i="14" s="1"/>
  <c r="AH130" i="14"/>
  <c r="AL130" i="14" s="1"/>
  <c r="AH129" i="14"/>
  <c r="AL129" i="14" s="1"/>
  <c r="AH128" i="14"/>
  <c r="AL128" i="14" s="1"/>
  <c r="AQ128" i="14" s="1"/>
  <c r="AH127" i="14"/>
  <c r="AL127" i="14" s="1"/>
  <c r="AH126" i="14"/>
  <c r="AL126" i="14" s="1"/>
  <c r="AH125" i="14"/>
  <c r="AL125" i="14" s="1"/>
  <c r="AH124" i="14"/>
  <c r="AL124" i="14" s="1"/>
  <c r="AT124" i="14" s="1"/>
  <c r="AH123" i="14"/>
  <c r="AL123" i="14" s="1"/>
  <c r="AH122" i="14"/>
  <c r="AL122" i="14" s="1"/>
  <c r="AH121" i="14"/>
  <c r="AL121" i="14" s="1"/>
  <c r="AH120" i="14"/>
  <c r="AL120" i="14" s="1"/>
  <c r="AH119" i="14"/>
  <c r="AL119" i="14" s="1"/>
  <c r="AH118" i="14"/>
  <c r="AL118" i="14" s="1"/>
  <c r="AH117" i="14"/>
  <c r="AL117" i="14" s="1"/>
  <c r="AH116" i="14"/>
  <c r="AL116" i="14" s="1"/>
  <c r="AH115" i="14"/>
  <c r="AL115" i="14" s="1"/>
  <c r="AH114" i="14"/>
  <c r="AL114" i="14" s="1"/>
  <c r="AH113" i="14"/>
  <c r="AL113" i="14" s="1"/>
  <c r="AT113" i="14" s="1"/>
  <c r="AH112" i="14"/>
  <c r="AL112" i="14" s="1"/>
  <c r="AH111" i="14"/>
  <c r="AL111" i="14" s="1"/>
  <c r="AH110" i="14"/>
  <c r="AL110" i="14" s="1"/>
  <c r="AH109" i="14"/>
  <c r="AL109" i="14" s="1"/>
  <c r="AH108" i="14"/>
  <c r="AL108" i="14" s="1"/>
  <c r="AH107" i="14"/>
  <c r="AL107" i="14" s="1"/>
  <c r="AT107" i="14" s="1"/>
  <c r="AH106" i="14"/>
  <c r="AL106" i="14" s="1"/>
  <c r="AH105" i="14"/>
  <c r="AL105" i="14" s="1"/>
  <c r="AH104" i="14"/>
  <c r="AL104" i="14" s="1"/>
  <c r="AH103" i="14"/>
  <c r="AL103" i="14" s="1"/>
  <c r="AH102" i="14"/>
  <c r="AL102" i="14" s="1"/>
  <c r="AH101" i="14"/>
  <c r="AL101" i="14" s="1"/>
  <c r="AH100" i="14"/>
  <c r="AL100" i="14" s="1"/>
  <c r="AH99" i="14"/>
  <c r="AL99" i="14" s="1"/>
  <c r="AT99" i="14" s="1"/>
  <c r="AH98" i="14"/>
  <c r="AL98" i="14" s="1"/>
  <c r="AH97" i="14"/>
  <c r="AL97" i="14" s="1"/>
  <c r="AH96" i="14"/>
  <c r="AL96" i="14" s="1"/>
  <c r="AH95" i="14"/>
  <c r="AL95" i="14" s="1"/>
  <c r="AH94" i="14"/>
  <c r="AL94" i="14" s="1"/>
  <c r="AH93" i="14"/>
  <c r="AL93" i="14" s="1"/>
  <c r="AH92" i="14"/>
  <c r="AL92" i="14" s="1"/>
  <c r="AH91" i="14"/>
  <c r="AL91" i="14" s="1"/>
  <c r="AT91" i="14" s="1"/>
  <c r="AH90" i="14"/>
  <c r="AL90" i="14" s="1"/>
  <c r="AH89" i="14"/>
  <c r="AH88" i="14"/>
  <c r="AL88" i="14" s="1"/>
  <c r="AH87" i="14"/>
  <c r="AL87" i="14" s="1"/>
  <c r="AH86" i="14"/>
  <c r="AL86" i="14" s="1"/>
  <c r="AH85" i="14"/>
  <c r="AL85" i="14" s="1"/>
  <c r="AH84" i="14"/>
  <c r="AL84" i="14" s="1"/>
  <c r="AT84" i="14" s="1"/>
  <c r="AH83" i="14"/>
  <c r="AH8" i="14"/>
  <c r="AH7" i="14"/>
  <c r="AH6" i="14"/>
  <c r="AH5" i="14"/>
  <c r="E39" i="15"/>
  <c r="F39" i="15"/>
  <c r="D39" i="15"/>
  <c r="F35" i="15"/>
  <c r="E35" i="15"/>
  <c r="D35" i="15"/>
  <c r="G37" i="15"/>
  <c r="F37" i="15"/>
  <c r="E37" i="15"/>
  <c r="D37" i="15"/>
  <c r="S49" i="15"/>
  <c r="T48" i="15"/>
  <c r="S48" i="15"/>
  <c r="R48" i="15"/>
  <c r="Q48" i="15"/>
  <c r="M48" i="15"/>
  <c r="L48" i="15"/>
  <c r="T47" i="15"/>
  <c r="R47" i="15"/>
  <c r="Q47" i="15"/>
  <c r="M47" i="15"/>
  <c r="L47" i="15"/>
  <c r="T41" i="15"/>
  <c r="R41" i="15"/>
  <c r="Q41" i="15"/>
  <c r="M41" i="15"/>
  <c r="L41" i="15"/>
  <c r="U40" i="15"/>
  <c r="N40" i="15"/>
  <c r="U39" i="15"/>
  <c r="N39" i="15"/>
  <c r="T33" i="15"/>
  <c r="R33" i="15"/>
  <c r="Q33" i="15"/>
  <c r="M33" i="15"/>
  <c r="L33" i="15"/>
  <c r="U32" i="15"/>
  <c r="N32" i="15"/>
  <c r="U31" i="15"/>
  <c r="N31" i="15"/>
  <c r="T25" i="15"/>
  <c r="R25" i="15"/>
  <c r="Q25" i="15"/>
  <c r="M25" i="15"/>
  <c r="L25" i="15"/>
  <c r="U24" i="15"/>
  <c r="N24" i="15"/>
  <c r="U23" i="15"/>
  <c r="N23" i="15"/>
  <c r="T17" i="15"/>
  <c r="R17" i="15"/>
  <c r="Q17" i="15"/>
  <c r="M17" i="15"/>
  <c r="L17" i="15"/>
  <c r="U16" i="15"/>
  <c r="N16" i="15"/>
  <c r="U15" i="15"/>
  <c r="N15" i="15"/>
  <c r="T9" i="15"/>
  <c r="R9" i="15"/>
  <c r="Q9" i="15"/>
  <c r="M9" i="15"/>
  <c r="L9" i="15"/>
  <c r="U8" i="15"/>
  <c r="N8" i="15"/>
  <c r="U7" i="15"/>
  <c r="N7" i="15"/>
  <c r="AK173" i="14" l="1"/>
  <c r="AM173" i="14" s="1"/>
  <c r="N47" i="15"/>
  <c r="U41" i="15"/>
  <c r="T42" i="15" s="1"/>
  <c r="N9" i="15"/>
  <c r="M10" i="15" s="1"/>
  <c r="N25" i="15"/>
  <c r="L26" i="15" s="1"/>
  <c r="R49" i="15"/>
  <c r="U48" i="15"/>
  <c r="U25" i="15"/>
  <c r="T26" i="15" s="1"/>
  <c r="U47" i="15"/>
  <c r="L49" i="15"/>
  <c r="N48" i="15"/>
  <c r="N41" i="15"/>
  <c r="L42" i="15" s="1"/>
  <c r="AQ132" i="14"/>
  <c r="AT132" i="14"/>
  <c r="AL89" i="14"/>
  <c r="AG89" i="14"/>
  <c r="AQ119" i="14"/>
  <c r="AT119" i="14"/>
  <c r="AT128" i="14"/>
  <c r="U52" i="14"/>
  <c r="V52" i="14" s="1"/>
  <c r="AG6" i="14"/>
  <c r="AL6" i="14"/>
  <c r="AN6" i="14"/>
  <c r="AJ6" i="14"/>
  <c r="AL7" i="14"/>
  <c r="AN7" i="14"/>
  <c r="AJ7" i="14"/>
  <c r="AL83" i="14"/>
  <c r="AN83" i="14"/>
  <c r="N17" i="15"/>
  <c r="M18" i="15" s="1"/>
  <c r="N33" i="15"/>
  <c r="M34" i="15" s="1"/>
  <c r="U33" i="15"/>
  <c r="Q34" i="15" s="1"/>
  <c r="Q49" i="15"/>
  <c r="M49" i="15"/>
  <c r="U17" i="15"/>
  <c r="T49" i="15"/>
  <c r="U9" i="15"/>
  <c r="T10" i="15" s="1"/>
  <c r="L10" i="15" l="1"/>
  <c r="Q42" i="15"/>
  <c r="M26" i="15"/>
  <c r="R26" i="15"/>
  <c r="R42" i="15"/>
  <c r="Q26" i="15"/>
  <c r="R10" i="15"/>
  <c r="Q10" i="15"/>
  <c r="L34" i="15"/>
  <c r="M42" i="15"/>
  <c r="L18" i="15"/>
  <c r="T34" i="15"/>
  <c r="N49" i="15"/>
  <c r="L50" i="15" s="1"/>
  <c r="U49" i="15"/>
  <c r="T50" i="15" s="1"/>
  <c r="S18" i="15"/>
  <c r="R18" i="15"/>
  <c r="Q18" i="15"/>
  <c r="T18" i="15"/>
  <c r="R34" i="15"/>
  <c r="AG85" i="14"/>
  <c r="AL134" i="14"/>
  <c r="AL135" i="14"/>
  <c r="AL136" i="14"/>
  <c r="AT136" i="14" s="1"/>
  <c r="AL133" i="14"/>
  <c r="AG83" i="14"/>
  <c r="AG84" i="14"/>
  <c r="AG86" i="14"/>
  <c r="AG87" i="14"/>
  <c r="AG88" i="14"/>
  <c r="AG90" i="14"/>
  <c r="AG91" i="14"/>
  <c r="AG92" i="14"/>
  <c r="AG93" i="14"/>
  <c r="AG94" i="14"/>
  <c r="AG95" i="14"/>
  <c r="AG96" i="14"/>
  <c r="AG97" i="14"/>
  <c r="AG98" i="14"/>
  <c r="AG99" i="14"/>
  <c r="AG100" i="14"/>
  <c r="AG101" i="14"/>
  <c r="AG102" i="14"/>
  <c r="AG103" i="14"/>
  <c r="AG104" i="14"/>
  <c r="AG105" i="14"/>
  <c r="AG106" i="14"/>
  <c r="AG107" i="14"/>
  <c r="AG108" i="14"/>
  <c r="AG109" i="14"/>
  <c r="AG110" i="14"/>
  <c r="AG111" i="14"/>
  <c r="AG112" i="14"/>
  <c r="AG113" i="14"/>
  <c r="AG114" i="14"/>
  <c r="AG115" i="14"/>
  <c r="AG116" i="14"/>
  <c r="AG117" i="14"/>
  <c r="AG118" i="14"/>
  <c r="AG119" i="14"/>
  <c r="AG120" i="14"/>
  <c r="AG121" i="14"/>
  <c r="AG122" i="14"/>
  <c r="AG123" i="14"/>
  <c r="AG124" i="14"/>
  <c r="AG125" i="14"/>
  <c r="AG126" i="14"/>
  <c r="AG127" i="14"/>
  <c r="AG128" i="14"/>
  <c r="AG129" i="14"/>
  <c r="AG130" i="14"/>
  <c r="AG131" i="14"/>
  <c r="AG132" i="14"/>
  <c r="AG133" i="14"/>
  <c r="AG134" i="14"/>
  <c r="AG135" i="14"/>
  <c r="AG136" i="14"/>
  <c r="AG137" i="14"/>
  <c r="AG138" i="14"/>
  <c r="AG139" i="14"/>
  <c r="AG140" i="14"/>
  <c r="AG141" i="14"/>
  <c r="AG142" i="14"/>
  <c r="AG143" i="14"/>
  <c r="AG144" i="14"/>
  <c r="AG145" i="14"/>
  <c r="AG146" i="14"/>
  <c r="AG147" i="14"/>
  <c r="AG148" i="14"/>
  <c r="AG149" i="14"/>
  <c r="AG150" i="14"/>
  <c r="AG151" i="14"/>
  <c r="AG152" i="14"/>
  <c r="AG153" i="14"/>
  <c r="AG154" i="14"/>
  <c r="AG155" i="14"/>
  <c r="AG156" i="14"/>
  <c r="AG157" i="14"/>
  <c r="AG158" i="14"/>
  <c r="AG159" i="14"/>
  <c r="AG160" i="14"/>
  <c r="AG161" i="14"/>
  <c r="AG162" i="14"/>
  <c r="AG163" i="14"/>
  <c r="AG164" i="14"/>
  <c r="AG165" i="14"/>
  <c r="AG166" i="14"/>
  <c r="AG167" i="14"/>
  <c r="AG168" i="14"/>
  <c r="E81" i="14"/>
  <c r="B81" i="14"/>
  <c r="E72" i="14"/>
  <c r="B72" i="14"/>
  <c r="E66" i="14"/>
  <c r="E67" i="14"/>
  <c r="E69" i="14"/>
  <c r="B66" i="14"/>
  <c r="B67" i="14"/>
  <c r="B69" i="14"/>
  <c r="B53" i="14"/>
  <c r="E51" i="14"/>
  <c r="B51" i="14"/>
  <c r="B50" i="14"/>
  <c r="E50" i="14"/>
  <c r="E53" i="14"/>
  <c r="F33" i="14"/>
  <c r="B42" i="14"/>
  <c r="E42" i="14"/>
  <c r="E37" i="14"/>
  <c r="E38" i="14"/>
  <c r="E40" i="14"/>
  <c r="B37" i="14"/>
  <c r="B38" i="14"/>
  <c r="B40" i="14"/>
  <c r="E32" i="14"/>
  <c r="E33" i="14"/>
  <c r="E34" i="14"/>
  <c r="E36" i="14"/>
  <c r="B32" i="14"/>
  <c r="B33" i="14"/>
  <c r="B34" i="14"/>
  <c r="B36" i="14"/>
  <c r="F21" i="14"/>
  <c r="E20" i="14"/>
  <c r="E21" i="14"/>
  <c r="E23" i="14"/>
  <c r="B20" i="14"/>
  <c r="B21" i="14"/>
  <c r="B23" i="14"/>
  <c r="S13" i="14"/>
  <c r="G13" i="14" s="1"/>
  <c r="AG13" i="14" s="1"/>
  <c r="E28" i="14"/>
  <c r="E29" i="14"/>
  <c r="E31" i="14"/>
  <c r="B28" i="14"/>
  <c r="B29" i="14"/>
  <c r="B31" i="14"/>
  <c r="J13" i="14"/>
  <c r="E12" i="14"/>
  <c r="E13" i="14"/>
  <c r="E15" i="14"/>
  <c r="B12" i="14"/>
  <c r="B13" i="14"/>
  <c r="B15" i="14"/>
  <c r="B9" i="14"/>
  <c r="E9" i="14"/>
  <c r="E25" i="14"/>
  <c r="T25" i="2"/>
  <c r="T24" i="2"/>
  <c r="E4" i="14"/>
  <c r="E5" i="14"/>
  <c r="E6" i="14"/>
  <c r="Z5" i="14"/>
  <c r="B6" i="14"/>
  <c r="E7" i="14"/>
  <c r="E8" i="14"/>
  <c r="E11" i="14"/>
  <c r="B7" i="14"/>
  <c r="B11" i="14"/>
  <c r="B16" i="14"/>
  <c r="B17" i="14"/>
  <c r="B19" i="14"/>
  <c r="E16" i="14"/>
  <c r="E17" i="14"/>
  <c r="E19" i="14"/>
  <c r="E24" i="14"/>
  <c r="E27" i="14"/>
  <c r="B24" i="14"/>
  <c r="B25" i="14"/>
  <c r="B27" i="14"/>
  <c r="E41" i="14"/>
  <c r="E43" i="14"/>
  <c r="E45" i="14"/>
  <c r="B41" i="14"/>
  <c r="B43" i="14"/>
  <c r="B45" i="14"/>
  <c r="E46" i="14"/>
  <c r="E47" i="14"/>
  <c r="E49" i="14"/>
  <c r="B46" i="14"/>
  <c r="B47" i="14"/>
  <c r="B49" i="14"/>
  <c r="E54" i="14"/>
  <c r="E55" i="14"/>
  <c r="E57" i="14"/>
  <c r="B54" i="14"/>
  <c r="B55" i="14"/>
  <c r="B57" i="14"/>
  <c r="E58" i="14"/>
  <c r="E59" i="14"/>
  <c r="E61" i="14"/>
  <c r="B63" i="14"/>
  <c r="B58" i="14"/>
  <c r="B59" i="14"/>
  <c r="B61" i="14"/>
  <c r="B62" i="14"/>
  <c r="B65" i="14"/>
  <c r="B70" i="14"/>
  <c r="B71" i="14"/>
  <c r="E70" i="14"/>
  <c r="E62" i="14"/>
  <c r="E63" i="14"/>
  <c r="E65" i="14"/>
  <c r="E71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75" i="14"/>
  <c r="E76" i="14"/>
  <c r="E78" i="14"/>
  <c r="E79" i="14"/>
  <c r="E80" i="14"/>
  <c r="E83" i="14"/>
  <c r="E84" i="14"/>
  <c r="E85" i="14"/>
  <c r="E74" i="14"/>
  <c r="W23" i="15" l="1"/>
  <c r="W7" i="15"/>
  <c r="V10" i="15"/>
  <c r="V42" i="15"/>
  <c r="V26" i="15"/>
  <c r="Q50" i="15"/>
  <c r="V18" i="15"/>
  <c r="W15" i="15"/>
  <c r="W31" i="15"/>
  <c r="W39" i="15"/>
  <c r="U25" i="14"/>
  <c r="V25" i="14" s="1"/>
  <c r="G25" i="14" s="1"/>
  <c r="AG25" i="14" s="1"/>
  <c r="U38" i="14"/>
  <c r="V38" i="14" s="1"/>
  <c r="U72" i="14"/>
  <c r="V72" i="14" s="1"/>
  <c r="G72" i="14" s="1"/>
  <c r="AG72" i="14" s="1"/>
  <c r="M50" i="15"/>
  <c r="V34" i="15"/>
  <c r="R50" i="15"/>
  <c r="S50" i="15"/>
  <c r="AB41" i="14"/>
  <c r="U42" i="14"/>
  <c r="V42" i="14" s="1"/>
  <c r="G42" i="14" s="1"/>
  <c r="AG42" i="14" s="1"/>
  <c r="U33" i="14"/>
  <c r="V33" i="14" s="1"/>
  <c r="G33" i="14" s="1"/>
  <c r="AG33" i="14" s="1"/>
  <c r="U34" i="14"/>
  <c r="V34" i="14" s="1"/>
  <c r="B74" i="14"/>
  <c r="B75" i="14"/>
  <c r="B76" i="14"/>
  <c r="B78" i="14"/>
  <c r="B83" i="14"/>
  <c r="B85" i="14"/>
  <c r="B79" i="14"/>
  <c r="B80" i="14"/>
  <c r="B84" i="14"/>
  <c r="B154" i="14"/>
  <c r="B155" i="14"/>
  <c r="B156" i="14"/>
  <c r="B157" i="14"/>
  <c r="B158" i="14"/>
  <c r="B159" i="14"/>
  <c r="B160" i="14"/>
  <c r="B161" i="14"/>
  <c r="B162" i="14"/>
  <c r="B163" i="14"/>
  <c r="AJ163" i="14" s="1"/>
  <c r="B164" i="14"/>
  <c r="B165" i="14"/>
  <c r="B166" i="14"/>
  <c r="B167" i="14"/>
  <c r="B168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04" i="14"/>
  <c r="B105" i="14"/>
  <c r="B106" i="14"/>
  <c r="B107" i="14"/>
  <c r="B108" i="14"/>
  <c r="B109" i="14"/>
  <c r="B94" i="14"/>
  <c r="B95" i="14"/>
  <c r="B96" i="14"/>
  <c r="B97" i="14"/>
  <c r="B98" i="14"/>
  <c r="B99" i="14"/>
  <c r="B100" i="14"/>
  <c r="B101" i="14"/>
  <c r="B102" i="14"/>
  <c r="B103" i="14"/>
  <c r="B88" i="14"/>
  <c r="B89" i="14"/>
  <c r="B90" i="14"/>
  <c r="B91" i="14"/>
  <c r="B92" i="14"/>
  <c r="B93" i="14"/>
  <c r="B86" i="14"/>
  <c r="B87" i="14"/>
  <c r="CU101" i="14"/>
  <c r="CU102" i="14"/>
  <c r="CV102" i="14"/>
  <c r="CU103" i="14"/>
  <c r="CV103" i="14"/>
  <c r="CU104" i="14"/>
  <c r="CV104" i="14"/>
  <c r="CU105" i="14"/>
  <c r="CV105" i="14"/>
  <c r="CU106" i="14"/>
  <c r="CV106" i="14"/>
  <c r="CU107" i="14"/>
  <c r="CV107" i="14"/>
  <c r="CU108" i="14"/>
  <c r="CV108" i="14"/>
  <c r="CU109" i="14"/>
  <c r="CV109" i="14"/>
  <c r="CU110" i="14"/>
  <c r="CV110" i="14"/>
  <c r="CU111" i="14"/>
  <c r="CV111" i="14"/>
  <c r="CU112" i="14"/>
  <c r="CV112" i="14"/>
  <c r="CU113" i="14"/>
  <c r="CV113" i="14"/>
  <c r="CU114" i="14"/>
  <c r="CV114" i="14"/>
  <c r="CU115" i="14"/>
  <c r="CV115" i="14"/>
  <c r="CU116" i="14"/>
  <c r="CV116" i="14"/>
  <c r="CU117" i="14"/>
  <c r="CV117" i="14"/>
  <c r="CU118" i="14"/>
  <c r="CV118" i="14"/>
  <c r="CU119" i="14"/>
  <c r="CV119" i="14"/>
  <c r="CU120" i="14"/>
  <c r="CV120" i="14"/>
  <c r="CU121" i="14"/>
  <c r="CV121" i="14"/>
  <c r="CU122" i="14"/>
  <c r="CV122" i="14"/>
  <c r="CU123" i="14"/>
  <c r="CV123" i="14"/>
  <c r="CU124" i="14"/>
  <c r="CV124" i="14"/>
  <c r="CU125" i="14"/>
  <c r="CV125" i="14"/>
  <c r="CU126" i="14"/>
  <c r="CV126" i="14"/>
  <c r="CU127" i="14"/>
  <c r="CV127" i="14"/>
  <c r="CU128" i="14"/>
  <c r="CV128" i="14"/>
  <c r="CU129" i="14"/>
  <c r="CV129" i="14"/>
  <c r="CU130" i="14"/>
  <c r="CV130" i="14"/>
  <c r="CU131" i="14"/>
  <c r="CV131" i="14"/>
  <c r="CU132" i="14"/>
  <c r="CV132" i="14"/>
  <c r="CU133" i="14"/>
  <c r="CV133" i="14"/>
  <c r="CU134" i="14"/>
  <c r="CV134" i="14"/>
  <c r="CU135" i="14"/>
  <c r="CV135" i="14"/>
  <c r="CU136" i="14"/>
  <c r="CV136" i="14"/>
  <c r="CU137" i="14"/>
  <c r="CV137" i="14"/>
  <c r="CU138" i="14"/>
  <c r="CV138" i="14"/>
  <c r="CU139" i="14"/>
  <c r="CV139" i="14"/>
  <c r="CU140" i="14"/>
  <c r="R21" i="14" s="1"/>
  <c r="S21" i="14" s="1"/>
  <c r="G21" i="14" s="1"/>
  <c r="AG21" i="14" s="1"/>
  <c r="CV140" i="14"/>
  <c r="CU141" i="14"/>
  <c r="CV141" i="14"/>
  <c r="CU142" i="14"/>
  <c r="CV142" i="14"/>
  <c r="CU143" i="14"/>
  <c r="CV143" i="14"/>
  <c r="CU144" i="14"/>
  <c r="CV144" i="14"/>
  <c r="CU145" i="14"/>
  <c r="CV145" i="14"/>
  <c r="CU146" i="14"/>
  <c r="CV146" i="14"/>
  <c r="CU147" i="14"/>
  <c r="CV147" i="14"/>
  <c r="CU148" i="14"/>
  <c r="CV148" i="14"/>
  <c r="CU149" i="14"/>
  <c r="CV149" i="14"/>
  <c r="CU150" i="14"/>
  <c r="CV150" i="14"/>
  <c r="CU151" i="14"/>
  <c r="CV151" i="14"/>
  <c r="CU152" i="14"/>
  <c r="CV152" i="14"/>
  <c r="CU153" i="14"/>
  <c r="CV153" i="14"/>
  <c r="CU154" i="14"/>
  <c r="CV154" i="14"/>
  <c r="CU155" i="14"/>
  <c r="CV155" i="14"/>
  <c r="CU156" i="14"/>
  <c r="R29" i="14" s="1"/>
  <c r="S29" i="14" s="1"/>
  <c r="G29" i="14" s="1"/>
  <c r="AG29" i="14" s="1"/>
  <c r="CV156" i="14"/>
  <c r="CU157" i="14"/>
  <c r="R51" i="14" s="1"/>
  <c r="S51" i="14" s="1"/>
  <c r="G51" i="14" s="1"/>
  <c r="CV157" i="14"/>
  <c r="CU158" i="14"/>
  <c r="CV158" i="14"/>
  <c r="CU159" i="14"/>
  <c r="CV159" i="14"/>
  <c r="CU160" i="14"/>
  <c r="CV160" i="14"/>
  <c r="CU161" i="14"/>
  <c r="R59" i="14" s="1"/>
  <c r="S59" i="14" s="1"/>
  <c r="G59" i="14" s="1"/>
  <c r="AG59" i="14" s="1"/>
  <c r="CV161" i="14"/>
  <c r="CU162" i="14"/>
  <c r="CV162" i="14"/>
  <c r="CU163" i="14"/>
  <c r="CV163" i="14"/>
  <c r="CU164" i="14"/>
  <c r="R67" i="14" s="1"/>
  <c r="S67" i="14" s="1"/>
  <c r="G67" i="14" s="1"/>
  <c r="AG67" i="14" s="1"/>
  <c r="CV164" i="14"/>
  <c r="CU165" i="14"/>
  <c r="CV165" i="14"/>
  <c r="CU166" i="14"/>
  <c r="CV166" i="14"/>
  <c r="CU167" i="14"/>
  <c r="CV167" i="14"/>
  <c r="CU168" i="14"/>
  <c r="R71" i="14" s="1"/>
  <c r="S71" i="14" s="1"/>
  <c r="CV168" i="14"/>
  <c r="CU169" i="14"/>
  <c r="CV169" i="14"/>
  <c r="CU170" i="14"/>
  <c r="CV170" i="14"/>
  <c r="CU171" i="14"/>
  <c r="CV171" i="14"/>
  <c r="CU172" i="14"/>
  <c r="CV172" i="14"/>
  <c r="CU173" i="14"/>
  <c r="CV173" i="14"/>
  <c r="CU174" i="14"/>
  <c r="CV174" i="14"/>
  <c r="CU175" i="14"/>
  <c r="CV175" i="14"/>
  <c r="CU177" i="14"/>
  <c r="CV177" i="14"/>
  <c r="CU178" i="14"/>
  <c r="CV178" i="14"/>
  <c r="CU179" i="14"/>
  <c r="CV179" i="14"/>
  <c r="CU180" i="14"/>
  <c r="CV180" i="14"/>
  <c r="CU181" i="14"/>
  <c r="CV181" i="14"/>
  <c r="R8" i="14"/>
  <c r="S8" i="14" s="1"/>
  <c r="R43" i="14"/>
  <c r="S43" i="14" s="1"/>
  <c r="G43" i="14" s="1"/>
  <c r="AG43" i="14" s="1"/>
  <c r="R55" i="14"/>
  <c r="S55" i="14" s="1"/>
  <c r="G55" i="14" s="1"/>
  <c r="AG55" i="14" s="1"/>
  <c r="CU196" i="14"/>
  <c r="CV196" i="14"/>
  <c r="CU197" i="14"/>
  <c r="CV197" i="14"/>
  <c r="CU198" i="14"/>
  <c r="CV198" i="14"/>
  <c r="CU199" i="14"/>
  <c r="CV199" i="14"/>
  <c r="CU200" i="14"/>
  <c r="CV200" i="14"/>
  <c r="R81" i="14"/>
  <c r="S81" i="14" s="1"/>
  <c r="G81" i="14" s="1"/>
  <c r="AG81" i="14" s="1"/>
  <c r="CU207" i="14"/>
  <c r="CV207" i="14"/>
  <c r="CU208" i="14"/>
  <c r="CV208" i="14"/>
  <c r="CU209" i="14"/>
  <c r="CV209" i="14"/>
  <c r="X9" i="14" s="1"/>
  <c r="Y9" i="14" s="1"/>
  <c r="CU210" i="14"/>
  <c r="CV210" i="14"/>
  <c r="CU211" i="14"/>
  <c r="CV211" i="14"/>
  <c r="CU212" i="14"/>
  <c r="CV212" i="14"/>
  <c r="CU213" i="14"/>
  <c r="CV213" i="14"/>
  <c r="CU214" i="14"/>
  <c r="CV214" i="14"/>
  <c r="CU215" i="14"/>
  <c r="CV215" i="14"/>
  <c r="CU216" i="14"/>
  <c r="CV216" i="14"/>
  <c r="CU217" i="14"/>
  <c r="CV217" i="14"/>
  <c r="CU218" i="14"/>
  <c r="CV218" i="14"/>
  <c r="X5" i="14" s="1"/>
  <c r="Y5" i="14" s="1"/>
  <c r="CU219" i="14"/>
  <c r="CV219" i="14"/>
  <c r="CU220" i="14"/>
  <c r="CV220" i="14"/>
  <c r="CU221" i="14"/>
  <c r="CV221" i="14"/>
  <c r="CU222" i="14"/>
  <c r="CV222" i="14"/>
  <c r="CU223" i="14"/>
  <c r="CV223" i="14"/>
  <c r="CU224" i="14"/>
  <c r="CV224" i="14"/>
  <c r="CU225" i="14"/>
  <c r="CV225" i="14"/>
  <c r="CU226" i="14"/>
  <c r="CV226" i="14"/>
  <c r="CU227" i="14"/>
  <c r="CV227" i="14"/>
  <c r="CU228" i="14"/>
  <c r="CV228" i="14"/>
  <c r="CU229" i="14"/>
  <c r="CV229" i="14"/>
  <c r="CU230" i="14"/>
  <c r="CV230" i="14"/>
  <c r="CU231" i="14"/>
  <c r="CV231" i="14"/>
  <c r="CU232" i="14"/>
  <c r="CV232" i="14"/>
  <c r="CU233" i="14"/>
  <c r="CV233" i="14"/>
  <c r="CU234" i="14"/>
  <c r="CV234" i="14"/>
  <c r="CU235" i="14"/>
  <c r="CV235" i="14"/>
  <c r="CU236" i="14"/>
  <c r="CV236" i="14"/>
  <c r="CU237" i="14"/>
  <c r="CV237" i="14"/>
  <c r="CU238" i="14"/>
  <c r="CV238" i="14"/>
  <c r="CU239" i="14"/>
  <c r="CV239" i="14"/>
  <c r="CU240" i="14"/>
  <c r="CV240" i="14"/>
  <c r="CU241" i="14"/>
  <c r="CV241" i="14"/>
  <c r="CU242" i="14"/>
  <c r="CV242" i="14"/>
  <c r="CU243" i="14"/>
  <c r="CV243" i="14"/>
  <c r="CU244" i="14"/>
  <c r="CV244" i="14"/>
  <c r="CU245" i="14"/>
  <c r="CV245" i="14"/>
  <c r="CU246" i="14"/>
  <c r="CV246" i="14"/>
  <c r="CU247" i="14"/>
  <c r="CV247" i="14"/>
  <c r="CU248" i="14"/>
  <c r="CV248" i="14"/>
  <c r="CU249" i="14"/>
  <c r="CV249" i="14"/>
  <c r="CU250" i="14"/>
  <c r="CV250" i="14"/>
  <c r="CU251" i="14"/>
  <c r="CV251" i="14"/>
  <c r="CU252" i="14"/>
  <c r="CV252" i="14"/>
  <c r="CU253" i="14"/>
  <c r="CV253" i="14"/>
  <c r="CU254" i="14"/>
  <c r="CV254" i="14"/>
  <c r="CU255" i="14"/>
  <c r="CV255" i="14"/>
  <c r="CU256" i="14"/>
  <c r="CV256" i="14"/>
  <c r="CU257" i="14"/>
  <c r="CV257" i="14"/>
  <c r="CV101" i="14"/>
  <c r="CL113" i="14"/>
  <c r="CL114" i="14"/>
  <c r="CL115" i="14"/>
  <c r="CL116" i="14"/>
  <c r="CL117" i="14"/>
  <c r="CL118" i="14"/>
  <c r="CL119" i="14"/>
  <c r="CL120" i="14"/>
  <c r="CL121" i="14"/>
  <c r="CL122" i="14"/>
  <c r="CL123" i="14"/>
  <c r="CL124" i="14"/>
  <c r="CL125" i="14"/>
  <c r="CL126" i="14"/>
  <c r="CL127" i="14"/>
  <c r="CL128" i="14"/>
  <c r="CL129" i="14"/>
  <c r="CL130" i="14"/>
  <c r="CL131" i="14"/>
  <c r="CL132" i="14"/>
  <c r="CL133" i="14"/>
  <c r="CL134" i="14"/>
  <c r="CL135" i="14"/>
  <c r="CL136" i="14"/>
  <c r="CL137" i="14"/>
  <c r="CL138" i="14"/>
  <c r="CL139" i="14"/>
  <c r="CL140" i="14"/>
  <c r="CL141" i="14"/>
  <c r="CL142" i="14"/>
  <c r="CL143" i="14"/>
  <c r="CL144" i="14"/>
  <c r="CL145" i="14"/>
  <c r="CL146" i="14"/>
  <c r="CL147" i="14"/>
  <c r="CL148" i="14"/>
  <c r="CL149" i="14"/>
  <c r="CL150" i="14"/>
  <c r="CL151" i="14"/>
  <c r="CL152" i="14"/>
  <c r="CL153" i="14"/>
  <c r="CL154" i="14"/>
  <c r="CL155" i="14"/>
  <c r="CL156" i="14"/>
  <c r="CL157" i="14"/>
  <c r="CL158" i="14"/>
  <c r="CL159" i="14"/>
  <c r="CL160" i="14"/>
  <c r="CL161" i="14"/>
  <c r="CL162" i="14"/>
  <c r="CL163" i="14"/>
  <c r="CL164" i="14"/>
  <c r="CL165" i="14"/>
  <c r="CL166" i="14"/>
  <c r="CL167" i="14"/>
  <c r="CL168" i="14"/>
  <c r="CL169" i="14"/>
  <c r="CL170" i="14"/>
  <c r="CL171" i="14"/>
  <c r="CL172" i="14"/>
  <c r="CL173" i="14"/>
  <c r="CL174" i="14"/>
  <c r="CL175" i="14"/>
  <c r="CL177" i="14"/>
  <c r="CL178" i="14"/>
  <c r="CL179" i="14"/>
  <c r="CL180" i="14"/>
  <c r="CL181" i="14"/>
  <c r="CL196" i="14"/>
  <c r="CL197" i="14"/>
  <c r="CL198" i="14"/>
  <c r="CL199" i="14"/>
  <c r="CL200" i="14"/>
  <c r="CL207" i="14"/>
  <c r="CL208" i="14"/>
  <c r="CL209" i="14"/>
  <c r="CL210" i="14"/>
  <c r="CL211" i="14"/>
  <c r="CL212" i="14"/>
  <c r="CL213" i="14"/>
  <c r="CL214" i="14"/>
  <c r="CL215" i="14"/>
  <c r="CL216" i="14"/>
  <c r="CL217" i="14"/>
  <c r="CL218" i="14"/>
  <c r="CL219" i="14"/>
  <c r="CL220" i="14"/>
  <c r="CL221" i="14"/>
  <c r="CL222" i="14"/>
  <c r="CL223" i="14"/>
  <c r="CL224" i="14"/>
  <c r="CL225" i="14"/>
  <c r="CL226" i="14"/>
  <c r="CL227" i="14"/>
  <c r="CL228" i="14"/>
  <c r="CL229" i="14"/>
  <c r="CL230" i="14"/>
  <c r="CL231" i="14"/>
  <c r="CL232" i="14"/>
  <c r="CL233" i="14"/>
  <c r="CL234" i="14"/>
  <c r="CL235" i="14"/>
  <c r="CL236" i="14"/>
  <c r="CL237" i="14"/>
  <c r="CL238" i="14"/>
  <c r="CL239" i="14"/>
  <c r="CL240" i="14"/>
  <c r="CL241" i="14"/>
  <c r="CL242" i="14"/>
  <c r="CL243" i="14"/>
  <c r="CL244" i="14"/>
  <c r="CL245" i="14"/>
  <c r="CL246" i="14"/>
  <c r="CL247" i="14"/>
  <c r="CL248" i="14"/>
  <c r="CL249" i="14"/>
  <c r="CL250" i="14"/>
  <c r="CL251" i="14"/>
  <c r="CL252" i="14"/>
  <c r="CL253" i="14"/>
  <c r="CL254" i="14"/>
  <c r="CL255" i="14"/>
  <c r="CL256" i="14"/>
  <c r="CL257" i="14"/>
  <c r="CL102" i="14"/>
  <c r="CL103" i="14"/>
  <c r="CL104" i="14"/>
  <c r="CL105" i="14"/>
  <c r="CL106" i="14"/>
  <c r="CL107" i="14"/>
  <c r="CL108" i="14"/>
  <c r="CL109" i="14"/>
  <c r="CL110" i="14"/>
  <c r="CL111" i="14"/>
  <c r="CL112" i="14"/>
  <c r="CL101" i="14"/>
  <c r="BJ86" i="14"/>
  <c r="BJ102" i="14"/>
  <c r="CM135" i="14"/>
  <c r="CM136" i="14"/>
  <c r="CM137" i="14"/>
  <c r="CM138" i="14"/>
  <c r="CM139" i="14"/>
  <c r="CM140" i="14"/>
  <c r="L33" i="14" s="1"/>
  <c r="M33" i="14" s="1"/>
  <c r="CM141" i="14"/>
  <c r="CM142" i="14"/>
  <c r="CM143" i="14"/>
  <c r="CM144" i="14"/>
  <c r="CM145" i="14"/>
  <c r="CM146" i="14"/>
  <c r="CM147" i="14"/>
  <c r="CM148" i="14"/>
  <c r="CM149" i="14"/>
  <c r="CM150" i="14"/>
  <c r="CM151" i="14"/>
  <c r="L38" i="14" s="1"/>
  <c r="M38" i="14" s="1"/>
  <c r="CM152" i="14"/>
  <c r="CM153" i="14"/>
  <c r="CM154" i="14"/>
  <c r="CM155" i="14"/>
  <c r="CM156" i="14"/>
  <c r="CM157" i="14"/>
  <c r="CM158" i="14"/>
  <c r="CM159" i="14"/>
  <c r="CM160" i="14"/>
  <c r="CM161" i="14"/>
  <c r="L34" i="14" s="1"/>
  <c r="M34" i="14" s="1"/>
  <c r="CM162" i="14"/>
  <c r="CM163" i="14"/>
  <c r="CM164" i="14"/>
  <c r="CM165" i="14"/>
  <c r="CM166" i="14"/>
  <c r="CM167" i="14"/>
  <c r="CM168" i="14"/>
  <c r="CM169" i="14"/>
  <c r="CM170" i="14"/>
  <c r="CM171" i="14"/>
  <c r="CM172" i="14"/>
  <c r="CM173" i="14"/>
  <c r="CM174" i="14"/>
  <c r="CM175" i="14"/>
  <c r="CM177" i="14"/>
  <c r="CM178" i="14"/>
  <c r="CM179" i="14"/>
  <c r="CM180" i="14"/>
  <c r="CM181" i="14"/>
  <c r="CM196" i="14"/>
  <c r="CM197" i="14"/>
  <c r="CM198" i="14"/>
  <c r="CM199" i="14"/>
  <c r="CM200" i="14"/>
  <c r="L72" i="14"/>
  <c r="M72" i="14" s="1"/>
  <c r="CM207" i="14"/>
  <c r="CM208" i="14"/>
  <c r="CM209" i="14"/>
  <c r="CM210" i="14"/>
  <c r="CM211" i="14"/>
  <c r="CM212" i="14"/>
  <c r="CM213" i="14"/>
  <c r="CM214" i="14"/>
  <c r="CM215" i="14"/>
  <c r="CM216" i="14"/>
  <c r="L52" i="14" s="1"/>
  <c r="M52" i="14" s="1"/>
  <c r="CM217" i="14"/>
  <c r="CM218" i="14"/>
  <c r="CM219" i="14"/>
  <c r="CM220" i="14"/>
  <c r="CM221" i="14"/>
  <c r="CM222" i="14"/>
  <c r="CM223" i="14"/>
  <c r="CM224" i="14"/>
  <c r="CM225" i="14"/>
  <c r="CM226" i="14"/>
  <c r="CM227" i="14"/>
  <c r="CM228" i="14"/>
  <c r="CM229" i="14"/>
  <c r="CM230" i="14"/>
  <c r="CM231" i="14"/>
  <c r="CM232" i="14"/>
  <c r="CM233" i="14"/>
  <c r="CM234" i="14"/>
  <c r="CM235" i="14"/>
  <c r="CM236" i="14"/>
  <c r="CM237" i="14"/>
  <c r="CM238" i="14"/>
  <c r="CM239" i="14"/>
  <c r="CM240" i="14"/>
  <c r="CM241" i="14"/>
  <c r="CM242" i="14"/>
  <c r="CM243" i="14"/>
  <c r="CM244" i="14"/>
  <c r="CM245" i="14"/>
  <c r="CM246" i="14"/>
  <c r="CM247" i="14"/>
  <c r="CM248" i="14"/>
  <c r="CM249" i="14"/>
  <c r="CM250" i="14"/>
  <c r="CM251" i="14"/>
  <c r="CM252" i="14"/>
  <c r="CM253" i="14"/>
  <c r="CM254" i="14"/>
  <c r="CM255" i="14"/>
  <c r="CM256" i="14"/>
  <c r="CM257" i="14"/>
  <c r="CM113" i="14"/>
  <c r="CM114" i="14"/>
  <c r="CM115" i="14"/>
  <c r="CM116" i="14"/>
  <c r="CM117" i="14"/>
  <c r="CM118" i="14"/>
  <c r="CM119" i="14"/>
  <c r="CM120" i="14"/>
  <c r="CM121" i="14"/>
  <c r="CM122" i="14"/>
  <c r="CM123" i="14"/>
  <c r="CM124" i="14"/>
  <c r="CM125" i="14"/>
  <c r="CM126" i="14"/>
  <c r="CM127" i="14"/>
  <c r="CM128" i="14"/>
  <c r="CM129" i="14"/>
  <c r="L42" i="14" s="1"/>
  <c r="M42" i="14" s="1"/>
  <c r="CM130" i="14"/>
  <c r="CM131" i="14"/>
  <c r="CM132" i="14"/>
  <c r="CM133" i="14"/>
  <c r="CM134" i="14"/>
  <c r="CM102" i="14"/>
  <c r="CM103" i="14"/>
  <c r="CM104" i="14"/>
  <c r="CM105" i="14"/>
  <c r="CM106" i="14"/>
  <c r="CM107" i="14"/>
  <c r="CM108" i="14"/>
  <c r="CM109" i="14"/>
  <c r="CM110" i="14"/>
  <c r="CM111" i="14"/>
  <c r="CM112" i="14"/>
  <c r="CM101" i="14"/>
  <c r="CN104" i="14"/>
  <c r="CN102" i="14"/>
  <c r="CN103" i="14"/>
  <c r="CN105" i="14"/>
  <c r="CN106" i="14"/>
  <c r="CN107" i="14"/>
  <c r="CN108" i="14"/>
  <c r="CN109" i="14"/>
  <c r="CN110" i="14"/>
  <c r="CN111" i="14"/>
  <c r="CN112" i="14"/>
  <c r="CN113" i="14"/>
  <c r="CN114" i="14"/>
  <c r="CN115" i="14"/>
  <c r="CN116" i="14"/>
  <c r="CN117" i="14"/>
  <c r="CN118" i="14"/>
  <c r="CN119" i="14"/>
  <c r="CN120" i="14"/>
  <c r="CN121" i="14"/>
  <c r="CN122" i="14"/>
  <c r="CN123" i="14"/>
  <c r="CN124" i="14"/>
  <c r="CN125" i="14"/>
  <c r="CN126" i="14"/>
  <c r="CN127" i="14"/>
  <c r="CN128" i="14"/>
  <c r="CN129" i="14"/>
  <c r="CN130" i="14"/>
  <c r="CN131" i="14"/>
  <c r="CN132" i="14"/>
  <c r="CN133" i="14"/>
  <c r="CN134" i="14"/>
  <c r="CN135" i="14"/>
  <c r="CN136" i="14"/>
  <c r="CN137" i="14"/>
  <c r="CN138" i="14"/>
  <c r="CN139" i="14"/>
  <c r="CN140" i="14"/>
  <c r="CN141" i="14"/>
  <c r="CN142" i="14"/>
  <c r="CN143" i="14"/>
  <c r="CN144" i="14"/>
  <c r="CN145" i="14"/>
  <c r="CN146" i="14"/>
  <c r="CN147" i="14"/>
  <c r="CN148" i="14"/>
  <c r="CN149" i="14"/>
  <c r="CN150" i="14"/>
  <c r="CN151" i="14"/>
  <c r="CN152" i="14"/>
  <c r="CN153" i="14"/>
  <c r="CN154" i="14"/>
  <c r="CN155" i="14"/>
  <c r="CN156" i="14"/>
  <c r="CN157" i="14"/>
  <c r="CN158" i="14"/>
  <c r="CN159" i="14"/>
  <c r="CN160" i="14"/>
  <c r="CN161" i="14"/>
  <c r="CN162" i="14"/>
  <c r="CN163" i="14"/>
  <c r="CN164" i="14"/>
  <c r="CN165" i="14"/>
  <c r="CN166" i="14"/>
  <c r="CN167" i="14"/>
  <c r="CN168" i="14"/>
  <c r="CN169" i="14"/>
  <c r="CN170" i="14"/>
  <c r="CN171" i="14"/>
  <c r="CN172" i="14"/>
  <c r="CN173" i="14"/>
  <c r="CN174" i="14"/>
  <c r="CN175" i="14"/>
  <c r="CN177" i="14"/>
  <c r="CN178" i="14"/>
  <c r="CN179" i="14"/>
  <c r="CN180" i="14"/>
  <c r="CN181" i="14"/>
  <c r="CN196" i="14"/>
  <c r="CN197" i="14"/>
  <c r="CN198" i="14"/>
  <c r="CN199" i="14"/>
  <c r="CN200" i="14"/>
  <c r="CN207" i="14"/>
  <c r="CN208" i="14"/>
  <c r="CN209" i="14"/>
  <c r="CN210" i="14"/>
  <c r="CN211" i="14"/>
  <c r="CN212" i="14"/>
  <c r="CN213" i="14"/>
  <c r="CN214" i="14"/>
  <c r="CN215" i="14"/>
  <c r="CN216" i="14"/>
  <c r="CN217" i="14"/>
  <c r="CN218" i="14"/>
  <c r="CN219" i="14"/>
  <c r="CN220" i="14"/>
  <c r="CN221" i="14"/>
  <c r="CN222" i="14"/>
  <c r="CN223" i="14"/>
  <c r="CN224" i="14"/>
  <c r="CN225" i="14"/>
  <c r="CN226" i="14"/>
  <c r="CN227" i="14"/>
  <c r="CN228" i="14"/>
  <c r="CN229" i="14"/>
  <c r="CN230" i="14"/>
  <c r="CN231" i="14"/>
  <c r="CN232" i="14"/>
  <c r="CN233" i="14"/>
  <c r="CN234" i="14"/>
  <c r="CN235" i="14"/>
  <c r="CN236" i="14"/>
  <c r="CN237" i="14"/>
  <c r="CN238" i="14"/>
  <c r="CN239" i="14"/>
  <c r="CN240" i="14"/>
  <c r="CN241" i="14"/>
  <c r="CN242" i="14"/>
  <c r="CN243" i="14"/>
  <c r="CN244" i="14"/>
  <c r="CN245" i="14"/>
  <c r="CN246" i="14"/>
  <c r="CN247" i="14"/>
  <c r="CN248" i="14"/>
  <c r="CN249" i="14"/>
  <c r="CN250" i="14"/>
  <c r="CN251" i="14"/>
  <c r="CN252" i="14"/>
  <c r="CN253" i="14"/>
  <c r="CN254" i="14"/>
  <c r="CN255" i="14"/>
  <c r="CN256" i="14"/>
  <c r="CN257" i="14"/>
  <c r="CN101" i="14"/>
  <c r="BJ145" i="14"/>
  <c r="BH145" i="14"/>
  <c r="BF145" i="14"/>
  <c r="AJ168" i="14" l="1"/>
  <c r="G34" i="14"/>
  <c r="AG34" i="14" s="1"/>
  <c r="AJ157" i="14"/>
  <c r="AJ156" i="14"/>
  <c r="G38" i="14"/>
  <c r="AG38" i="14" s="1"/>
  <c r="CO127" i="14"/>
  <c r="CO256" i="14"/>
  <c r="CO240" i="14"/>
  <c r="CO224" i="14"/>
  <c r="CO208" i="14"/>
  <c r="AJ86" i="14"/>
  <c r="AB144" i="14"/>
  <c r="W47" i="15"/>
  <c r="CO171" i="14"/>
  <c r="CO159" i="14"/>
  <c r="CO155" i="14"/>
  <c r="CO139" i="14"/>
  <c r="AB145" i="14"/>
  <c r="AB99" i="14"/>
  <c r="AB107" i="14"/>
  <c r="AB43" i="14"/>
  <c r="AJ43" i="14" s="1"/>
  <c r="AJ42" i="14"/>
  <c r="AD51" i="14"/>
  <c r="AL51" i="14" s="1"/>
  <c r="AQ51" i="14" s="1"/>
  <c r="AG51" i="14"/>
  <c r="AB55" i="14"/>
  <c r="AJ41" i="14"/>
  <c r="R63" i="14"/>
  <c r="S63" i="14" s="1"/>
  <c r="G63" i="14" s="1"/>
  <c r="AG63" i="14" s="1"/>
  <c r="G8" i="14"/>
  <c r="AJ93" i="14"/>
  <c r="AJ89" i="14"/>
  <c r="AJ101" i="14"/>
  <c r="AJ97" i="14"/>
  <c r="AJ105" i="14"/>
  <c r="AJ121" i="14"/>
  <c r="AJ117" i="14"/>
  <c r="AJ113" i="14"/>
  <c r="AJ151" i="14"/>
  <c r="AJ143" i="14"/>
  <c r="AJ166" i="14"/>
  <c r="AJ162" i="14"/>
  <c r="AJ158" i="14"/>
  <c r="G9" i="14"/>
  <c r="AJ103" i="14"/>
  <c r="AJ99" i="14"/>
  <c r="AJ95" i="14"/>
  <c r="AJ107" i="14"/>
  <c r="AJ123" i="14"/>
  <c r="AJ119" i="14"/>
  <c r="AJ115" i="14"/>
  <c r="AJ111" i="14"/>
  <c r="AJ139" i="14"/>
  <c r="AJ135" i="14"/>
  <c r="AJ131" i="14"/>
  <c r="AJ127" i="14"/>
  <c r="AJ153" i="14"/>
  <c r="AJ149" i="14"/>
  <c r="AJ145" i="14"/>
  <c r="AJ160" i="14"/>
  <c r="AJ90" i="14"/>
  <c r="AJ102" i="14"/>
  <c r="AJ98" i="14"/>
  <c r="AJ94" i="14"/>
  <c r="AJ106" i="14"/>
  <c r="AJ118" i="14"/>
  <c r="AJ138" i="14"/>
  <c r="AJ134" i="14"/>
  <c r="AJ130" i="14"/>
  <c r="AJ126" i="14"/>
  <c r="AJ152" i="14"/>
  <c r="AJ148" i="14"/>
  <c r="AJ144" i="14"/>
  <c r="AJ167" i="14"/>
  <c r="AJ155" i="14"/>
  <c r="AJ88" i="14"/>
  <c r="AJ96" i="14"/>
  <c r="AJ104" i="14"/>
  <c r="AJ116" i="14"/>
  <c r="AJ112" i="14"/>
  <c r="AJ140" i="14"/>
  <c r="AJ136" i="14"/>
  <c r="AJ132" i="14"/>
  <c r="AJ128" i="14"/>
  <c r="AJ124" i="14"/>
  <c r="AJ150" i="14"/>
  <c r="AJ146" i="14"/>
  <c r="AJ142" i="14"/>
  <c r="AJ165" i="14"/>
  <c r="AJ161" i="14"/>
  <c r="AJ110" i="14"/>
  <c r="AJ85" i="14"/>
  <c r="AJ91" i="14"/>
  <c r="AV80" i="14"/>
  <c r="R47" i="14"/>
  <c r="S47" i="14" s="1"/>
  <c r="G47" i="14" s="1"/>
  <c r="AG47" i="14" s="1"/>
  <c r="L25" i="14"/>
  <c r="M25" i="14" s="1"/>
  <c r="L76" i="14"/>
  <c r="M76" i="14" s="1"/>
  <c r="U76" i="14"/>
  <c r="V76" i="14" s="1"/>
  <c r="G76" i="14" s="1"/>
  <c r="AG76" i="14" s="1"/>
  <c r="AA5" i="14"/>
  <c r="AG5" i="14" s="1"/>
  <c r="AV76" i="14"/>
  <c r="CO111" i="14"/>
  <c r="CO107" i="14"/>
  <c r="CO103" i="14"/>
  <c r="R80" i="14"/>
  <c r="S80" i="14" s="1"/>
  <c r="G80" i="14" s="1"/>
  <c r="CP110" i="14"/>
  <c r="CO248" i="14"/>
  <c r="CO244" i="14"/>
  <c r="CO232" i="14"/>
  <c r="CO228" i="14"/>
  <c r="CO216" i="14"/>
  <c r="CO212" i="14"/>
  <c r="CO199" i="14"/>
  <c r="CO178" i="14"/>
  <c r="CO175" i="14"/>
  <c r="CO163" i="14"/>
  <c r="CO147" i="14"/>
  <c r="CO143" i="14"/>
  <c r="CO131" i="14"/>
  <c r="CO115" i="14"/>
  <c r="CP134" i="14"/>
  <c r="CP130" i="14"/>
  <c r="CP126" i="14"/>
  <c r="CP122" i="14"/>
  <c r="CP118" i="14"/>
  <c r="CP114" i="14"/>
  <c r="CP106" i="14"/>
  <c r="CO252" i="14"/>
  <c r="CO236" i="14"/>
  <c r="CO220" i="14"/>
  <c r="CO167" i="14"/>
  <c r="CO151" i="14"/>
  <c r="CO135" i="14"/>
  <c r="CO119" i="14"/>
  <c r="CP255" i="14"/>
  <c r="CP251" i="14"/>
  <c r="CP247" i="14"/>
  <c r="CP243" i="14"/>
  <c r="CP239" i="14"/>
  <c r="CP235" i="14"/>
  <c r="CP231" i="14"/>
  <c r="CP227" i="14"/>
  <c r="CP223" i="14"/>
  <c r="CP219" i="14"/>
  <c r="CP215" i="14"/>
  <c r="CP211" i="14"/>
  <c r="CP207" i="14"/>
  <c r="CP198" i="14"/>
  <c r="CP181" i="14"/>
  <c r="CP177" i="14"/>
  <c r="CP174" i="14"/>
  <c r="CP170" i="14"/>
  <c r="CP166" i="14"/>
  <c r="CP162" i="14"/>
  <c r="CP158" i="14"/>
  <c r="CP154" i="14"/>
  <c r="CP150" i="14"/>
  <c r="CP146" i="14"/>
  <c r="CP142" i="14"/>
  <c r="CP138" i="14"/>
  <c r="CP104" i="14"/>
  <c r="CO110" i="14"/>
  <c r="CO102" i="14"/>
  <c r="CO106" i="14"/>
  <c r="CP102" i="14"/>
  <c r="CP107" i="14"/>
  <c r="CP131" i="14"/>
  <c r="CP127" i="14"/>
  <c r="CP123" i="14"/>
  <c r="CP119" i="14"/>
  <c r="CP115" i="14"/>
  <c r="CP135" i="14"/>
  <c r="CP105" i="14"/>
  <c r="CP111" i="14"/>
  <c r="CO257" i="14"/>
  <c r="CO253" i="14"/>
  <c r="CO249" i="14"/>
  <c r="CO245" i="14"/>
  <c r="CO241" i="14"/>
  <c r="CO237" i="14"/>
  <c r="CO233" i="14"/>
  <c r="CO229" i="14"/>
  <c r="CO225" i="14"/>
  <c r="CO221" i="14"/>
  <c r="CO217" i="14"/>
  <c r="CO213" i="14"/>
  <c r="CO209" i="14"/>
  <c r="CO200" i="14"/>
  <c r="CO196" i="14"/>
  <c r="I55" i="14"/>
  <c r="J55" i="14" s="1"/>
  <c r="I8" i="14"/>
  <c r="J8" i="14" s="1"/>
  <c r="CO179" i="14"/>
  <c r="CO172" i="14"/>
  <c r="CO168" i="14"/>
  <c r="I71" i="14" s="1"/>
  <c r="J71" i="14" s="1"/>
  <c r="CO164" i="14"/>
  <c r="CO160" i="14"/>
  <c r="CO156" i="14"/>
  <c r="I29" i="14" s="1"/>
  <c r="J29" i="14" s="1"/>
  <c r="CO152" i="14"/>
  <c r="CO148" i="14"/>
  <c r="CO144" i="14"/>
  <c r="CO140" i="14"/>
  <c r="I21" i="14" s="1"/>
  <c r="J21" i="14" s="1"/>
  <c r="CO136" i="14"/>
  <c r="CO132" i="14"/>
  <c r="CO128" i="14"/>
  <c r="CO124" i="14"/>
  <c r="CO120" i="14"/>
  <c r="CO116" i="14"/>
  <c r="CO123" i="14"/>
  <c r="CP112" i="14"/>
  <c r="CP133" i="14"/>
  <c r="CP125" i="14"/>
  <c r="CP113" i="14"/>
  <c r="CP250" i="14"/>
  <c r="CP238" i="14"/>
  <c r="CP226" i="14"/>
  <c r="CP214" i="14"/>
  <c r="CP180" i="14"/>
  <c r="CP169" i="14"/>
  <c r="CP161" i="14"/>
  <c r="CP149" i="14"/>
  <c r="CP137" i="14"/>
  <c r="CO246" i="14"/>
  <c r="CP103" i="14"/>
  <c r="CP128" i="14"/>
  <c r="CP124" i="14"/>
  <c r="CP120" i="14"/>
  <c r="CP257" i="14"/>
  <c r="CP253" i="14"/>
  <c r="CP245" i="14"/>
  <c r="CP241" i="14"/>
  <c r="CP233" i="14"/>
  <c r="CP229" i="14"/>
  <c r="CP221" i="14"/>
  <c r="CP217" i="14"/>
  <c r="CP209" i="14"/>
  <c r="O9" i="14" s="1"/>
  <c r="P9" i="14" s="1"/>
  <c r="CP196" i="14"/>
  <c r="CP179" i="14"/>
  <c r="CP168" i="14"/>
  <c r="CP164" i="14"/>
  <c r="CP160" i="14"/>
  <c r="CP156" i="14"/>
  <c r="CP152" i="14"/>
  <c r="CP148" i="14"/>
  <c r="CP144" i="14"/>
  <c r="CP140" i="14"/>
  <c r="CP136" i="14"/>
  <c r="CO109" i="14"/>
  <c r="CO105" i="14"/>
  <c r="CP256" i="14"/>
  <c r="CP252" i="14"/>
  <c r="CP248" i="14"/>
  <c r="CP244" i="14"/>
  <c r="CP240" i="14"/>
  <c r="CP236" i="14"/>
  <c r="CP232" i="14"/>
  <c r="CP228" i="14"/>
  <c r="CP224" i="14"/>
  <c r="CP220" i="14"/>
  <c r="CP216" i="14"/>
  <c r="CP212" i="14"/>
  <c r="CP208" i="14"/>
  <c r="CP199" i="14"/>
  <c r="CP178" i="14"/>
  <c r="CP175" i="14"/>
  <c r="CP171" i="14"/>
  <c r="CP167" i="14"/>
  <c r="CP163" i="14"/>
  <c r="CP159" i="14"/>
  <c r="CP155" i="14"/>
  <c r="CP151" i="14"/>
  <c r="CP147" i="14"/>
  <c r="CP143" i="14"/>
  <c r="CP139" i="14"/>
  <c r="CO112" i="14"/>
  <c r="CO108" i="14"/>
  <c r="CO104" i="14"/>
  <c r="CP109" i="14"/>
  <c r="CO255" i="14"/>
  <c r="CO251" i="14"/>
  <c r="CO247" i="14"/>
  <c r="CO243" i="14"/>
  <c r="CO239" i="14"/>
  <c r="CO235" i="14"/>
  <c r="CO231" i="14"/>
  <c r="CO227" i="14"/>
  <c r="CO223" i="14"/>
  <c r="CO219" i="14"/>
  <c r="CO215" i="14"/>
  <c r="CO211" i="14"/>
  <c r="CO207" i="14"/>
  <c r="CO198" i="14"/>
  <c r="I43" i="14"/>
  <c r="J43" i="14" s="1"/>
  <c r="CO181" i="14"/>
  <c r="CO177" i="14"/>
  <c r="CO174" i="14"/>
  <c r="CO170" i="14"/>
  <c r="CO166" i="14"/>
  <c r="CO162" i="14"/>
  <c r="CO158" i="14"/>
  <c r="CO154" i="14"/>
  <c r="CO150" i="14"/>
  <c r="CO146" i="14"/>
  <c r="CO142" i="14"/>
  <c r="CO138" i="14"/>
  <c r="CO134" i="14"/>
  <c r="CO130" i="14"/>
  <c r="CO126" i="14"/>
  <c r="CO122" i="14"/>
  <c r="CO118" i="14"/>
  <c r="CO114" i="14"/>
  <c r="CP121" i="14"/>
  <c r="CP254" i="14"/>
  <c r="CP242" i="14"/>
  <c r="CP230" i="14"/>
  <c r="CP218" i="14"/>
  <c r="CP165" i="14"/>
  <c r="CP157" i="14"/>
  <c r="CP153" i="14"/>
  <c r="CP141" i="14"/>
  <c r="CO250" i="14"/>
  <c r="CO242" i="14"/>
  <c r="CO238" i="14"/>
  <c r="CO234" i="14"/>
  <c r="CO230" i="14"/>
  <c r="CO226" i="14"/>
  <c r="CO222" i="14"/>
  <c r="CO218" i="14"/>
  <c r="CO214" i="14"/>
  <c r="CO210" i="14"/>
  <c r="I81" i="14"/>
  <c r="J81" i="14" s="1"/>
  <c r="CO197" i="14"/>
  <c r="CO180" i="14"/>
  <c r="CO173" i="14"/>
  <c r="CO169" i="14"/>
  <c r="CO165" i="14"/>
  <c r="CO161" i="14"/>
  <c r="I59" i="14" s="1"/>
  <c r="J59" i="14" s="1"/>
  <c r="CO157" i="14"/>
  <c r="I51" i="14" s="1"/>
  <c r="J51" i="14" s="1"/>
  <c r="CO153" i="14"/>
  <c r="CO149" i="14"/>
  <c r="CO145" i="14"/>
  <c r="CO141" i="14"/>
  <c r="CO137" i="14"/>
  <c r="CO133" i="14"/>
  <c r="CO129" i="14"/>
  <c r="CO125" i="14"/>
  <c r="CO121" i="14"/>
  <c r="CO117" i="14"/>
  <c r="CO113" i="14"/>
  <c r="CP101" i="14"/>
  <c r="CP108" i="14"/>
  <c r="CP129" i="14"/>
  <c r="CP117" i="14"/>
  <c r="CP246" i="14"/>
  <c r="CP234" i="14"/>
  <c r="CP222" i="14"/>
  <c r="CP210" i="14"/>
  <c r="CP197" i="14"/>
  <c r="CP173" i="14"/>
  <c r="CP145" i="14"/>
  <c r="CO254" i="14"/>
  <c r="CP132" i="14"/>
  <c r="CP116" i="14"/>
  <c r="CP249" i="14"/>
  <c r="CP237" i="14"/>
  <c r="CP225" i="14"/>
  <c r="CP213" i="14"/>
  <c r="CP200" i="14"/>
  <c r="CP172" i="14"/>
  <c r="CO101" i="14"/>
  <c r="BJ123" i="14"/>
  <c r="BH123" i="14"/>
  <c r="BF123" i="14"/>
  <c r="BJ122" i="14"/>
  <c r="BH122" i="14"/>
  <c r="BF122" i="14"/>
  <c r="BJ121" i="14"/>
  <c r="BH121" i="14"/>
  <c r="BF121" i="14"/>
  <c r="BJ118" i="14"/>
  <c r="BH118" i="14"/>
  <c r="BF118" i="14"/>
  <c r="BJ117" i="14"/>
  <c r="BH117" i="14"/>
  <c r="BF117" i="14"/>
  <c r="BJ116" i="14"/>
  <c r="BH116" i="14"/>
  <c r="BF116" i="14"/>
  <c r="BJ115" i="14"/>
  <c r="BH115" i="14"/>
  <c r="BF115" i="14"/>
  <c r="BJ112" i="14"/>
  <c r="BH112" i="14"/>
  <c r="BF112" i="14"/>
  <c r="BJ111" i="14"/>
  <c r="BH111" i="14"/>
  <c r="BF111" i="14"/>
  <c r="BJ110" i="14"/>
  <c r="BH110" i="14"/>
  <c r="BF110" i="14"/>
  <c r="BJ109" i="14"/>
  <c r="BH109" i="14"/>
  <c r="BF109" i="14"/>
  <c r="BJ105" i="14"/>
  <c r="BH105" i="14"/>
  <c r="BF105" i="14"/>
  <c r="BJ106" i="14"/>
  <c r="BH106" i="14"/>
  <c r="BF106" i="14"/>
  <c r="BJ104" i="14"/>
  <c r="BH104" i="14"/>
  <c r="BF104" i="14"/>
  <c r="BJ103" i="14"/>
  <c r="BH103" i="14"/>
  <c r="BF103" i="14"/>
  <c r="BF102" i="14"/>
  <c r="BH102" i="14"/>
  <c r="BJ101" i="14"/>
  <c r="BH101" i="14"/>
  <c r="BF101" i="14"/>
  <c r="BK98" i="14"/>
  <c r="BJ98" i="14"/>
  <c r="BH98" i="14"/>
  <c r="BF98" i="14"/>
  <c r="BJ97" i="14"/>
  <c r="BH97" i="14"/>
  <c r="BF97" i="14"/>
  <c r="BK97" i="14"/>
  <c r="BK96" i="14"/>
  <c r="BJ96" i="14"/>
  <c r="BH96" i="14"/>
  <c r="BF96" i="14"/>
  <c r="BH88" i="14"/>
  <c r="BF95" i="14"/>
  <c r="BK95" i="14"/>
  <c r="BJ95" i="14"/>
  <c r="BH95" i="14"/>
  <c r="BJ94" i="14"/>
  <c r="BH94" i="14"/>
  <c r="BF94" i="14"/>
  <c r="BJ88" i="14"/>
  <c r="BF88" i="14"/>
  <c r="BJ89" i="14"/>
  <c r="BH89" i="14"/>
  <c r="BF89" i="14"/>
  <c r="BJ90" i="14"/>
  <c r="BH90" i="14"/>
  <c r="BF90" i="14"/>
  <c r="BK88" i="14"/>
  <c r="BK86" i="14"/>
  <c r="BJ87" i="14"/>
  <c r="BH87" i="14"/>
  <c r="BF87" i="14"/>
  <c r="BH86" i="14"/>
  <c r="BF86" i="14"/>
  <c r="BK85" i="14"/>
  <c r="BJ85" i="14"/>
  <c r="BH85" i="14"/>
  <c r="BF85" i="14"/>
  <c r="AB34" i="14" l="1"/>
  <c r="AJ34" i="14" s="1"/>
  <c r="AB38" i="14"/>
  <c r="AT51" i="14"/>
  <c r="AG8" i="14"/>
  <c r="AJ8" i="14"/>
  <c r="AJ33" i="14"/>
  <c r="AD80" i="14"/>
  <c r="AL80" i="14" s="1"/>
  <c r="AQ80" i="14" s="1"/>
  <c r="AG80" i="14"/>
  <c r="AG9" i="14"/>
  <c r="AB9" i="14"/>
  <c r="AJ9" i="14" s="1"/>
  <c r="AJ55" i="14"/>
  <c r="AJ5" i="14"/>
  <c r="AD5" i="14"/>
  <c r="AL5" i="14" s="1"/>
  <c r="AQ5" i="14" s="1"/>
  <c r="AN140" i="14"/>
  <c r="AK140" i="14" s="1"/>
  <c r="AM140" i="14" s="1"/>
  <c r="AN163" i="14"/>
  <c r="AK163" i="14" s="1"/>
  <c r="AM163" i="14" s="1"/>
  <c r="AN113" i="14"/>
  <c r="AK113" i="14" s="1"/>
  <c r="AM113" i="14" s="1"/>
  <c r="AN146" i="14"/>
  <c r="AK146" i="14" s="1"/>
  <c r="AM146" i="14" s="1"/>
  <c r="AN132" i="14"/>
  <c r="AK132" i="14" s="1"/>
  <c r="AM132" i="14" s="1"/>
  <c r="AN168" i="14"/>
  <c r="AK168" i="14" s="1"/>
  <c r="AM168" i="14" s="1"/>
  <c r="AN124" i="14"/>
  <c r="AK124" i="14" s="1"/>
  <c r="AM124" i="14" s="1"/>
  <c r="AN128" i="14"/>
  <c r="AK128" i="14" s="1"/>
  <c r="AM128" i="14" s="1"/>
  <c r="AN158" i="14"/>
  <c r="AK158" i="14" s="1"/>
  <c r="AM158" i="14" s="1"/>
  <c r="AN107" i="14"/>
  <c r="AK107" i="14" s="1"/>
  <c r="AM107" i="14" s="1"/>
  <c r="AN153" i="14"/>
  <c r="AN136" i="14"/>
  <c r="AK136" i="14" s="1"/>
  <c r="AM136" i="14" s="1"/>
  <c r="AN99" i="14"/>
  <c r="AK99" i="14" s="1"/>
  <c r="AM99" i="14" s="1"/>
  <c r="AN119" i="14"/>
  <c r="AK119" i="14" s="1"/>
  <c r="AM119" i="14" s="1"/>
  <c r="AN91" i="14"/>
  <c r="AK91" i="14" s="1"/>
  <c r="AM91" i="14" s="1"/>
  <c r="I63" i="14"/>
  <c r="J63" i="14" s="1"/>
  <c r="O5" i="14"/>
  <c r="P5" i="14" s="1"/>
  <c r="I80" i="14"/>
  <c r="J80" i="14" s="1"/>
  <c r="I47" i="14"/>
  <c r="J47" i="14" s="1"/>
  <c r="CH146" i="14"/>
  <c r="CH147" i="14"/>
  <c r="CH148" i="14"/>
  <c r="CH149" i="14"/>
  <c r="CH150" i="14"/>
  <c r="CH151" i="14"/>
  <c r="CH152" i="14"/>
  <c r="CH153" i="14"/>
  <c r="CH154" i="14"/>
  <c r="CH155" i="14"/>
  <c r="CH156" i="14"/>
  <c r="CH157" i="14"/>
  <c r="Z51" i="14" s="1"/>
  <c r="AA51" i="14" s="1"/>
  <c r="CH158" i="14"/>
  <c r="CH159" i="14"/>
  <c r="CH160" i="14"/>
  <c r="CH161" i="14"/>
  <c r="CH162" i="14"/>
  <c r="CH163" i="14"/>
  <c r="CH164" i="14"/>
  <c r="Z67" i="14" s="1"/>
  <c r="AA67" i="14" s="1"/>
  <c r="G68" i="14" s="1"/>
  <c r="CH165" i="14"/>
  <c r="CH166" i="14"/>
  <c r="CH167" i="14"/>
  <c r="CH168" i="14"/>
  <c r="Z71" i="14" s="1"/>
  <c r="CH169" i="14"/>
  <c r="CH170" i="14"/>
  <c r="CH171" i="14"/>
  <c r="CH172" i="14"/>
  <c r="CH173" i="14"/>
  <c r="CH174" i="14"/>
  <c r="CH175" i="14"/>
  <c r="CH177" i="14"/>
  <c r="CH178" i="14"/>
  <c r="CH179" i="14"/>
  <c r="CH180" i="14"/>
  <c r="CH181" i="14"/>
  <c r="Z8" i="14"/>
  <c r="AA8" i="14" s="1"/>
  <c r="Z43" i="14"/>
  <c r="AA43" i="14" s="1"/>
  <c r="G44" i="14" s="1"/>
  <c r="Z25" i="14"/>
  <c r="Z55" i="14"/>
  <c r="AA55" i="14" s="1"/>
  <c r="G56" i="14" s="1"/>
  <c r="CH196" i="14"/>
  <c r="CH197" i="14"/>
  <c r="CH198" i="14"/>
  <c r="Z13" i="14" s="1"/>
  <c r="AA13" i="14" s="1"/>
  <c r="G14" i="14" s="1"/>
  <c r="AG14" i="14" s="1"/>
  <c r="CH199" i="14"/>
  <c r="CH200" i="14"/>
  <c r="Z81" i="14"/>
  <c r="AA81" i="14" s="1"/>
  <c r="G82" i="14" s="1"/>
  <c r="Z72" i="14"/>
  <c r="AA72" i="14" s="1"/>
  <c r="G73" i="14" s="1"/>
  <c r="CH207" i="14"/>
  <c r="Z17" i="14" s="1"/>
  <c r="AA17" i="14" s="1"/>
  <c r="G18" i="14" s="1"/>
  <c r="CH208" i="14"/>
  <c r="CH209" i="14"/>
  <c r="Z9" i="14" s="1"/>
  <c r="CH210" i="14"/>
  <c r="CH211" i="14"/>
  <c r="CH212" i="14"/>
  <c r="CH213" i="14"/>
  <c r="CH214" i="14"/>
  <c r="CH215" i="14"/>
  <c r="CH216" i="14"/>
  <c r="Z52" i="14" s="1"/>
  <c r="AA52" i="14" s="1"/>
  <c r="G52" i="14" s="1"/>
  <c r="CH217" i="14"/>
  <c r="CH105" i="14"/>
  <c r="CH106" i="14"/>
  <c r="CH107" i="14"/>
  <c r="CH108" i="14"/>
  <c r="CH109" i="14"/>
  <c r="CH110" i="14"/>
  <c r="CH111" i="14"/>
  <c r="CH112" i="14"/>
  <c r="CH113" i="14"/>
  <c r="CH114" i="14"/>
  <c r="CH115" i="14"/>
  <c r="CH116" i="14"/>
  <c r="CH117" i="14"/>
  <c r="CH118" i="14"/>
  <c r="CH119" i="14"/>
  <c r="CH120" i="14"/>
  <c r="CH121" i="14"/>
  <c r="CH122" i="14"/>
  <c r="CH123" i="14"/>
  <c r="CH124" i="14"/>
  <c r="CH125" i="14"/>
  <c r="CH126" i="14"/>
  <c r="CH127" i="14"/>
  <c r="CH128" i="14"/>
  <c r="CH129" i="14"/>
  <c r="Z42" i="14" s="1"/>
  <c r="AA42" i="14" s="1"/>
  <c r="CH130" i="14"/>
  <c r="CH131" i="14"/>
  <c r="CH132" i="14"/>
  <c r="CH133" i="14"/>
  <c r="CH134" i="14"/>
  <c r="CH135" i="14"/>
  <c r="CH136" i="14"/>
  <c r="CH137" i="14"/>
  <c r="CH138" i="14"/>
  <c r="CH139" i="14"/>
  <c r="CH140" i="14"/>
  <c r="CH141" i="14"/>
  <c r="CH142" i="14"/>
  <c r="CH143" i="14"/>
  <c r="CH144" i="14"/>
  <c r="CH102" i="14"/>
  <c r="CH103" i="14"/>
  <c r="CH104" i="14"/>
  <c r="CH101" i="14"/>
  <c r="BB165" i="14"/>
  <c r="BB118" i="14"/>
  <c r="BB122" i="14"/>
  <c r="BB123" i="14"/>
  <c r="BB126" i="14"/>
  <c r="BB127" i="14"/>
  <c r="BB130" i="14"/>
  <c r="BB131" i="14"/>
  <c r="BB134" i="14"/>
  <c r="BB135" i="14"/>
  <c r="BB138" i="14"/>
  <c r="BB139" i="14"/>
  <c r="BB142" i="14"/>
  <c r="BB143" i="14"/>
  <c r="BB144" i="14"/>
  <c r="BB148" i="14"/>
  <c r="BB149" i="14"/>
  <c r="BB150" i="14"/>
  <c r="BB151" i="14"/>
  <c r="BB152" i="14"/>
  <c r="BB155" i="14"/>
  <c r="BB156" i="14"/>
  <c r="BB157" i="14"/>
  <c r="BB160" i="14"/>
  <c r="BB161" i="14"/>
  <c r="BB162" i="14"/>
  <c r="BB166" i="14"/>
  <c r="BB167" i="14"/>
  <c r="BB115" i="14"/>
  <c r="BB116" i="14"/>
  <c r="BB117" i="14"/>
  <c r="BB102" i="14"/>
  <c r="BB103" i="14"/>
  <c r="BB104" i="14"/>
  <c r="BB105" i="14"/>
  <c r="BB106" i="14"/>
  <c r="BB109" i="14"/>
  <c r="BB110" i="14"/>
  <c r="BB111" i="14"/>
  <c r="BB112" i="14"/>
  <c r="BB86" i="14"/>
  <c r="BB87" i="14"/>
  <c r="BB88" i="14"/>
  <c r="BB89" i="14"/>
  <c r="BB90" i="14"/>
  <c r="BB93" i="14"/>
  <c r="BB94" i="14"/>
  <c r="BB95" i="14"/>
  <c r="BB96" i="14"/>
  <c r="BB97" i="14"/>
  <c r="BB98" i="14"/>
  <c r="BB101" i="14"/>
  <c r="BB85" i="14"/>
  <c r="AW76" i="14"/>
  <c r="CC200" i="14"/>
  <c r="CC199" i="14"/>
  <c r="CC198" i="14"/>
  <c r="CC197" i="14"/>
  <c r="CC196" i="14"/>
  <c r="CC181" i="14"/>
  <c r="CC180" i="14"/>
  <c r="CC179" i="14"/>
  <c r="CC178" i="14"/>
  <c r="AW80" i="14" s="1"/>
  <c r="AU80" i="14" s="1"/>
  <c r="AZ80" i="14" s="1"/>
  <c r="CC177" i="14"/>
  <c r="CC175" i="14"/>
  <c r="CC174" i="14"/>
  <c r="CC173" i="14"/>
  <c r="CC172" i="14"/>
  <c r="CC171" i="14"/>
  <c r="CC170" i="14"/>
  <c r="CC169" i="14"/>
  <c r="CC168" i="14"/>
  <c r="AD168" i="14"/>
  <c r="BC168" i="14" s="1"/>
  <c r="AB168" i="14"/>
  <c r="CC167" i="14"/>
  <c r="AV167" i="14"/>
  <c r="AB167" i="14"/>
  <c r="CC166" i="14"/>
  <c r="AV166" i="14"/>
  <c r="AB166" i="14"/>
  <c r="CC165" i="14"/>
  <c r="AV165" i="14"/>
  <c r="AB165" i="14"/>
  <c r="CC164" i="14"/>
  <c r="CC163" i="14"/>
  <c r="AD163" i="14"/>
  <c r="AD162" i="14" s="1"/>
  <c r="AB163" i="14"/>
  <c r="CC162" i="14"/>
  <c r="AV162" i="14"/>
  <c r="AW162" i="14" s="1"/>
  <c r="AU162" i="14" s="1"/>
  <c r="AB162" i="14"/>
  <c r="CC161" i="14"/>
  <c r="AV161" i="14"/>
  <c r="AB161" i="14"/>
  <c r="CC160" i="14"/>
  <c r="AV160" i="14"/>
  <c r="AB160" i="14"/>
  <c r="CC159" i="14"/>
  <c r="CC158" i="14"/>
  <c r="AD158" i="14"/>
  <c r="AD157" i="14" s="1"/>
  <c r="AB158" i="14"/>
  <c r="CC157" i="14"/>
  <c r="AV157" i="14"/>
  <c r="AB157" i="14"/>
  <c r="CC156" i="14"/>
  <c r="AV156" i="14"/>
  <c r="CC155" i="14"/>
  <c r="AV155" i="14"/>
  <c r="AB155" i="14"/>
  <c r="CC154" i="14"/>
  <c r="CC153" i="14"/>
  <c r="AX153" i="14"/>
  <c r="AD153" i="14"/>
  <c r="CC152" i="14"/>
  <c r="AV152" i="14"/>
  <c r="AW152" i="14" s="1"/>
  <c r="AU152" i="14" s="1"/>
  <c r="AB152" i="14"/>
  <c r="CC151" i="14"/>
  <c r="AV151" i="14"/>
  <c r="AB151" i="14"/>
  <c r="CC150" i="14"/>
  <c r="AV150" i="14"/>
  <c r="AB150" i="14"/>
  <c r="CC149" i="14"/>
  <c r="AV149" i="14"/>
  <c r="AB149" i="14"/>
  <c r="CC148" i="14"/>
  <c r="AV148" i="14"/>
  <c r="AB148" i="14"/>
  <c r="CC147" i="14"/>
  <c r="CC146" i="14"/>
  <c r="AD146" i="14"/>
  <c r="AD144" i="14" s="1"/>
  <c r="CC144" i="14"/>
  <c r="AV144" i="14"/>
  <c r="CC143" i="14"/>
  <c r="AV143" i="14"/>
  <c r="AB143" i="14"/>
  <c r="CC142" i="14"/>
  <c r="AV142" i="14"/>
  <c r="AB142" i="14"/>
  <c r="CC141" i="14"/>
  <c r="CC140" i="14"/>
  <c r="AD140" i="14"/>
  <c r="AD139" i="14" s="1"/>
  <c r="AB140" i="14"/>
  <c r="CC139" i="14"/>
  <c r="AV139" i="14"/>
  <c r="AW139" i="14" s="1"/>
  <c r="AU139" i="14" s="1"/>
  <c r="AB139" i="14"/>
  <c r="CC138" i="14"/>
  <c r="AV138" i="14"/>
  <c r="AB138" i="14"/>
  <c r="CC137" i="14"/>
  <c r="CC136" i="14"/>
  <c r="AD136" i="14"/>
  <c r="AD135" i="14" s="1"/>
  <c r="AB136" i="14"/>
  <c r="CC135" i="14"/>
  <c r="AV135" i="14"/>
  <c r="AB135" i="14"/>
  <c r="CC134" i="14"/>
  <c r="AV134" i="14"/>
  <c r="AB134" i="14"/>
  <c r="CC133" i="14"/>
  <c r="CC132" i="14"/>
  <c r="AD132" i="14"/>
  <c r="AD131" i="14" s="1"/>
  <c r="AB132" i="14"/>
  <c r="CC131" i="14"/>
  <c r="AV131" i="14"/>
  <c r="AB131" i="14"/>
  <c r="CC130" i="14"/>
  <c r="AV130" i="14"/>
  <c r="AB130" i="14"/>
  <c r="CC129" i="14"/>
  <c r="CC128" i="14"/>
  <c r="AD128" i="14"/>
  <c r="AD127" i="14" s="1"/>
  <c r="AB128" i="14"/>
  <c r="CC127" i="14"/>
  <c r="AV127" i="14"/>
  <c r="AB127" i="14"/>
  <c r="AV126" i="14"/>
  <c r="AB126" i="14"/>
  <c r="AD124" i="14"/>
  <c r="AD123" i="14" s="1"/>
  <c r="AB124" i="14"/>
  <c r="AV123" i="14"/>
  <c r="AB123" i="14"/>
  <c r="AV122" i="14"/>
  <c r="BB121" i="14"/>
  <c r="AD119" i="14"/>
  <c r="AD118" i="14" s="1"/>
  <c r="AB119" i="14"/>
  <c r="AV118" i="14"/>
  <c r="AB118" i="14"/>
  <c r="AV117" i="14"/>
  <c r="AB117" i="14"/>
  <c r="AV116" i="14"/>
  <c r="AB116" i="14"/>
  <c r="AV115" i="14"/>
  <c r="AB115" i="14"/>
  <c r="AW114" i="14"/>
  <c r="AU114" i="14" s="1"/>
  <c r="AW113" i="14"/>
  <c r="AU113" i="14" s="1"/>
  <c r="AD113" i="14"/>
  <c r="AD112" i="14" s="1"/>
  <c r="AB113" i="14"/>
  <c r="AV112" i="14"/>
  <c r="AB112" i="14"/>
  <c r="AV111" i="14"/>
  <c r="AB111" i="14"/>
  <c r="AV110" i="14"/>
  <c r="AB110" i="14"/>
  <c r="AV109" i="14"/>
  <c r="AW109" i="14" s="1"/>
  <c r="AU109" i="14" s="1"/>
  <c r="AZ109" i="14" s="1"/>
  <c r="AB109" i="14"/>
  <c r="AD107" i="14"/>
  <c r="AD106" i="14" s="1"/>
  <c r="AV106" i="14"/>
  <c r="AW106" i="14" s="1"/>
  <c r="AU106" i="14" s="1"/>
  <c r="AB106" i="14"/>
  <c r="AV105" i="14"/>
  <c r="AB105" i="14"/>
  <c r="AV104" i="14"/>
  <c r="AB104" i="14"/>
  <c r="AV103" i="14"/>
  <c r="AB103" i="14"/>
  <c r="AV102" i="14"/>
  <c r="AB102" i="14"/>
  <c r="AV101" i="14"/>
  <c r="AW101" i="14" s="1"/>
  <c r="AU101" i="14" s="1"/>
  <c r="AZ101" i="14" s="1"/>
  <c r="AB101" i="14"/>
  <c r="AD99" i="14"/>
  <c r="AD98" i="14" s="1"/>
  <c r="AV98" i="14"/>
  <c r="AW98" i="14" s="1"/>
  <c r="AU98" i="14" s="1"/>
  <c r="AB98" i="14"/>
  <c r="AV97" i="14"/>
  <c r="AB97" i="14"/>
  <c r="AV96" i="14"/>
  <c r="AB96" i="14"/>
  <c r="AV95" i="14"/>
  <c r="AB95" i="14"/>
  <c r="AV94" i="14"/>
  <c r="AB94" i="14"/>
  <c r="AV93" i="14"/>
  <c r="AW93" i="14" s="1"/>
  <c r="AU93" i="14" s="1"/>
  <c r="AZ93" i="14" s="1"/>
  <c r="AB93" i="14"/>
  <c r="AD91" i="14"/>
  <c r="AD90" i="14" s="1"/>
  <c r="AV90" i="14"/>
  <c r="AV89" i="14"/>
  <c r="AV88" i="14"/>
  <c r="AB88" i="14"/>
  <c r="AV87" i="14"/>
  <c r="AB87" i="14"/>
  <c r="AV86" i="14"/>
  <c r="AW86" i="14" s="1"/>
  <c r="AU86" i="14" s="1"/>
  <c r="AC91" i="14"/>
  <c r="AV85" i="14"/>
  <c r="AW85" i="14" s="1"/>
  <c r="Z38" i="14" l="1"/>
  <c r="AA38" i="14" s="1"/>
  <c r="G39" i="14" s="1"/>
  <c r="AW156" i="14"/>
  <c r="AU156" i="14" s="1"/>
  <c r="AW112" i="14"/>
  <c r="AU112" i="14" s="1"/>
  <c r="AZ113" i="14" s="1"/>
  <c r="AW155" i="14"/>
  <c r="AU155" i="14" s="1"/>
  <c r="AZ155" i="14" s="1"/>
  <c r="AW94" i="14"/>
  <c r="AU94" i="14" s="1"/>
  <c r="AZ94" i="14" s="1"/>
  <c r="AK153" i="14"/>
  <c r="AM153" i="14" s="1"/>
  <c r="Z76" i="14"/>
  <c r="AA76" i="14" s="1"/>
  <c r="G77" i="14" s="1"/>
  <c r="AD76" i="14" s="1"/>
  <c r="AL76" i="14" s="1"/>
  <c r="AQ76" i="14" s="1"/>
  <c r="AT80" i="14"/>
  <c r="AT5" i="14"/>
  <c r="AF113" i="14"/>
  <c r="AF119" i="14"/>
  <c r="AF146" i="14"/>
  <c r="AD41" i="14"/>
  <c r="AL41" i="14" s="1"/>
  <c r="AQ41" i="14" s="1"/>
  <c r="AG44" i="14"/>
  <c r="AB45" i="14"/>
  <c r="AJ45" i="14" s="1"/>
  <c r="AW123" i="14"/>
  <c r="AU123" i="14" s="1"/>
  <c r="AZ124" i="14" s="1"/>
  <c r="AF158" i="14"/>
  <c r="AG82" i="14"/>
  <c r="AB82" i="14"/>
  <c r="AJ82" i="14" s="1"/>
  <c r="AB83" i="14"/>
  <c r="AJ83" i="14" s="1"/>
  <c r="AD13" i="14"/>
  <c r="AL13" i="14" s="1"/>
  <c r="AQ13" i="14" s="1"/>
  <c r="AJ15" i="14"/>
  <c r="AJ14" i="14"/>
  <c r="AF99" i="14"/>
  <c r="AW104" i="14"/>
  <c r="AU104" i="14" s="1"/>
  <c r="AF153" i="14"/>
  <c r="AF163" i="14"/>
  <c r="AD55" i="14"/>
  <c r="AL55" i="14" s="1"/>
  <c r="AQ55" i="14" s="1"/>
  <c r="AG56" i="14"/>
  <c r="AB57" i="14"/>
  <c r="AJ57" i="14" s="1"/>
  <c r="AB56" i="14"/>
  <c r="AD67" i="14"/>
  <c r="AL67" i="14" s="1"/>
  <c r="AQ67" i="14" s="1"/>
  <c r="AG68" i="14"/>
  <c r="AB69" i="14"/>
  <c r="AJ69" i="14" s="1"/>
  <c r="AB68" i="14"/>
  <c r="AJ68" i="14" s="1"/>
  <c r="AF5" i="14"/>
  <c r="AD17" i="14"/>
  <c r="AL17" i="14" s="1"/>
  <c r="AQ17" i="14" s="1"/>
  <c r="AG18" i="14"/>
  <c r="AJ18" i="14"/>
  <c r="AJ19" i="14"/>
  <c r="AF107" i="14"/>
  <c r="AF136" i="14"/>
  <c r="AF168" i="14"/>
  <c r="AC168" i="14" s="1"/>
  <c r="AG52" i="14"/>
  <c r="AJ52" i="14"/>
  <c r="AB53" i="14"/>
  <c r="AJ53" i="14" s="1"/>
  <c r="AD71" i="14"/>
  <c r="AL71" i="14" s="1"/>
  <c r="AQ71" i="14" s="1"/>
  <c r="AG73" i="14"/>
  <c r="AB73" i="14"/>
  <c r="AJ73" i="14" s="1"/>
  <c r="AB74" i="14"/>
  <c r="AJ74" i="14" s="1"/>
  <c r="AW89" i="14"/>
  <c r="AU89" i="14" s="1"/>
  <c r="AW95" i="14"/>
  <c r="AU95" i="14" s="1"/>
  <c r="AW131" i="14"/>
  <c r="AU131" i="14" s="1"/>
  <c r="AZ132" i="14" s="1"/>
  <c r="AW90" i="14"/>
  <c r="AU90" i="14" s="1"/>
  <c r="AZ91" i="14" s="1"/>
  <c r="Z63" i="14"/>
  <c r="AA63" i="14" s="1"/>
  <c r="G64" i="14" s="1"/>
  <c r="AB51" i="14"/>
  <c r="AW105" i="14"/>
  <c r="AU105" i="14" s="1"/>
  <c r="AZ106" i="14" s="1"/>
  <c r="AW116" i="14"/>
  <c r="AZ116" i="14" s="1"/>
  <c r="AW96" i="14"/>
  <c r="AU96" i="14" s="1"/>
  <c r="AW103" i="14"/>
  <c r="AU103" i="14" s="1"/>
  <c r="AW110" i="14"/>
  <c r="AU110" i="14" s="1"/>
  <c r="AW118" i="14"/>
  <c r="AZ118" i="14" s="1"/>
  <c r="AW122" i="14"/>
  <c r="AU122" i="14" s="1"/>
  <c r="AW127" i="14"/>
  <c r="AU127" i="14" s="1"/>
  <c r="AZ128" i="14" s="1"/>
  <c r="AW135" i="14"/>
  <c r="AU135" i="14" s="1"/>
  <c r="AZ136" i="14" s="1"/>
  <c r="AW88" i="14"/>
  <c r="AU88" i="14" s="1"/>
  <c r="Z59" i="14"/>
  <c r="AA59" i="14" s="1"/>
  <c r="G60" i="14" s="1"/>
  <c r="Z34" i="14"/>
  <c r="Z21" i="14"/>
  <c r="AA21" i="14" s="1"/>
  <c r="G22" i="14" s="1"/>
  <c r="Z33" i="14"/>
  <c r="AA33" i="14" s="1"/>
  <c r="Z29" i="14"/>
  <c r="AA9" i="14"/>
  <c r="G10" i="14" s="1"/>
  <c r="AW97" i="14"/>
  <c r="AU97" i="14" s="1"/>
  <c r="AA25" i="14"/>
  <c r="G26" i="14" s="1"/>
  <c r="AW117" i="14"/>
  <c r="AZ117" i="14" s="1"/>
  <c r="AW87" i="14"/>
  <c r="AU87" i="14" s="1"/>
  <c r="AZ87" i="14" s="1"/>
  <c r="AW111" i="14"/>
  <c r="AU111" i="14" s="1"/>
  <c r="AW144" i="14"/>
  <c r="AU144" i="14" s="1"/>
  <c r="AZ146" i="14" s="1"/>
  <c r="AW150" i="14"/>
  <c r="AU150" i="14" s="1"/>
  <c r="Z80" i="14"/>
  <c r="AA80" i="14" s="1"/>
  <c r="Z47" i="14"/>
  <c r="AA47" i="14" s="1"/>
  <c r="G48" i="14" s="1"/>
  <c r="AA71" i="14"/>
  <c r="AW115" i="14"/>
  <c r="AU115" i="14" s="1"/>
  <c r="AZ115" i="14" s="1"/>
  <c r="AW134" i="14"/>
  <c r="AU134" i="14" s="1"/>
  <c r="AZ134" i="14" s="1"/>
  <c r="AB76" i="14"/>
  <c r="BA80" i="14"/>
  <c r="AX80" i="14"/>
  <c r="AY80" i="14" s="1"/>
  <c r="AW149" i="14"/>
  <c r="AU149" i="14" s="1"/>
  <c r="AU85" i="14"/>
  <c r="AZ85" i="14" s="1"/>
  <c r="AW151" i="14"/>
  <c r="AU151" i="14" s="1"/>
  <c r="AZ152" i="14" s="1"/>
  <c r="AW102" i="14"/>
  <c r="AU102" i="14" s="1"/>
  <c r="AZ102" i="14" s="1"/>
  <c r="AW130" i="14"/>
  <c r="AU130" i="14" s="1"/>
  <c r="AZ130" i="14" s="1"/>
  <c r="AW142" i="14"/>
  <c r="AU142" i="14" s="1"/>
  <c r="AZ142" i="14" s="1"/>
  <c r="AW138" i="14"/>
  <c r="AU138" i="14" s="1"/>
  <c r="AZ138" i="14" s="1"/>
  <c r="AY153" i="14"/>
  <c r="AF128" i="14"/>
  <c r="AF140" i="14"/>
  <c r="AW161" i="14"/>
  <c r="AU161" i="14" s="1"/>
  <c r="AZ162" i="14" s="1"/>
  <c r="BC118" i="14"/>
  <c r="AD117" i="14"/>
  <c r="BH135" i="14"/>
  <c r="BJ135" i="14"/>
  <c r="BF135" i="14"/>
  <c r="BC135" i="14"/>
  <c r="AD134" i="14"/>
  <c r="AD133" i="14" s="1"/>
  <c r="BC90" i="14"/>
  <c r="AD89" i="14"/>
  <c r="BC89" i="14" s="1"/>
  <c r="AD111" i="14"/>
  <c r="BC111" i="14" s="1"/>
  <c r="BC112" i="14"/>
  <c r="BC123" i="14"/>
  <c r="AD122" i="14"/>
  <c r="AD121" i="14" s="1"/>
  <c r="AD120" i="14" s="1"/>
  <c r="BJ131" i="14"/>
  <c r="BF131" i="14"/>
  <c r="BH131" i="14"/>
  <c r="BC131" i="14"/>
  <c r="AD130" i="14"/>
  <c r="BC130" i="14" s="1"/>
  <c r="BJ162" i="14"/>
  <c r="BF162" i="14"/>
  <c r="BH162" i="14"/>
  <c r="AD161" i="14"/>
  <c r="BC162" i="14"/>
  <c r="BC98" i="14"/>
  <c r="AD97" i="14"/>
  <c r="BJ139" i="14"/>
  <c r="BH139" i="14"/>
  <c r="BF139" i="14"/>
  <c r="BC139" i="14"/>
  <c r="AD138" i="14"/>
  <c r="BC138" i="14" s="1"/>
  <c r="BF127" i="14"/>
  <c r="BJ127" i="14"/>
  <c r="BH127" i="14"/>
  <c r="AD126" i="14"/>
  <c r="BF126" i="14" s="1"/>
  <c r="BC127" i="14"/>
  <c r="BC106" i="14"/>
  <c r="AD105" i="14"/>
  <c r="AD104" i="14" s="1"/>
  <c r="AD103" i="14" s="1"/>
  <c r="BC103" i="14" s="1"/>
  <c r="AD167" i="14"/>
  <c r="AW126" i="14"/>
  <c r="AU126" i="14" s="1"/>
  <c r="AZ126" i="14" s="1"/>
  <c r="AF132" i="14"/>
  <c r="BJ157" i="14"/>
  <c r="BF157" i="14"/>
  <c r="BH157" i="14"/>
  <c r="AD152" i="14"/>
  <c r="AW157" i="14"/>
  <c r="AU157" i="14" s="1"/>
  <c r="BH144" i="14"/>
  <c r="BF144" i="14"/>
  <c r="BJ144" i="14"/>
  <c r="BC157" i="14"/>
  <c r="AD156" i="14"/>
  <c r="AW148" i="14"/>
  <c r="AU148" i="14" s="1"/>
  <c r="AZ148" i="14" s="1"/>
  <c r="AW160" i="14"/>
  <c r="AU160" i="14" s="1"/>
  <c r="AZ160" i="14" s="1"/>
  <c r="AW167" i="14"/>
  <c r="AU167" i="14" s="1"/>
  <c r="AZ168" i="14" s="1"/>
  <c r="AW143" i="14"/>
  <c r="AU143" i="14" s="1"/>
  <c r="AW166" i="14"/>
  <c r="AU166" i="14" s="1"/>
  <c r="AW165" i="14"/>
  <c r="AU165" i="14" s="1"/>
  <c r="AZ165" i="14" s="1"/>
  <c r="AD143" i="14"/>
  <c r="BC144" i="14"/>
  <c r="AZ99" i="14"/>
  <c r="AZ140" i="14"/>
  <c r="AZ153" i="14"/>
  <c r="AZ163" i="14"/>
  <c r="AZ107" i="14"/>
  <c r="AV121" i="14"/>
  <c r="AW121" i="14" s="1"/>
  <c r="AU121" i="14" s="1"/>
  <c r="AZ121" i="14" s="1"/>
  <c r="AB122" i="14"/>
  <c r="AB121" i="14"/>
  <c r="R4" i="2"/>
  <c r="T6" i="3"/>
  <c r="T5" i="3"/>
  <c r="T4" i="3"/>
  <c r="AB39" i="14" l="1"/>
  <c r="AB40" i="14"/>
  <c r="AJ40" i="14" s="1"/>
  <c r="AD38" i="14"/>
  <c r="AL38" i="14" s="1"/>
  <c r="AQ38" i="14" s="1"/>
  <c r="AG39" i="14"/>
  <c r="AA34" i="14"/>
  <c r="G35" i="14" s="1"/>
  <c r="AZ157" i="14"/>
  <c r="AZ156" i="14"/>
  <c r="AZ112" i="14"/>
  <c r="AZ104" i="14"/>
  <c r="AZ105" i="14"/>
  <c r="AZ123" i="14"/>
  <c r="AB78" i="14"/>
  <c r="AJ78" i="14" s="1"/>
  <c r="AZ95" i="14"/>
  <c r="AG77" i="14"/>
  <c r="AT76" i="14"/>
  <c r="AF124" i="14"/>
  <c r="AB77" i="14"/>
  <c r="AJ77" i="14" s="1"/>
  <c r="AT41" i="14"/>
  <c r="AT17" i="14"/>
  <c r="AT38" i="14"/>
  <c r="AT13" i="14"/>
  <c r="AT71" i="14"/>
  <c r="AT67" i="14"/>
  <c r="AT55" i="14"/>
  <c r="AU76" i="14"/>
  <c r="AZ76" i="14" s="1"/>
  <c r="AX76" i="14" s="1"/>
  <c r="AY76" i="14" s="1"/>
  <c r="AD8" i="14"/>
  <c r="AL8" i="14" s="1"/>
  <c r="AQ8" i="14" s="1"/>
  <c r="AG10" i="14"/>
  <c r="AB11" i="14"/>
  <c r="AJ11" i="14" s="1"/>
  <c r="AB10" i="14"/>
  <c r="AJ56" i="14"/>
  <c r="AF55" i="14"/>
  <c r="AN55" i="14" s="1"/>
  <c r="AK55" i="14" s="1"/>
  <c r="AJ44" i="14"/>
  <c r="AF41" i="14"/>
  <c r="AN41" i="14" s="1"/>
  <c r="AK42" i="14" s="1"/>
  <c r="AM41" i="14" s="1"/>
  <c r="AD21" i="14"/>
  <c r="AL21" i="14" s="1"/>
  <c r="AQ21" i="14" s="1"/>
  <c r="AG22" i="14"/>
  <c r="AJ22" i="14"/>
  <c r="AJ23" i="14"/>
  <c r="AD63" i="14"/>
  <c r="AL63" i="14" s="1"/>
  <c r="AQ63" i="14" s="1"/>
  <c r="AG64" i="14"/>
  <c r="AB64" i="14"/>
  <c r="AJ64" i="14" s="1"/>
  <c r="AB65" i="14"/>
  <c r="AJ65" i="14" s="1"/>
  <c r="AJ76" i="14"/>
  <c r="AD59" i="14"/>
  <c r="AL59" i="14" s="1"/>
  <c r="AQ59" i="14" s="1"/>
  <c r="AG60" i="14"/>
  <c r="AB60" i="14"/>
  <c r="AJ60" i="14" s="1"/>
  <c r="AB61" i="14"/>
  <c r="AJ61" i="14" s="1"/>
  <c r="AF51" i="14"/>
  <c r="AN51" i="14" s="1"/>
  <c r="AJ51" i="14"/>
  <c r="AF13" i="14"/>
  <c r="AJ13" i="14"/>
  <c r="AD47" i="14"/>
  <c r="AL47" i="14" s="1"/>
  <c r="AQ47" i="14" s="1"/>
  <c r="AG48" i="14"/>
  <c r="AB49" i="14"/>
  <c r="AJ49" i="14" s="1"/>
  <c r="AB48" i="14"/>
  <c r="AJ48" i="14" s="1"/>
  <c r="AD25" i="14"/>
  <c r="AL25" i="14" s="1"/>
  <c r="AQ25" i="14" s="1"/>
  <c r="AG26" i="14"/>
  <c r="AB26" i="14"/>
  <c r="AJ26" i="14" s="1"/>
  <c r="AB27" i="14"/>
  <c r="AJ27" i="14" s="1"/>
  <c r="AC5" i="14"/>
  <c r="AE5" i="14" s="1"/>
  <c r="AN5" i="14"/>
  <c r="AK5" i="14" s="1"/>
  <c r="AM5" i="14" s="1"/>
  <c r="AZ90" i="14"/>
  <c r="AZ96" i="14"/>
  <c r="AZ89" i="14"/>
  <c r="AB67" i="14"/>
  <c r="G71" i="14"/>
  <c r="AB71" i="14" s="1"/>
  <c r="AU116" i="14"/>
  <c r="AZ150" i="14"/>
  <c r="AC146" i="14"/>
  <c r="AE146" i="14" s="1"/>
  <c r="AE168" i="14"/>
  <c r="AC158" i="14"/>
  <c r="AE158" i="14" s="1"/>
  <c r="AC132" i="14"/>
  <c r="AE132" i="14" s="1"/>
  <c r="AC128" i="14"/>
  <c r="AE128" i="14" s="1"/>
  <c r="AC107" i="14"/>
  <c r="AE107" i="14" s="1"/>
  <c r="AU118" i="14"/>
  <c r="AZ119" i="14" s="1"/>
  <c r="BA119" i="14" s="1"/>
  <c r="AX119" i="14" s="1"/>
  <c r="AY119" i="14" s="1"/>
  <c r="AC119" i="14"/>
  <c r="AE119" i="14" s="1"/>
  <c r="AC113" i="14"/>
  <c r="AE113" i="14" s="1"/>
  <c r="AC153" i="14"/>
  <c r="AE153" i="14" s="1"/>
  <c r="AC140" i="14"/>
  <c r="AE140" i="14" s="1"/>
  <c r="AZ88" i="14"/>
  <c r="AC136" i="14"/>
  <c r="AE136" i="14" s="1"/>
  <c r="AC99" i="14"/>
  <c r="AE99" i="14" s="1"/>
  <c r="AC163" i="14"/>
  <c r="AE163" i="14" s="1"/>
  <c r="AE91" i="14"/>
  <c r="AU117" i="14"/>
  <c r="AB80" i="14"/>
  <c r="AB81" i="14"/>
  <c r="AJ81" i="14" s="1"/>
  <c r="AZ97" i="14"/>
  <c r="AZ111" i="14"/>
  <c r="AZ110" i="14"/>
  <c r="AZ98" i="14"/>
  <c r="AZ144" i="14"/>
  <c r="AA29" i="14"/>
  <c r="G30" i="14" s="1"/>
  <c r="AZ151" i="14"/>
  <c r="AB47" i="14"/>
  <c r="AZ135" i="14"/>
  <c r="BA136" i="14" s="1"/>
  <c r="AX136" i="14" s="1"/>
  <c r="AY136" i="14" s="1"/>
  <c r="AD88" i="14"/>
  <c r="AD87" i="14" s="1"/>
  <c r="AZ86" i="14"/>
  <c r="BC126" i="14"/>
  <c r="AZ103" i="14"/>
  <c r="BH126" i="14"/>
  <c r="AD125" i="14"/>
  <c r="AZ131" i="14"/>
  <c r="BA132" i="14" s="1"/>
  <c r="AX132" i="14" s="1"/>
  <c r="AY132" i="14" s="1"/>
  <c r="AZ127" i="14"/>
  <c r="BA128" i="14" s="1"/>
  <c r="AX128" i="14" s="1"/>
  <c r="AY128" i="14" s="1"/>
  <c r="AZ161" i="14"/>
  <c r="BA163" i="14" s="1"/>
  <c r="AX163" i="14" s="1"/>
  <c r="AY163" i="14" s="1"/>
  <c r="AD102" i="14"/>
  <c r="AD101" i="14" s="1"/>
  <c r="AZ158" i="14"/>
  <c r="AZ139" i="14"/>
  <c r="BA140" i="14" s="1"/>
  <c r="AX140" i="14" s="1"/>
  <c r="AY140" i="14" s="1"/>
  <c r="BC121" i="14"/>
  <c r="AZ143" i="14"/>
  <c r="BJ126" i="14"/>
  <c r="AZ122" i="14"/>
  <c r="AZ167" i="14"/>
  <c r="BC105" i="14"/>
  <c r="AD151" i="14"/>
  <c r="BJ152" i="14"/>
  <c r="BH152" i="14"/>
  <c r="BF152" i="14"/>
  <c r="AZ149" i="14"/>
  <c r="BC134" i="14"/>
  <c r="BC104" i="14"/>
  <c r="BC122" i="14"/>
  <c r="AD110" i="14"/>
  <c r="AD109" i="14" s="1"/>
  <c r="BC152" i="14"/>
  <c r="BH156" i="14"/>
  <c r="BF156" i="14"/>
  <c r="BJ156" i="14"/>
  <c r="AD137" i="14"/>
  <c r="BJ138" i="14"/>
  <c r="BH138" i="14"/>
  <c r="BF138" i="14"/>
  <c r="AD160" i="14"/>
  <c r="BF161" i="14"/>
  <c r="BH161" i="14"/>
  <c r="BJ161" i="14"/>
  <c r="BC161" i="14"/>
  <c r="BH143" i="14"/>
  <c r="BF143" i="14"/>
  <c r="BJ143" i="14"/>
  <c r="AD96" i="14"/>
  <c r="BC97" i="14"/>
  <c r="BJ167" i="14"/>
  <c r="BF167" i="14"/>
  <c r="BH167" i="14"/>
  <c r="BC167" i="14"/>
  <c r="AD166" i="14"/>
  <c r="AD129" i="14"/>
  <c r="BJ130" i="14"/>
  <c r="BF130" i="14"/>
  <c r="BH130" i="14"/>
  <c r="BC117" i="14"/>
  <c r="AD116" i="14"/>
  <c r="AD155" i="14"/>
  <c r="BC156" i="14"/>
  <c r="AZ166" i="14"/>
  <c r="AD142" i="14"/>
  <c r="BC143" i="14"/>
  <c r="AF38" i="14" l="1"/>
  <c r="AN38" i="14" s="1"/>
  <c r="AK38" i="14" s="1"/>
  <c r="AM38" i="14" s="1"/>
  <c r="AD33" i="14"/>
  <c r="AL33" i="14" s="1"/>
  <c r="AQ33" i="14" s="1"/>
  <c r="AG35" i="14"/>
  <c r="AB36" i="14"/>
  <c r="AJ36" i="14" s="1"/>
  <c r="AB35" i="14"/>
  <c r="BA158" i="14"/>
  <c r="AX158" i="14" s="1"/>
  <c r="AY158" i="14" s="1"/>
  <c r="BA107" i="14"/>
  <c r="AX107" i="14" s="1"/>
  <c r="AY107" i="14" s="1"/>
  <c r="BA76" i="14"/>
  <c r="BA124" i="14"/>
  <c r="AX124" i="14" s="1"/>
  <c r="AY124" i="14" s="1"/>
  <c r="AC55" i="14"/>
  <c r="AE55" i="14" s="1"/>
  <c r="AF76" i="14"/>
  <c r="AN76" i="14" s="1"/>
  <c r="AK76" i="14" s="1"/>
  <c r="AM76" i="14" s="1"/>
  <c r="BA91" i="14"/>
  <c r="AX91" i="14" s="1"/>
  <c r="AY91" i="14" s="1"/>
  <c r="AT47" i="14"/>
  <c r="AT63" i="14"/>
  <c r="AT21" i="14"/>
  <c r="AT25" i="14"/>
  <c r="AT59" i="14"/>
  <c r="AT8" i="14"/>
  <c r="AC51" i="14"/>
  <c r="AE51" i="14" s="1"/>
  <c r="AC38" i="14"/>
  <c r="AE38" i="14" s="1"/>
  <c r="AJ17" i="14"/>
  <c r="AF17" i="14"/>
  <c r="AG71" i="14"/>
  <c r="AB72" i="14"/>
  <c r="AJ72" i="14" s="1"/>
  <c r="AF25" i="14"/>
  <c r="AN25" i="14" s="1"/>
  <c r="AK25" i="14" s="1"/>
  <c r="AM25" i="14" s="1"/>
  <c r="AF67" i="14"/>
  <c r="AN67" i="14" s="1"/>
  <c r="AK67" i="14" s="1"/>
  <c r="AM67" i="14" s="1"/>
  <c r="AJ67" i="14"/>
  <c r="AJ10" i="14"/>
  <c r="AF8" i="14"/>
  <c r="AF21" i="14"/>
  <c r="AJ21" i="14"/>
  <c r="AF80" i="14"/>
  <c r="AN80" i="14" s="1"/>
  <c r="AK80" i="14" s="1"/>
  <c r="AM80" i="14" s="1"/>
  <c r="AJ80" i="14"/>
  <c r="AC13" i="14"/>
  <c r="AE13" i="14" s="1"/>
  <c r="AN13" i="14"/>
  <c r="AK13" i="14" s="1"/>
  <c r="AM13" i="14" s="1"/>
  <c r="AF47" i="14"/>
  <c r="AN47" i="14" s="1"/>
  <c r="AK47" i="14" s="1"/>
  <c r="AM47" i="14" s="1"/>
  <c r="AJ47" i="14"/>
  <c r="AD29" i="14"/>
  <c r="AL29" i="14" s="1"/>
  <c r="AQ29" i="14" s="1"/>
  <c r="AG30" i="14"/>
  <c r="AB31" i="14"/>
  <c r="AJ31" i="14" s="1"/>
  <c r="AB30" i="14"/>
  <c r="AJ30" i="14" s="1"/>
  <c r="AJ35" i="14"/>
  <c r="AM55" i="14"/>
  <c r="AB63" i="14"/>
  <c r="AK51" i="14"/>
  <c r="AM51" i="14" s="1"/>
  <c r="BA99" i="14"/>
  <c r="AX99" i="14" s="1"/>
  <c r="AY99" i="14" s="1"/>
  <c r="BA146" i="14"/>
  <c r="AX146" i="14" s="1"/>
  <c r="AY146" i="14" s="1"/>
  <c r="AC124" i="14"/>
  <c r="AE124" i="14" s="1"/>
  <c r="AC41" i="14"/>
  <c r="AE41" i="14" s="1"/>
  <c r="BA113" i="14"/>
  <c r="AX113" i="14" s="1"/>
  <c r="AY113" i="14" s="1"/>
  <c r="BC88" i="14"/>
  <c r="BC102" i="14"/>
  <c r="BA168" i="14"/>
  <c r="AX168" i="14" s="1"/>
  <c r="AY168" i="14" s="1"/>
  <c r="BC110" i="14"/>
  <c r="BJ142" i="14"/>
  <c r="BH142" i="14"/>
  <c r="BF142" i="14"/>
  <c r="AD115" i="14"/>
  <c r="BC116" i="14"/>
  <c r="AD95" i="14"/>
  <c r="BC96" i="14"/>
  <c r="AD159" i="14"/>
  <c r="BC160" i="14"/>
  <c r="BJ151" i="14"/>
  <c r="BH151" i="14"/>
  <c r="BF151" i="14"/>
  <c r="AD150" i="14"/>
  <c r="BC151" i="14"/>
  <c r="BH155" i="14"/>
  <c r="BF155" i="14"/>
  <c r="BJ155" i="14"/>
  <c r="AD165" i="14"/>
  <c r="BJ166" i="14"/>
  <c r="BH166" i="14"/>
  <c r="BF166" i="14"/>
  <c r="BC166" i="14"/>
  <c r="AD154" i="14"/>
  <c r="BC155" i="14"/>
  <c r="AD100" i="14"/>
  <c r="BC101" i="14"/>
  <c r="AD108" i="14"/>
  <c r="BC109" i="14"/>
  <c r="AD86" i="14"/>
  <c r="BC87" i="14"/>
  <c r="AD141" i="14"/>
  <c r="BC142" i="14"/>
  <c r="AF33" i="14" l="1"/>
  <c r="AN33" i="14" s="1"/>
  <c r="AK33" i="14" s="1"/>
  <c r="AM33" i="14" s="1"/>
  <c r="AT33" i="14"/>
  <c r="AC76" i="14"/>
  <c r="AE76" i="14" s="1"/>
  <c r="AC47" i="14"/>
  <c r="AE47" i="14" s="1"/>
  <c r="AT29" i="14"/>
  <c r="AC80" i="14"/>
  <c r="AE80" i="14" s="1"/>
  <c r="AC67" i="14"/>
  <c r="AE67" i="14" s="1"/>
  <c r="AC8" i="14"/>
  <c r="AE8" i="14" s="1"/>
  <c r="AN8" i="14"/>
  <c r="AC25" i="14"/>
  <c r="AE25" i="14" s="1"/>
  <c r="AC17" i="14"/>
  <c r="AE17" i="14" s="1"/>
  <c r="AN17" i="14"/>
  <c r="AK17" i="14" s="1"/>
  <c r="AM17" i="14" s="1"/>
  <c r="AF29" i="14"/>
  <c r="AN29" i="14" s="1"/>
  <c r="AK29" i="14" s="1"/>
  <c r="AM29" i="14" s="1"/>
  <c r="AJ29" i="14"/>
  <c r="AF59" i="14"/>
  <c r="AN59" i="14" s="1"/>
  <c r="AK59" i="14" s="1"/>
  <c r="AJ59" i="14"/>
  <c r="AF63" i="14"/>
  <c r="AN63" i="14" s="1"/>
  <c r="AK63" i="14" s="1"/>
  <c r="AM63" i="14" s="1"/>
  <c r="AJ63" i="14"/>
  <c r="AC21" i="14"/>
  <c r="AE21" i="14" s="1"/>
  <c r="AN21" i="14"/>
  <c r="AK21" i="14" s="1"/>
  <c r="AM21" i="14" s="1"/>
  <c r="AF71" i="14"/>
  <c r="BJ150" i="14"/>
  <c r="BH150" i="14"/>
  <c r="BF150" i="14"/>
  <c r="AD149" i="14"/>
  <c r="BC150" i="14"/>
  <c r="AD114" i="14"/>
  <c r="BC115" i="14"/>
  <c r="AD164" i="14"/>
  <c r="BJ165" i="14"/>
  <c r="BH165" i="14"/>
  <c r="BF165" i="14"/>
  <c r="BC165" i="14"/>
  <c r="AD94" i="14"/>
  <c r="BC95" i="14"/>
  <c r="AD85" i="14"/>
  <c r="BC86" i="14"/>
  <c r="S38" i="3"/>
  <c r="Q38" i="3"/>
  <c r="P38" i="3"/>
  <c r="O38" i="3"/>
  <c r="N38" i="3"/>
  <c r="M38" i="3"/>
  <c r="L38" i="3"/>
  <c r="D38" i="3"/>
  <c r="H38" i="3" s="1"/>
  <c r="F38" i="3"/>
  <c r="J38" i="3" s="1"/>
  <c r="G38" i="3"/>
  <c r="R38" i="3" s="1"/>
  <c r="E38" i="3"/>
  <c r="I38" i="3" s="1"/>
  <c r="C43" i="3"/>
  <c r="BH6" i="3"/>
  <c r="BH5" i="3"/>
  <c r="BH4" i="3"/>
  <c r="BH7" i="3"/>
  <c r="AC33" i="14" l="1"/>
  <c r="AE33" i="14" s="1"/>
  <c r="K38" i="3"/>
  <c r="AC63" i="14"/>
  <c r="AE63" i="14" s="1"/>
  <c r="AK8" i="14"/>
  <c r="AM8" i="14" s="1"/>
  <c r="AC29" i="14"/>
  <c r="AE29" i="14" s="1"/>
  <c r="AN71" i="14"/>
  <c r="AK71" i="14" s="1"/>
  <c r="AM71" i="14" s="1"/>
  <c r="AC71" i="14"/>
  <c r="AE71" i="14" s="1"/>
  <c r="AC59" i="14"/>
  <c r="AE59" i="14" s="1"/>
  <c r="AM59" i="14"/>
  <c r="BH149" i="14"/>
  <c r="BF149" i="14"/>
  <c r="BJ149" i="14"/>
  <c r="BC149" i="14"/>
  <c r="AD148" i="14"/>
  <c r="AD93" i="14"/>
  <c r="BC94" i="14"/>
  <c r="AD84" i="14"/>
  <c r="BC85" i="14"/>
  <c r="BH11" i="3"/>
  <c r="B43" i="3" s="1"/>
  <c r="B38" i="5"/>
  <c r="BD7" i="3"/>
  <c r="BD6" i="3"/>
  <c r="BD5" i="3"/>
  <c r="BD4" i="3"/>
  <c r="P43" i="3" l="1"/>
  <c r="M43" i="3"/>
  <c r="D43" i="3"/>
  <c r="H43" i="3" s="1"/>
  <c r="L43" i="3"/>
  <c r="S43" i="3"/>
  <c r="Q43" i="3"/>
  <c r="N43" i="3"/>
  <c r="G43" i="3"/>
  <c r="K43" i="3" s="1"/>
  <c r="O43" i="3"/>
  <c r="E43" i="3"/>
  <c r="I43" i="3" s="1"/>
  <c r="F43" i="3"/>
  <c r="J43" i="3" s="1"/>
  <c r="AD92" i="14"/>
  <c r="BC93" i="14"/>
  <c r="BF148" i="14"/>
  <c r="BJ148" i="14"/>
  <c r="BH148" i="14"/>
  <c r="AD147" i="14"/>
  <c r="BC148" i="14"/>
  <c r="BD11" i="3"/>
  <c r="B42" i="3" s="1"/>
  <c r="AZ7" i="3"/>
  <c r="S42" i="3" l="1"/>
  <c r="Q42" i="3"/>
  <c r="N42" i="3"/>
  <c r="F42" i="3"/>
  <c r="J42" i="3" s="1"/>
  <c r="D42" i="3"/>
  <c r="H42" i="3" s="1"/>
  <c r="O42" i="3"/>
  <c r="G42" i="3"/>
  <c r="K42" i="3" s="1"/>
  <c r="E42" i="3"/>
  <c r="I42" i="3" s="1"/>
  <c r="L42" i="3"/>
  <c r="M42" i="3"/>
  <c r="P42" i="3"/>
  <c r="R43" i="3"/>
  <c r="C41" i="3"/>
  <c r="C40" i="3"/>
  <c r="C39" i="3"/>
  <c r="AV8" i="3"/>
  <c r="AR5" i="3"/>
  <c r="X7" i="3"/>
  <c r="AZ6" i="3"/>
  <c r="AZ5" i="3"/>
  <c r="AZ4" i="3"/>
  <c r="AV6" i="3"/>
  <c r="AV7" i="3"/>
  <c r="R42" i="3" l="1"/>
  <c r="AZ11" i="3"/>
  <c r="B41" i="3" s="1"/>
  <c r="B36" i="5"/>
  <c r="B35" i="5"/>
  <c r="B34" i="5"/>
  <c r="AV5" i="3"/>
  <c r="AV4" i="3"/>
  <c r="AR6" i="3"/>
  <c r="AR4" i="3"/>
  <c r="AJ4" i="3"/>
  <c r="S4" i="2"/>
  <c r="U4" i="2"/>
  <c r="V4" i="2" s="1"/>
  <c r="I5" i="2"/>
  <c r="N5" i="2"/>
  <c r="R5" i="2"/>
  <c r="S5" i="2" s="1"/>
  <c r="U5" i="2"/>
  <c r="V5" i="2" s="1"/>
  <c r="I6" i="2"/>
  <c r="N6" i="2"/>
  <c r="R6" i="2" s="1"/>
  <c r="S6" i="2" s="1"/>
  <c r="U6" i="2"/>
  <c r="V6" i="2" s="1"/>
  <c r="I7" i="2"/>
  <c r="N7" i="2"/>
  <c r="R7" i="2" s="1"/>
  <c r="S7" i="2" s="1"/>
  <c r="U7" i="2"/>
  <c r="V7" i="2" s="1"/>
  <c r="I8" i="2"/>
  <c r="N8" i="2"/>
  <c r="R8" i="2" s="1"/>
  <c r="S8" i="2" s="1"/>
  <c r="U8" i="2"/>
  <c r="V8" i="2" s="1"/>
  <c r="I9" i="2"/>
  <c r="N9" i="2"/>
  <c r="R9" i="2" s="1"/>
  <c r="S9" i="2" s="1"/>
  <c r="U9" i="2"/>
  <c r="V9" i="2" s="1"/>
  <c r="I10" i="2"/>
  <c r="N10" i="2"/>
  <c r="R10" i="2" s="1"/>
  <c r="S10" i="2" s="1"/>
  <c r="U10" i="2"/>
  <c r="V10" i="2" s="1"/>
  <c r="I11" i="2"/>
  <c r="N11" i="2"/>
  <c r="R11" i="2" s="1"/>
  <c r="S11" i="2" s="1"/>
  <c r="U11" i="2"/>
  <c r="V11" i="2" s="1"/>
  <c r="I12" i="2"/>
  <c r="N12" i="2"/>
  <c r="R12" i="2" s="1"/>
  <c r="S12" i="2" s="1"/>
  <c r="U12" i="2"/>
  <c r="V12" i="2" s="1"/>
  <c r="F13" i="2"/>
  <c r="I13" i="2" s="1"/>
  <c r="R13" i="2"/>
  <c r="S13" i="2" s="1"/>
  <c r="U13" i="2"/>
  <c r="V13" i="2" s="1"/>
  <c r="F14" i="2"/>
  <c r="I14" i="2" s="1"/>
  <c r="R14" i="2"/>
  <c r="S14" i="2" s="1"/>
  <c r="U14" i="2"/>
  <c r="V14" i="2" s="1"/>
  <c r="F15" i="2"/>
  <c r="I15" i="2" s="1"/>
  <c r="R15" i="2"/>
  <c r="S15" i="2" s="1"/>
  <c r="U15" i="2"/>
  <c r="V15" i="2" s="1"/>
  <c r="F16" i="2"/>
  <c r="I16" i="2" s="1"/>
  <c r="R16" i="2"/>
  <c r="S16" i="2" s="1"/>
  <c r="T16" i="2" s="1"/>
  <c r="V16" i="2"/>
  <c r="F17" i="2"/>
  <c r="I17" i="2" s="1"/>
  <c r="N17" i="2"/>
  <c r="R17" i="2" s="1"/>
  <c r="S17" i="2" s="1"/>
  <c r="F18" i="2"/>
  <c r="I18" i="2" s="1"/>
  <c r="N18" i="2"/>
  <c r="R18" i="2" s="1"/>
  <c r="S18" i="2" s="1"/>
  <c r="F19" i="2"/>
  <c r="I19" i="2" s="1"/>
  <c r="N19" i="2"/>
  <c r="R19" i="2" s="1"/>
  <c r="S19" i="2" s="1"/>
  <c r="F20" i="2"/>
  <c r="I20" i="2" s="1"/>
  <c r="F21" i="2"/>
  <c r="I21" i="2" s="1"/>
  <c r="F22" i="2"/>
  <c r="I22" i="2" s="1"/>
  <c r="F23" i="2"/>
  <c r="I23" i="2" s="1"/>
  <c r="F24" i="2"/>
  <c r="I24" i="2" s="1"/>
  <c r="F25" i="2"/>
  <c r="I25" i="2" s="1"/>
  <c r="F26" i="2"/>
  <c r="I26" i="2" s="1"/>
  <c r="F27" i="2"/>
  <c r="I27" i="2" s="1"/>
  <c r="F28" i="2"/>
  <c r="I28" i="2" s="1"/>
  <c r="F29" i="2"/>
  <c r="I29" i="2" s="1"/>
  <c r="F30" i="2"/>
  <c r="I30" i="2" s="1"/>
  <c r="F31" i="2"/>
  <c r="I31" i="2" s="1"/>
  <c r="F32" i="2"/>
  <c r="I32" i="2" s="1"/>
  <c r="F33" i="2"/>
  <c r="I33" i="2" s="1"/>
  <c r="F34" i="2"/>
  <c r="I34" i="2" s="1"/>
  <c r="F35" i="2"/>
  <c r="I35" i="2" s="1"/>
  <c r="F36" i="2"/>
  <c r="I36" i="2" s="1"/>
  <c r="F37" i="2"/>
  <c r="I37" i="2" s="1"/>
  <c r="F38" i="2"/>
  <c r="I38" i="2" s="1"/>
  <c r="F39" i="2"/>
  <c r="I39" i="2" s="1"/>
  <c r="F40" i="2"/>
  <c r="I40" i="2" s="1"/>
  <c r="F41" i="2"/>
  <c r="I41" i="2" s="1"/>
  <c r="F42" i="2"/>
  <c r="I42" i="2" s="1"/>
  <c r="F43" i="2"/>
  <c r="I43" i="2" s="1"/>
  <c r="F44" i="2"/>
  <c r="I44" i="2" s="1"/>
  <c r="D4" i="3"/>
  <c r="H4" i="3"/>
  <c r="L4" i="3"/>
  <c r="P4" i="3"/>
  <c r="U4" i="3"/>
  <c r="X5" i="3" s="1"/>
  <c r="AB4" i="3"/>
  <c r="AF4" i="3"/>
  <c r="AN4" i="3"/>
  <c r="D5" i="3"/>
  <c r="H5" i="3"/>
  <c r="L5" i="3"/>
  <c r="P5" i="3"/>
  <c r="AB5" i="3"/>
  <c r="AF5" i="3"/>
  <c r="AJ5" i="3"/>
  <c r="AN5" i="3"/>
  <c r="D6" i="3"/>
  <c r="H6" i="3"/>
  <c r="L6" i="3"/>
  <c r="P6" i="3"/>
  <c r="X6" i="3"/>
  <c r="AB6" i="3"/>
  <c r="AF6" i="3"/>
  <c r="AJ6" i="3"/>
  <c r="AN6" i="3"/>
  <c r="D7" i="3"/>
  <c r="H7" i="3"/>
  <c r="L7" i="3"/>
  <c r="P7" i="3"/>
  <c r="T7" i="3"/>
  <c r="D8" i="3"/>
  <c r="H8" i="3"/>
  <c r="L8" i="3"/>
  <c r="P8" i="3"/>
  <c r="T8" i="3"/>
  <c r="D9" i="3"/>
  <c r="H9" i="3"/>
  <c r="L9" i="3"/>
  <c r="D10" i="3"/>
  <c r="H10" i="3"/>
  <c r="L10" i="3"/>
  <c r="L13" i="3"/>
  <c r="M13" i="3" s="1"/>
  <c r="L14" i="3"/>
  <c r="M14" i="3" s="1"/>
  <c r="L15" i="3"/>
  <c r="M15" i="3" s="1"/>
  <c r="L16" i="3"/>
  <c r="M16" i="3" s="1"/>
  <c r="B17" i="3"/>
  <c r="L17" i="3"/>
  <c r="M17" i="3" s="1"/>
  <c r="L18" i="3"/>
  <c r="M18" i="3" s="1"/>
  <c r="AJ33" i="3"/>
  <c r="AK29" i="3" s="1"/>
  <c r="AD36" i="3"/>
  <c r="AE36" i="3" s="1"/>
  <c r="AD37" i="3"/>
  <c r="AE37" i="3" s="1"/>
  <c r="AD38" i="3"/>
  <c r="AE38" i="3" s="1"/>
  <c r="AD39" i="3"/>
  <c r="AE39" i="3" s="1"/>
  <c r="AH39" i="3"/>
  <c r="AJ39" i="3" s="1"/>
  <c r="AK39" i="3" s="1"/>
  <c r="AK42" i="3" s="1"/>
  <c r="AD40" i="3"/>
  <c r="AE40" i="3" s="1"/>
  <c r="AD41" i="3"/>
  <c r="AE41" i="3" s="1"/>
  <c r="B29" i="5"/>
  <c r="B30" i="5"/>
  <c r="B31" i="5"/>
  <c r="B32" i="5"/>
  <c r="AV11" i="3" l="1"/>
  <c r="B40" i="3" s="1"/>
  <c r="P40" i="3" s="1"/>
  <c r="AF9" i="3"/>
  <c r="B36" i="3" s="1"/>
  <c r="N36" i="3" s="1"/>
  <c r="T14" i="2"/>
  <c r="T4" i="2"/>
  <c r="E40" i="3"/>
  <c r="I40" i="3" s="1"/>
  <c r="G40" i="3"/>
  <c r="K40" i="3" s="1"/>
  <c r="N40" i="3"/>
  <c r="L40" i="3"/>
  <c r="S40" i="3"/>
  <c r="M40" i="3"/>
  <c r="D40" i="3"/>
  <c r="H40" i="3" s="1"/>
  <c r="F40" i="3"/>
  <c r="J40" i="3" s="1"/>
  <c r="T9" i="2"/>
  <c r="D11" i="3"/>
  <c r="B29" i="3" s="1"/>
  <c r="AN9" i="3"/>
  <c r="O41" i="3"/>
  <c r="D41" i="3"/>
  <c r="H41" i="3" s="1"/>
  <c r="P41" i="3"/>
  <c r="S41" i="3"/>
  <c r="G41" i="3"/>
  <c r="K41" i="3" s="1"/>
  <c r="Q41" i="3"/>
  <c r="N41" i="3"/>
  <c r="F41" i="3"/>
  <c r="J41" i="3" s="1"/>
  <c r="L41" i="3"/>
  <c r="E41" i="3"/>
  <c r="I41" i="3" s="1"/>
  <c r="M41" i="3"/>
  <c r="T5" i="2"/>
  <c r="AJ9" i="3"/>
  <c r="B37" i="3" s="1"/>
  <c r="T11" i="2"/>
  <c r="T12" i="2"/>
  <c r="T8" i="2"/>
  <c r="T15" i="2"/>
  <c r="T10" i="2"/>
  <c r="T7" i="2"/>
  <c r="T6" i="2"/>
  <c r="AR11" i="3"/>
  <c r="B39" i="3" s="1"/>
  <c r="L11" i="3"/>
  <c r="B31" i="3" s="1"/>
  <c r="T9" i="3"/>
  <c r="B33" i="3" s="1"/>
  <c r="P9" i="3"/>
  <c r="B32" i="3" s="1"/>
  <c r="T13" i="2"/>
  <c r="H11" i="3"/>
  <c r="B30" i="3" s="1"/>
  <c r="AB9" i="3"/>
  <c r="B35" i="3" s="1"/>
  <c r="X4" i="3"/>
  <c r="X9" i="3" s="1"/>
  <c r="B34" i="3" s="1"/>
  <c r="Q40" i="3" l="1"/>
  <c r="O40" i="3"/>
  <c r="G36" i="3"/>
  <c r="K36" i="3" s="1"/>
  <c r="D36" i="3"/>
  <c r="H36" i="3" s="1"/>
  <c r="Q36" i="3"/>
  <c r="S36" i="3"/>
  <c r="E36" i="3"/>
  <c r="I36" i="3" s="1"/>
  <c r="M36" i="3"/>
  <c r="F36" i="3"/>
  <c r="J36" i="3" s="1"/>
  <c r="O36" i="3"/>
  <c r="P36" i="3"/>
  <c r="L36" i="3"/>
  <c r="S34" i="3"/>
  <c r="Q34" i="3"/>
  <c r="N34" i="3"/>
  <c r="G34" i="3"/>
  <c r="K34" i="3" s="1"/>
  <c r="P34" i="3"/>
  <c r="M34" i="3"/>
  <c r="O34" i="3"/>
  <c r="F34" i="3"/>
  <c r="J34" i="3" s="1"/>
  <c r="E34" i="3"/>
  <c r="I34" i="3" s="1"/>
  <c r="L34" i="3"/>
  <c r="D34" i="3"/>
  <c r="H34" i="3" s="1"/>
  <c r="R40" i="3"/>
  <c r="P35" i="3"/>
  <c r="M35" i="3"/>
  <c r="D35" i="3"/>
  <c r="H35" i="3" s="1"/>
  <c r="E35" i="3"/>
  <c r="I35" i="3" s="1"/>
  <c r="S35" i="3"/>
  <c r="Q35" i="3"/>
  <c r="N35" i="3"/>
  <c r="O35" i="3"/>
  <c r="L35" i="3"/>
  <c r="G35" i="3"/>
  <c r="K35" i="3" s="1"/>
  <c r="F35" i="3"/>
  <c r="J35" i="3" s="1"/>
  <c r="D30" i="3"/>
  <c r="H30" i="3" s="1"/>
  <c r="E30" i="3"/>
  <c r="I30" i="3" s="1"/>
  <c r="G30" i="3"/>
  <c r="K30" i="3" s="1"/>
  <c r="L30" i="3"/>
  <c r="P30" i="3"/>
  <c r="M30" i="3"/>
  <c r="S30" i="3"/>
  <c r="Q30" i="3"/>
  <c r="N30" i="3"/>
  <c r="O30" i="3"/>
  <c r="F30" i="3"/>
  <c r="J30" i="3" s="1"/>
  <c r="E32" i="3"/>
  <c r="I32" i="3" s="1"/>
  <c r="S32" i="3"/>
  <c r="N32" i="3"/>
  <c r="D32" i="3"/>
  <c r="H32" i="3" s="1"/>
  <c r="F32" i="3"/>
  <c r="J32" i="3" s="1"/>
  <c r="L32" i="3"/>
  <c r="Q32" i="3"/>
  <c r="P32" i="3"/>
  <c r="M32" i="3"/>
  <c r="O32" i="3"/>
  <c r="G32" i="3"/>
  <c r="K32" i="3" s="1"/>
  <c r="R41" i="3"/>
  <c r="O33" i="3"/>
  <c r="G33" i="3"/>
  <c r="K33" i="3" s="1"/>
  <c r="F33" i="3"/>
  <c r="J33" i="3" s="1"/>
  <c r="S33" i="3"/>
  <c r="Q33" i="3"/>
  <c r="P33" i="3"/>
  <c r="M33" i="3"/>
  <c r="D33" i="3"/>
  <c r="H33" i="3" s="1"/>
  <c r="N33" i="3"/>
  <c r="R33" i="3"/>
  <c r="L33" i="3"/>
  <c r="E33" i="3"/>
  <c r="I33" i="3" s="1"/>
  <c r="O31" i="3"/>
  <c r="F31" i="3"/>
  <c r="J31" i="3" s="1"/>
  <c r="M31" i="3"/>
  <c r="G31" i="3"/>
  <c r="K31" i="3" s="1"/>
  <c r="L31" i="3"/>
  <c r="E31" i="3"/>
  <c r="I31" i="3" s="1"/>
  <c r="P31" i="3"/>
  <c r="S31" i="3"/>
  <c r="Q31" i="3"/>
  <c r="N31" i="3"/>
  <c r="D31" i="3"/>
  <c r="H31" i="3" s="1"/>
  <c r="G29" i="3"/>
  <c r="K29" i="3" s="1"/>
  <c r="P29" i="3"/>
  <c r="M29" i="3"/>
  <c r="E29" i="3"/>
  <c r="I29" i="3" s="1"/>
  <c r="F29" i="3"/>
  <c r="J29" i="3" s="1"/>
  <c r="S29" i="3"/>
  <c r="Q29" i="3"/>
  <c r="L29" i="3"/>
  <c r="N29" i="3"/>
  <c r="R29" i="3"/>
  <c r="O29" i="3"/>
  <c r="D29" i="3"/>
  <c r="H29" i="3" s="1"/>
  <c r="G39" i="3"/>
  <c r="K39" i="3" s="1"/>
  <c r="F39" i="3"/>
  <c r="J39" i="3" s="1"/>
  <c r="M39" i="3"/>
  <c r="D39" i="3"/>
  <c r="H39" i="3" s="1"/>
  <c r="L39" i="3"/>
  <c r="E39" i="3"/>
  <c r="I39" i="3" s="1"/>
  <c r="P39" i="3"/>
  <c r="O39" i="3"/>
  <c r="S39" i="3"/>
  <c r="Q39" i="3"/>
  <c r="N39" i="3"/>
  <c r="G37" i="3"/>
  <c r="K37" i="3" s="1"/>
  <c r="L37" i="3"/>
  <c r="E37" i="3"/>
  <c r="I37" i="3" s="1"/>
  <c r="P37" i="3"/>
  <c r="M37" i="3"/>
  <c r="D37" i="3"/>
  <c r="H37" i="3" s="1"/>
  <c r="O37" i="3"/>
  <c r="S37" i="3"/>
  <c r="Q37" i="3"/>
  <c r="N37" i="3"/>
  <c r="F37" i="3"/>
  <c r="J37" i="3" s="1"/>
  <c r="R36" i="3" l="1"/>
  <c r="R39" i="3"/>
  <c r="R31" i="3"/>
  <c r="R32" i="3"/>
  <c r="S45" i="3"/>
  <c r="H45" i="3"/>
  <c r="M45" i="3"/>
  <c r="K45" i="3"/>
  <c r="O45" i="3"/>
  <c r="J45" i="3"/>
  <c r="I45" i="3"/>
  <c r="R35" i="3"/>
  <c r="R37" i="3"/>
  <c r="P45" i="3"/>
  <c r="N45" i="3"/>
  <c r="L45" i="3"/>
  <c r="R30" i="3"/>
  <c r="R34" i="3"/>
  <c r="Q45" i="3"/>
  <c r="R45" i="3" l="1"/>
  <c r="E4" i="16"/>
  <c r="H4" i="16" s="1"/>
  <c r="H56" i="16" l="1"/>
  <c r="H53" i="16"/>
  <c r="H54" i="16"/>
  <c r="H5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tc={8D6199D0-C4CF-5E43-A95A-D81CAF10AD77}</author>
  </authors>
  <commentList>
    <comment ref="A2" authorId="0" shapeId="0" xr:uid="{8D6199D0-C4CF-5E43-A95A-D81CAF10AD77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Observer Estimate and Date as written.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jcraig</author>
  </authors>
  <commentList>
    <comment ref="AI4" authorId="0" shapeId="0" xr:uid="{00000000-0006-0000-0300-000001000000}">
      <text>
        <r>
          <rPr>
            <b/>
            <sz val="8"/>
            <color rgb="FF000000"/>
            <rFont val="Tahoma"/>
            <family val="2"/>
          </rPr>
          <t>jcraig: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ECOFISH Count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CBC185-3757-8B43-AFFE-D44286D5EB3A}" keepAlive="1" name="Query - Time and Area Standardization" description="Connection to the 'Time and Area Standardization' query in the workbook." type="5" refreshedVersion="0" background="1">
    <dbPr connection="Provider=Microsoft.Mashup.OleDb.1;Data Source=$Workbook$;Location=&quot;Time and Area Standardization&quot;;Extended Properties=&quot;&quot;" command="SELECT * FROM [Time and Area Standardization]"/>
  </connection>
</connections>
</file>

<file path=xl/sharedStrings.xml><?xml version="1.0" encoding="utf-8"?>
<sst xmlns="http://schemas.openxmlformats.org/spreadsheetml/2006/main" count="552" uniqueCount="243">
  <si>
    <t>Date</t>
  </si>
  <si>
    <t>Days #</t>
  </si>
  <si>
    <t># of fish</t>
  </si>
  <si>
    <t>4,5 Feb</t>
  </si>
  <si>
    <t>1,2 Mar</t>
  </si>
  <si>
    <t>22,23 Mar</t>
  </si>
  <si>
    <t>13,14 Apr</t>
  </si>
  <si>
    <t>28,29 Apr</t>
  </si>
  <si>
    <t>13,14 May</t>
  </si>
  <si>
    <t>March</t>
  </si>
  <si>
    <t>yr</t>
  </si>
  <si>
    <t>8.8 km</t>
  </si>
  <si>
    <t xml:space="preserve">End of Englishman River Road to "Big Tent" </t>
  </si>
  <si>
    <t>Survey Date</t>
  </si>
  <si>
    <t xml:space="preserve">Mainstem 3 </t>
  </si>
  <si>
    <t>Mainstem 2</t>
  </si>
  <si>
    <t>Mainstem 1</t>
  </si>
  <si>
    <t>South Englishman</t>
  </si>
  <si>
    <t>Total fish</t>
  </si>
  <si>
    <t>Actual km surveyed</t>
  </si>
  <si>
    <t>fish/km</t>
  </si>
  <si>
    <t>Visibility (m)</t>
  </si>
  <si>
    <t>Englishman Falls Pool to the end on Englishman River Road</t>
  </si>
  <si>
    <t>March 22, 2002</t>
  </si>
  <si>
    <t xml:space="preserve">#155 Mainline bridge crossing to Englishman confluence </t>
  </si>
  <si>
    <t>March 21, 2002</t>
  </si>
  <si>
    <t>Grassy Banks to the Big Tent Run</t>
  </si>
  <si>
    <t>March 20, 2002</t>
  </si>
  <si>
    <t xml:space="preserve">End of Englishman River Road to "Grassy Bank" </t>
  </si>
  <si>
    <t>March 09, 2002</t>
  </si>
  <si>
    <t>March 07, 2002</t>
  </si>
  <si>
    <t>March 06, 2002</t>
  </si>
  <si>
    <t>March 13, 2001</t>
  </si>
  <si>
    <t xml:space="preserve"> Morison Creek confluence to end of the Long Run</t>
  </si>
  <si>
    <t xml:space="preserve"> End of the Long Run to the Big Tent Run</t>
  </si>
  <si>
    <t>March 28, 2000</t>
  </si>
  <si>
    <t>500 m u/s of the South Fork confluence to Allsbrook Canyon</t>
  </si>
  <si>
    <t>March 08, 1999</t>
  </si>
  <si>
    <t xml:space="preserve"> Morison Creek to "Grassy Banks"</t>
  </si>
  <si>
    <t xml:space="preserve"> "Grassy Banks" to the Big Tent Run</t>
  </si>
  <si>
    <t>March 28, 1996</t>
  </si>
  <si>
    <t>March 01, 1995</t>
  </si>
  <si>
    <t>March 28, 1994</t>
  </si>
  <si>
    <t>March 11, 1992</t>
  </si>
  <si>
    <t>March 26, 1991</t>
  </si>
  <si>
    <t>March 01, 1991</t>
  </si>
  <si>
    <t xml:space="preserve"> Morison Creek confluence to Allsbrook Canyon</t>
  </si>
  <si>
    <t>March 01, 1989</t>
  </si>
  <si>
    <t>Above powerlines to Hwy 19 bridge (New Hwy)</t>
  </si>
  <si>
    <t>March 27, 1987</t>
  </si>
  <si>
    <t>Claybanks to Allsbrook Canyon</t>
  </si>
  <si>
    <t>March 18, 1985</t>
  </si>
  <si>
    <t>Englishman Falls pool to Allsbrook Canyon</t>
  </si>
  <si>
    <t>Allsbrook Canyon to the Ocean</t>
  </si>
  <si>
    <t>March 11, 1985</t>
  </si>
  <si>
    <t>Claybanks to Hwy 19 bridge (new Hwy)</t>
  </si>
  <si>
    <t>March 24, 1983</t>
  </si>
  <si>
    <t>March 31, 1982</t>
  </si>
  <si>
    <t>South Fork confluence to Allsbrook Canyon</t>
  </si>
  <si>
    <t>historical swims</t>
  </si>
  <si>
    <t>NOTES:</t>
  </si>
  <si>
    <t>Mainstem section 3: Englishman Falls Pool to the end on Englishman River Road (6.2 km)</t>
  </si>
  <si>
    <t xml:space="preserve">Mainstems 1, 2 and 3, and South Fork Englishman represent current indexes surveyed. </t>
  </si>
  <si>
    <t xml:space="preserve">Mainstem section 2: End of Englishman River Road to "Grassy Bank" (4.6 km) </t>
  </si>
  <si>
    <t xml:space="preserve">Mainstem section 1: "Grassy Banks" to the Big Tent Run (4.2 km) </t>
  </si>
  <si>
    <t>South Fork Englishman: #155 Mainline bridge crossing to Englishman confluence (4.5 km)</t>
  </si>
  <si>
    <t>Days</t>
  </si>
  <si>
    <t># fish</t>
  </si>
  <si>
    <t># of Fish</t>
  </si>
  <si>
    <t>keo surviv</t>
  </si>
  <si>
    <t>count</t>
  </si>
  <si>
    <t>75% eff</t>
  </si>
  <si>
    <t>smolt calc</t>
  </si>
  <si>
    <t>2600 x survi</t>
  </si>
  <si>
    <t>Year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</si>
  <si>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</si>
  <si>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</si>
  <si>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</si>
  <si>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</si>
  <si>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</si>
  <si>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</si>
  <si>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</si>
  <si>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</si>
  <si>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</si>
  <si>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</si>
  <si>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</si>
  <si>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</si>
  <si>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</si>
  <si>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</si>
  <si>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</si>
  <si>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</si>
  <si>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</si>
  <si>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</si>
  <si>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</si>
  <si>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</si>
  <si>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</si>
  <si>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</si>
  <si>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</si>
  <si>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Section</t>
  </si>
  <si>
    <t>Peak Density</t>
  </si>
  <si>
    <t>Falls - Allsbrook</t>
  </si>
  <si>
    <t>Falls - Hootons</t>
  </si>
  <si>
    <t>Falls - Mouth</t>
  </si>
  <si>
    <t>SF - Hootons, plus Hwy spot check</t>
  </si>
  <si>
    <t>Peak Density/Year, All Surveys</t>
  </si>
  <si>
    <t>Claybanks to Allsbrook</t>
  </si>
  <si>
    <t>Morrison-Allsbrook</t>
  </si>
  <si>
    <t>SF Conf-Bypss brgd</t>
  </si>
  <si>
    <t>SF Conf-S Pool (Allsbrook)</t>
  </si>
  <si>
    <t>Morrison-Big Tent</t>
  </si>
  <si>
    <t>?</t>
  </si>
  <si>
    <t>Eman R Rd to Allsbrook</t>
  </si>
  <si>
    <t>May include results from short sections, counts with hatchery fish, and years when peak timing not surveyed.</t>
  </si>
  <si>
    <t>Falls-Mouth</t>
  </si>
  <si>
    <t>Peak</t>
  </si>
  <si>
    <t>15 km</t>
  </si>
  <si>
    <t>AUC</t>
  </si>
  <si>
    <t>Peak Count</t>
  </si>
  <si>
    <t>efficiency</t>
  </si>
  <si>
    <t>Survey Efficiency</t>
  </si>
  <si>
    <t>Day of run</t>
  </si>
  <si>
    <t>#Fish</t>
  </si>
  <si>
    <t xml:space="preserve"> </t>
  </si>
  <si>
    <t>201-03-27</t>
  </si>
  <si>
    <t xml:space="preserve">Population based on </t>
  </si>
  <si>
    <t>Residence time @</t>
  </si>
  <si>
    <t>Peak / population ratio</t>
  </si>
  <si>
    <t xml:space="preserve">Residence time @ </t>
  </si>
  <si>
    <t>survey efficiency</t>
  </si>
  <si>
    <t>Day</t>
  </si>
  <si>
    <t>Partial Area</t>
  </si>
  <si>
    <t>OE</t>
  </si>
  <si>
    <t>Survey Day  /Q</t>
  </si>
  <si>
    <t>Y=(((0.0523)X)-0.0028)</t>
  </si>
  <si>
    <t>Relationship 1</t>
  </si>
  <si>
    <t>Annual AUC (fish days)</t>
  </si>
  <si>
    <t>OE calibrated - Relationship #</t>
  </si>
  <si>
    <t>WSC - Average daily Q</t>
  </si>
  <si>
    <t>Unadjusted flow on survey day</t>
  </si>
  <si>
    <t>Syurvey day / unadjusted flow</t>
  </si>
  <si>
    <t>Corrected count</t>
  </si>
  <si>
    <t>Partial Area (fish/days)</t>
  </si>
  <si>
    <t>Annual AUC (fish/days)</t>
  </si>
  <si>
    <t>Popn</t>
  </si>
  <si>
    <t>Res time =</t>
  </si>
  <si>
    <t>Res time=</t>
  </si>
  <si>
    <t>Peak count population ratio</t>
  </si>
  <si>
    <t>Annual Peak count</t>
  </si>
  <si>
    <t>Population estimate (AUC)</t>
  </si>
  <si>
    <t>Time standardized</t>
  </si>
  <si>
    <t>fraction of peak count</t>
  </si>
  <si>
    <t xml:space="preserve">Poly </t>
  </si>
  <si>
    <t>linear</t>
  </si>
  <si>
    <t>Peak count ratio and survey day lookup function</t>
  </si>
  <si>
    <t>Percent of run</t>
  </si>
  <si>
    <t>For surveys before stat day 123</t>
  </si>
  <si>
    <t>Linear function</t>
  </si>
  <si>
    <t>Area standardization</t>
  </si>
  <si>
    <t>Section 1 (upper)</t>
  </si>
  <si>
    <t>Section 3 (lower)</t>
  </si>
  <si>
    <t>Section 2 (middle)</t>
  </si>
  <si>
    <t>Section 4 (South F)</t>
  </si>
  <si>
    <t>Solve for unknown  survey sections</t>
  </si>
  <si>
    <t>Section 1</t>
  </si>
  <si>
    <t>Lower</t>
  </si>
  <si>
    <t>Section 2</t>
  </si>
  <si>
    <t>Middle</t>
  </si>
  <si>
    <t>Section 3</t>
  </si>
  <si>
    <t>Upper</t>
  </si>
  <si>
    <t>Section 1 and 2</t>
  </si>
  <si>
    <t>Lower and Middle</t>
  </si>
  <si>
    <t>Survey Area and  spatial distribution tool</t>
  </si>
  <si>
    <t>Fraction of fish in each section (from regression)</t>
  </si>
  <si>
    <t>Section 2 and 3</t>
  </si>
  <si>
    <t>Upper and Middle</t>
  </si>
  <si>
    <t>Fraction of fish in each section (from all survey average)</t>
  </si>
  <si>
    <t xml:space="preserve"> Section 1 and 2</t>
  </si>
  <si>
    <t>Temporally calibrated</t>
  </si>
  <si>
    <t>factor</t>
  </si>
  <si>
    <t>Spatially Calibrated (time variant)</t>
  </si>
  <si>
    <t>Estimate</t>
  </si>
  <si>
    <t>estimate</t>
  </si>
  <si>
    <t xml:space="preserve">Fixed at </t>
  </si>
  <si>
    <t>RAW AUC</t>
  </si>
  <si>
    <t>hootons TO</t>
  </si>
  <si>
    <t>% Hatchery</t>
  </si>
  <si>
    <t>Proportion by age at return</t>
  </si>
  <si>
    <t>P4</t>
  </si>
  <si>
    <t>P5</t>
  </si>
  <si>
    <t>P6</t>
  </si>
  <si>
    <t>P7</t>
  </si>
  <si>
    <t>P8</t>
  </si>
  <si>
    <t>Brood Year</t>
  </si>
  <si>
    <t>Sex</t>
  </si>
  <si>
    <t>FW Age</t>
  </si>
  <si>
    <t>Ocean age</t>
  </si>
  <si>
    <t>Number Aged</t>
  </si>
  <si>
    <t>Average Total Age</t>
  </si>
  <si>
    <t>Totals</t>
  </si>
  <si>
    <t>repeat</t>
  </si>
  <si>
    <t xml:space="preserve">F </t>
  </si>
  <si>
    <t>M</t>
  </si>
  <si>
    <t>Number</t>
  </si>
  <si>
    <t>Percent</t>
  </si>
  <si>
    <t>All Years</t>
  </si>
  <si>
    <t>P3</t>
  </si>
  <si>
    <r>
      <rPr>
        <sz val="10"/>
        <color rgb="FF00B050"/>
        <rFont val="Arial"/>
        <family val="2"/>
      </rPr>
      <t>Green are known age distributions</t>
    </r>
    <r>
      <rPr>
        <sz val="10"/>
        <color rgb="FFFF0000"/>
        <rFont val="Arial"/>
        <family val="2"/>
      </rPr>
      <t xml:space="preserve">, Red is the average projected back </t>
    </r>
  </si>
  <si>
    <t>The distribution has changed from the figures to the right by using only known</t>
  </si>
  <si>
    <t>ages and assigning repeats to apropriate brood years</t>
  </si>
  <si>
    <t>Sec 1,2,3 Abundance Estimate</t>
  </si>
  <si>
    <r>
      <t>Spatially /</t>
    </r>
    <r>
      <rPr>
        <sz val="10"/>
        <color rgb="FFFF0000"/>
        <rFont val="Arial"/>
        <family val="2"/>
      </rPr>
      <t xml:space="preserve"> temporally</t>
    </r>
    <r>
      <rPr>
        <sz val="10"/>
        <rFont val="Arial"/>
        <family val="2"/>
      </rPr>
      <t xml:space="preserve"> corected Sections (1,2,3)</t>
    </r>
  </si>
  <si>
    <t>MLE Estimate</t>
  </si>
  <si>
    <t>MLE with Priors</t>
  </si>
  <si>
    <t>MLE estimate (OE Mean)</t>
  </si>
  <si>
    <t>MLE peak count ratio (OE Mean)</t>
  </si>
  <si>
    <t>Abundance from average MLE/peak ratio (2002 - 2016 - OE - Priors )</t>
  </si>
  <si>
    <t>Average ratio used</t>
  </si>
  <si>
    <t>Abundance estimates for 1982-2001, 2006, 2008, 2009 derived from average MLE / peak ratio  using mean OE of 0.55 (2002-2011;2015-2016) or with Calibrated OE estimates (2012-2014)</t>
  </si>
  <si>
    <t>Abundance estimates derived from average MLE / peak ratio or with Calibrated OE estimates (2012-2014)</t>
  </si>
  <si>
    <t>This area corrects for spatial (ie incomplete surveys) and temporal (ie non peak time) adjustments as if the survey was completed as a whole stream and at peak time</t>
  </si>
  <si>
    <t>Spatially Calibrated (Fixed ratio) scales results for whole stream</t>
  </si>
  <si>
    <t>OE Adj Peak / population ratio</t>
  </si>
  <si>
    <r>
      <rPr>
        <b/>
        <sz val="12"/>
        <rFont val="Arial"/>
        <family val="2"/>
      </rPr>
      <t>Steelhead Population Estimate</t>
    </r>
    <r>
      <rPr>
        <sz val="10"/>
        <rFont val="Arial"/>
        <family val="2"/>
      </rPr>
      <t xml:space="preserve"> (AUC - fixed at 50 days residence time and 0.55 observer efficiency, these data include spatially and temporally calibrated surveys for incomplete or non-peak surveys before 1998)</t>
    </r>
  </si>
  <si>
    <r>
      <rPr>
        <b/>
        <sz val="12"/>
        <rFont val="Arial"/>
        <family val="2"/>
      </rPr>
      <t>Annual Peak Count</t>
    </r>
    <r>
      <rPr>
        <sz val="10"/>
        <rFont val="Arial"/>
        <family val="2"/>
      </rPr>
      <t xml:space="preserve"> (observer efficiency of 0.55 applied, spatially and temporally calibrated for non-peak and incomplete historic surveys prior to 1998)</t>
    </r>
  </si>
  <si>
    <t>Survey 1</t>
  </si>
  <si>
    <t>Population Estimate</t>
  </si>
  <si>
    <t>Corrected Observer Estimate</t>
  </si>
  <si>
    <t>Survey 2</t>
  </si>
  <si>
    <t>Survey 3</t>
  </si>
  <si>
    <t>Survey 4</t>
  </si>
  <si>
    <t>Survey 5</t>
  </si>
  <si>
    <t>Observer Estimate</t>
  </si>
  <si>
    <t>Comments and Notes</t>
  </si>
  <si>
    <t>Survey 6</t>
  </si>
  <si>
    <t>Survey 7</t>
  </si>
  <si>
    <t>Survey 8</t>
  </si>
  <si>
    <t>Repeat X axis 0-9 4 times with 2002-2007, 2008-2013, 2014-2019, 2020-2024</t>
  </si>
  <si>
    <t>Stat. Day</t>
  </si>
  <si>
    <t xml:space="preserve">Survey Area and  spatial distribution tool Solve for unknown  survey sections	</t>
  </si>
  <si>
    <t>min</t>
  </si>
  <si>
    <t>mean</t>
  </si>
  <si>
    <t>max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</si>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</sst>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-1009]d\-mmm\-yy;@"/>
    <numFmt numFmtId="166" formatCode="[$-F800]dddd\,\ mmmm\ dd\,\ yyyy"/>
    <numFmt numFmtId="167" formatCode="[$-1009]d/mmm/yy;@"/>
    <numFmt numFmtId="168" formatCode="0.0000"/>
    <numFmt numFmtId="169" formatCode="0.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Tms Rmn"/>
    </font>
    <font>
      <b/>
      <i/>
      <sz val="10"/>
      <name val="Tms Rmn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B050"/>
      <name val="Arial"/>
      <family val="2"/>
    </font>
    <font>
      <sz val="10"/>
      <color theme="2"/>
      <name val="Arial"/>
      <family val="2"/>
    </font>
    <font>
      <sz val="10"/>
      <color rgb="FFFFFF00"/>
      <name val="Arial"/>
      <family val="2"/>
    </font>
    <font>
      <sz val="10"/>
      <color rgb="FF002060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8"/>
      <name val="Arial"/>
      <family val="2"/>
    </font>
    <font>
      <sz val="20"/>
      <name val="Arial"/>
      <family val="2"/>
    </font>
    <font>
      <sz val="18"/>
      <color theme="1"/>
      <name val="Arial"/>
      <family val="2"/>
    </font>
    <font>
      <sz val="18"/>
      <color rgb="FFFF0000"/>
      <name val="Arial"/>
      <family val="2"/>
    </font>
    <font>
      <b/>
      <sz val="16"/>
      <color rgb="FFFF0000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</fills>
  <borders count="7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37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5" fillId="3" borderId="1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6" fontId="5" fillId="3" borderId="6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3" borderId="9" xfId="0" applyFont="1" applyFill="1" applyBorder="1" applyAlignment="1">
      <alignment horizontal="center"/>
    </xf>
    <xf numFmtId="2" fontId="5" fillId="3" borderId="0" xfId="0" applyNumberFormat="1" applyFont="1" applyFill="1" applyAlignment="1">
      <alignment horizontal="center"/>
    </xf>
    <xf numFmtId="49" fontId="5" fillId="4" borderId="6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2" fontId="5" fillId="4" borderId="8" xfId="0" applyNumberFormat="1" applyFont="1" applyFill="1" applyBorder="1" applyAlignment="1">
      <alignment horizontal="center"/>
    </xf>
    <xf numFmtId="0" fontId="5" fillId="4" borderId="1" xfId="0" applyFont="1" applyFill="1" applyBorder="1"/>
    <xf numFmtId="2" fontId="5" fillId="4" borderId="0" xfId="0" applyNumberFormat="1" applyFont="1" applyFill="1" applyAlignment="1">
      <alignment horizontal="center"/>
    </xf>
    <xf numFmtId="0" fontId="5" fillId="4" borderId="9" xfId="0" applyFont="1" applyFill="1" applyBorder="1" applyAlignment="1">
      <alignment horizontal="center"/>
    </xf>
    <xf numFmtId="49" fontId="5" fillId="3" borderId="6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9" fontId="5" fillId="3" borderId="15" xfId="0" applyNumberFormat="1" applyFont="1" applyFill="1" applyBorder="1" applyAlignment="1">
      <alignment horizontal="center"/>
    </xf>
    <xf numFmtId="2" fontId="5" fillId="3" borderId="16" xfId="0" applyNumberFormat="1" applyFont="1" applyFill="1" applyBorder="1" applyAlignment="1">
      <alignment horizontal="center"/>
    </xf>
    <xf numFmtId="0" fontId="5" fillId="3" borderId="17" xfId="0" applyFont="1" applyFill="1" applyBorder="1"/>
    <xf numFmtId="2" fontId="5" fillId="3" borderId="18" xfId="0" applyNumberFormat="1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center"/>
    </xf>
    <xf numFmtId="2" fontId="5" fillId="3" borderId="0" xfId="0" applyNumberFormat="1" applyFont="1" applyFill="1"/>
    <xf numFmtId="0" fontId="5" fillId="3" borderId="22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6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0" xfId="0" applyFont="1" applyFill="1" applyAlignment="1">
      <alignment horizontal="right"/>
    </xf>
    <xf numFmtId="16" fontId="0" fillId="0" borderId="0" xfId="0" applyNumberFormat="1"/>
    <xf numFmtId="15" fontId="0" fillId="0" borderId="0" xfId="0" applyNumberFormat="1"/>
    <xf numFmtId="2" fontId="6" fillId="5" borderId="0" xfId="0" applyNumberFormat="1" applyFont="1" applyFill="1"/>
    <xf numFmtId="2" fontId="7" fillId="5" borderId="0" xfId="0" applyNumberFormat="1" applyFont="1" applyFill="1"/>
    <xf numFmtId="0" fontId="3" fillId="0" borderId="0" xfId="0" applyFont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4" fillId="0" borderId="0" xfId="0" applyFont="1"/>
    <xf numFmtId="164" fontId="4" fillId="0" borderId="0" xfId="0" applyNumberFormat="1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5" fontId="4" fillId="0" borderId="0" xfId="0" applyNumberFormat="1" applyFon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4" fontId="0" fillId="0" borderId="0" xfId="0" applyNumberFormat="1"/>
    <xf numFmtId="0" fontId="9" fillId="0" borderId="0" xfId="0" applyFont="1"/>
    <xf numFmtId="15" fontId="9" fillId="0" borderId="0" xfId="0" applyNumberFormat="1" applyFont="1"/>
    <xf numFmtId="1" fontId="0" fillId="0" borderId="0" xfId="0" applyNumberFormat="1"/>
    <xf numFmtId="0" fontId="0" fillId="0" borderId="1" xfId="0" applyBorder="1"/>
    <xf numFmtId="0" fontId="0" fillId="0" borderId="8" xfId="0" applyBorder="1"/>
    <xf numFmtId="0" fontId="9" fillId="0" borderId="34" xfId="0" applyFont="1" applyBorder="1"/>
    <xf numFmtId="0" fontId="0" fillId="0" borderId="35" xfId="0" applyBorder="1"/>
    <xf numFmtId="0" fontId="0" fillId="0" borderId="36" xfId="0" applyBorder="1"/>
    <xf numFmtId="0" fontId="9" fillId="0" borderId="37" xfId="0" applyFont="1" applyBorder="1"/>
    <xf numFmtId="0" fontId="0" fillId="0" borderId="38" xfId="0" applyBorder="1"/>
    <xf numFmtId="0" fontId="0" fillId="0" borderId="37" xfId="0" applyBorder="1"/>
    <xf numFmtId="164" fontId="0" fillId="0" borderId="37" xfId="0" applyNumberFormat="1" applyBorder="1"/>
    <xf numFmtId="164" fontId="0" fillId="0" borderId="38" xfId="0" applyNumberFormat="1" applyBorder="1"/>
    <xf numFmtId="164" fontId="0" fillId="0" borderId="39" xfId="0" applyNumberFormat="1" applyBorder="1"/>
    <xf numFmtId="164" fontId="0" fillId="0" borderId="40" xfId="0" applyNumberFormat="1" applyBorder="1"/>
    <xf numFmtId="164" fontId="0" fillId="0" borderId="41" xfId="0" applyNumberFormat="1" applyBorder="1"/>
    <xf numFmtId="0" fontId="0" fillId="0" borderId="42" xfId="0" applyBorder="1"/>
    <xf numFmtId="14" fontId="0" fillId="0" borderId="38" xfId="0" applyNumberFormat="1" applyBorder="1"/>
    <xf numFmtId="1" fontId="0" fillId="0" borderId="37" xfId="0" applyNumberFormat="1" applyBorder="1"/>
    <xf numFmtId="1" fontId="0" fillId="0" borderId="38" xfId="0" applyNumberForma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7" xfId="0" applyBorder="1"/>
    <xf numFmtId="2" fontId="0" fillId="0" borderId="27" xfId="0" applyNumberFormat="1" applyBorder="1"/>
    <xf numFmtId="0" fontId="0" fillId="0" borderId="34" xfId="0" applyBorder="1"/>
    <xf numFmtId="164" fontId="0" fillId="0" borderId="34" xfId="0" applyNumberFormat="1" applyBorder="1"/>
    <xf numFmtId="164" fontId="0" fillId="0" borderId="35" xfId="0" applyNumberFormat="1" applyBorder="1"/>
    <xf numFmtId="164" fontId="0" fillId="0" borderId="36" xfId="0" applyNumberFormat="1" applyBorder="1"/>
    <xf numFmtId="164" fontId="0" fillId="0" borderId="27" xfId="0" applyNumberFormat="1" applyBorder="1"/>
    <xf numFmtId="2" fontId="0" fillId="0" borderId="0" xfId="0" applyNumberFormat="1" applyAlignment="1">
      <alignment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0" fontId="9" fillId="6" borderId="0" xfId="0" applyFont="1" applyFill="1"/>
    <xf numFmtId="0" fontId="0" fillId="6" borderId="0" xfId="0" applyFill="1"/>
    <xf numFmtId="2" fontId="9" fillId="6" borderId="0" xfId="0" applyNumberFormat="1" applyFont="1" applyFill="1" applyAlignment="1">
      <alignment wrapText="1"/>
    </xf>
    <xf numFmtId="2" fontId="0" fillId="6" borderId="0" xfId="0" applyNumberFormat="1" applyFill="1" applyAlignment="1">
      <alignment wrapText="1"/>
    </xf>
    <xf numFmtId="0" fontId="11" fillId="6" borderId="0" xfId="0" applyFont="1" applyFill="1"/>
    <xf numFmtId="0" fontId="11" fillId="0" borderId="0" xfId="0" applyFont="1"/>
    <xf numFmtId="0" fontId="0" fillId="7" borderId="0" xfId="0" applyFill="1"/>
    <xf numFmtId="2" fontId="0" fillId="7" borderId="0" xfId="0" applyNumberFormat="1" applyFill="1" applyAlignment="1">
      <alignment wrapText="1"/>
    </xf>
    <xf numFmtId="2" fontId="9" fillId="7" borderId="0" xfId="0" applyNumberFormat="1" applyFont="1" applyFill="1" applyAlignment="1">
      <alignment wrapText="1"/>
    </xf>
    <xf numFmtId="0" fontId="11" fillId="7" borderId="0" xfId="0" applyFont="1" applyFill="1"/>
    <xf numFmtId="0" fontId="10" fillId="6" borderId="0" xfId="0" applyFont="1" applyFill="1"/>
    <xf numFmtId="169" fontId="0" fillId="6" borderId="0" xfId="0" applyNumberFormat="1" applyFill="1"/>
    <xf numFmtId="0" fontId="9" fillId="0" borderId="43" xfId="0" applyFont="1" applyBorder="1"/>
    <xf numFmtId="2" fontId="9" fillId="0" borderId="0" xfId="0" applyNumberFormat="1" applyFont="1" applyAlignment="1">
      <alignment wrapText="1"/>
    </xf>
    <xf numFmtId="0" fontId="10" fillId="0" borderId="0" xfId="0" applyFont="1"/>
    <xf numFmtId="1" fontId="0" fillId="0" borderId="0" xfId="0" applyNumberFormat="1" applyAlignment="1">
      <alignment wrapText="1"/>
    </xf>
    <xf numFmtId="167" fontId="9" fillId="0" borderId="0" xfId="0" applyNumberFormat="1" applyFont="1" applyAlignment="1">
      <alignment wrapText="1"/>
    </xf>
    <xf numFmtId="2" fontId="0" fillId="0" borderId="8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37" xfId="0" applyNumberFormat="1" applyBorder="1" applyAlignment="1">
      <alignment wrapText="1"/>
    </xf>
    <xf numFmtId="2" fontId="0" fillId="0" borderId="38" xfId="0" applyNumberFormat="1" applyBorder="1" applyAlignment="1">
      <alignment wrapText="1"/>
    </xf>
    <xf numFmtId="0" fontId="0" fillId="0" borderId="44" xfId="0" applyBorder="1"/>
    <xf numFmtId="0" fontId="0" fillId="0" borderId="21" xfId="0" applyBorder="1"/>
    <xf numFmtId="167" fontId="0" fillId="0" borderId="21" xfId="0" applyNumberFormat="1" applyBorder="1"/>
    <xf numFmtId="0" fontId="9" fillId="0" borderId="44" xfId="0" applyFont="1" applyBorder="1"/>
    <xf numFmtId="0" fontId="9" fillId="0" borderId="21" xfId="0" applyFont="1" applyBorder="1"/>
    <xf numFmtId="0" fontId="0" fillId="0" borderId="45" xfId="0" applyBorder="1"/>
    <xf numFmtId="0" fontId="10" fillId="7" borderId="44" xfId="0" applyFont="1" applyFill="1" applyBorder="1"/>
    <xf numFmtId="0" fontId="10" fillId="7" borderId="21" xfId="0" applyFont="1" applyFill="1" applyBorder="1"/>
    <xf numFmtId="0" fontId="0" fillId="7" borderId="45" xfId="0" applyFill="1" applyBorder="1"/>
    <xf numFmtId="0" fontId="9" fillId="6" borderId="44" xfId="0" applyFont="1" applyFill="1" applyBorder="1"/>
    <xf numFmtId="0" fontId="0" fillId="6" borderId="21" xfId="0" applyFill="1" applyBorder="1"/>
    <xf numFmtId="0" fontId="9" fillId="6" borderId="21" xfId="0" applyFont="1" applyFill="1" applyBorder="1"/>
    <xf numFmtId="0" fontId="0" fillId="6" borderId="45" xfId="0" applyFill="1" applyBorder="1"/>
    <xf numFmtId="2" fontId="0" fillId="0" borderId="16" xfId="0" applyNumberFormat="1" applyBorder="1" applyAlignment="1">
      <alignment wrapText="1"/>
    </xf>
    <xf numFmtId="2" fontId="0" fillId="0" borderId="17" xfId="0" applyNumberFormat="1" applyBorder="1" applyAlignment="1">
      <alignment wrapText="1"/>
    </xf>
    <xf numFmtId="167" fontId="0" fillId="0" borderId="17" xfId="0" applyNumberFormat="1" applyBorder="1" applyAlignment="1">
      <alignment wrapText="1"/>
    </xf>
    <xf numFmtId="2" fontId="9" fillId="0" borderId="16" xfId="0" applyNumberFormat="1" applyFont="1" applyBorder="1" applyAlignment="1">
      <alignment wrapText="1"/>
    </xf>
    <xf numFmtId="2" fontId="9" fillId="0" borderId="17" xfId="0" applyNumberFormat="1" applyFont="1" applyBorder="1" applyAlignment="1">
      <alignment wrapText="1"/>
    </xf>
    <xf numFmtId="2" fontId="9" fillId="0" borderId="46" xfId="0" applyNumberFormat="1" applyFont="1" applyBorder="1" applyAlignment="1">
      <alignment wrapText="1"/>
    </xf>
    <xf numFmtId="2" fontId="0" fillId="0" borderId="46" xfId="0" applyNumberFormat="1" applyBorder="1" applyAlignment="1">
      <alignment wrapText="1"/>
    </xf>
    <xf numFmtId="2" fontId="0" fillId="7" borderId="16" xfId="0" applyNumberFormat="1" applyFill="1" applyBorder="1" applyAlignment="1">
      <alignment wrapText="1"/>
    </xf>
    <xf numFmtId="2" fontId="9" fillId="7" borderId="17" xfId="0" applyNumberFormat="1" applyFont="1" applyFill="1" applyBorder="1" applyAlignment="1">
      <alignment wrapText="1"/>
    </xf>
    <xf numFmtId="2" fontId="0" fillId="7" borderId="46" xfId="0" applyNumberFormat="1" applyFill="1" applyBorder="1" applyAlignment="1">
      <alignment wrapText="1"/>
    </xf>
    <xf numFmtId="2" fontId="9" fillId="6" borderId="16" xfId="0" applyNumberFormat="1" applyFont="1" applyFill="1" applyBorder="1" applyAlignment="1">
      <alignment wrapText="1"/>
    </xf>
    <xf numFmtId="2" fontId="0" fillId="6" borderId="17" xfId="0" applyNumberFormat="1" applyFill="1" applyBorder="1" applyAlignment="1">
      <alignment wrapText="1"/>
    </xf>
    <xf numFmtId="2" fontId="9" fillId="6" borderId="17" xfId="0" applyNumberFormat="1" applyFont="1" applyFill="1" applyBorder="1" applyAlignment="1">
      <alignment wrapText="1"/>
    </xf>
    <xf numFmtId="2" fontId="9" fillId="6" borderId="46" xfId="0" applyNumberFormat="1" applyFont="1" applyFill="1" applyBorder="1" applyAlignment="1">
      <alignment wrapText="1"/>
    </xf>
    <xf numFmtId="164" fontId="0" fillId="0" borderId="21" xfId="0" applyNumberFormat="1" applyBorder="1"/>
    <xf numFmtId="164" fontId="0" fillId="0" borderId="17" xfId="0" applyNumberFormat="1" applyBorder="1" applyAlignment="1">
      <alignment wrapText="1"/>
    </xf>
    <xf numFmtId="2" fontId="9" fillId="0" borderId="37" xfId="0" applyNumberFormat="1" applyFont="1" applyBorder="1" applyAlignment="1">
      <alignment wrapText="1"/>
    </xf>
    <xf numFmtId="2" fontId="10" fillId="0" borderId="0" xfId="0" applyNumberFormat="1" applyFont="1" applyAlignment="1">
      <alignment wrapText="1"/>
    </xf>
    <xf numFmtId="1" fontId="9" fillId="0" borderId="0" xfId="0" applyNumberFormat="1" applyFont="1" applyAlignment="1">
      <alignment wrapText="1"/>
    </xf>
    <xf numFmtId="164" fontId="9" fillId="0" borderId="21" xfId="0" applyNumberFormat="1" applyFont="1" applyBorder="1"/>
    <xf numFmtId="0" fontId="0" fillId="0" borderId="33" xfId="0" applyBorder="1"/>
    <xf numFmtId="2" fontId="9" fillId="0" borderId="19" xfId="0" applyNumberFormat="1" applyFont="1" applyBorder="1" applyAlignment="1">
      <alignment wrapText="1"/>
    </xf>
    <xf numFmtId="2" fontId="0" fillId="0" borderId="22" xfId="0" applyNumberFormat="1" applyBorder="1" applyAlignment="1">
      <alignment wrapText="1"/>
    </xf>
    <xf numFmtId="1" fontId="0" fillId="0" borderId="22" xfId="0" applyNumberFormat="1" applyBorder="1"/>
    <xf numFmtId="0" fontId="0" fillId="0" borderId="22" xfId="0" applyBorder="1"/>
    <xf numFmtId="1" fontId="0" fillId="8" borderId="0" xfId="0" applyNumberFormat="1" applyFill="1" applyAlignment="1">
      <alignment wrapText="1"/>
    </xf>
    <xf numFmtId="0" fontId="0" fillId="8" borderId="0" xfId="0" applyFill="1"/>
    <xf numFmtId="167" fontId="0" fillId="8" borderId="0" xfId="0" applyNumberFormat="1" applyFill="1" applyAlignment="1">
      <alignment wrapText="1"/>
    </xf>
    <xf numFmtId="2" fontId="0" fillId="8" borderId="0" xfId="0" applyNumberFormat="1" applyFill="1" applyAlignment="1">
      <alignment wrapText="1"/>
    </xf>
    <xf numFmtId="2" fontId="0" fillId="8" borderId="37" xfId="0" applyNumberFormat="1" applyFill="1" applyBorder="1" applyAlignment="1">
      <alignment wrapText="1"/>
    </xf>
    <xf numFmtId="2" fontId="0" fillId="8" borderId="38" xfId="0" applyNumberFormat="1" applyFill="1" applyBorder="1" applyAlignment="1">
      <alignment wrapText="1"/>
    </xf>
    <xf numFmtId="2" fontId="0" fillId="8" borderId="22" xfId="0" applyNumberFormat="1" applyFill="1" applyBorder="1" applyAlignment="1">
      <alignment wrapText="1"/>
    </xf>
    <xf numFmtId="164" fontId="0" fillId="8" borderId="0" xfId="0" applyNumberFormat="1" applyFill="1" applyAlignment="1">
      <alignment wrapText="1"/>
    </xf>
    <xf numFmtId="2" fontId="0" fillId="8" borderId="1" xfId="0" applyNumberFormat="1" applyFill="1" applyBorder="1" applyAlignment="1">
      <alignment wrapText="1"/>
    </xf>
    <xf numFmtId="2" fontId="0" fillId="8" borderId="8" xfId="0" applyNumberFormat="1" applyFill="1" applyBorder="1" applyAlignment="1">
      <alignment wrapText="1"/>
    </xf>
    <xf numFmtId="2" fontId="9" fillId="8" borderId="0" xfId="0" applyNumberFormat="1" applyFont="1" applyFill="1" applyAlignment="1">
      <alignment wrapText="1"/>
    </xf>
    <xf numFmtId="167" fontId="9" fillId="8" borderId="0" xfId="0" applyNumberFormat="1" applyFont="1" applyFill="1" applyAlignment="1">
      <alignment wrapText="1"/>
    </xf>
    <xf numFmtId="164" fontId="0" fillId="8" borderId="0" xfId="0" applyNumberFormat="1" applyFill="1"/>
    <xf numFmtId="2" fontId="10" fillId="8" borderId="0" xfId="0" applyNumberFormat="1" applyFont="1" applyFill="1" applyAlignment="1">
      <alignment wrapText="1"/>
    </xf>
    <xf numFmtId="2" fontId="9" fillId="8" borderId="0" xfId="0" applyNumberFormat="1" applyFont="1" applyFill="1"/>
    <xf numFmtId="0" fontId="10" fillId="8" borderId="0" xfId="0" applyFont="1" applyFill="1"/>
    <xf numFmtId="1" fontId="9" fillId="8" borderId="0" xfId="0" applyNumberFormat="1" applyFont="1" applyFill="1" applyAlignment="1">
      <alignment wrapText="1"/>
    </xf>
    <xf numFmtId="1" fontId="0" fillId="8" borderId="37" xfId="0" applyNumberFormat="1" applyFill="1" applyBorder="1" applyAlignment="1">
      <alignment wrapText="1"/>
    </xf>
    <xf numFmtId="1" fontId="0" fillId="8" borderId="38" xfId="0" applyNumberFormat="1" applyFill="1" applyBorder="1" applyAlignment="1">
      <alignment wrapText="1"/>
    </xf>
    <xf numFmtId="1" fontId="0" fillId="8" borderId="22" xfId="0" applyNumberFormat="1" applyFill="1" applyBorder="1" applyAlignment="1">
      <alignment wrapText="1"/>
    </xf>
    <xf numFmtId="167" fontId="0" fillId="8" borderId="0" xfId="0" applyNumberFormat="1" applyFill="1"/>
    <xf numFmtId="1" fontId="0" fillId="8" borderId="0" xfId="0" applyNumberFormat="1" applyFill="1"/>
    <xf numFmtId="0" fontId="0" fillId="8" borderId="37" xfId="0" applyFill="1" applyBorder="1"/>
    <xf numFmtId="0" fontId="0" fillId="8" borderId="38" xfId="0" applyFill="1" applyBorder="1"/>
    <xf numFmtId="0" fontId="0" fillId="8" borderId="22" xfId="0" applyFill="1" applyBorder="1"/>
    <xf numFmtId="0" fontId="0" fillId="8" borderId="1" xfId="0" applyFill="1" applyBorder="1"/>
    <xf numFmtId="0" fontId="0" fillId="8" borderId="8" xfId="0" applyFill="1" applyBorder="1"/>
    <xf numFmtId="16" fontId="0" fillId="8" borderId="0" xfId="0" applyNumberFormat="1" applyFill="1"/>
    <xf numFmtId="0" fontId="9" fillId="8" borderId="0" xfId="0" applyFont="1" applyFill="1"/>
    <xf numFmtId="168" fontId="0" fillId="8" borderId="0" xfId="0" applyNumberFormat="1" applyFill="1"/>
    <xf numFmtId="0" fontId="3" fillId="8" borderId="0" xfId="0" applyFont="1" applyFill="1"/>
    <xf numFmtId="0" fontId="9" fillId="8" borderId="34" xfId="0" applyFont="1" applyFill="1" applyBorder="1"/>
    <xf numFmtId="0" fontId="0" fillId="8" borderId="35" xfId="0" applyFill="1" applyBorder="1"/>
    <xf numFmtId="0" fontId="0" fillId="8" borderId="36" xfId="0" applyFill="1" applyBorder="1"/>
    <xf numFmtId="0" fontId="9" fillId="8" borderId="42" xfId="0" applyFont="1" applyFill="1" applyBorder="1"/>
    <xf numFmtId="2" fontId="0" fillId="8" borderId="0" xfId="0" applyNumberFormat="1" applyFill="1"/>
    <xf numFmtId="0" fontId="12" fillId="0" borderId="0" xfId="0" applyFont="1"/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" fontId="0" fillId="0" borderId="5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2" fontId="0" fillId="0" borderId="55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9" fontId="0" fillId="0" borderId="65" xfId="0" applyNumberFormat="1" applyBorder="1" applyAlignment="1">
      <alignment horizontal="center" vertical="center"/>
    </xf>
    <xf numFmtId="9" fontId="0" fillId="0" borderId="66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19" xfId="0" applyNumberFormat="1" applyBorder="1" applyAlignment="1">
      <alignment horizontal="center" vertical="center"/>
    </xf>
    <xf numFmtId="9" fontId="0" fillId="0" borderId="53" xfId="0" applyNumberForma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69" fontId="16" fillId="0" borderId="0" xfId="0" applyNumberFormat="1" applyFont="1"/>
    <xf numFmtId="169" fontId="10" fillId="0" borderId="0" xfId="0" applyNumberFormat="1" applyFont="1"/>
    <xf numFmtId="169" fontId="9" fillId="0" borderId="0" xfId="0" applyNumberFormat="1" applyFont="1"/>
    <xf numFmtId="164" fontId="17" fillId="0" borderId="0" xfId="0" applyNumberFormat="1" applyFont="1"/>
    <xf numFmtId="0" fontId="0" fillId="9" borderId="21" xfId="0" applyFill="1" applyBorder="1"/>
    <xf numFmtId="2" fontId="0" fillId="9" borderId="0" xfId="0" applyNumberFormat="1" applyFill="1" applyAlignment="1">
      <alignment wrapText="1"/>
    </xf>
    <xf numFmtId="1" fontId="0" fillId="9" borderId="0" xfId="0" applyNumberFormat="1" applyFill="1" applyAlignment="1">
      <alignment wrapText="1"/>
    </xf>
    <xf numFmtId="1" fontId="0" fillId="9" borderId="0" xfId="0" applyNumberFormat="1" applyFill="1"/>
    <xf numFmtId="0" fontId="0" fillId="9" borderId="0" xfId="0" applyFill="1"/>
    <xf numFmtId="1" fontId="0" fillId="0" borderId="21" xfId="0" applyNumberFormat="1" applyBorder="1"/>
    <xf numFmtId="1" fontId="9" fillId="0" borderId="17" xfId="0" applyNumberFormat="1" applyFont="1" applyBorder="1" applyAlignment="1">
      <alignment wrapText="1"/>
    </xf>
    <xf numFmtId="1" fontId="10" fillId="0" borderId="0" xfId="0" applyNumberFormat="1" applyFont="1" applyAlignment="1">
      <alignment wrapText="1"/>
    </xf>
    <xf numFmtId="167" fontId="10" fillId="0" borderId="0" xfId="0" applyNumberFormat="1" applyFont="1" applyAlignment="1">
      <alignment wrapText="1"/>
    </xf>
    <xf numFmtId="2" fontId="10" fillId="0" borderId="37" xfId="0" applyNumberFormat="1" applyFont="1" applyBorder="1" applyAlignment="1">
      <alignment wrapText="1"/>
    </xf>
    <xf numFmtId="2" fontId="10" fillId="0" borderId="38" xfId="0" applyNumberFormat="1" applyFont="1" applyBorder="1" applyAlignment="1">
      <alignment wrapText="1"/>
    </xf>
    <xf numFmtId="2" fontId="10" fillId="0" borderId="22" xfId="0" applyNumberFormat="1" applyFont="1" applyBorder="1" applyAlignment="1">
      <alignment wrapText="1"/>
    </xf>
    <xf numFmtId="164" fontId="10" fillId="0" borderId="0" xfId="0" applyNumberFormat="1" applyFont="1" applyAlignment="1">
      <alignment wrapText="1"/>
    </xf>
    <xf numFmtId="164" fontId="10" fillId="0" borderId="0" xfId="0" applyNumberFormat="1" applyFont="1"/>
    <xf numFmtId="2" fontId="10" fillId="0" borderId="1" xfId="0" applyNumberFormat="1" applyFont="1" applyBorder="1" applyAlignment="1">
      <alignment wrapText="1"/>
    </xf>
    <xf numFmtId="1" fontId="10" fillId="9" borderId="0" xfId="0" applyNumberFormat="1" applyFont="1" applyFill="1" applyAlignment="1">
      <alignment wrapText="1"/>
    </xf>
    <xf numFmtId="2" fontId="10" fillId="0" borderId="8" xfId="0" applyNumberFormat="1" applyFont="1" applyBorder="1" applyAlignment="1">
      <alignment wrapText="1"/>
    </xf>
    <xf numFmtId="2" fontId="10" fillId="7" borderId="0" xfId="0" applyNumberFormat="1" applyFont="1" applyFill="1" applyAlignment="1">
      <alignment wrapText="1"/>
    </xf>
    <xf numFmtId="2" fontId="10" fillId="6" borderId="0" xfId="0" applyNumberFormat="1" applyFont="1" applyFill="1" applyAlignment="1">
      <alignment wrapText="1"/>
    </xf>
    <xf numFmtId="1" fontId="10" fillId="8" borderId="0" xfId="0" applyNumberFormat="1" applyFont="1" applyFill="1" applyAlignment="1">
      <alignment wrapText="1"/>
    </xf>
    <xf numFmtId="167" fontId="10" fillId="8" borderId="0" xfId="0" applyNumberFormat="1" applyFont="1" applyFill="1" applyAlignment="1">
      <alignment wrapText="1"/>
    </xf>
    <xf numFmtId="2" fontId="10" fillId="8" borderId="37" xfId="0" applyNumberFormat="1" applyFont="1" applyFill="1" applyBorder="1" applyAlignment="1">
      <alignment wrapText="1"/>
    </xf>
    <xf numFmtId="2" fontId="10" fillId="8" borderId="38" xfId="0" applyNumberFormat="1" applyFont="1" applyFill="1" applyBorder="1" applyAlignment="1">
      <alignment wrapText="1"/>
    </xf>
    <xf numFmtId="2" fontId="10" fillId="8" borderId="22" xfId="0" applyNumberFormat="1" applyFont="1" applyFill="1" applyBorder="1" applyAlignment="1">
      <alignment wrapText="1"/>
    </xf>
    <xf numFmtId="164" fontId="10" fillId="8" borderId="0" xfId="0" applyNumberFormat="1" applyFont="1" applyFill="1" applyAlignment="1">
      <alignment wrapText="1"/>
    </xf>
    <xf numFmtId="164" fontId="10" fillId="8" borderId="0" xfId="0" applyNumberFormat="1" applyFont="1" applyFill="1"/>
    <xf numFmtId="2" fontId="10" fillId="8" borderId="1" xfId="0" applyNumberFormat="1" applyFont="1" applyFill="1" applyBorder="1" applyAlignment="1">
      <alignment wrapText="1"/>
    </xf>
    <xf numFmtId="2" fontId="10" fillId="8" borderId="8" xfId="0" applyNumberFormat="1" applyFont="1" applyFill="1" applyBorder="1" applyAlignment="1">
      <alignment wrapText="1"/>
    </xf>
    <xf numFmtId="164" fontId="0" fillId="6" borderId="0" xfId="0" applyNumberFormat="1" applyFill="1" applyAlignment="1">
      <alignment wrapText="1"/>
    </xf>
    <xf numFmtId="164" fontId="0" fillId="10" borderId="0" xfId="0" applyNumberFormat="1" applyFill="1" applyAlignment="1">
      <alignment wrapText="1"/>
    </xf>
    <xf numFmtId="2" fontId="0" fillId="0" borderId="21" xfId="0" applyNumberFormat="1" applyBorder="1"/>
    <xf numFmtId="2" fontId="10" fillId="0" borderId="0" xfId="0" applyNumberFormat="1" applyFont="1"/>
    <xf numFmtId="2" fontId="10" fillId="8" borderId="0" xfId="0" applyNumberFormat="1" applyFont="1" applyFill="1"/>
    <xf numFmtId="164" fontId="0" fillId="0" borderId="1" xfId="0" applyNumberFormat="1" applyBorder="1"/>
    <xf numFmtId="164" fontId="0" fillId="8" borderId="1" xfId="0" applyNumberFormat="1" applyFill="1" applyBorder="1"/>
    <xf numFmtId="1" fontId="0" fillId="0" borderId="17" xfId="0" applyNumberFormat="1" applyBorder="1" applyAlignment="1">
      <alignment wrapText="1"/>
    </xf>
    <xf numFmtId="1" fontId="0" fillId="9" borderId="21" xfId="0" applyNumberFormat="1" applyFill="1" applyBorder="1"/>
    <xf numFmtId="0" fontId="9" fillId="9" borderId="21" xfId="0" applyFont="1" applyFill="1" applyBorder="1"/>
    <xf numFmtId="0" fontId="0" fillId="11" borderId="21" xfId="0" applyFill="1" applyBorder="1"/>
    <xf numFmtId="2" fontId="9" fillId="11" borderId="17" xfId="0" applyNumberFormat="1" applyFont="1" applyFill="1" applyBorder="1" applyAlignment="1">
      <alignment wrapText="1"/>
    </xf>
    <xf numFmtId="2" fontId="0" fillId="11" borderId="0" xfId="0" applyNumberFormat="1" applyFill="1" applyAlignment="1">
      <alignment wrapText="1"/>
    </xf>
    <xf numFmtId="0" fontId="0" fillId="11" borderId="0" xfId="0" applyFill="1"/>
    <xf numFmtId="2" fontId="9" fillId="9" borderId="17" xfId="0" applyNumberFormat="1" applyFont="1" applyFill="1" applyBorder="1" applyAlignment="1">
      <alignment wrapText="1"/>
    </xf>
    <xf numFmtId="2" fontId="0" fillId="12" borderId="17" xfId="0" applyNumberFormat="1" applyFill="1" applyBorder="1" applyAlignment="1">
      <alignment wrapText="1"/>
    </xf>
    <xf numFmtId="2" fontId="18" fillId="11" borderId="0" xfId="0" applyNumberFormat="1" applyFont="1" applyFill="1" applyAlignment="1">
      <alignment wrapText="1"/>
    </xf>
    <xf numFmtId="2" fontId="10" fillId="11" borderId="0" xfId="0" applyNumberFormat="1" applyFont="1" applyFill="1" applyAlignment="1">
      <alignment wrapText="1"/>
    </xf>
    <xf numFmtId="167" fontId="0" fillId="6" borderId="0" xfId="0" applyNumberFormat="1" applyFill="1"/>
    <xf numFmtId="1" fontId="0" fillId="6" borderId="0" xfId="0" applyNumberFormat="1" applyFill="1"/>
    <xf numFmtId="0" fontId="0" fillId="6" borderId="37" xfId="0" applyFill="1" applyBorder="1"/>
    <xf numFmtId="0" fontId="0" fillId="6" borderId="38" xfId="0" applyFill="1" applyBorder="1"/>
    <xf numFmtId="0" fontId="0" fillId="6" borderId="22" xfId="0" applyFill="1" applyBorder="1"/>
    <xf numFmtId="164" fontId="0" fillId="6" borderId="0" xfId="0" applyNumberFormat="1" applyFill="1"/>
    <xf numFmtId="2" fontId="0" fillId="6" borderId="0" xfId="0" applyNumberFormat="1" applyFill="1"/>
    <xf numFmtId="0" fontId="0" fillId="6" borderId="1" xfId="0" applyFill="1" applyBorder="1"/>
    <xf numFmtId="0" fontId="0" fillId="6" borderId="8" xfId="0" applyFill="1" applyBorder="1"/>
    <xf numFmtId="0" fontId="0" fillId="13" borderId="21" xfId="0" applyFill="1" applyBorder="1"/>
    <xf numFmtId="2" fontId="9" fillId="13" borderId="17" xfId="0" applyNumberFormat="1" applyFont="1" applyFill="1" applyBorder="1" applyAlignment="1">
      <alignment wrapText="1"/>
    </xf>
    <xf numFmtId="2" fontId="0" fillId="13" borderId="0" xfId="0" applyNumberFormat="1" applyFill="1" applyAlignment="1">
      <alignment wrapText="1"/>
    </xf>
    <xf numFmtId="0" fontId="0" fillId="13" borderId="0" xfId="0" applyFill="1"/>
    <xf numFmtId="1" fontId="0" fillId="6" borderId="0" xfId="0" applyNumberFormat="1" applyFill="1" applyAlignment="1">
      <alignment wrapText="1"/>
    </xf>
    <xf numFmtId="164" fontId="0" fillId="6" borderId="1" xfId="0" applyNumberFormat="1" applyFill="1" applyBorder="1"/>
    <xf numFmtId="0" fontId="0" fillId="12" borderId="0" xfId="0" applyFill="1"/>
    <xf numFmtId="2" fontId="0" fillId="12" borderId="0" xfId="0" applyNumberFormat="1" applyFill="1" applyAlignment="1">
      <alignment wrapText="1"/>
    </xf>
    <xf numFmtId="2" fontId="18" fillId="12" borderId="0" xfId="0" applyNumberFormat="1" applyFont="1" applyFill="1" applyAlignment="1">
      <alignment wrapText="1"/>
    </xf>
    <xf numFmtId="2" fontId="18" fillId="0" borderId="0" xfId="0" applyNumberFormat="1" applyFont="1" applyAlignment="1">
      <alignment wrapText="1"/>
    </xf>
    <xf numFmtId="0" fontId="19" fillId="0" borderId="0" xfId="0" applyFont="1"/>
    <xf numFmtId="167" fontId="19" fillId="0" borderId="0" xfId="0" applyNumberFormat="1" applyFont="1"/>
    <xf numFmtId="1" fontId="19" fillId="0" borderId="0" xfId="0" applyNumberFormat="1" applyFont="1"/>
    <xf numFmtId="2" fontId="0" fillId="6" borderId="22" xfId="0" applyNumberFormat="1" applyFill="1" applyBorder="1" applyAlignment="1">
      <alignment wrapText="1"/>
    </xf>
    <xf numFmtId="2" fontId="18" fillId="6" borderId="0" xfId="0" applyNumberFormat="1" applyFont="1" applyFill="1" applyAlignment="1">
      <alignment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20" fillId="0" borderId="0" xfId="0" applyFont="1" applyAlignment="1">
      <alignment vertical="top"/>
    </xf>
    <xf numFmtId="2" fontId="20" fillId="0" borderId="0" xfId="0" applyNumberFormat="1" applyFont="1" applyAlignment="1">
      <alignment wrapText="1"/>
    </xf>
    <xf numFmtId="2" fontId="20" fillId="0" borderId="0" xfId="0" applyNumberFormat="1" applyFont="1"/>
    <xf numFmtId="0" fontId="20" fillId="0" borderId="0" xfId="0" applyFont="1"/>
    <xf numFmtId="0" fontId="21" fillId="0" borderId="0" xfId="0" applyFont="1"/>
    <xf numFmtId="1" fontId="21" fillId="0" borderId="0" xfId="0" applyNumberFormat="1" applyFont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top"/>
    </xf>
    <xf numFmtId="0" fontId="23" fillId="0" borderId="0" xfId="0" applyFont="1"/>
    <xf numFmtId="0" fontId="24" fillId="0" borderId="0" xfId="0" applyFont="1"/>
    <xf numFmtId="167" fontId="27" fillId="0" borderId="0" xfId="0" applyNumberFormat="1" applyFont="1"/>
    <xf numFmtId="167" fontId="29" fillId="0" borderId="0" xfId="0" applyNumberFormat="1" applyFont="1" applyAlignment="1">
      <alignment wrapText="1"/>
    </xf>
    <xf numFmtId="0" fontId="31" fillId="16" borderId="68" xfId="0" applyFont="1" applyFill="1" applyBorder="1" applyAlignment="1">
      <alignment horizontal="center" vertical="center"/>
    </xf>
    <xf numFmtId="0" fontId="32" fillId="15" borderId="69" xfId="0" applyFont="1" applyFill="1" applyBorder="1" applyAlignment="1">
      <alignment horizontal="center" vertical="center"/>
    </xf>
    <xf numFmtId="0" fontId="32" fillId="15" borderId="40" xfId="0" applyFont="1" applyFill="1" applyBorder="1" applyAlignment="1">
      <alignment horizontal="center" vertical="center"/>
    </xf>
    <xf numFmtId="0" fontId="0" fillId="14" borderId="35" xfId="0" applyFill="1" applyBorder="1"/>
    <xf numFmtId="0" fontId="0" fillId="14" borderId="36" xfId="0" applyFill="1" applyBorder="1"/>
    <xf numFmtId="0" fontId="22" fillId="14" borderId="34" xfId="0" applyFont="1" applyFill="1" applyBorder="1"/>
    <xf numFmtId="0" fontId="22" fillId="14" borderId="35" xfId="0" applyFont="1" applyFill="1" applyBorder="1"/>
    <xf numFmtId="0" fontId="22" fillId="14" borderId="36" xfId="0" applyFont="1" applyFill="1" applyBorder="1"/>
    <xf numFmtId="0" fontId="22" fillId="0" borderId="0" xfId="0" applyFont="1"/>
    <xf numFmtId="0" fontId="4" fillId="15" borderId="42" xfId="0" applyFont="1" applyFill="1" applyBorder="1"/>
    <xf numFmtId="0" fontId="4" fillId="15" borderId="43" xfId="0" applyFont="1" applyFill="1" applyBorder="1"/>
    <xf numFmtId="0" fontId="22" fillId="6" borderId="0" xfId="0" applyFont="1" applyFill="1"/>
    <xf numFmtId="0" fontId="23" fillId="0" borderId="38" xfId="0" applyFont="1" applyBorder="1"/>
    <xf numFmtId="0" fontId="22" fillId="0" borderId="70" xfId="0" applyFont="1" applyBorder="1"/>
    <xf numFmtId="0" fontId="23" fillId="0" borderId="36" xfId="0" applyFont="1" applyBorder="1"/>
    <xf numFmtId="0" fontId="23" fillId="0" borderId="41" xfId="0" applyFont="1" applyBorder="1"/>
    <xf numFmtId="0" fontId="23" fillId="0" borderId="42" xfId="0" applyFont="1" applyBorder="1"/>
    <xf numFmtId="0" fontId="23" fillId="0" borderId="58" xfId="0" applyFont="1" applyBorder="1"/>
    <xf numFmtId="0" fontId="23" fillId="0" borderId="43" xfId="0" applyFont="1" applyBorder="1"/>
    <xf numFmtId="2" fontId="28" fillId="0" borderId="0" xfId="0" applyNumberFormat="1" applyFont="1"/>
    <xf numFmtId="2" fontId="28" fillId="0" borderId="0" xfId="0" applyNumberFormat="1" applyFont="1" applyAlignment="1">
      <alignment wrapText="1"/>
    </xf>
    <xf numFmtId="0" fontId="33" fillId="0" borderId="0" xfId="0" applyFont="1"/>
    <xf numFmtId="0" fontId="28" fillId="0" borderId="0" xfId="0" applyFont="1"/>
    <xf numFmtId="0" fontId="34" fillId="0" borderId="0" xfId="0" applyFont="1"/>
    <xf numFmtId="0" fontId="34" fillId="14" borderId="40" xfId="0" applyFont="1" applyFill="1" applyBorder="1" applyAlignment="1">
      <alignment horizontal="center" vertical="center"/>
    </xf>
    <xf numFmtId="0" fontId="34" fillId="14" borderId="68" xfId="0" applyFont="1" applyFill="1" applyBorder="1" applyAlignment="1">
      <alignment horizontal="center" vertical="center"/>
    </xf>
    <xf numFmtId="1" fontId="27" fillId="0" borderId="0" xfId="0" applyNumberFormat="1" applyFont="1"/>
    <xf numFmtId="1" fontId="27" fillId="0" borderId="0" xfId="0" applyNumberFormat="1" applyFont="1" applyAlignment="1">
      <alignment wrapText="1"/>
    </xf>
    <xf numFmtId="0" fontId="27" fillId="0" borderId="0" xfId="0" applyFont="1"/>
    <xf numFmtId="0" fontId="33" fillId="14" borderId="40" xfId="0" applyFont="1" applyFill="1" applyBorder="1" applyAlignment="1">
      <alignment horizontal="center" vertical="center"/>
    </xf>
    <xf numFmtId="0" fontId="33" fillId="14" borderId="68" xfId="0" applyFont="1" applyFill="1" applyBorder="1" applyAlignment="1">
      <alignment horizontal="center" vertical="center"/>
    </xf>
    <xf numFmtId="2" fontId="33" fillId="14" borderId="40" xfId="0" applyNumberFormat="1" applyFont="1" applyFill="1" applyBorder="1" applyAlignment="1">
      <alignment horizontal="center" vertical="center" wrapText="1"/>
    </xf>
    <xf numFmtId="2" fontId="33" fillId="14" borderId="68" xfId="0" applyNumberFormat="1" applyFont="1" applyFill="1" applyBorder="1" applyAlignment="1">
      <alignment horizontal="center" vertical="center" wrapText="1"/>
    </xf>
    <xf numFmtId="1" fontId="28" fillId="0" borderId="0" xfId="0" applyNumberFormat="1" applyFont="1"/>
    <xf numFmtId="1" fontId="28" fillId="0" borderId="0" xfId="0" applyNumberFormat="1" applyFont="1" applyAlignment="1">
      <alignment wrapText="1"/>
    </xf>
    <xf numFmtId="0" fontId="34" fillId="14" borderId="39" xfId="0" applyFont="1" applyFill="1" applyBorder="1" applyAlignment="1">
      <alignment horizontal="center" vertical="center"/>
    </xf>
    <xf numFmtId="0" fontId="34" fillId="14" borderId="40" xfId="0" applyFont="1" applyFill="1" applyBorder="1" applyAlignment="1">
      <alignment vertical="center"/>
    </xf>
    <xf numFmtId="0" fontId="35" fillId="14" borderId="0" xfId="0" applyFont="1" applyFill="1" applyAlignment="1">
      <alignment vertical="center"/>
    </xf>
    <xf numFmtId="0" fontId="35" fillId="14" borderId="40" xfId="0" applyFont="1" applyFill="1" applyBorder="1" applyAlignment="1">
      <alignment horizontal="center" vertical="center"/>
    </xf>
    <xf numFmtId="0" fontId="34" fillId="14" borderId="70" xfId="0" applyFont="1" applyFill="1" applyBorder="1" applyAlignment="1">
      <alignment horizontal="center" vertical="center"/>
    </xf>
    <xf numFmtId="0" fontId="35" fillId="14" borderId="68" xfId="0" applyFont="1" applyFill="1" applyBorder="1" applyAlignment="1">
      <alignment horizontal="center" vertical="center"/>
    </xf>
    <xf numFmtId="0" fontId="34" fillId="16" borderId="70" xfId="0" applyFont="1" applyFill="1" applyBorder="1" applyAlignment="1">
      <alignment horizontal="center" vertical="center"/>
    </xf>
    <xf numFmtId="0" fontId="34" fillId="16" borderId="68" xfId="0" applyFont="1" applyFill="1" applyBorder="1" applyAlignment="1">
      <alignment horizontal="center" vertical="center"/>
    </xf>
    <xf numFmtId="0" fontId="35" fillId="16" borderId="68" xfId="0" applyFont="1" applyFill="1" applyBorder="1" applyAlignment="1">
      <alignment horizontal="center" vertical="center"/>
    </xf>
    <xf numFmtId="2" fontId="34" fillId="15" borderId="39" xfId="0" applyNumberFormat="1" applyFont="1" applyFill="1" applyBorder="1" applyAlignment="1">
      <alignment horizontal="center" vertical="center" wrapText="1"/>
    </xf>
    <xf numFmtId="0" fontId="34" fillId="15" borderId="41" xfId="0" applyFont="1" applyFill="1" applyBorder="1" applyAlignment="1">
      <alignment horizontal="center" vertical="center"/>
    </xf>
    <xf numFmtId="0" fontId="34" fillId="15" borderId="40" xfId="0" applyFont="1" applyFill="1" applyBorder="1" applyAlignment="1">
      <alignment horizontal="center" vertical="center"/>
    </xf>
    <xf numFmtId="0" fontId="36" fillId="15" borderId="68" xfId="0" applyFont="1" applyFill="1" applyBorder="1" applyAlignment="1">
      <alignment horizontal="center" vertical="center"/>
    </xf>
    <xf numFmtId="0" fontId="34" fillId="15" borderId="69" xfId="0" applyFont="1" applyFill="1" applyBorder="1" applyAlignment="1">
      <alignment horizontal="center" vertical="center"/>
    </xf>
    <xf numFmtId="0" fontId="36" fillId="15" borderId="40" xfId="0" applyFont="1" applyFill="1" applyBorder="1" applyAlignment="1">
      <alignment horizontal="center" vertical="center"/>
    </xf>
    <xf numFmtId="2" fontId="34" fillId="17" borderId="39" xfId="0" applyNumberFormat="1" applyFont="1" applyFill="1" applyBorder="1" applyAlignment="1">
      <alignment horizontal="center" vertical="center" wrapText="1"/>
    </xf>
    <xf numFmtId="0" fontId="34" fillId="17" borderId="69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wrapText="1"/>
    </xf>
    <xf numFmtId="1" fontId="27" fillId="0" borderId="37" xfId="0" applyNumberFormat="1" applyFont="1" applyBorder="1" applyAlignment="1">
      <alignment wrapText="1"/>
    </xf>
    <xf numFmtId="167" fontId="27" fillId="0" borderId="0" xfId="0" applyNumberFormat="1" applyFont="1" applyAlignment="1">
      <alignment wrapText="1"/>
    </xf>
    <xf numFmtId="0" fontId="27" fillId="0" borderId="37" xfId="0" applyFont="1" applyBorder="1"/>
    <xf numFmtId="0" fontId="30" fillId="0" borderId="0" xfId="0" applyFont="1"/>
    <xf numFmtId="1" fontId="29" fillId="0" borderId="37" xfId="0" applyNumberFormat="1" applyFont="1" applyBorder="1" applyAlignment="1">
      <alignment wrapText="1"/>
    </xf>
    <xf numFmtId="0" fontId="29" fillId="0" borderId="37" xfId="0" applyFont="1" applyBorder="1"/>
    <xf numFmtId="1" fontId="30" fillId="0" borderId="0" xfId="0" applyNumberFormat="1" applyFont="1"/>
    <xf numFmtId="167" fontId="29" fillId="0" borderId="0" xfId="0" applyNumberFormat="1" applyFont="1"/>
    <xf numFmtId="1" fontId="29" fillId="0" borderId="37" xfId="0" applyNumberFormat="1" applyFont="1" applyBorder="1"/>
    <xf numFmtId="15" fontId="27" fillId="0" borderId="0" xfId="0" applyNumberFormat="1" applyFont="1"/>
    <xf numFmtId="3" fontId="27" fillId="0" borderId="37" xfId="0" applyNumberFormat="1" applyFont="1" applyBorder="1"/>
    <xf numFmtId="1" fontId="27" fillId="0" borderId="37" xfId="0" applyNumberFormat="1" applyFont="1" applyBorder="1"/>
    <xf numFmtId="16" fontId="27" fillId="0" borderId="0" xfId="0" applyNumberFormat="1" applyFont="1"/>
    <xf numFmtId="0" fontId="33" fillId="0" borderId="0" xfId="0" applyFont="1" applyAlignment="1">
      <alignment horizontal="center"/>
    </xf>
    <xf numFmtId="0" fontId="4" fillId="14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22" xfId="0" applyFont="1" applyFill="1" applyBorder="1" applyAlignment="1">
      <alignment horizontal="left"/>
    </xf>
    <xf numFmtId="0" fontId="5" fillId="3" borderId="23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left"/>
    </xf>
    <xf numFmtId="0" fontId="5" fillId="4" borderId="25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5" fillId="3" borderId="33" xfId="0" applyFont="1" applyFill="1" applyBorder="1" applyAlignment="1">
      <alignment horizontal="left"/>
    </xf>
    <xf numFmtId="0" fontId="4" fillId="3" borderId="28" xfId="0" applyFont="1" applyFill="1" applyBorder="1" applyAlignment="1">
      <alignment horizontal="center"/>
    </xf>
    <xf numFmtId="0" fontId="5" fillId="3" borderId="29" xfId="0" applyFont="1" applyFill="1" applyBorder="1"/>
    <xf numFmtId="164" fontId="15" fillId="0" borderId="51" xfId="0" applyNumberFormat="1" applyFont="1" applyBorder="1" applyAlignment="1">
      <alignment horizontal="center" vertical="center" wrapText="1"/>
    </xf>
    <xf numFmtId="1" fontId="0" fillId="0" borderId="61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13" fillId="0" borderId="47" xfId="0" applyNumberFormat="1" applyFont="1" applyBorder="1" applyAlignment="1">
      <alignment horizontal="center" vertical="center" wrapText="1"/>
    </xf>
    <xf numFmtId="2" fontId="13" fillId="0" borderId="52" xfId="0" applyNumberFormat="1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15" fillId="0" borderId="47" xfId="0" applyNumberFormat="1" applyFont="1" applyBorder="1" applyAlignment="1">
      <alignment horizontal="center" vertical="center" wrapText="1"/>
    </xf>
    <xf numFmtId="164" fontId="15" fillId="0" borderId="67" xfId="0" applyNumberFormat="1" applyFont="1" applyBorder="1" applyAlignment="1">
      <alignment horizontal="center" vertical="center" wrapText="1"/>
    </xf>
    <xf numFmtId="164" fontId="15" fillId="0" borderId="52" xfId="0" applyNumberFormat="1" applyFont="1" applyBorder="1" applyAlignment="1">
      <alignment horizontal="center" vertical="center" wrapText="1"/>
    </xf>
    <xf numFmtId="2" fontId="13" fillId="0" borderId="5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1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1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5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3200"/>
              <a:t>Englishman</a:t>
            </a:r>
            <a:r>
              <a:rPr lang="en-CA" sz="3200" baseline="0"/>
              <a:t> River Steelhead population Estimates 1982 - 2026</a:t>
            </a:r>
          </a:p>
          <a:p>
            <a:pPr>
              <a:defRPr sz="2000"/>
            </a:pPr>
            <a:r>
              <a:rPr lang="en-CA" sz="1600" baseline="0"/>
              <a:t>Estimates Derived from AUC with 0.55 efficiency and 50 day residence time</a:t>
            </a:r>
            <a:endParaRPr lang="en-CA" sz="1600"/>
          </a:p>
        </c:rich>
      </c:tx>
      <c:layout>
        <c:manualLayout>
          <c:xMode val="edge"/>
          <c:yMode val="edge"/>
          <c:x val="0.24607717030056847"/>
          <c:y val="3.2960041788708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0.10489696463700865"/>
          <c:y val="2.7436698493829903E-2"/>
          <c:w val="0.86617670869885166"/>
          <c:h val="0.842677784517345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Data'!$D$3:$D$46</c:f>
              <c:numCache>
                <c:formatCode>General</c:formatCode>
                <c:ptCount val="4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</c:numCache>
            </c:numRef>
          </c:cat>
          <c:val>
            <c:numRef>
              <c:f>'Summary Data'!$E$3:$E$46</c:f>
              <c:numCache>
                <c:formatCode>0</c:formatCode>
                <c:ptCount val="44"/>
                <c:pt idx="0">
                  <c:v>507.27272777999997</c:v>
                </c:pt>
                <c:pt idx="1">
                  <c:v>839.40197561970706</c:v>
                </c:pt>
                <c:pt idx="2">
                  <c:v>988.31081782391527</c:v>
                </c:pt>
                <c:pt idx="3">
                  <c:v>1421.6107420246708</c:v>
                </c:pt>
                <c:pt idx="4">
                  <c:v>601.60452427381961</c:v>
                </c:pt>
                <c:pt idx="5">
                  <c:v>1193.7007613553169</c:v>
                </c:pt>
                <c:pt idx="6">
                  <c:v>1399.7981587858999</c:v>
                </c:pt>
                <c:pt idx="7">
                  <c:v>278.23299685362963</c:v>
                </c:pt>
                <c:pt idx="8">
                  <c:v>536.71111128871109</c:v>
                </c:pt>
                <c:pt idx="9">
                  <c:v>238.57180900467858</c:v>
                </c:pt>
                <c:pt idx="10">
                  <c:v>507.68160742297624</c:v>
                </c:pt>
                <c:pt idx="11">
                  <c:v>224.58971553533354</c:v>
                </c:pt>
                <c:pt idx="12">
                  <c:v>86.655452503784488</c:v>
                </c:pt>
                <c:pt idx="13">
                  <c:v>258.28365353869339</c:v>
                </c:pt>
                <c:pt idx="14">
                  <c:v>152.97272366983145</c:v>
                </c:pt>
                <c:pt idx="15">
                  <c:v>25.98876537444313</c:v>
                </c:pt>
                <c:pt idx="16">
                  <c:v>265.06964398973736</c:v>
                </c:pt>
                <c:pt idx="17">
                  <c:v>49.515789612754872</c:v>
                </c:pt>
                <c:pt idx="18">
                  <c:v>233.76810376479105</c:v>
                </c:pt>
                <c:pt idx="19">
                  <c:v>191.21818199485458</c:v>
                </c:pt>
                <c:pt idx="20">
                  <c:v>127.09090920210907</c:v>
                </c:pt>
                <c:pt idx="21">
                  <c:v>111.12727282045456</c:v>
                </c:pt>
                <c:pt idx="22">
                  <c:v>144.43636374414541</c:v>
                </c:pt>
                <c:pt idx="23">
                  <c:v>211.94545469625456</c:v>
                </c:pt>
                <c:pt idx="24">
                  <c:v>148.1090910062909</c:v>
                </c:pt>
                <c:pt idx="25">
                  <c:v>60.981818216836366</c:v>
                </c:pt>
                <c:pt idx="26">
                  <c:v>96.218181868799988</c:v>
                </c:pt>
                <c:pt idx="27">
                  <c:v>159.92727280669089</c:v>
                </c:pt>
                <c:pt idx="28">
                  <c:v>253.38181831534544</c:v>
                </c:pt>
                <c:pt idx="29">
                  <c:v>140.1636364718909</c:v>
                </c:pt>
                <c:pt idx="30">
                  <c:v>297.80000026299996</c:v>
                </c:pt>
                <c:pt idx="31">
                  <c:v>164.36363649090913</c:v>
                </c:pt>
                <c:pt idx="32">
                  <c:v>330.03636390665451</c:v>
                </c:pt>
                <c:pt idx="33">
                  <c:v>278.12727296438186</c:v>
                </c:pt>
                <c:pt idx="34">
                  <c:v>138.36363646923635</c:v>
                </c:pt>
                <c:pt idx="35">
                  <c:v>57.781818217490908</c:v>
                </c:pt>
                <c:pt idx="36">
                  <c:v>134.85454554863637</c:v>
                </c:pt>
                <c:pt idx="37">
                  <c:v>56.636363648709093</c:v>
                </c:pt>
                <c:pt idx="38">
                  <c:v>61.218181858309087</c:v>
                </c:pt>
                <c:pt idx="39">
                  <c:v>54.272727313636359</c:v>
                </c:pt>
                <c:pt idx="40">
                  <c:v>82.927272781690917</c:v>
                </c:pt>
                <c:pt idx="41">
                  <c:v>216.16363650452723</c:v>
                </c:pt>
                <c:pt idx="42">
                  <c:v>78.18181826</c:v>
                </c:pt>
                <c:pt idx="43">
                  <c:v>182.80000018280003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5347-8F9B-4ABCF6E984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8068048"/>
        <c:axId val="1336255456"/>
      </c:barChart>
      <c:catAx>
        <c:axId val="65806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55456"/>
        <c:crosses val="autoZero"/>
        <c:auto val="1"/>
        <c:lblAlgn val="ctr"/>
        <c:lblOffset val="100"/>
        <c:noMultiLvlLbl val="0"/>
      </c:catAx>
      <c:valAx>
        <c:axId val="133625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Adult Steelhead Population Estimate </a:t>
                </a:r>
              </a:p>
            </c:rich>
          </c:tx>
          <c:layout>
            <c:manualLayout>
              <c:xMode val="edge"/>
              <c:yMode val="edge"/>
              <c:x val="2.1784202195748458E-2"/>
              <c:y val="0.275199715557434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6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206967104790517E-3"/>
          <c:y val="8.7491098793948934E-3"/>
          <c:w val="0.9682822203233854"/>
          <c:h val="0.965238455616489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'Summary Data'!$D$22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Data'!$I$22,'Summary Data'!$I$22,'Summary Data'!$M$22,'Summary Data'!$R$22,'Summary Data'!$W$22,'Summary Data'!$AB$22,'Summary Data'!$AG$22,'Summary Data'!$AL$2)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15.999999984</c:v>
                </c:pt>
                <c:pt idx="4">
                  <c:v>46</c:v>
                </c:pt>
                <c:pt idx="5" formatCode="General">
                  <c:v>50</c:v>
                </c:pt>
                <c:pt idx="6" formatCode="General">
                  <c:v>73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4-D34B-930A-07D419ABF4D1}"/>
            </c:ext>
          </c:extLst>
        </c:ser>
        <c:ser>
          <c:idx val="1"/>
          <c:order val="1"/>
          <c:tx>
            <c:strRef>
              <c:f>'Summary Data'!$D$23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Data'!$AB$1:$AC$1,'Summary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Data'!$I$23,'Summary Data'!$M$23,'Summary Data'!$R$23,'Summary Data'!$W$23,'Summary Data'!$AB$23,'Summary Data'!$AG$23,'Summary Data'!$AL$23,'Summary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18.999999980999998</c:v>
                </c:pt>
                <c:pt idx="3">
                  <c:v>21</c:v>
                </c:pt>
                <c:pt idx="4" formatCode="General">
                  <c:v>46</c:v>
                </c:pt>
                <c:pt idx="5" formatCode="General">
                  <c:v>50</c:v>
                </c:pt>
                <c:pt idx="6" formatCode="General">
                  <c:v>20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4-D34B-930A-07D419ABF4D1}"/>
            </c:ext>
          </c:extLst>
        </c:ser>
        <c:ser>
          <c:idx val="2"/>
          <c:order val="2"/>
          <c:tx>
            <c:strRef>
              <c:f>'Summary Data'!$D$24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Data'!$I$24,'Summary Data'!$M$24,'Summary Data'!$R$24,'Summary Data'!$W$24,'Summary Data'!$AB$24,'Summary Data'!$AG$24,'Summary Data'!$AL$24,'Summary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20.999999978999998</c:v>
                </c:pt>
                <c:pt idx="3">
                  <c:v>24</c:v>
                </c:pt>
                <c:pt idx="4" formatCode="General">
                  <c:v>45</c:v>
                </c:pt>
                <c:pt idx="5" formatCode="General">
                  <c:v>41</c:v>
                </c:pt>
                <c:pt idx="6" formatCode="General">
                  <c:v>26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34-D34B-930A-07D419ABF4D1}"/>
            </c:ext>
          </c:extLst>
        </c:ser>
        <c:ser>
          <c:idx val="3"/>
          <c:order val="3"/>
          <c:tx>
            <c:strRef>
              <c:f>'Summary Data'!$D$25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Data'!$I$25,'Summary Data'!$M$25,'Summary Data'!$R$25,'Summary Data'!$W$25,'Summary Data'!$AB$25,'Summary Data'!$AG$25)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31.999999968000001</c:v>
                </c:pt>
                <c:pt idx="3">
                  <c:v>61</c:v>
                </c:pt>
                <c:pt idx="4" formatCode="General">
                  <c:v>47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34-D34B-930A-07D419ABF4D1}"/>
            </c:ext>
          </c:extLst>
        </c:ser>
        <c:ser>
          <c:idx val="4"/>
          <c:order val="4"/>
          <c:tx>
            <c:strRef>
              <c:f>'Summary Data'!$D$26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Data'!$I$26,'Summary Data'!$M$26,'Summary Data'!$R$26,'Summary Data'!$W$26,'Summary Data'!$AB$26,'Summary Data'!$AG$26)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58.999999940999999</c:v>
                </c:pt>
                <c:pt idx="3">
                  <c:v>62</c:v>
                </c:pt>
                <c:pt idx="4" formatCode="General">
                  <c:v>62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34-D34B-930A-07D419ABF4D1}"/>
            </c:ext>
          </c:extLst>
        </c:ser>
        <c:ser>
          <c:idx val="5"/>
          <c:order val="5"/>
          <c:tx>
            <c:strRef>
              <c:f>'Summary Data'!$D$27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Data'!$I$27,'Summary Data'!$M$27,'Summary Data'!$R$27,'Summary Data'!$W$27,'Summary Data'!$AB$27)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49.999999950000003</c:v>
                </c:pt>
                <c:pt idx="3">
                  <c:v>60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34-D34B-930A-07D419ABF4D1}"/>
            </c:ext>
          </c:extLst>
        </c:ser>
        <c:ser>
          <c:idx val="6"/>
          <c:order val="6"/>
          <c:tx>
            <c:strRef>
              <c:f>'Summary Data'!$D$28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Data'!$I$28,'Summary Data'!$M$28,'Summary Data'!$R$28,'Summary Data'!$W$28)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16.999999982999999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34-D34B-930A-07D419ABF4D1}"/>
            </c:ext>
          </c:extLst>
        </c:ser>
        <c:ser>
          <c:idx val="7"/>
          <c:order val="7"/>
          <c:tx>
            <c:strRef>
              <c:f>'Summary Data'!$D$29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Data'!$I$29,'Summary Data'!$M$29,'Summary Data'!$R$29,'Summary Data'!$W$29)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34-D34B-930A-07D419ABF4D1}"/>
            </c:ext>
          </c:extLst>
        </c:ser>
        <c:ser>
          <c:idx val="8"/>
          <c:order val="8"/>
          <c:tx>
            <c:strRef>
              <c:f>'Summary Data'!$D$30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Data'!$I$30,'Summary Data'!$M$30,'Summary Data'!$R$30,'Summary Data'!$W$30)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53.999999945999996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34-D34B-930A-07D419ABF4D1}"/>
            </c:ext>
          </c:extLst>
        </c:ser>
        <c:ser>
          <c:idx val="9"/>
          <c:order val="9"/>
          <c:tx>
            <c:strRef>
              <c:f>'Summary Data'!$D$31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Data'!$I$31,'Summary Data'!$M$31,'Summary Data'!$R$31,'Summary Data'!$W$31)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102.999999897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D34-D34B-930A-07D419ABF4D1}"/>
            </c:ext>
          </c:extLst>
        </c:ser>
        <c:ser>
          <c:idx val="10"/>
          <c:order val="10"/>
          <c:tx>
            <c:strRef>
              <c:f>'Summary Data'!$D$32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Data'!$I$32,'Summary Data'!$M$32,'Summary Data'!$R$32,'Summary Data'!$W$32,'Summary Data'!$AB$32,'Summary Data'!$AG$32)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38.999999961</c:v>
                </c:pt>
                <c:pt idx="3">
                  <c:v>42</c:v>
                </c:pt>
                <c:pt idx="4" formatCode="General">
                  <c:v>27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34-D34B-930A-07D419ABF4D1}"/>
            </c:ext>
          </c:extLst>
        </c:ser>
        <c:ser>
          <c:idx val="11"/>
          <c:order val="11"/>
          <c:tx>
            <c:strRef>
              <c:f>'Summary Data'!$D$33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Data'!$AL$1)</c:f>
              <c:strCache>
                <c:ptCount val="7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</c:strCache>
            </c:strRef>
          </c:xVal>
          <c:yVal>
            <c:numRef>
              <c:f>('Summary Data'!$I$33,'Summary Data'!$M$33,'Summary Data'!$R$33,'Summary Data'!$W$33,'Summary Data'!$AB$33,'Summary Data'!$AG$33,'Summary Data'!$AL$33)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86.999999912999996</c:v>
                </c:pt>
                <c:pt idx="3">
                  <c:v>93</c:v>
                </c:pt>
                <c:pt idx="4" formatCode="General">
                  <c:v>89</c:v>
                </c:pt>
                <c:pt idx="5" formatCode="General">
                  <c:v>89</c:v>
                </c:pt>
                <c:pt idx="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D34-D34B-930A-07D419ABF4D1}"/>
            </c:ext>
          </c:extLst>
        </c:ser>
        <c:ser>
          <c:idx val="12"/>
          <c:order val="12"/>
          <c:tx>
            <c:strRef>
              <c:f>'Summary Data'!$D$34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Data'!$I$34,'Summary Data'!$M$34,'Summary Data'!$R$34,'Summary Data'!$W$34,'Summary Data'!$AB$34)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67.999999931999994</c:v>
                </c:pt>
                <c:pt idx="3">
                  <c:v>62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34-D34B-930A-07D419ABF4D1}"/>
            </c:ext>
          </c:extLst>
        </c:ser>
        <c:ser>
          <c:idx val="13"/>
          <c:order val="13"/>
          <c:tx>
            <c:strRef>
              <c:f>'Summary Data'!$D$35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Data'!$I$35,'Summary Data'!$M$35,'Summary Data'!$R$35,'Summary Data'!$W$35,'Summary Data'!$AB$35)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105.999999894</c:v>
                </c:pt>
                <c:pt idx="3">
                  <c:v>81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D34-D34B-930A-07D419ABF4D1}"/>
            </c:ext>
          </c:extLst>
        </c:ser>
        <c:ser>
          <c:idx val="14"/>
          <c:order val="14"/>
          <c:tx>
            <c:strRef>
              <c:f>'Summary Data'!$D$36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Data'!$I$36,'Summary Data'!$M$36,'Summary Data'!$R$36,'Summary Data'!$W$36,'Summary Data'!$AB$36)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93.999999905999999</c:v>
                </c:pt>
                <c:pt idx="3">
                  <c:v>96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34-D34B-930A-07D419ABF4D1}"/>
            </c:ext>
          </c:extLst>
        </c:ser>
        <c:ser>
          <c:idx val="15"/>
          <c:order val="15"/>
          <c:tx>
            <c:strRef>
              <c:f>'Summary Data'!$D$37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Data'!$I$37,'Summary Data'!$M$37,'Summary Data'!$R$37,'Summary Data'!$W$37,'Summary Data'!$AB$37)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33.999999965999997</c:v>
                </c:pt>
                <c:pt idx="3">
                  <c:v>35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D34-D34B-930A-07D419ABF4D1}"/>
            </c:ext>
          </c:extLst>
        </c:ser>
        <c:ser>
          <c:idx val="16"/>
          <c:order val="16"/>
          <c:tx>
            <c:strRef>
              <c:f>'Summary Data'!$D$38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Data'!$I$38,'Summary Data'!$M$38,'Summary Data'!$R$38,'Summary Data'!$W$38)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15.999999984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34-D34B-930A-07D419ABF4D1}"/>
            </c:ext>
          </c:extLst>
        </c:ser>
        <c:ser>
          <c:idx val="17"/>
          <c:order val="17"/>
          <c:tx>
            <c:strRef>
              <c:f>'Summary Data'!$D$39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Data'!$I$39,'Summary Data'!$M$39,'Summary Data'!$R$39,'Summary Data'!$W$39)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D34-D34B-930A-07D419ABF4D1}"/>
            </c:ext>
          </c:extLst>
        </c:ser>
        <c:ser>
          <c:idx val="18"/>
          <c:order val="18"/>
          <c:tx>
            <c:strRef>
              <c:f>'Summary Data'!$D$40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Data'!$I$40,'Summary Data'!$M$40,'Summary Data'!$R$40,'Summary Data'!$W$40)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27.999999971999998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D34-D34B-930A-07D419ABF4D1}"/>
            </c:ext>
          </c:extLst>
        </c:ser>
        <c:ser>
          <c:idx val="19"/>
          <c:order val="19"/>
          <c:tx>
            <c:strRef>
              <c:f>'Summary Data'!$D$41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Data'!$I$41,'Summary Data'!$M$41,'Summary Data'!$R$41,'Summary Data'!$W$41,'Summary Data'!$AB$41)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19.999999979999998</c:v>
                </c:pt>
                <c:pt idx="3">
                  <c:v>7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D34-D34B-930A-07D419ABF4D1}"/>
            </c:ext>
          </c:extLst>
        </c:ser>
        <c:ser>
          <c:idx val="20"/>
          <c:order val="20"/>
          <c:tx>
            <c:strRef>
              <c:f>'Summary Data'!$D$42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Data'!$I$42,'Summary Data'!$M$42,'Summary Data'!$R$42,'Summary Data'!$W$42,'Summary Data'!$AB$42)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14.999999984999999</c:v>
                </c:pt>
                <c:pt idx="3">
                  <c:v>15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D34-D34B-930A-07D419ABF4D1}"/>
            </c:ext>
          </c:extLst>
        </c:ser>
        <c:ser>
          <c:idx val="21"/>
          <c:order val="21"/>
          <c:tx>
            <c:strRef>
              <c:f>'Summary Data'!$D$43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Data'!$I$43,'Summary Data'!$M$43,'Summary Data'!$R$43,'Summary Data'!$W$43,'Summary Data'!$AB$43)</c:f>
              <c:numCache>
                <c:formatCode>0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27.999999971999998</c:v>
                </c:pt>
                <c:pt idx="3">
                  <c:v>33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D34-D34B-930A-07D419ABF4D1}"/>
            </c:ext>
          </c:extLst>
        </c:ser>
        <c:ser>
          <c:idx val="22"/>
          <c:order val="22"/>
          <c:tx>
            <c:strRef>
              <c:f>'Summary Data'!$D$44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Data'!$I$44,'Summary Data'!$M$44,'Summary Data'!$R$44,'Summary Data'!$W$44,'Summary Data'!$AB$44,'Summary Data'!$AG$44)</c:f>
              <c:numCache>
                <c:formatCode>0</c:formatCode>
                <c:ptCount val="6"/>
                <c:pt idx="0">
                  <c:v>0</c:v>
                </c:pt>
                <c:pt idx="1">
                  <c:v>21</c:v>
                </c:pt>
                <c:pt idx="2">
                  <c:v>68.999999930999991</c:v>
                </c:pt>
                <c:pt idx="3">
                  <c:v>85</c:v>
                </c:pt>
                <c:pt idx="4" formatCode="General">
                  <c:v>84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D34-D34B-930A-07D419ABF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71567"/>
        <c:axId val="1557093967"/>
      </c:scatterChart>
      <c:valAx>
        <c:axId val="1556471567"/>
        <c:scaling>
          <c:orientation val="minMax"/>
          <c:max val="9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93967"/>
        <c:crosses val="autoZero"/>
        <c:crossBetween val="midCat"/>
      </c:valAx>
      <c:valAx>
        <c:axId val="155709396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471567"/>
        <c:crosses val="autoZero"/>
        <c:crossBetween val="midCat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Data'!$D$22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Data'!$I$22,'Summary Data'!$M$22,'Summary Data'!$R$22,'Summary Data'!$W$22,'Summary Data'!$AB$22,'Summary Data'!$AG$22,'Summary Data'!$AL$22,'Summary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15.999999984</c:v>
                </c:pt>
                <c:pt idx="3">
                  <c:v>46</c:v>
                </c:pt>
                <c:pt idx="4" formatCode="General">
                  <c:v>50</c:v>
                </c:pt>
                <c:pt idx="5" formatCode="General">
                  <c:v>73</c:v>
                </c:pt>
                <c:pt idx="6" formatCode="General">
                  <c:v>29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3D-D14D-9C8B-89EF6D70338C}"/>
            </c:ext>
          </c:extLst>
        </c:ser>
        <c:ser>
          <c:idx val="1"/>
          <c:order val="1"/>
          <c:tx>
            <c:strRef>
              <c:f>'Summary Data'!$D$23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Data'!$I$23,'Summary Data'!$M$23,'Summary Data'!$R$23,'Summary Data'!$W$23,'Summary Data'!$AB$23,'Summary Data'!$AG$23,'Summary Data'!$AL$23,'Summary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18.999999980999998</c:v>
                </c:pt>
                <c:pt idx="3">
                  <c:v>21</c:v>
                </c:pt>
                <c:pt idx="4" formatCode="General">
                  <c:v>46</c:v>
                </c:pt>
                <c:pt idx="5" formatCode="General">
                  <c:v>50</c:v>
                </c:pt>
                <c:pt idx="6" formatCode="General">
                  <c:v>20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3D-D14D-9C8B-89EF6D70338C}"/>
            </c:ext>
          </c:extLst>
        </c:ser>
        <c:ser>
          <c:idx val="2"/>
          <c:order val="2"/>
          <c:tx>
            <c:strRef>
              <c:f>'Summary Data'!$D$24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Data'!$I$24,'Summary Data'!$M$24,'Summary Data'!$R$24,'Summary Data'!$W$24,'Summary Data'!$AB$24,'Summary Data'!$AG$24,'Summary Data'!$AL$24,'Summary Data'!$AQ$2)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20.999999978999998</c:v>
                </c:pt>
                <c:pt idx="3">
                  <c:v>24</c:v>
                </c:pt>
                <c:pt idx="4" formatCode="General">
                  <c:v>45</c:v>
                </c:pt>
                <c:pt idx="5" formatCode="General">
                  <c:v>41</c:v>
                </c:pt>
                <c:pt idx="6" formatCode="General">
                  <c:v>26</c:v>
                </c:pt>
                <c:pt idx="7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3D-D14D-9C8B-89EF6D70338C}"/>
            </c:ext>
          </c:extLst>
        </c:ser>
        <c:ser>
          <c:idx val="3"/>
          <c:order val="3"/>
          <c:tx>
            <c:strRef>
              <c:f>'Summary Data'!$D$25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Data'!$I$25,'Summary Data'!$M$25,'Summary Data'!$R$25,'Summary Data'!$W$25,'Summary Data'!$AB$25,'Summary Data'!$AG$25)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31.999999968000001</c:v>
                </c:pt>
                <c:pt idx="3">
                  <c:v>61</c:v>
                </c:pt>
                <c:pt idx="4" formatCode="General">
                  <c:v>47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3D-D14D-9C8B-89EF6D70338C}"/>
            </c:ext>
          </c:extLst>
        </c:ser>
        <c:ser>
          <c:idx val="4"/>
          <c:order val="4"/>
          <c:tx>
            <c:strRef>
              <c:f>'Summary Data'!$D$26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Data'!$I$26,'Summary Data'!$M$26,'Summary Data'!$R$26,'Summary Data'!$W$26,'Summary Data'!$AB$26,'Summary Data'!$AG$26)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58.999999940999999</c:v>
                </c:pt>
                <c:pt idx="3">
                  <c:v>62</c:v>
                </c:pt>
                <c:pt idx="4" formatCode="General">
                  <c:v>62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3D-D14D-9C8B-89EF6D70338C}"/>
            </c:ext>
          </c:extLst>
        </c:ser>
        <c:ser>
          <c:idx val="5"/>
          <c:order val="5"/>
          <c:tx>
            <c:strRef>
              <c:f>'Summary Data'!$D$27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Data'!$I$27,'Summary Data'!$M$27,'Summary Data'!$R$27,'Summary Data'!$W$27,'Summary Data'!$AB$27)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49.999999950000003</c:v>
                </c:pt>
                <c:pt idx="3">
                  <c:v>60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3D-D14D-9C8B-89EF6D703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94896"/>
        <c:axId val="1359014815"/>
      </c:scatterChart>
      <c:valAx>
        <c:axId val="229294896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14815"/>
        <c:crosses val="autoZero"/>
        <c:crossBetween val="midCat"/>
      </c:valAx>
      <c:valAx>
        <c:axId val="1359014815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9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Data'!$I$28,'Summary Data'!$M$28,'Summary Data'!$R$28,'Summary Data'!$W$28)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16.999999982999999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F-2A4D-A055-5FAC242F470C}"/>
            </c:ext>
          </c:extLst>
        </c:ser>
        <c:ser>
          <c:idx val="1"/>
          <c:order val="1"/>
          <c:tx>
            <c:strRef>
              <c:f>'Summary Data'!$D$29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Data'!$I$29,'Summary Data'!$M$29,'Summary Data'!$R$29,'Summary Data'!$W$29)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F-2A4D-A055-5FAC242F470C}"/>
            </c:ext>
          </c:extLst>
        </c:ser>
        <c:ser>
          <c:idx val="2"/>
          <c:order val="2"/>
          <c:tx>
            <c:strRef>
              <c:f>'Summary Data'!$D$30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Data'!$I$30,'Summary Data'!$M$30,'Summary Data'!$R$30,'Summary Data'!$W$30)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53.999999945999996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DF-2A4D-A055-5FAC242F470C}"/>
            </c:ext>
          </c:extLst>
        </c:ser>
        <c:ser>
          <c:idx val="3"/>
          <c:order val="3"/>
          <c:tx>
            <c:strRef>
              <c:f>'Summary Data'!$D$31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Data'!$I$31,'Summary Data'!$M$31,'Summary Data'!$R$31,'Summary Data'!$W$31)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102.999999897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DF-2A4D-A055-5FAC242F470C}"/>
            </c:ext>
          </c:extLst>
        </c:ser>
        <c:ser>
          <c:idx val="4"/>
          <c:order val="4"/>
          <c:tx>
            <c:strRef>
              <c:f>'Summary Data'!$D$32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Data'!$I$32,'Summary Data'!$M$32,'Summary Data'!$R$32,'Summary Data'!$W$32,'Summary Data'!$AB$32,'Summary Data'!$AG$32)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38.999999961</c:v>
                </c:pt>
                <c:pt idx="3">
                  <c:v>42</c:v>
                </c:pt>
                <c:pt idx="4" formatCode="General">
                  <c:v>27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DF-2A4D-A055-5FAC242F470C}"/>
            </c:ext>
          </c:extLst>
        </c:ser>
        <c:ser>
          <c:idx val="5"/>
          <c:order val="5"/>
          <c:tx>
            <c:strRef>
              <c:f>'Summary Data'!$D$33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Data'!$AL$1)</c:f>
              <c:strCache>
                <c:ptCount val="7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</c:strCache>
            </c:strRef>
          </c:xVal>
          <c:yVal>
            <c:numRef>
              <c:f>('Summary Data'!$I$33,'Summary Data'!$M$33,'Summary Data'!$R$33,'Summary Data'!$W$33,'Summary Data'!$AB$33,'Summary Data'!$AG$33,'Summary Data'!$AL$33)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86.999999912999996</c:v>
                </c:pt>
                <c:pt idx="3">
                  <c:v>93</c:v>
                </c:pt>
                <c:pt idx="4" formatCode="General">
                  <c:v>89</c:v>
                </c:pt>
                <c:pt idx="5" formatCode="General">
                  <c:v>89</c:v>
                </c:pt>
                <c:pt idx="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DF-2A4D-A055-5FAC242F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71568"/>
        <c:axId val="229519760"/>
      </c:scatterChart>
      <c:valAx>
        <c:axId val="229471568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9760"/>
        <c:crosses val="autoZero"/>
        <c:crossBetween val="midCat"/>
      </c:valAx>
      <c:valAx>
        <c:axId val="229519760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7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Data'!$D$34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Data'!$I$34,'Summary Data'!$M$34,'Summary Data'!$R$34,'Summary Data'!$W$34,'Summary Data'!$AB$34)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67.999999931999994</c:v>
                </c:pt>
                <c:pt idx="3">
                  <c:v>62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0-AE4E-A726-3CCDD4F92C42}"/>
            </c:ext>
          </c:extLst>
        </c:ser>
        <c:ser>
          <c:idx val="1"/>
          <c:order val="1"/>
          <c:tx>
            <c:strRef>
              <c:f>'Summary Data'!$D$35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Data'!$I$35,'Summary Data'!$M$35,'Summary Data'!$R$35,'Summary Data'!$W$35,'Summary Data'!$AB$35)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105.999999894</c:v>
                </c:pt>
                <c:pt idx="3">
                  <c:v>81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0-AE4E-A726-3CCDD4F92C42}"/>
            </c:ext>
          </c:extLst>
        </c:ser>
        <c:ser>
          <c:idx val="2"/>
          <c:order val="2"/>
          <c:tx>
            <c:strRef>
              <c:f>'Summary Data'!$D$36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Data'!$I$36,'Summary Data'!$M$36,'Summary Data'!$R$36,'Summary Data'!$W$36,'Summary Data'!$AB$36)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93.999999905999999</c:v>
                </c:pt>
                <c:pt idx="3">
                  <c:v>96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0-AE4E-A726-3CCDD4F92C42}"/>
            </c:ext>
          </c:extLst>
        </c:ser>
        <c:ser>
          <c:idx val="3"/>
          <c:order val="3"/>
          <c:tx>
            <c:strRef>
              <c:f>'Summary Data'!$D$37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Data'!$I$37,'Summary Data'!$M$37,'Summary Data'!$R$37,'Summary Data'!$W$37,'Summary Data'!$AB$37)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33.999999965999997</c:v>
                </c:pt>
                <c:pt idx="3">
                  <c:v>35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0-AE4E-A726-3CCDD4F92C42}"/>
            </c:ext>
          </c:extLst>
        </c:ser>
        <c:ser>
          <c:idx val="4"/>
          <c:order val="4"/>
          <c:tx>
            <c:strRef>
              <c:f>'Summary Data'!$D$38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Data'!$I$38,'Summary Data'!$M$38,'Summary Data'!$R$38,'Summary Data'!$W$38)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15.999999984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20-AE4E-A726-3CCDD4F92C42}"/>
            </c:ext>
          </c:extLst>
        </c:ser>
        <c:ser>
          <c:idx val="5"/>
          <c:order val="5"/>
          <c:tx>
            <c:strRef>
              <c:f>'Summary Data'!$D$39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Data'!$I$39,'Summary Data'!$M$39,'Summary Data'!$R$39,'Summary Data'!$W$39)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37.999999961999997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20-AE4E-A726-3CCDD4F92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32319"/>
        <c:axId val="2133462655"/>
      </c:scatterChart>
      <c:valAx>
        <c:axId val="2133032319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62655"/>
        <c:crosses val="autoZero"/>
        <c:crossBetween val="midCat"/>
      </c:valAx>
      <c:valAx>
        <c:axId val="2133462655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3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Data'!$D$40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Data'!$I$40,'Summary Data'!$M$40,'Summary Data'!$R$40,'Summary Data'!$W$40)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27.999999971999998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1-304A-8104-A2CFA22CA45E}"/>
            </c:ext>
          </c:extLst>
        </c:ser>
        <c:ser>
          <c:idx val="1"/>
          <c:order val="1"/>
          <c:tx>
            <c:strRef>
              <c:f>'Summary Data'!$D$41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Data'!$I$41,'Summary Data'!$M$41,'Summary Data'!$R$41,'Summary Data'!$W$41,'Summary Data'!$AB$41)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19.999999979999998</c:v>
                </c:pt>
                <c:pt idx="3">
                  <c:v>7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D1-304A-8104-A2CFA22CA45E}"/>
            </c:ext>
          </c:extLst>
        </c:ser>
        <c:ser>
          <c:idx val="2"/>
          <c:order val="2"/>
          <c:tx>
            <c:strRef>
              <c:f>'Summary Data'!$D$42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Data'!$I$42,'Summary Data'!$M$42,'Summary Data'!$R$42,'Summary Data'!$W$42,'Summary Data'!$AB$42)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14.999999984999999</c:v>
                </c:pt>
                <c:pt idx="3">
                  <c:v>15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D1-304A-8104-A2CFA22CA45E}"/>
            </c:ext>
          </c:extLst>
        </c:ser>
        <c:ser>
          <c:idx val="3"/>
          <c:order val="3"/>
          <c:tx>
            <c:strRef>
              <c:f>'Summary Data'!$D$43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Data'!$I$43,'Summary Data'!$M$43,'Summary Data'!$R$43,'Summary Data'!$W$43,'Summary Data'!$AB$43)</c:f>
              <c:numCache>
                <c:formatCode>0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27.999999971999998</c:v>
                </c:pt>
                <c:pt idx="3">
                  <c:v>33</c:v>
                </c:pt>
                <c:pt idx="4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D1-304A-8104-A2CFA22CA45E}"/>
            </c:ext>
          </c:extLst>
        </c:ser>
        <c:ser>
          <c:idx val="4"/>
          <c:order val="4"/>
          <c:tx>
            <c:strRef>
              <c:f>'Summary Data'!$D$44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Data'!$I$44,'Summary Data'!$M$44,'Summary Data'!$R$44,'Summary Data'!$W$44,'Summary Data'!$AB$44,'Summary Data'!$AG$44)</c:f>
              <c:numCache>
                <c:formatCode>0</c:formatCode>
                <c:ptCount val="6"/>
                <c:pt idx="0">
                  <c:v>0</c:v>
                </c:pt>
                <c:pt idx="1">
                  <c:v>21</c:v>
                </c:pt>
                <c:pt idx="2">
                  <c:v>68.999999930999991</c:v>
                </c:pt>
                <c:pt idx="3">
                  <c:v>85</c:v>
                </c:pt>
                <c:pt idx="4" formatCode="General">
                  <c:v>84</c:v>
                </c:pt>
                <c:pt idx="5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D1-304A-8104-A2CFA22CA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7824"/>
        <c:axId val="612996528"/>
      </c:scatterChart>
      <c:valAx>
        <c:axId val="161947824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96528"/>
        <c:crosses val="autoZero"/>
        <c:crossBetween val="midCat"/>
      </c:valAx>
      <c:valAx>
        <c:axId val="612996528"/>
        <c:scaling>
          <c:orientation val="minMax"/>
          <c:max val="11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Data'!$D$34</c:f>
              <c:strCache>
                <c:ptCount val="1"/>
                <c:pt idx="0">
                  <c:v>2014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Data'!$J$34,'Summary Data'!$N$34,'Summary Data'!$S$34,'Summary Data'!$X$34,'Summary Data'!$AC$34)</c:f>
            </c:numRef>
          </c:yVal>
          <c:smooth val="0"/>
          <c:extLst>
            <c:ext xmlns:c16="http://schemas.microsoft.com/office/drawing/2014/chart" uri="{C3380CC4-5D6E-409C-BE32-E72D297353CC}">
              <c16:uniqueId val="{00000000-BEA6-DF49-A504-EC2786878F50}"/>
            </c:ext>
          </c:extLst>
        </c:ser>
        <c:ser>
          <c:idx val="1"/>
          <c:order val="1"/>
          <c:tx>
            <c:strRef>
              <c:f>'Summary Data'!$D$35</c:f>
              <c:strCache>
                <c:ptCount val="1"/>
                <c:pt idx="0">
                  <c:v>2015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Data'!$J$35,'Summary Data'!$N$35,'Summary Data'!$S$35,'Summary Data'!$X$35,'Summary Data'!$AC$35)</c:f>
            </c:numRef>
          </c:yVal>
          <c:smooth val="0"/>
          <c:extLst>
            <c:ext xmlns:c16="http://schemas.microsoft.com/office/drawing/2014/chart" uri="{C3380CC4-5D6E-409C-BE32-E72D297353CC}">
              <c16:uniqueId val="{00000001-BEA6-DF49-A504-EC2786878F50}"/>
            </c:ext>
          </c:extLst>
        </c:ser>
        <c:ser>
          <c:idx val="2"/>
          <c:order val="2"/>
          <c:tx>
            <c:strRef>
              <c:f>'Summary Data'!$D$36</c:f>
              <c:strCache>
                <c:ptCount val="1"/>
                <c:pt idx="0">
                  <c:v>2016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Data'!$J$36,'Summary Data'!$N$36,'Summary Data'!$S$36,'Summary Data'!$X$36,'Summary Data'!$AC$36)</c:f>
            </c:numRef>
          </c:yVal>
          <c:smooth val="0"/>
          <c:extLst>
            <c:ext xmlns:c16="http://schemas.microsoft.com/office/drawing/2014/chart" uri="{C3380CC4-5D6E-409C-BE32-E72D297353CC}">
              <c16:uniqueId val="{00000002-BEA6-DF49-A504-EC2786878F50}"/>
            </c:ext>
          </c:extLst>
        </c:ser>
        <c:ser>
          <c:idx val="3"/>
          <c:order val="3"/>
          <c:tx>
            <c:strRef>
              <c:f>'Summary Data'!$D$37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Data'!$J$37,'Summary Data'!$N$37,'Summary Data'!$S$37,'Summary Data'!$X$37,'Summary Data'!$AC$37)</c:f>
            </c:numRef>
          </c:yVal>
          <c:smooth val="0"/>
          <c:extLst>
            <c:ext xmlns:c16="http://schemas.microsoft.com/office/drawing/2014/chart" uri="{C3380CC4-5D6E-409C-BE32-E72D297353CC}">
              <c16:uniqueId val="{00000003-BEA6-DF49-A504-EC2786878F50}"/>
            </c:ext>
          </c:extLst>
        </c:ser>
        <c:ser>
          <c:idx val="4"/>
          <c:order val="4"/>
          <c:tx>
            <c:strRef>
              <c:f>'Summary Data'!$D$38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Data'!$J$38,'Summary Data'!$N$38,'Summary Data'!$S$38,'Summary Data'!$X$38)</c:f>
            </c:numRef>
          </c:yVal>
          <c:smooth val="0"/>
          <c:extLst>
            <c:ext xmlns:c16="http://schemas.microsoft.com/office/drawing/2014/chart" uri="{C3380CC4-5D6E-409C-BE32-E72D297353CC}">
              <c16:uniqueId val="{00000004-BEA6-DF49-A504-EC2786878F50}"/>
            </c:ext>
          </c:extLst>
        </c:ser>
        <c:ser>
          <c:idx val="5"/>
          <c:order val="5"/>
          <c:tx>
            <c:strRef>
              <c:f>'Summary Data'!$D$39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Data'!$J$39,'Summary Data'!$N$39,'Summary Data'!$S$39,'Summary Data'!$X$39)</c:f>
            </c:numRef>
          </c:yVal>
          <c:smooth val="0"/>
          <c:extLst>
            <c:ext xmlns:c16="http://schemas.microsoft.com/office/drawing/2014/chart" uri="{C3380CC4-5D6E-409C-BE32-E72D297353CC}">
              <c16:uniqueId val="{00000005-BEA6-DF49-A504-EC278687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032319"/>
        <c:axId val="2133462655"/>
      </c:scatterChart>
      <c:valAx>
        <c:axId val="2133032319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62655"/>
        <c:crosses val="autoZero"/>
        <c:crossBetween val="midCat"/>
      </c:valAx>
      <c:valAx>
        <c:axId val="2133462655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032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Data'!$D$22</c:f>
              <c:strCache>
                <c:ptCount val="1"/>
                <c:pt idx="0">
                  <c:v>2002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Data'!$J$22,'Summary Data'!$N$22,'Summary Data'!$S$22,'Summary Data'!$X$22,'Summary Data'!$AC$22,'Summary Data'!$AH$22,'Summary Data'!$AM$22,'Summary Data'!$AR$2)</c:f>
            </c:numRef>
          </c:yVal>
          <c:smooth val="0"/>
          <c:extLst>
            <c:ext xmlns:c16="http://schemas.microsoft.com/office/drawing/2014/chart" uri="{C3380CC4-5D6E-409C-BE32-E72D297353CC}">
              <c16:uniqueId val="{00000000-DCF7-E441-9F17-D646B8AA8BDB}"/>
            </c:ext>
          </c:extLst>
        </c:ser>
        <c:ser>
          <c:idx val="1"/>
          <c:order val="1"/>
          <c:tx>
            <c:strRef>
              <c:f>'Summary Data'!$D$23</c:f>
              <c:strCache>
                <c:ptCount val="1"/>
                <c:pt idx="0">
                  <c:v>2003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Data'!$J$23,'Summary Data'!$N$23,'Summary Data'!$S$23,'Summary Data'!$X$23,'Summary Data'!$AC$23,'Summary Data'!$AH$23,'Summary Data'!$AM$23,'Summary Data'!$AR$2)</c:f>
            </c:numRef>
          </c:yVal>
          <c:smooth val="0"/>
          <c:extLst>
            <c:ext xmlns:c16="http://schemas.microsoft.com/office/drawing/2014/chart" uri="{C3380CC4-5D6E-409C-BE32-E72D297353CC}">
              <c16:uniqueId val="{00000001-DCF7-E441-9F17-D646B8AA8BDB}"/>
            </c:ext>
          </c:extLst>
        </c:ser>
        <c:ser>
          <c:idx val="2"/>
          <c:order val="2"/>
          <c:tx>
            <c:strRef>
              <c:f>'Summary Data'!$D$24</c:f>
              <c:strCache>
                <c:ptCount val="1"/>
                <c:pt idx="0">
                  <c:v>2004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Data'!$AL$1,'Summary Data'!$AQ$1)</c:f>
              <c:strCache>
                <c:ptCount val="8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  <c:pt idx="7">
                  <c:v>Survey 8</c:v>
                </c:pt>
              </c:strCache>
            </c:strRef>
          </c:xVal>
          <c:yVal>
            <c:numRef>
              <c:f>('Summary Data'!$J$24,'Summary Data'!$N$24,'Summary Data'!$S$24,'Summary Data'!$X$24,'Summary Data'!$AC$24,'Summary Data'!$AH$24,'Summary Data'!$AM$24,'Summary Data'!$AR$2)</c:f>
            </c:numRef>
          </c:yVal>
          <c:smooth val="0"/>
          <c:extLst>
            <c:ext xmlns:c16="http://schemas.microsoft.com/office/drawing/2014/chart" uri="{C3380CC4-5D6E-409C-BE32-E72D297353CC}">
              <c16:uniqueId val="{00000002-DCF7-E441-9F17-D646B8AA8BDB}"/>
            </c:ext>
          </c:extLst>
        </c:ser>
        <c:ser>
          <c:idx val="3"/>
          <c:order val="3"/>
          <c:tx>
            <c:strRef>
              <c:f>'Summary Data'!$D$25</c:f>
              <c:strCache>
                <c:ptCount val="1"/>
                <c:pt idx="0">
                  <c:v>2005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Data'!$J$25,'Summary Data'!$N$25,'Summary Data'!$S$25,'Summary Data'!$X$25,'Summary Data'!$AC$25,'Summary Data'!$AH$25)</c:f>
            </c:numRef>
          </c:yVal>
          <c:smooth val="0"/>
          <c:extLst>
            <c:ext xmlns:c16="http://schemas.microsoft.com/office/drawing/2014/chart" uri="{C3380CC4-5D6E-409C-BE32-E72D297353CC}">
              <c16:uniqueId val="{00000003-DCF7-E441-9F17-D646B8AA8BDB}"/>
            </c:ext>
          </c:extLst>
        </c:ser>
        <c:ser>
          <c:idx val="4"/>
          <c:order val="4"/>
          <c:tx>
            <c:strRef>
              <c:f>'Summary Data'!$D$26</c:f>
              <c:strCache>
                <c:ptCount val="1"/>
                <c:pt idx="0">
                  <c:v>2006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Data'!$J$26,'Summary Data'!$N$26,'Summary Data'!$S$26,'Summary Data'!$X$26,'Summary Data'!$AC$26,'Summary Data'!$AH$26)</c:f>
            </c:numRef>
          </c:yVal>
          <c:smooth val="0"/>
          <c:extLst>
            <c:ext xmlns:c16="http://schemas.microsoft.com/office/drawing/2014/chart" uri="{C3380CC4-5D6E-409C-BE32-E72D297353CC}">
              <c16:uniqueId val="{00000004-DCF7-E441-9F17-D646B8AA8BDB}"/>
            </c:ext>
          </c:extLst>
        </c:ser>
        <c:ser>
          <c:idx val="5"/>
          <c:order val="5"/>
          <c:tx>
            <c:strRef>
              <c:f>'Summary Data'!$D$27</c:f>
              <c:strCache>
                <c:ptCount val="1"/>
                <c:pt idx="0">
                  <c:v>2007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Data'!$J$27,'Summary Data'!$N$27,'Summary Data'!$S$27,'Summary Data'!$X$27,'Summary Data'!$AC$27)</c:f>
            </c:numRef>
          </c:yVal>
          <c:smooth val="0"/>
          <c:extLst>
            <c:ext xmlns:c16="http://schemas.microsoft.com/office/drawing/2014/chart" uri="{C3380CC4-5D6E-409C-BE32-E72D297353CC}">
              <c16:uniqueId val="{00000005-DCF7-E441-9F17-D646B8AA8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94896"/>
        <c:axId val="1359014815"/>
      </c:scatterChart>
      <c:valAx>
        <c:axId val="229294896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014815"/>
        <c:crosses val="autoZero"/>
        <c:crossBetween val="midCat"/>
      </c:valAx>
      <c:valAx>
        <c:axId val="1359014815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9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Data'!$D$28</c:f>
              <c:strCache>
                <c:ptCount val="1"/>
                <c:pt idx="0">
                  <c:v>2008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Data'!$J$28,'Summary Data'!$N$28,'Summary Data'!$S$28,'Summary Data'!$X$28)</c:f>
            </c:numRef>
          </c:yVal>
          <c:smooth val="0"/>
          <c:extLst>
            <c:ext xmlns:c16="http://schemas.microsoft.com/office/drawing/2014/chart" uri="{C3380CC4-5D6E-409C-BE32-E72D297353CC}">
              <c16:uniqueId val="{00000000-5D0A-B543-BD74-9D084BF3437B}"/>
            </c:ext>
          </c:extLst>
        </c:ser>
        <c:ser>
          <c:idx val="1"/>
          <c:order val="1"/>
          <c:tx>
            <c:strRef>
              <c:f>'Summary Data'!$D$29</c:f>
              <c:strCache>
                <c:ptCount val="1"/>
                <c:pt idx="0">
                  <c:v>2009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Data'!$J$29,'Summary Data'!$N$29,'Summary Data'!$S$29,'Summary Data'!$X$29)</c:f>
            </c:numRef>
          </c:yVal>
          <c:smooth val="0"/>
          <c:extLst>
            <c:ext xmlns:c16="http://schemas.microsoft.com/office/drawing/2014/chart" uri="{C3380CC4-5D6E-409C-BE32-E72D297353CC}">
              <c16:uniqueId val="{00000001-5D0A-B543-BD74-9D084BF3437B}"/>
            </c:ext>
          </c:extLst>
        </c:ser>
        <c:ser>
          <c:idx val="2"/>
          <c:order val="2"/>
          <c:tx>
            <c:strRef>
              <c:f>'Summary Data'!$D$30</c:f>
              <c:strCache>
                <c:ptCount val="1"/>
                <c:pt idx="0">
                  <c:v>2010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Data'!$J$30,'Summary Data'!$N$30,'Summary Data'!$S$30,'Summary Data'!$X$30)</c:f>
            </c:numRef>
          </c:yVal>
          <c:smooth val="0"/>
          <c:extLst>
            <c:ext xmlns:c16="http://schemas.microsoft.com/office/drawing/2014/chart" uri="{C3380CC4-5D6E-409C-BE32-E72D297353CC}">
              <c16:uniqueId val="{00000002-5D0A-B543-BD74-9D084BF3437B}"/>
            </c:ext>
          </c:extLst>
        </c:ser>
        <c:ser>
          <c:idx val="3"/>
          <c:order val="3"/>
          <c:tx>
            <c:strRef>
              <c:f>'Summary Data'!$D$31</c:f>
              <c:strCache>
                <c:ptCount val="1"/>
                <c:pt idx="0">
                  <c:v>2011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Data'!$J$31,'Summary Data'!$N$31,'Summary Data'!$S$31,'Summary Data'!$X$31)</c:f>
            </c:numRef>
          </c:yVal>
          <c:smooth val="0"/>
          <c:extLst>
            <c:ext xmlns:c16="http://schemas.microsoft.com/office/drawing/2014/chart" uri="{C3380CC4-5D6E-409C-BE32-E72D297353CC}">
              <c16:uniqueId val="{00000003-5D0A-B543-BD74-9D084BF3437B}"/>
            </c:ext>
          </c:extLst>
        </c:ser>
        <c:ser>
          <c:idx val="4"/>
          <c:order val="4"/>
          <c:tx>
            <c:strRef>
              <c:f>'Summary Data'!$D$32</c:f>
              <c:strCache>
                <c:ptCount val="1"/>
                <c:pt idx="0">
                  <c:v>2012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Data'!$J$32,'Summary Data'!$N$32,'Summary Data'!$S$32,'Summary Data'!$X$32,'Summary Data'!$AC$32,'Summary Data'!$AH$32)</c:f>
            </c:numRef>
          </c:yVal>
          <c:smooth val="0"/>
          <c:extLst>
            <c:ext xmlns:c16="http://schemas.microsoft.com/office/drawing/2014/chart" uri="{C3380CC4-5D6E-409C-BE32-E72D297353CC}">
              <c16:uniqueId val="{00000004-5D0A-B543-BD74-9D084BF3437B}"/>
            </c:ext>
          </c:extLst>
        </c:ser>
        <c:ser>
          <c:idx val="5"/>
          <c:order val="5"/>
          <c:tx>
            <c:strRef>
              <c:f>'Summary Data'!$D$33</c:f>
              <c:strCache>
                <c:ptCount val="1"/>
                <c:pt idx="0">
                  <c:v>2013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Data'!$AG$1,'Summary Data'!$AL$1)</c:f>
              <c:strCache>
                <c:ptCount val="7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  <c:pt idx="6">
                  <c:v>Survey 7</c:v>
                </c:pt>
              </c:strCache>
            </c:strRef>
          </c:xVal>
          <c:yVal>
            <c:numRef>
              <c:f>('Summary Data'!$J$33,'Summary Data'!$N$33,'Summary Data'!$S$33,'Summary Data'!$X$33,'Summary Data'!$AC$33,'Summary Data'!$AH$33,'Summary Data'!$AM$33)</c:f>
            </c:numRef>
          </c:yVal>
          <c:smooth val="0"/>
          <c:extLst>
            <c:ext xmlns:c16="http://schemas.microsoft.com/office/drawing/2014/chart" uri="{C3380CC4-5D6E-409C-BE32-E72D297353CC}">
              <c16:uniqueId val="{00000005-5D0A-B543-BD74-9D084BF34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471568"/>
        <c:axId val="229519760"/>
      </c:scatterChart>
      <c:valAx>
        <c:axId val="229471568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519760"/>
        <c:crosses val="autoZero"/>
        <c:crossBetween val="midCat"/>
      </c:valAx>
      <c:valAx>
        <c:axId val="229519760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71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Data'!$D$40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('Summary Data'!$I$1,'Summary Data'!$M$1,'Summary Data'!$R$1,'Summary Data'!$W$1)</c:f>
              <c:strCache>
                <c:ptCount val="4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</c:strCache>
            </c:strRef>
          </c:xVal>
          <c:yVal>
            <c:numRef>
              <c:f>('Summary Data'!$J$40,'Summary Data'!$J$40,'Summary Data'!$N$40,'Summary Data'!$S$40,'Summary Data'!$X$40)</c:f>
            </c:numRef>
          </c:yVal>
          <c:smooth val="0"/>
          <c:extLst>
            <c:ext xmlns:c16="http://schemas.microsoft.com/office/drawing/2014/chart" uri="{C3380CC4-5D6E-409C-BE32-E72D297353CC}">
              <c16:uniqueId val="{00000000-52B1-2A4D-82C0-4AAE3BFDA00E}"/>
            </c:ext>
          </c:extLst>
        </c:ser>
        <c:ser>
          <c:idx val="1"/>
          <c:order val="1"/>
          <c:tx>
            <c:strRef>
              <c:f>'Summary Data'!$D$41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Data'!$J$41,'Summary Data'!$N$41,'Summary Data'!$S$41,'Summary Data'!$X$41,'Summary Data'!$AC$41)</c:f>
            </c:numRef>
          </c:yVal>
          <c:smooth val="0"/>
          <c:extLst>
            <c:ext xmlns:c16="http://schemas.microsoft.com/office/drawing/2014/chart" uri="{C3380CC4-5D6E-409C-BE32-E72D297353CC}">
              <c16:uniqueId val="{00000001-52B1-2A4D-82C0-4AAE3BFDA00E}"/>
            </c:ext>
          </c:extLst>
        </c:ser>
        <c:ser>
          <c:idx val="2"/>
          <c:order val="2"/>
          <c:tx>
            <c:strRef>
              <c:f>'Summary Data'!$D$42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Data'!$J$42,'Summary Data'!$N$42,'Summary Data'!$S$42,'Summary Data'!$X$42,'Summary Data'!$AC$42)</c:f>
            </c:numRef>
          </c:yVal>
          <c:smooth val="0"/>
          <c:extLst>
            <c:ext xmlns:c16="http://schemas.microsoft.com/office/drawing/2014/chart" uri="{C3380CC4-5D6E-409C-BE32-E72D297353CC}">
              <c16:uniqueId val="{00000002-52B1-2A4D-82C0-4AAE3BFDA00E}"/>
            </c:ext>
          </c:extLst>
        </c:ser>
        <c:ser>
          <c:idx val="3"/>
          <c:order val="3"/>
          <c:tx>
            <c:strRef>
              <c:f>'Summary Data'!$D$43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Data'!$AB$1)</c:f>
              <c:strCache>
                <c:ptCount val="5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</c:strCache>
            </c:strRef>
          </c:xVal>
          <c:yVal>
            <c:numRef>
              <c:f>('Summary Data'!$J$43,'Summary Data'!$N$43,'Summary Data'!$S$43,'Summary Data'!$X$43,'Summary Data'!$AC$43)</c:f>
            </c:numRef>
          </c:yVal>
          <c:smooth val="0"/>
          <c:extLst>
            <c:ext xmlns:c16="http://schemas.microsoft.com/office/drawing/2014/chart" uri="{C3380CC4-5D6E-409C-BE32-E72D297353CC}">
              <c16:uniqueId val="{00000003-52B1-2A4D-82C0-4AAE3BFDA00E}"/>
            </c:ext>
          </c:extLst>
        </c:ser>
        <c:ser>
          <c:idx val="4"/>
          <c:order val="4"/>
          <c:tx>
            <c:strRef>
              <c:f>'Summary Data'!$D$44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('Summary Data'!$I$1,'Summary Data'!$M$1,'Summary Data'!$R$1,'Summary Data'!$W$1,'Summary Data'!$AB$1,'Summary Data'!$AG$1)</c:f>
              <c:strCache>
                <c:ptCount val="6"/>
                <c:pt idx="0">
                  <c:v>Survey 1</c:v>
                </c:pt>
                <c:pt idx="1">
                  <c:v>Survey 2</c:v>
                </c:pt>
                <c:pt idx="2">
                  <c:v>Survey 3</c:v>
                </c:pt>
                <c:pt idx="3">
                  <c:v>Survey 4</c:v>
                </c:pt>
                <c:pt idx="4">
                  <c:v>Survey 5</c:v>
                </c:pt>
                <c:pt idx="5">
                  <c:v>Survey 6</c:v>
                </c:pt>
              </c:strCache>
            </c:strRef>
          </c:xVal>
          <c:yVal>
            <c:numRef>
              <c:f>('Summary Data'!$J$44,'Summary Data'!$N$44,'Summary Data'!$S$44,'Summary Data'!$X$44,'Summary Data'!$AC$44,'Summary Data'!$AH$44)</c:f>
            </c:numRef>
          </c:yVal>
          <c:smooth val="0"/>
          <c:extLst>
            <c:ext xmlns:c16="http://schemas.microsoft.com/office/drawing/2014/chart" uri="{C3380CC4-5D6E-409C-BE32-E72D297353CC}">
              <c16:uniqueId val="{00000004-52B1-2A4D-82C0-4AAE3BFDA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47824"/>
        <c:axId val="612996528"/>
      </c:scatterChart>
      <c:valAx>
        <c:axId val="161947824"/>
        <c:scaling>
          <c:orientation val="minMax"/>
          <c:max val="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Surveys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996528"/>
        <c:crosses val="autoZero"/>
        <c:crossBetween val="midCat"/>
      </c:valAx>
      <c:valAx>
        <c:axId val="612996528"/>
        <c:scaling>
          <c:orientation val="minMax"/>
          <c:max val="2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Corrected Observed Estimate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'Summary Data'!$G$1</c:f>
              <c:strCache>
                <c:ptCount val="1"/>
                <c:pt idx="0">
                  <c:v>Annual AUC (fish days)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145254209591791"/>
                  <c:y val="0.6538369291997395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96.674x - 1825.7</a:t>
                    </a:r>
                    <a:br>
                      <a:rPr lang="en-US" b="1" baseline="0"/>
                    </a:br>
                    <a:r>
                      <a:rPr lang="en-US" b="1" baseline="0"/>
                      <a:t>R² = 0.9795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Data'!$G$2:$G$49</c:f>
              <c:numCache>
                <c:formatCode>0.00</c:formatCode>
                <c:ptCount val="48"/>
                <c:pt idx="1">
                  <c:v>25363.636388999999</c:v>
                </c:pt>
                <c:pt idx="2">
                  <c:v>41970.098780985354</c:v>
                </c:pt>
                <c:pt idx="3">
                  <c:v>49415.540891195764</c:v>
                </c:pt>
                <c:pt idx="4">
                  <c:v>71080.537101233538</c:v>
                </c:pt>
                <c:pt idx="5">
                  <c:v>30080.226213690981</c:v>
                </c:pt>
                <c:pt idx="6">
                  <c:v>59685.038067765847</c:v>
                </c:pt>
                <c:pt idx="7">
                  <c:v>69989.907939294993</c:v>
                </c:pt>
                <c:pt idx="8">
                  <c:v>13911.649842681481</c:v>
                </c:pt>
                <c:pt idx="9">
                  <c:v>26835.555564435555</c:v>
                </c:pt>
                <c:pt idx="10">
                  <c:v>11928.590450233929</c:v>
                </c:pt>
                <c:pt idx="11">
                  <c:v>25384.080371148812</c:v>
                </c:pt>
                <c:pt idx="12">
                  <c:v>11229.485776766676</c:v>
                </c:pt>
                <c:pt idx="13">
                  <c:v>4332.7726251892245</c:v>
                </c:pt>
                <c:pt idx="14">
                  <c:v>12914.18267693467</c:v>
                </c:pt>
                <c:pt idx="15">
                  <c:v>7648.6361834915724</c:v>
                </c:pt>
                <c:pt idx="16">
                  <c:v>1299.4382687221564</c:v>
                </c:pt>
                <c:pt idx="17">
                  <c:v>13253.482199486869</c:v>
                </c:pt>
                <c:pt idx="18">
                  <c:v>2475.7894806377435</c:v>
                </c:pt>
                <c:pt idx="19">
                  <c:v>11688.405188239552</c:v>
                </c:pt>
                <c:pt idx="20">
                  <c:v>9560.9090997427284</c:v>
                </c:pt>
                <c:pt idx="21">
                  <c:v>6354.5454601054535</c:v>
                </c:pt>
                <c:pt idx="22">
                  <c:v>5556.3636410227282</c:v>
                </c:pt>
                <c:pt idx="23">
                  <c:v>7221.818187207271</c:v>
                </c:pt>
                <c:pt idx="24">
                  <c:v>10597.272734812728</c:v>
                </c:pt>
                <c:pt idx="25">
                  <c:v>7405.4545503145455</c:v>
                </c:pt>
                <c:pt idx="26">
                  <c:v>3049.0909108418182</c:v>
                </c:pt>
                <c:pt idx="27">
                  <c:v>4810.9090934399992</c:v>
                </c:pt>
                <c:pt idx="28">
                  <c:v>7996.3636403345445</c:v>
                </c:pt>
                <c:pt idx="29">
                  <c:v>12669.090915767272</c:v>
                </c:pt>
                <c:pt idx="30">
                  <c:v>7008.1818235945448</c:v>
                </c:pt>
                <c:pt idx="31">
                  <c:v>14890.000013149998</c:v>
                </c:pt>
                <c:pt idx="32">
                  <c:v>8218.181824545456</c:v>
                </c:pt>
                <c:pt idx="33">
                  <c:v>16501.818195332726</c:v>
                </c:pt>
                <c:pt idx="34">
                  <c:v>13906.363648219092</c:v>
                </c:pt>
                <c:pt idx="35">
                  <c:v>6918.1818234618177</c:v>
                </c:pt>
                <c:pt idx="36">
                  <c:v>2889.0909108745454</c:v>
                </c:pt>
                <c:pt idx="37">
                  <c:v>6742.727277431818</c:v>
                </c:pt>
                <c:pt idx="38">
                  <c:v>2831.8181824354547</c:v>
                </c:pt>
                <c:pt idx="39">
                  <c:v>3060.9090929154545</c:v>
                </c:pt>
                <c:pt idx="40">
                  <c:v>2713.636365681818</c:v>
                </c:pt>
                <c:pt idx="41">
                  <c:v>4146.3636390845459</c:v>
                </c:pt>
                <c:pt idx="42">
                  <c:v>10808.181825226362</c:v>
                </c:pt>
                <c:pt idx="43">
                  <c:v>3909.090913</c:v>
                </c:pt>
                <c:pt idx="44">
                  <c:v>9140.0000091400016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xVal>
          <c:yVal>
            <c:numRef>
              <c:f>'Summary Data'!$F$2:$F$51</c:f>
              <c:numCache>
                <c:formatCode>0</c:formatCode>
                <c:ptCount val="50"/>
                <c:pt idx="1">
                  <c:v>338.18181851999998</c:v>
                </c:pt>
                <c:pt idx="2">
                  <c:v>593.43748723480758</c:v>
                </c:pt>
                <c:pt idx="3">
                  <c:v>646.56687047578885</c:v>
                </c:pt>
                <c:pt idx="4">
                  <c:v>942.09420942094198</c:v>
                </c:pt>
                <c:pt idx="5">
                  <c:v>398.34969412434202</c:v>
                </c:pt>
                <c:pt idx="6">
                  <c:v>818.05711435341061</c:v>
                </c:pt>
                <c:pt idx="7">
                  <c:v>920.86033187185569</c:v>
                </c:pt>
                <c:pt idx="8">
                  <c:v>148.14814829629631</c:v>
                </c:pt>
                <c:pt idx="9">
                  <c:v>355.55555555555554</c:v>
                </c:pt>
                <c:pt idx="10">
                  <c:v>147.53692389729324</c:v>
                </c:pt>
                <c:pt idx="11">
                  <c:v>332.62600213602002</c:v>
                </c:pt>
                <c:pt idx="12">
                  <c:v>183.63636381999999</c:v>
                </c:pt>
                <c:pt idx="13">
                  <c:v>59.717326279663268</c:v>
                </c:pt>
                <c:pt idx="14">
                  <c:v>170.72129748186089</c:v>
                </c:pt>
                <c:pt idx="15">
                  <c:v>105.38351696411165</c:v>
                </c:pt>
                <c:pt idx="16">
                  <c:v>18.065745765276283</c:v>
                </c:pt>
                <c:pt idx="17">
                  <c:v>212.65284444444444</c:v>
                </c:pt>
                <c:pt idx="18">
                  <c:v>32.822966679929486</c:v>
                </c:pt>
                <c:pt idx="19">
                  <c:v>138.18181831999999</c:v>
                </c:pt>
                <c:pt idx="20">
                  <c:v>132.72727286</c:v>
                </c:pt>
                <c:pt idx="21">
                  <c:v>90.909091000000004</c:v>
                </c:pt>
                <c:pt idx="22">
                  <c:v>81.818181899999999</c:v>
                </c:pt>
                <c:pt idx="23">
                  <c:v>110.90909101999999</c:v>
                </c:pt>
                <c:pt idx="24">
                  <c:v>112.72727284</c:v>
                </c:pt>
                <c:pt idx="25">
                  <c:v>109.0909092</c:v>
                </c:pt>
                <c:pt idx="26">
                  <c:v>32.727272759999998</c:v>
                </c:pt>
                <c:pt idx="27">
                  <c:v>69.090909090909079</c:v>
                </c:pt>
                <c:pt idx="28">
                  <c:v>98.181818181818173</c:v>
                </c:pt>
                <c:pt idx="29">
                  <c:v>187.27272727272725</c:v>
                </c:pt>
                <c:pt idx="30">
                  <c:v>76.363636439999993</c:v>
                </c:pt>
                <c:pt idx="31">
                  <c:v>169.09090925999999</c:v>
                </c:pt>
                <c:pt idx="32">
                  <c:v>123.63636363636363</c:v>
                </c:pt>
                <c:pt idx="33">
                  <c:v>198.18181837999998</c:v>
                </c:pt>
                <c:pt idx="34">
                  <c:v>174.54545472000001</c:v>
                </c:pt>
                <c:pt idx="35">
                  <c:v>74.545454620000001</c:v>
                </c:pt>
                <c:pt idx="36">
                  <c:v>32.727272759999998</c:v>
                </c:pt>
                <c:pt idx="37">
                  <c:v>81.818181899999999</c:v>
                </c:pt>
                <c:pt idx="38">
                  <c:v>50.909090909090907</c:v>
                </c:pt>
                <c:pt idx="39">
                  <c:v>36.363636399999997</c:v>
                </c:pt>
                <c:pt idx="40">
                  <c:v>27.2727273</c:v>
                </c:pt>
                <c:pt idx="41">
                  <c:v>60.000000059999998</c:v>
                </c:pt>
                <c:pt idx="42">
                  <c:v>154.54545469999999</c:v>
                </c:pt>
                <c:pt idx="43">
                  <c:v>54.545454599999999</c:v>
                </c:pt>
                <c:pt idx="44">
                  <c:v>141.81818196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4-6346-B679-A456C75A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29103"/>
        <c:axId val="1516790351"/>
      </c:scatterChart>
      <c:valAx>
        <c:axId val="1430729103"/>
        <c:scaling>
          <c:orientation val="minMax"/>
          <c:max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Annual AUC (fish 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790351"/>
        <c:crosses val="autoZero"/>
        <c:crossBetween val="midCat"/>
      </c:valAx>
      <c:valAx>
        <c:axId val="1516790351"/>
        <c:scaling>
          <c:orientation val="minMax"/>
          <c:max val="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Peak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2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polynomial</a:t>
            </a:r>
            <a:r>
              <a:rPr lang="en-CA" baseline="0"/>
              <a:t> regression  of peak count ratio and survey day, all surveys between 2002 - 2016</a:t>
            </a:r>
            <a:endParaRPr lang="en-CA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081049636438227E-2"/>
          <c:y val="0.25168254576693749"/>
          <c:w val="0.85297994161771884"/>
          <c:h val="0.6654678460263275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intercept val="0"/>
            <c:dispRSqr val="1"/>
            <c:dispEq val="1"/>
            <c:trendlineLbl>
              <c:layout>
                <c:manualLayout>
                  <c:x val="0.17023396541910138"/>
                  <c:y val="0.17414364963153908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400" baseline="0"/>
                      <a:t>y = -3E-08x</a:t>
                    </a:r>
                    <a:r>
                      <a:rPr lang="en-US" sz="1400" baseline="30000"/>
                      <a:t>4</a:t>
                    </a:r>
                    <a:r>
                      <a:rPr lang="en-US" sz="1400" baseline="0"/>
                      <a:t> + 5E-06x</a:t>
                    </a:r>
                    <a:r>
                      <a:rPr lang="en-US" sz="1400" baseline="30000"/>
                      <a:t>3</a:t>
                    </a:r>
                    <a:r>
                      <a:rPr lang="en-US" sz="1400" baseline="0"/>
                      <a:t> - 0.0003x</a:t>
                    </a:r>
                    <a:r>
                      <a:rPr lang="en-US" sz="1400" baseline="30000"/>
                      <a:t>2</a:t>
                    </a:r>
                    <a:r>
                      <a:rPr lang="en-US" sz="1400" baseline="0"/>
                      <a:t> + 0.011x
R² = 0.7767</a:t>
                    </a:r>
                    <a:endParaRPr lang="en-US" sz="1400"/>
                  </a:p>
                </c:rich>
              </c:tx>
              <c:numFmt formatCode="General" sourceLinked="0"/>
            </c:trendlineLbl>
          </c:trendline>
          <c:xVal>
            <c:numRef>
              <c:f>'Time and Area Standardization'!$BB$84:$BB$168</c:f>
              <c:numCache>
                <c:formatCode>General</c:formatCode>
                <c:ptCount val="85"/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9">
                  <c:v>20</c:v>
                </c:pt>
                <c:pt idx="10">
                  <c:v>43</c:v>
                </c:pt>
                <c:pt idx="11">
                  <c:v>66</c:v>
                </c:pt>
                <c:pt idx="12">
                  <c:v>97</c:v>
                </c:pt>
                <c:pt idx="13">
                  <c:v>113</c:v>
                </c:pt>
                <c:pt idx="14">
                  <c:v>134</c:v>
                </c:pt>
                <c:pt idx="17">
                  <c:v>36</c:v>
                </c:pt>
                <c:pt idx="18">
                  <c:v>62</c:v>
                </c:pt>
                <c:pt idx="19">
                  <c:v>83</c:v>
                </c:pt>
                <c:pt idx="20">
                  <c:v>105</c:v>
                </c:pt>
                <c:pt idx="21">
                  <c:v>120</c:v>
                </c:pt>
                <c:pt idx="22">
                  <c:v>135</c:v>
                </c:pt>
                <c:pt idx="25">
                  <c:v>42</c:v>
                </c:pt>
                <c:pt idx="26">
                  <c:v>67</c:v>
                </c:pt>
                <c:pt idx="27">
                  <c:v>105</c:v>
                </c:pt>
                <c:pt idx="28">
                  <c:v>119</c:v>
                </c:pt>
                <c:pt idx="31">
                  <c:v>46</c:v>
                </c:pt>
                <c:pt idx="32">
                  <c:v>80</c:v>
                </c:pt>
                <c:pt idx="33">
                  <c:v>103</c:v>
                </c:pt>
                <c:pt idx="34">
                  <c:v>125</c:v>
                </c:pt>
                <c:pt idx="37">
                  <c:v>54</c:v>
                </c:pt>
                <c:pt idx="38">
                  <c:v>88</c:v>
                </c:pt>
                <c:pt idx="39">
                  <c:v>110</c:v>
                </c:pt>
                <c:pt idx="42">
                  <c:v>68</c:v>
                </c:pt>
                <c:pt idx="43">
                  <c:v>108</c:v>
                </c:pt>
                <c:pt idx="46">
                  <c:v>85</c:v>
                </c:pt>
                <c:pt idx="47">
                  <c:v>117</c:v>
                </c:pt>
                <c:pt idx="50">
                  <c:v>69</c:v>
                </c:pt>
                <c:pt idx="51">
                  <c:v>105</c:v>
                </c:pt>
                <c:pt idx="54">
                  <c:v>87</c:v>
                </c:pt>
                <c:pt idx="55">
                  <c:v>109</c:v>
                </c:pt>
                <c:pt idx="58">
                  <c:v>83</c:v>
                </c:pt>
                <c:pt idx="59">
                  <c:v>113</c:v>
                </c:pt>
                <c:pt idx="60">
                  <c:v>128</c:v>
                </c:pt>
                <c:pt idx="64">
                  <c:v>85</c:v>
                </c:pt>
                <c:pt idx="65">
                  <c:v>86</c:v>
                </c:pt>
                <c:pt idx="66">
                  <c:v>107</c:v>
                </c:pt>
                <c:pt idx="67">
                  <c:v>115</c:v>
                </c:pt>
                <c:pt idx="68">
                  <c:v>123</c:v>
                </c:pt>
                <c:pt idx="71">
                  <c:v>84</c:v>
                </c:pt>
                <c:pt idx="72">
                  <c:v>101</c:v>
                </c:pt>
                <c:pt idx="73">
                  <c:v>114</c:v>
                </c:pt>
                <c:pt idx="76">
                  <c:v>86</c:v>
                </c:pt>
                <c:pt idx="77">
                  <c:v>98</c:v>
                </c:pt>
                <c:pt idx="78">
                  <c:v>117</c:v>
                </c:pt>
                <c:pt idx="81">
                  <c:v>87</c:v>
                </c:pt>
                <c:pt idx="82">
                  <c:v>98</c:v>
                </c:pt>
                <c:pt idx="83">
                  <c:v>111</c:v>
                </c:pt>
              </c:numCache>
            </c:numRef>
          </c:xVal>
          <c:yVal>
            <c:numRef>
              <c:f>'Time and Area Standardization'!$BC$84:$BC$168</c:f>
            </c:numRef>
          </c:yVal>
          <c:smooth val="0"/>
          <c:extLst>
            <c:ext xmlns:c16="http://schemas.microsoft.com/office/drawing/2014/chart" uri="{C3380CC4-5D6E-409C-BE32-E72D297353CC}">
              <c16:uniqueId val="{00000001-5313-4FF9-9278-AF350230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1952"/>
        <c:axId val="104067840"/>
      </c:scatterChart>
      <c:valAx>
        <c:axId val="10406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067840"/>
        <c:crosses val="autoZero"/>
        <c:crossBetween val="midCat"/>
      </c:valAx>
      <c:valAx>
        <c:axId val="10406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0619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1430000618929292"/>
          <c:y val="0.28600062028617013"/>
          <c:w val="0.1877270041556198"/>
          <c:h val="5.980293024020073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/>
              <a:t>Linear</a:t>
            </a:r>
            <a:r>
              <a:rPr lang="en-CA" baseline="0"/>
              <a:t> regression of  peak count ratio and survey day with post peak surveys  (ie &lt;1 or after day 130) excluded, all surveys between 2002-2016</a:t>
            </a:r>
          </a:p>
          <a:p>
            <a:pPr>
              <a:defRPr/>
            </a:pPr>
            <a:endParaRPr lang="en-CA"/>
          </a:p>
        </c:rich>
      </c:tx>
      <c:layout>
        <c:manualLayout>
          <c:xMode val="edge"/>
          <c:yMode val="edge"/>
          <c:x val="9.8842021712358535E-2"/>
          <c:y val="2.124395325566160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1081049636438227E-2"/>
          <c:y val="0.25025681950915135"/>
          <c:w val="0.85297994161771884"/>
          <c:h val="0.6668936824303115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6.1315938376288043E-2"/>
                  <c:y val="0.27929573432307131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400"/>
                  </a:pPr>
                  <a:endParaRPr lang="en-US"/>
                </a:p>
              </c:txPr>
            </c:trendlineLbl>
          </c:trendline>
          <c:xVal>
            <c:numRef>
              <c:f>'Time and Area Standardization'!$BB$84:$BB$168</c:f>
              <c:numCache>
                <c:formatCode>General</c:formatCode>
                <c:ptCount val="85"/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9">
                  <c:v>20</c:v>
                </c:pt>
                <c:pt idx="10">
                  <c:v>43</c:v>
                </c:pt>
                <c:pt idx="11">
                  <c:v>66</c:v>
                </c:pt>
                <c:pt idx="12">
                  <c:v>97</c:v>
                </c:pt>
                <c:pt idx="13">
                  <c:v>113</c:v>
                </c:pt>
                <c:pt idx="14">
                  <c:v>134</c:v>
                </c:pt>
                <c:pt idx="17">
                  <c:v>36</c:v>
                </c:pt>
                <c:pt idx="18">
                  <c:v>62</c:v>
                </c:pt>
                <c:pt idx="19">
                  <c:v>83</c:v>
                </c:pt>
                <c:pt idx="20">
                  <c:v>105</c:v>
                </c:pt>
                <c:pt idx="21">
                  <c:v>120</c:v>
                </c:pt>
                <c:pt idx="22">
                  <c:v>135</c:v>
                </c:pt>
                <c:pt idx="25">
                  <c:v>42</c:v>
                </c:pt>
                <c:pt idx="26">
                  <c:v>67</c:v>
                </c:pt>
                <c:pt idx="27">
                  <c:v>105</c:v>
                </c:pt>
                <c:pt idx="28">
                  <c:v>119</c:v>
                </c:pt>
                <c:pt idx="31">
                  <c:v>46</c:v>
                </c:pt>
                <c:pt idx="32">
                  <c:v>80</c:v>
                </c:pt>
                <c:pt idx="33">
                  <c:v>103</c:v>
                </c:pt>
                <c:pt idx="34">
                  <c:v>125</c:v>
                </c:pt>
                <c:pt idx="37">
                  <c:v>54</c:v>
                </c:pt>
                <c:pt idx="38">
                  <c:v>88</c:v>
                </c:pt>
                <c:pt idx="39">
                  <c:v>110</c:v>
                </c:pt>
                <c:pt idx="42">
                  <c:v>68</c:v>
                </c:pt>
                <c:pt idx="43">
                  <c:v>108</c:v>
                </c:pt>
                <c:pt idx="46">
                  <c:v>85</c:v>
                </c:pt>
                <c:pt idx="47">
                  <c:v>117</c:v>
                </c:pt>
                <c:pt idx="50">
                  <c:v>69</c:v>
                </c:pt>
                <c:pt idx="51">
                  <c:v>105</c:v>
                </c:pt>
                <c:pt idx="54">
                  <c:v>87</c:v>
                </c:pt>
                <c:pt idx="55">
                  <c:v>109</c:v>
                </c:pt>
                <c:pt idx="58">
                  <c:v>83</c:v>
                </c:pt>
                <c:pt idx="59">
                  <c:v>113</c:v>
                </c:pt>
                <c:pt idx="60">
                  <c:v>128</c:v>
                </c:pt>
                <c:pt idx="64">
                  <c:v>85</c:v>
                </c:pt>
                <c:pt idx="65">
                  <c:v>86</c:v>
                </c:pt>
                <c:pt idx="66">
                  <c:v>107</c:v>
                </c:pt>
                <c:pt idx="67">
                  <c:v>115</c:v>
                </c:pt>
                <c:pt idx="68">
                  <c:v>123</c:v>
                </c:pt>
                <c:pt idx="71">
                  <c:v>84</c:v>
                </c:pt>
                <c:pt idx="72">
                  <c:v>101</c:v>
                </c:pt>
                <c:pt idx="73">
                  <c:v>114</c:v>
                </c:pt>
                <c:pt idx="76">
                  <c:v>86</c:v>
                </c:pt>
                <c:pt idx="77">
                  <c:v>98</c:v>
                </c:pt>
                <c:pt idx="78">
                  <c:v>117</c:v>
                </c:pt>
                <c:pt idx="81">
                  <c:v>87</c:v>
                </c:pt>
                <c:pt idx="82">
                  <c:v>98</c:v>
                </c:pt>
                <c:pt idx="83">
                  <c:v>111</c:v>
                </c:pt>
              </c:numCache>
            </c:numRef>
          </c:xVal>
          <c:yVal>
            <c:numRef>
              <c:f>'Time and Area Standardization'!$BD$84:$BD$168</c:f>
              <c:numCache>
                <c:formatCode>General</c:formatCode>
                <c:ptCount val="85"/>
                <c:pt idx="0">
                  <c:v>0</c:v>
                </c:pt>
                <c:pt idx="1">
                  <c:v>0.23287671232876711</c:v>
                </c:pt>
                <c:pt idx="2">
                  <c:v>0.21917808219178081</c:v>
                </c:pt>
                <c:pt idx="3">
                  <c:v>0.63013698630136983</c:v>
                </c:pt>
                <c:pt idx="4">
                  <c:v>0.68493150684931503</c:v>
                </c:pt>
                <c:pt idx="5">
                  <c:v>1</c:v>
                </c:pt>
                <c:pt idx="9">
                  <c:v>0.1</c:v>
                </c:pt>
                <c:pt idx="10">
                  <c:v>0.38</c:v>
                </c:pt>
                <c:pt idx="11">
                  <c:v>0.42</c:v>
                </c:pt>
                <c:pt idx="12">
                  <c:v>0.92</c:v>
                </c:pt>
                <c:pt idx="13">
                  <c:v>1</c:v>
                </c:pt>
                <c:pt idx="17">
                  <c:v>0.13333333333333333</c:v>
                </c:pt>
                <c:pt idx="18">
                  <c:v>0.53333333333333333</c:v>
                </c:pt>
                <c:pt idx="19">
                  <c:v>0.53333333333333333</c:v>
                </c:pt>
                <c:pt idx="20">
                  <c:v>1</c:v>
                </c:pt>
                <c:pt idx="25">
                  <c:v>0.14754098360655737</c:v>
                </c:pt>
                <c:pt idx="26">
                  <c:v>0.52459016393442626</c:v>
                </c:pt>
                <c:pt idx="27">
                  <c:v>1</c:v>
                </c:pt>
                <c:pt idx="31">
                  <c:v>0.5161290322580645</c:v>
                </c:pt>
                <c:pt idx="32">
                  <c:v>0.95161290322580649</c:v>
                </c:pt>
                <c:pt idx="33">
                  <c:v>1</c:v>
                </c:pt>
                <c:pt idx="34">
                  <c:v>1</c:v>
                </c:pt>
                <c:pt idx="37">
                  <c:v>0.3</c:v>
                </c:pt>
                <c:pt idx="38">
                  <c:v>0.83333333333333337</c:v>
                </c:pt>
                <c:pt idx="39">
                  <c:v>1</c:v>
                </c:pt>
                <c:pt idx="42">
                  <c:v>1</c:v>
                </c:pt>
                <c:pt idx="46">
                  <c:v>0.63157894736842102</c:v>
                </c:pt>
                <c:pt idx="47">
                  <c:v>1</c:v>
                </c:pt>
                <c:pt idx="50">
                  <c:v>0.77777777777777779</c:v>
                </c:pt>
                <c:pt idx="51">
                  <c:v>1</c:v>
                </c:pt>
                <c:pt idx="54">
                  <c:v>0.66019417475728159</c:v>
                </c:pt>
                <c:pt idx="55">
                  <c:v>1</c:v>
                </c:pt>
                <c:pt idx="58">
                  <c:v>0.7857142857142857</c:v>
                </c:pt>
                <c:pt idx="59">
                  <c:v>0.90476190476190477</c:v>
                </c:pt>
                <c:pt idx="60">
                  <c:v>1</c:v>
                </c:pt>
                <c:pt idx="64">
                  <c:v>0.9438202247191011</c:v>
                </c:pt>
                <c:pt idx="65">
                  <c:v>0.97752808988764039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71">
                  <c:v>0.47058823529411764</c:v>
                </c:pt>
                <c:pt idx="72">
                  <c:v>1</c:v>
                </c:pt>
                <c:pt idx="76">
                  <c:v>1</c:v>
                </c:pt>
                <c:pt idx="81">
                  <c:v>0.84375</c:v>
                </c:pt>
                <c:pt idx="82">
                  <c:v>0.97916666666666663</c:v>
                </c:pt>
                <c:pt idx="8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5-49F2-9488-4FACFA147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45600"/>
        <c:axId val="121147392"/>
      </c:scatterChart>
      <c:valAx>
        <c:axId val="12114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147392"/>
        <c:crosses val="autoZero"/>
        <c:crossBetween val="midCat"/>
      </c:valAx>
      <c:valAx>
        <c:axId val="12114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1456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6380545462724057E-2"/>
          <c:y val="0.29261492285613916"/>
          <c:w val="0.1877270041556198"/>
          <c:h val="5.980293024020073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339032542244042E-2"/>
          <c:y val="1.5040524856342042E-2"/>
          <c:w val="0.88769458199013107"/>
          <c:h val="0.92009497594711864"/>
        </c:manualLayout>
      </c:layout>
      <c:scatterChart>
        <c:scatterStyle val="lineMarker"/>
        <c:varyColors val="0"/>
        <c:ser>
          <c:idx val="2"/>
          <c:order val="0"/>
          <c:tx>
            <c:strRef>
              <c:f>'Time and Area Standardization'!$BE$2</c:f>
              <c:strCache>
                <c:ptCount val="1"/>
                <c:pt idx="0">
                  <c:v>Section 1 (upper)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25400">
                <a:solidFill>
                  <a:srgbClr val="00B05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55570575344339046"/>
                  <c:y val="-1.5026271814805316E-2"/>
                </c:manualLayout>
              </c:layout>
              <c:numFmt formatCode="General" sourceLinked="0"/>
            </c:trendlineLbl>
          </c:trendline>
          <c:xVal>
            <c:numRef>
              <c:f>'Time and Area Standardization'!$BB$85:$BB$167</c:f>
              <c:numCache>
                <c:formatCode>General</c:formatCode>
                <c:ptCount val="83"/>
                <c:pt idx="0">
                  <c:v>18</c:v>
                </c:pt>
                <c:pt idx="1">
                  <c:v>44</c:v>
                </c:pt>
                <c:pt idx="2">
                  <c:v>68</c:v>
                </c:pt>
                <c:pt idx="3">
                  <c:v>81</c:v>
                </c:pt>
                <c:pt idx="4">
                  <c:v>116</c:v>
                </c:pt>
                <c:pt idx="5">
                  <c:v>134</c:v>
                </c:pt>
                <c:pt idx="8">
                  <c:v>20</c:v>
                </c:pt>
                <c:pt idx="9">
                  <c:v>43</c:v>
                </c:pt>
                <c:pt idx="10">
                  <c:v>66</c:v>
                </c:pt>
                <c:pt idx="11">
                  <c:v>97</c:v>
                </c:pt>
                <c:pt idx="12">
                  <c:v>113</c:v>
                </c:pt>
                <c:pt idx="13">
                  <c:v>134</c:v>
                </c:pt>
                <c:pt idx="16">
                  <c:v>36</c:v>
                </c:pt>
                <c:pt idx="17">
                  <c:v>62</c:v>
                </c:pt>
                <c:pt idx="18">
                  <c:v>83</c:v>
                </c:pt>
                <c:pt idx="19">
                  <c:v>105</c:v>
                </c:pt>
                <c:pt idx="20">
                  <c:v>120</c:v>
                </c:pt>
                <c:pt idx="21">
                  <c:v>135</c:v>
                </c:pt>
                <c:pt idx="24">
                  <c:v>42</c:v>
                </c:pt>
                <c:pt idx="25">
                  <c:v>67</c:v>
                </c:pt>
                <c:pt idx="26">
                  <c:v>105</c:v>
                </c:pt>
                <c:pt idx="27">
                  <c:v>119</c:v>
                </c:pt>
                <c:pt idx="30">
                  <c:v>46</c:v>
                </c:pt>
                <c:pt idx="31">
                  <c:v>80</c:v>
                </c:pt>
                <c:pt idx="32">
                  <c:v>103</c:v>
                </c:pt>
                <c:pt idx="33">
                  <c:v>125</c:v>
                </c:pt>
                <c:pt idx="36">
                  <c:v>54</c:v>
                </c:pt>
                <c:pt idx="37">
                  <c:v>88</c:v>
                </c:pt>
                <c:pt idx="38">
                  <c:v>110</c:v>
                </c:pt>
                <c:pt idx="41">
                  <c:v>68</c:v>
                </c:pt>
                <c:pt idx="42">
                  <c:v>108</c:v>
                </c:pt>
                <c:pt idx="45">
                  <c:v>85</c:v>
                </c:pt>
                <c:pt idx="46">
                  <c:v>117</c:v>
                </c:pt>
                <c:pt idx="49">
                  <c:v>69</c:v>
                </c:pt>
                <c:pt idx="50">
                  <c:v>105</c:v>
                </c:pt>
                <c:pt idx="53">
                  <c:v>87</c:v>
                </c:pt>
                <c:pt idx="54">
                  <c:v>109</c:v>
                </c:pt>
                <c:pt idx="57">
                  <c:v>83</c:v>
                </c:pt>
                <c:pt idx="58">
                  <c:v>113</c:v>
                </c:pt>
                <c:pt idx="59">
                  <c:v>128</c:v>
                </c:pt>
                <c:pt idx="63">
                  <c:v>85</c:v>
                </c:pt>
                <c:pt idx="64">
                  <c:v>86</c:v>
                </c:pt>
                <c:pt idx="65">
                  <c:v>107</c:v>
                </c:pt>
                <c:pt idx="66">
                  <c:v>115</c:v>
                </c:pt>
                <c:pt idx="67">
                  <c:v>123</c:v>
                </c:pt>
                <c:pt idx="70">
                  <c:v>84</c:v>
                </c:pt>
                <c:pt idx="71">
                  <c:v>101</c:v>
                </c:pt>
                <c:pt idx="72">
                  <c:v>114</c:v>
                </c:pt>
                <c:pt idx="75">
                  <c:v>86</c:v>
                </c:pt>
                <c:pt idx="76">
                  <c:v>98</c:v>
                </c:pt>
                <c:pt idx="77">
                  <c:v>117</c:v>
                </c:pt>
                <c:pt idx="80">
                  <c:v>87</c:v>
                </c:pt>
                <c:pt idx="81">
                  <c:v>98</c:v>
                </c:pt>
                <c:pt idx="82">
                  <c:v>111</c:v>
                </c:pt>
              </c:numCache>
            </c:numRef>
          </c:xVal>
          <c:yVal>
            <c:numRef>
              <c:f>'Time and Area Standardization'!$BF$85:$BF$167</c:f>
              <c:numCache>
                <c:formatCode>General</c:formatCode>
                <c:ptCount val="83"/>
                <c:pt idx="0">
                  <c:v>0.29411764705882354</c:v>
                </c:pt>
                <c:pt idx="1">
                  <c:v>0.25</c:v>
                </c:pt>
                <c:pt idx="2">
                  <c:v>0.2391304347826087</c:v>
                </c:pt>
                <c:pt idx="3">
                  <c:v>0.18</c:v>
                </c:pt>
                <c:pt idx="4">
                  <c:v>0.1388888888888889</c:v>
                </c:pt>
                <c:pt idx="5">
                  <c:v>0.10714285714285714</c:v>
                </c:pt>
                <c:pt idx="9">
                  <c:v>5.2631578947368418E-2</c:v>
                </c:pt>
                <c:pt idx="10" formatCode="0.0000">
                  <c:v>0.2857142857142857</c:v>
                </c:pt>
                <c:pt idx="11">
                  <c:v>0.21739130434782608</c:v>
                </c:pt>
                <c:pt idx="12">
                  <c:v>0.30434782608695654</c:v>
                </c:pt>
                <c:pt idx="13">
                  <c:v>0.6</c:v>
                </c:pt>
                <c:pt idx="16">
                  <c:v>0.4</c:v>
                </c:pt>
                <c:pt idx="17">
                  <c:v>4.7619047619047616E-2</c:v>
                </c:pt>
                <c:pt idx="18">
                  <c:v>0.25</c:v>
                </c:pt>
                <c:pt idx="19">
                  <c:v>0.39473684210526316</c:v>
                </c:pt>
                <c:pt idx="20">
                  <c:v>0.1</c:v>
                </c:pt>
                <c:pt idx="21">
                  <c:v>0.15384615384615385</c:v>
                </c:pt>
                <c:pt idx="24">
                  <c:v>0.1111111111111111</c:v>
                </c:pt>
                <c:pt idx="25">
                  <c:v>9.375E-2</c:v>
                </c:pt>
                <c:pt idx="26">
                  <c:v>0.1864406779661017</c:v>
                </c:pt>
                <c:pt idx="27">
                  <c:v>0.22222222222222221</c:v>
                </c:pt>
                <c:pt idx="30">
                  <c:v>0.375</c:v>
                </c:pt>
                <c:pt idx="31">
                  <c:v>0.28813559322033899</c:v>
                </c:pt>
                <c:pt idx="32">
                  <c:v>9.6774193548387094E-2</c:v>
                </c:pt>
                <c:pt idx="33">
                  <c:v>0.19354838709677419</c:v>
                </c:pt>
                <c:pt idx="36">
                  <c:v>0.22222222222222221</c:v>
                </c:pt>
                <c:pt idx="37">
                  <c:v>0.12</c:v>
                </c:pt>
                <c:pt idx="38">
                  <c:v>0.16666666666666666</c:v>
                </c:pt>
                <c:pt idx="41">
                  <c:v>0.1111111111111111</c:v>
                </c:pt>
                <c:pt idx="42">
                  <c:v>5.5555555555555552E-2</c:v>
                </c:pt>
                <c:pt idx="45">
                  <c:v>0.13157894736842105</c:v>
                </c:pt>
                <c:pt idx="46">
                  <c:v>0.31578947368421051</c:v>
                </c:pt>
                <c:pt idx="50">
                  <c:v>0.44444444444444442</c:v>
                </c:pt>
                <c:pt idx="53">
                  <c:v>5.8252427184466021E-2</c:v>
                </c:pt>
                <c:pt idx="54">
                  <c:v>0.18446601941747573</c:v>
                </c:pt>
                <c:pt idx="57">
                  <c:v>0.26190476190476192</c:v>
                </c:pt>
                <c:pt idx="58">
                  <c:v>0.21428571428571427</c:v>
                </c:pt>
                <c:pt idx="59">
                  <c:v>0.11904761904761904</c:v>
                </c:pt>
                <c:pt idx="60">
                  <c:v>0.14285714285714285</c:v>
                </c:pt>
                <c:pt idx="63">
                  <c:v>0.23655913978494625</c:v>
                </c:pt>
                <c:pt idx="64">
                  <c:v>0.23655913978494625</c:v>
                </c:pt>
                <c:pt idx="65">
                  <c:v>0.15053763440860216</c:v>
                </c:pt>
                <c:pt idx="66">
                  <c:v>0.34408602150537637</c:v>
                </c:pt>
                <c:pt idx="67">
                  <c:v>0.4838709677419355</c:v>
                </c:pt>
                <c:pt idx="70">
                  <c:v>5.8823529411764705E-2</c:v>
                </c:pt>
                <c:pt idx="71">
                  <c:v>0.25</c:v>
                </c:pt>
                <c:pt idx="72">
                  <c:v>2.9411764705882353E-2</c:v>
                </c:pt>
                <c:pt idx="76">
                  <c:v>1.834862385321101E-2</c:v>
                </c:pt>
                <c:pt idx="77">
                  <c:v>8.2568807339449546E-2</c:v>
                </c:pt>
                <c:pt idx="80">
                  <c:v>0.16666666666666666</c:v>
                </c:pt>
                <c:pt idx="81">
                  <c:v>0.16666666666666666</c:v>
                </c:pt>
                <c:pt idx="82">
                  <c:v>0.3125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DD-41DF-B054-84941917FDB5}"/>
            </c:ext>
          </c:extLst>
        </c:ser>
        <c:ser>
          <c:idx val="3"/>
          <c:order val="1"/>
          <c:tx>
            <c:strRef>
              <c:f>'Time and Area Standardization'!$BG$2</c:f>
              <c:strCache>
                <c:ptCount val="1"/>
                <c:pt idx="0">
                  <c:v>Section 2 (middle)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25400">
                <a:solidFill>
                  <a:srgbClr val="7030A0"/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-0.53443533423047052"/>
                  <c:y val="-0.48042727873251001"/>
                </c:manualLayout>
              </c:layout>
              <c:numFmt formatCode="General" sourceLinked="0"/>
            </c:trendlineLbl>
          </c:trendline>
          <c:xVal>
            <c:numRef>
              <c:f>'Time and Area Standardization'!$BB$85:$BB$167</c:f>
              <c:numCache>
                <c:formatCode>General</c:formatCode>
                <c:ptCount val="83"/>
                <c:pt idx="0">
                  <c:v>18</c:v>
                </c:pt>
                <c:pt idx="1">
                  <c:v>44</c:v>
                </c:pt>
                <c:pt idx="2">
                  <c:v>68</c:v>
                </c:pt>
                <c:pt idx="3">
                  <c:v>81</c:v>
                </c:pt>
                <c:pt idx="4">
                  <c:v>116</c:v>
                </c:pt>
                <c:pt idx="5">
                  <c:v>134</c:v>
                </c:pt>
                <c:pt idx="8">
                  <c:v>20</c:v>
                </c:pt>
                <c:pt idx="9">
                  <c:v>43</c:v>
                </c:pt>
                <c:pt idx="10">
                  <c:v>66</c:v>
                </c:pt>
                <c:pt idx="11">
                  <c:v>97</c:v>
                </c:pt>
                <c:pt idx="12">
                  <c:v>113</c:v>
                </c:pt>
                <c:pt idx="13">
                  <c:v>134</c:v>
                </c:pt>
                <c:pt idx="16">
                  <c:v>36</c:v>
                </c:pt>
                <c:pt idx="17">
                  <c:v>62</c:v>
                </c:pt>
                <c:pt idx="18">
                  <c:v>83</c:v>
                </c:pt>
                <c:pt idx="19">
                  <c:v>105</c:v>
                </c:pt>
                <c:pt idx="20">
                  <c:v>120</c:v>
                </c:pt>
                <c:pt idx="21">
                  <c:v>135</c:v>
                </c:pt>
                <c:pt idx="24">
                  <c:v>42</c:v>
                </c:pt>
                <c:pt idx="25">
                  <c:v>67</c:v>
                </c:pt>
                <c:pt idx="26">
                  <c:v>105</c:v>
                </c:pt>
                <c:pt idx="27">
                  <c:v>119</c:v>
                </c:pt>
                <c:pt idx="30">
                  <c:v>46</c:v>
                </c:pt>
                <c:pt idx="31">
                  <c:v>80</c:v>
                </c:pt>
                <c:pt idx="32">
                  <c:v>103</c:v>
                </c:pt>
                <c:pt idx="33">
                  <c:v>125</c:v>
                </c:pt>
                <c:pt idx="36">
                  <c:v>54</c:v>
                </c:pt>
                <c:pt idx="37">
                  <c:v>88</c:v>
                </c:pt>
                <c:pt idx="38">
                  <c:v>110</c:v>
                </c:pt>
                <c:pt idx="41">
                  <c:v>68</c:v>
                </c:pt>
                <c:pt idx="42">
                  <c:v>108</c:v>
                </c:pt>
                <c:pt idx="45">
                  <c:v>85</c:v>
                </c:pt>
                <c:pt idx="46">
                  <c:v>117</c:v>
                </c:pt>
                <c:pt idx="49">
                  <c:v>69</c:v>
                </c:pt>
                <c:pt idx="50">
                  <c:v>105</c:v>
                </c:pt>
                <c:pt idx="53">
                  <c:v>87</c:v>
                </c:pt>
                <c:pt idx="54">
                  <c:v>109</c:v>
                </c:pt>
                <c:pt idx="57">
                  <c:v>83</c:v>
                </c:pt>
                <c:pt idx="58">
                  <c:v>113</c:v>
                </c:pt>
                <c:pt idx="59">
                  <c:v>128</c:v>
                </c:pt>
                <c:pt idx="63">
                  <c:v>85</c:v>
                </c:pt>
                <c:pt idx="64">
                  <c:v>86</c:v>
                </c:pt>
                <c:pt idx="65">
                  <c:v>107</c:v>
                </c:pt>
                <c:pt idx="66">
                  <c:v>115</c:v>
                </c:pt>
                <c:pt idx="67">
                  <c:v>123</c:v>
                </c:pt>
                <c:pt idx="70">
                  <c:v>84</c:v>
                </c:pt>
                <c:pt idx="71">
                  <c:v>101</c:v>
                </c:pt>
                <c:pt idx="72">
                  <c:v>114</c:v>
                </c:pt>
                <c:pt idx="75">
                  <c:v>86</c:v>
                </c:pt>
                <c:pt idx="76">
                  <c:v>98</c:v>
                </c:pt>
                <c:pt idx="77">
                  <c:v>117</c:v>
                </c:pt>
                <c:pt idx="80">
                  <c:v>87</c:v>
                </c:pt>
                <c:pt idx="81">
                  <c:v>98</c:v>
                </c:pt>
                <c:pt idx="82">
                  <c:v>111</c:v>
                </c:pt>
              </c:numCache>
            </c:numRef>
          </c:xVal>
          <c:yVal>
            <c:numRef>
              <c:f>'Time and Area Standardization'!$BH$85:$BH$167</c:f>
              <c:numCache>
                <c:formatCode>General</c:formatCode>
                <c:ptCount val="83"/>
                <c:pt idx="0">
                  <c:v>0.6470588235294118</c:v>
                </c:pt>
                <c:pt idx="1">
                  <c:v>0.75</c:v>
                </c:pt>
                <c:pt idx="2">
                  <c:v>0.63043478260869568</c:v>
                </c:pt>
                <c:pt idx="3">
                  <c:v>0.6</c:v>
                </c:pt>
                <c:pt idx="4">
                  <c:v>0.31944444444444442</c:v>
                </c:pt>
                <c:pt idx="5">
                  <c:v>0.32142857142857145</c:v>
                </c:pt>
                <c:pt idx="9">
                  <c:v>0.78947368421052633</c:v>
                </c:pt>
                <c:pt idx="10">
                  <c:v>0.61904761904761907</c:v>
                </c:pt>
                <c:pt idx="11">
                  <c:v>0.34782608695652173</c:v>
                </c:pt>
                <c:pt idx="12">
                  <c:v>0.28260869565217389</c:v>
                </c:pt>
                <c:pt idx="13">
                  <c:v>0</c:v>
                </c:pt>
                <c:pt idx="16">
                  <c:v>0.5</c:v>
                </c:pt>
                <c:pt idx="17">
                  <c:v>0.95238095238095233</c:v>
                </c:pt>
                <c:pt idx="18">
                  <c:v>0.54166666666666663</c:v>
                </c:pt>
                <c:pt idx="19">
                  <c:v>0.31578947368421051</c:v>
                </c:pt>
                <c:pt idx="20">
                  <c:v>0.7</c:v>
                </c:pt>
                <c:pt idx="21">
                  <c:v>0.26923076923076922</c:v>
                </c:pt>
                <c:pt idx="24">
                  <c:v>0.66666666666666663</c:v>
                </c:pt>
                <c:pt idx="25">
                  <c:v>0.5625</c:v>
                </c:pt>
                <c:pt idx="26">
                  <c:v>0.49152542372881358</c:v>
                </c:pt>
                <c:pt idx="27">
                  <c:v>0.35555555555555557</c:v>
                </c:pt>
                <c:pt idx="30">
                  <c:v>0.53125</c:v>
                </c:pt>
                <c:pt idx="31">
                  <c:v>0.5423728813559322</c:v>
                </c:pt>
                <c:pt idx="32">
                  <c:v>0.40322580645161288</c:v>
                </c:pt>
                <c:pt idx="33">
                  <c:v>0.32258064516129031</c:v>
                </c:pt>
                <c:pt idx="36">
                  <c:v>0.72222222222222221</c:v>
                </c:pt>
                <c:pt idx="37">
                  <c:v>0.57999999999999996</c:v>
                </c:pt>
                <c:pt idx="38">
                  <c:v>0.8833333333333333</c:v>
                </c:pt>
                <c:pt idx="41">
                  <c:v>0.83333333333333337</c:v>
                </c:pt>
                <c:pt idx="42">
                  <c:v>0.33333333333333331</c:v>
                </c:pt>
                <c:pt idx="45">
                  <c:v>0.47368421052631576</c:v>
                </c:pt>
                <c:pt idx="46">
                  <c:v>0.52631578947368418</c:v>
                </c:pt>
                <c:pt idx="50">
                  <c:v>0.48148148148148145</c:v>
                </c:pt>
                <c:pt idx="53">
                  <c:v>0.49514563106796117</c:v>
                </c:pt>
                <c:pt idx="54">
                  <c:v>0.58252427184466016</c:v>
                </c:pt>
                <c:pt idx="57">
                  <c:v>0.35714285714285715</c:v>
                </c:pt>
                <c:pt idx="58">
                  <c:v>0.5</c:v>
                </c:pt>
                <c:pt idx="59">
                  <c:v>0.35714285714285715</c:v>
                </c:pt>
                <c:pt idx="60">
                  <c:v>0.14285714285714285</c:v>
                </c:pt>
                <c:pt idx="63">
                  <c:v>0.45161290322580644</c:v>
                </c:pt>
                <c:pt idx="64">
                  <c:v>0.35483870967741937</c:v>
                </c:pt>
                <c:pt idx="65">
                  <c:v>0.38709677419354838</c:v>
                </c:pt>
                <c:pt idx="66">
                  <c:v>0.26881720430107525</c:v>
                </c:pt>
                <c:pt idx="67">
                  <c:v>0.25806451612903225</c:v>
                </c:pt>
                <c:pt idx="70">
                  <c:v>0.38235294117647056</c:v>
                </c:pt>
                <c:pt idx="71">
                  <c:v>0.51470588235294112</c:v>
                </c:pt>
                <c:pt idx="72">
                  <c:v>0.58823529411764708</c:v>
                </c:pt>
                <c:pt idx="76">
                  <c:v>0.52293577981651373</c:v>
                </c:pt>
                <c:pt idx="77">
                  <c:v>0.40366972477064222</c:v>
                </c:pt>
                <c:pt idx="80">
                  <c:v>0.42708333333333331</c:v>
                </c:pt>
                <c:pt idx="81">
                  <c:v>0.41666666666666669</c:v>
                </c:pt>
                <c:pt idx="82">
                  <c:v>0.33333333333333331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DD-41DF-B054-84941917FDB5}"/>
            </c:ext>
          </c:extLst>
        </c:ser>
        <c:ser>
          <c:idx val="4"/>
          <c:order val="2"/>
          <c:tx>
            <c:strRef>
              <c:f>'Time and Area Standardization'!$BI$2</c:f>
              <c:strCache>
                <c:ptCount val="1"/>
                <c:pt idx="0">
                  <c:v>Section 3 (lower)</c:v>
                </c:pt>
              </c:strCache>
            </c:strRef>
          </c:tx>
          <c:spPr>
            <a:ln w="28575">
              <a:noFill/>
            </a:ln>
          </c:spPr>
          <c:trendline>
            <c:spPr>
              <a:ln w="25400"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9.633988739049687E-2"/>
                  <c:y val="-2.163489631496612E-2"/>
                </c:manualLayout>
              </c:layout>
              <c:numFmt formatCode="General" sourceLinked="0"/>
            </c:trendlineLbl>
          </c:trendline>
          <c:xVal>
            <c:numRef>
              <c:f>'Time and Area Standardization'!$BB$85:$BB$167</c:f>
              <c:numCache>
                <c:formatCode>General</c:formatCode>
                <c:ptCount val="83"/>
                <c:pt idx="0">
                  <c:v>18</c:v>
                </c:pt>
                <c:pt idx="1">
                  <c:v>44</c:v>
                </c:pt>
                <c:pt idx="2">
                  <c:v>68</c:v>
                </c:pt>
                <c:pt idx="3">
                  <c:v>81</c:v>
                </c:pt>
                <c:pt idx="4">
                  <c:v>116</c:v>
                </c:pt>
                <c:pt idx="5">
                  <c:v>134</c:v>
                </c:pt>
                <c:pt idx="8">
                  <c:v>20</c:v>
                </c:pt>
                <c:pt idx="9">
                  <c:v>43</c:v>
                </c:pt>
                <c:pt idx="10">
                  <c:v>66</c:v>
                </c:pt>
                <c:pt idx="11">
                  <c:v>97</c:v>
                </c:pt>
                <c:pt idx="12">
                  <c:v>113</c:v>
                </c:pt>
                <c:pt idx="13">
                  <c:v>134</c:v>
                </c:pt>
                <c:pt idx="16">
                  <c:v>36</c:v>
                </c:pt>
                <c:pt idx="17">
                  <c:v>62</c:v>
                </c:pt>
                <c:pt idx="18">
                  <c:v>83</c:v>
                </c:pt>
                <c:pt idx="19">
                  <c:v>105</c:v>
                </c:pt>
                <c:pt idx="20">
                  <c:v>120</c:v>
                </c:pt>
                <c:pt idx="21">
                  <c:v>135</c:v>
                </c:pt>
                <c:pt idx="24">
                  <c:v>42</c:v>
                </c:pt>
                <c:pt idx="25">
                  <c:v>67</c:v>
                </c:pt>
                <c:pt idx="26">
                  <c:v>105</c:v>
                </c:pt>
                <c:pt idx="27">
                  <c:v>119</c:v>
                </c:pt>
                <c:pt idx="30">
                  <c:v>46</c:v>
                </c:pt>
                <c:pt idx="31">
                  <c:v>80</c:v>
                </c:pt>
                <c:pt idx="32">
                  <c:v>103</c:v>
                </c:pt>
                <c:pt idx="33">
                  <c:v>125</c:v>
                </c:pt>
                <c:pt idx="36">
                  <c:v>54</c:v>
                </c:pt>
                <c:pt idx="37">
                  <c:v>88</c:v>
                </c:pt>
                <c:pt idx="38">
                  <c:v>110</c:v>
                </c:pt>
                <c:pt idx="41">
                  <c:v>68</c:v>
                </c:pt>
                <c:pt idx="42">
                  <c:v>108</c:v>
                </c:pt>
                <c:pt idx="45">
                  <c:v>85</c:v>
                </c:pt>
                <c:pt idx="46">
                  <c:v>117</c:v>
                </c:pt>
                <c:pt idx="49">
                  <c:v>69</c:v>
                </c:pt>
                <c:pt idx="50">
                  <c:v>105</c:v>
                </c:pt>
                <c:pt idx="53">
                  <c:v>87</c:v>
                </c:pt>
                <c:pt idx="54">
                  <c:v>109</c:v>
                </c:pt>
                <c:pt idx="57">
                  <c:v>83</c:v>
                </c:pt>
                <c:pt idx="58">
                  <c:v>113</c:v>
                </c:pt>
                <c:pt idx="59">
                  <c:v>128</c:v>
                </c:pt>
                <c:pt idx="63">
                  <c:v>85</c:v>
                </c:pt>
                <c:pt idx="64">
                  <c:v>86</c:v>
                </c:pt>
                <c:pt idx="65">
                  <c:v>107</c:v>
                </c:pt>
                <c:pt idx="66">
                  <c:v>115</c:v>
                </c:pt>
                <c:pt idx="67">
                  <c:v>123</c:v>
                </c:pt>
                <c:pt idx="70">
                  <c:v>84</c:v>
                </c:pt>
                <c:pt idx="71">
                  <c:v>101</c:v>
                </c:pt>
                <c:pt idx="72">
                  <c:v>114</c:v>
                </c:pt>
                <c:pt idx="75">
                  <c:v>86</c:v>
                </c:pt>
                <c:pt idx="76">
                  <c:v>98</c:v>
                </c:pt>
                <c:pt idx="77">
                  <c:v>117</c:v>
                </c:pt>
                <c:pt idx="80">
                  <c:v>87</c:v>
                </c:pt>
                <c:pt idx="81">
                  <c:v>98</c:v>
                </c:pt>
                <c:pt idx="82">
                  <c:v>111</c:v>
                </c:pt>
              </c:numCache>
            </c:numRef>
          </c:xVal>
          <c:yVal>
            <c:numRef>
              <c:f>'Time and Area Standardization'!$BJ$85:$BJ$167</c:f>
              <c:numCache>
                <c:formatCode>General</c:formatCode>
                <c:ptCount val="83"/>
                <c:pt idx="0">
                  <c:v>5.8823529411764705E-2</c:v>
                </c:pt>
                <c:pt idx="1">
                  <c:v>0</c:v>
                </c:pt>
                <c:pt idx="2">
                  <c:v>0.13043478260869565</c:v>
                </c:pt>
                <c:pt idx="3">
                  <c:v>0.22</c:v>
                </c:pt>
                <c:pt idx="4">
                  <c:v>0.47222222222222221</c:v>
                </c:pt>
                <c:pt idx="5">
                  <c:v>0.5714285714285714</c:v>
                </c:pt>
                <c:pt idx="9">
                  <c:v>0.15789473684210525</c:v>
                </c:pt>
                <c:pt idx="10">
                  <c:v>9.5238095238095233E-2</c:v>
                </c:pt>
                <c:pt idx="11">
                  <c:v>0.43478260869565216</c:v>
                </c:pt>
                <c:pt idx="12">
                  <c:v>0.52777777777777779</c:v>
                </c:pt>
                <c:pt idx="13">
                  <c:v>0.4</c:v>
                </c:pt>
                <c:pt idx="16">
                  <c:v>0.16666666666666666</c:v>
                </c:pt>
                <c:pt idx="17">
                  <c:v>0</c:v>
                </c:pt>
                <c:pt idx="18">
                  <c:v>0.20833333333333334</c:v>
                </c:pt>
                <c:pt idx="19">
                  <c:v>0.28947368421052633</c:v>
                </c:pt>
                <c:pt idx="20">
                  <c:v>0.2</c:v>
                </c:pt>
                <c:pt idx="21">
                  <c:v>0.57692307692307687</c:v>
                </c:pt>
                <c:pt idx="24">
                  <c:v>0.1111111111111111</c:v>
                </c:pt>
                <c:pt idx="25">
                  <c:v>0.3125</c:v>
                </c:pt>
                <c:pt idx="26">
                  <c:v>0.32203389830508472</c:v>
                </c:pt>
                <c:pt idx="27">
                  <c:v>0.42222222222222222</c:v>
                </c:pt>
                <c:pt idx="30">
                  <c:v>9.375E-2</c:v>
                </c:pt>
                <c:pt idx="31">
                  <c:v>0.16949152542372881</c:v>
                </c:pt>
                <c:pt idx="32">
                  <c:v>0.38709677419354838</c:v>
                </c:pt>
                <c:pt idx="33">
                  <c:v>0.4838709677419355</c:v>
                </c:pt>
                <c:pt idx="36">
                  <c:v>5.5555555555555552E-2</c:v>
                </c:pt>
                <c:pt idx="37">
                  <c:v>0.3</c:v>
                </c:pt>
                <c:pt idx="38">
                  <c:v>0.28333333333333333</c:v>
                </c:pt>
                <c:pt idx="41">
                  <c:v>5.5555555555555552E-2</c:v>
                </c:pt>
                <c:pt idx="42">
                  <c:v>0.61111111111111116</c:v>
                </c:pt>
                <c:pt idx="45">
                  <c:v>2.6315789473684209E-2</c:v>
                </c:pt>
                <c:pt idx="46">
                  <c:v>0.15789473684210525</c:v>
                </c:pt>
                <c:pt idx="50">
                  <c:v>7.407407407407407E-2</c:v>
                </c:pt>
                <c:pt idx="53">
                  <c:v>0.10679611650485436</c:v>
                </c:pt>
                <c:pt idx="54">
                  <c:v>0.23300970873786409</c:v>
                </c:pt>
                <c:pt idx="57">
                  <c:v>0.21428571428571427</c:v>
                </c:pt>
                <c:pt idx="58">
                  <c:v>0.21428571428571427</c:v>
                </c:pt>
                <c:pt idx="59">
                  <c:v>0.61904761904761907</c:v>
                </c:pt>
                <c:pt idx="60">
                  <c:v>0.35714285714285715</c:v>
                </c:pt>
                <c:pt idx="63">
                  <c:v>0.21505376344086022</c:v>
                </c:pt>
                <c:pt idx="64">
                  <c:v>0.34408602150537637</c:v>
                </c:pt>
                <c:pt idx="65">
                  <c:v>0.46236559139784944</c:v>
                </c:pt>
                <c:pt idx="66">
                  <c:v>0.34408602150537637</c:v>
                </c:pt>
                <c:pt idx="67">
                  <c:v>0.21505376344086022</c:v>
                </c:pt>
                <c:pt idx="70">
                  <c:v>0.13235294117647059</c:v>
                </c:pt>
                <c:pt idx="71">
                  <c:v>0.23529411764705882</c:v>
                </c:pt>
                <c:pt idx="72">
                  <c:v>0.29411764705882354</c:v>
                </c:pt>
                <c:pt idx="76">
                  <c:v>0.43119266055045874</c:v>
                </c:pt>
                <c:pt idx="77">
                  <c:v>0.25688073394495414</c:v>
                </c:pt>
                <c:pt idx="80">
                  <c:v>0.25</c:v>
                </c:pt>
                <c:pt idx="81">
                  <c:v>0.39583333333333331</c:v>
                </c:pt>
                <c:pt idx="82">
                  <c:v>0.35416666666666669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DD-41DF-B054-84941917F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94112"/>
        <c:axId val="124404096"/>
      </c:scatterChart>
      <c:valAx>
        <c:axId val="12439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4404096"/>
        <c:crosses val="autoZero"/>
        <c:crossBetween val="midCat"/>
      </c:valAx>
      <c:valAx>
        <c:axId val="124404096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3941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325827320837951"/>
          <c:y val="4.1955541107603765E-2"/>
          <c:w val="0.23025063619696065"/>
          <c:h val="0.2696228323470381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2002-2018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Unadjusted Raw Swim Counts</a:t>
            </a:r>
          </a:p>
        </c:rich>
      </c:tx>
      <c:layout>
        <c:manualLayout>
          <c:xMode val="edge"/>
          <c:yMode val="edge"/>
          <c:x val="0.26195795923280879"/>
          <c:y val="0.172718847094490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02498403776317"/>
          <c:y val="0.27600745400763871"/>
          <c:w val="0.8149197251560174"/>
          <c:h val="0.52361666221698844"/>
        </c:manualLayout>
      </c:layout>
      <c:scatterChart>
        <c:scatterStyle val="smoothMarker"/>
        <c:varyColors val="0"/>
        <c:ser>
          <c:idx val="19"/>
          <c:order val="0"/>
          <c:tx>
            <c:strRef>
              <c:f>'Time and Area Standardization'!$A$186</c:f>
              <c:strCache>
                <c:ptCount val="1"/>
                <c:pt idx="0">
                  <c:v>2021</c:v>
                </c:pt>
              </c:strCache>
            </c:strRef>
          </c:tx>
          <c:xVal>
            <c:numRef>
              <c:f>'Time and Area Standardization'!$B$186:$B$190</c:f>
              <c:numCache>
                <c:formatCode>General</c:formatCode>
                <c:ptCount val="5"/>
                <c:pt idx="0">
                  <c:v>1</c:v>
                </c:pt>
                <c:pt idx="1">
                  <c:v>69</c:v>
                </c:pt>
                <c:pt idx="2">
                  <c:v>90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Standardization'!$G$186:$G$190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7B-4188-9A1E-82C380B199F6}"/>
            </c:ext>
          </c:extLst>
        </c:ser>
        <c:ser>
          <c:idx val="17"/>
          <c:order val="1"/>
          <c:tx>
            <c:strRef>
              <c:f>'Time and Area Standardization'!$A$182</c:f>
              <c:strCache>
                <c:ptCount val="1"/>
                <c:pt idx="0">
                  <c:v>2020</c:v>
                </c:pt>
              </c:strCache>
            </c:strRef>
          </c:tx>
          <c:xVal>
            <c:numRef>
              <c:f>'Time and Area Standardization'!$B$182:$B$185</c:f>
              <c:numCache>
                <c:formatCode>General</c:formatCode>
                <c:ptCount val="4"/>
                <c:pt idx="0">
                  <c:v>1</c:v>
                </c:pt>
                <c:pt idx="1">
                  <c:v>65</c:v>
                </c:pt>
                <c:pt idx="2">
                  <c:v>98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Standardization'!$G$182:$G$185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7B-4188-9A1E-82C380B199F6}"/>
            </c:ext>
          </c:extLst>
        </c:ser>
        <c:ser>
          <c:idx val="18"/>
          <c:order val="2"/>
          <c:tx>
            <c:strRef>
              <c:f>'Time and Area Standardization'!$A$178</c:f>
              <c:strCache>
                <c:ptCount val="1"/>
                <c:pt idx="0">
                  <c:v>2019</c:v>
                </c:pt>
              </c:strCache>
            </c:strRef>
          </c:tx>
          <c:spPr>
            <a:ln w="44450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</c:spPr>
          </c:marker>
          <c:xVal>
            <c:numRef>
              <c:f>'Time and Area Standardization'!$B$178:$B$181</c:f>
              <c:numCache>
                <c:formatCode>General</c:formatCode>
                <c:ptCount val="4"/>
                <c:pt idx="0">
                  <c:v>1</c:v>
                </c:pt>
                <c:pt idx="1">
                  <c:v>92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Standardization'!$G$178:$G$181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B82-4DBA-80DA-17C98CF295BC}"/>
            </c:ext>
          </c:extLst>
        </c:ser>
        <c:ser>
          <c:idx val="16"/>
          <c:order val="3"/>
          <c:tx>
            <c:strRef>
              <c:f>'Time and Area Standardization'!$A$174</c:f>
              <c:strCache>
                <c:ptCount val="1"/>
                <c:pt idx="0">
                  <c:v>2018</c:v>
                </c:pt>
              </c:strCache>
            </c:strRef>
          </c:tx>
          <c:spPr>
            <a:ln w="47625">
              <a:solidFill>
                <a:srgbClr val="FF0000"/>
              </a:solidFill>
            </a:ln>
          </c:spPr>
          <c:marker>
            <c:spPr>
              <a:solidFill>
                <a:srgbClr val="F79646">
                  <a:lumMod val="40000"/>
                  <a:lumOff val="60000"/>
                </a:srgbClr>
              </a:solidFill>
            </c:spPr>
          </c:marker>
          <c:dPt>
            <c:idx val="1"/>
            <c:bubble3D val="0"/>
            <c:spPr>
              <a:ln w="47625">
                <a:solidFill>
                  <a:srgbClr val="F79646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B82-4DBA-80DA-17C98CF295BC}"/>
              </c:ext>
            </c:extLst>
          </c:dPt>
          <c:xVal>
            <c:numRef>
              <c:f>'Time and Area Standardization'!$B$174:$B$177</c:f>
              <c:numCache>
                <c:formatCode>General</c:formatCode>
                <c:ptCount val="4"/>
                <c:pt idx="0">
                  <c:v>1</c:v>
                </c:pt>
                <c:pt idx="1">
                  <c:v>75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Standardization'!$G$174:$G$177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82-4DBA-80DA-17C98CF295BC}"/>
            </c:ext>
          </c:extLst>
        </c:ser>
        <c:ser>
          <c:idx val="15"/>
          <c:order val="4"/>
          <c:tx>
            <c:strRef>
              <c:f>'Time and Area Standardization'!$A$172</c:f>
              <c:strCache>
                <c:ptCount val="1"/>
                <c:pt idx="0">
                  <c:v>2017</c:v>
                </c:pt>
              </c:strCache>
            </c:strRef>
          </c:tx>
          <c:spPr>
            <a:ln w="25400">
              <a:solidFill>
                <a:srgbClr val="F79646">
                  <a:lumMod val="50000"/>
                </a:srgbClr>
              </a:solidFill>
              <a:miter lim="800000"/>
            </a:ln>
          </c:spPr>
          <c:marker>
            <c:spPr>
              <a:solidFill>
                <a:srgbClr val="F79646">
                  <a:lumMod val="50000"/>
                </a:srgbClr>
              </a:solidFill>
              <a:ln>
                <a:solidFill>
                  <a:srgbClr val="F79646">
                    <a:lumMod val="50000"/>
                  </a:srgbClr>
                </a:solidFill>
              </a:ln>
            </c:spPr>
          </c:marker>
          <c:xVal>
            <c:numRef>
              <c:f>'Time and Area Standardization'!$B$169:$B$173</c:f>
              <c:numCache>
                <c:formatCode>General</c:formatCode>
                <c:ptCount val="5"/>
                <c:pt idx="0">
                  <c:v>1</c:v>
                </c:pt>
                <c:pt idx="1">
                  <c:v>68</c:v>
                </c:pt>
                <c:pt idx="2">
                  <c:v>94</c:v>
                </c:pt>
                <c:pt idx="3">
                  <c:v>121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Standardization'!$G$169:$G$173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34</c:v>
                </c:pt>
                <c:pt idx="3">
                  <c:v>35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82-4DBA-80DA-17C98CF295BC}"/>
            </c:ext>
          </c:extLst>
        </c:ser>
        <c:ser>
          <c:idx val="14"/>
          <c:order val="5"/>
          <c:tx>
            <c:strRef>
              <c:f>'Time and Area Standardization'!$A$164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'Time and Area Standardization'!$B$164:$B$168</c:f>
              <c:numCache>
                <c:formatCode>General</c:formatCode>
                <c:ptCount val="5"/>
                <c:pt idx="0">
                  <c:v>1</c:v>
                </c:pt>
                <c:pt idx="1">
                  <c:v>87</c:v>
                </c:pt>
                <c:pt idx="2">
                  <c:v>98</c:v>
                </c:pt>
                <c:pt idx="3">
                  <c:v>111</c:v>
                </c:pt>
                <c:pt idx="4">
                  <c:v>152</c:v>
                </c:pt>
              </c:numCache>
            </c:numRef>
          </c:xVal>
          <c:yVal>
            <c:numRef>
              <c:f>'Time and Area Standardization'!$G$164:$G$168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82-4DBA-80DA-17C98CF295BC}"/>
            </c:ext>
          </c:extLst>
        </c:ser>
        <c:ser>
          <c:idx val="13"/>
          <c:order val="6"/>
          <c:tx>
            <c:strRef>
              <c:f>'Time and Area Standardization'!$A$159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xVal>
            <c:numRef>
              <c:f>'Time and Area Standardization'!$B$159:$B$163</c:f>
              <c:numCache>
                <c:formatCode>General</c:formatCode>
                <c:ptCount val="5"/>
                <c:pt idx="0">
                  <c:v>1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Standardization'!$G$159:$G$163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82-4DBA-80DA-17C98CF295BC}"/>
            </c:ext>
          </c:extLst>
        </c:ser>
        <c:ser>
          <c:idx val="12"/>
          <c:order val="7"/>
          <c:tx>
            <c:strRef>
              <c:f>'Time and Area Standardization'!$A$154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rgbClr val="C00000"/>
              </a:solidFill>
            </a:ln>
          </c:spPr>
          <c:xVal>
            <c:numRef>
              <c:f>'Time and Area Standardization'!$B$154:$B$158</c:f>
              <c:numCache>
                <c:formatCode>General</c:formatCode>
                <c:ptCount val="5"/>
                <c:pt idx="0">
                  <c:v>1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Standardization'!$G$154:$G$158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82-4DBA-80DA-17C98CF295BC}"/>
            </c:ext>
          </c:extLst>
        </c:ser>
        <c:ser>
          <c:idx val="11"/>
          <c:order val="8"/>
          <c:tx>
            <c:strRef>
              <c:f>'Time and Area Standardization'!$A$147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'Time and Area Standardization'!$B$147:$B$153</c:f>
              <c:numCache>
                <c:formatCode>General</c:formatCode>
                <c:ptCount val="7"/>
                <c:pt idx="0">
                  <c:v>1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'Time and Area Standardization'!$G$147:$G$153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93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82-4DBA-80DA-17C98CF295BC}"/>
            </c:ext>
          </c:extLst>
        </c:ser>
        <c:ser>
          <c:idx val="10"/>
          <c:order val="9"/>
          <c:tx>
            <c:strRef>
              <c:f>'Time and Area Standardization'!$A$141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'Time and Area Standardization'!$B$141:$B$146</c:f>
              <c:numCache>
                <c:formatCode>General</c:formatCode>
                <c:ptCount val="6"/>
                <c:pt idx="0">
                  <c:v>1</c:v>
                </c:pt>
                <c:pt idx="1">
                  <c:v>83</c:v>
                </c:pt>
                <c:pt idx="2">
                  <c:v>113</c:v>
                </c:pt>
                <c:pt idx="3">
                  <c:v>128</c:v>
                </c:pt>
                <c:pt idx="4">
                  <c:v>146</c:v>
                </c:pt>
                <c:pt idx="5">
                  <c:v>152</c:v>
                </c:pt>
              </c:numCache>
            </c:numRef>
          </c:xVal>
          <c:yVal>
            <c:numRef>
              <c:f>'Time and Area Standardization'!$G$141:$G$146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39</c:v>
                </c:pt>
                <c:pt idx="3">
                  <c:v>42</c:v>
                </c:pt>
                <c:pt idx="4">
                  <c:v>27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B82-4DBA-80DA-17C98CF295BC}"/>
            </c:ext>
          </c:extLst>
        </c:ser>
        <c:ser>
          <c:idx val="9"/>
          <c:order val="10"/>
          <c:tx>
            <c:strRef>
              <c:f>'Time and Area Standardization'!$A$137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dPt>
            <c:idx val="2"/>
            <c:bubble3D val="0"/>
            <c:spPr>
              <a:ln w="28575" cap="sq">
                <a:solidFill>
                  <a:srgbClr val="FFFF0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A-EB82-4DBA-80DA-17C98CF295BC}"/>
              </c:ext>
            </c:extLst>
          </c:dPt>
          <c:xVal>
            <c:numRef>
              <c:f>'Time and Area Standardization'!$B$137:$B$140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109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Standardization'!$G$137:$G$140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B82-4DBA-80DA-17C98CF295BC}"/>
            </c:ext>
          </c:extLst>
        </c:ser>
        <c:ser>
          <c:idx val="8"/>
          <c:order val="11"/>
          <c:tx>
            <c:strRef>
              <c:f>'Time and Area Standardization'!$A$133</c:f>
              <c:strCache>
                <c:ptCount val="1"/>
                <c:pt idx="0">
                  <c:v>2010</c:v>
                </c:pt>
              </c:strCache>
            </c:strRef>
          </c:tx>
          <c:spPr>
            <a:ln w="44450">
              <a:solidFill>
                <a:srgbClr val="00B0F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000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Standardization'!$B$133:$B$136</c:f>
              <c:numCache>
                <c:formatCode>General</c:formatCode>
                <c:ptCount val="4"/>
                <c:pt idx="0">
                  <c:v>1</c:v>
                </c:pt>
                <c:pt idx="1">
                  <c:v>69</c:v>
                </c:pt>
                <c:pt idx="2">
                  <c:v>105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Standardization'!$G$133:$G$136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B82-4DBA-80DA-17C98CF295BC}"/>
            </c:ext>
          </c:extLst>
        </c:ser>
        <c:ser>
          <c:idx val="7"/>
          <c:order val="12"/>
          <c:tx>
            <c:strRef>
              <c:f>'Time and Area Standardization'!$A$129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Standardization'!$B$129:$B$132</c:f>
              <c:numCache>
                <c:formatCode>General</c:formatCode>
                <c:ptCount val="4"/>
                <c:pt idx="0">
                  <c:v>1</c:v>
                </c:pt>
                <c:pt idx="1">
                  <c:v>85</c:v>
                </c:pt>
                <c:pt idx="2">
                  <c:v>117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Standardization'!$G$129:$G$132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B82-4DBA-80DA-17C98CF295BC}"/>
            </c:ext>
          </c:extLst>
        </c:ser>
        <c:ser>
          <c:idx val="6"/>
          <c:order val="13"/>
          <c:tx>
            <c:strRef>
              <c:f>'Time and Area Standardization'!$A$125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dPt>
            <c:idx val="2"/>
            <c:bubble3D val="0"/>
            <c:spPr>
              <a:ln w="25400">
                <a:solidFill>
                  <a:srgbClr val="F79646">
                    <a:lumMod val="40000"/>
                    <a:lumOff val="60000"/>
                  </a:srgb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B82-4DBA-80DA-17C98CF295BC}"/>
              </c:ext>
            </c:extLst>
          </c:dPt>
          <c:xVal>
            <c:numRef>
              <c:f>'Time and Area Standardization'!$B$125:$B$128</c:f>
              <c:numCache>
                <c:formatCode>General</c:formatCode>
                <c:ptCount val="4"/>
                <c:pt idx="0">
                  <c:v>1</c:v>
                </c:pt>
                <c:pt idx="1">
                  <c:v>68</c:v>
                </c:pt>
                <c:pt idx="2">
                  <c:v>108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Standardization'!$G$125:$G$128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B82-4DBA-80DA-17C98CF295BC}"/>
            </c:ext>
          </c:extLst>
        </c:ser>
        <c:ser>
          <c:idx val="5"/>
          <c:order val="14"/>
          <c:tx>
            <c:strRef>
              <c:f>'Time and Area Standardization'!$A$120</c:f>
              <c:strCache>
                <c:ptCount val="1"/>
                <c:pt idx="0">
                  <c:v>2007</c:v>
                </c:pt>
              </c:strCache>
            </c:strRef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'Time and Area Standardization'!$B$120:$B$124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88</c:v>
                </c:pt>
                <c:pt idx="3">
                  <c:v>110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Standardization'!$G$120:$G$124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B82-4DBA-80DA-17C98CF295BC}"/>
            </c:ext>
          </c:extLst>
        </c:ser>
        <c:ser>
          <c:idx val="4"/>
          <c:order val="15"/>
          <c:tx>
            <c:strRef>
              <c:f>'Time and Area Standardization'!$A$114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Standardization'!$B$114:$B$119</c:f>
              <c:numCache>
                <c:formatCode>General</c:formatCode>
                <c:ptCount val="6"/>
                <c:pt idx="0">
                  <c:v>1</c:v>
                </c:pt>
                <c:pt idx="1">
                  <c:v>46</c:v>
                </c:pt>
                <c:pt idx="2">
                  <c:v>80</c:v>
                </c:pt>
                <c:pt idx="3">
                  <c:v>103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Standardization'!$G$114:$G$119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B82-4DBA-80DA-17C98CF295BC}"/>
            </c:ext>
          </c:extLst>
        </c:ser>
        <c:ser>
          <c:idx val="3"/>
          <c:order val="16"/>
          <c:tx>
            <c:strRef>
              <c:f>'Time and Area Standardization'!$A$108</c:f>
              <c:strCache>
                <c:ptCount val="1"/>
                <c:pt idx="0">
                  <c:v>2005</c:v>
                </c:pt>
              </c:strCache>
            </c:strRef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Standardization'!$B$108:$B$113</c:f>
              <c:numCache>
                <c:formatCode>General</c:formatCode>
                <c:ptCount val="6"/>
                <c:pt idx="0">
                  <c:v>1</c:v>
                </c:pt>
                <c:pt idx="1">
                  <c:v>42</c:v>
                </c:pt>
                <c:pt idx="2">
                  <c:v>67</c:v>
                </c:pt>
                <c:pt idx="3">
                  <c:v>105</c:v>
                </c:pt>
                <c:pt idx="4">
                  <c:v>119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Standardization'!$G$108:$G$113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B82-4DBA-80DA-17C98CF295BC}"/>
            </c:ext>
          </c:extLst>
        </c:ser>
        <c:ser>
          <c:idx val="0"/>
          <c:order val="17"/>
          <c:tx>
            <c:strRef>
              <c:f>'Time and Area Standardization'!$A$100</c:f>
              <c:strCache>
                <c:ptCount val="1"/>
                <c:pt idx="0">
                  <c:v>2004</c:v>
                </c:pt>
              </c:strCache>
            </c:strRef>
          </c:tx>
          <c:spPr>
            <a:ln w="28575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'Time and Area Standardization'!$B$100:$B$107</c:f>
              <c:numCache>
                <c:formatCode>General</c:formatCode>
                <c:ptCount val="8"/>
                <c:pt idx="0">
                  <c:v>1</c:v>
                </c:pt>
                <c:pt idx="1">
                  <c:v>36</c:v>
                </c:pt>
                <c:pt idx="2">
                  <c:v>62</c:v>
                </c:pt>
                <c:pt idx="3">
                  <c:v>83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  <c:pt idx="7">
                  <c:v>152</c:v>
                </c:pt>
              </c:numCache>
            </c:numRef>
          </c:xVal>
          <c:yVal>
            <c:numRef>
              <c:f>'Time and Area Standardization'!$G$100:$G$107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B82-4DBA-80DA-17C98CF295BC}"/>
            </c:ext>
          </c:extLst>
        </c:ser>
        <c:ser>
          <c:idx val="1"/>
          <c:order val="18"/>
          <c:tx>
            <c:strRef>
              <c:f>'Time and Area Standardization'!$A$92</c:f>
              <c:strCache>
                <c:ptCount val="1"/>
                <c:pt idx="0">
                  <c:v>2003</c:v>
                </c:pt>
              </c:strCache>
            </c:strRef>
          </c:tx>
          <c:spPr>
            <a:ln w="3175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Standardization'!$B$92:$B$99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43</c:v>
                </c:pt>
                <c:pt idx="3">
                  <c:v>66</c:v>
                </c:pt>
                <c:pt idx="4">
                  <c:v>97</c:v>
                </c:pt>
                <c:pt idx="5">
                  <c:v>113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Standardization'!$G$92:$G$99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B82-4DBA-80DA-17C98CF295BC}"/>
            </c:ext>
          </c:extLst>
        </c:ser>
        <c:ser>
          <c:idx val="2"/>
          <c:order val="19"/>
          <c:tx>
            <c:strRef>
              <c:f>'Time and Area Standardization'!$A$84</c:f>
              <c:strCache>
                <c:ptCount val="1"/>
                <c:pt idx="0">
                  <c:v>2002</c:v>
                </c:pt>
              </c:strCache>
            </c:strRef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Standardization'!$B$84:$B$91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Standardization'!$G$84:$G$91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B82-4DBA-80DA-17C98CF29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3456"/>
        <c:axId val="125045760"/>
      </c:scatterChart>
      <c:valAx>
        <c:axId val="125043456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3512651819554832"/>
              <c:y val="0.861906353458050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5760"/>
        <c:crosses val="autoZero"/>
        <c:crossBetween val="midCat"/>
        <c:majorUnit val="20"/>
      </c:valAx>
      <c:valAx>
        <c:axId val="1250457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345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475480562964476"/>
          <c:y val="0.28864474963611492"/>
          <c:w val="0.26714254904905055"/>
          <c:h val="0.1772929470479986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400"/>
              <a:t>Comparison</a:t>
            </a:r>
            <a:r>
              <a:rPr lang="en-CA" sz="1400" baseline="0"/>
              <a:t> </a:t>
            </a:r>
            <a:r>
              <a:rPr lang="en-CA" sz="1400"/>
              <a:t>of  calibrated annual steelhead</a:t>
            </a:r>
            <a:r>
              <a:rPr lang="en-CA" sz="1400" baseline="0"/>
              <a:t> peak counts, abundance estimates from AUC (fixed 0.55 observed efficiency  in all years) and estimates  derived from the average ratio of a peak count  to  MLE  derived population </a:t>
            </a:r>
            <a:endParaRPr lang="en-CA" sz="1400"/>
          </a:p>
        </c:rich>
      </c:tx>
      <c:layout>
        <c:manualLayout>
          <c:xMode val="edge"/>
          <c:yMode val="edge"/>
          <c:x val="0.12942388570055111"/>
          <c:y val="2.197049274223401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3738802440554077E-2"/>
          <c:y val="0.1642560268257279"/>
          <c:w val="0.88864495765350937"/>
          <c:h val="0.68748649066028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and Area Standardization'!$AK$2</c:f>
              <c:strCache>
                <c:ptCount val="1"/>
                <c:pt idx="0">
                  <c:v>Steelhead Population Estimate (AUC - fixed at 50 days residence time and 0.55 observer efficiency, these data include spatially and temporally calibrated surveys for incomplete or non-peak surveys before 1998)</c:v>
                </c:pt>
              </c:strCache>
            </c:strRef>
          </c:tx>
          <c:invertIfNegative val="0"/>
          <c:cat>
            <c:numRef>
              <c:f>'Time and Area Standardization'!$A$4:$A$181</c:f>
              <c:numCache>
                <c:formatCode>0</c:formatCode>
                <c:ptCount val="178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</c:numCache>
            </c:numRef>
          </c:cat>
          <c:val>
            <c:numRef>
              <c:f>'Time and Area Standardization'!$AK$4:$AK$190</c:f>
              <c:numCache>
                <c:formatCode>0</c:formatCode>
                <c:ptCount val="187"/>
                <c:pt idx="1">
                  <c:v>506.99300699300693</c:v>
                </c:pt>
                <c:pt idx="4">
                  <c:v>838.80120669400048</c:v>
                </c:pt>
                <c:pt idx="9">
                  <c:v>1306.8862182865973</c:v>
                </c:pt>
                <c:pt idx="13">
                  <c:v>1849.7925592559257</c:v>
                </c:pt>
                <c:pt idx="17">
                  <c:v>760.5292360221938</c:v>
                </c:pt>
                <c:pt idx="21">
                  <c:v>1581.337124329717</c:v>
                </c:pt>
                <c:pt idx="25">
                  <c:v>1841.3523196109627</c:v>
                </c:pt>
                <c:pt idx="29">
                  <c:v>278.23299663299656</c:v>
                </c:pt>
                <c:pt idx="34">
                  <c:v>536.71111111111111</c:v>
                </c:pt>
                <c:pt idx="38">
                  <c:v>238.5718088553769</c:v>
                </c:pt>
                <c:pt idx="43">
                  <c:v>679.64473138446556</c:v>
                </c:pt>
                <c:pt idx="47">
                  <c:v>225.39919036718013</c:v>
                </c:pt>
                <c:pt idx="51">
                  <c:v>86.541752071225204</c:v>
                </c:pt>
                <c:pt idx="55">
                  <c:v>341.57917200170721</c:v>
                </c:pt>
                <c:pt idx="59">
                  <c:v>202.65671846266522</c:v>
                </c:pt>
                <c:pt idx="63">
                  <c:v>36.281979192777314</c:v>
                </c:pt>
                <c:pt idx="67">
                  <c:v>325.19817740821691</c:v>
                </c:pt>
                <c:pt idx="72">
                  <c:v>65.806698675154877</c:v>
                </c:pt>
                <c:pt idx="76">
                  <c:v>223.62213686157349</c:v>
                </c:pt>
                <c:pt idx="87">
                  <c:v>191.21818181818179</c:v>
                </c:pt>
                <c:pt idx="95">
                  <c:v>127.09090909090907</c:v>
                </c:pt>
                <c:pt idx="103">
                  <c:v>111.12727272727273</c:v>
                </c:pt>
                <c:pt idx="109">
                  <c:v>139.45454545454541</c:v>
                </c:pt>
                <c:pt idx="115">
                  <c:v>211.94545454545457</c:v>
                </c:pt>
                <c:pt idx="120">
                  <c:v>121.67272727272726</c:v>
                </c:pt>
                <c:pt idx="124">
                  <c:v>60.981818181818177</c:v>
                </c:pt>
                <c:pt idx="128">
                  <c:v>96.218181818181804</c:v>
                </c:pt>
                <c:pt idx="132">
                  <c:v>159.92727272727271</c:v>
                </c:pt>
                <c:pt idx="136">
                  <c:v>253.38181818181818</c:v>
                </c:pt>
                <c:pt idx="142">
                  <c:v>128.70909090909089</c:v>
                </c:pt>
                <c:pt idx="149">
                  <c:v>297.8</c:v>
                </c:pt>
                <c:pt idx="154">
                  <c:v>164.36363636363637</c:v>
                </c:pt>
                <c:pt idx="159">
                  <c:v>330.0363636363636</c:v>
                </c:pt>
                <c:pt idx="164">
                  <c:v>278.12727272727273</c:v>
                </c:pt>
                <c:pt idx="169">
                  <c:v>138.36363636363632</c:v>
                </c:pt>
                <c:pt idx="173">
                  <c:v>58.436363636363637</c:v>
                </c:pt>
                <c:pt idx="177">
                  <c:v>134.85454545454544</c:v>
                </c:pt>
                <c:pt idx="181">
                  <c:v>56.127272727272718</c:v>
                </c:pt>
                <c:pt idx="186">
                  <c:v>61.218181818181812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0-4CA6-9008-A9B9B3A3E831}"/>
            </c:ext>
          </c:extLst>
        </c:ser>
        <c:ser>
          <c:idx val="2"/>
          <c:order val="1"/>
          <c:tx>
            <c:strRef>
              <c:f>'Time and Area Standardization'!$AQ$2</c:f>
              <c:strCache>
                <c:ptCount val="1"/>
                <c:pt idx="0">
                  <c:v>Abundance estimates derived from average MLE / peak ratio or with Calibrated OE estimates (2012-2014)</c:v>
                </c:pt>
              </c:strCache>
            </c:strRef>
          </c:tx>
          <c:invertIfNegative val="0"/>
          <c:cat>
            <c:numRef>
              <c:f>'Time and Area Standardization'!$A$4:$A$181</c:f>
              <c:numCache>
                <c:formatCode>0</c:formatCode>
                <c:ptCount val="178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</c:numCache>
            </c:numRef>
          </c:cat>
          <c:val>
            <c:numRef>
              <c:f>'Time and Area Standardization'!$AQ$3:$AQ$181</c:f>
            </c:numRef>
          </c:val>
          <c:extLst>
            <c:ext xmlns:c16="http://schemas.microsoft.com/office/drawing/2014/chart" uri="{C3380CC4-5D6E-409C-BE32-E72D297353CC}">
              <c16:uniqueId val="{00000001-0CA0-4CA6-9008-A9B9B3A3E831}"/>
            </c:ext>
          </c:extLst>
        </c:ser>
        <c:ser>
          <c:idx val="1"/>
          <c:order val="2"/>
          <c:tx>
            <c:strRef>
              <c:f>'Time and Area Standardization'!$AL$2</c:f>
              <c:strCache>
                <c:ptCount val="1"/>
                <c:pt idx="0">
                  <c:v>Annual Peak Count (observer efficiency of 0.55 applied, spatially and temporally calibrated for non-peak and incomplete historic surveys prior to 1998)</c:v>
                </c:pt>
              </c:strCache>
            </c:strRef>
          </c:tx>
          <c:invertIfNegative val="0"/>
          <c:cat>
            <c:numRef>
              <c:f>'Time and Area Standardization'!$A$4:$A$181</c:f>
              <c:numCache>
                <c:formatCode>0</c:formatCode>
                <c:ptCount val="178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</c:numCache>
            </c:numRef>
          </c:cat>
          <c:val>
            <c:numRef>
              <c:f>'Time and Area Standardization'!$AL$4:$AL$190</c:f>
              <c:numCache>
                <c:formatCode>0.00</c:formatCode>
                <c:ptCount val="187"/>
                <c:pt idx="1">
                  <c:v>337.99533799533793</c:v>
                </c:pt>
                <c:pt idx="2">
                  <c:v>0</c:v>
                </c:pt>
                <c:pt idx="3">
                  <c:v>0</c:v>
                </c:pt>
                <c:pt idx="4">
                  <c:v>593.43748664137013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646.56687047578885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942.09420942094198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398.34969412434202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818.05711435341061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920.86033187185569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148.14814814814815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355.55555555555554</c:v>
                </c:pt>
                <c:pt idx="35">
                  <c:v>0</c:v>
                </c:pt>
                <c:pt idx="36">
                  <c:v>0</c:v>
                </c:pt>
                <c:pt idx="37">
                  <c:v>147.53692374975628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332.62600213602002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184.37900128040974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59.717326279663268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170.72129748186089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105.38351696411165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18.065745765276283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212.65284423179159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32.822966679929486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138.2842509603073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 formatCode="0">
                  <c:v>132.72727272727272</c:v>
                </c:pt>
                <c:pt idx="81" formatCode="0">
                  <c:v>132.72727272727272</c:v>
                </c:pt>
                <c:pt idx="82" formatCode="0">
                  <c:v>132.72727272727272</c:v>
                </c:pt>
                <c:pt idx="83" formatCode="0">
                  <c:v>132.72727272727272</c:v>
                </c:pt>
                <c:pt idx="84" formatCode="0">
                  <c:v>132.72727272727272</c:v>
                </c:pt>
                <c:pt idx="85" formatCode="0">
                  <c:v>132.72727272727272</c:v>
                </c:pt>
                <c:pt idx="86" formatCode="0">
                  <c:v>132.72727272727272</c:v>
                </c:pt>
                <c:pt idx="87" formatCode="0">
                  <c:v>132.72727272727272</c:v>
                </c:pt>
                <c:pt idx="88" formatCode="0">
                  <c:v>90.909090909090907</c:v>
                </c:pt>
                <c:pt idx="89" formatCode="0">
                  <c:v>90.909090909090907</c:v>
                </c:pt>
                <c:pt idx="90" formatCode="0">
                  <c:v>90.909090909090907</c:v>
                </c:pt>
                <c:pt idx="91" formatCode="0">
                  <c:v>90.909090909090907</c:v>
                </c:pt>
                <c:pt idx="92" formatCode="0">
                  <c:v>90.909090909090907</c:v>
                </c:pt>
                <c:pt idx="93" formatCode="0">
                  <c:v>90.909090909090907</c:v>
                </c:pt>
                <c:pt idx="94" formatCode="0">
                  <c:v>90.909090909090907</c:v>
                </c:pt>
                <c:pt idx="95" formatCode="0">
                  <c:v>90.909090909090907</c:v>
                </c:pt>
                <c:pt idx="96" formatCode="0">
                  <c:v>81.818181818181813</c:v>
                </c:pt>
                <c:pt idx="97" formatCode="0">
                  <c:v>81.818181818181813</c:v>
                </c:pt>
                <c:pt idx="98" formatCode="0">
                  <c:v>81.818181818181813</c:v>
                </c:pt>
                <c:pt idx="99" formatCode="0">
                  <c:v>81.818181818181813</c:v>
                </c:pt>
                <c:pt idx="100" formatCode="0">
                  <c:v>81.818181818181813</c:v>
                </c:pt>
                <c:pt idx="101" formatCode="0">
                  <c:v>81.818181818181813</c:v>
                </c:pt>
                <c:pt idx="102" formatCode="0">
                  <c:v>81.818181818181813</c:v>
                </c:pt>
                <c:pt idx="103" formatCode="0">
                  <c:v>81.818181818181813</c:v>
                </c:pt>
                <c:pt idx="104" formatCode="0">
                  <c:v>110.90909090909091</c:v>
                </c:pt>
                <c:pt idx="105" formatCode="0">
                  <c:v>110.90909090909091</c:v>
                </c:pt>
                <c:pt idx="106" formatCode="0">
                  <c:v>110.90909090909091</c:v>
                </c:pt>
                <c:pt idx="107" formatCode="0">
                  <c:v>110.90909090909091</c:v>
                </c:pt>
                <c:pt idx="108" formatCode="0">
                  <c:v>110.90909090909091</c:v>
                </c:pt>
                <c:pt idx="109" formatCode="0">
                  <c:v>110.90909090909091</c:v>
                </c:pt>
                <c:pt idx="110" formatCode="0">
                  <c:v>112.72727272727272</c:v>
                </c:pt>
                <c:pt idx="111" formatCode="0">
                  <c:v>112.72727272727272</c:v>
                </c:pt>
                <c:pt idx="112" formatCode="0">
                  <c:v>112.72727272727272</c:v>
                </c:pt>
                <c:pt idx="113" formatCode="0">
                  <c:v>112.72727272727272</c:v>
                </c:pt>
                <c:pt idx="114" formatCode="0">
                  <c:v>112.72727272727272</c:v>
                </c:pt>
                <c:pt idx="115" formatCode="0">
                  <c:v>112.72727272727272</c:v>
                </c:pt>
                <c:pt idx="116" formatCode="0">
                  <c:v>109.09090909090908</c:v>
                </c:pt>
                <c:pt idx="117" formatCode="0">
                  <c:v>109.09090909090908</c:v>
                </c:pt>
                <c:pt idx="118" formatCode="0">
                  <c:v>109.09090909090908</c:v>
                </c:pt>
                <c:pt idx="119" formatCode="0">
                  <c:v>109.09090909090908</c:v>
                </c:pt>
                <c:pt idx="120" formatCode="0">
                  <c:v>109.09090909090908</c:v>
                </c:pt>
                <c:pt idx="121" formatCode="0">
                  <c:v>32.727272727272727</c:v>
                </c:pt>
                <c:pt idx="122" formatCode="0">
                  <c:v>32.727272727272727</c:v>
                </c:pt>
                <c:pt idx="123" formatCode="0">
                  <c:v>32.727272727272727</c:v>
                </c:pt>
                <c:pt idx="124" formatCode="0">
                  <c:v>32.727272727272727</c:v>
                </c:pt>
                <c:pt idx="125" formatCode="0">
                  <c:v>69.090909090909079</c:v>
                </c:pt>
                <c:pt idx="126" formatCode="0">
                  <c:v>69.090909090909079</c:v>
                </c:pt>
                <c:pt idx="127" formatCode="0">
                  <c:v>69.090909090909079</c:v>
                </c:pt>
                <c:pt idx="128" formatCode="0">
                  <c:v>69.090909090909079</c:v>
                </c:pt>
                <c:pt idx="129" formatCode="0">
                  <c:v>54</c:v>
                </c:pt>
                <c:pt idx="130" formatCode="0">
                  <c:v>54</c:v>
                </c:pt>
                <c:pt idx="131" formatCode="0">
                  <c:v>54</c:v>
                </c:pt>
                <c:pt idx="132" formatCode="0">
                  <c:v>54</c:v>
                </c:pt>
                <c:pt idx="133" formatCode="0">
                  <c:v>187.27272727272725</c:v>
                </c:pt>
                <c:pt idx="134" formatCode="0">
                  <c:v>187.27272727272725</c:v>
                </c:pt>
                <c:pt idx="135" formatCode="0">
                  <c:v>187.27272727272725</c:v>
                </c:pt>
                <c:pt idx="136" formatCode="0">
                  <c:v>187.27272727272725</c:v>
                </c:pt>
                <c:pt idx="137" formatCode="0">
                  <c:v>76.36363636363636</c:v>
                </c:pt>
                <c:pt idx="138" formatCode="0">
                  <c:v>76.36363636363636</c:v>
                </c:pt>
                <c:pt idx="139" formatCode="0">
                  <c:v>76.36363636363636</c:v>
                </c:pt>
                <c:pt idx="140" formatCode="0">
                  <c:v>76.36363636363636</c:v>
                </c:pt>
                <c:pt idx="141" formatCode="0">
                  <c:v>76.36363636363636</c:v>
                </c:pt>
                <c:pt idx="142" formatCode="0">
                  <c:v>76.36363636363636</c:v>
                </c:pt>
                <c:pt idx="143" formatCode="0">
                  <c:v>169.09090909090907</c:v>
                </c:pt>
                <c:pt idx="144" formatCode="0">
                  <c:v>169.09090909090907</c:v>
                </c:pt>
                <c:pt idx="145" formatCode="0">
                  <c:v>169.09090909090907</c:v>
                </c:pt>
                <c:pt idx="146" formatCode="0">
                  <c:v>169.09090909090907</c:v>
                </c:pt>
                <c:pt idx="147" formatCode="0">
                  <c:v>169.09090909090907</c:v>
                </c:pt>
                <c:pt idx="148" formatCode="0">
                  <c:v>169.09090909090907</c:v>
                </c:pt>
                <c:pt idx="149" formatCode="0">
                  <c:v>169.09090909090907</c:v>
                </c:pt>
                <c:pt idx="150" formatCode="0">
                  <c:v>123.63636363636363</c:v>
                </c:pt>
                <c:pt idx="151" formatCode="0">
                  <c:v>123.63636363636363</c:v>
                </c:pt>
                <c:pt idx="152" formatCode="0">
                  <c:v>123.63636363636363</c:v>
                </c:pt>
                <c:pt idx="153" formatCode="0">
                  <c:v>123.63636363636363</c:v>
                </c:pt>
                <c:pt idx="154" formatCode="0">
                  <c:v>123.63636363636363</c:v>
                </c:pt>
                <c:pt idx="155" formatCode="0">
                  <c:v>198.18181818181816</c:v>
                </c:pt>
                <c:pt idx="156" formatCode="0">
                  <c:v>198.18181818181816</c:v>
                </c:pt>
                <c:pt idx="157" formatCode="0">
                  <c:v>198.18181818181816</c:v>
                </c:pt>
                <c:pt idx="158" formatCode="0">
                  <c:v>198.18181818181816</c:v>
                </c:pt>
                <c:pt idx="159" formatCode="0">
                  <c:v>198.18181818181816</c:v>
                </c:pt>
                <c:pt idx="160" formatCode="0">
                  <c:v>174.54545454545453</c:v>
                </c:pt>
                <c:pt idx="161" formatCode="0">
                  <c:v>174.54545454545453</c:v>
                </c:pt>
                <c:pt idx="162" formatCode="0">
                  <c:v>174.54545454545453</c:v>
                </c:pt>
                <c:pt idx="163" formatCode="0">
                  <c:v>174.54545454545453</c:v>
                </c:pt>
                <c:pt idx="164" formatCode="0">
                  <c:v>174.54545454545453</c:v>
                </c:pt>
                <c:pt idx="165" formatCode="0">
                  <c:v>74.545454545454533</c:v>
                </c:pt>
                <c:pt idx="166" formatCode="0">
                  <c:v>74.545454545454533</c:v>
                </c:pt>
                <c:pt idx="167" formatCode="0">
                  <c:v>74.545454545454533</c:v>
                </c:pt>
                <c:pt idx="168" formatCode="0">
                  <c:v>74.545454545454533</c:v>
                </c:pt>
                <c:pt idx="169" formatCode="0">
                  <c:v>74.545454545454533</c:v>
                </c:pt>
                <c:pt idx="170" formatCode="0">
                  <c:v>32.727272727272727</c:v>
                </c:pt>
                <c:pt idx="171" formatCode="0">
                  <c:v>32.727272727272727</c:v>
                </c:pt>
                <c:pt idx="172" formatCode="0">
                  <c:v>32.727272727272727</c:v>
                </c:pt>
                <c:pt idx="173" formatCode="0">
                  <c:v>32.727272727272727</c:v>
                </c:pt>
                <c:pt idx="174" formatCode="0">
                  <c:v>81.818181818181813</c:v>
                </c:pt>
                <c:pt idx="175" formatCode="0">
                  <c:v>81.818181818181813</c:v>
                </c:pt>
                <c:pt idx="176" formatCode="0">
                  <c:v>81.818181818181813</c:v>
                </c:pt>
                <c:pt idx="177" formatCode="0">
                  <c:v>81.818181818181813</c:v>
                </c:pt>
                <c:pt idx="178" formatCode="0">
                  <c:v>50.909090909090907</c:v>
                </c:pt>
                <c:pt idx="179" formatCode="0">
                  <c:v>50.909090909090907</c:v>
                </c:pt>
                <c:pt idx="180" formatCode="0">
                  <c:v>50.909090909090907</c:v>
                </c:pt>
                <c:pt idx="181" formatCode="0">
                  <c:v>50.909090909090907</c:v>
                </c:pt>
                <c:pt idx="182" formatCode="0">
                  <c:v>36.36363636363636</c:v>
                </c:pt>
                <c:pt idx="183" formatCode="0">
                  <c:v>36.36363636363636</c:v>
                </c:pt>
                <c:pt idx="184" formatCode="0">
                  <c:v>36.36363636363636</c:v>
                </c:pt>
                <c:pt idx="185" formatCode="0">
                  <c:v>36.36363636363636</c:v>
                </c:pt>
                <c:pt idx="186" formatCode="0">
                  <c:v>36.36363636363636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A0-4CA6-9008-A9B9B3A3E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77376"/>
        <c:axId val="125078912"/>
      </c:barChart>
      <c:dateAx>
        <c:axId val="12507737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25078912"/>
        <c:crosses val="autoZero"/>
        <c:auto val="0"/>
        <c:lblOffset val="100"/>
        <c:baseTimeUnit val="days"/>
      </c:dateAx>
      <c:valAx>
        <c:axId val="125078912"/>
        <c:scaling>
          <c:orientation val="minMax"/>
          <c:max val="2600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25077376"/>
        <c:crosses val="autoZero"/>
        <c:crossBetween val="between"/>
        <c:majorUnit val="200"/>
      </c:val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0.41430501919776697"/>
          <c:y val="0.1841243360720686"/>
          <c:w val="0.48781158907100125"/>
          <c:h val="0.2894630675103189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2082-2016</a:t>
            </a:r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Surveys adjusted for  Raw Swim Counts</a:t>
            </a:r>
          </a:p>
        </c:rich>
      </c:tx>
      <c:layout>
        <c:manualLayout>
          <c:xMode val="edge"/>
          <c:yMode val="edge"/>
          <c:x val="0.34225113783988936"/>
          <c:y val="3.35180775378476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678217850116742E-2"/>
          <c:y val="0.1352430699877831"/>
          <c:w val="0.80798797040128945"/>
          <c:h val="0.66572881009930307"/>
        </c:manualLayout>
      </c:layout>
      <c:scatterChart>
        <c:scatterStyle val="smoothMarker"/>
        <c:varyColors val="0"/>
        <c:ser>
          <c:idx val="14"/>
          <c:order val="0"/>
          <c:tx>
            <c:strRef>
              <c:f>'Time and Area Standardization'!$A$164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'Time and Area Standardization'!$B$164:$B$168</c:f>
              <c:numCache>
                <c:formatCode>General</c:formatCode>
                <c:ptCount val="5"/>
                <c:pt idx="0">
                  <c:v>1</c:v>
                </c:pt>
                <c:pt idx="1">
                  <c:v>87</c:v>
                </c:pt>
                <c:pt idx="2">
                  <c:v>98</c:v>
                </c:pt>
                <c:pt idx="3">
                  <c:v>111</c:v>
                </c:pt>
                <c:pt idx="4">
                  <c:v>152</c:v>
                </c:pt>
              </c:numCache>
            </c:numRef>
          </c:xVal>
          <c:yVal>
            <c:numRef>
              <c:f>'Time and Area Standardization'!$G$164:$G$168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5-45F2-9BEA-96267F2F24D4}"/>
            </c:ext>
          </c:extLst>
        </c:ser>
        <c:ser>
          <c:idx val="13"/>
          <c:order val="1"/>
          <c:tx>
            <c:strRef>
              <c:f>'Time and Area Standardization'!$A$159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xVal>
            <c:numRef>
              <c:f>'Time and Area Standardization'!$B$159:$B$163</c:f>
              <c:numCache>
                <c:formatCode>General</c:formatCode>
                <c:ptCount val="5"/>
                <c:pt idx="0">
                  <c:v>1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Standardization'!$G$159:$G$163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15-45F2-9BEA-96267F2F24D4}"/>
            </c:ext>
          </c:extLst>
        </c:ser>
        <c:ser>
          <c:idx val="12"/>
          <c:order val="2"/>
          <c:tx>
            <c:strRef>
              <c:f>'Time and Area Standardization'!$A$154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rgbClr val="C00000"/>
              </a:solidFill>
            </a:ln>
          </c:spPr>
          <c:xVal>
            <c:numRef>
              <c:f>'Time and Area Standardization'!$B$154:$B$158</c:f>
              <c:numCache>
                <c:formatCode>General</c:formatCode>
                <c:ptCount val="5"/>
                <c:pt idx="0">
                  <c:v>1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Standardization'!$G$154:$G$158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15-45F2-9BEA-96267F2F24D4}"/>
            </c:ext>
          </c:extLst>
        </c:ser>
        <c:ser>
          <c:idx val="11"/>
          <c:order val="3"/>
          <c:tx>
            <c:strRef>
              <c:f>'Time and Area Standardization'!$A$147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'Time and Area Standardization'!$B$147:$B$153</c:f>
              <c:numCache>
                <c:formatCode>General</c:formatCode>
                <c:ptCount val="7"/>
                <c:pt idx="0">
                  <c:v>1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'Time and Area Standardization'!$G$147:$G$153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93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15-45F2-9BEA-96267F2F24D4}"/>
            </c:ext>
          </c:extLst>
        </c:ser>
        <c:ser>
          <c:idx val="10"/>
          <c:order val="4"/>
          <c:tx>
            <c:strRef>
              <c:f>'Time and Area Standardization'!$A$141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'Time and Area Standardization'!$B$141:$B$146</c:f>
              <c:numCache>
                <c:formatCode>General</c:formatCode>
                <c:ptCount val="6"/>
                <c:pt idx="0">
                  <c:v>1</c:v>
                </c:pt>
                <c:pt idx="1">
                  <c:v>83</c:v>
                </c:pt>
                <c:pt idx="2">
                  <c:v>113</c:v>
                </c:pt>
                <c:pt idx="3">
                  <c:v>128</c:v>
                </c:pt>
                <c:pt idx="4">
                  <c:v>146</c:v>
                </c:pt>
                <c:pt idx="5">
                  <c:v>152</c:v>
                </c:pt>
              </c:numCache>
            </c:numRef>
          </c:xVal>
          <c:yVal>
            <c:numRef>
              <c:f>'Time and Area Standardization'!$G$141:$G$146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39</c:v>
                </c:pt>
                <c:pt idx="3">
                  <c:v>42</c:v>
                </c:pt>
                <c:pt idx="4">
                  <c:v>27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15-45F2-9BEA-96267F2F24D4}"/>
            </c:ext>
          </c:extLst>
        </c:ser>
        <c:ser>
          <c:idx val="9"/>
          <c:order val="5"/>
          <c:tx>
            <c:strRef>
              <c:f>'Time and Area Standardization'!$A$137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dPt>
            <c:idx val="2"/>
            <c:bubble3D val="0"/>
            <c:spPr>
              <a:ln w="28575" cap="sq">
                <a:solidFill>
                  <a:srgbClr val="FFFF0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6-FE15-45F2-9BEA-96267F2F24D4}"/>
              </c:ext>
            </c:extLst>
          </c:dPt>
          <c:xVal>
            <c:numRef>
              <c:f>'Time and Area Standardization'!$B$137:$B$140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109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Standardization'!$G$137:$G$140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15-45F2-9BEA-96267F2F24D4}"/>
            </c:ext>
          </c:extLst>
        </c:ser>
        <c:ser>
          <c:idx val="8"/>
          <c:order val="6"/>
          <c:tx>
            <c:strRef>
              <c:f>'Time and Area Standardization'!$A$133</c:f>
              <c:strCache>
                <c:ptCount val="1"/>
                <c:pt idx="0">
                  <c:v>2010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2D05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Standardization'!$B$133:$B$136</c:f>
              <c:numCache>
                <c:formatCode>General</c:formatCode>
                <c:ptCount val="4"/>
                <c:pt idx="0">
                  <c:v>1</c:v>
                </c:pt>
                <c:pt idx="1">
                  <c:v>69</c:v>
                </c:pt>
                <c:pt idx="2">
                  <c:v>105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Standardization'!$G$133:$G$136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15-45F2-9BEA-96267F2F24D4}"/>
            </c:ext>
          </c:extLst>
        </c:ser>
        <c:ser>
          <c:idx val="7"/>
          <c:order val="7"/>
          <c:tx>
            <c:strRef>
              <c:f>'Time and Area Standardization'!$A$129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Standardization'!$B$129:$B$132</c:f>
              <c:numCache>
                <c:formatCode>General</c:formatCode>
                <c:ptCount val="4"/>
                <c:pt idx="0">
                  <c:v>1</c:v>
                </c:pt>
                <c:pt idx="1">
                  <c:v>85</c:v>
                </c:pt>
                <c:pt idx="2">
                  <c:v>117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Standardization'!$G$129:$G$132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15-45F2-9BEA-96267F2F24D4}"/>
            </c:ext>
          </c:extLst>
        </c:ser>
        <c:ser>
          <c:idx val="6"/>
          <c:order val="8"/>
          <c:tx>
            <c:strRef>
              <c:f>'Time and Area Standardization'!$A$125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'Time and Area Standardization'!$B$125:$B$128</c:f>
              <c:numCache>
                <c:formatCode>General</c:formatCode>
                <c:ptCount val="4"/>
                <c:pt idx="0">
                  <c:v>1</c:v>
                </c:pt>
                <c:pt idx="1">
                  <c:v>68</c:v>
                </c:pt>
                <c:pt idx="2">
                  <c:v>108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Standardization'!$G$125:$G$128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15-45F2-9BEA-96267F2F24D4}"/>
            </c:ext>
          </c:extLst>
        </c:ser>
        <c:ser>
          <c:idx val="5"/>
          <c:order val="9"/>
          <c:tx>
            <c:strRef>
              <c:f>'Time and Area Standardization'!$A$120</c:f>
              <c:strCache>
                <c:ptCount val="1"/>
                <c:pt idx="0">
                  <c:v>2007</c:v>
                </c:pt>
              </c:strCache>
            </c:strRef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'Time and Area Standardization'!$B$120:$B$124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88</c:v>
                </c:pt>
                <c:pt idx="3">
                  <c:v>110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Standardization'!$G$120:$G$124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15-45F2-9BEA-96267F2F24D4}"/>
            </c:ext>
          </c:extLst>
        </c:ser>
        <c:ser>
          <c:idx val="4"/>
          <c:order val="10"/>
          <c:tx>
            <c:strRef>
              <c:f>'Time and Area Standardization'!$A$114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Standardization'!$B$114:$B$119</c:f>
              <c:numCache>
                <c:formatCode>General</c:formatCode>
                <c:ptCount val="6"/>
                <c:pt idx="0">
                  <c:v>1</c:v>
                </c:pt>
                <c:pt idx="1">
                  <c:v>46</c:v>
                </c:pt>
                <c:pt idx="2">
                  <c:v>80</c:v>
                </c:pt>
                <c:pt idx="3">
                  <c:v>103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Standardization'!$G$114:$G$119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15-45F2-9BEA-96267F2F24D4}"/>
            </c:ext>
          </c:extLst>
        </c:ser>
        <c:ser>
          <c:idx val="3"/>
          <c:order val="11"/>
          <c:tx>
            <c:strRef>
              <c:f>'Time and Area Standardization'!$A$108</c:f>
              <c:strCache>
                <c:ptCount val="1"/>
                <c:pt idx="0">
                  <c:v>2005</c:v>
                </c:pt>
              </c:strCache>
            </c:strRef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Standardization'!$B$108:$B$113</c:f>
              <c:numCache>
                <c:formatCode>General</c:formatCode>
                <c:ptCount val="6"/>
                <c:pt idx="0">
                  <c:v>1</c:v>
                </c:pt>
                <c:pt idx="1">
                  <c:v>42</c:v>
                </c:pt>
                <c:pt idx="2">
                  <c:v>67</c:v>
                </c:pt>
                <c:pt idx="3">
                  <c:v>105</c:v>
                </c:pt>
                <c:pt idx="4">
                  <c:v>119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Standardization'!$G$108:$G$113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15-45F2-9BEA-96267F2F24D4}"/>
            </c:ext>
          </c:extLst>
        </c:ser>
        <c:ser>
          <c:idx val="0"/>
          <c:order val="12"/>
          <c:tx>
            <c:strRef>
              <c:f>'Time and Area Standardization'!$A$100</c:f>
              <c:strCache>
                <c:ptCount val="1"/>
                <c:pt idx="0">
                  <c:v>2004</c:v>
                </c:pt>
              </c:strCache>
            </c:strRef>
          </c:tx>
          <c:spPr>
            <a:ln w="28575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'Time and Area Standardization'!$B$100:$B$107</c:f>
              <c:numCache>
                <c:formatCode>General</c:formatCode>
                <c:ptCount val="8"/>
                <c:pt idx="0">
                  <c:v>1</c:v>
                </c:pt>
                <c:pt idx="1">
                  <c:v>36</c:v>
                </c:pt>
                <c:pt idx="2">
                  <c:v>62</c:v>
                </c:pt>
                <c:pt idx="3">
                  <c:v>83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  <c:pt idx="7">
                  <c:v>152</c:v>
                </c:pt>
              </c:numCache>
            </c:numRef>
          </c:xVal>
          <c:yVal>
            <c:numRef>
              <c:f>'Time and Area Standardization'!$G$100:$G$107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15-45F2-9BEA-96267F2F24D4}"/>
            </c:ext>
          </c:extLst>
        </c:ser>
        <c:ser>
          <c:idx val="1"/>
          <c:order val="13"/>
          <c:tx>
            <c:strRef>
              <c:f>'Time and Area Standardization'!$A$92</c:f>
              <c:strCache>
                <c:ptCount val="1"/>
                <c:pt idx="0">
                  <c:v>2003</c:v>
                </c:pt>
              </c:strCache>
            </c:strRef>
          </c:tx>
          <c:spPr>
            <a:ln w="3175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Standardization'!$B$92:$B$99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43</c:v>
                </c:pt>
                <c:pt idx="3">
                  <c:v>66</c:v>
                </c:pt>
                <c:pt idx="4">
                  <c:v>97</c:v>
                </c:pt>
                <c:pt idx="5">
                  <c:v>113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Standardization'!$G$92:$G$99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E15-45F2-9BEA-96267F2F24D4}"/>
            </c:ext>
          </c:extLst>
        </c:ser>
        <c:ser>
          <c:idx val="2"/>
          <c:order val="14"/>
          <c:tx>
            <c:strRef>
              <c:f>'Time and Area Standardization'!$A$84</c:f>
              <c:strCache>
                <c:ptCount val="1"/>
                <c:pt idx="0">
                  <c:v>2002</c:v>
                </c:pt>
              </c:strCache>
            </c:strRef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'Time and Area Standardization'!$B$84:$B$91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Standardization'!$G$84:$G$91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15-45F2-9BEA-96267F2F24D4}"/>
            </c:ext>
          </c:extLst>
        </c:ser>
        <c:ser>
          <c:idx val="15"/>
          <c:order val="15"/>
          <c:tx>
            <c:strRef>
              <c:f>'Time and Area Standardization'!$A$79</c:f>
              <c:strCache>
                <c:ptCount val="1"/>
                <c:pt idx="0">
                  <c:v>2001</c:v>
                </c:pt>
              </c:strCache>
            </c:strRef>
          </c:tx>
          <c:xVal>
            <c:numRef>
              <c:f>'Time and Area Standardization'!$B$79:$B$83</c:f>
              <c:numCache>
                <c:formatCode>General</c:formatCode>
                <c:ptCount val="5"/>
                <c:pt idx="0">
                  <c:v>1</c:v>
                </c:pt>
                <c:pt idx="1">
                  <c:v>71</c:v>
                </c:pt>
                <c:pt idx="2">
                  <c:v>96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Standardization'!$G$79:$G$83</c:f>
              <c:numCache>
                <c:formatCode>0</c:formatCode>
                <c:ptCount val="5"/>
                <c:pt idx="0">
                  <c:v>0</c:v>
                </c:pt>
                <c:pt idx="1">
                  <c:v>76.056338028169023</c:v>
                </c:pt>
                <c:pt idx="2">
                  <c:v>53.521126760563384</c:v>
                </c:pt>
                <c:pt idx="3">
                  <c:v>62.597809076682324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E15-45F2-9BEA-96267F2F24D4}"/>
            </c:ext>
          </c:extLst>
        </c:ser>
        <c:ser>
          <c:idx val="16"/>
          <c:order val="16"/>
          <c:tx>
            <c:strRef>
              <c:f>'Time and Area Standardization'!$A$75</c:f>
              <c:strCache>
                <c:ptCount val="1"/>
                <c:pt idx="0">
                  <c:v>2000</c:v>
                </c:pt>
              </c:strCache>
            </c:strRef>
          </c:tx>
          <c:xVal>
            <c:numRef>
              <c:f>'Time and Area Standardization'!$B$75:$B$78</c:f>
              <c:numCache>
                <c:formatCode>General</c:formatCode>
                <c:ptCount val="4"/>
                <c:pt idx="0">
                  <c:v>1</c:v>
                </c:pt>
                <c:pt idx="1">
                  <c:v>88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Standardization'!$G$75:$G$78</c:f>
              <c:numCache>
                <c:formatCode>0</c:formatCode>
                <c:ptCount val="4"/>
                <c:pt idx="0">
                  <c:v>0</c:v>
                </c:pt>
                <c:pt idx="1">
                  <c:v>14</c:v>
                </c:pt>
                <c:pt idx="2">
                  <c:v>18.052631673961219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E15-45F2-9BEA-96267F2F24D4}"/>
            </c:ext>
          </c:extLst>
        </c:ser>
        <c:ser>
          <c:idx val="17"/>
          <c:order val="17"/>
          <c:tx>
            <c:strRef>
              <c:f>'Time and Area Standardization'!$A$70</c:f>
              <c:strCache>
                <c:ptCount val="1"/>
                <c:pt idx="0">
                  <c:v>1999</c:v>
                </c:pt>
              </c:strCache>
            </c:strRef>
          </c:tx>
          <c:xVal>
            <c:numRef>
              <c:f>'Time and Area Standardization'!$B$70:$B$74</c:f>
              <c:numCache>
                <c:formatCode>General</c:formatCode>
                <c:ptCount val="5"/>
                <c:pt idx="0">
                  <c:v>1</c:v>
                </c:pt>
                <c:pt idx="1">
                  <c:v>67</c:v>
                </c:pt>
                <c:pt idx="2">
                  <c:v>98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Standardization'!$G$70:$G$74</c:f>
              <c:numCache>
                <c:formatCode>0</c:formatCode>
                <c:ptCount val="5"/>
                <c:pt idx="0">
                  <c:v>0</c:v>
                </c:pt>
                <c:pt idx="1">
                  <c:v>39.70756545908953</c:v>
                </c:pt>
                <c:pt idx="2">
                  <c:v>100</c:v>
                </c:pt>
                <c:pt idx="3">
                  <c:v>116.95906432748538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E15-45F2-9BEA-96267F2F24D4}"/>
            </c:ext>
          </c:extLst>
        </c:ser>
        <c:ser>
          <c:idx val="18"/>
          <c:order val="18"/>
          <c:tx>
            <c:strRef>
              <c:f>'Time and Area Standardization'!$A$66</c:f>
              <c:strCache>
                <c:ptCount val="1"/>
                <c:pt idx="0">
                  <c:v>1998</c:v>
                </c:pt>
              </c:strCache>
            </c:strRef>
          </c:tx>
          <c:xVal>
            <c:numRef>
              <c:f>'Time and Area Standardization'!$B$66:$B$69</c:f>
              <c:numCache>
                <c:formatCode>General</c:formatCode>
                <c:ptCount val="4"/>
                <c:pt idx="0">
                  <c:v>1</c:v>
                </c:pt>
                <c:pt idx="1">
                  <c:v>63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Standardization'!$G$66:$G$69</c:f>
              <c:numCache>
                <c:formatCode>0</c:formatCode>
                <c:ptCount val="4"/>
                <c:pt idx="0">
                  <c:v>0</c:v>
                </c:pt>
                <c:pt idx="1">
                  <c:v>5.6338028169014089</c:v>
                </c:pt>
                <c:pt idx="2">
                  <c:v>9.9361601709019567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E15-45F2-9BEA-96267F2F24D4}"/>
            </c:ext>
          </c:extLst>
        </c:ser>
        <c:ser>
          <c:idx val="19"/>
          <c:order val="19"/>
          <c:tx>
            <c:strRef>
              <c:f>'Time and Area Standardization'!$A$62</c:f>
              <c:strCache>
                <c:ptCount val="1"/>
                <c:pt idx="0">
                  <c:v>1996</c:v>
                </c:pt>
              </c:strCache>
            </c:strRef>
          </c:tx>
          <c:xVal>
            <c:numRef>
              <c:f>'Time and Area Standardization'!$B$62:$B$65</c:f>
              <c:numCache>
                <c:formatCode>General</c:formatCode>
                <c:ptCount val="4"/>
                <c:pt idx="0">
                  <c:v>1</c:v>
                </c:pt>
                <c:pt idx="1">
                  <c:v>88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Standardization'!$G$62:$G$65</c:f>
              <c:numCache>
                <c:formatCode>0</c:formatCode>
                <c:ptCount val="4"/>
                <c:pt idx="0">
                  <c:v>0</c:v>
                </c:pt>
                <c:pt idx="1">
                  <c:v>42.253521126760567</c:v>
                </c:pt>
                <c:pt idx="2">
                  <c:v>57.960934330261409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E15-45F2-9BEA-96267F2F24D4}"/>
            </c:ext>
          </c:extLst>
        </c:ser>
        <c:ser>
          <c:idx val="20"/>
          <c:order val="20"/>
          <c:tx>
            <c:strRef>
              <c:f>'Time and Area Standardization'!$A$58</c:f>
              <c:strCache>
                <c:ptCount val="1"/>
                <c:pt idx="0">
                  <c:v>1995</c:v>
                </c:pt>
              </c:strCache>
            </c:strRef>
          </c:tx>
          <c:xVal>
            <c:numRef>
              <c:f>'Time and Area Standardization'!$B$58:$B$61</c:f>
              <c:numCache>
                <c:formatCode>General</c:formatCode>
                <c:ptCount val="4"/>
                <c:pt idx="0">
                  <c:v>1</c:v>
                </c:pt>
                <c:pt idx="1">
                  <c:v>60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Standardization'!$G$58:$G$61</c:f>
              <c:numCache>
                <c:formatCode>0</c:formatCode>
                <c:ptCount val="4"/>
                <c:pt idx="0">
                  <c:v>0</c:v>
                </c:pt>
                <c:pt idx="1">
                  <c:v>50.70422535211268</c:v>
                </c:pt>
                <c:pt idx="2">
                  <c:v>93.896713615023501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E15-45F2-9BEA-96267F2F24D4}"/>
            </c:ext>
          </c:extLst>
        </c:ser>
        <c:ser>
          <c:idx val="21"/>
          <c:order val="21"/>
          <c:tx>
            <c:strRef>
              <c:f>'Time and Area Standardization'!$A$54</c:f>
              <c:strCache>
                <c:ptCount val="1"/>
                <c:pt idx="0">
                  <c:v>1994</c:v>
                </c:pt>
              </c:strCache>
            </c:strRef>
          </c:tx>
          <c:xVal>
            <c:numRef>
              <c:f>'Time and Area Standardization'!$B$54:$B$57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Standardization'!$G$54:$G$57</c:f>
              <c:numCache>
                <c:formatCode>0</c:formatCode>
                <c:ptCount val="4"/>
                <c:pt idx="0">
                  <c:v>0</c:v>
                </c:pt>
                <c:pt idx="1">
                  <c:v>23.943661971830988</c:v>
                </c:pt>
                <c:pt idx="2">
                  <c:v>32.8445294538148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E15-45F2-9BEA-96267F2F24D4}"/>
            </c:ext>
          </c:extLst>
        </c:ser>
        <c:ser>
          <c:idx val="22"/>
          <c:order val="22"/>
          <c:tx>
            <c:strRef>
              <c:f>'Time and Area Standardization'!$A$50</c:f>
              <c:strCache>
                <c:ptCount val="1"/>
                <c:pt idx="0">
                  <c:v>1993</c:v>
                </c:pt>
              </c:strCache>
            </c:strRef>
          </c:tx>
          <c:xVal>
            <c:numRef>
              <c:f>'Time and Area Standardization'!$B$50:$B$53</c:f>
              <c:numCache>
                <c:formatCode>General</c:formatCode>
                <c:ptCount val="4"/>
                <c:pt idx="0">
                  <c:v>1</c:v>
                </c:pt>
                <c:pt idx="1">
                  <c:v>56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Standardization'!$G$50:$G$53</c:f>
              <c:numCache>
                <c:formatCode>0</c:formatCode>
                <c:ptCount val="4"/>
                <c:pt idx="0">
                  <c:v>0</c:v>
                </c:pt>
                <c:pt idx="1">
                  <c:v>101.40845070422536</c:v>
                </c:pt>
                <c:pt idx="2">
                  <c:v>14.141414141414144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E15-45F2-9BEA-96267F2F24D4}"/>
            </c:ext>
          </c:extLst>
        </c:ser>
        <c:ser>
          <c:idx val="23"/>
          <c:order val="23"/>
          <c:tx>
            <c:strRef>
              <c:f>'Time and Area Standardization'!$A$46</c:f>
              <c:strCache>
                <c:ptCount val="1"/>
                <c:pt idx="0">
                  <c:v>1992</c:v>
                </c:pt>
              </c:strCache>
            </c:strRef>
          </c:tx>
          <c:xVal>
            <c:numRef>
              <c:f>'Time and Area Standardization'!$B$46:$B$49</c:f>
              <c:numCache>
                <c:formatCode>General</c:formatCode>
                <c:ptCount val="4"/>
                <c:pt idx="0">
                  <c:v>1</c:v>
                </c:pt>
                <c:pt idx="1">
                  <c:v>71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Standardization'!$G$46:$G$49</c:f>
              <c:numCache>
                <c:formatCode>0</c:formatCode>
                <c:ptCount val="4"/>
                <c:pt idx="0">
                  <c:v>0</c:v>
                </c:pt>
                <c:pt idx="1">
                  <c:v>116.90140845070422</c:v>
                </c:pt>
                <c:pt idx="2">
                  <c:v>182.94430117481102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E15-45F2-9BEA-96267F2F24D4}"/>
            </c:ext>
          </c:extLst>
        </c:ser>
        <c:ser>
          <c:idx val="24"/>
          <c:order val="24"/>
          <c:tx>
            <c:strRef>
              <c:f>'Time and Area Standardization'!$A$41</c:f>
              <c:strCache>
                <c:ptCount val="1"/>
                <c:pt idx="0">
                  <c:v>1991</c:v>
                </c:pt>
              </c:strCache>
            </c:strRef>
          </c:tx>
          <c:xVal>
            <c:numRef>
              <c:f>'Time and Area Standardization'!$B$41:$B$45</c:f>
              <c:numCache>
                <c:formatCode>General</c:formatCode>
                <c:ptCount val="5"/>
                <c:pt idx="0">
                  <c:v>1</c:v>
                </c:pt>
                <c:pt idx="1">
                  <c:v>29</c:v>
                </c:pt>
                <c:pt idx="2">
                  <c:v>85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Standardization'!$G$41:$G$45</c:f>
              <c:numCache>
                <c:formatCode>0</c:formatCode>
                <c:ptCount val="5"/>
                <c:pt idx="0">
                  <c:v>0</c:v>
                </c:pt>
                <c:pt idx="1">
                  <c:v>34</c:v>
                </c:pt>
                <c:pt idx="2">
                  <c:v>59.154929577464792</c:v>
                </c:pt>
                <c:pt idx="3">
                  <c:v>81.14530806236597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FE15-45F2-9BEA-96267F2F24D4}"/>
            </c:ext>
          </c:extLst>
        </c:ser>
        <c:ser>
          <c:idx val="25"/>
          <c:order val="25"/>
          <c:tx>
            <c:strRef>
              <c:f>'Time and Area Standardization'!$A$37</c:f>
              <c:strCache>
                <c:ptCount val="1"/>
                <c:pt idx="0">
                  <c:v>1990</c:v>
                </c:pt>
              </c:strCache>
            </c:strRef>
          </c:tx>
          <c:xVal>
            <c:numRef>
              <c:f>'Time and Area Standardization'!$B$37:$B$40</c:f>
              <c:numCache>
                <c:formatCode>General</c:formatCode>
                <c:ptCount val="4"/>
                <c:pt idx="0">
                  <c:v>1</c:v>
                </c:pt>
                <c:pt idx="1">
                  <c:v>50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Standardization'!$G$37:$G$40</c:f>
              <c:numCache>
                <c:formatCode>0</c:formatCode>
                <c:ptCount val="4"/>
                <c:pt idx="0">
                  <c:v>0</c:v>
                </c:pt>
                <c:pt idx="1">
                  <c:v>88</c:v>
                </c:pt>
                <c:pt idx="2">
                  <c:v>195.55555555555557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FE15-45F2-9BEA-96267F2F24D4}"/>
            </c:ext>
          </c:extLst>
        </c:ser>
        <c:ser>
          <c:idx val="26"/>
          <c:order val="26"/>
          <c:tx>
            <c:strRef>
              <c:f>'Time and Area Standardization'!$A$32</c:f>
              <c:strCache>
                <c:ptCount val="1"/>
                <c:pt idx="0">
                  <c:v>1989</c:v>
                </c:pt>
              </c:strCache>
            </c:strRef>
          </c:tx>
          <c:xVal>
            <c:numRef>
              <c:f>'Time and Area Standardization'!$B$32:$B$36</c:f>
              <c:numCache>
                <c:formatCode>General</c:formatCode>
                <c:ptCount val="5"/>
                <c:pt idx="0">
                  <c:v>1</c:v>
                </c:pt>
                <c:pt idx="1">
                  <c:v>40</c:v>
                </c:pt>
                <c:pt idx="2">
                  <c:v>60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Standardization'!$G$32:$G$36</c:f>
              <c:numCache>
                <c:formatCode>0</c:formatCode>
                <c:ptCount val="5"/>
                <c:pt idx="0">
                  <c:v>0</c:v>
                </c:pt>
                <c:pt idx="1">
                  <c:v>80</c:v>
                </c:pt>
                <c:pt idx="2">
                  <c:v>44</c:v>
                </c:pt>
                <c:pt idx="3">
                  <c:v>81.481481481481495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FE15-45F2-9BEA-96267F2F24D4}"/>
            </c:ext>
          </c:extLst>
        </c:ser>
        <c:ser>
          <c:idx val="27"/>
          <c:order val="27"/>
          <c:tx>
            <c:strRef>
              <c:f>'Time and Area Standardization'!$A$28</c:f>
              <c:strCache>
                <c:ptCount val="1"/>
                <c:pt idx="0">
                  <c:v>1988</c:v>
                </c:pt>
              </c:strCache>
            </c:strRef>
          </c:tx>
          <c:xVal>
            <c:numRef>
              <c:f>'Time and Area Standardization'!$B$28:$B$31</c:f>
              <c:numCache>
                <c:formatCode>General</c:formatCode>
                <c:ptCount val="4"/>
                <c:pt idx="0">
                  <c:v>1</c:v>
                </c:pt>
                <c:pt idx="1">
                  <c:v>55</c:v>
                </c:pt>
                <c:pt idx="2">
                  <c:v>112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Standardization'!$G$28:$G$31</c:f>
              <c:numCache>
                <c:formatCode>0</c:formatCode>
                <c:ptCount val="4"/>
                <c:pt idx="0">
                  <c:v>0</c:v>
                </c:pt>
                <c:pt idx="1">
                  <c:v>250.7042253521127</c:v>
                </c:pt>
                <c:pt idx="2">
                  <c:v>506.47318252952067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FE15-45F2-9BEA-96267F2F24D4}"/>
            </c:ext>
          </c:extLst>
        </c:ser>
        <c:ser>
          <c:idx val="28"/>
          <c:order val="28"/>
          <c:tx>
            <c:strRef>
              <c:f>'Time and Area Standardization'!$A$24</c:f>
              <c:strCache>
                <c:ptCount val="1"/>
                <c:pt idx="0">
                  <c:v>1987</c:v>
                </c:pt>
              </c:strCache>
            </c:strRef>
          </c:tx>
          <c:xVal>
            <c:numRef>
              <c:f>'Time and Area Standardization'!$B$24:$B$27</c:f>
              <c:numCache>
                <c:formatCode>General</c:formatCode>
                <c:ptCount val="4"/>
                <c:pt idx="0">
                  <c:v>1</c:v>
                </c:pt>
                <c:pt idx="1">
                  <c:v>86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Standardization'!$G$24:$G$27</c:f>
              <c:numCache>
                <c:formatCode>0</c:formatCode>
                <c:ptCount val="4"/>
                <c:pt idx="0">
                  <c:v>0</c:v>
                </c:pt>
                <c:pt idx="1">
                  <c:v>328</c:v>
                </c:pt>
                <c:pt idx="2">
                  <c:v>449.93141289437585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FE15-45F2-9BEA-96267F2F24D4}"/>
            </c:ext>
          </c:extLst>
        </c:ser>
        <c:ser>
          <c:idx val="29"/>
          <c:order val="29"/>
          <c:tx>
            <c:strRef>
              <c:f>'Time and Area Standardization'!$A$20</c:f>
              <c:strCache>
                <c:ptCount val="1"/>
                <c:pt idx="0">
                  <c:v>1986</c:v>
                </c:pt>
              </c:strCache>
            </c:strRef>
          </c:tx>
          <c:xVal>
            <c:numRef>
              <c:f>'Time and Area Standardization'!$B$20:$B$23</c:f>
              <c:numCache>
                <c:formatCode>General</c:formatCode>
                <c:ptCount val="4"/>
                <c:pt idx="0">
                  <c:v>1</c:v>
                </c:pt>
                <c:pt idx="1">
                  <c:v>40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Standardization'!$G$20:$G$23</c:f>
              <c:numCache>
                <c:formatCode>0</c:formatCode>
                <c:ptCount val="4"/>
                <c:pt idx="0">
                  <c:v>0</c:v>
                </c:pt>
                <c:pt idx="1">
                  <c:v>78.873239436619727</c:v>
                </c:pt>
                <c:pt idx="2">
                  <c:v>219.09233176838814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FE15-45F2-9BEA-96267F2F24D4}"/>
            </c:ext>
          </c:extLst>
        </c:ser>
        <c:ser>
          <c:idx val="30"/>
          <c:order val="30"/>
          <c:tx>
            <c:strRef>
              <c:f>'Time and Area Standardization'!$A$16</c:f>
              <c:strCache>
                <c:ptCount val="1"/>
                <c:pt idx="0">
                  <c:v>1985</c:v>
                </c:pt>
              </c:strCache>
            </c:strRef>
          </c:tx>
          <c:xVal>
            <c:numRef>
              <c:f>'Time and Area Standardization'!$B$16:$B$19</c:f>
              <c:numCache>
                <c:formatCode>General</c:formatCode>
                <c:ptCount val="4"/>
                <c:pt idx="0">
                  <c:v>1</c:v>
                </c:pt>
                <c:pt idx="1">
                  <c:v>101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Standardization'!$G$16:$G$19</c:f>
              <c:numCache>
                <c:formatCode>0</c:formatCode>
                <c:ptCount val="4"/>
                <c:pt idx="0">
                  <c:v>0</c:v>
                </c:pt>
                <c:pt idx="1">
                  <c:v>471</c:v>
                </c:pt>
                <c:pt idx="2">
                  <c:v>518.15181518151815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FE15-45F2-9BEA-96267F2F24D4}"/>
            </c:ext>
          </c:extLst>
        </c:ser>
        <c:ser>
          <c:idx val="31"/>
          <c:order val="31"/>
          <c:tx>
            <c:strRef>
              <c:f>'Time and Area Standardization'!$A$12</c:f>
              <c:strCache>
                <c:ptCount val="1"/>
                <c:pt idx="0">
                  <c:v>1984</c:v>
                </c:pt>
              </c:strCache>
            </c:strRef>
          </c:tx>
          <c:xVal>
            <c:numRef>
              <c:f>'Time and Area Standardization'!$B$12:$B$15</c:f>
              <c:numCache>
                <c:formatCode>General</c:formatCode>
                <c:ptCount val="4"/>
                <c:pt idx="0">
                  <c:v>1</c:v>
                </c:pt>
                <c:pt idx="1">
                  <c:v>93</c:v>
                </c:pt>
                <c:pt idx="2">
                  <c:v>113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Standardization'!$G$12:$G$15</c:f>
              <c:numCache>
                <c:formatCode>0</c:formatCode>
                <c:ptCount val="4"/>
                <c:pt idx="0">
                  <c:v>0</c:v>
                </c:pt>
                <c:pt idx="1">
                  <c:v>297.64705882352939</c:v>
                </c:pt>
                <c:pt idx="2">
                  <c:v>355.61177876168387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FE15-45F2-9BEA-96267F2F24D4}"/>
            </c:ext>
          </c:extLst>
        </c:ser>
        <c:ser>
          <c:idx val="32"/>
          <c:order val="32"/>
          <c:tx>
            <c:strRef>
              <c:f>'Time and Area Standardization'!$A$7</c:f>
              <c:strCache>
                <c:ptCount val="1"/>
                <c:pt idx="0">
                  <c:v>1983</c:v>
                </c:pt>
              </c:strCache>
            </c:strRef>
          </c:tx>
          <c:xVal>
            <c:numRef>
              <c:f>'Time and Area Standardization'!$B$7:$B$11</c:f>
              <c:numCache>
                <c:formatCode>General</c:formatCode>
                <c:ptCount val="5"/>
                <c:pt idx="0">
                  <c:v>1</c:v>
                </c:pt>
                <c:pt idx="1">
                  <c:v>83</c:v>
                </c:pt>
                <c:pt idx="2">
                  <c:v>103</c:v>
                </c:pt>
                <c:pt idx="3">
                  <c:v>112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Standardization'!$G$7:$G$11</c:f>
              <c:numCache>
                <c:formatCode>0</c:formatCode>
                <c:ptCount val="5"/>
                <c:pt idx="0">
                  <c:v>0</c:v>
                </c:pt>
                <c:pt idx="1">
                  <c:v>212.67605633802819</c:v>
                </c:pt>
                <c:pt idx="2">
                  <c:v>302.56410256410254</c:v>
                </c:pt>
                <c:pt idx="3">
                  <c:v>326.39061765275358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FE15-45F2-9BEA-96267F2F24D4}"/>
            </c:ext>
          </c:extLst>
        </c:ser>
        <c:ser>
          <c:idx val="33"/>
          <c:order val="33"/>
          <c:tx>
            <c:strRef>
              <c:f>'Time and Area Standardization'!$A$5</c:f>
              <c:strCache>
                <c:ptCount val="1"/>
                <c:pt idx="0">
                  <c:v>1982</c:v>
                </c:pt>
              </c:strCache>
            </c:strRef>
          </c:tx>
          <c:xVal>
            <c:numRef>
              <c:f>'Time and Area Standardization'!$B$4:$B$6</c:f>
              <c:numCache>
                <c:formatCode>General</c:formatCode>
                <c:ptCount val="3"/>
                <c:pt idx="0">
                  <c:v>1</c:v>
                </c:pt>
                <c:pt idx="1">
                  <c:v>112</c:v>
                </c:pt>
                <c:pt idx="2">
                  <c:v>151</c:v>
                </c:pt>
              </c:numCache>
            </c:numRef>
          </c:xVal>
          <c:yVal>
            <c:numRef>
              <c:f>'Time and Area Standardization'!$G$4:$G$6</c:f>
              <c:numCache>
                <c:formatCode>0</c:formatCode>
                <c:ptCount val="3"/>
                <c:pt idx="0">
                  <c:v>0</c:v>
                </c:pt>
                <c:pt idx="1">
                  <c:v>185.89743589743588</c:v>
                </c:pt>
                <c:pt idx="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FE15-45F2-9BEA-96267F2F2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92512"/>
        <c:axId val="130194432"/>
      </c:scatterChart>
      <c:valAx>
        <c:axId val="130192512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CA" sz="900" b="1" i="0" u="none" strike="noStrike" baseline="0">
                  <a:solidFill>
                    <a:srgbClr val="000000"/>
                  </a:solidFill>
                  <a:latin typeface="Arial"/>
                  <a:cs typeface="Arial"/>
                </a:endParaRPr>
              </a:p>
            </c:rich>
          </c:tx>
          <c:layout>
            <c:manualLayout>
              <c:xMode val="edge"/>
              <c:yMode val="edge"/>
              <c:x val="0.473520903345026"/>
              <c:y val="0.90048645618326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194432"/>
        <c:crosses val="autoZero"/>
        <c:crossBetween val="midCat"/>
        <c:majorUnit val="20"/>
      </c:valAx>
      <c:valAx>
        <c:axId val="130194432"/>
        <c:scaling>
          <c:orientation val="minMax"/>
          <c:max val="600"/>
          <c:min val="0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192512"/>
        <c:crosses val="autoZero"/>
        <c:crossBetween val="midCat"/>
        <c:majorUnit val="100"/>
        <c:min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608376395667211"/>
          <c:y val="2.6902940661718173E-2"/>
          <c:w val="6.9491171143615471E-2"/>
          <c:h val="0.9020479622536018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2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CA" sz="1400"/>
              <a:t>Comparison</a:t>
            </a:r>
            <a:r>
              <a:rPr lang="en-CA" sz="1400" baseline="0"/>
              <a:t> </a:t>
            </a:r>
            <a:r>
              <a:rPr lang="en-CA" sz="1400"/>
              <a:t>of </a:t>
            </a:r>
            <a:r>
              <a:rPr lang="en-CA" sz="1400" baseline="0"/>
              <a:t> Englishman River Annual Peak Counts and Abundance Estimates from Area Under Curve  (AUC) Estimates between 1982 and  2023</a:t>
            </a:r>
            <a:endParaRPr lang="en-CA" sz="1400"/>
          </a:p>
        </c:rich>
      </c:tx>
      <c:layout>
        <c:manualLayout>
          <c:xMode val="edge"/>
          <c:yMode val="edge"/>
          <c:x val="0.1147157777325436"/>
          <c:y val="6.861722018595317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8335679686871667E-2"/>
          <c:y val="0.1561446146959998"/>
          <c:w val="0.88864495765350937"/>
          <c:h val="0.68748649066028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'Time and Area Standardization'!$AK$2</c:f>
              <c:strCache>
                <c:ptCount val="1"/>
                <c:pt idx="0">
                  <c:v>Steelhead Population Estimate (AUC - fixed at 50 days residence time and 0.55 observer efficiency, these data include spatially and temporally calibrated surveys for incomplete or non-peak surveys before 1998)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'Time and Area Standardization'!$A$4:$A$206</c:f>
              <c:numCache>
                <c:formatCode>0</c:formatCode>
                <c:ptCount val="203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  <c:pt idx="178" formatCode="General">
                  <c:v>2020</c:v>
                </c:pt>
                <c:pt idx="179" formatCode="General">
                  <c:v>2020</c:v>
                </c:pt>
                <c:pt idx="180" formatCode="General">
                  <c:v>2020</c:v>
                </c:pt>
                <c:pt idx="181" formatCode="General">
                  <c:v>2020</c:v>
                </c:pt>
                <c:pt idx="182" formatCode="General">
                  <c:v>2021</c:v>
                </c:pt>
                <c:pt idx="183" formatCode="General">
                  <c:v>2021</c:v>
                </c:pt>
                <c:pt idx="184" formatCode="General">
                  <c:v>2021</c:v>
                </c:pt>
                <c:pt idx="185" formatCode="General">
                  <c:v>2021</c:v>
                </c:pt>
                <c:pt idx="186" formatCode="General">
                  <c:v>2021</c:v>
                </c:pt>
                <c:pt idx="187" formatCode="General">
                  <c:v>2022</c:v>
                </c:pt>
                <c:pt idx="188" formatCode="General">
                  <c:v>2022</c:v>
                </c:pt>
                <c:pt idx="189" formatCode="General">
                  <c:v>2022</c:v>
                </c:pt>
                <c:pt idx="190" formatCode="General">
                  <c:v>2022</c:v>
                </c:pt>
                <c:pt idx="191" formatCode="General">
                  <c:v>2022</c:v>
                </c:pt>
                <c:pt idx="192" formatCode="General">
                  <c:v>2023</c:v>
                </c:pt>
                <c:pt idx="193" formatCode="General">
                  <c:v>2023</c:v>
                </c:pt>
                <c:pt idx="194" formatCode="General">
                  <c:v>2023</c:v>
                </c:pt>
                <c:pt idx="195" formatCode="General">
                  <c:v>2023</c:v>
                </c:pt>
                <c:pt idx="196" formatCode="General">
                  <c:v>2023</c:v>
                </c:pt>
                <c:pt idx="197" formatCode="General">
                  <c:v>2024</c:v>
                </c:pt>
                <c:pt idx="198" formatCode="General">
                  <c:v>2024</c:v>
                </c:pt>
                <c:pt idx="199" formatCode="General">
                  <c:v>2024</c:v>
                </c:pt>
                <c:pt idx="200" formatCode="General">
                  <c:v>2024</c:v>
                </c:pt>
                <c:pt idx="201" formatCode="General">
                  <c:v>2024</c:v>
                </c:pt>
                <c:pt idx="202" formatCode="General">
                  <c:v>2024</c:v>
                </c:pt>
              </c:numCache>
            </c:numRef>
          </c:cat>
          <c:val>
            <c:numRef>
              <c:f>'Time and Area Standardization'!$AK$4:$AK$206</c:f>
              <c:numCache>
                <c:formatCode>0</c:formatCode>
                <c:ptCount val="203"/>
                <c:pt idx="1">
                  <c:v>506.99300699300693</c:v>
                </c:pt>
                <c:pt idx="4">
                  <c:v>838.80120669400048</c:v>
                </c:pt>
                <c:pt idx="9">
                  <c:v>1306.8862182865973</c:v>
                </c:pt>
                <c:pt idx="13">
                  <c:v>1849.7925592559257</c:v>
                </c:pt>
                <c:pt idx="17">
                  <c:v>760.5292360221938</c:v>
                </c:pt>
                <c:pt idx="21">
                  <c:v>1581.337124329717</c:v>
                </c:pt>
                <c:pt idx="25">
                  <c:v>1841.3523196109627</c:v>
                </c:pt>
                <c:pt idx="29">
                  <c:v>278.23299663299656</c:v>
                </c:pt>
                <c:pt idx="34">
                  <c:v>536.71111111111111</c:v>
                </c:pt>
                <c:pt idx="38">
                  <c:v>238.5718088553769</c:v>
                </c:pt>
                <c:pt idx="43">
                  <c:v>679.64473138446556</c:v>
                </c:pt>
                <c:pt idx="47">
                  <c:v>225.39919036718013</c:v>
                </c:pt>
                <c:pt idx="51">
                  <c:v>86.541752071225204</c:v>
                </c:pt>
                <c:pt idx="55">
                  <c:v>341.57917200170721</c:v>
                </c:pt>
                <c:pt idx="59">
                  <c:v>202.65671846266522</c:v>
                </c:pt>
                <c:pt idx="63">
                  <c:v>36.281979192777314</c:v>
                </c:pt>
                <c:pt idx="67">
                  <c:v>325.19817740821691</c:v>
                </c:pt>
                <c:pt idx="72">
                  <c:v>65.806698675154877</c:v>
                </c:pt>
                <c:pt idx="76">
                  <c:v>223.62213686157349</c:v>
                </c:pt>
                <c:pt idx="87">
                  <c:v>191.21818181818179</c:v>
                </c:pt>
                <c:pt idx="95">
                  <c:v>127.09090909090907</c:v>
                </c:pt>
                <c:pt idx="103">
                  <c:v>111.12727272727273</c:v>
                </c:pt>
                <c:pt idx="109">
                  <c:v>139.45454545454541</c:v>
                </c:pt>
                <c:pt idx="115">
                  <c:v>211.94545454545457</c:v>
                </c:pt>
                <c:pt idx="120">
                  <c:v>121.67272727272726</c:v>
                </c:pt>
                <c:pt idx="124">
                  <c:v>60.981818181818177</c:v>
                </c:pt>
                <c:pt idx="128">
                  <c:v>96.218181818181804</c:v>
                </c:pt>
                <c:pt idx="132">
                  <c:v>159.92727272727271</c:v>
                </c:pt>
                <c:pt idx="136">
                  <c:v>253.38181818181818</c:v>
                </c:pt>
                <c:pt idx="142">
                  <c:v>128.70909090909089</c:v>
                </c:pt>
                <c:pt idx="149">
                  <c:v>297.8</c:v>
                </c:pt>
                <c:pt idx="154">
                  <c:v>164.36363636363637</c:v>
                </c:pt>
                <c:pt idx="159">
                  <c:v>330.0363636363636</c:v>
                </c:pt>
                <c:pt idx="164">
                  <c:v>278.12727272727273</c:v>
                </c:pt>
                <c:pt idx="169">
                  <c:v>138.36363636363632</c:v>
                </c:pt>
                <c:pt idx="173">
                  <c:v>58.436363636363637</c:v>
                </c:pt>
                <c:pt idx="177">
                  <c:v>134.85454545454544</c:v>
                </c:pt>
                <c:pt idx="181">
                  <c:v>56.127272727272718</c:v>
                </c:pt>
                <c:pt idx="186">
                  <c:v>61.218181818181812</c:v>
                </c:pt>
                <c:pt idx="191">
                  <c:v>54.272727272727259</c:v>
                </c:pt>
                <c:pt idx="196">
                  <c:v>82.927272727272722</c:v>
                </c:pt>
                <c:pt idx="202">
                  <c:v>242.32727272727271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07C-BE8D-3F44B2CF3567}"/>
            </c:ext>
          </c:extLst>
        </c:ser>
        <c:ser>
          <c:idx val="1"/>
          <c:order val="1"/>
          <c:tx>
            <c:strRef>
              <c:f>'Time and Area Standardization'!$AL$2</c:f>
              <c:strCache>
                <c:ptCount val="1"/>
                <c:pt idx="0">
                  <c:v>Annual Peak Count (observer efficiency of 0.55 applied, spatially and temporally calibrated for non-peak and incomplete historic surveys prior to 1998)</c:v>
                </c:pt>
              </c:strCache>
            </c:strRef>
          </c:tx>
          <c:spPr>
            <a:solidFill>
              <a:sysClr val="window" lastClr="FFFFFF">
                <a:lumMod val="50000"/>
              </a:sysClr>
            </a:solidFill>
          </c:spPr>
          <c:invertIfNegative val="0"/>
          <c:cat>
            <c:numRef>
              <c:f>'Time and Area Standardization'!$A$4:$A$206</c:f>
              <c:numCache>
                <c:formatCode>0</c:formatCode>
                <c:ptCount val="203"/>
                <c:pt idx="0">
                  <c:v>1982</c:v>
                </c:pt>
                <c:pt idx="1">
                  <c:v>1982</c:v>
                </c:pt>
                <c:pt idx="2">
                  <c:v>1982</c:v>
                </c:pt>
                <c:pt idx="3">
                  <c:v>1983</c:v>
                </c:pt>
                <c:pt idx="4">
                  <c:v>1983</c:v>
                </c:pt>
                <c:pt idx="5">
                  <c:v>1983</c:v>
                </c:pt>
                <c:pt idx="6">
                  <c:v>1983</c:v>
                </c:pt>
                <c:pt idx="7">
                  <c:v>1983</c:v>
                </c:pt>
                <c:pt idx="8">
                  <c:v>1984</c:v>
                </c:pt>
                <c:pt idx="9">
                  <c:v>1984</c:v>
                </c:pt>
                <c:pt idx="10">
                  <c:v>1984</c:v>
                </c:pt>
                <c:pt idx="11">
                  <c:v>1984</c:v>
                </c:pt>
                <c:pt idx="12">
                  <c:v>1985</c:v>
                </c:pt>
                <c:pt idx="13">
                  <c:v>1985</c:v>
                </c:pt>
                <c:pt idx="14">
                  <c:v>1985</c:v>
                </c:pt>
                <c:pt idx="15">
                  <c:v>1985</c:v>
                </c:pt>
                <c:pt idx="16">
                  <c:v>1986</c:v>
                </c:pt>
                <c:pt idx="17">
                  <c:v>1986</c:v>
                </c:pt>
                <c:pt idx="18">
                  <c:v>1986</c:v>
                </c:pt>
                <c:pt idx="19">
                  <c:v>1986</c:v>
                </c:pt>
                <c:pt idx="20">
                  <c:v>1987</c:v>
                </c:pt>
                <c:pt idx="21">
                  <c:v>1987</c:v>
                </c:pt>
                <c:pt idx="22">
                  <c:v>1987</c:v>
                </c:pt>
                <c:pt idx="23">
                  <c:v>1987</c:v>
                </c:pt>
                <c:pt idx="24">
                  <c:v>1988</c:v>
                </c:pt>
                <c:pt idx="25">
                  <c:v>1988</c:v>
                </c:pt>
                <c:pt idx="26">
                  <c:v>1988</c:v>
                </c:pt>
                <c:pt idx="27">
                  <c:v>1988</c:v>
                </c:pt>
                <c:pt idx="28">
                  <c:v>1989</c:v>
                </c:pt>
                <c:pt idx="29">
                  <c:v>1989</c:v>
                </c:pt>
                <c:pt idx="30">
                  <c:v>1989</c:v>
                </c:pt>
                <c:pt idx="31">
                  <c:v>1989</c:v>
                </c:pt>
                <c:pt idx="32">
                  <c:v>1989</c:v>
                </c:pt>
                <c:pt idx="33">
                  <c:v>1990</c:v>
                </c:pt>
                <c:pt idx="34">
                  <c:v>1990</c:v>
                </c:pt>
                <c:pt idx="35">
                  <c:v>1990</c:v>
                </c:pt>
                <c:pt idx="36">
                  <c:v>1990</c:v>
                </c:pt>
                <c:pt idx="37">
                  <c:v>1991</c:v>
                </c:pt>
                <c:pt idx="38">
                  <c:v>1991</c:v>
                </c:pt>
                <c:pt idx="39">
                  <c:v>1991</c:v>
                </c:pt>
                <c:pt idx="40">
                  <c:v>1991</c:v>
                </c:pt>
                <c:pt idx="41">
                  <c:v>1991</c:v>
                </c:pt>
                <c:pt idx="42">
                  <c:v>1992</c:v>
                </c:pt>
                <c:pt idx="43">
                  <c:v>1992</c:v>
                </c:pt>
                <c:pt idx="44">
                  <c:v>1992</c:v>
                </c:pt>
                <c:pt idx="45">
                  <c:v>1992</c:v>
                </c:pt>
                <c:pt idx="46">
                  <c:v>1993</c:v>
                </c:pt>
                <c:pt idx="47">
                  <c:v>1993</c:v>
                </c:pt>
                <c:pt idx="48">
                  <c:v>1993</c:v>
                </c:pt>
                <c:pt idx="49">
                  <c:v>1993</c:v>
                </c:pt>
                <c:pt idx="50">
                  <c:v>1994</c:v>
                </c:pt>
                <c:pt idx="51">
                  <c:v>1994</c:v>
                </c:pt>
                <c:pt idx="52">
                  <c:v>1994</c:v>
                </c:pt>
                <c:pt idx="53">
                  <c:v>1994</c:v>
                </c:pt>
                <c:pt idx="54">
                  <c:v>1995</c:v>
                </c:pt>
                <c:pt idx="55">
                  <c:v>1995</c:v>
                </c:pt>
                <c:pt idx="56">
                  <c:v>1995</c:v>
                </c:pt>
                <c:pt idx="57">
                  <c:v>1995</c:v>
                </c:pt>
                <c:pt idx="58">
                  <c:v>1996</c:v>
                </c:pt>
                <c:pt idx="59">
                  <c:v>1996</c:v>
                </c:pt>
                <c:pt idx="60">
                  <c:v>1996</c:v>
                </c:pt>
                <c:pt idx="61">
                  <c:v>1996</c:v>
                </c:pt>
                <c:pt idx="62">
                  <c:v>1998</c:v>
                </c:pt>
                <c:pt idx="63">
                  <c:v>1998</c:v>
                </c:pt>
                <c:pt idx="64">
                  <c:v>1998</c:v>
                </c:pt>
                <c:pt idx="65">
                  <c:v>1998</c:v>
                </c:pt>
                <c:pt idx="66">
                  <c:v>1999</c:v>
                </c:pt>
                <c:pt idx="67">
                  <c:v>1999</c:v>
                </c:pt>
                <c:pt idx="68">
                  <c:v>1999</c:v>
                </c:pt>
                <c:pt idx="69">
                  <c:v>1999</c:v>
                </c:pt>
                <c:pt idx="70">
                  <c:v>1999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 formatCode="General">
                  <c:v>2001</c:v>
                </c:pt>
                <c:pt idx="76" formatCode="General">
                  <c:v>2001</c:v>
                </c:pt>
                <c:pt idx="77">
                  <c:v>2001</c:v>
                </c:pt>
                <c:pt idx="78">
                  <c:v>2001</c:v>
                </c:pt>
                <c:pt idx="79" formatCode="General">
                  <c:v>2001</c:v>
                </c:pt>
                <c:pt idx="80" formatCode="General">
                  <c:v>2002</c:v>
                </c:pt>
                <c:pt idx="81" formatCode="General">
                  <c:v>2002</c:v>
                </c:pt>
                <c:pt idx="82" formatCode="General">
                  <c:v>2002</c:v>
                </c:pt>
                <c:pt idx="83" formatCode="General">
                  <c:v>2002</c:v>
                </c:pt>
                <c:pt idx="84" formatCode="General">
                  <c:v>2002</c:v>
                </c:pt>
                <c:pt idx="85" formatCode="General">
                  <c:v>2002</c:v>
                </c:pt>
                <c:pt idx="86" formatCode="General">
                  <c:v>2002</c:v>
                </c:pt>
                <c:pt idx="87" formatCode="General">
                  <c:v>2002</c:v>
                </c:pt>
                <c:pt idx="88" formatCode="General">
                  <c:v>2003</c:v>
                </c:pt>
                <c:pt idx="89" formatCode="General">
                  <c:v>2003</c:v>
                </c:pt>
                <c:pt idx="90" formatCode="General">
                  <c:v>2003</c:v>
                </c:pt>
                <c:pt idx="91" formatCode="General">
                  <c:v>2003</c:v>
                </c:pt>
                <c:pt idx="92" formatCode="General">
                  <c:v>2003</c:v>
                </c:pt>
                <c:pt idx="93" formatCode="General">
                  <c:v>2003</c:v>
                </c:pt>
                <c:pt idx="94" formatCode="General">
                  <c:v>2003</c:v>
                </c:pt>
                <c:pt idx="95" formatCode="General">
                  <c:v>2003</c:v>
                </c:pt>
                <c:pt idx="96" formatCode="General">
                  <c:v>2004</c:v>
                </c:pt>
                <c:pt idx="97" formatCode="General">
                  <c:v>2004</c:v>
                </c:pt>
                <c:pt idx="98" formatCode="General">
                  <c:v>2004</c:v>
                </c:pt>
                <c:pt idx="99" formatCode="General">
                  <c:v>2004</c:v>
                </c:pt>
                <c:pt idx="100" formatCode="General">
                  <c:v>2004</c:v>
                </c:pt>
                <c:pt idx="101" formatCode="General">
                  <c:v>2004</c:v>
                </c:pt>
                <c:pt idx="102" formatCode="General">
                  <c:v>2004</c:v>
                </c:pt>
                <c:pt idx="103" formatCode="General">
                  <c:v>2004</c:v>
                </c:pt>
                <c:pt idx="104" formatCode="General">
                  <c:v>2005</c:v>
                </c:pt>
                <c:pt idx="105" formatCode="General">
                  <c:v>2005</c:v>
                </c:pt>
                <c:pt idx="106" formatCode="General">
                  <c:v>2005</c:v>
                </c:pt>
                <c:pt idx="107" formatCode="General">
                  <c:v>2005</c:v>
                </c:pt>
                <c:pt idx="108" formatCode="General">
                  <c:v>2005</c:v>
                </c:pt>
                <c:pt idx="109" formatCode="General">
                  <c:v>2005</c:v>
                </c:pt>
                <c:pt idx="110" formatCode="General">
                  <c:v>2006</c:v>
                </c:pt>
                <c:pt idx="111" formatCode="General">
                  <c:v>2006</c:v>
                </c:pt>
                <c:pt idx="112" formatCode="General">
                  <c:v>2006</c:v>
                </c:pt>
                <c:pt idx="113" formatCode="General">
                  <c:v>2006</c:v>
                </c:pt>
                <c:pt idx="114" formatCode="General">
                  <c:v>2006</c:v>
                </c:pt>
                <c:pt idx="115" formatCode="General">
                  <c:v>2006</c:v>
                </c:pt>
                <c:pt idx="116" formatCode="General">
                  <c:v>2007</c:v>
                </c:pt>
                <c:pt idx="117" formatCode="General">
                  <c:v>2007</c:v>
                </c:pt>
                <c:pt idx="118" formatCode="General">
                  <c:v>2007</c:v>
                </c:pt>
                <c:pt idx="119" formatCode="General">
                  <c:v>2007</c:v>
                </c:pt>
                <c:pt idx="120" formatCode="General">
                  <c:v>2007</c:v>
                </c:pt>
                <c:pt idx="121" formatCode="General">
                  <c:v>2008</c:v>
                </c:pt>
                <c:pt idx="122" formatCode="General">
                  <c:v>2008</c:v>
                </c:pt>
                <c:pt idx="123" formatCode="General">
                  <c:v>2008</c:v>
                </c:pt>
                <c:pt idx="124" formatCode="General">
                  <c:v>2008</c:v>
                </c:pt>
                <c:pt idx="125" formatCode="General">
                  <c:v>2009</c:v>
                </c:pt>
                <c:pt idx="126" formatCode="General">
                  <c:v>2009</c:v>
                </c:pt>
                <c:pt idx="127" formatCode="General">
                  <c:v>2009</c:v>
                </c:pt>
                <c:pt idx="128" formatCode="General">
                  <c:v>2009</c:v>
                </c:pt>
                <c:pt idx="129" formatCode="General">
                  <c:v>2010</c:v>
                </c:pt>
                <c:pt idx="130" formatCode="General">
                  <c:v>2010</c:v>
                </c:pt>
                <c:pt idx="131" formatCode="General">
                  <c:v>2010</c:v>
                </c:pt>
                <c:pt idx="132" formatCode="General">
                  <c:v>2010</c:v>
                </c:pt>
                <c:pt idx="133" formatCode="General">
                  <c:v>2011</c:v>
                </c:pt>
                <c:pt idx="134" formatCode="General">
                  <c:v>2011</c:v>
                </c:pt>
                <c:pt idx="135" formatCode="General">
                  <c:v>2011</c:v>
                </c:pt>
                <c:pt idx="136" formatCode="General">
                  <c:v>2011</c:v>
                </c:pt>
                <c:pt idx="137" formatCode="General">
                  <c:v>2012</c:v>
                </c:pt>
                <c:pt idx="138" formatCode="General">
                  <c:v>2012</c:v>
                </c:pt>
                <c:pt idx="139" formatCode="General">
                  <c:v>2012</c:v>
                </c:pt>
                <c:pt idx="140" formatCode="General">
                  <c:v>2012</c:v>
                </c:pt>
                <c:pt idx="141" formatCode="General">
                  <c:v>2012</c:v>
                </c:pt>
                <c:pt idx="142" formatCode="General">
                  <c:v>2012</c:v>
                </c:pt>
                <c:pt idx="143" formatCode="General">
                  <c:v>2013</c:v>
                </c:pt>
                <c:pt idx="144" formatCode="General">
                  <c:v>2013</c:v>
                </c:pt>
                <c:pt idx="145" formatCode="General">
                  <c:v>2013</c:v>
                </c:pt>
                <c:pt idx="146" formatCode="General">
                  <c:v>2013</c:v>
                </c:pt>
                <c:pt idx="147" formatCode="General">
                  <c:v>2013</c:v>
                </c:pt>
                <c:pt idx="148" formatCode="General">
                  <c:v>2013</c:v>
                </c:pt>
                <c:pt idx="149" formatCode="General">
                  <c:v>2013</c:v>
                </c:pt>
                <c:pt idx="150" formatCode="General">
                  <c:v>2014</c:v>
                </c:pt>
                <c:pt idx="151" formatCode="General">
                  <c:v>2014</c:v>
                </c:pt>
                <c:pt idx="152" formatCode="General">
                  <c:v>2014</c:v>
                </c:pt>
                <c:pt idx="153" formatCode="General">
                  <c:v>2014</c:v>
                </c:pt>
                <c:pt idx="154" formatCode="General">
                  <c:v>2014</c:v>
                </c:pt>
                <c:pt idx="155" formatCode="General">
                  <c:v>2015</c:v>
                </c:pt>
                <c:pt idx="156" formatCode="General">
                  <c:v>2015</c:v>
                </c:pt>
                <c:pt idx="157" formatCode="General">
                  <c:v>2015</c:v>
                </c:pt>
                <c:pt idx="158" formatCode="General">
                  <c:v>2015</c:v>
                </c:pt>
                <c:pt idx="159" formatCode="General">
                  <c:v>2015</c:v>
                </c:pt>
                <c:pt idx="160" formatCode="General">
                  <c:v>2016</c:v>
                </c:pt>
                <c:pt idx="161" formatCode="General">
                  <c:v>2016</c:v>
                </c:pt>
                <c:pt idx="162" formatCode="General">
                  <c:v>2016</c:v>
                </c:pt>
                <c:pt idx="163" formatCode="General">
                  <c:v>2016</c:v>
                </c:pt>
                <c:pt idx="164" formatCode="General">
                  <c:v>2016</c:v>
                </c:pt>
                <c:pt idx="165" formatCode="General">
                  <c:v>2017</c:v>
                </c:pt>
                <c:pt idx="166" formatCode="General">
                  <c:v>2017</c:v>
                </c:pt>
                <c:pt idx="167" formatCode="General">
                  <c:v>2017</c:v>
                </c:pt>
                <c:pt idx="168" formatCode="General">
                  <c:v>2017</c:v>
                </c:pt>
                <c:pt idx="169" formatCode="General">
                  <c:v>2017</c:v>
                </c:pt>
                <c:pt idx="170" formatCode="General">
                  <c:v>2018</c:v>
                </c:pt>
                <c:pt idx="171" formatCode="General">
                  <c:v>2018</c:v>
                </c:pt>
                <c:pt idx="172" formatCode="General">
                  <c:v>2018</c:v>
                </c:pt>
                <c:pt idx="173" formatCode="General">
                  <c:v>2018</c:v>
                </c:pt>
                <c:pt idx="174" formatCode="General">
                  <c:v>2019</c:v>
                </c:pt>
                <c:pt idx="175" formatCode="General">
                  <c:v>2019</c:v>
                </c:pt>
                <c:pt idx="176" formatCode="General">
                  <c:v>2019</c:v>
                </c:pt>
                <c:pt idx="177" formatCode="General">
                  <c:v>2019</c:v>
                </c:pt>
                <c:pt idx="178" formatCode="General">
                  <c:v>2020</c:v>
                </c:pt>
                <c:pt idx="179" formatCode="General">
                  <c:v>2020</c:v>
                </c:pt>
                <c:pt idx="180" formatCode="General">
                  <c:v>2020</c:v>
                </c:pt>
                <c:pt idx="181" formatCode="General">
                  <c:v>2020</c:v>
                </c:pt>
                <c:pt idx="182" formatCode="General">
                  <c:v>2021</c:v>
                </c:pt>
                <c:pt idx="183" formatCode="General">
                  <c:v>2021</c:v>
                </c:pt>
                <c:pt idx="184" formatCode="General">
                  <c:v>2021</c:v>
                </c:pt>
                <c:pt idx="185" formatCode="General">
                  <c:v>2021</c:v>
                </c:pt>
                <c:pt idx="186" formatCode="General">
                  <c:v>2021</c:v>
                </c:pt>
                <c:pt idx="187" formatCode="General">
                  <c:v>2022</c:v>
                </c:pt>
                <c:pt idx="188" formatCode="General">
                  <c:v>2022</c:v>
                </c:pt>
                <c:pt idx="189" formatCode="General">
                  <c:v>2022</c:v>
                </c:pt>
                <c:pt idx="190" formatCode="General">
                  <c:v>2022</c:v>
                </c:pt>
                <c:pt idx="191" formatCode="General">
                  <c:v>2022</c:v>
                </c:pt>
                <c:pt idx="192" formatCode="General">
                  <c:v>2023</c:v>
                </c:pt>
                <c:pt idx="193" formatCode="General">
                  <c:v>2023</c:v>
                </c:pt>
                <c:pt idx="194" formatCode="General">
                  <c:v>2023</c:v>
                </c:pt>
                <c:pt idx="195" formatCode="General">
                  <c:v>2023</c:v>
                </c:pt>
                <c:pt idx="196" formatCode="General">
                  <c:v>2023</c:v>
                </c:pt>
                <c:pt idx="197" formatCode="General">
                  <c:v>2024</c:v>
                </c:pt>
                <c:pt idx="198" formatCode="General">
                  <c:v>2024</c:v>
                </c:pt>
                <c:pt idx="199" formatCode="General">
                  <c:v>2024</c:v>
                </c:pt>
                <c:pt idx="200" formatCode="General">
                  <c:v>2024</c:v>
                </c:pt>
                <c:pt idx="201" formatCode="General">
                  <c:v>2024</c:v>
                </c:pt>
                <c:pt idx="202" formatCode="General">
                  <c:v>2024</c:v>
                </c:pt>
              </c:numCache>
            </c:numRef>
          </c:cat>
          <c:val>
            <c:numRef>
              <c:f>'Time and Area Standardization'!$AL$4:$AL$206</c:f>
              <c:numCache>
                <c:formatCode>0.00</c:formatCode>
                <c:ptCount val="203"/>
                <c:pt idx="1">
                  <c:v>337.99533799533793</c:v>
                </c:pt>
                <c:pt idx="2">
                  <c:v>0</c:v>
                </c:pt>
                <c:pt idx="3">
                  <c:v>0</c:v>
                </c:pt>
                <c:pt idx="4">
                  <c:v>593.43748664137013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646.56687047578885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942.09420942094198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398.34969412434202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818.05711435341061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920.86033187185569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148.14814814814815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355.55555555555554</c:v>
                </c:pt>
                <c:pt idx="35">
                  <c:v>0</c:v>
                </c:pt>
                <c:pt idx="36">
                  <c:v>0</c:v>
                </c:pt>
                <c:pt idx="37">
                  <c:v>147.53692374975628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332.62600213602002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184.37900128040974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59.717326279663268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170.72129748186089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105.38351696411165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18.065745765276283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212.65284423179159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32.822966679929486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138.2842509603073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 formatCode="0">
                  <c:v>132.72727272727272</c:v>
                </c:pt>
                <c:pt idx="81" formatCode="0">
                  <c:v>132.72727272727272</c:v>
                </c:pt>
                <c:pt idx="82" formatCode="0">
                  <c:v>132.72727272727272</c:v>
                </c:pt>
                <c:pt idx="83" formatCode="0">
                  <c:v>132.72727272727272</c:v>
                </c:pt>
                <c:pt idx="84" formatCode="0">
                  <c:v>132.72727272727272</c:v>
                </c:pt>
                <c:pt idx="85" formatCode="0">
                  <c:v>132.72727272727272</c:v>
                </c:pt>
                <c:pt idx="86" formatCode="0">
                  <c:v>132.72727272727272</c:v>
                </c:pt>
                <c:pt idx="87" formatCode="0">
                  <c:v>132.72727272727272</c:v>
                </c:pt>
                <c:pt idx="88" formatCode="0">
                  <c:v>90.909090909090907</c:v>
                </c:pt>
                <c:pt idx="89" formatCode="0">
                  <c:v>90.909090909090907</c:v>
                </c:pt>
                <c:pt idx="90" formatCode="0">
                  <c:v>90.909090909090907</c:v>
                </c:pt>
                <c:pt idx="91" formatCode="0">
                  <c:v>90.909090909090907</c:v>
                </c:pt>
                <c:pt idx="92" formatCode="0">
                  <c:v>90.909090909090907</c:v>
                </c:pt>
                <c:pt idx="93" formatCode="0">
                  <c:v>90.909090909090907</c:v>
                </c:pt>
                <c:pt idx="94" formatCode="0">
                  <c:v>90.909090909090907</c:v>
                </c:pt>
                <c:pt idx="95" formatCode="0">
                  <c:v>90.909090909090907</c:v>
                </c:pt>
                <c:pt idx="96" formatCode="0">
                  <c:v>81.818181818181813</c:v>
                </c:pt>
                <c:pt idx="97" formatCode="0">
                  <c:v>81.818181818181813</c:v>
                </c:pt>
                <c:pt idx="98" formatCode="0">
                  <c:v>81.818181818181813</c:v>
                </c:pt>
                <c:pt idx="99" formatCode="0">
                  <c:v>81.818181818181813</c:v>
                </c:pt>
                <c:pt idx="100" formatCode="0">
                  <c:v>81.818181818181813</c:v>
                </c:pt>
                <c:pt idx="101" formatCode="0">
                  <c:v>81.818181818181813</c:v>
                </c:pt>
                <c:pt idx="102" formatCode="0">
                  <c:v>81.818181818181813</c:v>
                </c:pt>
                <c:pt idx="103" formatCode="0">
                  <c:v>81.818181818181813</c:v>
                </c:pt>
                <c:pt idx="104" formatCode="0">
                  <c:v>110.90909090909091</c:v>
                </c:pt>
                <c:pt idx="105" formatCode="0">
                  <c:v>110.90909090909091</c:v>
                </c:pt>
                <c:pt idx="106" formatCode="0">
                  <c:v>110.90909090909091</c:v>
                </c:pt>
                <c:pt idx="107" formatCode="0">
                  <c:v>110.90909090909091</c:v>
                </c:pt>
                <c:pt idx="108" formatCode="0">
                  <c:v>110.90909090909091</c:v>
                </c:pt>
                <c:pt idx="109" formatCode="0">
                  <c:v>110.90909090909091</c:v>
                </c:pt>
                <c:pt idx="110" formatCode="0">
                  <c:v>112.72727272727272</c:v>
                </c:pt>
                <c:pt idx="111" formatCode="0">
                  <c:v>112.72727272727272</c:v>
                </c:pt>
                <c:pt idx="112" formatCode="0">
                  <c:v>112.72727272727272</c:v>
                </c:pt>
                <c:pt idx="113" formatCode="0">
                  <c:v>112.72727272727272</c:v>
                </c:pt>
                <c:pt idx="114" formatCode="0">
                  <c:v>112.72727272727272</c:v>
                </c:pt>
                <c:pt idx="115" formatCode="0">
                  <c:v>112.72727272727272</c:v>
                </c:pt>
                <c:pt idx="116" formatCode="0">
                  <c:v>109.09090909090908</c:v>
                </c:pt>
                <c:pt idx="117" formatCode="0">
                  <c:v>109.09090909090908</c:v>
                </c:pt>
                <c:pt idx="118" formatCode="0">
                  <c:v>109.09090909090908</c:v>
                </c:pt>
                <c:pt idx="119" formatCode="0">
                  <c:v>109.09090909090908</c:v>
                </c:pt>
                <c:pt idx="120" formatCode="0">
                  <c:v>109.09090909090908</c:v>
                </c:pt>
                <c:pt idx="121" formatCode="0">
                  <c:v>32.727272727272727</c:v>
                </c:pt>
                <c:pt idx="122" formatCode="0">
                  <c:v>32.727272727272727</c:v>
                </c:pt>
                <c:pt idx="123" formatCode="0">
                  <c:v>32.727272727272727</c:v>
                </c:pt>
                <c:pt idx="124" formatCode="0">
                  <c:v>32.727272727272727</c:v>
                </c:pt>
                <c:pt idx="125" formatCode="0">
                  <c:v>69.090909090909079</c:v>
                </c:pt>
                <c:pt idx="126" formatCode="0">
                  <c:v>69.090909090909079</c:v>
                </c:pt>
                <c:pt idx="127" formatCode="0">
                  <c:v>69.090909090909079</c:v>
                </c:pt>
                <c:pt idx="128" formatCode="0">
                  <c:v>69.090909090909079</c:v>
                </c:pt>
                <c:pt idx="129" formatCode="0">
                  <c:v>54</c:v>
                </c:pt>
                <c:pt idx="130" formatCode="0">
                  <c:v>54</c:v>
                </c:pt>
                <c:pt idx="131" formatCode="0">
                  <c:v>54</c:v>
                </c:pt>
                <c:pt idx="132" formatCode="0">
                  <c:v>54</c:v>
                </c:pt>
                <c:pt idx="133" formatCode="0">
                  <c:v>187.27272727272725</c:v>
                </c:pt>
                <c:pt idx="134" formatCode="0">
                  <c:v>187.27272727272725</c:v>
                </c:pt>
                <c:pt idx="135" formatCode="0">
                  <c:v>187.27272727272725</c:v>
                </c:pt>
                <c:pt idx="136" formatCode="0">
                  <c:v>187.27272727272725</c:v>
                </c:pt>
                <c:pt idx="137" formatCode="0">
                  <c:v>76.36363636363636</c:v>
                </c:pt>
                <c:pt idx="138" formatCode="0">
                  <c:v>76.36363636363636</c:v>
                </c:pt>
                <c:pt idx="139" formatCode="0">
                  <c:v>76.36363636363636</c:v>
                </c:pt>
                <c:pt idx="140" formatCode="0">
                  <c:v>76.36363636363636</c:v>
                </c:pt>
                <c:pt idx="141" formatCode="0">
                  <c:v>76.36363636363636</c:v>
                </c:pt>
                <c:pt idx="142" formatCode="0">
                  <c:v>76.36363636363636</c:v>
                </c:pt>
                <c:pt idx="143" formatCode="0">
                  <c:v>169.09090909090907</c:v>
                </c:pt>
                <c:pt idx="144" formatCode="0">
                  <c:v>169.09090909090907</c:v>
                </c:pt>
                <c:pt idx="145" formatCode="0">
                  <c:v>169.09090909090907</c:v>
                </c:pt>
                <c:pt idx="146" formatCode="0">
                  <c:v>169.09090909090907</c:v>
                </c:pt>
                <c:pt idx="147" formatCode="0">
                  <c:v>169.09090909090907</c:v>
                </c:pt>
                <c:pt idx="148" formatCode="0">
                  <c:v>169.09090909090907</c:v>
                </c:pt>
                <c:pt idx="149" formatCode="0">
                  <c:v>169.09090909090907</c:v>
                </c:pt>
                <c:pt idx="150" formatCode="0">
                  <c:v>123.63636363636363</c:v>
                </c:pt>
                <c:pt idx="151" formatCode="0">
                  <c:v>123.63636363636363</c:v>
                </c:pt>
                <c:pt idx="152" formatCode="0">
                  <c:v>123.63636363636363</c:v>
                </c:pt>
                <c:pt idx="153" formatCode="0">
                  <c:v>123.63636363636363</c:v>
                </c:pt>
                <c:pt idx="154" formatCode="0">
                  <c:v>123.63636363636363</c:v>
                </c:pt>
                <c:pt idx="155" formatCode="0">
                  <c:v>198.18181818181816</c:v>
                </c:pt>
                <c:pt idx="156" formatCode="0">
                  <c:v>198.18181818181816</c:v>
                </c:pt>
                <c:pt idx="157" formatCode="0">
                  <c:v>198.18181818181816</c:v>
                </c:pt>
                <c:pt idx="158" formatCode="0">
                  <c:v>198.18181818181816</c:v>
                </c:pt>
                <c:pt idx="159" formatCode="0">
                  <c:v>198.18181818181816</c:v>
                </c:pt>
                <c:pt idx="160" formatCode="0">
                  <c:v>174.54545454545453</c:v>
                </c:pt>
                <c:pt idx="161" formatCode="0">
                  <c:v>174.54545454545453</c:v>
                </c:pt>
                <c:pt idx="162" formatCode="0">
                  <c:v>174.54545454545453</c:v>
                </c:pt>
                <c:pt idx="163" formatCode="0">
                  <c:v>174.54545454545453</c:v>
                </c:pt>
                <c:pt idx="164" formatCode="0">
                  <c:v>174.54545454545453</c:v>
                </c:pt>
                <c:pt idx="165" formatCode="0">
                  <c:v>74.545454545454533</c:v>
                </c:pt>
                <c:pt idx="166" formatCode="0">
                  <c:v>74.545454545454533</c:v>
                </c:pt>
                <c:pt idx="167" formatCode="0">
                  <c:v>74.545454545454533</c:v>
                </c:pt>
                <c:pt idx="168" formatCode="0">
                  <c:v>74.545454545454533</c:v>
                </c:pt>
                <c:pt idx="169" formatCode="0">
                  <c:v>74.545454545454533</c:v>
                </c:pt>
                <c:pt idx="170" formatCode="0">
                  <c:v>32.727272727272727</c:v>
                </c:pt>
                <c:pt idx="171" formatCode="0">
                  <c:v>32.727272727272727</c:v>
                </c:pt>
                <c:pt idx="172" formatCode="0">
                  <c:v>32.727272727272727</c:v>
                </c:pt>
                <c:pt idx="173" formatCode="0">
                  <c:v>32.727272727272727</c:v>
                </c:pt>
                <c:pt idx="174" formatCode="0">
                  <c:v>81.818181818181813</c:v>
                </c:pt>
                <c:pt idx="175" formatCode="0">
                  <c:v>81.818181818181813</c:v>
                </c:pt>
                <c:pt idx="176" formatCode="0">
                  <c:v>81.818181818181813</c:v>
                </c:pt>
                <c:pt idx="177" formatCode="0">
                  <c:v>81.818181818181813</c:v>
                </c:pt>
                <c:pt idx="178" formatCode="0">
                  <c:v>50.909090909090907</c:v>
                </c:pt>
                <c:pt idx="179" formatCode="0">
                  <c:v>50.909090909090907</c:v>
                </c:pt>
                <c:pt idx="180" formatCode="0">
                  <c:v>50.909090909090907</c:v>
                </c:pt>
                <c:pt idx="181" formatCode="0">
                  <c:v>50.909090909090907</c:v>
                </c:pt>
                <c:pt idx="182" formatCode="0">
                  <c:v>36.36363636363636</c:v>
                </c:pt>
                <c:pt idx="183" formatCode="0">
                  <c:v>36.36363636363636</c:v>
                </c:pt>
                <c:pt idx="184" formatCode="0">
                  <c:v>36.36363636363636</c:v>
                </c:pt>
                <c:pt idx="185" formatCode="0">
                  <c:v>36.36363636363636</c:v>
                </c:pt>
                <c:pt idx="186" formatCode="0">
                  <c:v>36.36363636363636</c:v>
                </c:pt>
                <c:pt idx="187" formatCode="0">
                  <c:v>27.27272727272727</c:v>
                </c:pt>
                <c:pt idx="188" formatCode="0">
                  <c:v>27.27272727272727</c:v>
                </c:pt>
                <c:pt idx="189" formatCode="0">
                  <c:v>27.27272727272727</c:v>
                </c:pt>
                <c:pt idx="190" formatCode="0">
                  <c:v>27.27272727272727</c:v>
                </c:pt>
                <c:pt idx="191" formatCode="0">
                  <c:v>27.27272727272727</c:v>
                </c:pt>
                <c:pt idx="192" formatCode="General">
                  <c:v>59.999999999999993</c:v>
                </c:pt>
                <c:pt idx="193" formatCode="0">
                  <c:v>27.27272727272727</c:v>
                </c:pt>
                <c:pt idx="194" formatCode="0">
                  <c:v>27.27272727272727</c:v>
                </c:pt>
                <c:pt idx="195" formatCode="0">
                  <c:v>27.27272727272727</c:v>
                </c:pt>
                <c:pt idx="196" formatCode="0">
                  <c:v>27.27272727272727</c:v>
                </c:pt>
                <c:pt idx="197" formatCode="0">
                  <c:v>154.54545454545453</c:v>
                </c:pt>
                <c:pt idx="198" formatCode="0">
                  <c:v>154.54545454545453</c:v>
                </c:pt>
                <c:pt idx="199" formatCode="0">
                  <c:v>154.54545454545453</c:v>
                </c:pt>
                <c:pt idx="200" formatCode="0">
                  <c:v>154.54545454545453</c:v>
                </c:pt>
                <c:pt idx="201" formatCode="0">
                  <c:v>154.54545454545453</c:v>
                </c:pt>
                <c:pt idx="202" formatCode="0">
                  <c:v>154.54545454545453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2-407C-BE8D-3F44B2CF3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225152"/>
        <c:axId val="134553600"/>
      </c:barChart>
      <c:dateAx>
        <c:axId val="1202251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34553600"/>
        <c:crosses val="autoZero"/>
        <c:auto val="0"/>
        <c:lblOffset val="100"/>
        <c:baseTimeUnit val="days"/>
      </c:dateAx>
      <c:valAx>
        <c:axId val="134553600"/>
        <c:scaling>
          <c:orientation val="minMax"/>
          <c:max val="20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120225152"/>
        <c:crosses val="autoZero"/>
        <c:crossBetween val="between"/>
        <c:majorUnit val="500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6908892265305618"/>
          <c:y val="0.19088149996268924"/>
          <c:w val="0.44231145919637993"/>
          <c:h val="0.2820601255732960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2002-2022</a:t>
            </a:r>
            <a:r>
              <a:rPr lang="en-CA" baseline="0"/>
              <a:t> (n=21)</a:t>
            </a:r>
            <a:endParaRPr lang="en-CA"/>
          </a:p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Unadjusted Raw Swim Counts</a:t>
            </a:r>
          </a:p>
        </c:rich>
      </c:tx>
      <c:layout>
        <c:manualLayout>
          <c:xMode val="edge"/>
          <c:yMode val="edge"/>
          <c:x val="0.26465909724139369"/>
          <c:y val="0.1553221444682458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07669105064059"/>
          <c:y val="0.27426778374501426"/>
          <c:w val="0.8149197251560174"/>
          <c:h val="0.52361666221698844"/>
        </c:manualLayout>
      </c:layout>
      <c:scatterChart>
        <c:scatterStyle val="smoothMarker"/>
        <c:varyColors val="0"/>
        <c:ser>
          <c:idx val="20"/>
          <c:order val="0"/>
          <c:tx>
            <c:strRef>
              <c:f>'Time and Area Standardization'!$A$191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</c:spPr>
          </c:marker>
          <c:xVal>
            <c:numRef>
              <c:f>'Time and Area Standardization'!$B$191:$B$195</c:f>
              <c:numCache>
                <c:formatCode>General</c:formatCode>
                <c:ptCount val="5"/>
                <c:pt idx="0">
                  <c:v>1</c:v>
                </c:pt>
                <c:pt idx="1">
                  <c:v>67</c:v>
                </c:pt>
                <c:pt idx="2">
                  <c:v>90</c:v>
                </c:pt>
                <c:pt idx="3">
                  <c:v>116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Standardization'!$G$191:$G$195</c:f>
              <c:numCache>
                <c:formatCode>0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C0-4E23-91A0-54524B04E14A}"/>
            </c:ext>
          </c:extLst>
        </c:ser>
        <c:ser>
          <c:idx val="19"/>
          <c:order val="1"/>
          <c:tx>
            <c:strRef>
              <c:f>'Time and Area Standardization'!$A$186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'Time and Area Standardization'!$B$186:$B$190</c:f>
              <c:numCache>
                <c:formatCode>General</c:formatCode>
                <c:ptCount val="5"/>
                <c:pt idx="0">
                  <c:v>1</c:v>
                </c:pt>
                <c:pt idx="1">
                  <c:v>69</c:v>
                </c:pt>
                <c:pt idx="2">
                  <c:v>90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Standardization'!$G$186:$G$190</c:f>
              <c:numCache>
                <c:formatCode>0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7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75-4449-99BE-D5BC32647F85}"/>
            </c:ext>
          </c:extLst>
        </c:ser>
        <c:ser>
          <c:idx val="17"/>
          <c:order val="2"/>
          <c:tx>
            <c:strRef>
              <c:f>'Time and Area Standardization'!$A$182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'Time and Area Standardization'!$B$182:$B$185</c:f>
              <c:numCache>
                <c:formatCode>General</c:formatCode>
                <c:ptCount val="4"/>
                <c:pt idx="0">
                  <c:v>1</c:v>
                </c:pt>
                <c:pt idx="1">
                  <c:v>65</c:v>
                </c:pt>
                <c:pt idx="2">
                  <c:v>98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Standardization'!$G$182:$G$185</c:f>
              <c:numCache>
                <c:formatCode>0</c:formatCode>
                <c:ptCount val="4"/>
                <c:pt idx="0">
                  <c:v>0</c:v>
                </c:pt>
                <c:pt idx="1">
                  <c:v>7</c:v>
                </c:pt>
                <c:pt idx="2">
                  <c:v>28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75-4449-99BE-D5BC32647F85}"/>
            </c:ext>
          </c:extLst>
        </c:ser>
        <c:ser>
          <c:idx val="18"/>
          <c:order val="3"/>
          <c:tx>
            <c:strRef>
              <c:f>'Time and Area Standardization'!$A$178</c:f>
              <c:strCache>
                <c:ptCount val="1"/>
                <c:pt idx="0">
                  <c:v>2019</c:v>
                </c:pt>
              </c:strCache>
            </c:strRef>
          </c:tx>
          <c:spPr>
            <a:ln w="44450">
              <a:solidFill>
                <a:srgbClr val="92D050"/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xVal>
            <c:numRef>
              <c:f>'Time and Area Standardization'!$B$178:$B$181</c:f>
              <c:numCache>
                <c:formatCode>General</c:formatCode>
                <c:ptCount val="4"/>
                <c:pt idx="0">
                  <c:v>1</c:v>
                </c:pt>
                <c:pt idx="1">
                  <c:v>92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Standardization'!$G$178:$G$181</c:f>
              <c:numCache>
                <c:formatCode>0</c:formatCode>
                <c:ptCount val="4"/>
                <c:pt idx="0">
                  <c:v>0</c:v>
                </c:pt>
                <c:pt idx="1">
                  <c:v>45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75-4449-99BE-D5BC32647F85}"/>
            </c:ext>
          </c:extLst>
        </c:ser>
        <c:ser>
          <c:idx val="16"/>
          <c:order val="4"/>
          <c:tx>
            <c:strRef>
              <c:f>'Time and Area Standardization'!$A$174</c:f>
              <c:strCache>
                <c:ptCount val="1"/>
                <c:pt idx="0">
                  <c:v>2018</c:v>
                </c:pt>
              </c:strCache>
            </c:strRef>
          </c:tx>
          <c:spPr>
            <a:ln w="47625"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4-8975-4449-99BE-D5BC32647F85}"/>
              </c:ext>
            </c:extLst>
          </c:dPt>
          <c:xVal>
            <c:numRef>
              <c:f>'Time and Area Standardization'!$B$174:$B$177</c:f>
              <c:numCache>
                <c:formatCode>General</c:formatCode>
                <c:ptCount val="4"/>
                <c:pt idx="0">
                  <c:v>1</c:v>
                </c:pt>
                <c:pt idx="1">
                  <c:v>75</c:v>
                </c:pt>
                <c:pt idx="2">
                  <c:v>112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Standardization'!$G$174:$G$177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16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75-4449-99BE-D5BC32647F85}"/>
            </c:ext>
          </c:extLst>
        </c:ser>
        <c:ser>
          <c:idx val="15"/>
          <c:order val="5"/>
          <c:tx>
            <c:strRef>
              <c:f>'Time and Area Standardization'!$A$172</c:f>
              <c:strCache>
                <c:ptCount val="1"/>
                <c:pt idx="0">
                  <c:v>2017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miter lim="800000"/>
            </a:ln>
          </c:spPr>
          <c:marker>
            <c:spPr>
              <a:noFill/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Standardization'!$B$169:$B$173</c:f>
              <c:numCache>
                <c:formatCode>General</c:formatCode>
                <c:ptCount val="5"/>
                <c:pt idx="0">
                  <c:v>1</c:v>
                </c:pt>
                <c:pt idx="1">
                  <c:v>68</c:v>
                </c:pt>
                <c:pt idx="2">
                  <c:v>94</c:v>
                </c:pt>
                <c:pt idx="3">
                  <c:v>121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Standardization'!$G$169:$G$173</c:f>
              <c:numCache>
                <c:formatCode>0</c:formatCode>
                <c:ptCount val="5"/>
                <c:pt idx="0">
                  <c:v>0</c:v>
                </c:pt>
                <c:pt idx="1">
                  <c:v>41</c:v>
                </c:pt>
                <c:pt idx="2">
                  <c:v>34</c:v>
                </c:pt>
                <c:pt idx="3">
                  <c:v>35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75-4449-99BE-D5BC32647F85}"/>
            </c:ext>
          </c:extLst>
        </c:ser>
        <c:ser>
          <c:idx val="14"/>
          <c:order val="6"/>
          <c:tx>
            <c:strRef>
              <c:f>'Time and Area Standardization'!$A$164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Standardization'!$B$164:$B$168</c:f>
              <c:numCache>
                <c:formatCode>General</c:formatCode>
                <c:ptCount val="5"/>
                <c:pt idx="0">
                  <c:v>1</c:v>
                </c:pt>
                <c:pt idx="1">
                  <c:v>87</c:v>
                </c:pt>
                <c:pt idx="2">
                  <c:v>98</c:v>
                </c:pt>
                <c:pt idx="3">
                  <c:v>111</c:v>
                </c:pt>
                <c:pt idx="4">
                  <c:v>152</c:v>
                </c:pt>
              </c:numCache>
            </c:numRef>
          </c:xVal>
          <c:yVal>
            <c:numRef>
              <c:f>'Time and Area Standardization'!$G$164:$G$168</c:f>
              <c:numCache>
                <c:formatCode>0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75-4449-99BE-D5BC32647F85}"/>
            </c:ext>
          </c:extLst>
        </c:ser>
        <c:ser>
          <c:idx val="13"/>
          <c:order val="7"/>
          <c:tx>
            <c:strRef>
              <c:f>'Time and Area Standardization'!$A$159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Standardization'!$B$159:$B$163</c:f>
              <c:numCache>
                <c:formatCode>General</c:formatCode>
                <c:ptCount val="5"/>
                <c:pt idx="0">
                  <c:v>1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Standardization'!$G$159:$G$163</c:f>
              <c:numCache>
                <c:formatCode>0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75-4449-99BE-D5BC32647F85}"/>
            </c:ext>
          </c:extLst>
        </c:ser>
        <c:ser>
          <c:idx val="12"/>
          <c:order val="8"/>
          <c:tx>
            <c:strRef>
              <c:f>'Time and Area Standardization'!$A$154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Standardization'!$B$154:$B$158</c:f>
              <c:numCache>
                <c:formatCode>General</c:formatCode>
                <c:ptCount val="5"/>
                <c:pt idx="0">
                  <c:v>1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Standardization'!$G$154:$G$158</c:f>
              <c:numCache>
                <c:formatCode>0</c:formatCode>
                <c:ptCount val="5"/>
                <c:pt idx="0">
                  <c:v>0</c:v>
                </c:pt>
                <c:pt idx="1">
                  <c:v>39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975-4449-99BE-D5BC32647F85}"/>
            </c:ext>
          </c:extLst>
        </c:ser>
        <c:ser>
          <c:idx val="11"/>
          <c:order val="9"/>
          <c:tx>
            <c:strRef>
              <c:f>'Time and Area Standardization'!$A$147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Standardization'!$B$147:$B$153</c:f>
              <c:numCache>
                <c:formatCode>General</c:formatCode>
                <c:ptCount val="7"/>
                <c:pt idx="0">
                  <c:v>1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'Time and Area Standardization'!$G$147:$G$153</c:f>
              <c:numCache>
                <c:formatCode>0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93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975-4449-99BE-D5BC32647F85}"/>
            </c:ext>
          </c:extLst>
        </c:ser>
        <c:ser>
          <c:idx val="10"/>
          <c:order val="10"/>
          <c:tx>
            <c:strRef>
              <c:f>'Time and Area Standardization'!$A$141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xVal>
            <c:numRef>
              <c:f>'Time and Area Standardization'!$B$141:$B$146</c:f>
              <c:numCache>
                <c:formatCode>General</c:formatCode>
                <c:ptCount val="6"/>
                <c:pt idx="0">
                  <c:v>1</c:v>
                </c:pt>
                <c:pt idx="1">
                  <c:v>83</c:v>
                </c:pt>
                <c:pt idx="2">
                  <c:v>113</c:v>
                </c:pt>
                <c:pt idx="3">
                  <c:v>128</c:v>
                </c:pt>
                <c:pt idx="4">
                  <c:v>146</c:v>
                </c:pt>
                <c:pt idx="5">
                  <c:v>152</c:v>
                </c:pt>
              </c:numCache>
            </c:numRef>
          </c:xVal>
          <c:yVal>
            <c:numRef>
              <c:f>'Time and Area Standardization'!$G$141:$G$146</c:f>
              <c:numCache>
                <c:formatCode>0</c:formatCode>
                <c:ptCount val="6"/>
                <c:pt idx="0">
                  <c:v>0</c:v>
                </c:pt>
                <c:pt idx="1">
                  <c:v>35</c:v>
                </c:pt>
                <c:pt idx="2">
                  <c:v>39</c:v>
                </c:pt>
                <c:pt idx="3">
                  <c:v>42</c:v>
                </c:pt>
                <c:pt idx="4">
                  <c:v>27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975-4449-99BE-D5BC32647F85}"/>
            </c:ext>
          </c:extLst>
        </c:ser>
        <c:ser>
          <c:idx val="9"/>
          <c:order val="11"/>
          <c:tx>
            <c:strRef>
              <c:f>'Time and Area Standardization'!$A$137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dPt>
            <c:idx val="2"/>
            <c:bubble3D val="0"/>
            <c:spPr>
              <a:ln w="28575" cap="sq">
                <a:solidFill>
                  <a:sysClr val="window" lastClr="FFFFFF">
                    <a:lumMod val="65000"/>
                  </a:sysClr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D-8975-4449-99BE-D5BC32647F85}"/>
              </c:ext>
            </c:extLst>
          </c:dPt>
          <c:xVal>
            <c:numRef>
              <c:f>'Time and Area Standardization'!$B$137:$B$140</c:f>
              <c:numCache>
                <c:formatCode>General</c:formatCode>
                <c:ptCount val="4"/>
                <c:pt idx="0">
                  <c:v>1</c:v>
                </c:pt>
                <c:pt idx="1">
                  <c:v>87</c:v>
                </c:pt>
                <c:pt idx="2">
                  <c:v>109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Standardization'!$G$137:$G$140</c:f>
              <c:numCache>
                <c:formatCode>0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975-4449-99BE-D5BC32647F85}"/>
            </c:ext>
          </c:extLst>
        </c:ser>
        <c:ser>
          <c:idx val="8"/>
          <c:order val="12"/>
          <c:tx>
            <c:strRef>
              <c:f>'Time and Area Standardization'!$A$133</c:f>
              <c:strCache>
                <c:ptCount val="1"/>
                <c:pt idx="0">
                  <c:v>2010</c:v>
                </c:pt>
              </c:strCache>
            </c:strRef>
          </c:tx>
          <c:spPr>
            <a:ln w="4445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triangle"/>
            <c:size val="7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Standardization'!$B$133:$B$136</c:f>
              <c:numCache>
                <c:formatCode>General</c:formatCode>
                <c:ptCount val="4"/>
                <c:pt idx="0">
                  <c:v>1</c:v>
                </c:pt>
                <c:pt idx="1">
                  <c:v>69</c:v>
                </c:pt>
                <c:pt idx="2">
                  <c:v>105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Standardization'!$G$133:$G$136</c:f>
              <c:numCache>
                <c:formatCode>0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975-4449-99BE-D5BC32647F85}"/>
            </c:ext>
          </c:extLst>
        </c:ser>
        <c:ser>
          <c:idx val="7"/>
          <c:order val="13"/>
          <c:tx>
            <c:strRef>
              <c:f>'Time and Area Standardization'!$A$129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circle"/>
            <c:size val="4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dPt>
            <c:idx val="2"/>
            <c:marker>
              <c:spPr>
                <a:solidFill>
                  <a:sysClr val="window" lastClr="FFFFFF">
                    <a:lumMod val="75000"/>
                  </a:sysClr>
                </a:solidFill>
                <a:ln>
                  <a:solidFill>
                    <a:sysClr val="window" lastClr="FFFFFF">
                      <a:lumMod val="65000"/>
                    </a:sys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AC0-4E23-91A0-54524B04E14A}"/>
              </c:ext>
            </c:extLst>
          </c:dPt>
          <c:xVal>
            <c:numRef>
              <c:f>'Time and Area Standardization'!$B$129:$B$132</c:f>
              <c:numCache>
                <c:formatCode>General</c:formatCode>
                <c:ptCount val="4"/>
                <c:pt idx="0">
                  <c:v>1</c:v>
                </c:pt>
                <c:pt idx="1">
                  <c:v>85</c:v>
                </c:pt>
                <c:pt idx="2">
                  <c:v>117</c:v>
                </c:pt>
                <c:pt idx="3">
                  <c:v>151</c:v>
                </c:pt>
              </c:numCache>
            </c:numRef>
          </c:xVal>
          <c:yVal>
            <c:numRef>
              <c:f>'Time and Area Standardization'!$G$129:$G$132</c:f>
              <c:numCache>
                <c:formatCode>0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975-4449-99BE-D5BC32647F85}"/>
            </c:ext>
          </c:extLst>
        </c:ser>
        <c:ser>
          <c:idx val="6"/>
          <c:order val="14"/>
          <c:tx>
            <c:strRef>
              <c:f>'Time and Area Standardization'!$A$125</c:f>
              <c:strCache>
                <c:ptCount val="1"/>
                <c:pt idx="0">
                  <c:v>2008</c:v>
                </c:pt>
              </c:strCache>
            </c:strRef>
          </c:tx>
          <c:spPr>
            <a:ln>
              <a:solidFill>
                <a:sysClr val="window" lastClr="FFFFFF">
                  <a:lumMod val="65000"/>
                </a:sysClr>
              </a:solidFill>
            </a:ln>
          </c:spPr>
          <c:marker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</a:ln>
            </c:spPr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2-8975-4449-99BE-D5BC32647F85}"/>
              </c:ext>
            </c:extLst>
          </c:dPt>
          <c:xVal>
            <c:numRef>
              <c:f>'Time and Area Standardization'!$B$125:$B$128</c:f>
              <c:numCache>
                <c:formatCode>General</c:formatCode>
                <c:ptCount val="4"/>
                <c:pt idx="0">
                  <c:v>1</c:v>
                </c:pt>
                <c:pt idx="1">
                  <c:v>68</c:v>
                </c:pt>
                <c:pt idx="2">
                  <c:v>108</c:v>
                </c:pt>
                <c:pt idx="3">
                  <c:v>152</c:v>
                </c:pt>
              </c:numCache>
            </c:numRef>
          </c:xVal>
          <c:yVal>
            <c:numRef>
              <c:f>'Time and Area Standardization'!$G$125:$G$128</c:f>
              <c:numCache>
                <c:formatCode>0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975-4449-99BE-D5BC32647F85}"/>
            </c:ext>
          </c:extLst>
        </c:ser>
        <c:ser>
          <c:idx val="5"/>
          <c:order val="15"/>
          <c:tx>
            <c:strRef>
              <c:f>'Time and Area Standardization'!$A$120</c:f>
              <c:strCache>
                <c:ptCount val="1"/>
                <c:pt idx="0">
                  <c:v>2007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square"/>
            <c:size val="5"/>
            <c:spPr>
              <a:solidFill>
                <a:sysClr val="window" lastClr="FFFFFF">
                  <a:lumMod val="65000"/>
                </a:sysClr>
              </a:solidFill>
              <a:ln w="25400"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Standardization'!$B$120:$B$124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88</c:v>
                </c:pt>
                <c:pt idx="3">
                  <c:v>110</c:v>
                </c:pt>
                <c:pt idx="4">
                  <c:v>151</c:v>
                </c:pt>
              </c:numCache>
            </c:numRef>
          </c:xVal>
          <c:yVal>
            <c:numRef>
              <c:f>'Time and Area Standardization'!$G$120:$G$124</c:f>
              <c:numCache>
                <c:formatCode>0</c:formatCode>
                <c:ptCount val="5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8975-4449-99BE-D5BC32647F85}"/>
            </c:ext>
          </c:extLst>
        </c:ser>
        <c:ser>
          <c:idx val="4"/>
          <c:order val="16"/>
          <c:tx>
            <c:strRef>
              <c:f>'Time and Area Standardization'!$A$114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triangle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Standardization'!$B$114:$B$119</c:f>
              <c:numCache>
                <c:formatCode>General</c:formatCode>
                <c:ptCount val="6"/>
                <c:pt idx="0">
                  <c:v>1</c:v>
                </c:pt>
                <c:pt idx="1">
                  <c:v>46</c:v>
                </c:pt>
                <c:pt idx="2">
                  <c:v>80</c:v>
                </c:pt>
                <c:pt idx="3">
                  <c:v>103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Standardization'!$G$114:$G$119</c:f>
              <c:numCache>
                <c:formatCode>0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8975-4449-99BE-D5BC32647F85}"/>
            </c:ext>
          </c:extLst>
        </c:ser>
        <c:ser>
          <c:idx val="3"/>
          <c:order val="17"/>
          <c:tx>
            <c:strRef>
              <c:f>'Time and Area Standardization'!$A$108</c:f>
              <c:strCache>
                <c:ptCount val="1"/>
                <c:pt idx="0">
                  <c:v>2005</c:v>
                </c:pt>
              </c:strCache>
            </c:strRef>
          </c:tx>
          <c:spPr>
            <a:ln w="2540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circle"/>
            <c:size val="6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Standardization'!$B$108:$B$113</c:f>
              <c:numCache>
                <c:formatCode>General</c:formatCode>
                <c:ptCount val="6"/>
                <c:pt idx="0">
                  <c:v>1</c:v>
                </c:pt>
                <c:pt idx="1">
                  <c:v>42</c:v>
                </c:pt>
                <c:pt idx="2">
                  <c:v>67</c:v>
                </c:pt>
                <c:pt idx="3">
                  <c:v>105</c:v>
                </c:pt>
                <c:pt idx="4">
                  <c:v>119</c:v>
                </c:pt>
                <c:pt idx="5">
                  <c:v>151</c:v>
                </c:pt>
              </c:numCache>
            </c:numRef>
          </c:xVal>
          <c:yVal>
            <c:numRef>
              <c:f>'Time and Area Standardization'!$G$108:$G$113</c:f>
              <c:numCache>
                <c:formatCode>0</c:formatCode>
                <c:ptCount val="6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8975-4449-99BE-D5BC32647F85}"/>
            </c:ext>
          </c:extLst>
        </c:ser>
        <c:ser>
          <c:idx val="0"/>
          <c:order val="18"/>
          <c:tx>
            <c:strRef>
              <c:f>'Time and Area Standardization'!$A$100</c:f>
              <c:strCache>
                <c:ptCount val="1"/>
                <c:pt idx="0">
                  <c:v>2004</c:v>
                </c:pt>
              </c:strCache>
            </c:strRef>
          </c:tx>
          <c:spPr>
            <a:ln w="28575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diamond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Standardization'!$B$100:$B$107</c:f>
              <c:numCache>
                <c:formatCode>General</c:formatCode>
                <c:ptCount val="8"/>
                <c:pt idx="0">
                  <c:v>1</c:v>
                </c:pt>
                <c:pt idx="1">
                  <c:v>36</c:v>
                </c:pt>
                <c:pt idx="2">
                  <c:v>62</c:v>
                </c:pt>
                <c:pt idx="3">
                  <c:v>83</c:v>
                </c:pt>
                <c:pt idx="4">
                  <c:v>105</c:v>
                </c:pt>
                <c:pt idx="5">
                  <c:v>120</c:v>
                </c:pt>
                <c:pt idx="6">
                  <c:v>135</c:v>
                </c:pt>
                <c:pt idx="7">
                  <c:v>152</c:v>
                </c:pt>
              </c:numCache>
            </c:numRef>
          </c:xVal>
          <c:yVal>
            <c:numRef>
              <c:f>'Time and Area Standardization'!$G$100:$G$107</c:f>
              <c:numCache>
                <c:formatCode>0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8975-4449-99BE-D5BC32647F85}"/>
            </c:ext>
          </c:extLst>
        </c:ser>
        <c:ser>
          <c:idx val="1"/>
          <c:order val="19"/>
          <c:tx>
            <c:strRef>
              <c:f>'Time and Area Standardization'!$A$92</c:f>
              <c:strCache>
                <c:ptCount val="1"/>
                <c:pt idx="0">
                  <c:v>2003</c:v>
                </c:pt>
              </c:strCache>
            </c:strRef>
          </c:tx>
          <c:spPr>
            <a:ln w="31750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square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Standardization'!$B$92:$B$99</c:f>
              <c:numCache>
                <c:formatCode>General</c:formatCode>
                <c:ptCount val="8"/>
                <c:pt idx="0">
                  <c:v>1</c:v>
                </c:pt>
                <c:pt idx="1">
                  <c:v>20</c:v>
                </c:pt>
                <c:pt idx="2">
                  <c:v>43</c:v>
                </c:pt>
                <c:pt idx="3">
                  <c:v>66</c:v>
                </c:pt>
                <c:pt idx="4">
                  <c:v>97</c:v>
                </c:pt>
                <c:pt idx="5">
                  <c:v>113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Standardization'!$G$92:$G$99</c:f>
              <c:numCache>
                <c:formatCode>0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8975-4449-99BE-D5BC32647F85}"/>
            </c:ext>
          </c:extLst>
        </c:ser>
        <c:ser>
          <c:idx val="2"/>
          <c:order val="20"/>
          <c:tx>
            <c:strRef>
              <c:f>'Time and Area Standardization'!$A$84</c:f>
              <c:strCache>
                <c:ptCount val="1"/>
                <c:pt idx="0">
                  <c:v>2002</c:v>
                </c:pt>
              </c:strCache>
            </c:strRef>
          </c:tx>
          <c:spPr>
            <a:ln w="28575">
              <a:solidFill>
                <a:sysClr val="window" lastClr="FFFFFF">
                  <a:lumMod val="65000"/>
                </a:sysClr>
              </a:solidFill>
              <a:prstDash val="solid"/>
            </a:ln>
          </c:spPr>
          <c:marker>
            <c:symbol val="triangle"/>
            <c:size val="5"/>
            <c:spPr>
              <a:solidFill>
                <a:sysClr val="window" lastClr="FFFFFF">
                  <a:lumMod val="65000"/>
                </a:sysClr>
              </a:solidFill>
              <a:ln>
                <a:solidFill>
                  <a:sysClr val="window" lastClr="FFFFFF">
                    <a:lumMod val="65000"/>
                  </a:sysClr>
                </a:solidFill>
                <a:prstDash val="solid"/>
              </a:ln>
            </c:spPr>
          </c:marker>
          <c:xVal>
            <c:numRef>
              <c:f>'Time and Area Standardization'!$B$84:$B$91</c:f>
              <c:numCache>
                <c:formatCode>General</c:formatCode>
                <c:ptCount val="8"/>
                <c:pt idx="0">
                  <c:v>1</c:v>
                </c:pt>
                <c:pt idx="1">
                  <c:v>18</c:v>
                </c:pt>
                <c:pt idx="2">
                  <c:v>44</c:v>
                </c:pt>
                <c:pt idx="3">
                  <c:v>68</c:v>
                </c:pt>
                <c:pt idx="4">
                  <c:v>81</c:v>
                </c:pt>
                <c:pt idx="5">
                  <c:v>116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'Time and Area Standardization'!$G$84:$G$91</c:f>
              <c:numCache>
                <c:formatCode>0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8975-4449-99BE-D5BC32647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43456"/>
        <c:axId val="125045760"/>
      </c:scatterChart>
      <c:valAx>
        <c:axId val="125043456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3512651819554832"/>
              <c:y val="0.861906353458050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5760"/>
        <c:crosses val="autoZero"/>
        <c:crossBetween val="midCat"/>
        <c:majorUnit val="20"/>
      </c:valAx>
      <c:valAx>
        <c:axId val="125045760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04345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3005086822520215"/>
          <c:y val="0.20021526917255311"/>
          <c:w val="6.328789947580489E-2"/>
          <c:h val="0.5012463685037551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2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Peak Steelhead /</a:t>
            </a:r>
            <a:r>
              <a:rPr lang="en-CA" baseline="0"/>
              <a:t> Km Counts in the Englishman River, 1982 - 2015 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9833199909191924E-2"/>
          <c:y val="9.558121632024634E-2"/>
          <c:w val="0.89386432158802609"/>
          <c:h val="0.810407763694665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'Peak Historic'!$A$5:$A$38</c:f>
              <c:strCache>
                <c:ptCount val="34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  <c:pt idx="29">
                  <c:v>2011</c:v>
                </c:pt>
                <c:pt idx="30">
                  <c:v>2012</c:v>
                </c:pt>
                <c:pt idx="31">
                  <c:v>2013</c:v>
                </c:pt>
                <c:pt idx="32">
                  <c:v>2014</c:v>
                </c:pt>
                <c:pt idx="33">
                  <c:v>2015</c:v>
                </c:pt>
              </c:strCache>
            </c:strRef>
          </c:cat>
          <c:val>
            <c:numRef>
              <c:f>'Peak Historic'!$B$5:$B$38</c:f>
              <c:numCache>
                <c:formatCode>0.0</c:formatCode>
                <c:ptCount val="34"/>
                <c:pt idx="0">
                  <c:v>13.04</c:v>
                </c:pt>
                <c:pt idx="1">
                  <c:v>19.71</c:v>
                </c:pt>
                <c:pt idx="2">
                  <c:v>20.92</c:v>
                </c:pt>
                <c:pt idx="3">
                  <c:v>31.4</c:v>
                </c:pt>
                <c:pt idx="4">
                  <c:v>8.6</c:v>
                </c:pt>
                <c:pt idx="5">
                  <c:v>43.39</c:v>
                </c:pt>
                <c:pt idx="6">
                  <c:v>36.549999999999997</c:v>
                </c:pt>
                <c:pt idx="7">
                  <c:v>9.3000000000000007</c:v>
                </c:pt>
                <c:pt idx="8">
                  <c:v>11.96</c:v>
                </c:pt>
                <c:pt idx="9">
                  <c:v>5.0999999999999996</c:v>
                </c:pt>
                <c:pt idx="10">
                  <c:v>17.88</c:v>
                </c:pt>
                <c:pt idx="11">
                  <c:v>8.8000000000000007</c:v>
                </c:pt>
                <c:pt idx="12">
                  <c:v>2.0699999999999998</c:v>
                </c:pt>
                <c:pt idx="13">
                  <c:v>4.38</c:v>
                </c:pt>
                <c:pt idx="14">
                  <c:v>3.65</c:v>
                </c:pt>
                <c:pt idx="15">
                  <c:v>2.5</c:v>
                </c:pt>
                <c:pt idx="16">
                  <c:v>3.77</c:v>
                </c:pt>
                <c:pt idx="17">
                  <c:v>9.31</c:v>
                </c:pt>
                <c:pt idx="18">
                  <c:v>1.8</c:v>
                </c:pt>
                <c:pt idx="19">
                  <c:v>8.0299999999999994</c:v>
                </c:pt>
                <c:pt idx="20">
                  <c:v>4.54</c:v>
                </c:pt>
                <c:pt idx="21">
                  <c:v>3.1</c:v>
                </c:pt>
                <c:pt idx="22">
                  <c:v>3.6</c:v>
                </c:pt>
                <c:pt idx="23">
                  <c:v>4.5</c:v>
                </c:pt>
                <c:pt idx="24">
                  <c:v>4.1333333333333337</c:v>
                </c:pt>
                <c:pt idx="25">
                  <c:v>4</c:v>
                </c:pt>
                <c:pt idx="26">
                  <c:v>1.2</c:v>
                </c:pt>
                <c:pt idx="27">
                  <c:v>2.5333333333333332</c:v>
                </c:pt>
                <c:pt idx="28">
                  <c:v>3.6</c:v>
                </c:pt>
                <c:pt idx="29">
                  <c:v>6.8666666666666663</c:v>
                </c:pt>
                <c:pt idx="30">
                  <c:v>2.8</c:v>
                </c:pt>
                <c:pt idx="31">
                  <c:v>6.2</c:v>
                </c:pt>
                <c:pt idx="32">
                  <c:v>4.5</c:v>
                </c:pt>
                <c:pt idx="33">
                  <c:v>7.2666666666666666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8-4701-8828-3A093A651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963840"/>
        <c:axId val="120965376"/>
      </c:barChart>
      <c:catAx>
        <c:axId val="12096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965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965376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Steelhead</a:t>
                </a:r>
                <a:r>
                  <a:rPr lang="en-CA" baseline="0"/>
                  <a:t> </a:t>
                </a:r>
                <a:r>
                  <a:rPr lang="en-CA"/>
                  <a:t>/ Km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963840"/>
        <c:crosses val="autoZero"/>
        <c:crossBetween val="between"/>
        <c:majorUnit val="10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horizontalDpi="200" verticalDpi="200" copies="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950" b="1" i="0" u="none" strike="noStrike" baseline="0">
                <a:solidFill>
                  <a:srgbClr val="FF0000"/>
                </a:solidFill>
                <a:latin typeface="Arial"/>
                <a:cs typeface="Arial"/>
              </a:rPr>
              <a:t>ENGLISHMAN RIVER WINTER STEELHEAD (1982-2010)</a:t>
            </a:r>
          </a:p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9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Snorkel Counts (steelhead/km)</a:t>
            </a:r>
          </a:p>
        </c:rich>
      </c:tx>
      <c:layout>
        <c:manualLayout>
          <c:xMode val="edge"/>
          <c:yMode val="edge"/>
          <c:x val="0.21955421095519154"/>
          <c:y val="1.31926121372031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048097837238891E-2"/>
          <c:y val="0.13192629133808559"/>
          <c:w val="0.8867931955480105"/>
          <c:h val="0.7625339639341345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0">
              <a:gsLst>
                <a:gs pos="0">
                  <a:srgbClr val="0000FF">
                    <a:gamma/>
                    <a:tint val="44314"/>
                    <a:invGamma/>
                  </a:srgbClr>
                </a:gs>
                <a:gs pos="100000">
                  <a:srgbClr val="0000FF"/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0.0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'Peak Historic'!$A$5:$A$33</c:f>
              <c:strCache>
                <c:ptCount val="29"/>
                <c:pt idx="0">
                  <c:v>1982</c:v>
                </c:pt>
                <c:pt idx="1">
                  <c:v>1983</c:v>
                </c:pt>
                <c:pt idx="2">
                  <c:v>1984</c:v>
                </c:pt>
                <c:pt idx="3">
                  <c:v>1985</c:v>
                </c:pt>
                <c:pt idx="4">
                  <c:v>1986</c:v>
                </c:pt>
                <c:pt idx="5">
                  <c:v>1987</c:v>
                </c:pt>
                <c:pt idx="6">
                  <c:v>1988</c:v>
                </c:pt>
                <c:pt idx="7">
                  <c:v>1989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2000</c:v>
                </c:pt>
                <c:pt idx="19">
                  <c:v>2001</c:v>
                </c:pt>
                <c:pt idx="20">
                  <c:v>2002</c:v>
                </c:pt>
                <c:pt idx="21">
                  <c:v>2003</c:v>
                </c:pt>
                <c:pt idx="22">
                  <c:v>2004</c:v>
                </c:pt>
                <c:pt idx="23">
                  <c:v>2005</c:v>
                </c:pt>
                <c:pt idx="24">
                  <c:v>2006</c:v>
                </c:pt>
                <c:pt idx="25">
                  <c:v>2007</c:v>
                </c:pt>
                <c:pt idx="26">
                  <c:v>2008</c:v>
                </c:pt>
                <c:pt idx="27">
                  <c:v>2009</c:v>
                </c:pt>
                <c:pt idx="28">
                  <c:v>2010</c:v>
                </c:pt>
              </c:strCache>
            </c:strRef>
          </c:cat>
          <c:val>
            <c:numRef>
              <c:f>'Peak Historic'!$B$5:$B$33</c:f>
              <c:numCache>
                <c:formatCode>0.0</c:formatCode>
                <c:ptCount val="29"/>
                <c:pt idx="0">
                  <c:v>13.04</c:v>
                </c:pt>
                <c:pt idx="1">
                  <c:v>19.71</c:v>
                </c:pt>
                <c:pt idx="2">
                  <c:v>20.92</c:v>
                </c:pt>
                <c:pt idx="3">
                  <c:v>31.4</c:v>
                </c:pt>
                <c:pt idx="4">
                  <c:v>8.6</c:v>
                </c:pt>
                <c:pt idx="5">
                  <c:v>43.39</c:v>
                </c:pt>
                <c:pt idx="6">
                  <c:v>36.549999999999997</c:v>
                </c:pt>
                <c:pt idx="7">
                  <c:v>9.3000000000000007</c:v>
                </c:pt>
                <c:pt idx="8">
                  <c:v>11.96</c:v>
                </c:pt>
                <c:pt idx="9">
                  <c:v>5.0999999999999996</c:v>
                </c:pt>
                <c:pt idx="10">
                  <c:v>17.88</c:v>
                </c:pt>
                <c:pt idx="11">
                  <c:v>8.8000000000000007</c:v>
                </c:pt>
                <c:pt idx="12">
                  <c:v>2.0699999999999998</c:v>
                </c:pt>
                <c:pt idx="13">
                  <c:v>4.38</c:v>
                </c:pt>
                <c:pt idx="14">
                  <c:v>3.65</c:v>
                </c:pt>
                <c:pt idx="15">
                  <c:v>2.5</c:v>
                </c:pt>
                <c:pt idx="16">
                  <c:v>3.77</c:v>
                </c:pt>
                <c:pt idx="17">
                  <c:v>9.31</c:v>
                </c:pt>
                <c:pt idx="18">
                  <c:v>1.8</c:v>
                </c:pt>
                <c:pt idx="19">
                  <c:v>8.0299999999999994</c:v>
                </c:pt>
                <c:pt idx="20">
                  <c:v>4.54</c:v>
                </c:pt>
                <c:pt idx="21">
                  <c:v>3.1</c:v>
                </c:pt>
                <c:pt idx="22">
                  <c:v>3.6</c:v>
                </c:pt>
                <c:pt idx="23">
                  <c:v>4.5</c:v>
                </c:pt>
                <c:pt idx="24">
                  <c:v>4.1333333333333337</c:v>
                </c:pt>
                <c:pt idx="25">
                  <c:v>4</c:v>
                </c:pt>
                <c:pt idx="26">
                  <c:v>1.2</c:v>
                </c:pt>
                <c:pt idx="27">
                  <c:v>2.5333333333333332</c:v>
                </c:pt>
                <c:pt idx="28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8-4EA2-82F4-9C32320CF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72320"/>
        <c:axId val="120878208"/>
      </c:barChart>
      <c:catAx>
        <c:axId val="12087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8782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20878208"/>
        <c:scaling>
          <c:orientation val="minMax"/>
          <c:max val="50"/>
        </c:scaling>
        <c:delete val="0"/>
        <c:axPos val="l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Steelhead/km</a:t>
                </a:r>
              </a:p>
            </c:rich>
          </c:tx>
          <c:layout>
            <c:manualLayout>
              <c:xMode val="edge"/>
              <c:yMode val="edge"/>
              <c:x val="8.576329331046316E-3"/>
              <c:y val="0.40369448541887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0872320"/>
        <c:crosses val="autoZero"/>
        <c:crossBetween val="between"/>
        <c:majorUnit val="10"/>
        <c:minorUnit val="2"/>
      </c:valAx>
      <c:spPr>
        <a:gradFill rotWithShape="0">
          <a:gsLst>
            <a:gs pos="0">
              <a:srgbClr val="FFFFFF"/>
            </a:gs>
            <a:gs pos="100000">
              <a:srgbClr val="FFFFFF">
                <a:gamma/>
                <a:shade val="82353"/>
                <a:invGamma/>
              </a:srgbClr>
            </a:gs>
          </a:gsLst>
          <a:lin ang="5400000" scaled="1"/>
        </a:gradFill>
        <a:ln w="25400">
          <a:noFill/>
        </a:ln>
      </c:spPr>
    </c:plotArea>
    <c:plotVisOnly val="1"/>
    <c:dispBlanksAs val="gap"/>
    <c:showDLblsOverMax val="0"/>
  </c:chart>
  <c:spPr>
    <a:solidFill>
      <a:srgbClr val="C0C0C0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Winter Steelhead Snorkel Survey Counts
 15 km Whole Stream Count, 2002-2015</a:t>
            </a:r>
          </a:p>
        </c:rich>
      </c:tx>
      <c:layout>
        <c:manualLayout>
          <c:xMode val="edge"/>
          <c:yMode val="edge"/>
          <c:x val="0.34225113783988936"/>
          <c:y val="3.35180775378476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47679899970643"/>
          <c:y val="0.1352430699877831"/>
          <c:w val="0.84112277478031117"/>
          <c:h val="0.66572881009930307"/>
        </c:manualLayout>
      </c:layout>
      <c:scatterChart>
        <c:scatterStyle val="smoothMarker"/>
        <c:varyColors val="0"/>
        <c:ser>
          <c:idx val="14"/>
          <c:order val="0"/>
          <c:tx>
            <c:strRef>
              <c:f>'raw 2002-2016 Comparison'!$BE$1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'raw 2002-2016 Comparison'!$BE$3:$BE$7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98</c:v>
                </c:pt>
                <c:pt idx="3">
                  <c:v>111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Comparison'!$BG$3:$BG$7</c:f>
              <c:numCache>
                <c:formatCode>General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6-4A62-B940-AC0DFB4917B5}"/>
            </c:ext>
          </c:extLst>
        </c:ser>
        <c:ser>
          <c:idx val="13"/>
          <c:order val="1"/>
          <c:tx>
            <c:strRef>
              <c:f>'raw 2002-2016 Comparison'!$BA$1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xVal>
            <c:numRef>
              <c:f>'raw 2002-2016 Comparison'!$BA$3:$BA$7</c:f>
              <c:numCache>
                <c:formatCode>General</c:formatCode>
                <c:ptCount val="5"/>
                <c:pt idx="0">
                  <c:v>0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Comparison'!$BC$3:$BC$7</c:f>
              <c:numCache>
                <c:formatCode>General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66-4A62-B940-AC0DFB4917B5}"/>
            </c:ext>
          </c:extLst>
        </c:ser>
        <c:ser>
          <c:idx val="12"/>
          <c:order val="2"/>
          <c:tx>
            <c:strRef>
              <c:f>'raw 2002-2016 Comparison'!$AW$1</c:f>
              <c:strCache>
                <c:ptCount val="1"/>
                <c:pt idx="0">
                  <c:v>2014</c:v>
                </c:pt>
              </c:strCache>
            </c:strRef>
          </c:tx>
          <c:spPr>
            <a:ln cap="sq">
              <a:solidFill>
                <a:srgbClr val="C00000"/>
              </a:solidFill>
            </a:ln>
          </c:spPr>
          <c:xVal>
            <c:numRef>
              <c:f>'raw 2002-2016 Comparison'!$AW$3:$AW$7</c:f>
              <c:numCache>
                <c:formatCode>General</c:formatCode>
                <c:ptCount val="5"/>
                <c:pt idx="0">
                  <c:v>0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Comparison'!$AY$3:$AY$7</c:f>
              <c:numCache>
                <c:formatCode>General</c:formatCode>
                <c:ptCount val="5"/>
                <c:pt idx="0">
                  <c:v>0</c:v>
                </c:pt>
                <c:pt idx="1">
                  <c:v>32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66-4A62-B940-AC0DFB4917B5}"/>
            </c:ext>
          </c:extLst>
        </c:ser>
        <c:ser>
          <c:idx val="11"/>
          <c:order val="3"/>
          <c:tx>
            <c:strRef>
              <c:f>'raw 2002-2016 Comparison'!$AS$1</c:f>
              <c:strCache>
                <c:ptCount val="1"/>
                <c:pt idx="0">
                  <c:v>2013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'raw 2002-2016 Comparison'!$AS$3:$AS$9</c:f>
              <c:numCache>
                <c:formatCode>General</c:formatCode>
                <c:ptCount val="7"/>
                <c:pt idx="0">
                  <c:v>0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'raw 2002-2016 Comparison'!$AU$3:$AU$9</c:f>
              <c:numCache>
                <c:formatCode>General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66-4A62-B940-AC0DFB4917B5}"/>
            </c:ext>
          </c:extLst>
        </c:ser>
        <c:ser>
          <c:idx val="10"/>
          <c:order val="4"/>
          <c:tx>
            <c:strRef>
              <c:f>'raw 2002-2016 Comparison'!$AO$1</c:f>
              <c:strCache>
                <c:ptCount val="1"/>
                <c:pt idx="0">
                  <c:v>2012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'raw 2002-2016 Comparison'!$AO$3:$AO$7</c:f>
              <c:numCache>
                <c:formatCode>General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115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Comparison'!$AQ$3:$AQ$7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38</c:v>
                </c:pt>
                <c:pt idx="3">
                  <c:v>42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66-4A62-B940-AC0DFB4917B5}"/>
            </c:ext>
          </c:extLst>
        </c:ser>
        <c:ser>
          <c:idx val="9"/>
          <c:order val="5"/>
          <c:tx>
            <c:strRef>
              <c:f>'raw 2002-2016 Comparison'!$AK$1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rgbClr val="FFFF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dPt>
            <c:idx val="2"/>
            <c:bubble3D val="0"/>
            <c:spPr>
              <a:ln w="28575" cap="sq">
                <a:solidFill>
                  <a:srgbClr val="FFFF00"/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6-A566-4A62-B940-AC0DFB4917B5}"/>
              </c:ext>
            </c:extLst>
          </c:dPt>
          <c:xVal>
            <c:numRef>
              <c:f>'raw 2002-2016 Comparison'!$AK$3:$AK$6</c:f>
              <c:numCache>
                <c:formatCode>General</c:formatCode>
                <c:ptCount val="4"/>
                <c:pt idx="0">
                  <c:v>0</c:v>
                </c:pt>
                <c:pt idx="1">
                  <c:v>86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Comparison'!$AM$3:$AM$6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566-4A62-B940-AC0DFB4917B5}"/>
            </c:ext>
          </c:extLst>
        </c:ser>
        <c:ser>
          <c:idx val="8"/>
          <c:order val="6"/>
          <c:tx>
            <c:strRef>
              <c:f>'raw 2002-2016 Comparison'!$AG$1</c:f>
              <c:strCache>
                <c:ptCount val="1"/>
                <c:pt idx="0">
                  <c:v>2010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2D050"/>
              </a:solidFill>
              <a:ln>
                <a:noFill/>
                <a:prstDash val="solid"/>
              </a:ln>
            </c:spPr>
          </c:marker>
          <c:xVal>
            <c:numRef>
              <c:f>'raw 2002-2016 Comparison'!$AG$3:$AG$6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Comparison'!$AI$3:$AI$6</c:f>
              <c:numCache>
                <c:formatCode>General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566-4A62-B940-AC0DFB4917B5}"/>
            </c:ext>
          </c:extLst>
        </c:ser>
        <c:ser>
          <c:idx val="7"/>
          <c:order val="7"/>
          <c:tx>
            <c:strRef>
              <c:f>'raw 2002-2016 Comparison'!$AC$1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B050"/>
              </a:solidFill>
              <a:ln>
                <a:noFill/>
                <a:prstDash val="solid"/>
              </a:ln>
            </c:spPr>
          </c:marker>
          <c:xVal>
            <c:numRef>
              <c:f>'raw 2002-2016 Comparison'!$AC$3:$AC$6</c:f>
              <c:numCache>
                <c:formatCode>General</c:formatCode>
                <c:ptCount val="4"/>
                <c:pt idx="0">
                  <c:v>0</c:v>
                </c:pt>
                <c:pt idx="1">
                  <c:v>84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Comparison'!$AE$3:$AE$6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566-4A62-B940-AC0DFB4917B5}"/>
            </c:ext>
          </c:extLst>
        </c:ser>
        <c:ser>
          <c:idx val="6"/>
          <c:order val="8"/>
          <c:tx>
            <c:strRef>
              <c:f>'raw 2002-2016 Comparison'!$Y$1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'raw 2002-2016 Comparison'!$Y$3:$Y$6</c:f>
              <c:numCache>
                <c:formatCode>General</c:formatCode>
                <c:ptCount val="4"/>
                <c:pt idx="0">
                  <c:v>0</c:v>
                </c:pt>
                <c:pt idx="1">
                  <c:v>66</c:v>
                </c:pt>
                <c:pt idx="2">
                  <c:v>108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Comparison'!$AA$3:$AA$6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566-4A62-B940-AC0DFB4917B5}"/>
            </c:ext>
          </c:extLst>
        </c:ser>
        <c:ser>
          <c:idx val="5"/>
          <c:order val="9"/>
          <c:tx>
            <c:v>2007</c:v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'raw 2002-2016 Comparison'!$U$3:$U$8</c:f>
              <c:numCache>
                <c:formatCode>General</c:formatCode>
                <c:ptCount val="6"/>
                <c:pt idx="0">
                  <c:v>0</c:v>
                </c:pt>
                <c:pt idx="1">
                  <c:v>53</c:v>
                </c:pt>
                <c:pt idx="2">
                  <c:v>87</c:v>
                </c:pt>
                <c:pt idx="3">
                  <c:v>109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Comparison'!$W$3:$W$8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566-4A62-B940-AC0DFB4917B5}"/>
            </c:ext>
          </c:extLst>
        </c:ser>
        <c:ser>
          <c:idx val="4"/>
          <c:order val="10"/>
          <c:tx>
            <c:strRef>
              <c:f>'raw 2002-2016 Comparison'!$Q$1</c:f>
              <c:strCache>
                <c:ptCount val="1"/>
                <c:pt idx="0">
                  <c:v>2006</c:v>
                </c:pt>
              </c:strCache>
            </c:strRef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2060"/>
              </a:solidFill>
              <a:ln>
                <a:noFill/>
                <a:prstDash val="solid"/>
              </a:ln>
            </c:spPr>
          </c:marker>
          <c:xVal>
            <c:numRef>
              <c:f>'raw 2002-2016 Comparison'!$Q$3:$Q$8</c:f>
              <c:numCache>
                <c:formatCode>General</c:formatCode>
                <c:ptCount val="6"/>
                <c:pt idx="0">
                  <c:v>0</c:v>
                </c:pt>
                <c:pt idx="1">
                  <c:v>45</c:v>
                </c:pt>
                <c:pt idx="2">
                  <c:v>79</c:v>
                </c:pt>
                <c:pt idx="3">
                  <c:v>102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Comparison'!$S$3:$S$8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566-4A62-B940-AC0DFB4917B5}"/>
            </c:ext>
          </c:extLst>
        </c:ser>
        <c:ser>
          <c:idx val="3"/>
          <c:order val="11"/>
          <c:tx>
            <c:v>2005</c:v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Comparison'!$M$3:$M$10</c:f>
              <c:numCache>
                <c:formatCode>General</c:formatCode>
                <c:ptCount val="8"/>
                <c:pt idx="0">
                  <c:v>0</c:v>
                </c:pt>
                <c:pt idx="1">
                  <c:v>41</c:v>
                </c:pt>
                <c:pt idx="2">
                  <c:v>66</c:v>
                </c:pt>
                <c:pt idx="3">
                  <c:v>104</c:v>
                </c:pt>
                <c:pt idx="4">
                  <c:v>118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Comparison'!$O$3:$O$10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566-4A62-B940-AC0DFB4917B5}"/>
            </c:ext>
          </c:extLst>
        </c:ser>
        <c:ser>
          <c:idx val="0"/>
          <c:order val="12"/>
          <c:tx>
            <c:v>2004</c:v>
          </c:tx>
          <c:spPr>
            <a:ln w="28575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xVal>
            <c:numRef>
              <c:f>'raw 2002-2016 Comparison'!$I$3:$I$10</c:f>
              <c:numCache>
                <c:formatCode>General</c:formatCode>
                <c:ptCount val="8"/>
                <c:pt idx="0">
                  <c:v>0</c:v>
                </c:pt>
                <c:pt idx="1">
                  <c:v>35</c:v>
                </c:pt>
                <c:pt idx="2">
                  <c:v>61</c:v>
                </c:pt>
                <c:pt idx="3">
                  <c:v>82</c:v>
                </c:pt>
                <c:pt idx="4">
                  <c:v>104</c:v>
                </c:pt>
                <c:pt idx="5">
                  <c:v>119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'raw 2002-2016 Comparison'!$K$3:$K$10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566-4A62-B940-AC0DFB4917B5}"/>
            </c:ext>
          </c:extLst>
        </c:ser>
        <c:ser>
          <c:idx val="1"/>
          <c:order val="13"/>
          <c:tx>
            <c:v>2003</c:v>
          </c:tx>
          <c:spPr>
            <a:ln w="31750">
              <a:solidFill>
                <a:schemeClr val="accent4">
                  <a:lumMod val="60000"/>
                  <a:lumOff val="4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Comparison'!$E$3:$E$10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42</c:v>
                </c:pt>
                <c:pt idx="3">
                  <c:v>65</c:v>
                </c:pt>
                <c:pt idx="4">
                  <c:v>96</c:v>
                </c:pt>
                <c:pt idx="5">
                  <c:v>112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Comparison'!$G$3:$G$10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566-4A62-B940-AC0DFB4917B5}"/>
            </c:ext>
          </c:extLst>
        </c:ser>
        <c:ser>
          <c:idx val="2"/>
          <c:order val="14"/>
          <c:tx>
            <c:v>2002</c:v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Comparison'!$A$3:$A$10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43</c:v>
                </c:pt>
                <c:pt idx="3">
                  <c:v>67</c:v>
                </c:pt>
                <c:pt idx="4">
                  <c:v>80</c:v>
                </c:pt>
                <c:pt idx="5">
                  <c:v>115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Comparison'!$C$3:$C$10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566-4A62-B940-AC0DFB491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6720"/>
        <c:axId val="121089024"/>
      </c:scatterChart>
      <c:valAx>
        <c:axId val="12108672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9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73520903345026"/>
              <c:y val="0.90048645618326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089024"/>
        <c:crosses val="autoZero"/>
        <c:crossBetween val="midCat"/>
        <c:majorUnit val="20"/>
      </c:valAx>
      <c:valAx>
        <c:axId val="121089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086720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2475480562964476"/>
          <c:y val="5.9589634261193299E-2"/>
          <c:w val="9.1066194229344116E-2"/>
          <c:h val="0.5951839532453702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83191721012402"/>
          <c:y val="7.162553704356342E-2"/>
          <c:w val="0.84951590551031797"/>
          <c:h val="0.8044098775661742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'raw 2002-2016 Comparison'!$A$29:$A$38</c:f>
              <c:numCache>
                <c:formatCode>General</c:formatCode>
                <c:ptCount val="10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</c:numCache>
            </c:numRef>
          </c:cat>
          <c:val>
            <c:numRef>
              <c:f>'raw 2002-2016 Comparison'!$B$29:$B$38</c:f>
              <c:numCache>
                <c:formatCode>General</c:formatCode>
                <c:ptCount val="10"/>
                <c:pt idx="0">
                  <c:v>5258.5</c:v>
                </c:pt>
                <c:pt idx="1">
                  <c:v>3485.5</c:v>
                </c:pt>
                <c:pt idx="2">
                  <c:v>3056</c:v>
                </c:pt>
                <c:pt idx="3">
                  <c:v>3995.5</c:v>
                </c:pt>
                <c:pt idx="4">
                  <c:v>5890.5</c:v>
                </c:pt>
                <c:pt idx="5">
                  <c:v>4103</c:v>
                </c:pt>
                <c:pt idx="6">
                  <c:v>1694.5</c:v>
                </c:pt>
                <c:pt idx="7">
                  <c:v>2665</c:v>
                </c:pt>
                <c:pt idx="8">
                  <c:v>4551</c:v>
                </c:pt>
                <c:pt idx="9">
                  <c:v>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E-4749-BDF7-BDDCAEFF6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53184"/>
        <c:axId val="130254720"/>
      </c:barChart>
      <c:catAx>
        <c:axId val="1302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54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0254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AUC (fish days)</a:t>
                </a:r>
              </a:p>
            </c:rich>
          </c:tx>
          <c:layout>
            <c:manualLayout>
              <c:xMode val="edge"/>
              <c:yMode val="edge"/>
              <c:x val="2.5889897734075129E-2"/>
              <c:y val="0.338843842866749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53184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5240254629401"/>
          <c:y val="9.7015018093152564E-2"/>
          <c:w val="0.79052710273114746"/>
          <c:h val="0.6455235641681076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5.7364987469414513E-2"/>
                  <c:y val="0.2248439950923294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'raw 2002-2016 Comparison'!$B$29:$B$43</c:f>
              <c:numCache>
                <c:formatCode>General</c:formatCode>
                <c:ptCount val="15"/>
                <c:pt idx="0">
                  <c:v>5258.5</c:v>
                </c:pt>
                <c:pt idx="1">
                  <c:v>3485.5</c:v>
                </c:pt>
                <c:pt idx="2">
                  <c:v>3056</c:v>
                </c:pt>
                <c:pt idx="3">
                  <c:v>3995.5</c:v>
                </c:pt>
                <c:pt idx="4">
                  <c:v>5890.5</c:v>
                </c:pt>
                <c:pt idx="5">
                  <c:v>4103</c:v>
                </c:pt>
                <c:pt idx="6">
                  <c:v>1694.5</c:v>
                </c:pt>
                <c:pt idx="7">
                  <c:v>2665</c:v>
                </c:pt>
                <c:pt idx="8">
                  <c:v>4551</c:v>
                </c:pt>
                <c:pt idx="9">
                  <c:v>7088</c:v>
                </c:pt>
                <c:pt idx="10">
                  <c:v>2752.5</c:v>
                </c:pt>
                <c:pt idx="11">
                  <c:v>7461.5</c:v>
                </c:pt>
                <c:pt idx="12">
                  <c:v>4186</c:v>
                </c:pt>
                <c:pt idx="13">
                  <c:v>9130.5</c:v>
                </c:pt>
                <c:pt idx="14">
                  <c:v>7500</c:v>
                </c:pt>
              </c:numCache>
            </c:numRef>
          </c:xVal>
          <c:yVal>
            <c:numRef>
              <c:f>'raw 2002-2016 Comparison'!$C$29:$C$43</c:f>
              <c:numCache>
                <c:formatCode>General</c:formatCode>
                <c:ptCount val="15"/>
                <c:pt idx="0">
                  <c:v>73</c:v>
                </c:pt>
                <c:pt idx="1">
                  <c:v>50</c:v>
                </c:pt>
                <c:pt idx="2">
                  <c:v>45</c:v>
                </c:pt>
                <c:pt idx="3">
                  <c:v>61</c:v>
                </c:pt>
                <c:pt idx="4">
                  <c:v>62</c:v>
                </c:pt>
                <c:pt idx="5">
                  <c:v>60</c:v>
                </c:pt>
                <c:pt idx="6">
                  <c:v>18</c:v>
                </c:pt>
                <c:pt idx="7">
                  <c:v>38</c:v>
                </c:pt>
                <c:pt idx="8">
                  <c:v>54</c:v>
                </c:pt>
                <c:pt idx="9">
                  <c:v>103</c:v>
                </c:pt>
                <c:pt idx="10">
                  <c:v>42</c:v>
                </c:pt>
                <c:pt idx="11">
                  <c:v>89</c:v>
                </c:pt>
                <c:pt idx="12">
                  <c:v>68</c:v>
                </c:pt>
                <c:pt idx="13">
                  <c:v>109</c:v>
                </c:pt>
                <c:pt idx="14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B2-47D6-9845-F2CCF0A8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263296"/>
        <c:axId val="130277760"/>
      </c:scatterChart>
      <c:valAx>
        <c:axId val="13026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AUC</a:t>
                </a:r>
              </a:p>
            </c:rich>
          </c:tx>
          <c:layout>
            <c:manualLayout>
              <c:xMode val="edge"/>
              <c:yMode val="edge"/>
              <c:x val="0.44822082196568841"/>
              <c:y val="0.858210563916196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77760"/>
        <c:crosses val="autoZero"/>
        <c:crossBetween val="midCat"/>
      </c:valAx>
      <c:valAx>
        <c:axId val="13027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Peak Count</a:t>
                </a:r>
              </a:p>
            </c:rich>
          </c:tx>
          <c:layout>
            <c:manualLayout>
              <c:xMode val="edge"/>
              <c:yMode val="edge"/>
              <c:x val="2.5889945014579745E-2"/>
              <c:y val="0.276119834133159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02632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'raw 2002-2016 Comparison'!$A$29:$A$41</c:f>
              <c:numCache>
                <c:formatCode>General</c:formatCode>
                <c:ptCount val="1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</c:numCache>
            </c:numRef>
          </c:cat>
          <c:val>
            <c:numRef>
              <c:f>'raw 2002-2016 Comparison'!$C$29:$C$41</c:f>
              <c:numCache>
                <c:formatCode>General</c:formatCode>
                <c:ptCount val="13"/>
                <c:pt idx="0">
                  <c:v>73</c:v>
                </c:pt>
                <c:pt idx="1">
                  <c:v>50</c:v>
                </c:pt>
                <c:pt idx="2">
                  <c:v>45</c:v>
                </c:pt>
                <c:pt idx="3">
                  <c:v>61</c:v>
                </c:pt>
                <c:pt idx="4">
                  <c:v>62</c:v>
                </c:pt>
                <c:pt idx="5">
                  <c:v>60</c:v>
                </c:pt>
                <c:pt idx="6">
                  <c:v>18</c:v>
                </c:pt>
                <c:pt idx="7">
                  <c:v>38</c:v>
                </c:pt>
                <c:pt idx="8">
                  <c:v>54</c:v>
                </c:pt>
                <c:pt idx="9">
                  <c:v>103</c:v>
                </c:pt>
                <c:pt idx="10">
                  <c:v>42</c:v>
                </c:pt>
                <c:pt idx="11">
                  <c:v>89</c:v>
                </c:pt>
                <c:pt idx="1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0-4C7F-96C7-638802678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01952"/>
        <c:axId val="130303488"/>
      </c:barChart>
      <c:catAx>
        <c:axId val="13030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03488"/>
        <c:crosses val="autoZero"/>
        <c:auto val="1"/>
        <c:lblAlgn val="ctr"/>
        <c:lblOffset val="100"/>
        <c:noMultiLvlLbl val="0"/>
      </c:catAx>
      <c:valAx>
        <c:axId val="130303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301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600"/>
              <a:t>Englishman River Winter Steelhead Snorkel Survey Counts
 15 km Whole Stream Count, 2002-2016</a:t>
            </a:r>
          </a:p>
        </c:rich>
      </c:tx>
      <c:layout>
        <c:manualLayout>
          <c:xMode val="edge"/>
          <c:yMode val="edge"/>
          <c:x val="0.2140489205736319"/>
          <c:y val="4.36629673096899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47679899970643"/>
          <c:y val="0.1352430699877831"/>
          <c:w val="0.84112277478031117"/>
          <c:h val="0.66572881009930307"/>
        </c:manualLayout>
      </c:layout>
      <c:scatterChart>
        <c:scatterStyle val="smoothMarker"/>
        <c:varyColors val="0"/>
        <c:ser>
          <c:idx val="14"/>
          <c:order val="0"/>
          <c:tx>
            <c:strRef>
              <c:f>'raw 2002-2016 Comparison'!$BE$1</c:f>
              <c:strCache>
                <c:ptCount val="1"/>
                <c:pt idx="0">
                  <c:v>2016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'raw 2002-2016 Comparison'!$BE$3:$BE$7</c:f>
              <c:numCache>
                <c:formatCode>General</c:formatCode>
                <c:ptCount val="5"/>
                <c:pt idx="0">
                  <c:v>0</c:v>
                </c:pt>
                <c:pt idx="1">
                  <c:v>90</c:v>
                </c:pt>
                <c:pt idx="2">
                  <c:v>98</c:v>
                </c:pt>
                <c:pt idx="3">
                  <c:v>111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Comparison'!$BG$3:$BG$7</c:f>
              <c:numCache>
                <c:formatCode>General</c:formatCode>
                <c:ptCount val="5"/>
                <c:pt idx="0">
                  <c:v>0</c:v>
                </c:pt>
                <c:pt idx="1">
                  <c:v>81</c:v>
                </c:pt>
                <c:pt idx="2">
                  <c:v>94</c:v>
                </c:pt>
                <c:pt idx="3">
                  <c:v>96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A-408D-BB84-268EABC6D4EB}"/>
            </c:ext>
          </c:extLst>
        </c:ser>
        <c:ser>
          <c:idx val="13"/>
          <c:order val="1"/>
          <c:tx>
            <c:strRef>
              <c:f>'raw 2002-2016 Comparison'!$BA$1</c:f>
              <c:strCache>
                <c:ptCount val="1"/>
                <c:pt idx="0">
                  <c:v>2015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'raw 2002-2016 Comparison'!$BA$3:$BA$7</c:f>
              <c:numCache>
                <c:formatCode>General</c:formatCode>
                <c:ptCount val="5"/>
                <c:pt idx="0">
                  <c:v>0</c:v>
                </c:pt>
                <c:pt idx="1">
                  <c:v>86</c:v>
                </c:pt>
                <c:pt idx="2">
                  <c:v>98</c:v>
                </c:pt>
                <c:pt idx="3">
                  <c:v>117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Comparison'!$BC$3:$BC$7</c:f>
              <c:numCache>
                <c:formatCode>General</c:formatCode>
                <c:ptCount val="5"/>
                <c:pt idx="0">
                  <c:v>0</c:v>
                </c:pt>
                <c:pt idx="1">
                  <c:v>109</c:v>
                </c:pt>
                <c:pt idx="2">
                  <c:v>106</c:v>
                </c:pt>
                <c:pt idx="3">
                  <c:v>81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A-408D-BB84-268EABC6D4EB}"/>
            </c:ext>
          </c:extLst>
        </c:ser>
        <c:ser>
          <c:idx val="12"/>
          <c:order val="2"/>
          <c:tx>
            <c:strRef>
              <c:f>'raw 2002-2016 Comparison'!$AW$1</c:f>
              <c:strCache>
                <c:ptCount val="1"/>
                <c:pt idx="0">
                  <c:v>2014</c:v>
                </c:pt>
              </c:strCache>
            </c:strRef>
          </c:tx>
          <c:spPr>
            <a:ln w="63500" cap="sq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'raw 2002-2016 Comparison'!$AW$3:$AW$7</c:f>
              <c:numCache>
                <c:formatCode>General</c:formatCode>
                <c:ptCount val="5"/>
                <c:pt idx="0">
                  <c:v>0</c:v>
                </c:pt>
                <c:pt idx="1">
                  <c:v>84</c:v>
                </c:pt>
                <c:pt idx="2">
                  <c:v>101</c:v>
                </c:pt>
                <c:pt idx="3">
                  <c:v>114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Comparison'!$AY$3:$AY$7</c:f>
              <c:numCache>
                <c:formatCode>General</c:formatCode>
                <c:ptCount val="5"/>
                <c:pt idx="0">
                  <c:v>0</c:v>
                </c:pt>
                <c:pt idx="1">
                  <c:v>32</c:v>
                </c:pt>
                <c:pt idx="2">
                  <c:v>68</c:v>
                </c:pt>
                <c:pt idx="3">
                  <c:v>62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1A-408D-BB84-268EABC6D4EB}"/>
            </c:ext>
          </c:extLst>
        </c:ser>
        <c:ser>
          <c:idx val="11"/>
          <c:order val="3"/>
          <c:tx>
            <c:strRef>
              <c:f>'raw 2002-2016 Comparison'!$AS$1</c:f>
              <c:strCache>
                <c:ptCount val="1"/>
                <c:pt idx="0">
                  <c:v>2013</c:v>
                </c:pt>
              </c:strCache>
            </c:strRef>
          </c:tx>
          <c:spPr>
            <a:ln w="63500">
              <a:solidFill>
                <a:schemeClr val="accent6"/>
              </a:solidFill>
            </a:ln>
          </c:spPr>
          <c:marker>
            <c:spPr>
              <a:solidFill>
                <a:schemeClr val="accent6"/>
              </a:solidFill>
              <a:ln>
                <a:noFill/>
              </a:ln>
            </c:spPr>
          </c:marker>
          <c:xVal>
            <c:numRef>
              <c:f>'raw 2002-2016 Comparison'!$AS$3:$AS$9</c:f>
              <c:numCache>
                <c:formatCode>General</c:formatCode>
                <c:ptCount val="7"/>
                <c:pt idx="0">
                  <c:v>0</c:v>
                </c:pt>
                <c:pt idx="1">
                  <c:v>85</c:v>
                </c:pt>
                <c:pt idx="2">
                  <c:v>86</c:v>
                </c:pt>
                <c:pt idx="3">
                  <c:v>107</c:v>
                </c:pt>
                <c:pt idx="4">
                  <c:v>115</c:v>
                </c:pt>
                <c:pt idx="5">
                  <c:v>123</c:v>
                </c:pt>
                <c:pt idx="6">
                  <c:v>151</c:v>
                </c:pt>
              </c:numCache>
            </c:numRef>
          </c:xVal>
          <c:yVal>
            <c:numRef>
              <c:f>'raw 2002-2016 Comparison'!$AU$3:$AU$9</c:f>
              <c:numCache>
                <c:formatCode>General</c:formatCode>
                <c:ptCount val="7"/>
                <c:pt idx="0">
                  <c:v>0</c:v>
                </c:pt>
                <c:pt idx="1">
                  <c:v>84</c:v>
                </c:pt>
                <c:pt idx="2">
                  <c:v>87</c:v>
                </c:pt>
                <c:pt idx="3">
                  <c:v>89</c:v>
                </c:pt>
                <c:pt idx="4">
                  <c:v>89</c:v>
                </c:pt>
                <c:pt idx="5">
                  <c:v>89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1A-408D-BB84-268EABC6D4EB}"/>
            </c:ext>
          </c:extLst>
        </c:ser>
        <c:ser>
          <c:idx val="10"/>
          <c:order val="4"/>
          <c:tx>
            <c:strRef>
              <c:f>'raw 2002-2016 Comparison'!$AO$1</c:f>
              <c:strCache>
                <c:ptCount val="1"/>
                <c:pt idx="0">
                  <c:v>2012</c:v>
                </c:pt>
              </c:strCache>
            </c:strRef>
          </c:tx>
          <c:spPr>
            <a:ln w="63500">
              <a:solidFill>
                <a:srgbClr val="FFC000"/>
              </a:solidFill>
            </a:ln>
          </c:spPr>
          <c:marker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'raw 2002-2016 Comparison'!$AO$3:$AO$7</c:f>
              <c:numCache>
                <c:formatCode>General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115</c:v>
                </c:pt>
                <c:pt idx="3">
                  <c:v>127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Comparison'!$AQ$3:$AQ$7</c:f>
              <c:numCache>
                <c:formatCode>General</c:formatCode>
                <c:ptCount val="5"/>
                <c:pt idx="0">
                  <c:v>0</c:v>
                </c:pt>
                <c:pt idx="1">
                  <c:v>33</c:v>
                </c:pt>
                <c:pt idx="2">
                  <c:v>38</c:v>
                </c:pt>
                <c:pt idx="3">
                  <c:v>42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1A-408D-BB84-268EABC6D4EB}"/>
            </c:ext>
          </c:extLst>
        </c:ser>
        <c:ser>
          <c:idx val="9"/>
          <c:order val="5"/>
          <c:tx>
            <c:strRef>
              <c:f>'raw 2002-2016 Comparison'!$AK$1</c:f>
              <c:strCache>
                <c:ptCount val="1"/>
                <c:pt idx="0">
                  <c:v>2011</c:v>
                </c:pt>
              </c:strCache>
            </c:strRef>
          </c:tx>
          <c:spPr>
            <a:ln w="28575" cap="sq"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dPt>
            <c:idx val="2"/>
            <c:bubble3D val="0"/>
            <c:spPr>
              <a:ln w="28575" cap="sq">
                <a:solidFill>
                  <a:schemeClr val="bg1">
                    <a:lumMod val="50000"/>
                  </a:schemeClr>
                </a:solidFill>
                <a:bevel/>
              </a:ln>
            </c:spPr>
            <c:extLst>
              <c:ext xmlns:c16="http://schemas.microsoft.com/office/drawing/2014/chart" uri="{C3380CC4-5D6E-409C-BE32-E72D297353CC}">
                <c16:uniqueId val="{00000006-851A-408D-BB84-268EABC6D4EB}"/>
              </c:ext>
            </c:extLst>
          </c:dPt>
          <c:xVal>
            <c:numRef>
              <c:f>'raw 2002-2016 Comparison'!$AK$3:$AK$6</c:f>
              <c:numCache>
                <c:formatCode>General</c:formatCode>
                <c:ptCount val="4"/>
                <c:pt idx="0">
                  <c:v>0</c:v>
                </c:pt>
                <c:pt idx="1">
                  <c:v>86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Comparison'!$AM$3:$AM$6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103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1A-408D-BB84-268EABC6D4EB}"/>
            </c:ext>
          </c:extLst>
        </c:ser>
        <c:ser>
          <c:idx val="8"/>
          <c:order val="6"/>
          <c:tx>
            <c:strRef>
              <c:f>'raw 2002-2016 Comparison'!$AG$1</c:f>
              <c:strCache>
                <c:ptCount val="1"/>
                <c:pt idx="0">
                  <c:v>2010</c:v>
                </c:pt>
              </c:strCache>
            </c:strRef>
          </c:tx>
          <c:spPr>
            <a:ln w="28575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triangl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Comparison'!$AG$3:$AG$6</c:f>
              <c:numCache>
                <c:formatCode>General</c:formatCode>
                <c:ptCount val="4"/>
                <c:pt idx="0">
                  <c:v>0</c:v>
                </c:pt>
                <c:pt idx="1">
                  <c:v>68</c:v>
                </c:pt>
                <c:pt idx="2">
                  <c:v>110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Comparison'!$AI$3:$AI$6</c:f>
              <c:numCache>
                <c:formatCode>General</c:formatCode>
                <c:ptCount val="4"/>
                <c:pt idx="0">
                  <c:v>0</c:v>
                </c:pt>
                <c:pt idx="1">
                  <c:v>42</c:v>
                </c:pt>
                <c:pt idx="2">
                  <c:v>54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51A-408D-BB84-268EABC6D4EB}"/>
            </c:ext>
          </c:extLst>
        </c:ser>
        <c:ser>
          <c:idx val="7"/>
          <c:order val="7"/>
          <c:tx>
            <c:strRef>
              <c:f>'raw 2002-2016 Comparison'!$AC$1</c:f>
              <c:strCache>
                <c:ptCount val="1"/>
                <c:pt idx="0">
                  <c:v>2009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circle"/>
            <c:size val="4"/>
            <c:spPr>
              <a:solidFill>
                <a:schemeClr val="bg1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Comparison'!$AC$3:$AC$6</c:f>
              <c:numCache>
                <c:formatCode>General</c:formatCode>
                <c:ptCount val="4"/>
                <c:pt idx="0">
                  <c:v>0</c:v>
                </c:pt>
                <c:pt idx="1">
                  <c:v>84</c:v>
                </c:pt>
                <c:pt idx="2">
                  <c:v>116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Comparison'!$AE$3:$AE$6</c:f>
              <c:numCache>
                <c:formatCode>General</c:formatCode>
                <c:ptCount val="4"/>
                <c:pt idx="0">
                  <c:v>0</c:v>
                </c:pt>
                <c:pt idx="1">
                  <c:v>24</c:v>
                </c:pt>
                <c:pt idx="2">
                  <c:v>38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51A-408D-BB84-268EABC6D4EB}"/>
            </c:ext>
          </c:extLst>
        </c:ser>
        <c:ser>
          <c:idx val="6"/>
          <c:order val="8"/>
          <c:tx>
            <c:strRef>
              <c:f>'raw 2002-2016 Comparison'!$Y$1</c:f>
              <c:strCache>
                <c:ptCount val="1"/>
                <c:pt idx="0">
                  <c:v>2008</c:v>
                </c:pt>
              </c:strCache>
            </c:strRef>
          </c:tx>
          <c:spPr>
            <a:ln w="254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Comparison'!$Y$3:$Y$6</c:f>
              <c:numCache>
                <c:formatCode>General</c:formatCode>
                <c:ptCount val="4"/>
                <c:pt idx="0">
                  <c:v>0</c:v>
                </c:pt>
                <c:pt idx="1">
                  <c:v>66</c:v>
                </c:pt>
                <c:pt idx="2">
                  <c:v>108</c:v>
                </c:pt>
                <c:pt idx="3">
                  <c:v>151</c:v>
                </c:pt>
              </c:numCache>
            </c:numRef>
          </c:xVal>
          <c:yVal>
            <c:numRef>
              <c:f>'raw 2002-2016 Comparison'!$AA$3:$AA$6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17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1A-408D-BB84-268EABC6D4EB}"/>
            </c:ext>
          </c:extLst>
        </c:ser>
        <c:ser>
          <c:idx val="5"/>
          <c:order val="9"/>
          <c:tx>
            <c:v>2007</c:v>
          </c:tx>
          <c:spPr>
            <a:ln w="25400">
              <a:solidFill>
                <a:schemeClr val="accent4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accent4">
                  <a:lumMod val="50000"/>
                </a:schemeClr>
              </a:solidFill>
              <a:ln w="25400">
                <a:noFill/>
                <a:prstDash val="solid"/>
              </a:ln>
            </c:spPr>
          </c:marker>
          <c:xVal>
            <c:numRef>
              <c:f>'raw 2002-2016 Comparison'!$U$3:$U$8</c:f>
              <c:numCache>
                <c:formatCode>General</c:formatCode>
                <c:ptCount val="6"/>
                <c:pt idx="0">
                  <c:v>0</c:v>
                </c:pt>
                <c:pt idx="1">
                  <c:v>53</c:v>
                </c:pt>
                <c:pt idx="2">
                  <c:v>87</c:v>
                </c:pt>
                <c:pt idx="3">
                  <c:v>109</c:v>
                </c:pt>
                <c:pt idx="4">
                  <c:v>151</c:v>
                </c:pt>
              </c:numCache>
            </c:numRef>
          </c:xVal>
          <c:yVal>
            <c:numRef>
              <c:f>'raw 2002-2016 Comparison'!$W$3:$W$8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50</c:v>
                </c:pt>
                <c:pt idx="3">
                  <c:v>60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51A-408D-BB84-268EABC6D4EB}"/>
            </c:ext>
          </c:extLst>
        </c:ser>
        <c:ser>
          <c:idx val="4"/>
          <c:order val="10"/>
          <c:tx>
            <c:strRef>
              <c:f>'raw 2002-2016 Comparison'!$Q$1</c:f>
              <c:strCache>
                <c:ptCount val="1"/>
                <c:pt idx="0">
                  <c:v>2006</c:v>
                </c:pt>
              </c:strCache>
            </c:strRef>
          </c:tx>
          <c:spPr>
            <a:ln w="317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Comparison'!$Q$3:$Q$8</c:f>
              <c:numCache>
                <c:formatCode>General</c:formatCode>
                <c:ptCount val="6"/>
                <c:pt idx="0">
                  <c:v>0</c:v>
                </c:pt>
                <c:pt idx="1">
                  <c:v>45</c:v>
                </c:pt>
                <c:pt idx="2">
                  <c:v>79</c:v>
                </c:pt>
                <c:pt idx="3">
                  <c:v>102</c:v>
                </c:pt>
                <c:pt idx="4">
                  <c:v>125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Comparison'!$S$3:$S$8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59</c:v>
                </c:pt>
                <c:pt idx="3">
                  <c:v>62</c:v>
                </c:pt>
                <c:pt idx="4">
                  <c:v>62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51A-408D-BB84-268EABC6D4EB}"/>
            </c:ext>
          </c:extLst>
        </c:ser>
        <c:ser>
          <c:idx val="3"/>
          <c:order val="11"/>
          <c:tx>
            <c:v>2005</c:v>
          </c:tx>
          <c:spPr>
            <a:ln w="25400">
              <a:solidFill>
                <a:schemeClr val="tx2">
                  <a:lumMod val="50000"/>
                </a:schemeClr>
              </a:solidFill>
              <a:prstDash val="solid"/>
            </a:ln>
          </c:spPr>
          <c:marker>
            <c:symbol val="circle"/>
            <c:size val="6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Comparison'!$M$3:$M$10</c:f>
              <c:numCache>
                <c:formatCode>General</c:formatCode>
                <c:ptCount val="8"/>
                <c:pt idx="0">
                  <c:v>0</c:v>
                </c:pt>
                <c:pt idx="1">
                  <c:v>41</c:v>
                </c:pt>
                <c:pt idx="2">
                  <c:v>66</c:v>
                </c:pt>
                <c:pt idx="3">
                  <c:v>104</c:v>
                </c:pt>
                <c:pt idx="4">
                  <c:v>118</c:v>
                </c:pt>
                <c:pt idx="5">
                  <c:v>151</c:v>
                </c:pt>
              </c:numCache>
            </c:numRef>
          </c:xVal>
          <c:yVal>
            <c:numRef>
              <c:f>'raw 2002-2016 Comparison'!$O$3:$O$10</c:f>
              <c:numCache>
                <c:formatCode>General</c:formatCode>
                <c:ptCount val="8"/>
                <c:pt idx="0">
                  <c:v>0</c:v>
                </c:pt>
                <c:pt idx="1">
                  <c:v>9</c:v>
                </c:pt>
                <c:pt idx="2">
                  <c:v>32</c:v>
                </c:pt>
                <c:pt idx="3">
                  <c:v>61</c:v>
                </c:pt>
                <c:pt idx="4">
                  <c:v>47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1A-408D-BB84-268EABC6D4EB}"/>
            </c:ext>
          </c:extLst>
        </c:ser>
        <c:ser>
          <c:idx val="0"/>
          <c:order val="12"/>
          <c:tx>
            <c:v>2004</c:v>
          </c:tx>
          <c:spPr>
            <a:ln w="28575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diamond"/>
            <c:size val="5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Comparison'!$I$3:$I$10</c:f>
              <c:numCache>
                <c:formatCode>General</c:formatCode>
                <c:ptCount val="8"/>
                <c:pt idx="0">
                  <c:v>0</c:v>
                </c:pt>
                <c:pt idx="1">
                  <c:v>35</c:v>
                </c:pt>
                <c:pt idx="2">
                  <c:v>61</c:v>
                </c:pt>
                <c:pt idx="3">
                  <c:v>82</c:v>
                </c:pt>
                <c:pt idx="4">
                  <c:v>104</c:v>
                </c:pt>
                <c:pt idx="5">
                  <c:v>119</c:v>
                </c:pt>
                <c:pt idx="6">
                  <c:v>134</c:v>
                </c:pt>
                <c:pt idx="7">
                  <c:v>151</c:v>
                </c:pt>
              </c:numCache>
            </c:numRef>
          </c:xVal>
          <c:yVal>
            <c:numRef>
              <c:f>'raw 2002-2016 Comparison'!$K$3:$K$10</c:f>
              <c:numCache>
                <c:formatCode>General</c:formatCode>
                <c:ptCount val="8"/>
                <c:pt idx="0">
                  <c:v>0</c:v>
                </c:pt>
                <c:pt idx="1">
                  <c:v>6</c:v>
                </c:pt>
                <c:pt idx="2">
                  <c:v>21</c:v>
                </c:pt>
                <c:pt idx="3">
                  <c:v>24</c:v>
                </c:pt>
                <c:pt idx="4">
                  <c:v>45</c:v>
                </c:pt>
                <c:pt idx="5">
                  <c:v>41</c:v>
                </c:pt>
                <c:pt idx="6">
                  <c:v>26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51A-408D-BB84-268EABC6D4EB}"/>
            </c:ext>
          </c:extLst>
        </c:ser>
        <c:ser>
          <c:idx val="1"/>
          <c:order val="13"/>
          <c:tx>
            <c:v>2003</c:v>
          </c:tx>
          <c:spPr>
            <a:ln w="3175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'raw 2002-2016 Comparison'!$E$3:$E$10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42</c:v>
                </c:pt>
                <c:pt idx="3">
                  <c:v>65</c:v>
                </c:pt>
                <c:pt idx="4">
                  <c:v>96</c:v>
                </c:pt>
                <c:pt idx="5">
                  <c:v>112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Comparison'!$G$3:$G$10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19</c:v>
                </c:pt>
                <c:pt idx="3">
                  <c:v>21</c:v>
                </c:pt>
                <c:pt idx="4">
                  <c:v>46</c:v>
                </c:pt>
                <c:pt idx="5">
                  <c:v>50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51A-408D-BB84-268EABC6D4EB}"/>
            </c:ext>
          </c:extLst>
        </c:ser>
        <c:ser>
          <c:idx val="2"/>
          <c:order val="14"/>
          <c:tx>
            <c:v>2002</c:v>
          </c:tx>
          <c:spPr>
            <a:ln w="285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  <c:marker>
            <c:symbol val="triangle"/>
            <c:size val="5"/>
            <c:spPr>
              <a:solidFill>
                <a:schemeClr val="bg1">
                  <a:lumMod val="65000"/>
                </a:schemeClr>
              </a:solidFill>
              <a:ln>
                <a:noFill/>
                <a:prstDash val="solid"/>
              </a:ln>
            </c:spPr>
          </c:marker>
          <c:xVal>
            <c:numRef>
              <c:f>'raw 2002-2016 Comparison'!$A$3:$A$10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43</c:v>
                </c:pt>
                <c:pt idx="3">
                  <c:v>67</c:v>
                </c:pt>
                <c:pt idx="4">
                  <c:v>80</c:v>
                </c:pt>
                <c:pt idx="5">
                  <c:v>115</c:v>
                </c:pt>
                <c:pt idx="6">
                  <c:v>133</c:v>
                </c:pt>
                <c:pt idx="7">
                  <c:v>150</c:v>
                </c:pt>
              </c:numCache>
            </c:numRef>
          </c:xVal>
          <c:yVal>
            <c:numRef>
              <c:f>'raw 2002-2016 Comparison'!$C$3:$C$10</c:f>
              <c:numCache>
                <c:formatCode>General</c:formatCode>
                <c:ptCount val="8"/>
                <c:pt idx="0">
                  <c:v>0</c:v>
                </c:pt>
                <c:pt idx="1">
                  <c:v>17</c:v>
                </c:pt>
                <c:pt idx="2">
                  <c:v>16</c:v>
                </c:pt>
                <c:pt idx="3">
                  <c:v>46</c:v>
                </c:pt>
                <c:pt idx="4">
                  <c:v>50</c:v>
                </c:pt>
                <c:pt idx="5">
                  <c:v>73</c:v>
                </c:pt>
                <c:pt idx="6">
                  <c:v>29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51A-408D-BB84-268EABC6D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47424"/>
        <c:axId val="131049728"/>
      </c:scatterChart>
      <c:valAx>
        <c:axId val="131047424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Day of Run</a:t>
                </a:r>
              </a:p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(Date)</a:t>
                </a:r>
              </a:p>
            </c:rich>
          </c:tx>
          <c:layout>
            <c:manualLayout>
              <c:xMode val="edge"/>
              <c:yMode val="edge"/>
              <c:x val="0.473520903345026"/>
              <c:y val="0.90048645618326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049728"/>
        <c:crosses val="autoZero"/>
        <c:crossBetween val="midCat"/>
        <c:majorUnit val="20"/>
      </c:valAx>
      <c:valAx>
        <c:axId val="131049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047424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1976906923800779"/>
          <c:y val="0.12529846405248427"/>
          <c:w val="7.6108928152911148E-2"/>
          <c:h val="0.5951839532453702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Englishman River March Steelhead Counts                  </a:t>
            </a:r>
          </a:p>
        </c:rich>
      </c:tx>
      <c:layout>
        <c:manualLayout>
          <c:xMode val="edge"/>
          <c:yMode val="edge"/>
          <c:x val="0.16041164621864124"/>
          <c:y val="3.28169034736579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0275345990011E-2"/>
          <c:y val="0.15041047745712299"/>
          <c:w val="0.88997608044681953"/>
          <c:h val="0.804012370407165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FC-4F40-AE8A-5EB8A346411E}"/>
              </c:ext>
            </c:extLst>
          </c:dPt>
          <c:dPt>
            <c:idx val="8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FC-4F40-AE8A-5EB8A346411E}"/>
              </c:ext>
            </c:extLst>
          </c:dPt>
          <c:dPt>
            <c:idx val="9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AFC-4F40-AE8A-5EB8A346411E}"/>
              </c:ext>
            </c:extLst>
          </c:dPt>
          <c:dPt>
            <c:idx val="10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AFC-4F40-AE8A-5EB8A346411E}"/>
              </c:ext>
            </c:extLst>
          </c:dPt>
          <c:dPt>
            <c:idx val="11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AFC-4F40-AE8A-5EB8A346411E}"/>
              </c:ext>
            </c:extLst>
          </c:dPt>
          <c:dPt>
            <c:idx val="12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AFC-4F40-AE8A-5EB8A346411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'March 82-06'!$M$4:$M$19</c:f>
              <c:numCache>
                <c:formatCode>General</c:formatCode>
                <c:ptCount val="16"/>
                <c:pt idx="0">
                  <c:v>1985</c:v>
                </c:pt>
                <c:pt idx="1">
                  <c:v>1991</c:v>
                </c:pt>
                <c:pt idx="2">
                  <c:v>1992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1999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</c:numCache>
            </c:numRef>
          </c:cat>
          <c:val>
            <c:numRef>
              <c:f>'March 82-06'!$N$4:$N$19</c:f>
              <c:numCache>
                <c:formatCode>General</c:formatCode>
                <c:ptCount val="16"/>
                <c:pt idx="0">
                  <c:v>31.4</c:v>
                </c:pt>
                <c:pt idx="1">
                  <c:v>5.1219512195121952</c:v>
                </c:pt>
                <c:pt idx="2">
                  <c:v>10.121951219512196</c:v>
                </c:pt>
                <c:pt idx="3">
                  <c:v>2.0731707317073171</c:v>
                </c:pt>
                <c:pt idx="4">
                  <c:v>4.3902439024390247</c:v>
                </c:pt>
                <c:pt idx="5">
                  <c:v>3.6585365853658538</c:v>
                </c:pt>
                <c:pt idx="6">
                  <c:v>2.0731707317073171</c:v>
                </c:pt>
                <c:pt idx="7">
                  <c:v>8.0487804878048781</c:v>
                </c:pt>
                <c:pt idx="8">
                  <c:v>4.4318181818181817</c:v>
                </c:pt>
                <c:pt idx="9">
                  <c:v>2.16</c:v>
                </c:pt>
                <c:pt idx="10">
                  <c:v>2.39</c:v>
                </c:pt>
                <c:pt idx="11">
                  <c:v>2.39</c:v>
                </c:pt>
                <c:pt idx="12">
                  <c:v>5.57</c:v>
                </c:pt>
                <c:pt idx="13">
                  <c:v>4.2682926829268295</c:v>
                </c:pt>
                <c:pt idx="14">
                  <c:v>2.0731707317073171</c:v>
                </c:pt>
                <c:pt idx="15">
                  <c:v>2.3170731707317076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FC-4F40-AE8A-5EB8A346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27936"/>
        <c:axId val="131129728"/>
      </c:barChart>
      <c:catAx>
        <c:axId val="1311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31129728"/>
        <c:crosses val="autoZero"/>
        <c:auto val="1"/>
        <c:lblAlgn val="ctr"/>
        <c:lblOffset val="100"/>
        <c:tickMarkSkip val="1"/>
        <c:noMultiLvlLbl val="0"/>
      </c:catAx>
      <c:valAx>
        <c:axId val="131129728"/>
        <c:scaling>
          <c:orientation val="minMax"/>
          <c:max val="11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fish/km</a:t>
                </a:r>
              </a:p>
            </c:rich>
          </c:tx>
          <c:layout>
            <c:manualLayout>
              <c:xMode val="edge"/>
              <c:yMode val="edge"/>
              <c:x val="7.712059248407903E-3"/>
              <c:y val="0.470374638924324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112793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image" Target="../media/image1.png"/><Relationship Id="rId7" Type="http://schemas.openxmlformats.org/officeDocument/2006/relationships/chart" Target="../charts/chart17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313912</xdr:colOff>
      <xdr:row>2</xdr:row>
      <xdr:rowOff>132490</xdr:rowOff>
    </xdr:from>
    <xdr:to>
      <xdr:col>19</xdr:col>
      <xdr:colOff>15875</xdr:colOff>
      <xdr:row>51</xdr:row>
      <xdr:rowOff>60416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C922CF8-7211-8117-A2E1-28E72A4BA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609600</xdr:colOff>
      <xdr:row>18</xdr:row>
      <xdr:rowOff>15240</xdr:rowOff>
    </xdr:from>
    <xdr:to>
      <xdr:col>35</xdr:col>
      <xdr:colOff>478565</xdr:colOff>
      <xdr:row>47</xdr:row>
      <xdr:rowOff>163850</xdr:rowOff>
    </xdr:to>
    <xdr:graphicFrame macro="">
      <xdr:nvGraphicFramePr>
        <xdr:cNvPr id="3" name="Chart 10">
          <a:extLst>
            <a:ext uri="{FF2B5EF4-FFF2-40B4-BE49-F238E27FC236}">
              <a16:creationId xmlns:a16="http://schemas.microsoft.com/office/drawing/2014/main" id="{CFB738D2-8C2C-E4B5-8654-D1EF4BD3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528676</xdr:colOff>
      <xdr:row>74</xdr:row>
      <xdr:rowOff>8369</xdr:rowOff>
    </xdr:from>
    <xdr:to>
      <xdr:col>28</xdr:col>
      <xdr:colOff>178040</xdr:colOff>
      <xdr:row>98</xdr:row>
      <xdr:rowOff>35782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92DF1EDC-9891-175C-FA05-15503D8B1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317007</xdr:colOff>
      <xdr:row>74</xdr:row>
      <xdr:rowOff>10338</xdr:rowOff>
    </xdr:from>
    <xdr:to>
      <xdr:col>34</xdr:col>
      <xdr:colOff>806746</xdr:colOff>
      <xdr:row>98</xdr:row>
      <xdr:rowOff>59236</xdr:rowOff>
    </xdr:to>
    <xdr:graphicFrame macro="">
      <xdr:nvGraphicFramePr>
        <xdr:cNvPr id="7" name="Chart 12">
          <a:extLst>
            <a:ext uri="{FF2B5EF4-FFF2-40B4-BE49-F238E27FC236}">
              <a16:creationId xmlns:a16="http://schemas.microsoft.com/office/drawing/2014/main" id="{0B064A49-D354-E694-555B-B62330ADF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535073</xdr:colOff>
      <xdr:row>99</xdr:row>
      <xdr:rowOff>78267</xdr:rowOff>
    </xdr:from>
    <xdr:to>
      <xdr:col>28</xdr:col>
      <xdr:colOff>204548</xdr:colOff>
      <xdr:row>121</xdr:row>
      <xdr:rowOff>12306</xdr:rowOff>
    </xdr:to>
    <xdr:graphicFrame macro="">
      <xdr:nvGraphicFramePr>
        <xdr:cNvPr id="8" name="Chart 13">
          <a:extLst>
            <a:ext uri="{FF2B5EF4-FFF2-40B4-BE49-F238E27FC236}">
              <a16:creationId xmlns:a16="http://schemas.microsoft.com/office/drawing/2014/main" id="{C83E43A7-6860-05D0-A39D-4D88838E5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291902</xdr:colOff>
      <xdr:row>98</xdr:row>
      <xdr:rowOff>127000</xdr:rowOff>
    </xdr:from>
    <xdr:to>
      <xdr:col>34</xdr:col>
      <xdr:colOff>774082</xdr:colOff>
      <xdr:row>119</xdr:row>
      <xdr:rowOff>31504</xdr:rowOff>
    </xdr:to>
    <xdr:graphicFrame macro="">
      <xdr:nvGraphicFramePr>
        <xdr:cNvPr id="9" name="Chart 14">
          <a:extLst>
            <a:ext uri="{FF2B5EF4-FFF2-40B4-BE49-F238E27FC236}">
              <a16:creationId xmlns:a16="http://schemas.microsoft.com/office/drawing/2014/main" id="{D804DCB3-142D-73D5-F43D-AD51164AA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77018</xdr:colOff>
      <xdr:row>102</xdr:row>
      <xdr:rowOff>29989</xdr:rowOff>
    </xdr:from>
    <xdr:to>
      <xdr:col>8</xdr:col>
      <xdr:colOff>573470</xdr:colOff>
      <xdr:row>123</xdr:row>
      <xdr:rowOff>133361</xdr:rowOff>
    </xdr:to>
    <xdr:graphicFrame macro="">
      <xdr:nvGraphicFramePr>
        <xdr:cNvPr id="15" name="Chart 13">
          <a:extLst>
            <a:ext uri="{FF2B5EF4-FFF2-40B4-BE49-F238E27FC236}">
              <a16:creationId xmlns:a16="http://schemas.microsoft.com/office/drawing/2014/main" id="{5C11A6E0-7989-03EB-FCB0-9D2AD14B1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732011</xdr:colOff>
      <xdr:row>76</xdr:row>
      <xdr:rowOff>11586</xdr:rowOff>
    </xdr:from>
    <xdr:to>
      <xdr:col>8</xdr:col>
      <xdr:colOff>381375</xdr:colOff>
      <xdr:row>100</xdr:row>
      <xdr:rowOff>38999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2101F590-4750-E440-9B05-43CF7341A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581837</xdr:colOff>
      <xdr:row>76</xdr:row>
      <xdr:rowOff>76791</xdr:rowOff>
    </xdr:from>
    <xdr:to>
      <xdr:col>15</xdr:col>
      <xdr:colOff>244599</xdr:colOff>
      <xdr:row>100</xdr:row>
      <xdr:rowOff>125689</xdr:rowOff>
    </xdr:to>
    <xdr:graphicFrame macro="">
      <xdr:nvGraphicFramePr>
        <xdr:cNvPr id="17" name="Chart 12">
          <a:extLst>
            <a:ext uri="{FF2B5EF4-FFF2-40B4-BE49-F238E27FC236}">
              <a16:creationId xmlns:a16="http://schemas.microsoft.com/office/drawing/2014/main" id="{7FB5F28A-8793-7071-0C24-321C75AF8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697024</xdr:colOff>
      <xdr:row>103</xdr:row>
      <xdr:rowOff>26354</xdr:rowOff>
    </xdr:from>
    <xdr:to>
      <xdr:col>15</xdr:col>
      <xdr:colOff>352227</xdr:colOff>
      <xdr:row>123</xdr:row>
      <xdr:rowOff>100190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4DABBF94-021F-CF0E-8A8F-BE284955B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59690</xdr:colOff>
      <xdr:row>51</xdr:row>
      <xdr:rowOff>74758</xdr:rowOff>
    </xdr:from>
    <xdr:to>
      <xdr:col>34</xdr:col>
      <xdr:colOff>304212</xdr:colOff>
      <xdr:row>85</xdr:row>
      <xdr:rowOff>20319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3E890F5-E750-3039-BDB6-5AD9A09A2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7</xdr:row>
      <xdr:rowOff>0</xdr:rowOff>
    </xdr:from>
    <xdr:to>
      <xdr:col>16</xdr:col>
      <xdr:colOff>558140</xdr:colOff>
      <xdr:row>24</xdr:row>
      <xdr:rowOff>99093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7098D-5813-7A49-88BC-1B0600F9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9900" y="1600200"/>
          <a:ext cx="6222340" cy="39852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491761</xdr:colOff>
      <xdr:row>215</xdr:row>
      <xdr:rowOff>25444</xdr:rowOff>
    </xdr:from>
    <xdr:to>
      <xdr:col>66</xdr:col>
      <xdr:colOff>54819</xdr:colOff>
      <xdr:row>239</xdr:row>
      <xdr:rowOff>47986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59</xdr:col>
      <xdr:colOff>551362</xdr:colOff>
      <xdr:row>192</xdr:row>
      <xdr:rowOff>76291</xdr:rowOff>
    </xdr:from>
    <xdr:to>
      <xdr:col>71</xdr:col>
      <xdr:colOff>256239</xdr:colOff>
      <xdr:row>224</xdr:row>
      <xdr:rowOff>137569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789214</xdr:colOff>
      <xdr:row>174</xdr:row>
      <xdr:rowOff>81642</xdr:rowOff>
    </xdr:from>
    <xdr:to>
      <xdr:col>53</xdr:col>
      <xdr:colOff>217714</xdr:colOff>
      <xdr:row>187</xdr:row>
      <xdr:rowOff>122465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35038393" y="30711321"/>
          <a:ext cx="1061357" cy="13471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15877</xdr:colOff>
      <xdr:row>172</xdr:row>
      <xdr:rowOff>54430</xdr:rowOff>
    </xdr:from>
    <xdr:to>
      <xdr:col>58</xdr:col>
      <xdr:colOff>78922</xdr:colOff>
      <xdr:row>185</xdr:row>
      <xdr:rowOff>122464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 flipV="1">
          <a:off x="37734877" y="30357537"/>
          <a:ext cx="1450974" cy="15376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79</xdr:col>
      <xdr:colOff>342440</xdr:colOff>
      <xdr:row>66</xdr:row>
      <xdr:rowOff>54429</xdr:rowOff>
    </xdr:from>
    <xdr:to>
      <xdr:col>89</xdr:col>
      <xdr:colOff>95250</xdr:colOff>
      <xdr:row>90</xdr:row>
      <xdr:rowOff>95251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16226" y="9334500"/>
          <a:ext cx="5549453" cy="3959679"/>
        </a:xfrm>
        <a:prstGeom prst="rect">
          <a:avLst/>
        </a:prstGeom>
      </xdr:spPr>
    </xdr:pic>
    <xdr:clientData/>
  </xdr:twoCellAnchor>
  <xdr:twoCellAnchor>
    <xdr:from>
      <xdr:col>104</xdr:col>
      <xdr:colOff>203464</xdr:colOff>
      <xdr:row>90</xdr:row>
      <xdr:rowOff>164225</xdr:rowOff>
    </xdr:from>
    <xdr:to>
      <xdr:col>116</xdr:col>
      <xdr:colOff>504938</xdr:colOff>
      <xdr:row>122</xdr:row>
      <xdr:rowOff>81992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244021</xdr:colOff>
      <xdr:row>216</xdr:row>
      <xdr:rowOff>54428</xdr:rowOff>
    </xdr:from>
    <xdr:to>
      <xdr:col>32</xdr:col>
      <xdr:colOff>748394</xdr:colOff>
      <xdr:row>261</xdr:row>
      <xdr:rowOff>6805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66</xdr:col>
      <xdr:colOff>555335</xdr:colOff>
      <xdr:row>133</xdr:row>
      <xdr:rowOff>117102</xdr:rowOff>
    </xdr:from>
    <xdr:to>
      <xdr:col>87</xdr:col>
      <xdr:colOff>1521</xdr:colOff>
      <xdr:row>180</xdr:row>
      <xdr:rowOff>145790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1902</xdr:colOff>
      <xdr:row>221</xdr:row>
      <xdr:rowOff>75472</xdr:rowOff>
    </xdr:from>
    <xdr:to>
      <xdr:col>34</xdr:col>
      <xdr:colOff>646519</xdr:colOff>
      <xdr:row>252</xdr:row>
      <xdr:rowOff>62683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60</xdr:col>
      <xdr:colOff>186388</xdr:colOff>
      <xdr:row>6</xdr:row>
      <xdr:rowOff>133752</xdr:rowOff>
    </xdr:from>
    <xdr:to>
      <xdr:col>82</xdr:col>
      <xdr:colOff>507577</xdr:colOff>
      <xdr:row>53</xdr:row>
      <xdr:rowOff>90738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62</xdr:col>
      <xdr:colOff>248738</xdr:colOff>
      <xdr:row>180</xdr:row>
      <xdr:rowOff>127001</xdr:rowOff>
    </xdr:from>
    <xdr:to>
      <xdr:col>78</xdr:col>
      <xdr:colOff>411027</xdr:colOff>
      <xdr:row>225</xdr:row>
      <xdr:rowOff>83913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B445B21-1AC6-4041-B8E7-0D071B1C7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0.09882</cdr:x>
      <cdr:y>0.83232</cdr:y>
    </cdr:from>
    <cdr:to>
      <cdr:x>0.89326</cdr:x>
      <cdr:y>0.87661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7598" y="7067679"/>
          <a:ext cx="10190524" cy="3761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      (Jan 21)                      (Feb 10)        	    (Mar 2)   	    (Mar 22)                      (Apr 11)                      (May 1)                     (May 21)                      (Jun 10)</a:t>
          </a:r>
        </a:p>
      </cdr:txBody>
    </cdr:sp>
  </cdr:relSizeAnchor>
  <cdr:relSizeAnchor xmlns:cdr="http://schemas.openxmlformats.org/drawingml/2006/chartDrawing">
    <cdr:from>
      <cdr:x>0.06215</cdr:x>
      <cdr:y>0.48933</cdr:y>
    </cdr:from>
    <cdr:to>
      <cdr:x>0.09106</cdr:x>
      <cdr:y>0.64787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03046" y="5095876"/>
          <a:ext cx="466526" cy="1651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0.01736</cdr:x>
      <cdr:y>0.27703</cdr:y>
    </cdr:from>
    <cdr:to>
      <cdr:x>0.0434</cdr:x>
      <cdr:y>0.78639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6071" y="1399271"/>
          <a:ext cx="204107" cy="25727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0.09882</cdr:x>
      <cdr:y>0.83232</cdr:y>
    </cdr:from>
    <cdr:to>
      <cdr:x>0.89326</cdr:x>
      <cdr:y>0.87661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7598" y="7067679"/>
          <a:ext cx="10190524" cy="37611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      (Jan 21)                      (Feb 10)        	    (Mar 2)   	    (Mar 22)                      (Apr 11)                      (May 1)                     (May 21)                      (Jun 10)</a:t>
          </a:r>
        </a:p>
      </cdr:txBody>
    </cdr:sp>
  </cdr:relSizeAnchor>
  <cdr:relSizeAnchor xmlns:cdr="http://schemas.openxmlformats.org/drawingml/2006/chartDrawing">
    <cdr:from>
      <cdr:x>0.06215</cdr:x>
      <cdr:y>0.48933</cdr:y>
    </cdr:from>
    <cdr:to>
      <cdr:x>0.09106</cdr:x>
      <cdr:y>0.64787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03046" y="5095876"/>
          <a:ext cx="466526" cy="16510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9</xdr:row>
      <xdr:rowOff>57150</xdr:rowOff>
    </xdr:from>
    <xdr:to>
      <xdr:col>21</xdr:col>
      <xdr:colOff>581025</xdr:colOff>
      <xdr:row>34</xdr:row>
      <xdr:rowOff>133350</xdr:rowOff>
    </xdr:to>
    <xdr:graphicFrame macro="">
      <xdr:nvGraphicFramePr>
        <xdr:cNvPr id="72844" name="Chart 4">
          <a:extLst>
            <a:ext uri="{FF2B5EF4-FFF2-40B4-BE49-F238E27FC236}">
              <a16:creationId xmlns:a16="http://schemas.microsoft.com/office/drawing/2014/main" id="{00000000-0008-0000-0200-00008C1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85725</xdr:colOff>
      <xdr:row>37</xdr:row>
      <xdr:rowOff>85725</xdr:rowOff>
    </xdr:from>
    <xdr:to>
      <xdr:col>8</xdr:col>
      <xdr:colOff>400050</xdr:colOff>
      <xdr:row>59</xdr:row>
      <xdr:rowOff>133350</xdr:rowOff>
    </xdr:to>
    <xdr:graphicFrame macro="">
      <xdr:nvGraphicFramePr>
        <xdr:cNvPr id="72845" name="Chart 5">
          <a:extLst>
            <a:ext uri="{FF2B5EF4-FFF2-40B4-BE49-F238E27FC236}">
              <a16:creationId xmlns:a16="http://schemas.microsoft.com/office/drawing/2014/main" id="{00000000-0008-0000-0200-00008D1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0.45854</cdr:x>
      <cdr:y>0.17919</cdr:y>
    </cdr:from>
    <cdr:to>
      <cdr:x>0.9302</cdr:x>
      <cdr:y>0.51501</cdr:y>
    </cdr:to>
    <cdr:sp macro="" textlink="">
      <cdr:nvSpPr>
        <cdr:cNvPr id="757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78243" y="739055"/>
          <a:ext cx="2960582" cy="138501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chemeClr val="bg1">
              <a:lumMod val="50000"/>
            </a:schemeClr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 xmlns:a="http://schemas.openxmlformats.org/drawingml/2006/main">
          <a:pPr lvl="1" algn="l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1982-2001: as little as </a:t>
          </a:r>
          <a:r>
            <a:rPr lang="en-CA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survey/season may have been performed, in only a </a:t>
          </a:r>
          <a:r>
            <a:rPr lang="en-CA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section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mainstem, and may have occurred at </a:t>
          </a:r>
          <a:r>
            <a:rPr lang="en-CA" sz="900" b="0" i="0" u="sng" strike="noStrike" baseline="0">
              <a:solidFill>
                <a:srgbClr val="000000"/>
              </a:solidFill>
              <a:latin typeface="Arial"/>
              <a:cs typeface="Arial"/>
            </a:rPr>
            <a:t>non-peak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times. </a:t>
          </a:r>
        </a:p>
        <a:p xmlns:a="http://schemas.openxmlformats.org/drawingml/2006/main">
          <a:pPr lvl="1" algn="l" rtl="0">
            <a:defRPr sz="1000"/>
          </a:pPr>
          <a:endParaRPr lang="en-CA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lvl="1" algn="l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2002-2015:  between 3 - 5 whole river counts (15 km) completed in each season typically bracketing peak abundance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0.50442</cdr:x>
      <cdr:y>0.15605</cdr:y>
    </cdr:from>
    <cdr:to>
      <cdr:x>0.95433</cdr:x>
      <cdr:y>0.41602</cdr:y>
    </cdr:to>
    <cdr:sp macro="" textlink="">
      <cdr:nvSpPr>
        <cdr:cNvPr id="1075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09078" y="567984"/>
          <a:ext cx="2502680" cy="9409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600" b="1" i="0" u="sng" strike="noStrike" baseline="0">
              <a:solidFill>
                <a:srgbClr val="000000"/>
              </a:solidFill>
              <a:latin typeface="Arial"/>
              <a:cs typeface="Arial"/>
            </a:rPr>
            <a:t>Note:</a:t>
          </a:r>
        </a:p>
        <a:p xmlns:a="http://schemas.openxmlformats.org/drawingml/2006/main">
          <a:pPr algn="l" rtl="0">
            <a:defRPr sz="1000"/>
          </a:pPr>
          <a:endParaRPr lang="en-CA" sz="600" b="1" i="0" u="sng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1982-2001:  as few as </a:t>
          </a:r>
          <a:r>
            <a:rPr lang="en-CA" sz="600" b="0" i="0" u="sng" strike="noStrike" baseline="0">
              <a:solidFill>
                <a:srgbClr val="000000"/>
              </a:solidFill>
              <a:latin typeface="Arial"/>
              <a:cs typeface="Arial"/>
            </a:rPr>
            <a:t>one</a:t>
          </a: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survey/season may have been conducted, in only a </a:t>
          </a:r>
          <a:r>
            <a:rPr lang="en-CA" sz="600" b="0" i="0" u="sng" strike="noStrike" baseline="0">
              <a:solidFill>
                <a:srgbClr val="000000"/>
              </a:solidFill>
              <a:latin typeface="Arial"/>
              <a:cs typeface="Arial"/>
            </a:rPr>
            <a:t>section</a:t>
          </a: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of the mainstem, and may have occurred at </a:t>
          </a:r>
          <a:r>
            <a:rPr lang="en-CA" sz="600" b="0" i="0" u="sng" strike="noStrike" baseline="0">
              <a:solidFill>
                <a:srgbClr val="000000"/>
              </a:solidFill>
              <a:latin typeface="Arial"/>
              <a:cs typeface="Arial"/>
            </a:rPr>
            <a:t>non-peak</a:t>
          </a: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times. </a:t>
          </a:r>
        </a:p>
        <a:p xmlns:a="http://schemas.openxmlformats.org/drawingml/2006/main">
          <a:pPr algn="l" rtl="0">
            <a:defRPr sz="1000"/>
          </a:pPr>
          <a:endParaRPr lang="en-CA" sz="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en-CA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2002-2010:  whole river counts (falls-tide water, 15km) completed several times/season.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190499</xdr:colOff>
      <xdr:row>11</xdr:row>
      <xdr:rowOff>136071</xdr:rowOff>
    </xdr:from>
    <xdr:to>
      <xdr:col>51</xdr:col>
      <xdr:colOff>542924</xdr:colOff>
      <xdr:row>40</xdr:row>
      <xdr:rowOff>152400</xdr:rowOff>
    </xdr:to>
    <xdr:graphicFrame macro="">
      <xdr:nvGraphicFramePr>
        <xdr:cNvPr id="27856" name="Chart 1">
          <a:extLst>
            <a:ext uri="{FF2B5EF4-FFF2-40B4-BE49-F238E27FC236}">
              <a16:creationId xmlns:a16="http://schemas.microsoft.com/office/drawing/2014/main" id="{00000000-0008-0000-0300-0000D06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466725</xdr:colOff>
      <xdr:row>53</xdr:row>
      <xdr:rowOff>16328</xdr:rowOff>
    </xdr:from>
    <xdr:to>
      <xdr:col>36</xdr:col>
      <xdr:colOff>322490</xdr:colOff>
      <xdr:row>74</xdr:row>
      <xdr:rowOff>73478</xdr:rowOff>
    </xdr:to>
    <xdr:graphicFrame macro="">
      <xdr:nvGraphicFramePr>
        <xdr:cNvPr id="27857" name="Chart 5">
          <a:extLst>
            <a:ext uri="{FF2B5EF4-FFF2-40B4-BE49-F238E27FC236}">
              <a16:creationId xmlns:a16="http://schemas.microsoft.com/office/drawing/2014/main" id="{00000000-0008-0000-0300-0000D16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491219</xdr:colOff>
      <xdr:row>31</xdr:row>
      <xdr:rowOff>65315</xdr:rowOff>
    </xdr:from>
    <xdr:to>
      <xdr:col>40</xdr:col>
      <xdr:colOff>538843</xdr:colOff>
      <xdr:row>51</xdr:row>
      <xdr:rowOff>46265</xdr:rowOff>
    </xdr:to>
    <xdr:graphicFrame macro="">
      <xdr:nvGraphicFramePr>
        <xdr:cNvPr id="27858" name="Chart 6">
          <a:extLst>
            <a:ext uri="{FF2B5EF4-FFF2-40B4-BE49-F238E27FC236}">
              <a16:creationId xmlns:a16="http://schemas.microsoft.com/office/drawing/2014/main" id="{00000000-0008-0000-0300-0000D26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409575</xdr:colOff>
      <xdr:row>11</xdr:row>
      <xdr:rowOff>19050</xdr:rowOff>
    </xdr:from>
    <xdr:to>
      <xdr:col>35</xdr:col>
      <xdr:colOff>85725</xdr:colOff>
      <xdr:row>28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598714</xdr:colOff>
      <xdr:row>37</xdr:row>
      <xdr:rowOff>68036</xdr:rowOff>
    </xdr:from>
    <xdr:to>
      <xdr:col>54</xdr:col>
      <xdr:colOff>435429</xdr:colOff>
      <xdr:row>75</xdr:row>
      <xdr:rowOff>122464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0.07915</cdr:x>
      <cdr:y>0.85299</cdr:y>
    </cdr:from>
    <cdr:to>
      <cdr:x>0.97704</cdr:x>
      <cdr:y>0.93217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5472" y="3713001"/>
          <a:ext cx="5961054" cy="3446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  (Jan 21)            (Feb 10)             (Mar 2)            (Mar 22)           (Apr 11)           (May 1)             (May 21)           (Jun 10)</a:t>
          </a:r>
        </a:p>
      </cdr:txBody>
    </cdr:sp>
  </cdr:relSizeAnchor>
  <cdr:relSizeAnchor xmlns:cdr="http://schemas.openxmlformats.org/drawingml/2006/chartDrawing">
    <cdr:from>
      <cdr:x>0.04248</cdr:x>
      <cdr:y>0.27703</cdr:y>
    </cdr:from>
    <cdr:to>
      <cdr:x>0.10425</cdr:x>
      <cdr:y>0.78639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3334" y="1092973"/>
          <a:ext cx="378340" cy="20037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0.09516</cdr:x>
      <cdr:y>0.85217</cdr:y>
    </cdr:from>
    <cdr:to>
      <cdr:x>0.98128</cdr:x>
      <cdr:y>0.90652</cdr:y>
    </cdr:to>
    <cdr:sp macro="" textlink="">
      <cdr:nvSpPr>
        <cdr:cNvPr id="28682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0036" y="5334000"/>
          <a:ext cx="7728857" cy="3401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(Jan 1)         (Jan 21)          (Feb 10)           (Mar 2)          (Mar 22)         (Apr 11)         (May 1)           (May 21)         (Jun 10)</a:t>
          </a:r>
        </a:p>
      </cdr:txBody>
    </cdr:sp>
  </cdr:relSizeAnchor>
  <cdr:relSizeAnchor xmlns:cdr="http://schemas.openxmlformats.org/drawingml/2006/chartDrawing">
    <cdr:from>
      <cdr:x>0.01983</cdr:x>
      <cdr:y>0.25094</cdr:y>
    </cdr:from>
    <cdr:to>
      <cdr:x>0.06149</cdr:x>
      <cdr:y>0.52391</cdr:y>
    </cdr:to>
    <cdr:sp macro="" textlink="">
      <cdr:nvSpPr>
        <cdr:cNvPr id="28683" name="Text Box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6723" y="1570725"/>
          <a:ext cx="350349" cy="17085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0" tIns="0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CA" sz="1600" b="1" i="0" u="none" strike="noStrike" baseline="0">
              <a:solidFill>
                <a:srgbClr val="000000"/>
              </a:solidFill>
              <a:latin typeface="Arial"/>
              <a:cs typeface="Arial"/>
            </a:rPr>
            <a:t># of Steelhead observed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51</xdr:row>
      <xdr:rowOff>9525</xdr:rowOff>
    </xdr:from>
    <xdr:to>
      <xdr:col>5</xdr:col>
      <xdr:colOff>285750</xdr:colOff>
      <xdr:row>72</xdr:row>
      <xdr:rowOff>19050</xdr:rowOff>
    </xdr:to>
    <xdr:graphicFrame macro="">
      <xdr:nvGraphicFramePr>
        <xdr:cNvPr id="26766" name="Chart 1">
          <a:extLst>
            <a:ext uri="{FF2B5EF4-FFF2-40B4-BE49-F238E27FC236}">
              <a16:creationId xmlns:a16="http://schemas.microsoft.com/office/drawing/2014/main" id="{00000000-0008-0000-0400-00008E6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0.68008</cdr:x>
      <cdr:y>0.29718</cdr:y>
    </cdr:from>
    <cdr:to>
      <cdr:x>0.70493</cdr:x>
      <cdr:y>0.42948</cdr:y>
    </cdr:to>
    <cdr:sp macro="" textlink="">
      <cdr:nvSpPr>
        <cdr:cNvPr id="296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1042024"/>
          <a:ext cx="153684" cy="4624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 xmlns:a="http://schemas.openxmlformats.org/drawingml/2006/main"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 xmlns:a="http://schemas.openxmlformats.org/drawingml/2006/main"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</a:p>
      </cdr:txBody>
    </cdr:sp>
  </cdr:relSizeAnchor>
  <cdr:relSizeAnchor xmlns:cdr="http://schemas.openxmlformats.org/drawingml/2006/chartDrawing">
    <cdr:from>
      <cdr:x>0.68008</cdr:x>
      <cdr:y>0.31955</cdr:y>
    </cdr:from>
    <cdr:to>
      <cdr:x>0.69509</cdr:x>
      <cdr:y>0.34776</cdr:y>
    </cdr:to>
    <cdr:sp macro="" textlink="">
      <cdr:nvSpPr>
        <cdr:cNvPr id="29698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1120234"/>
          <a:ext cx="92819" cy="98612"/>
        </a:xfrm>
        <a:prstGeom xmlns:a="http://schemas.openxmlformats.org/drawingml/2006/main" prst="rect">
          <a:avLst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val="0000FF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CA"/>
        </a:p>
      </cdr:txBody>
    </cdr:sp>
  </cdr:relSizeAnchor>
  <cdr:relSizeAnchor xmlns:cdr="http://schemas.openxmlformats.org/drawingml/2006/chartDrawing">
    <cdr:from>
      <cdr:x>0.68008</cdr:x>
      <cdr:y>0.37014</cdr:y>
    </cdr:from>
    <cdr:to>
      <cdr:x>0.69681</cdr:x>
      <cdr:y>0.4037</cdr:y>
    </cdr:to>
    <cdr:sp macro="" textlink="">
      <cdr:nvSpPr>
        <cdr:cNvPr id="29699" name="Rectangle 3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1297056"/>
          <a:ext cx="103470" cy="117314"/>
        </a:xfrm>
        <a:prstGeom xmlns:a="http://schemas.openxmlformats.org/drawingml/2006/main" prst="rect">
          <a:avLst/>
        </a:prstGeom>
        <a:solidFill xmlns:a="http://schemas.openxmlformats.org/drawingml/2006/main">
          <a:srgbClr val="993366"/>
        </a:solidFill>
        <a:ln xmlns:a="http://schemas.openxmlformats.org/drawingml/2006/main" w="9525">
          <a:solidFill>
            <a:srgbClr val="993366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CA"/>
        </a:p>
      </cdr:txBody>
    </cdr:sp>
  </cdr:relSizeAnchor>
  <cdr:relSizeAnchor xmlns:cdr="http://schemas.openxmlformats.org/drawingml/2006/chartDrawing">
    <cdr:from>
      <cdr:x>0.7128</cdr:x>
      <cdr:y>0.31712</cdr:y>
    </cdr:from>
    <cdr:to>
      <cdr:x>0.89289</cdr:x>
      <cdr:y>0.34971</cdr:y>
    </cdr:to>
    <cdr:sp macro="" textlink="">
      <cdr:nvSpPr>
        <cdr:cNvPr id="2970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11759" y="1111733"/>
          <a:ext cx="1113825" cy="1139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8.2 km lower index</a:t>
          </a:r>
        </a:p>
      </cdr:txBody>
    </cdr:sp>
  </cdr:relSizeAnchor>
  <cdr:relSizeAnchor xmlns:cdr="http://schemas.openxmlformats.org/drawingml/2006/chartDrawing">
    <cdr:from>
      <cdr:x>0.7128</cdr:x>
      <cdr:y>0.37014</cdr:y>
    </cdr:from>
    <cdr:to>
      <cdr:x>0.88674</cdr:x>
      <cdr:y>0.41099</cdr:y>
    </cdr:to>
    <cdr:sp macro="" textlink="">
      <cdr:nvSpPr>
        <cdr:cNvPr id="2970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11759" y="1297056"/>
          <a:ext cx="1075785" cy="1428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8.8 km lower index</a:t>
          </a:r>
        </a:p>
      </cdr:txBody>
    </cdr:sp>
  </cdr:relSizeAnchor>
  <cdr:relSizeAnchor xmlns:cdr="http://schemas.openxmlformats.org/drawingml/2006/chartDrawing">
    <cdr:from>
      <cdr:x>0.68008</cdr:x>
      <cdr:y>0.26921</cdr:y>
    </cdr:from>
    <cdr:to>
      <cdr:x>0.69681</cdr:x>
      <cdr:y>0.29718</cdr:y>
    </cdr:to>
    <cdr:sp macro="" textlink="">
      <cdr:nvSpPr>
        <cdr:cNvPr id="29703" name="Rectangle 7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09384" y="944262"/>
          <a:ext cx="103470" cy="97762"/>
        </a:xfrm>
        <a:prstGeom xmlns:a="http://schemas.openxmlformats.org/drawingml/2006/main" prst="rect">
          <a:avLst/>
        </a:prstGeom>
        <a:solidFill xmlns:a="http://schemas.openxmlformats.org/drawingml/2006/main">
          <a:srgbClr val="008000"/>
        </a:solidFill>
        <a:ln xmlns:a="http://schemas.openxmlformats.org/drawingml/2006/main" w="9525">
          <a:solidFill>
            <a:srgbClr val="008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CA"/>
        </a:p>
      </cdr:txBody>
    </cdr:sp>
  </cdr:relSizeAnchor>
  <cdr:relSizeAnchor xmlns:cdr="http://schemas.openxmlformats.org/drawingml/2006/chartDrawing">
    <cdr:from>
      <cdr:x>0.7128</cdr:x>
      <cdr:y>0.26921</cdr:y>
    </cdr:from>
    <cdr:to>
      <cdr:x>0.91282</cdr:x>
      <cdr:y>0.31153</cdr:y>
    </cdr:to>
    <cdr:sp macro="" textlink="">
      <cdr:nvSpPr>
        <cdr:cNvPr id="29705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11759" y="944262"/>
          <a:ext cx="1237076" cy="1479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CA" sz="825" b="0" i="0" u="none" strike="noStrike" baseline="0">
              <a:solidFill>
                <a:srgbClr val="000000"/>
              </a:solidFill>
              <a:latin typeface="Arial"/>
              <a:cs typeface="Arial"/>
            </a:rPr>
            <a:t>16.0 km full index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ndrew Lawrence (Student)" id="{473F971D-4E68-BB42-8041-AF5FA92F7583}" userId="S::andrew.lawrence@my.viu.ca::c867733e-9a74-4c0e-b15c-309e3dbceb82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11-07T21:31:27.67" personId="{473F971D-4E68-BB42-8041-AF5FA92F7583}" id="{8D6199D0-C4CF-5E43-A95A-D81CAF10AD77}">
    <text>Enter Observer Estimate and Date as written.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0E26-8890-7A41-9BE3-166547828335}">
  <dimension ref="A1:BG56"/>
  <sheetViews>
    <sheetView tabSelected="1" zoomScale="30" zoomScaleNormal="30" workbookViewId="0">
      <pane xSplit="8" topLeftCell="I1" activePane="topRight" state="frozen"/>
      <selection activeCell="A2" sqref="A2"/>
      <selection pane="topRight" activeCell="I20" sqref="I20"/>
    </sheetView>
  </sheetViews>
  <sheetFormatPr defaultColWidth="11.5546875" defaultRowHeight="24.6" x14ac:dyDescent="0.4"/>
  <cols>
    <col min="1" max="1" width="34.6640625" customWidth="1"/>
    <col min="2" max="3" width="14.44140625" customWidth="1"/>
    <col min="4" max="4" width="18.33203125" style="352" customWidth="1"/>
    <col min="5" max="7" width="35.44140625" style="353" customWidth="1"/>
    <col min="8" max="8" width="35.44140625" style="350" customWidth="1"/>
    <col min="9" max="9" width="35.44140625" style="359" customWidth="1"/>
    <col min="10" max="10" width="35.6640625" style="359" hidden="1" customWidth="1"/>
    <col min="11" max="11" width="35.6640625" style="359" customWidth="1"/>
    <col min="12" max="12" width="35.6640625" style="387" hidden="1" customWidth="1"/>
    <col min="13" max="13" width="35.6640625" style="386" customWidth="1"/>
    <col min="14" max="14" width="35.44140625" style="359" hidden="1" customWidth="1"/>
    <col min="15" max="15" width="35.44140625" style="359" customWidth="1"/>
    <col min="16" max="17" width="35.44140625" style="387" hidden="1" customWidth="1"/>
    <col min="18" max="18" width="35.44140625" style="386" customWidth="1"/>
    <col min="19" max="19" width="35.44140625" style="359" hidden="1" customWidth="1"/>
    <col min="20" max="20" width="35.44140625" style="359" customWidth="1"/>
    <col min="21" max="22" width="35.44140625" style="387" hidden="1" customWidth="1"/>
    <col min="23" max="23" width="35.44140625" style="386" customWidth="1"/>
    <col min="24" max="24" width="35.44140625" style="359" hidden="1" customWidth="1"/>
    <col min="25" max="25" width="35.44140625" style="359" customWidth="1"/>
    <col min="26" max="27" width="35.44140625" style="387" hidden="1" customWidth="1"/>
    <col min="28" max="28" width="35.44140625" style="386" customWidth="1"/>
    <col min="29" max="29" width="35.44140625" style="359" hidden="1" customWidth="1"/>
    <col min="30" max="30" width="35.44140625" style="359" customWidth="1"/>
    <col min="31" max="32" width="35.44140625" style="387" hidden="1" customWidth="1"/>
    <col min="33" max="33" width="33" style="386" customWidth="1"/>
    <col min="34" max="34" width="39.6640625" style="359" hidden="1" customWidth="1"/>
    <col min="35" max="35" width="39.6640625" style="359" customWidth="1"/>
    <col min="36" max="37" width="39.6640625" style="387" hidden="1" customWidth="1"/>
    <col min="38" max="38" width="35.6640625" style="386" customWidth="1"/>
    <col min="39" max="39" width="43.44140625" style="359" hidden="1" customWidth="1"/>
    <col min="40" max="40" width="43.44140625" style="359" customWidth="1"/>
    <col min="41" max="42" width="43.44140625" style="387" hidden="1" customWidth="1"/>
    <col min="43" max="43" width="33.6640625" style="386" customWidth="1"/>
    <col min="44" max="44" width="43.44140625" style="359" hidden="1" customWidth="1"/>
    <col min="45" max="45" width="33.6640625" style="359" customWidth="1"/>
    <col min="46" max="46" width="33.6640625" style="125" hidden="1" customWidth="1"/>
    <col min="47" max="47" width="43.44140625" style="125" hidden="1" customWidth="1"/>
    <col min="56" max="61" width="29" customWidth="1"/>
  </cols>
  <sheetData>
    <row r="1" spans="1:59" s="322" customFormat="1" ht="64.2" customHeight="1" x14ac:dyDescent="0.35">
      <c r="A1" s="325" t="s">
        <v>232</v>
      </c>
      <c r="B1" s="326"/>
      <c r="C1" s="326"/>
      <c r="D1" s="360" t="s">
        <v>74</v>
      </c>
      <c r="E1" s="361" t="s">
        <v>225</v>
      </c>
      <c r="F1" s="361" t="s">
        <v>117</v>
      </c>
      <c r="G1" s="362" t="s">
        <v>135</v>
      </c>
      <c r="H1" s="363" t="s">
        <v>221</v>
      </c>
      <c r="I1" s="366" t="s">
        <v>224</v>
      </c>
      <c r="J1" s="367"/>
      <c r="K1" s="367"/>
      <c r="L1" s="368"/>
      <c r="M1" s="366" t="s">
        <v>227</v>
      </c>
      <c r="N1" s="355"/>
      <c r="O1" s="355"/>
      <c r="P1" s="369"/>
      <c r="Q1" s="369"/>
      <c r="R1" s="370" t="s">
        <v>228</v>
      </c>
      <c r="S1" s="356"/>
      <c r="T1" s="356"/>
      <c r="U1" s="371"/>
      <c r="V1" s="371"/>
      <c r="W1" s="370" t="s">
        <v>229</v>
      </c>
      <c r="X1" s="356"/>
      <c r="Y1" s="356"/>
      <c r="Z1" s="371"/>
      <c r="AA1" s="371"/>
      <c r="AB1" s="370" t="s">
        <v>230</v>
      </c>
      <c r="AC1" s="356"/>
      <c r="AD1" s="356"/>
      <c r="AE1" s="371"/>
      <c r="AF1" s="371"/>
      <c r="AG1" s="370" t="s">
        <v>233</v>
      </c>
      <c r="AH1" s="356"/>
      <c r="AI1" s="356"/>
      <c r="AJ1" s="371"/>
      <c r="AK1" s="371"/>
      <c r="AL1" s="372" t="s">
        <v>234</v>
      </c>
      <c r="AM1" s="373"/>
      <c r="AN1" s="373"/>
      <c r="AO1" s="374"/>
      <c r="AP1" s="374"/>
      <c r="AQ1" s="372" t="s">
        <v>235</v>
      </c>
      <c r="AR1" s="373"/>
      <c r="AS1" s="373"/>
      <c r="AT1" s="331"/>
      <c r="AU1" s="331"/>
    </row>
    <row r="2" spans="1:59" s="327" customFormat="1" ht="66" customHeight="1" x14ac:dyDescent="0.4">
      <c r="A2" s="319"/>
      <c r="B2" s="317"/>
      <c r="C2" s="317"/>
      <c r="D2" s="352"/>
      <c r="E2" s="364"/>
      <c r="F2" s="365"/>
      <c r="G2" s="350"/>
      <c r="H2" s="350"/>
      <c r="I2" s="375" t="s">
        <v>231</v>
      </c>
      <c r="J2" s="376" t="s">
        <v>226</v>
      </c>
      <c r="K2" s="377" t="s">
        <v>0</v>
      </c>
      <c r="L2" s="378" t="s">
        <v>237</v>
      </c>
      <c r="M2" s="375" t="s">
        <v>231</v>
      </c>
      <c r="N2" s="379" t="s">
        <v>226</v>
      </c>
      <c r="O2" s="377" t="s">
        <v>0</v>
      </c>
      <c r="P2" s="378" t="s">
        <v>237</v>
      </c>
      <c r="Q2" s="380" t="s">
        <v>130</v>
      </c>
      <c r="R2" s="375" t="s">
        <v>231</v>
      </c>
      <c r="S2" s="379" t="s">
        <v>226</v>
      </c>
      <c r="T2" s="377" t="s">
        <v>0</v>
      </c>
      <c r="U2" s="378" t="s">
        <v>237</v>
      </c>
      <c r="V2" s="380" t="s">
        <v>130</v>
      </c>
      <c r="W2" s="375" t="s">
        <v>231</v>
      </c>
      <c r="X2" s="379" t="s">
        <v>226</v>
      </c>
      <c r="Y2" s="377" t="s">
        <v>0</v>
      </c>
      <c r="Z2" s="378" t="s">
        <v>237</v>
      </c>
      <c r="AA2" s="380" t="s">
        <v>130</v>
      </c>
      <c r="AB2" s="375" t="s">
        <v>231</v>
      </c>
      <c r="AC2" s="379" t="s">
        <v>226</v>
      </c>
      <c r="AD2" s="377" t="s">
        <v>0</v>
      </c>
      <c r="AE2" s="378" t="s">
        <v>237</v>
      </c>
      <c r="AF2" s="380" t="s">
        <v>130</v>
      </c>
      <c r="AG2" s="375" t="s">
        <v>231</v>
      </c>
      <c r="AH2" s="379" t="s">
        <v>226</v>
      </c>
      <c r="AI2" s="377" t="s">
        <v>0</v>
      </c>
      <c r="AJ2" s="378" t="s">
        <v>237</v>
      </c>
      <c r="AK2" s="380" t="s">
        <v>130</v>
      </c>
      <c r="AL2" s="381" t="s">
        <v>231</v>
      </c>
      <c r="AM2" s="382" t="s">
        <v>226</v>
      </c>
      <c r="AN2" s="377" t="s">
        <v>0</v>
      </c>
      <c r="AO2" s="378" t="s">
        <v>237</v>
      </c>
      <c r="AP2" s="380" t="s">
        <v>130</v>
      </c>
      <c r="AQ2" s="381" t="s">
        <v>231</v>
      </c>
      <c r="AR2" s="382" t="s">
        <v>226</v>
      </c>
      <c r="AS2" s="377" t="s">
        <v>0</v>
      </c>
      <c r="AT2" s="332" t="s">
        <v>237</v>
      </c>
      <c r="AU2" s="333" t="s">
        <v>130</v>
      </c>
    </row>
    <row r="3" spans="1:59" ht="22.2" customHeight="1" x14ac:dyDescent="0.4">
      <c r="A3" s="318"/>
      <c r="B3" s="317"/>
      <c r="C3" s="317"/>
      <c r="D3" s="352">
        <v>1982</v>
      </c>
      <c r="E3" s="364">
        <f>IF(G3/50 = 0, "", G3/50)</f>
        <v>507.27272777999997</v>
      </c>
      <c r="F3" s="364">
        <f>IF(MAX(J3,N3,S3,X3,AC3,AH3) = 0, "", MAX(J3,N3,S3,X3,AC3,AH3))</f>
        <v>338.18181851999998</v>
      </c>
      <c r="G3" s="350">
        <f>IF(SUM(V3) = 0, "", SUM(V3))</f>
        <v>25363.636388999999</v>
      </c>
      <c r="H3" s="350">
        <f>IF(E3/F3 = 0, "", E3/F3)</f>
        <v>1.5</v>
      </c>
      <c r="I3" s="357">
        <v>0</v>
      </c>
      <c r="J3" s="383">
        <f>I3/0.55</f>
        <v>0</v>
      </c>
      <c r="K3" s="330">
        <v>29952</v>
      </c>
      <c r="L3" s="383">
        <f>K3-DATE(YEAR(K3),1,1)+1</f>
        <v>1</v>
      </c>
      <c r="M3" s="384">
        <v>186</v>
      </c>
      <c r="N3" s="358">
        <f>(M3*1.81818182)</f>
        <v>338.18181851999998</v>
      </c>
      <c r="O3" s="385">
        <v>30063</v>
      </c>
      <c r="P3" s="383">
        <f>O3-DATE(YEAR(O3),1,1)+1</f>
        <v>112</v>
      </c>
      <c r="Q3" s="383"/>
      <c r="R3" s="384">
        <v>0</v>
      </c>
      <c r="S3" s="383">
        <v>0</v>
      </c>
      <c r="T3" s="330">
        <v>30102</v>
      </c>
      <c r="U3" s="383">
        <f>T3-DATE(YEAR(T3),1,1)+1</f>
        <v>151</v>
      </c>
      <c r="V3" s="383">
        <f>((N3+I3)/2)*(U3-L3)</f>
        <v>25363.636388999999</v>
      </c>
      <c r="W3" s="384"/>
      <c r="X3" s="358"/>
      <c r="Y3" s="358"/>
      <c r="Z3" s="383"/>
      <c r="AA3" s="383"/>
      <c r="AT3" s="323"/>
      <c r="AU3" s="323"/>
    </row>
    <row r="4" spans="1:59" ht="22.2" customHeight="1" x14ac:dyDescent="0.4">
      <c r="C4" s="317"/>
      <c r="D4" s="352">
        <v>1983</v>
      </c>
      <c r="E4" s="364">
        <f t="shared" ref="E4:E51" si="0">IF(G4/50 = 0, "", G4/50)</f>
        <v>839.40197561970706</v>
      </c>
      <c r="F4" s="364">
        <f>IF(MAX(J4,N4,S4,X4,AC4,AH4) = 0, "", MAX(J4,N4,S4,X4,AC4,AH4))</f>
        <v>593.43748723480758</v>
      </c>
      <c r="G4" s="351">
        <f>SUMIF($Q$2:$AU$2, "Partial Area", $Q4:$AU4)</f>
        <v>41970.098780985354</v>
      </c>
      <c r="H4" s="350">
        <f t="shared" ref="H4:H51" si="1">IF(E4/F4 = 0, "", E4/F4)</f>
        <v>1.4144741336294751</v>
      </c>
      <c r="I4" s="357">
        <v>0</v>
      </c>
      <c r="J4" s="383">
        <f t="shared" ref="J4:J51" si="2">I4/0.55</f>
        <v>0</v>
      </c>
      <c r="K4" s="330">
        <v>30317</v>
      </c>
      <c r="L4" s="383">
        <f t="shared" ref="L4:L51" si="3">K4-DATE(YEAR(K4),1,1)+1</f>
        <v>1</v>
      </c>
      <c r="M4" s="384">
        <v>213</v>
      </c>
      <c r="N4" s="358">
        <f t="shared" ref="N4:N51" si="4">(M4*1.81818182)</f>
        <v>387.27272765999999</v>
      </c>
      <c r="O4" s="385">
        <v>30399</v>
      </c>
      <c r="P4" s="383">
        <f t="shared" ref="P4:P51" si="5">O4-DATE(YEAR(O4),1,1)+1</f>
        <v>83</v>
      </c>
      <c r="Q4" s="383">
        <f>((N4+J4)/2)*(P4-L4)</f>
        <v>15878.18183406</v>
      </c>
      <c r="R4" s="384">
        <v>302.56410226153838</v>
      </c>
      <c r="S4" s="358">
        <f>(R4*1.81818182)</f>
        <v>550.11655011655</v>
      </c>
      <c r="T4" s="330">
        <v>30419</v>
      </c>
      <c r="U4" s="383">
        <f t="shared" ref="U4:U51" si="6">T4-DATE(YEAR(T4),1,1)+1</f>
        <v>103</v>
      </c>
      <c r="V4" s="383">
        <f>((S4+N4)/2)*(U4-P4)</f>
        <v>9373.8927777655008</v>
      </c>
      <c r="W4" s="388">
        <v>326.39061765275358</v>
      </c>
      <c r="X4" s="358">
        <f>(W4*1.81818182)</f>
        <v>593.43748723480758</v>
      </c>
      <c r="Y4" s="330">
        <v>30428</v>
      </c>
      <c r="Z4" s="383">
        <f>Y4-DATE(YEAR(Y4),1,1)+1</f>
        <v>112</v>
      </c>
      <c r="AA4" s="383">
        <f>((X4+S4)/2)*(Z4-U4)</f>
        <v>5145.9931680811096</v>
      </c>
      <c r="AB4" s="389">
        <v>0</v>
      </c>
      <c r="AC4" s="390">
        <f>(AB4*1.81818182)</f>
        <v>0</v>
      </c>
      <c r="AD4" s="385">
        <v>30467</v>
      </c>
      <c r="AE4" s="390">
        <f>AD4-DATE(YEAR(AD4),1,1)+1</f>
        <v>151</v>
      </c>
      <c r="AF4" s="390">
        <f>((AC4+X4)/2)*(AE4-Z4)</f>
        <v>11572.031001078747</v>
      </c>
      <c r="AT4" s="323"/>
      <c r="AU4" s="323"/>
    </row>
    <row r="5" spans="1:59" ht="22.2" customHeight="1" x14ac:dyDescent="0.4">
      <c r="A5" s="317"/>
      <c r="B5" s="317"/>
      <c r="C5" s="317"/>
      <c r="D5" s="352">
        <v>1984</v>
      </c>
      <c r="E5" s="364">
        <f t="shared" si="0"/>
        <v>988.31081782391527</v>
      </c>
      <c r="F5" s="364">
        <f t="shared" ref="F5:F51" si="7">IF(MAX(J5,N5,S5,X5,AC5,AH5) = 0, "", MAX(J5,N5,S5,X5,AC5,AH5))</f>
        <v>646.56687047578885</v>
      </c>
      <c r="G5" s="351">
        <f>SUMIF($Q$2:$AU$2, "Partial Area", $Q5:$AU5)</f>
        <v>49415.540891195764</v>
      </c>
      <c r="H5" s="350">
        <f t="shared" si="1"/>
        <v>1.5285515898713578</v>
      </c>
      <c r="I5" s="357">
        <v>0</v>
      </c>
      <c r="J5" s="383">
        <f t="shared" si="2"/>
        <v>0</v>
      </c>
      <c r="K5" s="330">
        <v>30682</v>
      </c>
      <c r="L5" s="383">
        <f t="shared" si="3"/>
        <v>1</v>
      </c>
      <c r="M5" s="384">
        <v>298</v>
      </c>
      <c r="N5" s="358">
        <f t="shared" si="4"/>
        <v>541.81818236000004</v>
      </c>
      <c r="O5" s="385">
        <v>30774</v>
      </c>
      <c r="P5" s="383">
        <f t="shared" si="5"/>
        <v>93</v>
      </c>
      <c r="Q5" s="383">
        <f t="shared" ref="Q5:Q51" si="8">((N5+J5)/2)*(P5-L5)</f>
        <v>24923.63638856</v>
      </c>
      <c r="R5" s="384">
        <v>355.61177840607212</v>
      </c>
      <c r="S5" s="358">
        <f t="shared" ref="S5:S51" si="9">(R5*1.81818182)</f>
        <v>646.56687047578885</v>
      </c>
      <c r="T5" s="330">
        <v>30794</v>
      </c>
      <c r="U5" s="383">
        <f t="shared" si="6"/>
        <v>113</v>
      </c>
      <c r="V5" s="383">
        <f t="shared" ref="V5:V51" si="10">((S5+N5)/2)*(U5-P5)</f>
        <v>11883.850528357889</v>
      </c>
      <c r="W5" s="388">
        <v>0</v>
      </c>
      <c r="X5" s="383">
        <f t="shared" ref="X5:X51" si="11">(W5*1.81818182)</f>
        <v>0</v>
      </c>
      <c r="Y5" s="330">
        <v>30833</v>
      </c>
      <c r="Z5" s="383">
        <f t="shared" ref="Z5:Z51" si="12">Y5-DATE(YEAR(Y5),1,1)+1</f>
        <v>152</v>
      </c>
      <c r="AA5" s="383">
        <f t="shared" ref="AA5:AA51" si="13">((X5+S5)/2)*(Z5-U5)</f>
        <v>12608.053974277882</v>
      </c>
      <c r="AB5" s="389"/>
      <c r="AC5" s="357"/>
      <c r="AD5" s="385"/>
      <c r="AE5" s="390"/>
      <c r="AF5" s="390"/>
      <c r="AT5" s="323"/>
      <c r="AU5" s="323"/>
    </row>
    <row r="6" spans="1:59" ht="22.2" customHeight="1" x14ac:dyDescent="0.4">
      <c r="A6" s="317"/>
      <c r="B6" s="317"/>
      <c r="C6" s="317"/>
      <c r="D6" s="352">
        <v>1985</v>
      </c>
      <c r="E6" s="364">
        <f t="shared" si="0"/>
        <v>1421.6107420246708</v>
      </c>
      <c r="F6" s="364">
        <f t="shared" si="7"/>
        <v>942.09420942094198</v>
      </c>
      <c r="G6" s="351">
        <f t="shared" ref="G6:G51" si="14">SUMIF($Q$2:$AU$2, "Partial Area", $Q6:$AU6)</f>
        <v>71080.537101233538</v>
      </c>
      <c r="H6" s="350">
        <f t="shared" si="1"/>
        <v>1.5089900010089898</v>
      </c>
      <c r="I6" s="357">
        <v>0</v>
      </c>
      <c r="J6" s="383">
        <f t="shared" si="2"/>
        <v>0</v>
      </c>
      <c r="K6" s="330">
        <v>31048</v>
      </c>
      <c r="L6" s="383">
        <f t="shared" si="3"/>
        <v>1</v>
      </c>
      <c r="M6" s="384">
        <v>471</v>
      </c>
      <c r="N6" s="358">
        <f t="shared" si="4"/>
        <v>856.36363721999999</v>
      </c>
      <c r="O6" s="385">
        <v>31148</v>
      </c>
      <c r="P6" s="383">
        <f t="shared" si="5"/>
        <v>101</v>
      </c>
      <c r="Q6" s="383">
        <f t="shared" si="8"/>
        <v>42818.181860999997</v>
      </c>
      <c r="R6" s="384">
        <v>518.15181466336628</v>
      </c>
      <c r="S6" s="358">
        <f t="shared" si="9"/>
        <v>942.09420942094198</v>
      </c>
      <c r="T6" s="330">
        <v>31159</v>
      </c>
      <c r="U6" s="383">
        <f t="shared" si="6"/>
        <v>112</v>
      </c>
      <c r="V6" s="383">
        <f t="shared" si="10"/>
        <v>9891.5181565251805</v>
      </c>
      <c r="W6" s="388">
        <v>0</v>
      </c>
      <c r="X6" s="383">
        <f t="shared" si="11"/>
        <v>0</v>
      </c>
      <c r="Y6" s="330">
        <v>31198</v>
      </c>
      <c r="Z6" s="383">
        <f t="shared" si="12"/>
        <v>151</v>
      </c>
      <c r="AA6" s="383">
        <f t="shared" si="13"/>
        <v>18370.837083708368</v>
      </c>
      <c r="AB6" s="389"/>
      <c r="AC6" s="357"/>
      <c r="AD6" s="385"/>
      <c r="AE6" s="390"/>
      <c r="AF6" s="390"/>
      <c r="AT6" s="323"/>
      <c r="AU6" s="323"/>
    </row>
    <row r="7" spans="1:59" ht="22.2" customHeight="1" x14ac:dyDescent="0.4">
      <c r="A7" s="317"/>
      <c r="B7" s="317"/>
      <c r="C7" s="317"/>
      <c r="D7" s="352">
        <v>1986</v>
      </c>
      <c r="E7" s="364">
        <f t="shared" si="0"/>
        <v>601.60452427381961</v>
      </c>
      <c r="F7" s="364">
        <f t="shared" si="7"/>
        <v>398.34969412434202</v>
      </c>
      <c r="G7" s="351">
        <f t="shared" si="14"/>
        <v>30080.226213690981</v>
      </c>
      <c r="H7" s="350">
        <f t="shared" si="1"/>
        <v>1.5102422146859564</v>
      </c>
      <c r="I7" s="357">
        <v>0</v>
      </c>
      <c r="J7" s="383">
        <f t="shared" si="2"/>
        <v>0</v>
      </c>
      <c r="K7" s="330">
        <v>31413</v>
      </c>
      <c r="L7" s="383">
        <f t="shared" si="3"/>
        <v>1</v>
      </c>
      <c r="M7" s="384">
        <v>79</v>
      </c>
      <c r="N7" s="358">
        <f t="shared" si="4"/>
        <v>143.63636377999998</v>
      </c>
      <c r="O7" s="385">
        <v>31452</v>
      </c>
      <c r="P7" s="383">
        <f t="shared" si="5"/>
        <v>40</v>
      </c>
      <c r="Q7" s="383">
        <f t="shared" si="8"/>
        <v>2800.9090937099995</v>
      </c>
      <c r="R7" s="384">
        <v>219.09233154929578</v>
      </c>
      <c r="S7" s="358">
        <f t="shared" si="9"/>
        <v>398.34969412434202</v>
      </c>
      <c r="T7" s="330">
        <v>31524</v>
      </c>
      <c r="U7" s="383">
        <f t="shared" si="6"/>
        <v>112</v>
      </c>
      <c r="V7" s="383">
        <f t="shared" si="10"/>
        <v>19511.498084556311</v>
      </c>
      <c r="W7" s="388">
        <v>0</v>
      </c>
      <c r="X7" s="383">
        <f t="shared" si="11"/>
        <v>0</v>
      </c>
      <c r="Y7" s="330">
        <v>31563</v>
      </c>
      <c r="Z7" s="383">
        <f t="shared" si="12"/>
        <v>151</v>
      </c>
      <c r="AA7" s="383">
        <f t="shared" si="13"/>
        <v>7767.819035424669</v>
      </c>
      <c r="AB7" s="389"/>
      <c r="AC7" s="357"/>
      <c r="AD7" s="385"/>
      <c r="AE7" s="390"/>
      <c r="AF7" s="390"/>
      <c r="AT7" s="323"/>
      <c r="AU7" s="323"/>
    </row>
    <row r="8" spans="1:59" ht="22.2" customHeight="1" x14ac:dyDescent="0.4">
      <c r="A8" s="317"/>
      <c r="B8" s="317"/>
      <c r="C8" s="317"/>
      <c r="D8" s="352">
        <v>1987</v>
      </c>
      <c r="E8" s="364">
        <f t="shared" si="0"/>
        <v>1193.7007613553169</v>
      </c>
      <c r="F8" s="364">
        <f t="shared" si="7"/>
        <v>818.05711435341061</v>
      </c>
      <c r="G8" s="351">
        <f t="shared" si="14"/>
        <v>59685.038067765847</v>
      </c>
      <c r="H8" s="350">
        <f t="shared" si="1"/>
        <v>1.45919000080919</v>
      </c>
      <c r="I8" s="357">
        <v>0</v>
      </c>
      <c r="J8" s="383">
        <f t="shared" si="2"/>
        <v>0</v>
      </c>
      <c r="K8" s="330">
        <v>31778</v>
      </c>
      <c r="L8" s="383">
        <f t="shared" si="3"/>
        <v>1</v>
      </c>
      <c r="M8" s="384">
        <v>328</v>
      </c>
      <c r="N8" s="358">
        <f t="shared" si="4"/>
        <v>596.36363696000001</v>
      </c>
      <c r="O8" s="385">
        <v>31863</v>
      </c>
      <c r="P8" s="383">
        <f t="shared" si="5"/>
        <v>86</v>
      </c>
      <c r="Q8" s="383">
        <f t="shared" si="8"/>
        <v>25345.454570800001</v>
      </c>
      <c r="R8" s="384">
        <v>449.93141244444445</v>
      </c>
      <c r="S8" s="358">
        <f t="shared" si="9"/>
        <v>818.05711435341061</v>
      </c>
      <c r="T8" s="330">
        <v>31889</v>
      </c>
      <c r="U8" s="383">
        <f t="shared" si="6"/>
        <v>112</v>
      </c>
      <c r="V8" s="383">
        <f t="shared" si="10"/>
        <v>18387.469767074337</v>
      </c>
      <c r="W8" s="388">
        <v>0</v>
      </c>
      <c r="X8" s="383">
        <f t="shared" si="11"/>
        <v>0</v>
      </c>
      <c r="Y8" s="330">
        <v>31928</v>
      </c>
      <c r="Z8" s="383">
        <f t="shared" si="12"/>
        <v>151</v>
      </c>
      <c r="AA8" s="383">
        <f t="shared" si="13"/>
        <v>15952.113729891507</v>
      </c>
      <c r="AB8" s="389"/>
      <c r="AC8" s="357"/>
      <c r="AD8" s="385"/>
      <c r="AE8" s="390"/>
      <c r="AF8" s="390"/>
      <c r="AT8" s="323"/>
      <c r="AU8" s="323"/>
    </row>
    <row r="9" spans="1:59" ht="22.2" customHeight="1" x14ac:dyDescent="0.4">
      <c r="A9" s="321"/>
      <c r="D9" s="352">
        <v>1988</v>
      </c>
      <c r="E9" s="364">
        <f t="shared" si="0"/>
        <v>1399.7981587858999</v>
      </c>
      <c r="F9" s="364">
        <f t="shared" si="7"/>
        <v>920.86033187185569</v>
      </c>
      <c r="G9" s="351">
        <f t="shared" si="14"/>
        <v>69989.907939294993</v>
      </c>
      <c r="H9" s="350">
        <f t="shared" si="1"/>
        <v>1.5200982280781878</v>
      </c>
      <c r="I9" s="357">
        <v>0</v>
      </c>
      <c r="J9" s="383">
        <f t="shared" si="2"/>
        <v>0</v>
      </c>
      <c r="K9" s="330">
        <v>32143</v>
      </c>
      <c r="L9" s="383">
        <f t="shared" si="3"/>
        <v>1</v>
      </c>
      <c r="M9" s="384">
        <v>251</v>
      </c>
      <c r="N9" s="358">
        <f t="shared" si="4"/>
        <v>456.36363682000001</v>
      </c>
      <c r="O9" s="385">
        <v>32197</v>
      </c>
      <c r="P9" s="383">
        <f t="shared" si="5"/>
        <v>55</v>
      </c>
      <c r="Q9" s="383">
        <f t="shared" si="8"/>
        <v>12321.81819414</v>
      </c>
      <c r="R9" s="384">
        <v>506.47318202304746</v>
      </c>
      <c r="S9" s="358">
        <f t="shared" si="9"/>
        <v>920.86033187185569</v>
      </c>
      <c r="T9" s="330">
        <v>31524</v>
      </c>
      <c r="U9" s="383">
        <f t="shared" si="6"/>
        <v>112</v>
      </c>
      <c r="V9" s="383">
        <f t="shared" si="10"/>
        <v>39250.883107717884</v>
      </c>
      <c r="W9" s="388">
        <v>0</v>
      </c>
      <c r="X9" s="383">
        <f t="shared" si="11"/>
        <v>0</v>
      </c>
      <c r="Y9" s="330">
        <v>32294</v>
      </c>
      <c r="Z9" s="383">
        <f t="shared" si="12"/>
        <v>152</v>
      </c>
      <c r="AA9" s="383">
        <f t="shared" si="13"/>
        <v>18417.206637437113</v>
      </c>
      <c r="AB9" s="389"/>
      <c r="AC9" s="357"/>
      <c r="AD9" s="329"/>
      <c r="AE9" s="390"/>
      <c r="AF9" s="390"/>
      <c r="AT9" s="323"/>
      <c r="AU9" s="323"/>
    </row>
    <row r="10" spans="1:59" ht="22.2" customHeight="1" x14ac:dyDescent="0.4">
      <c r="A10" s="320"/>
      <c r="D10" s="352">
        <v>1989</v>
      </c>
      <c r="E10" s="364">
        <f t="shared" si="0"/>
        <v>278.23299685362963</v>
      </c>
      <c r="F10" s="364">
        <f t="shared" si="7"/>
        <v>148.14814829629631</v>
      </c>
      <c r="G10" s="351">
        <f t="shared" si="14"/>
        <v>13911.649842681481</v>
      </c>
      <c r="H10" s="350">
        <f t="shared" si="1"/>
        <v>1.878072726883927</v>
      </c>
      <c r="I10" s="357">
        <v>0</v>
      </c>
      <c r="J10" s="383">
        <f t="shared" si="2"/>
        <v>0</v>
      </c>
      <c r="K10" s="330">
        <v>32509</v>
      </c>
      <c r="L10" s="383">
        <f t="shared" si="3"/>
        <v>1</v>
      </c>
      <c r="M10" s="384">
        <v>80</v>
      </c>
      <c r="N10" s="358">
        <f t="shared" si="4"/>
        <v>145.45454559999999</v>
      </c>
      <c r="O10" s="385">
        <v>32548</v>
      </c>
      <c r="P10" s="383">
        <f t="shared" si="5"/>
        <v>40</v>
      </c>
      <c r="Q10" s="383">
        <f t="shared" si="8"/>
        <v>2836.3636391999999</v>
      </c>
      <c r="R10" s="384">
        <v>43.999999956000003</v>
      </c>
      <c r="S10" s="358">
        <f t="shared" si="9"/>
        <v>80</v>
      </c>
      <c r="T10" s="330">
        <v>32568</v>
      </c>
      <c r="U10" s="383">
        <f t="shared" si="6"/>
        <v>60</v>
      </c>
      <c r="V10" s="383">
        <f t="shared" si="10"/>
        <v>2254.5454559999998</v>
      </c>
      <c r="W10" s="388">
        <v>81.481481481481495</v>
      </c>
      <c r="X10" s="358">
        <f t="shared" si="11"/>
        <v>148.14814829629631</v>
      </c>
      <c r="Y10" s="330">
        <v>32620</v>
      </c>
      <c r="Z10" s="383">
        <f t="shared" si="12"/>
        <v>112</v>
      </c>
      <c r="AA10" s="383">
        <f t="shared" si="13"/>
        <v>5931.8518557037041</v>
      </c>
      <c r="AB10" s="389">
        <v>0</v>
      </c>
      <c r="AC10" s="390">
        <f t="shared" ref="AC10:AC51" si="15">(AB10*1.81818182)</f>
        <v>0</v>
      </c>
      <c r="AD10" s="385">
        <v>32659</v>
      </c>
      <c r="AE10" s="390">
        <f t="shared" ref="AE10:AE43" si="16">AD10-DATE(YEAR(AD10),1,1)+1</f>
        <v>151</v>
      </c>
      <c r="AF10" s="390">
        <f t="shared" ref="AF10:AF51" si="17">((AC10+X10)/2)*(AE10-Z10)</f>
        <v>2888.8888917777781</v>
      </c>
      <c r="AT10" s="323"/>
      <c r="AU10" s="323"/>
    </row>
    <row r="11" spans="1:59" ht="22.2" customHeight="1" x14ac:dyDescent="0.4">
      <c r="A11" s="320"/>
      <c r="D11" s="352">
        <v>1990</v>
      </c>
      <c r="E11" s="364">
        <f t="shared" si="0"/>
        <v>536.71111128871109</v>
      </c>
      <c r="F11" s="364">
        <f t="shared" si="7"/>
        <v>355.55555555555554</v>
      </c>
      <c r="G11" s="351">
        <f t="shared" si="14"/>
        <v>26835.555564435555</v>
      </c>
      <c r="H11" s="350">
        <f t="shared" si="1"/>
        <v>1.5095000004995001</v>
      </c>
      <c r="I11" s="357">
        <v>0</v>
      </c>
      <c r="J11" s="383">
        <f t="shared" si="2"/>
        <v>0</v>
      </c>
      <c r="K11" s="330">
        <v>32874</v>
      </c>
      <c r="L11" s="383">
        <f t="shared" si="3"/>
        <v>1</v>
      </c>
      <c r="M11" s="384">
        <v>88</v>
      </c>
      <c r="N11" s="358">
        <f t="shared" si="4"/>
        <v>160.00000015999998</v>
      </c>
      <c r="O11" s="385">
        <v>32923</v>
      </c>
      <c r="P11" s="383">
        <f t="shared" si="5"/>
        <v>50</v>
      </c>
      <c r="Q11" s="383">
        <f t="shared" si="8"/>
        <v>3920.0000039199995</v>
      </c>
      <c r="R11" s="384">
        <v>195.55555536</v>
      </c>
      <c r="S11" s="358">
        <f t="shared" si="9"/>
        <v>355.55555555555554</v>
      </c>
      <c r="T11" s="330">
        <v>32985</v>
      </c>
      <c r="U11" s="383">
        <f t="shared" si="6"/>
        <v>112</v>
      </c>
      <c r="V11" s="383">
        <f t="shared" si="10"/>
        <v>15982.222227182223</v>
      </c>
      <c r="W11" s="388">
        <v>0</v>
      </c>
      <c r="X11" s="383">
        <f t="shared" si="11"/>
        <v>0</v>
      </c>
      <c r="Y11" s="330">
        <v>33024</v>
      </c>
      <c r="Z11" s="383">
        <f t="shared" si="12"/>
        <v>151</v>
      </c>
      <c r="AA11" s="383">
        <f t="shared" si="13"/>
        <v>6933.333333333333</v>
      </c>
      <c r="AB11" s="389"/>
      <c r="AC11" s="357"/>
      <c r="AD11" s="329"/>
      <c r="AE11" s="390"/>
      <c r="AF11" s="390"/>
      <c r="AT11" s="323"/>
      <c r="AU11" s="323"/>
    </row>
    <row r="12" spans="1:59" ht="22.2" customHeight="1" x14ac:dyDescent="0.4">
      <c r="A12" s="320"/>
      <c r="D12" s="352">
        <v>1991</v>
      </c>
      <c r="E12" s="364">
        <f t="shared" si="0"/>
        <v>238.57180900467858</v>
      </c>
      <c r="F12" s="364">
        <f t="shared" si="7"/>
        <v>147.53692389729324</v>
      </c>
      <c r="G12" s="351">
        <f t="shared" si="14"/>
        <v>11928.590450233929</v>
      </c>
      <c r="H12" s="350">
        <f t="shared" si="1"/>
        <v>1.61703119939493</v>
      </c>
      <c r="I12" s="357">
        <v>0</v>
      </c>
      <c r="J12" s="383">
        <f t="shared" si="2"/>
        <v>0</v>
      </c>
      <c r="K12" s="330">
        <v>33239</v>
      </c>
      <c r="L12" s="383">
        <f t="shared" si="3"/>
        <v>1</v>
      </c>
      <c r="M12" s="384">
        <v>34</v>
      </c>
      <c r="N12" s="358">
        <f t="shared" si="4"/>
        <v>61.818181879999997</v>
      </c>
      <c r="O12" s="385">
        <v>33267</v>
      </c>
      <c r="P12" s="383">
        <f t="shared" si="5"/>
        <v>29</v>
      </c>
      <c r="Q12" s="383">
        <f t="shared" si="8"/>
        <v>865.45454631999996</v>
      </c>
      <c r="R12" s="384">
        <v>59.154929518309856</v>
      </c>
      <c r="S12" s="358">
        <f t="shared" si="9"/>
        <v>107.55441741357234</v>
      </c>
      <c r="T12" s="330">
        <v>33323</v>
      </c>
      <c r="U12" s="383">
        <f t="shared" si="6"/>
        <v>85</v>
      </c>
      <c r="V12" s="383">
        <f t="shared" si="10"/>
        <v>4742.4327802200251</v>
      </c>
      <c r="W12" s="388">
        <v>81.14530806236597</v>
      </c>
      <c r="X12" s="358">
        <f t="shared" si="11"/>
        <v>147.53692389729324</v>
      </c>
      <c r="Y12" s="330">
        <v>33350</v>
      </c>
      <c r="Z12" s="383">
        <f t="shared" si="12"/>
        <v>112</v>
      </c>
      <c r="AA12" s="383">
        <f t="shared" si="13"/>
        <v>3443.7331076966852</v>
      </c>
      <c r="AB12" s="389">
        <v>0</v>
      </c>
      <c r="AC12" s="390">
        <f t="shared" si="15"/>
        <v>0</v>
      </c>
      <c r="AD12" s="385">
        <v>33389</v>
      </c>
      <c r="AE12" s="390">
        <f t="shared" si="16"/>
        <v>151</v>
      </c>
      <c r="AF12" s="390">
        <f t="shared" si="17"/>
        <v>2876.9700159972181</v>
      </c>
      <c r="AT12" s="323"/>
      <c r="AU12" s="323"/>
    </row>
    <row r="13" spans="1:59" ht="22.2" customHeight="1" x14ac:dyDescent="0.4">
      <c r="A13" s="320"/>
      <c r="D13" s="352">
        <v>1992</v>
      </c>
      <c r="E13" s="364">
        <f t="shared" si="0"/>
        <v>507.68160742297624</v>
      </c>
      <c r="F13" s="364">
        <f t="shared" si="7"/>
        <v>332.62600213602002</v>
      </c>
      <c r="G13" s="351">
        <f t="shared" si="14"/>
        <v>25384.080371148812</v>
      </c>
      <c r="H13" s="350">
        <f t="shared" si="1"/>
        <v>1.5262835862584523</v>
      </c>
      <c r="I13" s="357">
        <v>0</v>
      </c>
      <c r="J13" s="383">
        <f t="shared" si="2"/>
        <v>0</v>
      </c>
      <c r="K13" s="330">
        <v>33604</v>
      </c>
      <c r="L13" s="383">
        <f t="shared" si="3"/>
        <v>1</v>
      </c>
      <c r="M13" s="384">
        <v>117</v>
      </c>
      <c r="N13" s="358">
        <f t="shared" si="4"/>
        <v>212.72727294000001</v>
      </c>
      <c r="O13" s="385">
        <v>33674</v>
      </c>
      <c r="P13" s="383">
        <f t="shared" si="5"/>
        <v>71</v>
      </c>
      <c r="Q13" s="383">
        <f t="shared" si="8"/>
        <v>7445.4545529000006</v>
      </c>
      <c r="R13" s="384">
        <v>182.94430099186673</v>
      </c>
      <c r="S13" s="358">
        <f t="shared" si="9"/>
        <v>332.62600213602002</v>
      </c>
      <c r="T13" s="330">
        <v>33716</v>
      </c>
      <c r="U13" s="383">
        <f t="shared" si="6"/>
        <v>113</v>
      </c>
      <c r="V13" s="383">
        <f t="shared" si="10"/>
        <v>11452.418776596422</v>
      </c>
      <c r="W13" s="388">
        <v>0</v>
      </c>
      <c r="X13" s="383">
        <f t="shared" si="11"/>
        <v>0</v>
      </c>
      <c r="Y13" s="330">
        <v>33755</v>
      </c>
      <c r="Z13" s="383">
        <f t="shared" si="12"/>
        <v>152</v>
      </c>
      <c r="AA13" s="383">
        <f t="shared" si="13"/>
        <v>6486.2070416523902</v>
      </c>
      <c r="AB13" s="389"/>
      <c r="AC13" s="357"/>
      <c r="AD13" s="329"/>
      <c r="AE13" s="390"/>
      <c r="AF13" s="390"/>
      <c r="AT13" s="323"/>
      <c r="AU13" s="323"/>
      <c r="BE13" s="75"/>
      <c r="BF13" s="75"/>
      <c r="BG13" s="75"/>
    </row>
    <row r="14" spans="1:59" ht="22.2" customHeight="1" x14ac:dyDescent="0.4">
      <c r="A14" s="320"/>
      <c r="D14" s="352">
        <v>1993</v>
      </c>
      <c r="E14" s="364">
        <f t="shared" si="0"/>
        <v>224.58971553533354</v>
      </c>
      <c r="F14" s="364">
        <f t="shared" si="7"/>
        <v>183.63636381999999</v>
      </c>
      <c r="G14" s="351">
        <f t="shared" si="14"/>
        <v>11229.485776766676</v>
      </c>
      <c r="H14" s="350">
        <f t="shared" si="1"/>
        <v>1.22301330119712</v>
      </c>
      <c r="I14" s="357">
        <v>0</v>
      </c>
      <c r="J14" s="383">
        <f t="shared" si="2"/>
        <v>0</v>
      </c>
      <c r="K14" s="330">
        <v>33970</v>
      </c>
      <c r="L14" s="383">
        <f t="shared" si="3"/>
        <v>1</v>
      </c>
      <c r="M14" s="384">
        <v>101</v>
      </c>
      <c r="N14" s="358">
        <f t="shared" si="4"/>
        <v>183.63636381999999</v>
      </c>
      <c r="O14" s="385">
        <v>34025</v>
      </c>
      <c r="P14" s="383">
        <f t="shared" si="5"/>
        <v>56</v>
      </c>
      <c r="Q14" s="383">
        <f t="shared" si="8"/>
        <v>5050.0000050499993</v>
      </c>
      <c r="R14" s="384">
        <v>14.141414127272729</v>
      </c>
      <c r="S14" s="358">
        <f t="shared" si="9"/>
        <v>25.711662075298442</v>
      </c>
      <c r="T14" s="330">
        <v>34079</v>
      </c>
      <c r="U14" s="383">
        <f t="shared" si="6"/>
        <v>110</v>
      </c>
      <c r="V14" s="383">
        <f t="shared" si="10"/>
        <v>5652.3966991730576</v>
      </c>
      <c r="W14" s="388">
        <v>0</v>
      </c>
      <c r="X14" s="383">
        <f t="shared" si="11"/>
        <v>0</v>
      </c>
      <c r="Y14" s="330">
        <v>34120</v>
      </c>
      <c r="Z14" s="383">
        <f t="shared" si="12"/>
        <v>151</v>
      </c>
      <c r="AA14" s="383">
        <f t="shared" si="13"/>
        <v>527.08907254361804</v>
      </c>
      <c r="AB14" s="389"/>
      <c r="AC14" s="357"/>
      <c r="AD14" s="329"/>
      <c r="AE14" s="390"/>
      <c r="AF14" s="390"/>
      <c r="AT14" s="323"/>
      <c r="AU14" s="323"/>
      <c r="BE14" s="59"/>
      <c r="BF14" s="75"/>
      <c r="BG14" s="75"/>
    </row>
    <row r="15" spans="1:59" ht="22.2" customHeight="1" x14ac:dyDescent="0.4">
      <c r="A15" s="320"/>
      <c r="D15" s="352">
        <v>1994</v>
      </c>
      <c r="E15" s="364">
        <f t="shared" si="0"/>
        <v>86.655452503784488</v>
      </c>
      <c r="F15" s="364">
        <f t="shared" si="7"/>
        <v>59.717326279663268</v>
      </c>
      <c r="G15" s="351">
        <f t="shared" si="14"/>
        <v>4332.7726251892245</v>
      </c>
      <c r="H15" s="350">
        <f t="shared" si="1"/>
        <v>1.451093977281682</v>
      </c>
      <c r="I15" s="357">
        <v>0</v>
      </c>
      <c r="J15" s="383">
        <f t="shared" si="2"/>
        <v>0</v>
      </c>
      <c r="K15" s="330">
        <v>34335</v>
      </c>
      <c r="L15" s="383">
        <f t="shared" si="3"/>
        <v>1</v>
      </c>
      <c r="M15" s="384">
        <v>24</v>
      </c>
      <c r="N15" s="358">
        <f t="shared" si="4"/>
        <v>43.636363680000002</v>
      </c>
      <c r="O15" s="385">
        <v>34421</v>
      </c>
      <c r="P15" s="383">
        <f t="shared" si="5"/>
        <v>87</v>
      </c>
      <c r="Q15" s="383">
        <f t="shared" si="8"/>
        <v>1876.36363824</v>
      </c>
      <c r="R15" s="384">
        <v>32.844529420970268</v>
      </c>
      <c r="S15" s="358">
        <f t="shared" si="9"/>
        <v>59.717326279663268</v>
      </c>
      <c r="T15" s="330">
        <v>34446</v>
      </c>
      <c r="U15" s="383">
        <f t="shared" si="6"/>
        <v>112</v>
      </c>
      <c r="V15" s="383">
        <f t="shared" si="10"/>
        <v>1291.921124495791</v>
      </c>
      <c r="W15" s="388">
        <v>0</v>
      </c>
      <c r="X15" s="383">
        <f t="shared" si="11"/>
        <v>0</v>
      </c>
      <c r="Y15" s="330">
        <v>34485</v>
      </c>
      <c r="Z15" s="383">
        <f t="shared" si="12"/>
        <v>151</v>
      </c>
      <c r="AA15" s="383">
        <f t="shared" si="13"/>
        <v>1164.4878624534338</v>
      </c>
      <c r="AB15" s="389"/>
      <c r="AC15" s="357"/>
      <c r="AD15" s="329"/>
      <c r="AE15" s="390"/>
      <c r="AF15" s="390"/>
      <c r="AT15" s="323"/>
      <c r="AU15" s="323"/>
      <c r="BE15" s="59"/>
      <c r="BF15" s="397"/>
      <c r="BG15" s="397"/>
    </row>
    <row r="16" spans="1:59" ht="22.2" customHeight="1" x14ac:dyDescent="0.4">
      <c r="A16" s="320"/>
      <c r="D16" s="352">
        <v>1995</v>
      </c>
      <c r="E16" s="364">
        <f t="shared" si="0"/>
        <v>258.28365353869339</v>
      </c>
      <c r="F16" s="364">
        <f t="shared" si="7"/>
        <v>170.72129748186089</v>
      </c>
      <c r="G16" s="351">
        <f t="shared" si="14"/>
        <v>12914.18267693467</v>
      </c>
      <c r="H16" s="350">
        <f t="shared" si="1"/>
        <v>1.5128965006028963</v>
      </c>
      <c r="I16" s="357">
        <v>0</v>
      </c>
      <c r="J16" s="383">
        <f t="shared" si="2"/>
        <v>0</v>
      </c>
      <c r="K16" s="330">
        <v>34700</v>
      </c>
      <c r="L16" s="383">
        <f t="shared" si="3"/>
        <v>1</v>
      </c>
      <c r="M16" s="384">
        <v>51</v>
      </c>
      <c r="N16" s="358">
        <f t="shared" si="4"/>
        <v>92.727272819999996</v>
      </c>
      <c r="O16" s="385">
        <v>34759</v>
      </c>
      <c r="P16" s="383">
        <f t="shared" si="5"/>
        <v>60</v>
      </c>
      <c r="Q16" s="383">
        <f t="shared" si="8"/>
        <v>2735.45454819</v>
      </c>
      <c r="R16" s="384">
        <v>93.89671352112677</v>
      </c>
      <c r="S16" s="358">
        <f t="shared" si="9"/>
        <v>170.72129748186089</v>
      </c>
      <c r="T16" s="330">
        <v>34811</v>
      </c>
      <c r="U16" s="383">
        <f t="shared" si="6"/>
        <v>112</v>
      </c>
      <c r="V16" s="383">
        <f t="shared" si="10"/>
        <v>6849.6628278483822</v>
      </c>
      <c r="W16" s="388">
        <v>0</v>
      </c>
      <c r="X16" s="383">
        <f t="shared" si="11"/>
        <v>0</v>
      </c>
      <c r="Y16" s="330">
        <v>34850</v>
      </c>
      <c r="Z16" s="383">
        <f t="shared" si="12"/>
        <v>151</v>
      </c>
      <c r="AA16" s="383">
        <f t="shared" si="13"/>
        <v>3329.0653008962872</v>
      </c>
      <c r="AB16" s="389"/>
      <c r="AC16" s="357"/>
      <c r="AD16" s="329"/>
      <c r="AE16" s="390"/>
      <c r="AF16" s="390"/>
      <c r="AT16" s="323"/>
      <c r="AU16" s="323"/>
      <c r="BE16" s="59"/>
      <c r="BF16" s="353"/>
      <c r="BG16" s="353"/>
    </row>
    <row r="17" spans="1:59" ht="22.2" customHeight="1" x14ac:dyDescent="0.4">
      <c r="A17" s="320"/>
      <c r="D17" s="352">
        <v>1996</v>
      </c>
      <c r="E17" s="364">
        <f t="shared" si="0"/>
        <v>152.97272366983145</v>
      </c>
      <c r="F17" s="364">
        <f t="shared" si="7"/>
        <v>105.38351696411165</v>
      </c>
      <c r="G17" s="351">
        <f t="shared" si="14"/>
        <v>7648.6361834915724</v>
      </c>
      <c r="H17" s="350">
        <f t="shared" si="1"/>
        <v>1.451581120811581</v>
      </c>
      <c r="I17" s="357">
        <v>0</v>
      </c>
      <c r="J17" s="383">
        <f t="shared" si="2"/>
        <v>0</v>
      </c>
      <c r="K17" s="330">
        <v>35065</v>
      </c>
      <c r="L17" s="383">
        <f t="shared" si="3"/>
        <v>1</v>
      </c>
      <c r="M17" s="384">
        <v>42</v>
      </c>
      <c r="N17" s="358">
        <f t="shared" si="4"/>
        <v>76.363636439999993</v>
      </c>
      <c r="O17" s="385">
        <v>35152</v>
      </c>
      <c r="P17" s="383">
        <f t="shared" si="5"/>
        <v>88</v>
      </c>
      <c r="Q17" s="383">
        <f t="shared" si="8"/>
        <v>3321.8181851399995</v>
      </c>
      <c r="R17" s="384">
        <v>57.960934272300477</v>
      </c>
      <c r="S17" s="358">
        <f t="shared" si="9"/>
        <v>105.38351696411165</v>
      </c>
      <c r="T17" s="330">
        <v>35177</v>
      </c>
      <c r="U17" s="383">
        <f t="shared" si="6"/>
        <v>113</v>
      </c>
      <c r="V17" s="383">
        <f t="shared" si="10"/>
        <v>2271.8394175513959</v>
      </c>
      <c r="W17" s="388">
        <v>0</v>
      </c>
      <c r="X17" s="383">
        <f t="shared" si="11"/>
        <v>0</v>
      </c>
      <c r="Y17" s="330">
        <v>35216</v>
      </c>
      <c r="Z17" s="383">
        <f t="shared" si="12"/>
        <v>152</v>
      </c>
      <c r="AA17" s="383">
        <f t="shared" si="13"/>
        <v>2054.978580800177</v>
      </c>
      <c r="AB17" s="389"/>
      <c r="AC17" s="357"/>
      <c r="AD17" s="329"/>
      <c r="AE17" s="390"/>
      <c r="AF17" s="390"/>
      <c r="AT17" s="323"/>
      <c r="AU17" s="323"/>
      <c r="BE17" s="354"/>
      <c r="BF17" s="350"/>
      <c r="BG17" s="350"/>
    </row>
    <row r="18" spans="1:59" ht="22.2" customHeight="1" x14ac:dyDescent="0.4">
      <c r="A18" s="320"/>
      <c r="D18" s="352">
        <v>1998</v>
      </c>
      <c r="E18" s="364">
        <f t="shared" si="0"/>
        <v>25.98876537444313</v>
      </c>
      <c r="F18" s="364">
        <f t="shared" si="7"/>
        <v>18.065745765276283</v>
      </c>
      <c r="G18" s="351">
        <f t="shared" si="14"/>
        <v>1299.4382687221564</v>
      </c>
      <c r="H18" s="350">
        <f t="shared" si="1"/>
        <v>1.438565875558566</v>
      </c>
      <c r="I18" s="357">
        <v>0</v>
      </c>
      <c r="J18" s="383">
        <f t="shared" si="2"/>
        <v>0</v>
      </c>
      <c r="K18" s="330">
        <v>35796</v>
      </c>
      <c r="L18" s="383">
        <f t="shared" si="3"/>
        <v>1</v>
      </c>
      <c r="M18" s="384">
        <v>5</v>
      </c>
      <c r="N18" s="358">
        <f t="shared" si="4"/>
        <v>9.0909090999999993</v>
      </c>
      <c r="O18" s="385">
        <v>35858</v>
      </c>
      <c r="P18" s="383">
        <f t="shared" si="5"/>
        <v>63</v>
      </c>
      <c r="Q18" s="383">
        <f t="shared" si="8"/>
        <v>281.8181821</v>
      </c>
      <c r="R18" s="384">
        <v>9.9361601609657964</v>
      </c>
      <c r="S18" s="358">
        <f t="shared" si="9"/>
        <v>18.065745765276283</v>
      </c>
      <c r="T18" s="330">
        <v>35907</v>
      </c>
      <c r="U18" s="383">
        <f t="shared" si="6"/>
        <v>112</v>
      </c>
      <c r="V18" s="383">
        <f t="shared" si="10"/>
        <v>665.33804419926889</v>
      </c>
      <c r="W18" s="388">
        <v>0</v>
      </c>
      <c r="X18" s="383">
        <f t="shared" si="11"/>
        <v>0</v>
      </c>
      <c r="Y18" s="330">
        <v>35946</v>
      </c>
      <c r="Z18" s="383">
        <f t="shared" si="12"/>
        <v>151</v>
      </c>
      <c r="AA18" s="383">
        <f t="shared" si="13"/>
        <v>352.28204242288751</v>
      </c>
      <c r="AB18" s="389"/>
      <c r="AC18" s="357"/>
      <c r="AD18" s="329"/>
      <c r="AE18" s="390"/>
      <c r="AF18" s="390"/>
      <c r="AT18" s="323"/>
      <c r="AU18" s="323"/>
      <c r="BE18" s="354"/>
      <c r="BF18" s="351"/>
      <c r="BG18" s="350"/>
    </row>
    <row r="19" spans="1:59" ht="22.2" customHeight="1" x14ac:dyDescent="0.4">
      <c r="A19" s="320"/>
      <c r="D19" s="352">
        <v>1999</v>
      </c>
      <c r="E19" s="364">
        <f t="shared" si="0"/>
        <v>265.06964398973736</v>
      </c>
      <c r="F19" s="364">
        <f t="shared" si="7"/>
        <v>212.65284444444444</v>
      </c>
      <c r="G19" s="351">
        <f t="shared" si="14"/>
        <v>13253.482199486869</v>
      </c>
      <c r="H19" s="350">
        <f t="shared" si="1"/>
        <v>1.2464899996152499</v>
      </c>
      <c r="I19" s="357">
        <v>0</v>
      </c>
      <c r="J19" s="383">
        <f t="shared" si="2"/>
        <v>0</v>
      </c>
      <c r="K19" s="330">
        <v>36161</v>
      </c>
      <c r="L19" s="383">
        <f t="shared" si="3"/>
        <v>1</v>
      </c>
      <c r="M19" s="384">
        <v>40</v>
      </c>
      <c r="N19" s="358">
        <f t="shared" si="4"/>
        <v>72.727272799999994</v>
      </c>
      <c r="O19" s="385">
        <v>36227</v>
      </c>
      <c r="P19" s="383">
        <f t="shared" si="5"/>
        <v>67</v>
      </c>
      <c r="Q19" s="383">
        <f t="shared" si="8"/>
        <v>2400.0000023999996</v>
      </c>
      <c r="R19" s="384">
        <v>99.999999900000006</v>
      </c>
      <c r="S19" s="358">
        <f t="shared" si="9"/>
        <v>181.81818181818181</v>
      </c>
      <c r="T19" s="330">
        <v>36258</v>
      </c>
      <c r="U19" s="383">
        <f t="shared" si="6"/>
        <v>98</v>
      </c>
      <c r="V19" s="383">
        <f t="shared" si="10"/>
        <v>3945.4545465818178</v>
      </c>
      <c r="W19" s="388">
        <v>116.95906432748538</v>
      </c>
      <c r="X19" s="358">
        <f t="shared" si="11"/>
        <v>212.65284444444444</v>
      </c>
      <c r="Y19" s="330">
        <v>36272</v>
      </c>
      <c r="Z19" s="383">
        <f t="shared" si="12"/>
        <v>112</v>
      </c>
      <c r="AA19" s="383">
        <f t="shared" si="13"/>
        <v>2761.2971838383837</v>
      </c>
      <c r="AB19" s="389">
        <v>0</v>
      </c>
      <c r="AC19" s="390">
        <f t="shared" si="15"/>
        <v>0</v>
      </c>
      <c r="AD19" s="385">
        <v>36311</v>
      </c>
      <c r="AE19" s="390">
        <f t="shared" si="16"/>
        <v>151</v>
      </c>
      <c r="AF19" s="390">
        <f t="shared" si="17"/>
        <v>4146.7304666666669</v>
      </c>
      <c r="AT19" s="323"/>
      <c r="AU19" s="323"/>
      <c r="BE19" s="354"/>
      <c r="BF19" s="351"/>
      <c r="BG19" s="350"/>
    </row>
    <row r="20" spans="1:59" ht="22.2" customHeight="1" x14ac:dyDescent="0.4">
      <c r="A20" s="320"/>
      <c r="D20" s="352">
        <v>2000</v>
      </c>
      <c r="E20" s="364">
        <f t="shared" si="0"/>
        <v>49.515789612754872</v>
      </c>
      <c r="F20" s="364">
        <f t="shared" si="7"/>
        <v>32.822966679929486</v>
      </c>
      <c r="G20" s="351">
        <f t="shared" si="14"/>
        <v>2475.7894806377435</v>
      </c>
      <c r="H20" s="350">
        <f t="shared" si="1"/>
        <v>1.5085714248685715</v>
      </c>
      <c r="I20" s="357">
        <v>0</v>
      </c>
      <c r="J20" s="383">
        <f t="shared" si="2"/>
        <v>0</v>
      </c>
      <c r="K20" s="330">
        <v>36526</v>
      </c>
      <c r="L20" s="383">
        <f t="shared" si="3"/>
        <v>1</v>
      </c>
      <c r="M20" s="384">
        <v>14</v>
      </c>
      <c r="N20" s="358">
        <f t="shared" si="4"/>
        <v>25.45454548</v>
      </c>
      <c r="O20" s="385">
        <v>36613</v>
      </c>
      <c r="P20" s="383">
        <f t="shared" si="5"/>
        <v>88</v>
      </c>
      <c r="Q20" s="383">
        <f t="shared" si="8"/>
        <v>1107.27272838</v>
      </c>
      <c r="R20" s="384">
        <v>18.052631655908588</v>
      </c>
      <c r="S20" s="358">
        <f t="shared" si="9"/>
        <v>32.822966679929486</v>
      </c>
      <c r="T20" s="330">
        <v>36638</v>
      </c>
      <c r="U20" s="383">
        <f t="shared" si="6"/>
        <v>113</v>
      </c>
      <c r="V20" s="383">
        <f t="shared" si="10"/>
        <v>728.46890199911854</v>
      </c>
      <c r="W20" s="388">
        <v>0</v>
      </c>
      <c r="X20" s="383">
        <f t="shared" si="11"/>
        <v>0</v>
      </c>
      <c r="Y20" s="330">
        <v>36677</v>
      </c>
      <c r="Z20" s="383">
        <f t="shared" si="12"/>
        <v>152</v>
      </c>
      <c r="AA20" s="383">
        <f t="shared" si="13"/>
        <v>640.04785025862498</v>
      </c>
      <c r="AB20" s="389"/>
      <c r="AC20" s="357"/>
      <c r="AD20" s="329"/>
      <c r="AE20" s="390">
        <f t="shared" si="16"/>
        <v>0</v>
      </c>
      <c r="AF20" s="390"/>
      <c r="AT20" s="323"/>
      <c r="AU20" s="323"/>
      <c r="BE20" s="354"/>
      <c r="BF20" s="351"/>
      <c r="BG20" s="350"/>
    </row>
    <row r="21" spans="1:59" ht="22.2" customHeight="1" x14ac:dyDescent="0.4">
      <c r="A21" s="320"/>
      <c r="D21" s="352">
        <v>2001</v>
      </c>
      <c r="E21" s="364">
        <f t="shared" si="0"/>
        <v>233.76810376479105</v>
      </c>
      <c r="F21" s="364">
        <f t="shared" si="7"/>
        <v>138.18181831999999</v>
      </c>
      <c r="G21" s="351">
        <f t="shared" si="14"/>
        <v>11688.405188239552</v>
      </c>
      <c r="H21" s="350">
        <f t="shared" si="1"/>
        <v>1.6917428545008242</v>
      </c>
      <c r="I21" s="357">
        <v>0</v>
      </c>
      <c r="J21" s="383">
        <f t="shared" si="2"/>
        <v>0</v>
      </c>
      <c r="K21" s="330">
        <v>36892</v>
      </c>
      <c r="L21" s="383">
        <f t="shared" si="3"/>
        <v>1</v>
      </c>
      <c r="M21" s="384">
        <v>76</v>
      </c>
      <c r="N21" s="358">
        <f t="shared" si="4"/>
        <v>138.18181831999999</v>
      </c>
      <c r="O21" s="385">
        <v>36962</v>
      </c>
      <c r="P21" s="383">
        <f t="shared" si="5"/>
        <v>71</v>
      </c>
      <c r="Q21" s="383">
        <f t="shared" si="8"/>
        <v>4836.3636411999996</v>
      </c>
      <c r="R21" s="384">
        <v>53.521126707042256</v>
      </c>
      <c r="S21" s="358">
        <f t="shared" si="9"/>
        <v>97.311139564660692</v>
      </c>
      <c r="T21" s="330">
        <v>36987</v>
      </c>
      <c r="U21" s="383">
        <f t="shared" si="6"/>
        <v>96</v>
      </c>
      <c r="V21" s="383">
        <f t="shared" si="10"/>
        <v>2943.6619735582585</v>
      </c>
      <c r="W21" s="388">
        <v>62.597809076682324</v>
      </c>
      <c r="X21" s="358">
        <f t="shared" si="11"/>
        <v>113.81419843505479</v>
      </c>
      <c r="Y21" s="330">
        <v>37003</v>
      </c>
      <c r="Z21" s="383">
        <f t="shared" si="12"/>
        <v>112</v>
      </c>
      <c r="AA21" s="383">
        <f t="shared" si="13"/>
        <v>1689.002703997724</v>
      </c>
      <c r="AB21" s="389">
        <v>0</v>
      </c>
      <c r="AC21" s="390">
        <f t="shared" si="15"/>
        <v>0</v>
      </c>
      <c r="AD21" s="385">
        <v>37042</v>
      </c>
      <c r="AE21" s="390">
        <f t="shared" si="16"/>
        <v>151</v>
      </c>
      <c r="AF21" s="390">
        <f t="shared" si="17"/>
        <v>2219.3768694835685</v>
      </c>
      <c r="AT21" s="323"/>
      <c r="AU21" s="323"/>
      <c r="BE21" s="354"/>
      <c r="BF21" s="351"/>
      <c r="BG21" s="350"/>
    </row>
    <row r="22" spans="1:59" ht="22.2" customHeight="1" x14ac:dyDescent="0.4">
      <c r="A22" s="320"/>
      <c r="D22" s="352">
        <v>2002</v>
      </c>
      <c r="E22" s="364">
        <f t="shared" si="0"/>
        <v>191.21818199485458</v>
      </c>
      <c r="F22" s="364">
        <f t="shared" si="7"/>
        <v>132.72727286</v>
      </c>
      <c r="G22" s="351">
        <f t="shared" si="14"/>
        <v>9560.9090997427284</v>
      </c>
      <c r="H22" s="350">
        <f t="shared" si="1"/>
        <v>1.4406849313972605</v>
      </c>
      <c r="I22" s="357">
        <v>0</v>
      </c>
      <c r="J22" s="383">
        <f t="shared" si="2"/>
        <v>0</v>
      </c>
      <c r="K22" s="330">
        <v>37257</v>
      </c>
      <c r="L22" s="383">
        <f t="shared" si="3"/>
        <v>1</v>
      </c>
      <c r="M22" s="384">
        <v>17</v>
      </c>
      <c r="N22" s="358">
        <f t="shared" si="4"/>
        <v>30.909090939999999</v>
      </c>
      <c r="O22" s="329">
        <v>37274</v>
      </c>
      <c r="P22" s="383">
        <f t="shared" si="5"/>
        <v>18</v>
      </c>
      <c r="Q22" s="383">
        <f t="shared" si="8"/>
        <v>262.72727298999996</v>
      </c>
      <c r="R22" s="384">
        <v>15.999999984</v>
      </c>
      <c r="S22" s="358">
        <f t="shared" si="9"/>
        <v>29.09090909090909</v>
      </c>
      <c r="T22" s="391">
        <v>37300</v>
      </c>
      <c r="U22" s="383">
        <f t="shared" si="6"/>
        <v>44</v>
      </c>
      <c r="V22" s="383">
        <f t="shared" si="10"/>
        <v>780.00000040181817</v>
      </c>
      <c r="W22" s="392">
        <v>46</v>
      </c>
      <c r="X22" s="358">
        <f t="shared" si="11"/>
        <v>83.636363719999991</v>
      </c>
      <c r="Y22" s="391">
        <v>37324</v>
      </c>
      <c r="Z22" s="383">
        <f t="shared" si="12"/>
        <v>68</v>
      </c>
      <c r="AA22" s="383">
        <f t="shared" si="13"/>
        <v>1352.727273730909</v>
      </c>
      <c r="AB22" s="389">
        <v>50</v>
      </c>
      <c r="AC22" s="357">
        <f t="shared" si="15"/>
        <v>90.909091000000004</v>
      </c>
      <c r="AD22" s="329">
        <v>37337</v>
      </c>
      <c r="AE22" s="390">
        <f t="shared" si="16"/>
        <v>81</v>
      </c>
      <c r="AF22" s="390">
        <f>((AC22+X22)/2)*(AE22-Z22)</f>
        <v>1134.54545568</v>
      </c>
      <c r="AG22" s="386">
        <v>73</v>
      </c>
      <c r="AH22" s="357">
        <f>(AG22*1.81818182)</f>
        <v>132.72727286</v>
      </c>
      <c r="AI22" s="329">
        <v>37372</v>
      </c>
      <c r="AJ22" s="390">
        <f>AI22-DATE(YEAR(AI22),1,1)+1</f>
        <v>116</v>
      </c>
      <c r="AK22" s="390">
        <f>((AH22+AC22)/2)*(AJ22-AE22)</f>
        <v>3913.6363675500002</v>
      </c>
      <c r="AL22" s="386">
        <v>29</v>
      </c>
      <c r="AM22" s="357">
        <f>(AL22*1.81818182)</f>
        <v>52.72727278</v>
      </c>
      <c r="AN22" s="329">
        <v>37390</v>
      </c>
      <c r="AO22" s="390">
        <f>AN22-DATE(YEAR(AN22),1,1)+1</f>
        <v>134</v>
      </c>
      <c r="AP22" s="390">
        <f>((AM22+AH22)/2)*(AO22-AJ22)</f>
        <v>1669.09091076</v>
      </c>
      <c r="AQ22" s="386">
        <v>0</v>
      </c>
      <c r="AR22" s="387">
        <f>(AQ22*1.81818182)</f>
        <v>0</v>
      </c>
      <c r="AS22" s="329">
        <v>37407</v>
      </c>
      <c r="AT22" s="323">
        <f>AS22-DATE(YEAR(AS22),1,1)+1</f>
        <v>151</v>
      </c>
      <c r="AU22" s="324">
        <f>((AR22+AM22)/2)*(AT22-AO22)</f>
        <v>448.18181863000001</v>
      </c>
      <c r="BE22" s="354"/>
      <c r="BF22" s="351"/>
      <c r="BG22" s="350"/>
    </row>
    <row r="23" spans="1:59" ht="22.2" customHeight="1" x14ac:dyDescent="0.4">
      <c r="A23" s="320"/>
      <c r="D23" s="352">
        <v>2003</v>
      </c>
      <c r="E23" s="364">
        <f t="shared" si="0"/>
        <v>127.09090920210907</v>
      </c>
      <c r="F23" s="364">
        <f t="shared" si="7"/>
        <v>90.909091000000004</v>
      </c>
      <c r="G23" s="351">
        <f t="shared" si="14"/>
        <v>6354.5454601054535</v>
      </c>
      <c r="H23" s="350">
        <f t="shared" si="1"/>
        <v>1.3979999998251997</v>
      </c>
      <c r="I23" s="357">
        <v>0</v>
      </c>
      <c r="J23" s="383">
        <f t="shared" si="2"/>
        <v>0</v>
      </c>
      <c r="K23" s="330">
        <v>37622</v>
      </c>
      <c r="L23" s="383">
        <f t="shared" si="3"/>
        <v>1</v>
      </c>
      <c r="M23" s="384">
        <v>5</v>
      </c>
      <c r="N23" s="358">
        <f t="shared" si="4"/>
        <v>9.0909090999999993</v>
      </c>
      <c r="O23" s="329">
        <v>37641</v>
      </c>
      <c r="P23" s="383">
        <f t="shared" si="5"/>
        <v>20</v>
      </c>
      <c r="Q23" s="383">
        <f t="shared" si="8"/>
        <v>86.363636449999987</v>
      </c>
      <c r="R23" s="384">
        <v>18.999999980999998</v>
      </c>
      <c r="S23" s="358">
        <f t="shared" si="9"/>
        <v>34.54545454545454</v>
      </c>
      <c r="T23" s="391">
        <v>37664</v>
      </c>
      <c r="U23" s="383">
        <f t="shared" si="6"/>
        <v>43</v>
      </c>
      <c r="V23" s="383">
        <f t="shared" si="10"/>
        <v>501.81818192272715</v>
      </c>
      <c r="W23" s="392">
        <v>21</v>
      </c>
      <c r="X23" s="358">
        <f t="shared" si="11"/>
        <v>38.181818219999997</v>
      </c>
      <c r="Y23" s="391">
        <v>37687</v>
      </c>
      <c r="Z23" s="383">
        <f t="shared" si="12"/>
        <v>66</v>
      </c>
      <c r="AA23" s="383">
        <f t="shared" si="13"/>
        <v>836.36363680272711</v>
      </c>
      <c r="AB23" s="389">
        <v>46</v>
      </c>
      <c r="AC23" s="357">
        <f t="shared" si="15"/>
        <v>83.636363719999991</v>
      </c>
      <c r="AD23" s="329">
        <v>37718</v>
      </c>
      <c r="AE23" s="390">
        <f t="shared" si="16"/>
        <v>97</v>
      </c>
      <c r="AF23" s="390">
        <f t="shared" si="17"/>
        <v>1888.1818200699997</v>
      </c>
      <c r="AG23" s="386">
        <v>50</v>
      </c>
      <c r="AH23" s="357">
        <f t="shared" ref="AH23:AH51" si="18">(AG23*1.81818182)</f>
        <v>90.909091000000004</v>
      </c>
      <c r="AI23" s="329">
        <v>37734</v>
      </c>
      <c r="AJ23" s="390">
        <f t="shared" ref="AJ23:AJ51" si="19">AI23-DATE(YEAR(AI23),1,1)+1</f>
        <v>113</v>
      </c>
      <c r="AK23" s="390">
        <f t="shared" ref="AK23:AK51" si="20">((AH23+AC23)/2)*(AJ23-AE23)</f>
        <v>1396.3636377600001</v>
      </c>
      <c r="AL23" s="386">
        <v>20</v>
      </c>
      <c r="AM23" s="357">
        <f>(AL23*1.81818182)</f>
        <v>36.363636399999997</v>
      </c>
      <c r="AN23" s="329">
        <v>37755</v>
      </c>
      <c r="AO23" s="390">
        <f t="shared" ref="AO23:AO51" si="21">AN23-DATE(YEAR(AN23),1,1)+1</f>
        <v>134</v>
      </c>
      <c r="AP23" s="390">
        <f t="shared" ref="AP23:AP51" si="22">((AM23+AH23)/2)*(AO23-AJ23)</f>
        <v>1336.3636377</v>
      </c>
      <c r="AQ23" s="386">
        <v>0</v>
      </c>
      <c r="AR23" s="387">
        <f>(AQ23*1.81818182)</f>
        <v>0</v>
      </c>
      <c r="AS23" s="329">
        <v>37772</v>
      </c>
      <c r="AT23" s="323">
        <f t="shared" ref="AT23:AT51" si="23">AS23-DATE(YEAR(AS23),1,1)+1</f>
        <v>151</v>
      </c>
      <c r="AU23" s="324">
        <f t="shared" ref="AU23:AU51" si="24">((AR23+AM23)/2)*(AT23-AO23)</f>
        <v>309.09090939999999</v>
      </c>
      <c r="BE23" s="354"/>
      <c r="BF23" s="351"/>
      <c r="BG23" s="350"/>
    </row>
    <row r="24" spans="1:59" ht="22.2" customHeight="1" x14ac:dyDescent="0.4">
      <c r="A24" s="320"/>
      <c r="D24" s="352">
        <v>2004</v>
      </c>
      <c r="E24" s="364">
        <f t="shared" si="0"/>
        <v>111.12727282045456</v>
      </c>
      <c r="F24" s="364">
        <f t="shared" si="7"/>
        <v>81.818181899999999</v>
      </c>
      <c r="G24" s="351">
        <f t="shared" si="14"/>
        <v>5556.3636410227282</v>
      </c>
      <c r="H24" s="350">
        <f t="shared" si="1"/>
        <v>1.3582222220028892</v>
      </c>
      <c r="I24" s="357">
        <v>0</v>
      </c>
      <c r="J24" s="383">
        <f t="shared" si="2"/>
        <v>0</v>
      </c>
      <c r="K24" s="330">
        <v>37987</v>
      </c>
      <c r="L24" s="383">
        <f t="shared" si="3"/>
        <v>1</v>
      </c>
      <c r="M24" s="384">
        <v>6</v>
      </c>
      <c r="N24" s="358">
        <f t="shared" si="4"/>
        <v>10.909090920000001</v>
      </c>
      <c r="O24" s="329">
        <v>38022</v>
      </c>
      <c r="P24" s="383">
        <f t="shared" si="5"/>
        <v>36</v>
      </c>
      <c r="Q24" s="383">
        <f t="shared" si="8"/>
        <v>190.90909110000001</v>
      </c>
      <c r="R24" s="384">
        <v>20.999999978999998</v>
      </c>
      <c r="S24" s="358">
        <f t="shared" si="9"/>
        <v>38.18181818181818</v>
      </c>
      <c r="T24" s="391">
        <v>38048</v>
      </c>
      <c r="U24" s="383">
        <f t="shared" si="6"/>
        <v>62</v>
      </c>
      <c r="V24" s="383">
        <f t="shared" si="10"/>
        <v>638.18181832363643</v>
      </c>
      <c r="W24" s="392">
        <v>24</v>
      </c>
      <c r="X24" s="358">
        <f t="shared" si="11"/>
        <v>43.636363680000002</v>
      </c>
      <c r="Y24" s="391">
        <v>38069</v>
      </c>
      <c r="Z24" s="383">
        <f t="shared" si="12"/>
        <v>83</v>
      </c>
      <c r="AA24" s="383">
        <f t="shared" si="13"/>
        <v>859.09090954909084</v>
      </c>
      <c r="AB24" s="389">
        <v>45</v>
      </c>
      <c r="AC24" s="357">
        <f t="shared" si="15"/>
        <v>81.818181899999999</v>
      </c>
      <c r="AD24" s="329">
        <v>38091</v>
      </c>
      <c r="AE24" s="390">
        <f t="shared" si="16"/>
        <v>105</v>
      </c>
      <c r="AF24" s="390">
        <f t="shared" si="17"/>
        <v>1380.00000138</v>
      </c>
      <c r="AG24" s="386">
        <v>41</v>
      </c>
      <c r="AH24" s="357">
        <f t="shared" si="18"/>
        <v>74.545454620000001</v>
      </c>
      <c r="AI24" s="329">
        <v>38106</v>
      </c>
      <c r="AJ24" s="390">
        <f t="shared" si="19"/>
        <v>120</v>
      </c>
      <c r="AK24" s="390">
        <f t="shared" si="20"/>
        <v>1172.7272739</v>
      </c>
      <c r="AL24" s="386">
        <v>26</v>
      </c>
      <c r="AM24" s="357">
        <f>(AL24*1.81818182)</f>
        <v>47.272727320000001</v>
      </c>
      <c r="AN24" s="329">
        <v>38121</v>
      </c>
      <c r="AO24" s="390">
        <f t="shared" si="21"/>
        <v>135</v>
      </c>
      <c r="AP24" s="390">
        <f t="shared" si="22"/>
        <v>913.63636455000005</v>
      </c>
      <c r="AQ24" s="386">
        <v>0</v>
      </c>
      <c r="AR24" s="387">
        <f>(AQ24*1.81818182)</f>
        <v>0</v>
      </c>
      <c r="AS24" s="329">
        <v>38138</v>
      </c>
      <c r="AT24" s="323">
        <f t="shared" si="23"/>
        <v>152</v>
      </c>
      <c r="AU24" s="324">
        <f t="shared" si="24"/>
        <v>401.81818222000004</v>
      </c>
      <c r="BE24" s="354"/>
      <c r="BF24" s="351"/>
      <c r="BG24" s="350"/>
    </row>
    <row r="25" spans="1:59" ht="22.2" customHeight="1" x14ac:dyDescent="0.4">
      <c r="A25" s="320"/>
      <c r="D25" s="352">
        <v>2005</v>
      </c>
      <c r="E25" s="364">
        <f t="shared" si="0"/>
        <v>144.43636374414541</v>
      </c>
      <c r="F25" s="364">
        <f t="shared" si="7"/>
        <v>110.90909101999999</v>
      </c>
      <c r="G25" s="351">
        <f t="shared" si="14"/>
        <v>7221.818187207271</v>
      </c>
      <c r="H25" s="350">
        <f t="shared" si="1"/>
        <v>1.3022950816367209</v>
      </c>
      <c r="I25" s="357">
        <v>0</v>
      </c>
      <c r="J25" s="383">
        <f t="shared" si="2"/>
        <v>0</v>
      </c>
      <c r="K25" s="330">
        <v>38353</v>
      </c>
      <c r="L25" s="383">
        <f t="shared" si="3"/>
        <v>1</v>
      </c>
      <c r="M25" s="384">
        <v>9</v>
      </c>
      <c r="N25" s="358">
        <f t="shared" si="4"/>
        <v>16.363636379999999</v>
      </c>
      <c r="O25" s="329">
        <v>38394</v>
      </c>
      <c r="P25" s="383">
        <f t="shared" si="5"/>
        <v>42</v>
      </c>
      <c r="Q25" s="383">
        <f t="shared" si="8"/>
        <v>335.45454579</v>
      </c>
      <c r="R25" s="384">
        <v>31.999999968000001</v>
      </c>
      <c r="S25" s="358">
        <f t="shared" si="9"/>
        <v>58.18181818181818</v>
      </c>
      <c r="T25" s="391">
        <v>38419</v>
      </c>
      <c r="U25" s="383">
        <f t="shared" si="6"/>
        <v>67</v>
      </c>
      <c r="V25" s="383">
        <f t="shared" si="10"/>
        <v>931.81818202272723</v>
      </c>
      <c r="W25" s="392">
        <v>61</v>
      </c>
      <c r="X25" s="358">
        <f t="shared" si="11"/>
        <v>110.90909101999999</v>
      </c>
      <c r="Y25" s="391">
        <v>38457</v>
      </c>
      <c r="Z25" s="383">
        <f t="shared" si="12"/>
        <v>105</v>
      </c>
      <c r="AA25" s="383">
        <f t="shared" si="13"/>
        <v>3212.7272748345449</v>
      </c>
      <c r="AB25" s="389">
        <v>47</v>
      </c>
      <c r="AC25" s="357">
        <f t="shared" si="15"/>
        <v>85.454545539999998</v>
      </c>
      <c r="AD25" s="329">
        <v>38471</v>
      </c>
      <c r="AE25" s="390">
        <f t="shared" si="16"/>
        <v>119</v>
      </c>
      <c r="AF25" s="390">
        <f t="shared" si="17"/>
        <v>1374.5454559199998</v>
      </c>
      <c r="AG25" s="386">
        <v>0</v>
      </c>
      <c r="AH25" s="390">
        <f t="shared" si="18"/>
        <v>0</v>
      </c>
      <c r="AI25" s="329">
        <v>38503</v>
      </c>
      <c r="AJ25" s="390">
        <f t="shared" si="19"/>
        <v>151</v>
      </c>
      <c r="AK25" s="390">
        <f t="shared" si="20"/>
        <v>1367.27272864</v>
      </c>
      <c r="AM25" s="357"/>
      <c r="AN25" s="329"/>
      <c r="AO25" s="390"/>
      <c r="AP25" s="390"/>
      <c r="AR25" s="387">
        <f t="shared" ref="AR25:AR51" si="25">(AQ25*1.81818182)</f>
        <v>0</v>
      </c>
      <c r="AT25" s="323">
        <f t="shared" si="23"/>
        <v>0</v>
      </c>
      <c r="AU25" s="324"/>
      <c r="BE25" s="354"/>
      <c r="BF25" s="351"/>
      <c r="BG25" s="350"/>
    </row>
    <row r="26" spans="1:59" ht="22.2" customHeight="1" x14ac:dyDescent="0.4">
      <c r="A26" s="320"/>
      <c r="D26" s="352">
        <v>2006</v>
      </c>
      <c r="E26" s="364">
        <f t="shared" si="0"/>
        <v>211.94545469625456</v>
      </c>
      <c r="F26" s="364">
        <f t="shared" si="7"/>
        <v>112.72727284</v>
      </c>
      <c r="G26" s="351">
        <f t="shared" si="14"/>
        <v>10597.272734812728</v>
      </c>
      <c r="H26" s="350">
        <f t="shared" si="1"/>
        <v>1.8801612897801614</v>
      </c>
      <c r="I26" s="357">
        <v>0</v>
      </c>
      <c r="J26" s="383">
        <f t="shared" si="2"/>
        <v>0</v>
      </c>
      <c r="K26" s="330">
        <v>38718</v>
      </c>
      <c r="L26" s="383">
        <f t="shared" si="3"/>
        <v>1</v>
      </c>
      <c r="M26" s="384">
        <v>32</v>
      </c>
      <c r="N26" s="358">
        <f t="shared" si="4"/>
        <v>58.181818239999998</v>
      </c>
      <c r="O26" s="329">
        <v>38763</v>
      </c>
      <c r="P26" s="383">
        <f t="shared" si="5"/>
        <v>46</v>
      </c>
      <c r="Q26" s="383">
        <f t="shared" si="8"/>
        <v>1309.0909104</v>
      </c>
      <c r="R26" s="384">
        <v>58.999999940999999</v>
      </c>
      <c r="S26" s="358">
        <f t="shared" si="9"/>
        <v>107.27272727272727</v>
      </c>
      <c r="T26" s="391">
        <v>38797</v>
      </c>
      <c r="U26" s="383">
        <f t="shared" si="6"/>
        <v>80</v>
      </c>
      <c r="V26" s="383">
        <f t="shared" si="10"/>
        <v>2812.7272737163635</v>
      </c>
      <c r="W26" s="392">
        <v>62</v>
      </c>
      <c r="X26" s="358">
        <f t="shared" si="11"/>
        <v>112.72727284</v>
      </c>
      <c r="Y26" s="391">
        <v>38820</v>
      </c>
      <c r="Z26" s="383">
        <f t="shared" si="12"/>
        <v>103</v>
      </c>
      <c r="AA26" s="383">
        <f t="shared" si="13"/>
        <v>2530.0000012963637</v>
      </c>
      <c r="AB26" s="389">
        <v>62</v>
      </c>
      <c r="AC26" s="357">
        <f t="shared" si="15"/>
        <v>112.72727284</v>
      </c>
      <c r="AD26" s="329">
        <v>38842</v>
      </c>
      <c r="AE26" s="390">
        <f t="shared" si="16"/>
        <v>125</v>
      </c>
      <c r="AF26" s="390">
        <f t="shared" si="17"/>
        <v>2480.0000024800001</v>
      </c>
      <c r="AG26" s="386">
        <v>0</v>
      </c>
      <c r="AH26" s="390">
        <f t="shared" si="18"/>
        <v>0</v>
      </c>
      <c r="AI26" s="329">
        <v>38868</v>
      </c>
      <c r="AJ26" s="390">
        <f t="shared" si="19"/>
        <v>151</v>
      </c>
      <c r="AK26" s="390">
        <f t="shared" si="20"/>
        <v>1465.45454692</v>
      </c>
      <c r="AM26" s="357"/>
      <c r="AN26" s="357"/>
      <c r="AO26" s="390"/>
      <c r="AP26" s="390"/>
      <c r="AR26" s="387">
        <f t="shared" si="25"/>
        <v>0</v>
      </c>
      <c r="AT26" s="323">
        <f t="shared" si="23"/>
        <v>0</v>
      </c>
      <c r="AU26" s="324"/>
      <c r="BE26" s="354"/>
      <c r="BF26" s="351"/>
      <c r="BG26" s="350"/>
    </row>
    <row r="27" spans="1:59" ht="22.2" customHeight="1" x14ac:dyDescent="0.4">
      <c r="A27" s="320"/>
      <c r="D27" s="352">
        <v>2007</v>
      </c>
      <c r="E27" s="364">
        <f t="shared" si="0"/>
        <v>148.1090910062909</v>
      </c>
      <c r="F27" s="364">
        <f t="shared" si="7"/>
        <v>109.0909092</v>
      </c>
      <c r="G27" s="351">
        <f t="shared" si="14"/>
        <v>7405.4545503145455</v>
      </c>
      <c r="H27" s="350">
        <f t="shared" si="1"/>
        <v>1.3576666661999999</v>
      </c>
      <c r="I27" s="357">
        <v>0</v>
      </c>
      <c r="J27" s="383">
        <f t="shared" si="2"/>
        <v>0</v>
      </c>
      <c r="K27" s="330">
        <v>39083</v>
      </c>
      <c r="L27" s="383">
        <f t="shared" si="3"/>
        <v>1</v>
      </c>
      <c r="M27" s="384">
        <v>18</v>
      </c>
      <c r="N27" s="358">
        <f t="shared" si="4"/>
        <v>32.727272759999998</v>
      </c>
      <c r="O27" s="329">
        <v>39136</v>
      </c>
      <c r="P27" s="383">
        <f t="shared" si="5"/>
        <v>54</v>
      </c>
      <c r="Q27" s="383">
        <f t="shared" si="8"/>
        <v>867.27272813999991</v>
      </c>
      <c r="R27" s="384">
        <v>49.999999950000003</v>
      </c>
      <c r="S27" s="358">
        <f t="shared" si="9"/>
        <v>90.909090909090907</v>
      </c>
      <c r="T27" s="391">
        <v>39170</v>
      </c>
      <c r="U27" s="383">
        <f t="shared" si="6"/>
        <v>88</v>
      </c>
      <c r="V27" s="383">
        <f t="shared" si="10"/>
        <v>2101.8181823745454</v>
      </c>
      <c r="W27" s="392">
        <v>60</v>
      </c>
      <c r="X27" s="358">
        <f t="shared" si="11"/>
        <v>109.0909092</v>
      </c>
      <c r="Y27" s="391">
        <v>39192</v>
      </c>
      <c r="Z27" s="383">
        <f t="shared" si="12"/>
        <v>110</v>
      </c>
      <c r="AA27" s="383">
        <f t="shared" si="13"/>
        <v>2200.0000012</v>
      </c>
      <c r="AB27" s="389">
        <v>0</v>
      </c>
      <c r="AC27" s="390">
        <f t="shared" si="15"/>
        <v>0</v>
      </c>
      <c r="AD27" s="329">
        <v>39233</v>
      </c>
      <c r="AE27" s="390">
        <f t="shared" si="16"/>
        <v>151</v>
      </c>
      <c r="AF27" s="390">
        <f t="shared" si="17"/>
        <v>2236.3636385999998</v>
      </c>
      <c r="AH27" s="390"/>
      <c r="AI27" s="329"/>
      <c r="AJ27" s="390"/>
      <c r="AK27" s="390"/>
      <c r="AM27" s="357"/>
      <c r="AN27" s="357"/>
      <c r="AO27" s="390"/>
      <c r="AP27" s="390"/>
      <c r="AR27" s="387">
        <f t="shared" si="25"/>
        <v>0</v>
      </c>
      <c r="AT27" s="323">
        <f t="shared" si="23"/>
        <v>0</v>
      </c>
      <c r="AU27" s="324"/>
      <c r="BE27" s="354"/>
      <c r="BF27" s="351"/>
      <c r="BG27" s="350"/>
    </row>
    <row r="28" spans="1:59" ht="22.2" customHeight="1" x14ac:dyDescent="0.4">
      <c r="A28" s="320"/>
      <c r="D28" s="352">
        <v>2008</v>
      </c>
      <c r="E28" s="364">
        <f t="shared" si="0"/>
        <v>60.981818216836366</v>
      </c>
      <c r="F28" s="364">
        <f t="shared" si="7"/>
        <v>32.727272759999998</v>
      </c>
      <c r="G28" s="351">
        <f t="shared" si="14"/>
        <v>3049.0909108418182</v>
      </c>
      <c r="H28" s="350">
        <f t="shared" si="1"/>
        <v>1.8633333325400001</v>
      </c>
      <c r="I28" s="357">
        <v>0</v>
      </c>
      <c r="J28" s="383">
        <f t="shared" si="2"/>
        <v>0</v>
      </c>
      <c r="K28" s="330">
        <v>39448</v>
      </c>
      <c r="L28" s="383">
        <f t="shared" si="3"/>
        <v>1</v>
      </c>
      <c r="M28" s="384">
        <v>18</v>
      </c>
      <c r="N28" s="358">
        <f t="shared" si="4"/>
        <v>32.727272759999998</v>
      </c>
      <c r="O28" s="329">
        <v>39515</v>
      </c>
      <c r="P28" s="383">
        <f t="shared" si="5"/>
        <v>68</v>
      </c>
      <c r="Q28" s="383">
        <f t="shared" si="8"/>
        <v>1096.3636374599998</v>
      </c>
      <c r="R28" s="384">
        <v>16.999999982999999</v>
      </c>
      <c r="S28" s="358">
        <f t="shared" si="9"/>
        <v>30.909090909090907</v>
      </c>
      <c r="T28" s="391">
        <v>39555</v>
      </c>
      <c r="U28" s="383">
        <f t="shared" si="6"/>
        <v>108</v>
      </c>
      <c r="V28" s="383">
        <f t="shared" si="10"/>
        <v>1272.7272733818181</v>
      </c>
      <c r="W28" s="392">
        <v>0</v>
      </c>
      <c r="X28" s="383">
        <f t="shared" si="11"/>
        <v>0</v>
      </c>
      <c r="Y28" s="391">
        <v>39599</v>
      </c>
      <c r="Z28" s="383">
        <f t="shared" si="12"/>
        <v>152</v>
      </c>
      <c r="AA28" s="383">
        <f t="shared" si="13"/>
        <v>680</v>
      </c>
      <c r="AB28" s="389"/>
      <c r="AC28" s="357"/>
      <c r="AD28" s="357"/>
      <c r="AE28" s="390"/>
      <c r="AF28" s="390"/>
      <c r="AH28" s="390"/>
      <c r="AI28" s="329"/>
      <c r="AJ28" s="390"/>
      <c r="AK28" s="390"/>
      <c r="AM28" s="357"/>
      <c r="AN28" s="357"/>
      <c r="AO28" s="390"/>
      <c r="AP28" s="390"/>
      <c r="AR28" s="387">
        <f t="shared" si="25"/>
        <v>0</v>
      </c>
      <c r="AT28" s="323">
        <f t="shared" si="23"/>
        <v>0</v>
      </c>
      <c r="AU28" s="324"/>
      <c r="BE28" s="354"/>
      <c r="BF28" s="351"/>
      <c r="BG28" s="350"/>
    </row>
    <row r="29" spans="1:59" ht="22.2" customHeight="1" x14ac:dyDescent="0.4">
      <c r="A29" s="320"/>
      <c r="D29" s="352">
        <v>2009</v>
      </c>
      <c r="E29" s="364">
        <f t="shared" si="0"/>
        <v>96.218181868799988</v>
      </c>
      <c r="F29" s="364">
        <f t="shared" si="7"/>
        <v>69.090909090909079</v>
      </c>
      <c r="G29" s="351">
        <f t="shared" si="14"/>
        <v>4810.9090934399992</v>
      </c>
      <c r="H29" s="350">
        <f t="shared" si="1"/>
        <v>1.39263157968</v>
      </c>
      <c r="I29" s="357">
        <v>0</v>
      </c>
      <c r="J29" s="383">
        <f t="shared" si="2"/>
        <v>0</v>
      </c>
      <c r="K29" s="330">
        <v>39814</v>
      </c>
      <c r="L29" s="383">
        <f t="shared" si="3"/>
        <v>1</v>
      </c>
      <c r="M29" s="384">
        <v>24</v>
      </c>
      <c r="N29" s="358">
        <f t="shared" si="4"/>
        <v>43.636363680000002</v>
      </c>
      <c r="O29" s="329">
        <v>39898</v>
      </c>
      <c r="P29" s="383">
        <f t="shared" si="5"/>
        <v>85</v>
      </c>
      <c r="Q29" s="383">
        <f t="shared" si="8"/>
        <v>1832.7272745600001</v>
      </c>
      <c r="R29" s="384">
        <v>37.999999961999997</v>
      </c>
      <c r="S29" s="358">
        <f t="shared" si="9"/>
        <v>69.090909090909079</v>
      </c>
      <c r="T29" s="391">
        <v>39930</v>
      </c>
      <c r="U29" s="383">
        <f t="shared" si="6"/>
        <v>117</v>
      </c>
      <c r="V29" s="383">
        <f t="shared" si="10"/>
        <v>1803.6363643345453</v>
      </c>
      <c r="W29" s="392">
        <v>0</v>
      </c>
      <c r="X29" s="383">
        <f t="shared" si="11"/>
        <v>0</v>
      </c>
      <c r="Y29" s="391">
        <v>39964</v>
      </c>
      <c r="Z29" s="383">
        <f t="shared" si="12"/>
        <v>151</v>
      </c>
      <c r="AA29" s="383">
        <f t="shared" si="13"/>
        <v>1174.5454545454543</v>
      </c>
      <c r="AB29" s="389"/>
      <c r="AC29" s="357"/>
      <c r="AD29" s="357"/>
      <c r="AE29" s="390"/>
      <c r="AF29" s="390"/>
      <c r="AH29" s="390"/>
      <c r="AI29" s="329"/>
      <c r="AJ29" s="390"/>
      <c r="AK29" s="390"/>
      <c r="AM29" s="357"/>
      <c r="AN29" s="357"/>
      <c r="AO29" s="390"/>
      <c r="AP29" s="390"/>
      <c r="AR29" s="387">
        <f t="shared" si="25"/>
        <v>0</v>
      </c>
      <c r="AT29" s="323">
        <f t="shared" si="23"/>
        <v>0</v>
      </c>
      <c r="AU29" s="324"/>
      <c r="BE29" s="354"/>
      <c r="BF29" s="351"/>
      <c r="BG29" s="350"/>
    </row>
    <row r="30" spans="1:59" ht="22.2" customHeight="1" x14ac:dyDescent="0.4">
      <c r="A30" s="320"/>
      <c r="D30" s="352">
        <v>2010</v>
      </c>
      <c r="E30" s="364">
        <f t="shared" si="0"/>
        <v>159.92727280669089</v>
      </c>
      <c r="F30" s="364">
        <f t="shared" si="7"/>
        <v>98.181818181818173</v>
      </c>
      <c r="G30" s="351">
        <f t="shared" si="14"/>
        <v>7996.3636403345445</v>
      </c>
      <c r="H30" s="350">
        <f t="shared" si="1"/>
        <v>1.6288888896977778</v>
      </c>
      <c r="I30" s="357">
        <v>0</v>
      </c>
      <c r="J30" s="383">
        <f t="shared" si="2"/>
        <v>0</v>
      </c>
      <c r="K30" s="330">
        <v>40179</v>
      </c>
      <c r="L30" s="383">
        <f t="shared" si="3"/>
        <v>1</v>
      </c>
      <c r="M30" s="384">
        <v>42</v>
      </c>
      <c r="N30" s="358">
        <f t="shared" si="4"/>
        <v>76.363636439999993</v>
      </c>
      <c r="O30" s="329">
        <v>40247</v>
      </c>
      <c r="P30" s="383">
        <f t="shared" si="5"/>
        <v>69</v>
      </c>
      <c r="Q30" s="383">
        <f t="shared" si="8"/>
        <v>2596.3636389599997</v>
      </c>
      <c r="R30" s="384">
        <v>53.999999945999996</v>
      </c>
      <c r="S30" s="358">
        <f t="shared" si="9"/>
        <v>98.181818181818173</v>
      </c>
      <c r="T30" s="391">
        <v>40283</v>
      </c>
      <c r="U30" s="383">
        <f t="shared" si="6"/>
        <v>105</v>
      </c>
      <c r="V30" s="383">
        <f t="shared" si="10"/>
        <v>3141.8181831927272</v>
      </c>
      <c r="W30" s="392">
        <v>0</v>
      </c>
      <c r="X30" s="383">
        <f t="shared" si="11"/>
        <v>0</v>
      </c>
      <c r="Y30" s="391">
        <v>40329</v>
      </c>
      <c r="Z30" s="383">
        <f t="shared" si="12"/>
        <v>151</v>
      </c>
      <c r="AA30" s="383">
        <f t="shared" si="13"/>
        <v>2258.181818181818</v>
      </c>
      <c r="AB30" s="389"/>
      <c r="AC30" s="357"/>
      <c r="AD30" s="357"/>
      <c r="AE30" s="390"/>
      <c r="AF30" s="390"/>
      <c r="AH30" s="390"/>
      <c r="AI30" s="390"/>
      <c r="AJ30" s="390"/>
      <c r="AK30" s="390"/>
      <c r="AM30" s="357"/>
      <c r="AN30" s="357"/>
      <c r="AO30" s="390"/>
      <c r="AP30" s="390"/>
      <c r="AR30" s="387">
        <f t="shared" si="25"/>
        <v>0</v>
      </c>
      <c r="AT30" s="323">
        <f t="shared" si="23"/>
        <v>0</v>
      </c>
      <c r="AU30" s="324"/>
      <c r="BE30" s="354"/>
      <c r="BF30" s="351"/>
      <c r="BG30" s="350"/>
    </row>
    <row r="31" spans="1:59" ht="22.2" customHeight="1" x14ac:dyDescent="0.4">
      <c r="A31" s="320"/>
      <c r="D31" s="352">
        <v>2011</v>
      </c>
      <c r="E31" s="364">
        <f t="shared" si="0"/>
        <v>253.38181831534544</v>
      </c>
      <c r="F31" s="364">
        <f t="shared" si="7"/>
        <v>187.27272727272725</v>
      </c>
      <c r="G31" s="351">
        <f t="shared" si="14"/>
        <v>12669.090915767272</v>
      </c>
      <c r="H31" s="350">
        <f t="shared" si="1"/>
        <v>1.353009709450874</v>
      </c>
      <c r="I31" s="357">
        <v>0</v>
      </c>
      <c r="J31" s="383">
        <f t="shared" si="2"/>
        <v>0</v>
      </c>
      <c r="K31" s="330">
        <v>40544</v>
      </c>
      <c r="L31" s="383">
        <f t="shared" si="3"/>
        <v>1</v>
      </c>
      <c r="M31" s="384">
        <v>68</v>
      </c>
      <c r="N31" s="358">
        <f t="shared" si="4"/>
        <v>123.63636375999999</v>
      </c>
      <c r="O31" s="329">
        <v>40630</v>
      </c>
      <c r="P31" s="383">
        <f t="shared" si="5"/>
        <v>87</v>
      </c>
      <c r="Q31" s="383">
        <f t="shared" si="8"/>
        <v>5316.36364168</v>
      </c>
      <c r="R31" s="384">
        <v>102.999999897</v>
      </c>
      <c r="S31" s="358">
        <f t="shared" si="9"/>
        <v>187.27272727272725</v>
      </c>
      <c r="T31" s="391">
        <v>40652</v>
      </c>
      <c r="U31" s="383">
        <f t="shared" si="6"/>
        <v>109</v>
      </c>
      <c r="V31" s="383">
        <f t="shared" si="10"/>
        <v>3420.0000013599997</v>
      </c>
      <c r="W31" s="392">
        <v>0</v>
      </c>
      <c r="X31" s="383">
        <f t="shared" si="11"/>
        <v>0</v>
      </c>
      <c r="Y31" s="391">
        <v>40694</v>
      </c>
      <c r="Z31" s="383">
        <f t="shared" si="12"/>
        <v>151</v>
      </c>
      <c r="AA31" s="383">
        <f t="shared" si="13"/>
        <v>3932.7272727272721</v>
      </c>
      <c r="AB31" s="389"/>
      <c r="AC31" s="357"/>
      <c r="AD31" s="357"/>
      <c r="AE31" s="390"/>
      <c r="AF31" s="390"/>
      <c r="AH31" s="390"/>
      <c r="AI31" s="390"/>
      <c r="AJ31" s="390"/>
      <c r="AK31" s="390"/>
      <c r="AM31" s="357"/>
      <c r="AN31" s="357"/>
      <c r="AO31" s="390"/>
      <c r="AP31" s="390"/>
      <c r="AR31" s="387">
        <f t="shared" si="25"/>
        <v>0</v>
      </c>
      <c r="AT31" s="323">
        <f t="shared" si="23"/>
        <v>0</v>
      </c>
      <c r="AU31" s="324"/>
      <c r="BE31" s="354"/>
      <c r="BF31" s="351"/>
      <c r="BG31" s="350"/>
    </row>
    <row r="32" spans="1:59" ht="22.2" customHeight="1" x14ac:dyDescent="0.4">
      <c r="A32" s="320"/>
      <c r="D32" s="352">
        <v>2012</v>
      </c>
      <c r="E32" s="364">
        <f t="shared" si="0"/>
        <v>140.1636364718909</v>
      </c>
      <c r="F32" s="364">
        <f t="shared" si="7"/>
        <v>76.363636439999993</v>
      </c>
      <c r="G32" s="351">
        <f t="shared" si="14"/>
        <v>7008.1818235945448</v>
      </c>
      <c r="H32" s="350">
        <f t="shared" si="1"/>
        <v>1.8354761900583334</v>
      </c>
      <c r="I32" s="357">
        <v>0</v>
      </c>
      <c r="J32" s="383">
        <f t="shared" si="2"/>
        <v>0</v>
      </c>
      <c r="K32" s="330">
        <v>40909</v>
      </c>
      <c r="L32" s="383">
        <f t="shared" si="3"/>
        <v>1</v>
      </c>
      <c r="M32" s="384">
        <v>35</v>
      </c>
      <c r="N32" s="358">
        <f t="shared" si="4"/>
        <v>63.636363699999997</v>
      </c>
      <c r="O32" s="329">
        <v>40991</v>
      </c>
      <c r="P32" s="383">
        <f t="shared" si="5"/>
        <v>83</v>
      </c>
      <c r="Q32" s="383">
        <f t="shared" si="8"/>
        <v>2609.0909116999997</v>
      </c>
      <c r="R32" s="384">
        <v>38.999999961</v>
      </c>
      <c r="S32" s="358">
        <f t="shared" si="9"/>
        <v>70.909090909090907</v>
      </c>
      <c r="T32" s="391">
        <v>41021</v>
      </c>
      <c r="U32" s="383">
        <f t="shared" si="6"/>
        <v>113</v>
      </c>
      <c r="V32" s="383">
        <f t="shared" si="10"/>
        <v>2018.1818191363636</v>
      </c>
      <c r="W32" s="392">
        <v>42</v>
      </c>
      <c r="X32" s="358">
        <f t="shared" si="11"/>
        <v>76.363636439999993</v>
      </c>
      <c r="Y32" s="391">
        <v>41036</v>
      </c>
      <c r="Z32" s="383">
        <f t="shared" si="12"/>
        <v>128</v>
      </c>
      <c r="AA32" s="383">
        <f t="shared" si="13"/>
        <v>1104.5454551181817</v>
      </c>
      <c r="AB32" s="389">
        <v>27</v>
      </c>
      <c r="AC32" s="357">
        <f t="shared" si="15"/>
        <v>49.090909140000001</v>
      </c>
      <c r="AD32" s="329">
        <v>41054</v>
      </c>
      <c r="AE32" s="390">
        <f t="shared" si="16"/>
        <v>146</v>
      </c>
      <c r="AF32" s="390">
        <f t="shared" si="17"/>
        <v>1129.0909102200001</v>
      </c>
      <c r="AG32" s="386">
        <v>0</v>
      </c>
      <c r="AH32" s="390">
        <f t="shared" si="18"/>
        <v>0</v>
      </c>
      <c r="AI32" s="329">
        <v>41060</v>
      </c>
      <c r="AJ32" s="390">
        <f t="shared" si="19"/>
        <v>152</v>
      </c>
      <c r="AK32" s="390">
        <f t="shared" si="20"/>
        <v>147.27272742</v>
      </c>
      <c r="AM32" s="357"/>
      <c r="AN32" s="357"/>
      <c r="AO32" s="390"/>
      <c r="AP32" s="390"/>
      <c r="AR32" s="387">
        <f t="shared" si="25"/>
        <v>0</v>
      </c>
      <c r="AT32" s="323">
        <f t="shared" si="23"/>
        <v>0</v>
      </c>
      <c r="AU32" s="324"/>
      <c r="BE32" s="354"/>
      <c r="BF32" s="351"/>
      <c r="BG32" s="350"/>
    </row>
    <row r="33" spans="1:59" ht="22.2" customHeight="1" x14ac:dyDescent="0.4">
      <c r="A33" s="320"/>
      <c r="D33" s="352">
        <v>2013</v>
      </c>
      <c r="E33" s="364">
        <f t="shared" si="0"/>
        <v>297.80000026299996</v>
      </c>
      <c r="F33" s="364">
        <f t="shared" si="7"/>
        <v>169.09090925999999</v>
      </c>
      <c r="G33" s="351">
        <f t="shared" si="14"/>
        <v>14890.000013149998</v>
      </c>
      <c r="H33" s="350">
        <f t="shared" si="1"/>
        <v>1.7611827954931181</v>
      </c>
      <c r="I33" s="357">
        <v>0</v>
      </c>
      <c r="J33" s="383">
        <f t="shared" si="2"/>
        <v>0</v>
      </c>
      <c r="K33" s="330">
        <v>41275</v>
      </c>
      <c r="L33" s="383">
        <f t="shared" si="3"/>
        <v>1</v>
      </c>
      <c r="M33" s="384">
        <v>84</v>
      </c>
      <c r="N33" s="358">
        <f t="shared" si="4"/>
        <v>152.72727287999999</v>
      </c>
      <c r="O33" s="329">
        <v>41359</v>
      </c>
      <c r="P33" s="383">
        <f t="shared" si="5"/>
        <v>85</v>
      </c>
      <c r="Q33" s="383">
        <f t="shared" si="8"/>
        <v>6414.5454609599992</v>
      </c>
      <c r="R33" s="384">
        <v>86.999999912999996</v>
      </c>
      <c r="S33" s="358">
        <f t="shared" si="9"/>
        <v>158.18181818181816</v>
      </c>
      <c r="T33" s="391">
        <v>41360</v>
      </c>
      <c r="U33" s="383">
        <f t="shared" si="6"/>
        <v>86</v>
      </c>
      <c r="V33" s="383">
        <f t="shared" si="10"/>
        <v>155.45454553090906</v>
      </c>
      <c r="W33" s="392">
        <v>93</v>
      </c>
      <c r="X33" s="358">
        <f t="shared" si="11"/>
        <v>169.09090925999999</v>
      </c>
      <c r="Y33" s="391">
        <v>41381</v>
      </c>
      <c r="Z33" s="383">
        <f t="shared" si="12"/>
        <v>107</v>
      </c>
      <c r="AA33" s="383">
        <f t="shared" si="13"/>
        <v>3436.3636381390902</v>
      </c>
      <c r="AB33" s="389">
        <v>89</v>
      </c>
      <c r="AC33" s="357">
        <f t="shared" si="15"/>
        <v>161.81818197999999</v>
      </c>
      <c r="AD33" s="329">
        <v>41389</v>
      </c>
      <c r="AE33" s="390">
        <f t="shared" si="16"/>
        <v>115</v>
      </c>
      <c r="AF33" s="390">
        <f t="shared" si="17"/>
        <v>1323.6363649599998</v>
      </c>
      <c r="AG33" s="386">
        <v>89</v>
      </c>
      <c r="AH33" s="357">
        <f t="shared" si="18"/>
        <v>161.81818197999999</v>
      </c>
      <c r="AI33" s="329">
        <v>41397</v>
      </c>
      <c r="AJ33" s="390">
        <f t="shared" si="19"/>
        <v>123</v>
      </c>
      <c r="AK33" s="390">
        <f t="shared" si="20"/>
        <v>1294.5454558399999</v>
      </c>
      <c r="AL33" s="386">
        <v>0</v>
      </c>
      <c r="AM33" s="390">
        <f>(AL33*1.81818182)</f>
        <v>0</v>
      </c>
      <c r="AN33" s="329">
        <v>41425</v>
      </c>
      <c r="AO33" s="390">
        <f t="shared" si="21"/>
        <v>151</v>
      </c>
      <c r="AP33" s="390">
        <f>((AM33+AH33)/2)*(AO33-AJ33)</f>
        <v>2265.4545477199999</v>
      </c>
      <c r="AR33" s="387">
        <f t="shared" si="25"/>
        <v>0</v>
      </c>
      <c r="AT33" s="323">
        <f t="shared" si="23"/>
        <v>0</v>
      </c>
      <c r="AU33" s="324"/>
      <c r="BE33" s="354"/>
      <c r="BF33" s="351"/>
      <c r="BG33" s="350"/>
    </row>
    <row r="34" spans="1:59" ht="22.2" customHeight="1" x14ac:dyDescent="0.4">
      <c r="A34" s="320"/>
      <c r="D34" s="352">
        <v>2014</v>
      </c>
      <c r="E34" s="364">
        <f t="shared" si="0"/>
        <v>164.36363649090913</v>
      </c>
      <c r="F34" s="364">
        <f t="shared" si="7"/>
        <v>123.63636363636363</v>
      </c>
      <c r="G34" s="351">
        <f t="shared" si="14"/>
        <v>8218.181824545456</v>
      </c>
      <c r="H34" s="350">
        <f t="shared" si="1"/>
        <v>1.3294117657352946</v>
      </c>
      <c r="I34" s="357">
        <v>0</v>
      </c>
      <c r="J34" s="383">
        <f t="shared" si="2"/>
        <v>0</v>
      </c>
      <c r="K34" s="330">
        <v>41640</v>
      </c>
      <c r="L34" s="383">
        <f t="shared" si="3"/>
        <v>1</v>
      </c>
      <c r="M34" s="384">
        <v>39</v>
      </c>
      <c r="N34" s="358">
        <f t="shared" si="4"/>
        <v>70.909090980000002</v>
      </c>
      <c r="O34" s="329">
        <v>41723</v>
      </c>
      <c r="P34" s="383">
        <f t="shared" si="5"/>
        <v>84</v>
      </c>
      <c r="Q34" s="383">
        <f t="shared" si="8"/>
        <v>2942.7272756699999</v>
      </c>
      <c r="R34" s="384">
        <v>67.999999931999994</v>
      </c>
      <c r="S34" s="358">
        <f t="shared" si="9"/>
        <v>123.63636363636363</v>
      </c>
      <c r="T34" s="391">
        <v>41740</v>
      </c>
      <c r="U34" s="383">
        <f t="shared" si="6"/>
        <v>101</v>
      </c>
      <c r="V34" s="383">
        <f t="shared" si="10"/>
        <v>1653.6363642390909</v>
      </c>
      <c r="W34" s="392">
        <v>62</v>
      </c>
      <c r="X34" s="358">
        <f t="shared" si="11"/>
        <v>112.72727284</v>
      </c>
      <c r="Y34" s="391">
        <v>41753</v>
      </c>
      <c r="Z34" s="383">
        <f t="shared" si="12"/>
        <v>114</v>
      </c>
      <c r="AA34" s="383">
        <f t="shared" si="13"/>
        <v>1536.3636370963636</v>
      </c>
      <c r="AB34" s="389">
        <v>0</v>
      </c>
      <c r="AC34" s="390">
        <f t="shared" si="15"/>
        <v>0</v>
      </c>
      <c r="AD34" s="329">
        <v>41790</v>
      </c>
      <c r="AE34" s="390">
        <f t="shared" si="16"/>
        <v>151</v>
      </c>
      <c r="AF34" s="390">
        <f t="shared" si="17"/>
        <v>2085.45454754</v>
      </c>
      <c r="AH34" s="390"/>
      <c r="AI34" s="390"/>
      <c r="AJ34" s="390"/>
      <c r="AK34" s="390"/>
      <c r="AM34" s="390">
        <f t="shared" ref="AM34:AM51" si="26">(AL34*1.81818182)</f>
        <v>0</v>
      </c>
      <c r="AO34" s="390"/>
      <c r="AP34" s="390"/>
      <c r="AR34" s="387">
        <f t="shared" si="25"/>
        <v>0</v>
      </c>
      <c r="AT34" s="323">
        <f t="shared" si="23"/>
        <v>0</v>
      </c>
      <c r="AU34" s="324"/>
      <c r="BE34" s="354"/>
      <c r="BF34" s="351"/>
      <c r="BG34" s="350"/>
    </row>
    <row r="35" spans="1:59" ht="22.2" customHeight="1" x14ac:dyDescent="0.4">
      <c r="A35" s="320"/>
      <c r="D35" s="352">
        <v>2015</v>
      </c>
      <c r="E35" s="364">
        <f t="shared" si="0"/>
        <v>330.03636390665451</v>
      </c>
      <c r="F35" s="364">
        <f t="shared" si="7"/>
        <v>198.18181837999998</v>
      </c>
      <c r="G35" s="351">
        <f t="shared" si="14"/>
        <v>16501.818195332726</v>
      </c>
      <c r="H35" s="350">
        <f t="shared" si="1"/>
        <v>1.6653211006159634</v>
      </c>
      <c r="I35" s="357">
        <v>0</v>
      </c>
      <c r="J35" s="383">
        <f t="shared" si="2"/>
        <v>0</v>
      </c>
      <c r="K35" s="330">
        <v>42005</v>
      </c>
      <c r="L35" s="383">
        <f t="shared" si="3"/>
        <v>1</v>
      </c>
      <c r="M35" s="384">
        <v>109</v>
      </c>
      <c r="N35" s="358">
        <f t="shared" si="4"/>
        <v>198.18181837999998</v>
      </c>
      <c r="O35" s="329">
        <v>42090</v>
      </c>
      <c r="P35" s="383">
        <f t="shared" si="5"/>
        <v>86</v>
      </c>
      <c r="Q35" s="383">
        <f t="shared" si="8"/>
        <v>8422.7272811499988</v>
      </c>
      <c r="R35" s="384">
        <v>105.999999894</v>
      </c>
      <c r="S35" s="358">
        <f t="shared" si="9"/>
        <v>192.72727272727272</v>
      </c>
      <c r="T35" s="391">
        <v>42102</v>
      </c>
      <c r="U35" s="383">
        <f t="shared" si="6"/>
        <v>98</v>
      </c>
      <c r="V35" s="383">
        <f t="shared" si="10"/>
        <v>2345.4545466436366</v>
      </c>
      <c r="W35" s="392">
        <v>81</v>
      </c>
      <c r="X35" s="358">
        <f t="shared" si="11"/>
        <v>147.27272742</v>
      </c>
      <c r="Y35" s="391">
        <v>42121</v>
      </c>
      <c r="Z35" s="383">
        <f t="shared" si="12"/>
        <v>117</v>
      </c>
      <c r="AA35" s="383">
        <f t="shared" si="13"/>
        <v>3230.0000013990907</v>
      </c>
      <c r="AB35" s="389">
        <v>0</v>
      </c>
      <c r="AC35" s="390">
        <f t="shared" si="15"/>
        <v>0</v>
      </c>
      <c r="AD35" s="329">
        <v>42155</v>
      </c>
      <c r="AE35" s="390">
        <f t="shared" si="16"/>
        <v>151</v>
      </c>
      <c r="AF35" s="390">
        <f t="shared" si="17"/>
        <v>2503.6363661400001</v>
      </c>
      <c r="AH35" s="390"/>
      <c r="AI35" s="390"/>
      <c r="AJ35" s="390"/>
      <c r="AK35" s="390"/>
      <c r="AM35" s="390">
        <f t="shared" si="26"/>
        <v>0</v>
      </c>
      <c r="AO35" s="390"/>
      <c r="AP35" s="390"/>
      <c r="AR35" s="387">
        <f t="shared" si="25"/>
        <v>0</v>
      </c>
      <c r="AT35" s="323">
        <f t="shared" si="23"/>
        <v>0</v>
      </c>
      <c r="AU35" s="324"/>
      <c r="BE35" s="354"/>
      <c r="BF35" s="351"/>
      <c r="BG35" s="350"/>
    </row>
    <row r="36" spans="1:59" ht="22.2" customHeight="1" x14ac:dyDescent="0.4">
      <c r="A36" s="320"/>
      <c r="D36" s="352">
        <v>2016</v>
      </c>
      <c r="E36" s="364">
        <f t="shared" si="0"/>
        <v>278.12727296438186</v>
      </c>
      <c r="F36" s="364">
        <f t="shared" si="7"/>
        <v>174.54545472000001</v>
      </c>
      <c r="G36" s="351">
        <f t="shared" si="14"/>
        <v>13906.363648219092</v>
      </c>
      <c r="H36" s="350">
        <f t="shared" si="1"/>
        <v>1.593437499765</v>
      </c>
      <c r="I36" s="357">
        <v>0</v>
      </c>
      <c r="J36" s="383">
        <f t="shared" si="2"/>
        <v>0</v>
      </c>
      <c r="K36" s="330">
        <v>42370</v>
      </c>
      <c r="L36" s="383">
        <f t="shared" si="3"/>
        <v>1</v>
      </c>
      <c r="M36" s="384">
        <v>81</v>
      </c>
      <c r="N36" s="358">
        <f t="shared" si="4"/>
        <v>147.27272742</v>
      </c>
      <c r="O36" s="329">
        <v>42456</v>
      </c>
      <c r="P36" s="383">
        <f t="shared" si="5"/>
        <v>87</v>
      </c>
      <c r="Q36" s="383">
        <f t="shared" si="8"/>
        <v>6332.72727906</v>
      </c>
      <c r="R36" s="384">
        <v>93.999999905999999</v>
      </c>
      <c r="S36" s="358">
        <f t="shared" si="9"/>
        <v>170.90909090909091</v>
      </c>
      <c r="T36" s="391">
        <v>42467</v>
      </c>
      <c r="U36" s="383">
        <f t="shared" si="6"/>
        <v>98</v>
      </c>
      <c r="V36" s="383">
        <f t="shared" si="10"/>
        <v>1750.0000008100001</v>
      </c>
      <c r="W36" s="392">
        <v>96</v>
      </c>
      <c r="X36" s="358">
        <f t="shared" si="11"/>
        <v>174.54545472000001</v>
      </c>
      <c r="Y36" s="391">
        <v>42480</v>
      </c>
      <c r="Z36" s="383">
        <f t="shared" si="12"/>
        <v>111</v>
      </c>
      <c r="AA36" s="383">
        <f t="shared" si="13"/>
        <v>2245.454546589091</v>
      </c>
      <c r="AB36" s="389">
        <v>0</v>
      </c>
      <c r="AC36" s="390">
        <f t="shared" si="15"/>
        <v>0</v>
      </c>
      <c r="AD36" s="329">
        <v>42521</v>
      </c>
      <c r="AE36" s="390">
        <f t="shared" si="16"/>
        <v>152</v>
      </c>
      <c r="AF36" s="390">
        <f t="shared" si="17"/>
        <v>3578.1818217600003</v>
      </c>
      <c r="AH36" s="390"/>
      <c r="AI36" s="390"/>
      <c r="AJ36" s="390"/>
      <c r="AK36" s="390"/>
      <c r="AM36" s="390">
        <f t="shared" si="26"/>
        <v>0</v>
      </c>
      <c r="AO36" s="390"/>
      <c r="AP36" s="390"/>
      <c r="AR36" s="387">
        <f t="shared" si="25"/>
        <v>0</v>
      </c>
      <c r="AT36" s="323">
        <f t="shared" si="23"/>
        <v>0</v>
      </c>
      <c r="AU36" s="324"/>
      <c r="BE36" s="354"/>
      <c r="BF36" s="351"/>
      <c r="BG36" s="350"/>
    </row>
    <row r="37" spans="1:59" ht="22.2" customHeight="1" x14ac:dyDescent="0.4">
      <c r="A37" s="320"/>
      <c r="D37" s="352">
        <v>2017</v>
      </c>
      <c r="E37" s="364">
        <f t="shared" si="0"/>
        <v>138.36363646923635</v>
      </c>
      <c r="F37" s="364">
        <f t="shared" si="7"/>
        <v>74.545454620000001</v>
      </c>
      <c r="G37" s="351">
        <f t="shared" si="14"/>
        <v>6918.1818234618177</v>
      </c>
      <c r="H37" s="350">
        <f t="shared" si="1"/>
        <v>1.8560975605360974</v>
      </c>
      <c r="I37" s="357">
        <v>0</v>
      </c>
      <c r="J37" s="383">
        <f t="shared" si="2"/>
        <v>0</v>
      </c>
      <c r="K37" s="330">
        <v>42736</v>
      </c>
      <c r="L37" s="383">
        <f t="shared" si="3"/>
        <v>1</v>
      </c>
      <c r="M37" s="384">
        <v>41</v>
      </c>
      <c r="N37" s="358">
        <f t="shared" si="4"/>
        <v>74.545454620000001</v>
      </c>
      <c r="O37" s="329">
        <v>42803</v>
      </c>
      <c r="P37" s="383">
        <f t="shared" si="5"/>
        <v>68</v>
      </c>
      <c r="Q37" s="383">
        <f t="shared" si="8"/>
        <v>2497.2727297699998</v>
      </c>
      <c r="R37" s="384">
        <v>33.999999965999997</v>
      </c>
      <c r="S37" s="358">
        <f t="shared" si="9"/>
        <v>61.818181818181813</v>
      </c>
      <c r="T37" s="391">
        <v>42829</v>
      </c>
      <c r="U37" s="383">
        <f t="shared" si="6"/>
        <v>94</v>
      </c>
      <c r="V37" s="383">
        <f t="shared" si="10"/>
        <v>1772.7272736963635</v>
      </c>
      <c r="W37" s="392">
        <v>35</v>
      </c>
      <c r="X37" s="358">
        <f t="shared" si="11"/>
        <v>63.636363699999997</v>
      </c>
      <c r="Y37" s="391">
        <v>42856</v>
      </c>
      <c r="Z37" s="383">
        <f t="shared" si="12"/>
        <v>121</v>
      </c>
      <c r="AA37" s="383">
        <f t="shared" si="13"/>
        <v>1693.6363644954545</v>
      </c>
      <c r="AB37" s="389">
        <v>0</v>
      </c>
      <c r="AC37" s="390">
        <f t="shared" si="15"/>
        <v>0</v>
      </c>
      <c r="AD37" s="329">
        <v>42886</v>
      </c>
      <c r="AE37" s="390">
        <f t="shared" si="16"/>
        <v>151</v>
      </c>
      <c r="AF37" s="390">
        <f t="shared" si="17"/>
        <v>954.5454555</v>
      </c>
      <c r="AH37" s="390"/>
      <c r="AI37" s="390"/>
      <c r="AJ37" s="390"/>
      <c r="AK37" s="390"/>
      <c r="AM37" s="390">
        <f t="shared" si="26"/>
        <v>0</v>
      </c>
      <c r="AO37" s="390"/>
      <c r="AP37" s="390"/>
      <c r="AR37" s="387">
        <f t="shared" si="25"/>
        <v>0</v>
      </c>
      <c r="AT37" s="323">
        <f t="shared" si="23"/>
        <v>0</v>
      </c>
      <c r="AU37" s="324"/>
      <c r="BE37" s="354"/>
      <c r="BF37" s="351"/>
      <c r="BG37" s="350"/>
    </row>
    <row r="38" spans="1:59" ht="22.2" customHeight="1" x14ac:dyDescent="0.4">
      <c r="A38" s="320"/>
      <c r="D38" s="352">
        <v>2018</v>
      </c>
      <c r="E38" s="364">
        <f t="shared" si="0"/>
        <v>57.781818217490908</v>
      </c>
      <c r="F38" s="364">
        <f t="shared" si="7"/>
        <v>32.727272759999998</v>
      </c>
      <c r="G38" s="351">
        <f t="shared" si="14"/>
        <v>2889.0909108745454</v>
      </c>
      <c r="H38" s="350">
        <f t="shared" si="1"/>
        <v>1.7655555548800002</v>
      </c>
      <c r="I38" s="357">
        <v>0</v>
      </c>
      <c r="J38" s="383">
        <f t="shared" si="2"/>
        <v>0</v>
      </c>
      <c r="K38" s="330">
        <v>43101</v>
      </c>
      <c r="L38" s="383">
        <f t="shared" si="3"/>
        <v>1</v>
      </c>
      <c r="M38" s="384">
        <v>18</v>
      </c>
      <c r="N38" s="358">
        <f t="shared" si="4"/>
        <v>32.727272759999998</v>
      </c>
      <c r="O38" s="329">
        <v>43175</v>
      </c>
      <c r="P38" s="383">
        <f t="shared" si="5"/>
        <v>75</v>
      </c>
      <c r="Q38" s="383">
        <f t="shared" si="8"/>
        <v>1210.90909212</v>
      </c>
      <c r="R38" s="384">
        <v>15.999999984</v>
      </c>
      <c r="S38" s="358">
        <f t="shared" si="9"/>
        <v>29.09090909090909</v>
      </c>
      <c r="T38" s="391">
        <v>43210</v>
      </c>
      <c r="U38" s="383">
        <f t="shared" si="6"/>
        <v>110</v>
      </c>
      <c r="V38" s="383">
        <f t="shared" si="10"/>
        <v>1081.818182390909</v>
      </c>
      <c r="W38" s="392">
        <v>0</v>
      </c>
      <c r="X38" s="383">
        <f t="shared" si="11"/>
        <v>0</v>
      </c>
      <c r="Y38" s="391">
        <v>43251</v>
      </c>
      <c r="Z38" s="383">
        <f t="shared" si="12"/>
        <v>151</v>
      </c>
      <c r="AA38" s="383">
        <f t="shared" si="13"/>
        <v>596.36363636363637</v>
      </c>
      <c r="AB38" s="389"/>
      <c r="AC38" s="357"/>
      <c r="AD38" s="357"/>
      <c r="AE38" s="390"/>
      <c r="AF38" s="390"/>
      <c r="AH38" s="390"/>
      <c r="AI38" s="390"/>
      <c r="AJ38" s="390"/>
      <c r="AK38" s="390"/>
      <c r="AM38" s="390">
        <f t="shared" si="26"/>
        <v>0</v>
      </c>
      <c r="AO38" s="390"/>
      <c r="AP38" s="390"/>
      <c r="AR38" s="387">
        <f t="shared" si="25"/>
        <v>0</v>
      </c>
      <c r="AT38" s="323">
        <f t="shared" si="23"/>
        <v>0</v>
      </c>
      <c r="AU38" s="324"/>
      <c r="BE38" s="354"/>
      <c r="BF38" s="351"/>
      <c r="BG38" s="350"/>
    </row>
    <row r="39" spans="1:59" ht="22.2" customHeight="1" x14ac:dyDescent="0.4">
      <c r="A39" s="320"/>
      <c r="D39" s="352">
        <v>2019</v>
      </c>
      <c r="E39" s="364">
        <f t="shared" si="0"/>
        <v>134.85454554863637</v>
      </c>
      <c r="F39" s="364">
        <f t="shared" si="7"/>
        <v>81.818181899999999</v>
      </c>
      <c r="G39" s="351">
        <f t="shared" si="14"/>
        <v>6742.727277431818</v>
      </c>
      <c r="H39" s="350">
        <f t="shared" si="1"/>
        <v>1.6482222217240001</v>
      </c>
      <c r="I39" s="357">
        <v>0</v>
      </c>
      <c r="J39" s="383">
        <f t="shared" si="2"/>
        <v>0</v>
      </c>
      <c r="K39" s="330">
        <v>43466</v>
      </c>
      <c r="L39" s="383">
        <f t="shared" si="3"/>
        <v>1</v>
      </c>
      <c r="M39" s="384">
        <v>45</v>
      </c>
      <c r="N39" s="358">
        <f t="shared" si="4"/>
        <v>81.818181899999999</v>
      </c>
      <c r="O39" s="329">
        <v>43557</v>
      </c>
      <c r="P39" s="383">
        <f t="shared" si="5"/>
        <v>92</v>
      </c>
      <c r="Q39" s="383">
        <f t="shared" si="8"/>
        <v>3722.7272764499999</v>
      </c>
      <c r="R39" s="384">
        <v>37.999999961999997</v>
      </c>
      <c r="S39" s="358">
        <f t="shared" si="9"/>
        <v>69.090909090909079</v>
      </c>
      <c r="T39" s="391">
        <v>43581</v>
      </c>
      <c r="U39" s="383">
        <f t="shared" si="6"/>
        <v>116</v>
      </c>
      <c r="V39" s="383">
        <f t="shared" si="10"/>
        <v>1810.9090918909089</v>
      </c>
      <c r="W39" s="392">
        <v>0</v>
      </c>
      <c r="X39" s="383">
        <f t="shared" si="11"/>
        <v>0</v>
      </c>
      <c r="Y39" s="391">
        <v>43616</v>
      </c>
      <c r="Z39" s="383">
        <f t="shared" si="12"/>
        <v>151</v>
      </c>
      <c r="AA39" s="383">
        <f t="shared" si="13"/>
        <v>1209.0909090909088</v>
      </c>
      <c r="AB39" s="389"/>
      <c r="AC39" s="357"/>
      <c r="AD39" s="357"/>
      <c r="AE39" s="390"/>
      <c r="AF39" s="390"/>
      <c r="AH39" s="390"/>
      <c r="AI39" s="390"/>
      <c r="AJ39" s="390"/>
      <c r="AK39" s="390"/>
      <c r="AM39" s="390">
        <f t="shared" si="26"/>
        <v>0</v>
      </c>
      <c r="AO39" s="390"/>
      <c r="AP39" s="390"/>
      <c r="AR39" s="387">
        <f t="shared" si="25"/>
        <v>0</v>
      </c>
      <c r="AT39" s="323">
        <f t="shared" si="23"/>
        <v>0</v>
      </c>
      <c r="AU39" s="324"/>
      <c r="BE39" s="354"/>
      <c r="BF39" s="351"/>
      <c r="BG39" s="350"/>
    </row>
    <row r="40" spans="1:59" ht="22.2" customHeight="1" x14ac:dyDescent="0.4">
      <c r="A40" s="320"/>
      <c r="D40" s="352">
        <v>2020</v>
      </c>
      <c r="E40" s="364">
        <f t="shared" si="0"/>
        <v>56.636363648709093</v>
      </c>
      <c r="F40" s="364">
        <f t="shared" si="7"/>
        <v>50.909090909090907</v>
      </c>
      <c r="G40" s="351">
        <f t="shared" si="14"/>
        <v>2831.8181824354547</v>
      </c>
      <c r="H40" s="350">
        <f t="shared" si="1"/>
        <v>1.1125000002425001</v>
      </c>
      <c r="I40" s="357">
        <v>0</v>
      </c>
      <c r="J40" s="383">
        <f t="shared" si="2"/>
        <v>0</v>
      </c>
      <c r="K40" s="330">
        <v>43831</v>
      </c>
      <c r="L40" s="383">
        <f t="shared" si="3"/>
        <v>1</v>
      </c>
      <c r="M40" s="384">
        <v>7</v>
      </c>
      <c r="N40" s="358">
        <f t="shared" si="4"/>
        <v>12.72727274</v>
      </c>
      <c r="O40" s="329">
        <v>43895</v>
      </c>
      <c r="P40" s="383">
        <f t="shared" si="5"/>
        <v>65</v>
      </c>
      <c r="Q40" s="383">
        <f t="shared" si="8"/>
        <v>407.27272768</v>
      </c>
      <c r="R40" s="384">
        <v>27.999999971999998</v>
      </c>
      <c r="S40" s="358">
        <f t="shared" si="9"/>
        <v>50.909090909090907</v>
      </c>
      <c r="T40" s="391">
        <v>43928</v>
      </c>
      <c r="U40" s="383">
        <f t="shared" si="6"/>
        <v>98</v>
      </c>
      <c r="V40" s="383">
        <f t="shared" si="10"/>
        <v>1050.0000002100001</v>
      </c>
      <c r="W40" s="392">
        <v>0</v>
      </c>
      <c r="X40" s="383">
        <f t="shared" si="11"/>
        <v>0</v>
      </c>
      <c r="Y40" s="391">
        <v>43982</v>
      </c>
      <c r="Z40" s="383">
        <f t="shared" si="12"/>
        <v>152</v>
      </c>
      <c r="AA40" s="383">
        <f t="shared" si="13"/>
        <v>1374.5454545454545</v>
      </c>
      <c r="AB40" s="389"/>
      <c r="AC40" s="357"/>
      <c r="AD40" s="357"/>
      <c r="AE40" s="390"/>
      <c r="AF40" s="390"/>
      <c r="AH40" s="390"/>
      <c r="AI40" s="390"/>
      <c r="AJ40" s="390"/>
      <c r="AK40" s="390"/>
      <c r="AM40" s="390">
        <f t="shared" si="26"/>
        <v>0</v>
      </c>
      <c r="AO40" s="390"/>
      <c r="AP40" s="390"/>
      <c r="AR40" s="387">
        <f t="shared" si="25"/>
        <v>0</v>
      </c>
      <c r="AT40" s="323">
        <f t="shared" si="23"/>
        <v>0</v>
      </c>
      <c r="AU40" s="324"/>
      <c r="BE40" s="354"/>
      <c r="BF40" s="351"/>
      <c r="BG40" s="350"/>
    </row>
    <row r="41" spans="1:59" ht="22.2" customHeight="1" x14ac:dyDescent="0.4">
      <c r="A41" s="320"/>
      <c r="D41" s="352">
        <v>2021</v>
      </c>
      <c r="E41" s="364">
        <f t="shared" si="0"/>
        <v>61.218181858309087</v>
      </c>
      <c r="F41" s="364">
        <f t="shared" si="7"/>
        <v>36.363636399999997</v>
      </c>
      <c r="G41" s="351">
        <f t="shared" si="14"/>
        <v>3060.9090929154545</v>
      </c>
      <c r="H41" s="350">
        <f t="shared" si="1"/>
        <v>1.6834999994199999</v>
      </c>
      <c r="I41" s="357">
        <v>0</v>
      </c>
      <c r="J41" s="383">
        <f t="shared" si="2"/>
        <v>0</v>
      </c>
      <c r="K41" s="330">
        <v>44197</v>
      </c>
      <c r="L41" s="383">
        <f t="shared" si="3"/>
        <v>1</v>
      </c>
      <c r="M41" s="384">
        <v>20</v>
      </c>
      <c r="N41" s="358">
        <f t="shared" si="4"/>
        <v>36.363636399999997</v>
      </c>
      <c r="O41" s="329">
        <v>44265</v>
      </c>
      <c r="P41" s="383">
        <f t="shared" si="5"/>
        <v>69</v>
      </c>
      <c r="Q41" s="383">
        <f t="shared" si="8"/>
        <v>1236.3636375999999</v>
      </c>
      <c r="R41" s="384">
        <v>19.999999979999998</v>
      </c>
      <c r="S41" s="358">
        <f t="shared" si="9"/>
        <v>36.36363636363636</v>
      </c>
      <c r="T41" s="391">
        <v>44286</v>
      </c>
      <c r="U41" s="383">
        <f t="shared" si="6"/>
        <v>90</v>
      </c>
      <c r="V41" s="383">
        <f t="shared" si="10"/>
        <v>763.63636401818178</v>
      </c>
      <c r="W41" s="392">
        <v>7</v>
      </c>
      <c r="X41" s="358">
        <f t="shared" si="11"/>
        <v>12.72727274</v>
      </c>
      <c r="Y41" s="391">
        <v>44323</v>
      </c>
      <c r="Z41" s="383">
        <f t="shared" si="12"/>
        <v>127</v>
      </c>
      <c r="AA41" s="383">
        <f t="shared" si="13"/>
        <v>908.18181841727278</v>
      </c>
      <c r="AB41" s="389">
        <v>0</v>
      </c>
      <c r="AC41" s="390">
        <f t="shared" si="15"/>
        <v>0</v>
      </c>
      <c r="AD41" s="329">
        <v>44347</v>
      </c>
      <c r="AE41" s="390">
        <f t="shared" si="16"/>
        <v>151</v>
      </c>
      <c r="AF41" s="390">
        <f t="shared" si="17"/>
        <v>152.72727287999999</v>
      </c>
      <c r="AH41" s="390"/>
      <c r="AI41" s="390"/>
      <c r="AJ41" s="390"/>
      <c r="AK41" s="390"/>
      <c r="AM41" s="390">
        <f t="shared" si="26"/>
        <v>0</v>
      </c>
      <c r="AO41" s="390"/>
      <c r="AP41" s="390"/>
      <c r="AR41" s="387">
        <f t="shared" si="25"/>
        <v>0</v>
      </c>
      <c r="AT41" s="323">
        <f t="shared" si="23"/>
        <v>0</v>
      </c>
      <c r="AU41" s="324"/>
      <c r="BE41" s="354"/>
      <c r="BF41" s="351"/>
      <c r="BG41" s="350"/>
    </row>
    <row r="42" spans="1:59" ht="22.2" customHeight="1" x14ac:dyDescent="0.4">
      <c r="A42" s="320"/>
      <c r="D42" s="352">
        <v>2022</v>
      </c>
      <c r="E42" s="364">
        <f t="shared" si="0"/>
        <v>54.272727313636359</v>
      </c>
      <c r="F42" s="364">
        <f t="shared" si="7"/>
        <v>27.2727273</v>
      </c>
      <c r="G42" s="351">
        <f t="shared" si="14"/>
        <v>2713.636365681818</v>
      </c>
      <c r="H42" s="350">
        <f t="shared" si="1"/>
        <v>1.98999999951</v>
      </c>
      <c r="I42" s="357">
        <v>0</v>
      </c>
      <c r="J42" s="383">
        <f t="shared" si="2"/>
        <v>0</v>
      </c>
      <c r="K42" s="330">
        <v>44562</v>
      </c>
      <c r="L42" s="383">
        <f t="shared" si="3"/>
        <v>1</v>
      </c>
      <c r="M42" s="384">
        <v>15</v>
      </c>
      <c r="N42" s="358">
        <f t="shared" si="4"/>
        <v>27.2727273</v>
      </c>
      <c r="O42" s="329">
        <v>44628</v>
      </c>
      <c r="P42" s="383">
        <f t="shared" si="5"/>
        <v>67</v>
      </c>
      <c r="Q42" s="383">
        <f t="shared" si="8"/>
        <v>900.00000090000003</v>
      </c>
      <c r="R42" s="384">
        <v>14.999999984999999</v>
      </c>
      <c r="S42" s="358">
        <f t="shared" si="9"/>
        <v>27.27272727272727</v>
      </c>
      <c r="T42" s="391">
        <v>44651</v>
      </c>
      <c r="U42" s="383">
        <f t="shared" si="6"/>
        <v>90</v>
      </c>
      <c r="V42" s="383">
        <f t="shared" si="10"/>
        <v>627.27272758636354</v>
      </c>
      <c r="W42" s="392">
        <v>15</v>
      </c>
      <c r="X42" s="358">
        <f t="shared" si="11"/>
        <v>27.2727273</v>
      </c>
      <c r="Y42" s="391">
        <v>44677</v>
      </c>
      <c r="Z42" s="383">
        <f t="shared" si="12"/>
        <v>116</v>
      </c>
      <c r="AA42" s="383">
        <f t="shared" si="13"/>
        <v>709.09090944545449</v>
      </c>
      <c r="AB42" s="389">
        <v>0</v>
      </c>
      <c r="AC42" s="390">
        <f t="shared" si="15"/>
        <v>0</v>
      </c>
      <c r="AD42" s="329">
        <v>44712</v>
      </c>
      <c r="AE42" s="390">
        <f t="shared" si="16"/>
        <v>151</v>
      </c>
      <c r="AF42" s="390">
        <f t="shared" si="17"/>
        <v>477.27272775</v>
      </c>
      <c r="AH42" s="390"/>
      <c r="AI42" s="390"/>
      <c r="AJ42" s="390"/>
      <c r="AK42" s="390"/>
      <c r="AM42" s="390">
        <f t="shared" si="26"/>
        <v>0</v>
      </c>
      <c r="AO42" s="390"/>
      <c r="AP42" s="390"/>
      <c r="AR42" s="387">
        <f t="shared" si="25"/>
        <v>0</v>
      </c>
      <c r="AT42" s="323">
        <f t="shared" si="23"/>
        <v>0</v>
      </c>
      <c r="AU42" s="324"/>
      <c r="BE42" s="354"/>
      <c r="BF42" s="351"/>
      <c r="BG42" s="350"/>
    </row>
    <row r="43" spans="1:59" ht="22.2" customHeight="1" x14ac:dyDescent="0.4">
      <c r="A43" s="320"/>
      <c r="D43" s="352">
        <v>2023</v>
      </c>
      <c r="E43" s="364">
        <f t="shared" si="0"/>
        <v>82.927272781690917</v>
      </c>
      <c r="F43" s="364">
        <f t="shared" si="7"/>
        <v>60.000000059999998</v>
      </c>
      <c r="G43" s="351">
        <f t="shared" si="14"/>
        <v>4146.3636390845459</v>
      </c>
      <c r="H43" s="350">
        <f>IF(E43/F43 = 0, "", E43/F43)</f>
        <v>1.3821212116460608</v>
      </c>
      <c r="I43" s="357">
        <v>0</v>
      </c>
      <c r="J43" s="383">
        <f t="shared" si="2"/>
        <v>0</v>
      </c>
      <c r="K43" s="330">
        <v>44927</v>
      </c>
      <c r="L43" s="383">
        <f t="shared" si="3"/>
        <v>1</v>
      </c>
      <c r="M43" s="384">
        <v>14</v>
      </c>
      <c r="N43" s="358">
        <f t="shared" si="4"/>
        <v>25.45454548</v>
      </c>
      <c r="O43" s="329">
        <v>44988</v>
      </c>
      <c r="P43" s="383">
        <f t="shared" si="5"/>
        <v>62</v>
      </c>
      <c r="Q43" s="383">
        <f t="shared" si="8"/>
        <v>776.36363714000004</v>
      </c>
      <c r="R43" s="384">
        <v>27.999999971999998</v>
      </c>
      <c r="S43" s="358">
        <f t="shared" si="9"/>
        <v>50.909090909090907</v>
      </c>
      <c r="T43" s="391">
        <v>45030</v>
      </c>
      <c r="U43" s="383">
        <f t="shared" si="6"/>
        <v>104</v>
      </c>
      <c r="V43" s="383">
        <f t="shared" si="10"/>
        <v>1603.6363641709092</v>
      </c>
      <c r="W43" s="392">
        <v>33</v>
      </c>
      <c r="X43" s="358">
        <f t="shared" si="11"/>
        <v>60.000000059999998</v>
      </c>
      <c r="Y43" s="391">
        <v>45044</v>
      </c>
      <c r="Z43" s="383">
        <f t="shared" si="12"/>
        <v>118</v>
      </c>
      <c r="AA43" s="383">
        <f t="shared" si="13"/>
        <v>776.36363678363625</v>
      </c>
      <c r="AB43" s="389">
        <v>0</v>
      </c>
      <c r="AC43" s="390">
        <f t="shared" si="15"/>
        <v>0</v>
      </c>
      <c r="AD43" s="329">
        <v>45077</v>
      </c>
      <c r="AE43" s="390">
        <f t="shared" si="16"/>
        <v>151</v>
      </c>
      <c r="AF43" s="390">
        <f t="shared" si="17"/>
        <v>990.00000098999999</v>
      </c>
      <c r="AH43" s="390"/>
      <c r="AI43" s="390"/>
      <c r="AJ43" s="390"/>
      <c r="AK43" s="390"/>
      <c r="AM43" s="390">
        <f t="shared" si="26"/>
        <v>0</v>
      </c>
      <c r="AO43" s="390"/>
      <c r="AP43" s="390"/>
      <c r="AR43" s="387">
        <f t="shared" si="25"/>
        <v>0</v>
      </c>
      <c r="AT43" s="323">
        <f t="shared" si="23"/>
        <v>0</v>
      </c>
      <c r="AU43" s="324"/>
      <c r="BE43" s="354"/>
      <c r="BF43" s="351"/>
      <c r="BG43" s="350"/>
    </row>
    <row r="44" spans="1:59" ht="22.2" customHeight="1" x14ac:dyDescent="0.4">
      <c r="A44" s="320"/>
      <c r="D44" s="352">
        <v>2024</v>
      </c>
      <c r="E44" s="364">
        <f t="shared" si="0"/>
        <v>216.16363650452723</v>
      </c>
      <c r="F44" s="364">
        <f t="shared" si="7"/>
        <v>154.54545469999999</v>
      </c>
      <c r="G44" s="351">
        <f t="shared" si="14"/>
        <v>10808.181825226362</v>
      </c>
      <c r="H44" s="350">
        <f>IF(E44/F44 = 0, "", E44/F44)</f>
        <v>1.3987058818658822</v>
      </c>
      <c r="I44" s="357">
        <v>0</v>
      </c>
      <c r="J44" s="383">
        <f t="shared" si="2"/>
        <v>0</v>
      </c>
      <c r="K44" s="330">
        <v>45292</v>
      </c>
      <c r="L44" s="383">
        <f t="shared" si="3"/>
        <v>1</v>
      </c>
      <c r="M44" s="384">
        <v>21</v>
      </c>
      <c r="N44" s="358">
        <f t="shared" si="4"/>
        <v>38.181818219999997</v>
      </c>
      <c r="O44" s="329">
        <v>45335</v>
      </c>
      <c r="P44" s="383">
        <f t="shared" si="5"/>
        <v>44</v>
      </c>
      <c r="Q44" s="383">
        <f t="shared" si="8"/>
        <v>820.90909172999989</v>
      </c>
      <c r="R44" s="384">
        <v>68.999999930999991</v>
      </c>
      <c r="S44" s="358">
        <f t="shared" si="9"/>
        <v>125.45454545454544</v>
      </c>
      <c r="T44" s="391">
        <v>45384</v>
      </c>
      <c r="U44" s="383">
        <f t="shared" si="6"/>
        <v>93</v>
      </c>
      <c r="V44" s="383">
        <f t="shared" si="10"/>
        <v>4009.090910026363</v>
      </c>
      <c r="W44" s="392">
        <v>85</v>
      </c>
      <c r="X44" s="358">
        <f t="shared" si="11"/>
        <v>154.54545469999999</v>
      </c>
      <c r="Y44" s="391">
        <v>45395</v>
      </c>
      <c r="Z44" s="383">
        <f t="shared" si="12"/>
        <v>104</v>
      </c>
      <c r="AA44" s="383">
        <f t="shared" si="13"/>
        <v>1540.0000008499999</v>
      </c>
      <c r="AB44" s="389">
        <v>84</v>
      </c>
      <c r="AC44" s="357">
        <f t="shared" si="15"/>
        <v>152.72727287999999</v>
      </c>
      <c r="AD44" s="329">
        <v>45405</v>
      </c>
      <c r="AE44" s="390">
        <f>AD44-DATE(YEAR(AD44),1,1)+1</f>
        <v>114</v>
      </c>
      <c r="AF44" s="390">
        <f t="shared" si="17"/>
        <v>1536.3636379</v>
      </c>
      <c r="AG44" s="386">
        <v>0</v>
      </c>
      <c r="AH44" s="390">
        <f t="shared" si="18"/>
        <v>0</v>
      </c>
      <c r="AI44" s="329">
        <v>45443</v>
      </c>
      <c r="AJ44" s="390">
        <f t="shared" si="19"/>
        <v>152</v>
      </c>
      <c r="AK44" s="390">
        <f t="shared" si="20"/>
        <v>2901.8181847199999</v>
      </c>
      <c r="AM44" s="390">
        <f t="shared" si="26"/>
        <v>0</v>
      </c>
      <c r="AO44" s="390">
        <f t="shared" si="21"/>
        <v>0</v>
      </c>
      <c r="AP44" s="390">
        <f t="shared" si="22"/>
        <v>0</v>
      </c>
      <c r="AR44" s="387">
        <f t="shared" si="25"/>
        <v>0</v>
      </c>
      <c r="AT44" s="323">
        <f t="shared" si="23"/>
        <v>0</v>
      </c>
      <c r="AU44" s="324">
        <f t="shared" si="24"/>
        <v>0</v>
      </c>
      <c r="BE44" s="354"/>
      <c r="BF44" s="351"/>
      <c r="BG44" s="350"/>
    </row>
    <row r="45" spans="1:59" ht="22.2" customHeight="1" x14ac:dyDescent="0.4">
      <c r="A45" s="321"/>
      <c r="D45" s="352">
        <v>2025</v>
      </c>
      <c r="E45" s="364">
        <f t="shared" si="0"/>
        <v>78.18181826</v>
      </c>
      <c r="F45" s="364">
        <f t="shared" si="7"/>
        <v>54.545454599999999</v>
      </c>
      <c r="G45" s="351">
        <f t="shared" si="14"/>
        <v>3909.090913</v>
      </c>
      <c r="H45" s="350">
        <f>IF(E45/F45 = 0, "", E45/F45)</f>
        <v>1.4333333333333333</v>
      </c>
      <c r="I45" s="357">
        <v>0</v>
      </c>
      <c r="J45" s="383">
        <f t="shared" si="2"/>
        <v>0</v>
      </c>
      <c r="K45" s="330">
        <v>45658</v>
      </c>
      <c r="L45" s="383">
        <f t="shared" si="3"/>
        <v>1</v>
      </c>
      <c r="M45" s="395">
        <v>14</v>
      </c>
      <c r="N45" s="358">
        <f t="shared" si="4"/>
        <v>25.45454548</v>
      </c>
      <c r="O45" s="393">
        <v>45723</v>
      </c>
      <c r="P45" s="383">
        <f t="shared" si="5"/>
        <v>66</v>
      </c>
      <c r="Q45" s="383">
        <f t="shared" si="8"/>
        <v>827.27272809999999</v>
      </c>
      <c r="R45" s="395">
        <v>28</v>
      </c>
      <c r="S45" s="358">
        <f>(R45*1.81818182)</f>
        <v>50.90909096</v>
      </c>
      <c r="T45" s="393">
        <v>45751</v>
      </c>
      <c r="U45" s="383">
        <f t="shared" si="6"/>
        <v>94</v>
      </c>
      <c r="V45" s="383">
        <f t="shared" si="10"/>
        <v>1069.09091016</v>
      </c>
      <c r="W45" s="394">
        <v>30</v>
      </c>
      <c r="X45" s="358">
        <f t="shared" si="11"/>
        <v>54.545454599999999</v>
      </c>
      <c r="Y45" s="391">
        <v>45769</v>
      </c>
      <c r="Z45" s="383">
        <f t="shared" si="12"/>
        <v>112</v>
      </c>
      <c r="AA45" s="383">
        <f t="shared" si="13"/>
        <v>949.09091004000004</v>
      </c>
      <c r="AB45" s="389">
        <v>0</v>
      </c>
      <c r="AC45" s="357">
        <f t="shared" si="15"/>
        <v>0</v>
      </c>
      <c r="AD45" s="329">
        <v>45808</v>
      </c>
      <c r="AE45" s="390">
        <f t="shared" ref="AE45:AE51" si="27">AD45-DATE(YEAR(AD45),1,1)+1</f>
        <v>151</v>
      </c>
      <c r="AF45" s="390">
        <f t="shared" si="17"/>
        <v>1063.6363647000001</v>
      </c>
      <c r="AH45" s="390">
        <f t="shared" si="18"/>
        <v>0</v>
      </c>
      <c r="AI45" s="393"/>
      <c r="AJ45" s="390">
        <f t="shared" si="19"/>
        <v>0</v>
      </c>
      <c r="AK45" s="390">
        <f t="shared" si="20"/>
        <v>0</v>
      </c>
      <c r="AM45" s="390">
        <f t="shared" si="26"/>
        <v>0</v>
      </c>
      <c r="AO45" s="390">
        <f t="shared" si="21"/>
        <v>0</v>
      </c>
      <c r="AP45" s="390">
        <f t="shared" si="22"/>
        <v>0</v>
      </c>
      <c r="AR45" s="387">
        <f t="shared" si="25"/>
        <v>0</v>
      </c>
      <c r="AT45" s="323">
        <f t="shared" si="23"/>
        <v>0</v>
      </c>
      <c r="AU45" s="324">
        <f t="shared" si="24"/>
        <v>0</v>
      </c>
      <c r="BE45" s="354"/>
      <c r="BF45" s="351"/>
      <c r="BG45" s="350"/>
    </row>
    <row r="46" spans="1:59" ht="22.2" customHeight="1" x14ac:dyDescent="0.4">
      <c r="A46" s="321"/>
      <c r="B46" s="317"/>
      <c r="D46" s="352">
        <v>2026</v>
      </c>
      <c r="E46" s="364">
        <f t="shared" si="0"/>
        <v>182.80000018280003</v>
      </c>
      <c r="F46" s="364">
        <f>IF(MAX(J46,N46,S46,X46,AC46,AH46) = 0, "", MAX(J46,N46,S46,X46,AC46,AH46))</f>
        <v>141.81818196</v>
      </c>
      <c r="G46" s="351">
        <f t="shared" si="14"/>
        <v>9140.0000091400016</v>
      </c>
      <c r="H46" s="350">
        <f t="shared" si="1"/>
        <v>1.2889743589743592</v>
      </c>
      <c r="J46" s="383">
        <f t="shared" si="2"/>
        <v>0</v>
      </c>
      <c r="K46" s="396">
        <v>46023</v>
      </c>
      <c r="L46" s="383">
        <f t="shared" si="3"/>
        <v>1</v>
      </c>
      <c r="M46" s="386">
        <v>31</v>
      </c>
      <c r="N46" s="358">
        <f t="shared" si="4"/>
        <v>56.363636419999999</v>
      </c>
      <c r="O46" s="393">
        <v>46083</v>
      </c>
      <c r="P46" s="383">
        <f t="shared" si="5"/>
        <v>61</v>
      </c>
      <c r="Q46" s="383">
        <f t="shared" si="8"/>
        <v>1690.9090925999999</v>
      </c>
      <c r="R46" s="386">
        <v>64</v>
      </c>
      <c r="S46" s="358">
        <f t="shared" si="9"/>
        <v>116.36363648</v>
      </c>
      <c r="T46" s="396">
        <v>46111</v>
      </c>
      <c r="U46" s="383">
        <f t="shared" si="6"/>
        <v>89</v>
      </c>
      <c r="V46" s="383">
        <f t="shared" si="10"/>
        <v>2418.1818205999998</v>
      </c>
      <c r="W46" s="386">
        <v>78</v>
      </c>
      <c r="X46" s="358">
        <f t="shared" si="11"/>
        <v>141.81818196</v>
      </c>
      <c r="Y46" s="391">
        <v>46132</v>
      </c>
      <c r="Z46" s="383">
        <f t="shared" si="12"/>
        <v>110</v>
      </c>
      <c r="AA46" s="383">
        <f t="shared" si="13"/>
        <v>2710.9090936200005</v>
      </c>
      <c r="AB46" s="389">
        <v>28</v>
      </c>
      <c r="AC46" s="357">
        <f t="shared" si="15"/>
        <v>50.90909096</v>
      </c>
      <c r="AD46" s="393">
        <v>46150</v>
      </c>
      <c r="AE46" s="390">
        <f t="shared" si="27"/>
        <v>128</v>
      </c>
      <c r="AF46" s="390">
        <f t="shared" si="17"/>
        <v>1734.5454562800001</v>
      </c>
      <c r="AG46" s="386">
        <v>0</v>
      </c>
      <c r="AH46" s="390">
        <f t="shared" si="18"/>
        <v>0</v>
      </c>
      <c r="AI46" s="393">
        <v>46173</v>
      </c>
      <c r="AJ46" s="390">
        <f t="shared" si="19"/>
        <v>151</v>
      </c>
      <c r="AK46" s="390">
        <f t="shared" si="20"/>
        <v>585.45454603999997</v>
      </c>
      <c r="AM46" s="390">
        <f t="shared" si="26"/>
        <v>0</v>
      </c>
      <c r="AO46" s="390">
        <f t="shared" si="21"/>
        <v>0</v>
      </c>
      <c r="AP46" s="390">
        <f t="shared" si="22"/>
        <v>0</v>
      </c>
      <c r="AR46" s="387">
        <f t="shared" si="25"/>
        <v>0</v>
      </c>
      <c r="AT46" s="323">
        <f t="shared" si="23"/>
        <v>0</v>
      </c>
      <c r="AU46" s="324">
        <f t="shared" si="24"/>
        <v>0</v>
      </c>
      <c r="BE46" s="354"/>
      <c r="BF46" s="351"/>
      <c r="BG46" s="350"/>
    </row>
    <row r="47" spans="1:59" ht="22.2" customHeight="1" x14ac:dyDescent="0.4">
      <c r="A47" s="321"/>
      <c r="B47" s="75"/>
      <c r="D47" s="352">
        <v>2027</v>
      </c>
      <c r="E47" s="364" t="str">
        <f t="shared" si="0"/>
        <v/>
      </c>
      <c r="F47" s="364" t="str">
        <f t="shared" si="7"/>
        <v/>
      </c>
      <c r="G47" s="351">
        <f t="shared" si="14"/>
        <v>0</v>
      </c>
      <c r="H47" s="350" t="e">
        <f t="shared" si="1"/>
        <v>#VALUE!</v>
      </c>
      <c r="J47" s="383">
        <f t="shared" si="2"/>
        <v>0</v>
      </c>
      <c r="L47" s="383">
        <f t="shared" si="3"/>
        <v>0</v>
      </c>
      <c r="N47" s="358">
        <f t="shared" si="4"/>
        <v>0</v>
      </c>
      <c r="P47" s="383">
        <f t="shared" si="5"/>
        <v>0</v>
      </c>
      <c r="Q47" s="383">
        <f t="shared" si="8"/>
        <v>0</v>
      </c>
      <c r="S47" s="358">
        <f>(R47*1.81818182)</f>
        <v>0</v>
      </c>
      <c r="U47" s="383">
        <f t="shared" si="6"/>
        <v>0</v>
      </c>
      <c r="V47" s="383">
        <f t="shared" si="10"/>
        <v>0</v>
      </c>
      <c r="X47" s="358">
        <f t="shared" si="11"/>
        <v>0</v>
      </c>
      <c r="Y47" s="358"/>
      <c r="Z47" s="383">
        <f t="shared" si="12"/>
        <v>0</v>
      </c>
      <c r="AA47" s="383">
        <f t="shared" si="13"/>
        <v>0</v>
      </c>
      <c r="AC47" s="357">
        <f t="shared" si="15"/>
        <v>0</v>
      </c>
      <c r="AE47" s="390">
        <f t="shared" si="27"/>
        <v>0</v>
      </c>
      <c r="AF47" s="390">
        <f t="shared" si="17"/>
        <v>0</v>
      </c>
      <c r="AH47" s="390">
        <f t="shared" si="18"/>
        <v>0</v>
      </c>
      <c r="AJ47" s="390">
        <f t="shared" si="19"/>
        <v>0</v>
      </c>
      <c r="AK47" s="390">
        <f t="shared" si="20"/>
        <v>0</v>
      </c>
      <c r="AM47" s="390">
        <f t="shared" si="26"/>
        <v>0</v>
      </c>
      <c r="AO47" s="390">
        <f t="shared" si="21"/>
        <v>0</v>
      </c>
      <c r="AP47" s="390">
        <f t="shared" si="22"/>
        <v>0</v>
      </c>
      <c r="AR47" s="387">
        <f t="shared" si="25"/>
        <v>0</v>
      </c>
      <c r="AT47" s="323">
        <f t="shared" si="23"/>
        <v>0</v>
      </c>
      <c r="AU47" s="324">
        <f t="shared" si="24"/>
        <v>0</v>
      </c>
      <c r="BE47" s="354"/>
      <c r="BF47" s="351"/>
      <c r="BG47" s="350"/>
    </row>
    <row r="48" spans="1:59" ht="22.2" customHeight="1" x14ac:dyDescent="0.4">
      <c r="A48" s="321"/>
      <c r="B48" s="316"/>
      <c r="D48" s="352">
        <v>2028</v>
      </c>
      <c r="E48" s="364" t="str">
        <f t="shared" si="0"/>
        <v/>
      </c>
      <c r="F48" s="364" t="str">
        <f t="shared" si="7"/>
        <v/>
      </c>
      <c r="G48" s="351">
        <f t="shared" si="14"/>
        <v>0</v>
      </c>
      <c r="H48" s="350" t="e">
        <f t="shared" si="1"/>
        <v>#VALUE!</v>
      </c>
      <c r="J48" s="383">
        <f t="shared" si="2"/>
        <v>0</v>
      </c>
      <c r="L48" s="383">
        <f t="shared" si="3"/>
        <v>0</v>
      </c>
      <c r="N48" s="358">
        <f t="shared" si="4"/>
        <v>0</v>
      </c>
      <c r="P48" s="383">
        <f t="shared" si="5"/>
        <v>0</v>
      </c>
      <c r="Q48" s="383">
        <f t="shared" si="8"/>
        <v>0</v>
      </c>
      <c r="S48" s="358">
        <f t="shared" si="9"/>
        <v>0</v>
      </c>
      <c r="U48" s="383">
        <f t="shared" si="6"/>
        <v>0</v>
      </c>
      <c r="V48" s="383">
        <f t="shared" si="10"/>
        <v>0</v>
      </c>
      <c r="X48" s="358">
        <f t="shared" si="11"/>
        <v>0</v>
      </c>
      <c r="Y48" s="358"/>
      <c r="Z48" s="383">
        <f t="shared" si="12"/>
        <v>0</v>
      </c>
      <c r="AA48" s="383">
        <f t="shared" si="13"/>
        <v>0</v>
      </c>
      <c r="AC48" s="357">
        <f t="shared" si="15"/>
        <v>0</v>
      </c>
      <c r="AE48" s="390">
        <f t="shared" si="27"/>
        <v>0</v>
      </c>
      <c r="AF48" s="390">
        <f t="shared" si="17"/>
        <v>0</v>
      </c>
      <c r="AH48" s="390">
        <f t="shared" si="18"/>
        <v>0</v>
      </c>
      <c r="AJ48" s="390">
        <f t="shared" si="19"/>
        <v>0</v>
      </c>
      <c r="AK48" s="390">
        <f t="shared" si="20"/>
        <v>0</v>
      </c>
      <c r="AM48" s="390">
        <f t="shared" si="26"/>
        <v>0</v>
      </c>
      <c r="AO48" s="390">
        <f t="shared" si="21"/>
        <v>0</v>
      </c>
      <c r="AP48" s="390">
        <f t="shared" si="22"/>
        <v>0</v>
      </c>
      <c r="AR48" s="387">
        <f t="shared" si="25"/>
        <v>0</v>
      </c>
      <c r="AT48" s="323">
        <f t="shared" si="23"/>
        <v>0</v>
      </c>
      <c r="AU48" s="324">
        <f t="shared" si="24"/>
        <v>0</v>
      </c>
      <c r="BE48" s="354"/>
      <c r="BF48" s="351"/>
      <c r="BG48" s="350"/>
    </row>
    <row r="49" spans="1:59" x14ac:dyDescent="0.4">
      <c r="A49" s="321"/>
      <c r="D49" s="352">
        <v>2029</v>
      </c>
      <c r="E49" s="364" t="str">
        <f t="shared" si="0"/>
        <v/>
      </c>
      <c r="F49" s="364" t="str">
        <f t="shared" si="7"/>
        <v/>
      </c>
      <c r="G49" s="351">
        <f t="shared" si="14"/>
        <v>0</v>
      </c>
      <c r="H49" s="350" t="e">
        <f t="shared" si="1"/>
        <v>#VALUE!</v>
      </c>
      <c r="J49" s="383">
        <f t="shared" si="2"/>
        <v>0</v>
      </c>
      <c r="L49" s="383">
        <f t="shared" si="3"/>
        <v>0</v>
      </c>
      <c r="N49" s="358">
        <f t="shared" si="4"/>
        <v>0</v>
      </c>
      <c r="P49" s="383">
        <f t="shared" si="5"/>
        <v>0</v>
      </c>
      <c r="Q49" s="383">
        <f t="shared" si="8"/>
        <v>0</v>
      </c>
      <c r="S49" s="358">
        <f t="shared" si="9"/>
        <v>0</v>
      </c>
      <c r="U49" s="383">
        <f t="shared" si="6"/>
        <v>0</v>
      </c>
      <c r="V49" s="383">
        <f t="shared" si="10"/>
        <v>0</v>
      </c>
      <c r="X49" s="358">
        <f t="shared" si="11"/>
        <v>0</v>
      </c>
      <c r="Y49" s="358"/>
      <c r="Z49" s="383">
        <f t="shared" si="12"/>
        <v>0</v>
      </c>
      <c r="AA49" s="383">
        <f t="shared" si="13"/>
        <v>0</v>
      </c>
      <c r="AC49" s="357">
        <f t="shared" si="15"/>
        <v>0</v>
      </c>
      <c r="AE49" s="390">
        <f t="shared" si="27"/>
        <v>0</v>
      </c>
      <c r="AF49" s="390">
        <f t="shared" si="17"/>
        <v>0</v>
      </c>
      <c r="AH49" s="390">
        <f t="shared" si="18"/>
        <v>0</v>
      </c>
      <c r="AJ49" s="390">
        <f t="shared" si="19"/>
        <v>0</v>
      </c>
      <c r="AK49" s="390">
        <f t="shared" si="20"/>
        <v>0</v>
      </c>
      <c r="AM49" s="390">
        <f t="shared" si="26"/>
        <v>0</v>
      </c>
      <c r="AO49" s="390">
        <f t="shared" si="21"/>
        <v>0</v>
      </c>
      <c r="AP49" s="390">
        <f t="shared" si="22"/>
        <v>0</v>
      </c>
      <c r="AR49" s="387">
        <f t="shared" si="25"/>
        <v>0</v>
      </c>
      <c r="AT49" s="323">
        <f t="shared" si="23"/>
        <v>0</v>
      </c>
      <c r="AU49" s="324">
        <f t="shared" si="24"/>
        <v>0</v>
      </c>
      <c r="BE49" s="354"/>
      <c r="BF49" s="351"/>
      <c r="BG49" s="350"/>
    </row>
    <row r="50" spans="1:59" x14ac:dyDescent="0.4">
      <c r="A50" s="321"/>
      <c r="D50" s="352">
        <v>2030</v>
      </c>
      <c r="E50" s="364" t="str">
        <f t="shared" si="0"/>
        <v/>
      </c>
      <c r="F50" s="364" t="str">
        <f t="shared" si="7"/>
        <v/>
      </c>
      <c r="G50" s="351">
        <f t="shared" si="14"/>
        <v>0</v>
      </c>
      <c r="H50" s="350" t="e">
        <f t="shared" si="1"/>
        <v>#VALUE!</v>
      </c>
      <c r="J50" s="383">
        <f t="shared" si="2"/>
        <v>0</v>
      </c>
      <c r="L50" s="383">
        <f t="shared" si="3"/>
        <v>0</v>
      </c>
      <c r="N50" s="358">
        <f t="shared" si="4"/>
        <v>0</v>
      </c>
      <c r="P50" s="383">
        <f t="shared" si="5"/>
        <v>0</v>
      </c>
      <c r="Q50" s="383">
        <f t="shared" si="8"/>
        <v>0</v>
      </c>
      <c r="S50" s="358">
        <f t="shared" si="9"/>
        <v>0</v>
      </c>
      <c r="U50" s="383">
        <f t="shared" si="6"/>
        <v>0</v>
      </c>
      <c r="V50" s="383">
        <f t="shared" si="10"/>
        <v>0</v>
      </c>
      <c r="X50" s="358">
        <f t="shared" si="11"/>
        <v>0</v>
      </c>
      <c r="Y50" s="358"/>
      <c r="Z50" s="383">
        <f t="shared" si="12"/>
        <v>0</v>
      </c>
      <c r="AA50" s="383">
        <f t="shared" si="13"/>
        <v>0</v>
      </c>
      <c r="AC50" s="357">
        <f t="shared" si="15"/>
        <v>0</v>
      </c>
      <c r="AE50" s="390">
        <f t="shared" si="27"/>
        <v>0</v>
      </c>
      <c r="AF50" s="390">
        <f t="shared" si="17"/>
        <v>0</v>
      </c>
      <c r="AH50" s="390">
        <f t="shared" si="18"/>
        <v>0</v>
      </c>
      <c r="AJ50" s="390">
        <f t="shared" si="19"/>
        <v>0</v>
      </c>
      <c r="AK50" s="390">
        <f t="shared" si="20"/>
        <v>0</v>
      </c>
      <c r="AM50" s="390">
        <f t="shared" si="26"/>
        <v>0</v>
      </c>
      <c r="AO50" s="390">
        <f t="shared" si="21"/>
        <v>0</v>
      </c>
      <c r="AP50" s="390">
        <f t="shared" si="22"/>
        <v>0</v>
      </c>
      <c r="AR50" s="387">
        <f t="shared" si="25"/>
        <v>0</v>
      </c>
      <c r="AT50" s="323">
        <f t="shared" si="23"/>
        <v>0</v>
      </c>
      <c r="AU50" s="324">
        <f t="shared" si="24"/>
        <v>0</v>
      </c>
      <c r="BE50" s="354"/>
      <c r="BF50" s="351"/>
      <c r="BG50" s="350"/>
    </row>
    <row r="51" spans="1:59" x14ac:dyDescent="0.4">
      <c r="D51" s="352">
        <v>2031</v>
      </c>
      <c r="E51" s="364" t="str">
        <f t="shared" si="0"/>
        <v/>
      </c>
      <c r="F51" s="364" t="str">
        <f t="shared" si="7"/>
        <v/>
      </c>
      <c r="G51" s="351">
        <f t="shared" si="14"/>
        <v>0</v>
      </c>
      <c r="H51" s="350" t="e">
        <f t="shared" si="1"/>
        <v>#VALUE!</v>
      </c>
      <c r="J51" s="383">
        <f t="shared" si="2"/>
        <v>0</v>
      </c>
      <c r="L51" s="383">
        <f t="shared" si="3"/>
        <v>0</v>
      </c>
      <c r="N51" s="358">
        <f t="shared" si="4"/>
        <v>0</v>
      </c>
      <c r="P51" s="383">
        <f t="shared" si="5"/>
        <v>0</v>
      </c>
      <c r="Q51" s="383">
        <f t="shared" si="8"/>
        <v>0</v>
      </c>
      <c r="S51" s="358">
        <f t="shared" si="9"/>
        <v>0</v>
      </c>
      <c r="U51" s="383">
        <f t="shared" si="6"/>
        <v>0</v>
      </c>
      <c r="V51" s="383">
        <f t="shared" si="10"/>
        <v>0</v>
      </c>
      <c r="X51" s="358">
        <f t="shared" si="11"/>
        <v>0</v>
      </c>
      <c r="Y51" s="358"/>
      <c r="Z51" s="383">
        <f t="shared" si="12"/>
        <v>0</v>
      </c>
      <c r="AA51" s="383">
        <f t="shared" si="13"/>
        <v>0</v>
      </c>
      <c r="AC51" s="357">
        <f t="shared" si="15"/>
        <v>0</v>
      </c>
      <c r="AE51" s="390">
        <f t="shared" si="27"/>
        <v>0</v>
      </c>
      <c r="AF51" s="390">
        <f t="shared" si="17"/>
        <v>0</v>
      </c>
      <c r="AH51" s="390">
        <f t="shared" si="18"/>
        <v>0</v>
      </c>
      <c r="AJ51" s="390">
        <f t="shared" si="19"/>
        <v>0</v>
      </c>
      <c r="AK51" s="390">
        <f t="shared" si="20"/>
        <v>0</v>
      </c>
      <c r="AM51" s="390">
        <f t="shared" si="26"/>
        <v>0</v>
      </c>
      <c r="AO51" s="390">
        <f t="shared" si="21"/>
        <v>0</v>
      </c>
      <c r="AP51" s="390">
        <f t="shared" si="22"/>
        <v>0</v>
      </c>
      <c r="AR51" s="387">
        <f t="shared" si="25"/>
        <v>0</v>
      </c>
      <c r="AT51" s="323">
        <f t="shared" si="23"/>
        <v>0</v>
      </c>
      <c r="AU51" s="324">
        <f t="shared" si="24"/>
        <v>0</v>
      </c>
      <c r="BE51" s="354"/>
      <c r="BF51" s="351"/>
      <c r="BG51" s="350"/>
    </row>
    <row r="52" spans="1:59" x14ac:dyDescent="0.4">
      <c r="AF52" s="390"/>
    </row>
    <row r="53" spans="1:59" x14ac:dyDescent="0.4">
      <c r="G53" s="353" t="s">
        <v>239</v>
      </c>
      <c r="H53" s="350">
        <f>MIN(H3:H43)</f>
        <v>1.1125000002425001</v>
      </c>
      <c r="AF53" s="390"/>
    </row>
    <row r="54" spans="1:59" x14ac:dyDescent="0.4">
      <c r="G54" s="353" t="s">
        <v>240</v>
      </c>
      <c r="H54" s="350">
        <f>AVERAGE(H3:H43)</f>
        <v>1.5388806911559441</v>
      </c>
    </row>
    <row r="55" spans="1:59" x14ac:dyDescent="0.4">
      <c r="G55" s="353" t="s">
        <v>241</v>
      </c>
      <c r="H55" s="350">
        <f>MAX(H3:H43)</f>
        <v>1.98999999951</v>
      </c>
    </row>
    <row r="56" spans="1:59" x14ac:dyDescent="0.4">
      <c r="G56" s="353" t="s">
        <v>242</v>
      </c>
      <c r="H56" s="350">
        <f>STDEV(H3:H43)</f>
        <v>0.20093635792647338</v>
      </c>
    </row>
  </sheetData>
  <mergeCells count="1">
    <mergeCell ref="BF15:BG15"/>
  </mergeCells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15AF-9829-1746-A7CD-25096181FB25}">
  <dimension ref="P70:AA70"/>
  <sheetViews>
    <sheetView topLeftCell="A7" zoomScale="50" zoomScaleNormal="50" workbookViewId="0">
      <selection activeCell="U36" sqref="U36"/>
    </sheetView>
  </sheetViews>
  <sheetFormatPr defaultColWidth="11.5546875" defaultRowHeight="13.2" x14ac:dyDescent="0.25"/>
  <sheetData>
    <row r="70" spans="16:27" ht="28.2" x14ac:dyDescent="0.5">
      <c r="P70" s="328" t="s">
        <v>236</v>
      </c>
      <c r="Q70" s="328"/>
      <c r="R70" s="328"/>
      <c r="S70" s="328"/>
      <c r="T70" s="328"/>
      <c r="U70" s="328"/>
      <c r="V70" s="59"/>
      <c r="W70" s="59"/>
      <c r="X70" s="59"/>
      <c r="Y70" s="59"/>
      <c r="Z70" s="59"/>
      <c r="AA70" s="5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9012-1DB7-E944-818E-0F8103E68FB8}">
  <dimension ref="A1:N165"/>
  <sheetViews>
    <sheetView zoomScale="40" zoomScaleNormal="40" workbookViewId="0">
      <selection activeCell="N19" sqref="N19"/>
    </sheetView>
  </sheetViews>
  <sheetFormatPr defaultColWidth="10.6640625" defaultRowHeight="13.2" x14ac:dyDescent="0.25"/>
  <cols>
    <col min="1" max="1" width="10.6640625" style="59"/>
    <col min="2" max="2" width="10.6640625" style="59" customWidth="1"/>
    <col min="3" max="7" width="21.6640625" customWidth="1"/>
    <col min="10" max="14" width="21.6640625" customWidth="1"/>
  </cols>
  <sheetData>
    <row r="1" spans="1:14" ht="15.6" x14ac:dyDescent="0.3">
      <c r="C1" s="398" t="s">
        <v>238</v>
      </c>
      <c r="D1" s="398"/>
      <c r="E1" s="398"/>
      <c r="F1" s="398"/>
    </row>
    <row r="2" spans="1:14" ht="15.6" x14ac:dyDescent="0.3">
      <c r="C2" s="398" t="s">
        <v>162</v>
      </c>
      <c r="D2" s="398"/>
      <c r="E2" s="398"/>
      <c r="F2" s="398"/>
    </row>
    <row r="3" spans="1:14" ht="17.399999999999999" x14ac:dyDescent="0.3">
      <c r="C3" s="339"/>
      <c r="D3" s="339"/>
      <c r="J3" s="75"/>
    </row>
    <row r="5" spans="1:14" x14ac:dyDescent="0.25">
      <c r="C5" s="59">
        <v>1</v>
      </c>
      <c r="D5" s="59">
        <v>2</v>
      </c>
      <c r="E5" s="59">
        <v>3</v>
      </c>
      <c r="F5" s="59">
        <v>4</v>
      </c>
      <c r="G5" s="59">
        <v>5</v>
      </c>
      <c r="J5" s="59">
        <v>1</v>
      </c>
      <c r="K5" s="59">
        <v>2</v>
      </c>
      <c r="L5" s="59">
        <v>3</v>
      </c>
      <c r="M5" s="59">
        <v>4</v>
      </c>
      <c r="N5" s="59">
        <v>5</v>
      </c>
    </row>
    <row r="6" spans="1:14" ht="17.399999999999999" x14ac:dyDescent="0.3">
      <c r="C6" s="336" t="s">
        <v>172</v>
      </c>
      <c r="D6" s="337"/>
      <c r="E6" s="337"/>
      <c r="F6" s="338"/>
      <c r="G6" s="338"/>
      <c r="J6" s="336" t="s">
        <v>175</v>
      </c>
      <c r="K6" s="337"/>
      <c r="L6" s="334"/>
      <c r="M6" s="335"/>
      <c r="N6" s="335"/>
    </row>
    <row r="7" spans="1:14" ht="15.6" x14ac:dyDescent="0.3">
      <c r="C7" s="340" t="s">
        <v>163</v>
      </c>
      <c r="D7" s="340" t="s">
        <v>165</v>
      </c>
      <c r="E7" s="340" t="s">
        <v>167</v>
      </c>
      <c r="F7" s="340" t="s">
        <v>169</v>
      </c>
      <c r="G7" s="340" t="s">
        <v>173</v>
      </c>
      <c r="J7" s="340" t="s">
        <v>163</v>
      </c>
      <c r="K7" s="340" t="s">
        <v>165</v>
      </c>
      <c r="L7" s="340" t="s">
        <v>167</v>
      </c>
      <c r="M7" s="340" t="s">
        <v>169</v>
      </c>
      <c r="N7" s="340" t="s">
        <v>173</v>
      </c>
    </row>
    <row r="8" spans="1:14" ht="15.6" x14ac:dyDescent="0.3">
      <c r="A8" s="63" t="s">
        <v>120</v>
      </c>
      <c r="B8" s="63"/>
      <c r="C8" s="341" t="s">
        <v>164</v>
      </c>
      <c r="D8" s="341" t="s">
        <v>166</v>
      </c>
      <c r="E8" s="341" t="s">
        <v>168</v>
      </c>
      <c r="F8" s="341" t="s">
        <v>170</v>
      </c>
      <c r="G8" s="341" t="s">
        <v>174</v>
      </c>
      <c r="J8" s="341" t="s">
        <v>164</v>
      </c>
      <c r="K8" s="341" t="s">
        <v>166</v>
      </c>
      <c r="L8" s="341" t="s">
        <v>168</v>
      </c>
      <c r="M8" s="341" t="s">
        <v>170</v>
      </c>
      <c r="N8" s="341" t="s">
        <v>174</v>
      </c>
    </row>
    <row r="9" spans="1:14" x14ac:dyDescent="0.25">
      <c r="A9" s="59">
        <v>1</v>
      </c>
      <c r="C9">
        <f>((0.003)*A9)</f>
        <v>3.0000000000000001E-3</v>
      </c>
      <c r="D9">
        <f>((-0.0039)*A9)+0.8478</f>
        <v>0.84389999999999998</v>
      </c>
      <c r="E9">
        <f t="shared" ref="E9:E72" si="0">(0.0002*A9)+0.1914</f>
        <v>0.19159999999999999</v>
      </c>
      <c r="F9">
        <f>C9+D9</f>
        <v>0.84689999999999999</v>
      </c>
      <c r="G9">
        <f>D9+E9</f>
        <v>1.0354999999999999</v>
      </c>
      <c r="J9">
        <v>0.21</v>
      </c>
      <c r="K9">
        <v>0.5</v>
      </c>
      <c r="L9">
        <v>0.28000000000000003</v>
      </c>
      <c r="M9">
        <f>J9+K9</f>
        <v>0.71</v>
      </c>
      <c r="N9">
        <f>K9+L9</f>
        <v>0.78</v>
      </c>
    </row>
    <row r="10" spans="1:14" x14ac:dyDescent="0.25">
      <c r="A10" s="59">
        <v>2</v>
      </c>
      <c r="C10">
        <f t="shared" ref="C10:C73" si="1">((0.003)*A10)</f>
        <v>6.0000000000000001E-3</v>
      </c>
      <c r="D10">
        <f t="shared" ref="D10:D73" si="2">((-0.0039)*A10)+0.8478</f>
        <v>0.84</v>
      </c>
      <c r="E10">
        <f t="shared" si="0"/>
        <v>0.1918</v>
      </c>
      <c r="F10">
        <f t="shared" ref="F10:G73" si="3">C10+D10</f>
        <v>0.84599999999999997</v>
      </c>
      <c r="G10">
        <f t="shared" si="3"/>
        <v>1.0318000000000001</v>
      </c>
      <c r="J10">
        <v>0.21</v>
      </c>
      <c r="K10">
        <v>0.5</v>
      </c>
      <c r="L10">
        <v>0.28000000000000003</v>
      </c>
      <c r="M10">
        <f t="shared" ref="M10:N73" si="4">J10+K10</f>
        <v>0.71</v>
      </c>
      <c r="N10">
        <f t="shared" si="4"/>
        <v>0.78</v>
      </c>
    </row>
    <row r="11" spans="1:14" x14ac:dyDescent="0.25">
      <c r="A11" s="59">
        <v>3</v>
      </c>
      <c r="C11">
        <f t="shared" si="1"/>
        <v>9.0000000000000011E-3</v>
      </c>
      <c r="D11">
        <f t="shared" si="2"/>
        <v>0.83609999999999995</v>
      </c>
      <c r="E11">
        <f t="shared" si="0"/>
        <v>0.19199999999999998</v>
      </c>
      <c r="F11">
        <f t="shared" si="3"/>
        <v>0.84509999999999996</v>
      </c>
      <c r="G11">
        <f t="shared" si="3"/>
        <v>1.0281</v>
      </c>
      <c r="J11">
        <v>0.21</v>
      </c>
      <c r="K11">
        <v>0.5</v>
      </c>
      <c r="L11">
        <v>0.28000000000000003</v>
      </c>
      <c r="M11">
        <f t="shared" si="4"/>
        <v>0.71</v>
      </c>
      <c r="N11">
        <f t="shared" si="4"/>
        <v>0.78</v>
      </c>
    </row>
    <row r="12" spans="1:14" x14ac:dyDescent="0.25">
      <c r="A12" s="59">
        <v>4</v>
      </c>
      <c r="C12">
        <f t="shared" si="1"/>
        <v>1.2E-2</v>
      </c>
      <c r="D12">
        <f t="shared" si="2"/>
        <v>0.83220000000000005</v>
      </c>
      <c r="E12">
        <f t="shared" si="0"/>
        <v>0.19219999999999998</v>
      </c>
      <c r="F12">
        <f t="shared" si="3"/>
        <v>0.84420000000000006</v>
      </c>
      <c r="G12">
        <f t="shared" si="3"/>
        <v>1.0244</v>
      </c>
      <c r="J12">
        <v>0.21</v>
      </c>
      <c r="K12">
        <v>0.5</v>
      </c>
      <c r="L12">
        <v>0.28000000000000003</v>
      </c>
      <c r="M12">
        <f t="shared" si="4"/>
        <v>0.71</v>
      </c>
      <c r="N12">
        <f t="shared" si="4"/>
        <v>0.78</v>
      </c>
    </row>
    <row r="13" spans="1:14" x14ac:dyDescent="0.25">
      <c r="A13" s="59">
        <v>5</v>
      </c>
      <c r="C13">
        <f t="shared" si="1"/>
        <v>1.4999999999999999E-2</v>
      </c>
      <c r="D13">
        <f t="shared" si="2"/>
        <v>0.82830000000000004</v>
      </c>
      <c r="E13">
        <f t="shared" si="0"/>
        <v>0.19239999999999999</v>
      </c>
      <c r="F13">
        <f t="shared" si="3"/>
        <v>0.84330000000000005</v>
      </c>
      <c r="G13">
        <f t="shared" si="3"/>
        <v>1.0206999999999999</v>
      </c>
      <c r="J13">
        <v>0.21</v>
      </c>
      <c r="K13">
        <v>0.5</v>
      </c>
      <c r="L13">
        <v>0.28000000000000003</v>
      </c>
      <c r="M13">
        <f t="shared" si="4"/>
        <v>0.71</v>
      </c>
      <c r="N13">
        <f t="shared" si="4"/>
        <v>0.78</v>
      </c>
    </row>
    <row r="14" spans="1:14" x14ac:dyDescent="0.25">
      <c r="A14" s="59">
        <v>6</v>
      </c>
      <c r="C14">
        <f t="shared" si="1"/>
        <v>1.8000000000000002E-2</v>
      </c>
      <c r="D14">
        <f t="shared" si="2"/>
        <v>0.82440000000000002</v>
      </c>
      <c r="E14">
        <f t="shared" si="0"/>
        <v>0.19259999999999999</v>
      </c>
      <c r="F14">
        <f t="shared" si="3"/>
        <v>0.84240000000000004</v>
      </c>
      <c r="G14">
        <f t="shared" si="3"/>
        <v>1.0169999999999999</v>
      </c>
      <c r="J14">
        <v>0.21</v>
      </c>
      <c r="K14">
        <v>0.5</v>
      </c>
      <c r="L14">
        <v>0.28000000000000003</v>
      </c>
      <c r="M14">
        <f t="shared" si="4"/>
        <v>0.71</v>
      </c>
      <c r="N14">
        <f t="shared" si="4"/>
        <v>0.78</v>
      </c>
    </row>
    <row r="15" spans="1:14" x14ac:dyDescent="0.25">
      <c r="A15" s="59">
        <v>7</v>
      </c>
      <c r="C15">
        <f t="shared" si="1"/>
        <v>2.1000000000000001E-2</v>
      </c>
      <c r="D15">
        <f t="shared" si="2"/>
        <v>0.82050000000000001</v>
      </c>
      <c r="E15">
        <f t="shared" si="0"/>
        <v>0.1928</v>
      </c>
      <c r="F15">
        <f t="shared" si="3"/>
        <v>0.84150000000000003</v>
      </c>
      <c r="G15">
        <f t="shared" si="3"/>
        <v>1.0133000000000001</v>
      </c>
      <c r="J15">
        <v>0.21</v>
      </c>
      <c r="K15">
        <v>0.5</v>
      </c>
      <c r="L15">
        <v>0.28000000000000003</v>
      </c>
      <c r="M15">
        <f t="shared" si="4"/>
        <v>0.71</v>
      </c>
      <c r="N15">
        <f t="shared" si="4"/>
        <v>0.78</v>
      </c>
    </row>
    <row r="16" spans="1:14" x14ac:dyDescent="0.25">
      <c r="A16" s="59">
        <v>8</v>
      </c>
      <c r="C16">
        <f t="shared" si="1"/>
        <v>2.4E-2</v>
      </c>
      <c r="D16">
        <f t="shared" si="2"/>
        <v>0.81659999999999999</v>
      </c>
      <c r="E16">
        <f t="shared" si="0"/>
        <v>0.19299999999999998</v>
      </c>
      <c r="F16">
        <f t="shared" si="3"/>
        <v>0.84060000000000001</v>
      </c>
      <c r="G16">
        <f t="shared" si="3"/>
        <v>1.0096000000000001</v>
      </c>
      <c r="J16">
        <v>0.21</v>
      </c>
      <c r="K16">
        <v>0.5</v>
      </c>
      <c r="L16">
        <v>0.28000000000000003</v>
      </c>
      <c r="M16">
        <f t="shared" si="4"/>
        <v>0.71</v>
      </c>
      <c r="N16">
        <f t="shared" si="4"/>
        <v>0.78</v>
      </c>
    </row>
    <row r="17" spans="1:14" x14ac:dyDescent="0.25">
      <c r="A17" s="59">
        <v>9</v>
      </c>
      <c r="C17">
        <f t="shared" si="1"/>
        <v>2.7E-2</v>
      </c>
      <c r="D17">
        <f t="shared" si="2"/>
        <v>0.81269999999999998</v>
      </c>
      <c r="E17">
        <f t="shared" si="0"/>
        <v>0.19319999999999998</v>
      </c>
      <c r="F17">
        <f t="shared" si="3"/>
        <v>0.8397</v>
      </c>
      <c r="G17">
        <f t="shared" si="3"/>
        <v>1.0059</v>
      </c>
      <c r="J17">
        <v>0.21</v>
      </c>
      <c r="K17">
        <v>0.5</v>
      </c>
      <c r="L17">
        <v>0.28000000000000003</v>
      </c>
      <c r="M17">
        <f t="shared" si="4"/>
        <v>0.71</v>
      </c>
      <c r="N17">
        <f t="shared" si="4"/>
        <v>0.78</v>
      </c>
    </row>
    <row r="18" spans="1:14" x14ac:dyDescent="0.25">
      <c r="A18" s="59">
        <v>10</v>
      </c>
      <c r="C18">
        <f t="shared" si="1"/>
        <v>0.03</v>
      </c>
      <c r="D18">
        <f t="shared" si="2"/>
        <v>0.80879999999999996</v>
      </c>
      <c r="E18">
        <f t="shared" si="0"/>
        <v>0.19339999999999999</v>
      </c>
      <c r="F18">
        <f t="shared" si="3"/>
        <v>0.83879999999999999</v>
      </c>
      <c r="G18">
        <f t="shared" si="3"/>
        <v>1.0022</v>
      </c>
      <c r="J18">
        <v>0.21</v>
      </c>
      <c r="K18">
        <v>0.5</v>
      </c>
      <c r="L18">
        <v>0.28000000000000003</v>
      </c>
      <c r="M18">
        <f t="shared" si="4"/>
        <v>0.71</v>
      </c>
      <c r="N18">
        <f t="shared" si="4"/>
        <v>0.78</v>
      </c>
    </row>
    <row r="19" spans="1:14" x14ac:dyDescent="0.25">
      <c r="A19" s="59">
        <v>11</v>
      </c>
      <c r="C19">
        <f t="shared" si="1"/>
        <v>3.3000000000000002E-2</v>
      </c>
      <c r="D19">
        <f t="shared" si="2"/>
        <v>0.80489999999999995</v>
      </c>
      <c r="E19">
        <f t="shared" si="0"/>
        <v>0.19359999999999999</v>
      </c>
      <c r="F19">
        <f t="shared" si="3"/>
        <v>0.83789999999999998</v>
      </c>
      <c r="G19">
        <f t="shared" si="3"/>
        <v>0.99849999999999994</v>
      </c>
      <c r="J19">
        <v>0.21</v>
      </c>
      <c r="K19">
        <v>0.5</v>
      </c>
      <c r="L19">
        <v>0.28000000000000003</v>
      </c>
      <c r="M19">
        <f t="shared" si="4"/>
        <v>0.71</v>
      </c>
      <c r="N19">
        <f t="shared" si="4"/>
        <v>0.78</v>
      </c>
    </row>
    <row r="20" spans="1:14" x14ac:dyDescent="0.25">
      <c r="A20" s="59">
        <v>12</v>
      </c>
      <c r="C20">
        <f t="shared" si="1"/>
        <v>3.6000000000000004E-2</v>
      </c>
      <c r="D20">
        <f t="shared" si="2"/>
        <v>0.80100000000000005</v>
      </c>
      <c r="E20">
        <f t="shared" si="0"/>
        <v>0.1938</v>
      </c>
      <c r="F20">
        <f t="shared" si="3"/>
        <v>0.83700000000000008</v>
      </c>
      <c r="G20">
        <f t="shared" si="3"/>
        <v>0.99480000000000002</v>
      </c>
      <c r="J20">
        <v>0.21</v>
      </c>
      <c r="K20">
        <v>0.5</v>
      </c>
      <c r="L20">
        <v>0.28000000000000003</v>
      </c>
      <c r="M20">
        <f t="shared" si="4"/>
        <v>0.71</v>
      </c>
      <c r="N20">
        <f t="shared" si="4"/>
        <v>0.78</v>
      </c>
    </row>
    <row r="21" spans="1:14" x14ac:dyDescent="0.25">
      <c r="A21" s="59">
        <v>13</v>
      </c>
      <c r="C21">
        <f t="shared" si="1"/>
        <v>3.9E-2</v>
      </c>
      <c r="D21">
        <f t="shared" si="2"/>
        <v>0.79710000000000003</v>
      </c>
      <c r="E21">
        <f t="shared" si="0"/>
        <v>0.19399999999999998</v>
      </c>
      <c r="F21">
        <f t="shared" si="3"/>
        <v>0.83610000000000007</v>
      </c>
      <c r="G21">
        <f t="shared" si="3"/>
        <v>0.99109999999999998</v>
      </c>
      <c r="J21">
        <v>0.21</v>
      </c>
      <c r="K21">
        <v>0.5</v>
      </c>
      <c r="L21">
        <v>0.28000000000000003</v>
      </c>
      <c r="M21">
        <f t="shared" si="4"/>
        <v>0.71</v>
      </c>
      <c r="N21">
        <f t="shared" si="4"/>
        <v>0.78</v>
      </c>
    </row>
    <row r="22" spans="1:14" x14ac:dyDescent="0.25">
      <c r="A22" s="59">
        <v>14</v>
      </c>
      <c r="C22">
        <f t="shared" si="1"/>
        <v>4.2000000000000003E-2</v>
      </c>
      <c r="D22">
        <f t="shared" si="2"/>
        <v>0.79320000000000002</v>
      </c>
      <c r="E22">
        <f t="shared" si="0"/>
        <v>0.19419999999999998</v>
      </c>
      <c r="F22">
        <f t="shared" si="3"/>
        <v>0.83520000000000005</v>
      </c>
      <c r="G22">
        <f t="shared" si="3"/>
        <v>0.98740000000000006</v>
      </c>
      <c r="J22">
        <v>0.21</v>
      </c>
      <c r="K22">
        <v>0.5</v>
      </c>
      <c r="L22">
        <v>0.28000000000000003</v>
      </c>
      <c r="M22">
        <f t="shared" si="4"/>
        <v>0.71</v>
      </c>
      <c r="N22">
        <f t="shared" si="4"/>
        <v>0.78</v>
      </c>
    </row>
    <row r="23" spans="1:14" x14ac:dyDescent="0.25">
      <c r="A23" s="59">
        <v>15</v>
      </c>
      <c r="C23">
        <f t="shared" si="1"/>
        <v>4.4999999999999998E-2</v>
      </c>
      <c r="D23">
        <f t="shared" si="2"/>
        <v>0.7893</v>
      </c>
      <c r="E23">
        <f t="shared" si="0"/>
        <v>0.19439999999999999</v>
      </c>
      <c r="F23">
        <f t="shared" si="3"/>
        <v>0.83430000000000004</v>
      </c>
      <c r="G23">
        <f t="shared" si="3"/>
        <v>0.98370000000000002</v>
      </c>
      <c r="J23">
        <v>0.21</v>
      </c>
      <c r="K23">
        <v>0.5</v>
      </c>
      <c r="L23">
        <v>0.28000000000000003</v>
      </c>
      <c r="M23">
        <f t="shared" si="4"/>
        <v>0.71</v>
      </c>
      <c r="N23">
        <f t="shared" si="4"/>
        <v>0.78</v>
      </c>
    </row>
    <row r="24" spans="1:14" x14ac:dyDescent="0.25">
      <c r="A24" s="59">
        <v>16</v>
      </c>
      <c r="C24">
        <f t="shared" si="1"/>
        <v>4.8000000000000001E-2</v>
      </c>
      <c r="D24">
        <f t="shared" si="2"/>
        <v>0.78539999999999999</v>
      </c>
      <c r="E24">
        <f t="shared" si="0"/>
        <v>0.1946</v>
      </c>
      <c r="F24">
        <f t="shared" si="3"/>
        <v>0.83340000000000003</v>
      </c>
      <c r="G24">
        <f t="shared" si="3"/>
        <v>0.98</v>
      </c>
      <c r="J24">
        <v>0.21</v>
      </c>
      <c r="K24">
        <v>0.5</v>
      </c>
      <c r="L24">
        <v>0.28000000000000003</v>
      </c>
      <c r="M24">
        <f t="shared" si="4"/>
        <v>0.71</v>
      </c>
      <c r="N24">
        <f t="shared" si="4"/>
        <v>0.78</v>
      </c>
    </row>
    <row r="25" spans="1:14" x14ac:dyDescent="0.25">
      <c r="A25" s="59">
        <v>17</v>
      </c>
      <c r="C25">
        <f t="shared" si="1"/>
        <v>5.1000000000000004E-2</v>
      </c>
      <c r="D25">
        <f t="shared" si="2"/>
        <v>0.78149999999999997</v>
      </c>
      <c r="E25">
        <f t="shared" si="0"/>
        <v>0.19479999999999997</v>
      </c>
      <c r="F25">
        <f t="shared" si="3"/>
        <v>0.83250000000000002</v>
      </c>
      <c r="G25">
        <f t="shared" si="3"/>
        <v>0.97629999999999995</v>
      </c>
      <c r="J25">
        <v>0.21</v>
      </c>
      <c r="K25">
        <v>0.5</v>
      </c>
      <c r="L25">
        <v>0.28000000000000003</v>
      </c>
      <c r="M25">
        <f t="shared" si="4"/>
        <v>0.71</v>
      </c>
      <c r="N25">
        <f t="shared" si="4"/>
        <v>0.78</v>
      </c>
    </row>
    <row r="26" spans="1:14" x14ac:dyDescent="0.25">
      <c r="A26" s="59">
        <v>18</v>
      </c>
      <c r="C26">
        <f t="shared" si="1"/>
        <v>5.3999999999999999E-2</v>
      </c>
      <c r="D26">
        <f t="shared" si="2"/>
        <v>0.77759999999999996</v>
      </c>
      <c r="E26">
        <f t="shared" si="0"/>
        <v>0.19499999999999998</v>
      </c>
      <c r="F26">
        <f t="shared" si="3"/>
        <v>0.83160000000000001</v>
      </c>
      <c r="G26">
        <f t="shared" si="3"/>
        <v>0.97259999999999991</v>
      </c>
      <c r="J26">
        <v>0.21</v>
      </c>
      <c r="K26">
        <v>0.5</v>
      </c>
      <c r="L26">
        <v>0.28000000000000003</v>
      </c>
      <c r="M26">
        <f t="shared" si="4"/>
        <v>0.71</v>
      </c>
      <c r="N26">
        <f t="shared" si="4"/>
        <v>0.78</v>
      </c>
    </row>
    <row r="27" spans="1:14" x14ac:dyDescent="0.25">
      <c r="A27" s="59">
        <v>19</v>
      </c>
      <c r="C27">
        <f t="shared" si="1"/>
        <v>5.7000000000000002E-2</v>
      </c>
      <c r="D27">
        <f t="shared" si="2"/>
        <v>0.77370000000000005</v>
      </c>
      <c r="E27">
        <f t="shared" si="0"/>
        <v>0.19519999999999998</v>
      </c>
      <c r="F27">
        <f t="shared" si="3"/>
        <v>0.8307000000000001</v>
      </c>
      <c r="G27">
        <f t="shared" si="3"/>
        <v>0.96890000000000009</v>
      </c>
      <c r="J27">
        <v>0.21</v>
      </c>
      <c r="K27">
        <v>0.5</v>
      </c>
      <c r="L27">
        <v>0.28000000000000003</v>
      </c>
      <c r="M27">
        <f t="shared" si="4"/>
        <v>0.71</v>
      </c>
      <c r="N27">
        <f t="shared" si="4"/>
        <v>0.78</v>
      </c>
    </row>
    <row r="28" spans="1:14" x14ac:dyDescent="0.25">
      <c r="A28" s="59">
        <v>20</v>
      </c>
      <c r="C28">
        <f t="shared" si="1"/>
        <v>0.06</v>
      </c>
      <c r="D28">
        <f t="shared" si="2"/>
        <v>0.76980000000000004</v>
      </c>
      <c r="E28">
        <f t="shared" si="0"/>
        <v>0.19539999999999999</v>
      </c>
      <c r="F28">
        <f t="shared" si="3"/>
        <v>0.82980000000000009</v>
      </c>
      <c r="G28">
        <f t="shared" si="3"/>
        <v>0.96520000000000006</v>
      </c>
      <c r="J28">
        <v>0.21</v>
      </c>
      <c r="K28">
        <v>0.5</v>
      </c>
      <c r="L28">
        <v>0.28000000000000003</v>
      </c>
      <c r="M28">
        <f t="shared" si="4"/>
        <v>0.71</v>
      </c>
      <c r="N28">
        <f t="shared" si="4"/>
        <v>0.78</v>
      </c>
    </row>
    <row r="29" spans="1:14" x14ac:dyDescent="0.25">
      <c r="A29" s="59">
        <v>21</v>
      </c>
      <c r="C29">
        <f t="shared" si="1"/>
        <v>6.3E-2</v>
      </c>
      <c r="D29">
        <f t="shared" si="2"/>
        <v>0.76590000000000003</v>
      </c>
      <c r="E29">
        <f t="shared" si="0"/>
        <v>0.1956</v>
      </c>
      <c r="F29">
        <f t="shared" si="3"/>
        <v>0.82889999999999997</v>
      </c>
      <c r="G29">
        <f t="shared" si="3"/>
        <v>0.96150000000000002</v>
      </c>
      <c r="J29">
        <v>0.21</v>
      </c>
      <c r="K29">
        <v>0.5</v>
      </c>
      <c r="L29">
        <v>0.28000000000000003</v>
      </c>
      <c r="M29">
        <f t="shared" si="4"/>
        <v>0.71</v>
      </c>
      <c r="N29">
        <f t="shared" si="4"/>
        <v>0.78</v>
      </c>
    </row>
    <row r="30" spans="1:14" x14ac:dyDescent="0.25">
      <c r="A30" s="59">
        <v>22</v>
      </c>
      <c r="C30">
        <f t="shared" si="1"/>
        <v>6.6000000000000003E-2</v>
      </c>
      <c r="D30">
        <f t="shared" si="2"/>
        <v>0.76200000000000001</v>
      </c>
      <c r="E30">
        <f t="shared" si="0"/>
        <v>0.19579999999999997</v>
      </c>
      <c r="F30">
        <f t="shared" si="3"/>
        <v>0.82800000000000007</v>
      </c>
      <c r="G30">
        <f t="shared" si="3"/>
        <v>0.95779999999999998</v>
      </c>
      <c r="J30">
        <v>0.21</v>
      </c>
      <c r="K30">
        <v>0.5</v>
      </c>
      <c r="L30">
        <v>0.28000000000000003</v>
      </c>
      <c r="M30">
        <f t="shared" si="4"/>
        <v>0.71</v>
      </c>
      <c r="N30">
        <f t="shared" si="4"/>
        <v>0.78</v>
      </c>
    </row>
    <row r="31" spans="1:14" x14ac:dyDescent="0.25">
      <c r="A31" s="59">
        <v>23</v>
      </c>
      <c r="C31">
        <f t="shared" si="1"/>
        <v>6.9000000000000006E-2</v>
      </c>
      <c r="D31">
        <f t="shared" si="2"/>
        <v>0.7581</v>
      </c>
      <c r="E31">
        <f t="shared" si="0"/>
        <v>0.19599999999999998</v>
      </c>
      <c r="F31">
        <f t="shared" si="3"/>
        <v>0.82709999999999995</v>
      </c>
      <c r="G31">
        <f t="shared" si="3"/>
        <v>0.95409999999999995</v>
      </c>
      <c r="J31">
        <v>0.21</v>
      </c>
      <c r="K31">
        <v>0.5</v>
      </c>
      <c r="L31">
        <v>0.28000000000000003</v>
      </c>
      <c r="M31">
        <f t="shared" si="4"/>
        <v>0.71</v>
      </c>
      <c r="N31">
        <f t="shared" si="4"/>
        <v>0.78</v>
      </c>
    </row>
    <row r="32" spans="1:14" x14ac:dyDescent="0.25">
      <c r="A32" s="59">
        <v>24</v>
      </c>
      <c r="C32">
        <f t="shared" si="1"/>
        <v>7.2000000000000008E-2</v>
      </c>
      <c r="D32">
        <f t="shared" si="2"/>
        <v>0.75419999999999998</v>
      </c>
      <c r="E32">
        <f t="shared" si="0"/>
        <v>0.19619999999999999</v>
      </c>
      <c r="F32">
        <f t="shared" si="3"/>
        <v>0.82620000000000005</v>
      </c>
      <c r="G32">
        <f t="shared" si="3"/>
        <v>0.95039999999999991</v>
      </c>
      <c r="J32">
        <v>0.21</v>
      </c>
      <c r="K32">
        <v>0.5</v>
      </c>
      <c r="L32">
        <v>0.28000000000000003</v>
      </c>
      <c r="M32">
        <f t="shared" si="4"/>
        <v>0.71</v>
      </c>
      <c r="N32">
        <f t="shared" si="4"/>
        <v>0.78</v>
      </c>
    </row>
    <row r="33" spans="1:14" x14ac:dyDescent="0.25">
      <c r="A33" s="59">
        <v>25</v>
      </c>
      <c r="C33">
        <f t="shared" si="1"/>
        <v>7.4999999999999997E-2</v>
      </c>
      <c r="D33">
        <f t="shared" si="2"/>
        <v>0.75029999999999997</v>
      </c>
      <c r="E33">
        <f t="shared" si="0"/>
        <v>0.19639999999999999</v>
      </c>
      <c r="F33">
        <f t="shared" si="3"/>
        <v>0.82529999999999992</v>
      </c>
      <c r="G33">
        <f t="shared" si="3"/>
        <v>0.94669999999999999</v>
      </c>
      <c r="J33">
        <v>0.21</v>
      </c>
      <c r="K33">
        <v>0.5</v>
      </c>
      <c r="L33">
        <v>0.28000000000000003</v>
      </c>
      <c r="M33">
        <f t="shared" si="4"/>
        <v>0.71</v>
      </c>
      <c r="N33">
        <f t="shared" si="4"/>
        <v>0.78</v>
      </c>
    </row>
    <row r="34" spans="1:14" x14ac:dyDescent="0.25">
      <c r="A34" s="59">
        <v>26</v>
      </c>
      <c r="C34">
        <f t="shared" si="1"/>
        <v>7.8E-2</v>
      </c>
      <c r="D34">
        <f t="shared" si="2"/>
        <v>0.74639999999999995</v>
      </c>
      <c r="E34">
        <f t="shared" si="0"/>
        <v>0.1966</v>
      </c>
      <c r="F34">
        <f t="shared" si="3"/>
        <v>0.82439999999999991</v>
      </c>
      <c r="G34">
        <f t="shared" si="3"/>
        <v>0.94299999999999995</v>
      </c>
      <c r="J34">
        <v>0.21</v>
      </c>
      <c r="K34">
        <v>0.5</v>
      </c>
      <c r="L34">
        <v>0.28000000000000003</v>
      </c>
      <c r="M34">
        <f t="shared" si="4"/>
        <v>0.71</v>
      </c>
      <c r="N34">
        <f t="shared" si="4"/>
        <v>0.78</v>
      </c>
    </row>
    <row r="35" spans="1:14" x14ac:dyDescent="0.25">
      <c r="A35" s="59">
        <v>27</v>
      </c>
      <c r="C35">
        <f t="shared" si="1"/>
        <v>8.1000000000000003E-2</v>
      </c>
      <c r="D35">
        <f t="shared" si="2"/>
        <v>0.74250000000000005</v>
      </c>
      <c r="E35">
        <f t="shared" si="0"/>
        <v>0.19679999999999997</v>
      </c>
      <c r="F35">
        <f t="shared" si="3"/>
        <v>0.82350000000000001</v>
      </c>
      <c r="G35">
        <f t="shared" si="3"/>
        <v>0.93930000000000002</v>
      </c>
      <c r="J35">
        <v>0.21</v>
      </c>
      <c r="K35">
        <v>0.5</v>
      </c>
      <c r="L35">
        <v>0.28000000000000003</v>
      </c>
      <c r="M35">
        <f t="shared" si="4"/>
        <v>0.71</v>
      </c>
      <c r="N35">
        <f t="shared" si="4"/>
        <v>0.78</v>
      </c>
    </row>
    <row r="36" spans="1:14" x14ac:dyDescent="0.25">
      <c r="A36" s="59">
        <v>28</v>
      </c>
      <c r="C36">
        <f t="shared" si="1"/>
        <v>8.4000000000000005E-2</v>
      </c>
      <c r="D36">
        <f t="shared" si="2"/>
        <v>0.73860000000000003</v>
      </c>
      <c r="E36">
        <f t="shared" si="0"/>
        <v>0.19699999999999998</v>
      </c>
      <c r="F36">
        <f t="shared" si="3"/>
        <v>0.8226</v>
      </c>
      <c r="G36">
        <f t="shared" si="3"/>
        <v>0.93559999999999999</v>
      </c>
      <c r="J36">
        <v>0.21</v>
      </c>
      <c r="K36">
        <v>0.5</v>
      </c>
      <c r="L36">
        <v>0.28000000000000003</v>
      </c>
      <c r="M36">
        <f t="shared" si="4"/>
        <v>0.71</v>
      </c>
      <c r="N36">
        <f t="shared" si="4"/>
        <v>0.78</v>
      </c>
    </row>
    <row r="37" spans="1:14" x14ac:dyDescent="0.25">
      <c r="A37" s="59">
        <v>29</v>
      </c>
      <c r="C37">
        <f t="shared" si="1"/>
        <v>8.7000000000000008E-2</v>
      </c>
      <c r="D37">
        <f t="shared" si="2"/>
        <v>0.73470000000000002</v>
      </c>
      <c r="E37">
        <f t="shared" si="0"/>
        <v>0.19719999999999999</v>
      </c>
      <c r="F37">
        <f t="shared" si="3"/>
        <v>0.82169999999999999</v>
      </c>
      <c r="G37">
        <f t="shared" si="3"/>
        <v>0.93189999999999995</v>
      </c>
      <c r="J37">
        <v>0.21</v>
      </c>
      <c r="K37">
        <v>0.5</v>
      </c>
      <c r="L37">
        <v>0.28000000000000003</v>
      </c>
      <c r="M37">
        <f t="shared" si="4"/>
        <v>0.71</v>
      </c>
      <c r="N37">
        <f t="shared" si="4"/>
        <v>0.78</v>
      </c>
    </row>
    <row r="38" spans="1:14" x14ac:dyDescent="0.25">
      <c r="A38" s="59">
        <v>30</v>
      </c>
      <c r="C38">
        <f t="shared" si="1"/>
        <v>0.09</v>
      </c>
      <c r="D38">
        <f t="shared" si="2"/>
        <v>0.73080000000000001</v>
      </c>
      <c r="E38">
        <f t="shared" si="0"/>
        <v>0.19739999999999999</v>
      </c>
      <c r="F38">
        <f t="shared" si="3"/>
        <v>0.82079999999999997</v>
      </c>
      <c r="G38">
        <f t="shared" si="3"/>
        <v>0.92820000000000003</v>
      </c>
      <c r="J38">
        <v>0.21</v>
      </c>
      <c r="K38">
        <v>0.5</v>
      </c>
      <c r="L38">
        <v>0.28000000000000003</v>
      </c>
      <c r="M38">
        <f t="shared" si="4"/>
        <v>0.71</v>
      </c>
      <c r="N38">
        <f t="shared" si="4"/>
        <v>0.78</v>
      </c>
    </row>
    <row r="39" spans="1:14" x14ac:dyDescent="0.25">
      <c r="A39" s="59">
        <v>31</v>
      </c>
      <c r="C39">
        <f t="shared" si="1"/>
        <v>9.2999999999999999E-2</v>
      </c>
      <c r="D39">
        <f t="shared" si="2"/>
        <v>0.72689999999999999</v>
      </c>
      <c r="E39">
        <f t="shared" si="0"/>
        <v>0.1976</v>
      </c>
      <c r="F39">
        <f t="shared" si="3"/>
        <v>0.81989999999999996</v>
      </c>
      <c r="G39">
        <f t="shared" si="3"/>
        <v>0.92449999999999999</v>
      </c>
      <c r="J39">
        <v>0.21</v>
      </c>
      <c r="K39">
        <v>0.5</v>
      </c>
      <c r="L39">
        <v>0.28000000000000003</v>
      </c>
      <c r="M39">
        <f t="shared" si="4"/>
        <v>0.71</v>
      </c>
      <c r="N39">
        <f t="shared" si="4"/>
        <v>0.78</v>
      </c>
    </row>
    <row r="40" spans="1:14" x14ac:dyDescent="0.25">
      <c r="A40" s="59">
        <v>32</v>
      </c>
      <c r="C40">
        <f t="shared" si="1"/>
        <v>9.6000000000000002E-2</v>
      </c>
      <c r="D40">
        <f t="shared" si="2"/>
        <v>0.72299999999999998</v>
      </c>
      <c r="E40">
        <f t="shared" si="0"/>
        <v>0.19779999999999998</v>
      </c>
      <c r="F40">
        <f t="shared" si="3"/>
        <v>0.81899999999999995</v>
      </c>
      <c r="G40">
        <f t="shared" si="3"/>
        <v>0.92079999999999995</v>
      </c>
      <c r="J40">
        <v>0.21</v>
      </c>
      <c r="K40">
        <v>0.5</v>
      </c>
      <c r="L40">
        <v>0.28000000000000003</v>
      </c>
      <c r="M40">
        <f t="shared" si="4"/>
        <v>0.71</v>
      </c>
      <c r="N40">
        <f t="shared" si="4"/>
        <v>0.78</v>
      </c>
    </row>
    <row r="41" spans="1:14" x14ac:dyDescent="0.25">
      <c r="A41" s="59">
        <v>33</v>
      </c>
      <c r="C41">
        <f t="shared" si="1"/>
        <v>9.9000000000000005E-2</v>
      </c>
      <c r="D41">
        <f t="shared" si="2"/>
        <v>0.71910000000000007</v>
      </c>
      <c r="E41">
        <f t="shared" si="0"/>
        <v>0.19799999999999998</v>
      </c>
      <c r="F41">
        <f t="shared" si="3"/>
        <v>0.81810000000000005</v>
      </c>
      <c r="G41">
        <f t="shared" si="3"/>
        <v>0.91710000000000003</v>
      </c>
      <c r="J41">
        <v>0.21</v>
      </c>
      <c r="K41">
        <v>0.5</v>
      </c>
      <c r="L41">
        <v>0.28000000000000003</v>
      </c>
      <c r="M41">
        <f t="shared" si="4"/>
        <v>0.71</v>
      </c>
      <c r="N41">
        <f t="shared" si="4"/>
        <v>0.78</v>
      </c>
    </row>
    <row r="42" spans="1:14" x14ac:dyDescent="0.25">
      <c r="A42" s="59">
        <v>34</v>
      </c>
      <c r="C42">
        <f t="shared" si="1"/>
        <v>0.10200000000000001</v>
      </c>
      <c r="D42">
        <f t="shared" si="2"/>
        <v>0.71520000000000006</v>
      </c>
      <c r="E42">
        <f t="shared" si="0"/>
        <v>0.19819999999999999</v>
      </c>
      <c r="F42">
        <f t="shared" si="3"/>
        <v>0.81720000000000004</v>
      </c>
      <c r="G42">
        <f t="shared" si="3"/>
        <v>0.91339999999999999</v>
      </c>
      <c r="J42">
        <v>0.21</v>
      </c>
      <c r="K42">
        <v>0.5</v>
      </c>
      <c r="L42">
        <v>0.28000000000000003</v>
      </c>
      <c r="M42">
        <f t="shared" si="4"/>
        <v>0.71</v>
      </c>
      <c r="N42">
        <f t="shared" si="4"/>
        <v>0.78</v>
      </c>
    </row>
    <row r="43" spans="1:14" x14ac:dyDescent="0.25">
      <c r="A43" s="59">
        <v>35</v>
      </c>
      <c r="C43">
        <f t="shared" si="1"/>
        <v>0.105</v>
      </c>
      <c r="D43">
        <f t="shared" si="2"/>
        <v>0.71130000000000004</v>
      </c>
      <c r="E43">
        <f t="shared" si="0"/>
        <v>0.19839999999999999</v>
      </c>
      <c r="F43">
        <f t="shared" si="3"/>
        <v>0.81630000000000003</v>
      </c>
      <c r="G43">
        <f t="shared" si="3"/>
        <v>0.90970000000000006</v>
      </c>
      <c r="J43">
        <v>0.21</v>
      </c>
      <c r="K43">
        <v>0.5</v>
      </c>
      <c r="L43">
        <v>0.28000000000000003</v>
      </c>
      <c r="M43">
        <f t="shared" si="4"/>
        <v>0.71</v>
      </c>
      <c r="N43">
        <f t="shared" si="4"/>
        <v>0.78</v>
      </c>
    </row>
    <row r="44" spans="1:14" x14ac:dyDescent="0.25">
      <c r="A44" s="59">
        <v>36</v>
      </c>
      <c r="C44">
        <f t="shared" si="1"/>
        <v>0.108</v>
      </c>
      <c r="D44">
        <f t="shared" si="2"/>
        <v>0.70740000000000003</v>
      </c>
      <c r="E44">
        <f t="shared" si="0"/>
        <v>0.1986</v>
      </c>
      <c r="F44">
        <f t="shared" si="3"/>
        <v>0.81540000000000001</v>
      </c>
      <c r="G44">
        <f t="shared" si="3"/>
        <v>0.90600000000000003</v>
      </c>
      <c r="J44">
        <v>0.21</v>
      </c>
      <c r="K44">
        <v>0.5</v>
      </c>
      <c r="L44">
        <v>0.28000000000000003</v>
      </c>
      <c r="M44">
        <f t="shared" si="4"/>
        <v>0.71</v>
      </c>
      <c r="N44">
        <f t="shared" si="4"/>
        <v>0.78</v>
      </c>
    </row>
    <row r="45" spans="1:14" x14ac:dyDescent="0.25">
      <c r="A45" s="59">
        <v>37</v>
      </c>
      <c r="C45">
        <f t="shared" si="1"/>
        <v>0.111</v>
      </c>
      <c r="D45">
        <f t="shared" si="2"/>
        <v>0.70350000000000001</v>
      </c>
      <c r="E45">
        <f t="shared" si="0"/>
        <v>0.19879999999999998</v>
      </c>
      <c r="F45">
        <f t="shared" si="3"/>
        <v>0.8145</v>
      </c>
      <c r="G45">
        <f t="shared" si="3"/>
        <v>0.90229999999999999</v>
      </c>
      <c r="J45">
        <v>0.21</v>
      </c>
      <c r="K45">
        <v>0.5</v>
      </c>
      <c r="L45">
        <v>0.28000000000000003</v>
      </c>
      <c r="M45">
        <f t="shared" si="4"/>
        <v>0.71</v>
      </c>
      <c r="N45">
        <f t="shared" si="4"/>
        <v>0.78</v>
      </c>
    </row>
    <row r="46" spans="1:14" x14ac:dyDescent="0.25">
      <c r="A46" s="59">
        <v>38</v>
      </c>
      <c r="C46">
        <f t="shared" si="1"/>
        <v>0.114</v>
      </c>
      <c r="D46">
        <f t="shared" si="2"/>
        <v>0.6996</v>
      </c>
      <c r="E46">
        <f t="shared" si="0"/>
        <v>0.19899999999999998</v>
      </c>
      <c r="F46">
        <f t="shared" si="3"/>
        <v>0.81359999999999999</v>
      </c>
      <c r="G46">
        <f t="shared" si="3"/>
        <v>0.89859999999999995</v>
      </c>
      <c r="J46">
        <v>0.21</v>
      </c>
      <c r="K46">
        <v>0.5</v>
      </c>
      <c r="L46">
        <v>0.28000000000000003</v>
      </c>
      <c r="M46">
        <f t="shared" si="4"/>
        <v>0.71</v>
      </c>
      <c r="N46">
        <f t="shared" si="4"/>
        <v>0.78</v>
      </c>
    </row>
    <row r="47" spans="1:14" x14ac:dyDescent="0.25">
      <c r="A47" s="59">
        <v>39</v>
      </c>
      <c r="C47">
        <f t="shared" si="1"/>
        <v>0.11700000000000001</v>
      </c>
      <c r="D47">
        <f t="shared" si="2"/>
        <v>0.69569999999999999</v>
      </c>
      <c r="E47">
        <f t="shared" si="0"/>
        <v>0.19919999999999999</v>
      </c>
      <c r="F47">
        <f t="shared" si="3"/>
        <v>0.81269999999999998</v>
      </c>
      <c r="G47">
        <f t="shared" si="3"/>
        <v>0.89490000000000003</v>
      </c>
      <c r="J47">
        <v>0.21</v>
      </c>
      <c r="K47">
        <v>0.5</v>
      </c>
      <c r="L47">
        <v>0.28000000000000003</v>
      </c>
      <c r="M47">
        <f t="shared" si="4"/>
        <v>0.71</v>
      </c>
      <c r="N47">
        <f t="shared" si="4"/>
        <v>0.78</v>
      </c>
    </row>
    <row r="48" spans="1:14" x14ac:dyDescent="0.25">
      <c r="A48" s="59">
        <v>40</v>
      </c>
      <c r="C48">
        <f t="shared" si="1"/>
        <v>0.12</v>
      </c>
      <c r="D48">
        <f t="shared" si="2"/>
        <v>0.69179999999999997</v>
      </c>
      <c r="E48">
        <f t="shared" si="0"/>
        <v>0.19939999999999999</v>
      </c>
      <c r="F48">
        <f t="shared" si="3"/>
        <v>0.81179999999999997</v>
      </c>
      <c r="G48">
        <f t="shared" si="3"/>
        <v>0.89119999999999999</v>
      </c>
      <c r="J48">
        <v>0.21</v>
      </c>
      <c r="K48">
        <v>0.5</v>
      </c>
      <c r="L48">
        <v>0.28000000000000003</v>
      </c>
      <c r="M48">
        <f t="shared" si="4"/>
        <v>0.71</v>
      </c>
      <c r="N48">
        <f t="shared" si="4"/>
        <v>0.78</v>
      </c>
    </row>
    <row r="49" spans="1:14" x14ac:dyDescent="0.25">
      <c r="A49" s="59">
        <v>41</v>
      </c>
      <c r="C49">
        <f t="shared" si="1"/>
        <v>0.123</v>
      </c>
      <c r="D49">
        <f t="shared" si="2"/>
        <v>0.68789999999999996</v>
      </c>
      <c r="E49">
        <f t="shared" si="0"/>
        <v>0.1996</v>
      </c>
      <c r="F49">
        <f t="shared" si="3"/>
        <v>0.81089999999999995</v>
      </c>
      <c r="G49">
        <f t="shared" si="3"/>
        <v>0.88749999999999996</v>
      </c>
      <c r="J49">
        <v>0.21</v>
      </c>
      <c r="K49">
        <v>0.5</v>
      </c>
      <c r="L49">
        <v>0.28000000000000003</v>
      </c>
      <c r="M49">
        <f t="shared" si="4"/>
        <v>0.71</v>
      </c>
      <c r="N49">
        <f t="shared" si="4"/>
        <v>0.78</v>
      </c>
    </row>
    <row r="50" spans="1:14" x14ac:dyDescent="0.25">
      <c r="A50" s="59">
        <v>42</v>
      </c>
      <c r="C50">
        <f t="shared" si="1"/>
        <v>0.126</v>
      </c>
      <c r="D50">
        <f t="shared" si="2"/>
        <v>0.68399999999999994</v>
      </c>
      <c r="E50">
        <f t="shared" si="0"/>
        <v>0.19979999999999998</v>
      </c>
      <c r="F50">
        <f t="shared" si="3"/>
        <v>0.80999999999999994</v>
      </c>
      <c r="G50">
        <f t="shared" si="3"/>
        <v>0.88379999999999992</v>
      </c>
      <c r="J50">
        <v>0.21</v>
      </c>
      <c r="K50">
        <v>0.5</v>
      </c>
      <c r="L50">
        <v>0.28000000000000003</v>
      </c>
      <c r="M50">
        <f t="shared" si="4"/>
        <v>0.71</v>
      </c>
      <c r="N50">
        <f t="shared" si="4"/>
        <v>0.78</v>
      </c>
    </row>
    <row r="51" spans="1:14" x14ac:dyDescent="0.25">
      <c r="A51" s="59">
        <v>43</v>
      </c>
      <c r="C51">
        <f t="shared" si="1"/>
        <v>0.129</v>
      </c>
      <c r="D51">
        <f t="shared" si="2"/>
        <v>0.68010000000000004</v>
      </c>
      <c r="E51">
        <f t="shared" si="0"/>
        <v>0.19999999999999998</v>
      </c>
      <c r="F51">
        <f t="shared" si="3"/>
        <v>0.80910000000000004</v>
      </c>
      <c r="G51">
        <f t="shared" si="3"/>
        <v>0.88009999999999999</v>
      </c>
      <c r="J51">
        <v>0.21</v>
      </c>
      <c r="K51">
        <v>0.5</v>
      </c>
      <c r="L51">
        <v>0.28000000000000003</v>
      </c>
      <c r="M51">
        <f t="shared" si="4"/>
        <v>0.71</v>
      </c>
      <c r="N51">
        <f t="shared" si="4"/>
        <v>0.78</v>
      </c>
    </row>
    <row r="52" spans="1:14" x14ac:dyDescent="0.25">
      <c r="A52" s="59">
        <v>44</v>
      </c>
      <c r="C52">
        <f t="shared" si="1"/>
        <v>0.13200000000000001</v>
      </c>
      <c r="D52">
        <f t="shared" si="2"/>
        <v>0.67620000000000002</v>
      </c>
      <c r="E52">
        <f t="shared" si="0"/>
        <v>0.20019999999999999</v>
      </c>
      <c r="F52">
        <f t="shared" si="3"/>
        <v>0.80820000000000003</v>
      </c>
      <c r="G52">
        <f t="shared" si="3"/>
        <v>0.87640000000000007</v>
      </c>
      <c r="J52">
        <v>0.21</v>
      </c>
      <c r="K52">
        <v>0.5</v>
      </c>
      <c r="L52">
        <v>0.28000000000000003</v>
      </c>
      <c r="M52">
        <f t="shared" si="4"/>
        <v>0.71</v>
      </c>
      <c r="N52">
        <f t="shared" si="4"/>
        <v>0.78</v>
      </c>
    </row>
    <row r="53" spans="1:14" x14ac:dyDescent="0.25">
      <c r="C53">
        <f t="shared" si="1"/>
        <v>0</v>
      </c>
      <c r="D53">
        <f t="shared" si="2"/>
        <v>0.8478</v>
      </c>
      <c r="E53">
        <f t="shared" si="0"/>
        <v>0.19139999999999999</v>
      </c>
      <c r="F53">
        <f t="shared" si="3"/>
        <v>0.8478</v>
      </c>
      <c r="G53">
        <f t="shared" si="3"/>
        <v>1.0391999999999999</v>
      </c>
      <c r="J53">
        <v>0.21</v>
      </c>
      <c r="K53">
        <v>0.5</v>
      </c>
      <c r="L53">
        <v>0.28000000000000003</v>
      </c>
      <c r="M53">
        <f t="shared" si="4"/>
        <v>0.71</v>
      </c>
      <c r="N53">
        <f t="shared" si="4"/>
        <v>0.78</v>
      </c>
    </row>
    <row r="54" spans="1:14" x14ac:dyDescent="0.25">
      <c r="A54" s="59">
        <v>45</v>
      </c>
      <c r="C54">
        <f t="shared" si="1"/>
        <v>0.13500000000000001</v>
      </c>
      <c r="D54">
        <f t="shared" si="2"/>
        <v>0.67230000000000001</v>
      </c>
      <c r="E54">
        <f t="shared" si="0"/>
        <v>0.20039999999999999</v>
      </c>
      <c r="F54">
        <f t="shared" si="3"/>
        <v>0.80730000000000002</v>
      </c>
      <c r="G54">
        <f t="shared" si="3"/>
        <v>0.87270000000000003</v>
      </c>
      <c r="J54">
        <v>0.21</v>
      </c>
      <c r="K54">
        <v>0.5</v>
      </c>
      <c r="L54">
        <v>0.28000000000000003</v>
      </c>
      <c r="M54">
        <f t="shared" si="4"/>
        <v>0.71</v>
      </c>
      <c r="N54">
        <f t="shared" si="4"/>
        <v>0.78</v>
      </c>
    </row>
    <row r="55" spans="1:14" x14ac:dyDescent="0.25">
      <c r="A55" s="59">
        <v>46</v>
      </c>
      <c r="C55">
        <f t="shared" si="1"/>
        <v>0.13800000000000001</v>
      </c>
      <c r="D55">
        <f t="shared" si="2"/>
        <v>0.66839999999999999</v>
      </c>
      <c r="E55">
        <f t="shared" si="0"/>
        <v>0.2006</v>
      </c>
      <c r="F55">
        <f t="shared" si="3"/>
        <v>0.80640000000000001</v>
      </c>
      <c r="G55">
        <f t="shared" si="3"/>
        <v>0.86899999999999999</v>
      </c>
      <c r="J55">
        <v>0.21</v>
      </c>
      <c r="K55">
        <v>0.5</v>
      </c>
      <c r="L55">
        <v>0.28000000000000003</v>
      </c>
      <c r="M55">
        <f t="shared" si="4"/>
        <v>0.71</v>
      </c>
      <c r="N55">
        <f t="shared" si="4"/>
        <v>0.78</v>
      </c>
    </row>
    <row r="56" spans="1:14" x14ac:dyDescent="0.25">
      <c r="A56" s="59">
        <v>47</v>
      </c>
      <c r="C56">
        <f t="shared" si="1"/>
        <v>0.14100000000000001</v>
      </c>
      <c r="D56">
        <f t="shared" si="2"/>
        <v>0.66449999999999998</v>
      </c>
      <c r="E56">
        <f t="shared" si="0"/>
        <v>0.20079999999999998</v>
      </c>
      <c r="F56">
        <f t="shared" si="3"/>
        <v>0.80549999999999999</v>
      </c>
      <c r="G56">
        <f t="shared" si="3"/>
        <v>0.86529999999999996</v>
      </c>
      <c r="J56">
        <v>0.21</v>
      </c>
      <c r="K56">
        <v>0.5</v>
      </c>
      <c r="L56">
        <v>0.28000000000000003</v>
      </c>
      <c r="M56">
        <f t="shared" si="4"/>
        <v>0.71</v>
      </c>
      <c r="N56">
        <f t="shared" si="4"/>
        <v>0.78</v>
      </c>
    </row>
    <row r="57" spans="1:14" x14ac:dyDescent="0.25">
      <c r="A57" s="59">
        <v>48</v>
      </c>
      <c r="C57">
        <f t="shared" si="1"/>
        <v>0.14400000000000002</v>
      </c>
      <c r="D57">
        <f t="shared" si="2"/>
        <v>0.66060000000000008</v>
      </c>
      <c r="E57">
        <f t="shared" si="0"/>
        <v>0.20099999999999998</v>
      </c>
      <c r="F57">
        <f t="shared" si="3"/>
        <v>0.80460000000000009</v>
      </c>
      <c r="G57">
        <f t="shared" si="3"/>
        <v>0.86160000000000003</v>
      </c>
      <c r="J57">
        <v>0.21</v>
      </c>
      <c r="K57">
        <v>0.5</v>
      </c>
      <c r="L57">
        <v>0.28000000000000003</v>
      </c>
      <c r="M57">
        <f t="shared" si="4"/>
        <v>0.71</v>
      </c>
      <c r="N57">
        <f t="shared" si="4"/>
        <v>0.78</v>
      </c>
    </row>
    <row r="58" spans="1:14" x14ac:dyDescent="0.25">
      <c r="A58" s="59">
        <v>49</v>
      </c>
      <c r="C58">
        <f t="shared" si="1"/>
        <v>0.14699999999999999</v>
      </c>
      <c r="D58">
        <f t="shared" si="2"/>
        <v>0.65670000000000006</v>
      </c>
      <c r="E58">
        <f t="shared" si="0"/>
        <v>0.20119999999999999</v>
      </c>
      <c r="F58">
        <f t="shared" si="3"/>
        <v>0.80370000000000008</v>
      </c>
      <c r="G58">
        <f t="shared" si="3"/>
        <v>0.85790000000000011</v>
      </c>
      <c r="J58">
        <v>0.21</v>
      </c>
      <c r="K58">
        <v>0.5</v>
      </c>
      <c r="L58">
        <v>0.28000000000000003</v>
      </c>
      <c r="M58">
        <f t="shared" si="4"/>
        <v>0.71</v>
      </c>
      <c r="N58">
        <f t="shared" si="4"/>
        <v>0.78</v>
      </c>
    </row>
    <row r="59" spans="1:14" x14ac:dyDescent="0.25">
      <c r="A59" s="59">
        <v>50</v>
      </c>
      <c r="C59">
        <f t="shared" si="1"/>
        <v>0.15</v>
      </c>
      <c r="D59">
        <f t="shared" si="2"/>
        <v>0.65280000000000005</v>
      </c>
      <c r="E59">
        <f t="shared" si="0"/>
        <v>0.2014</v>
      </c>
      <c r="F59">
        <f t="shared" si="3"/>
        <v>0.80280000000000007</v>
      </c>
      <c r="G59">
        <f t="shared" si="3"/>
        <v>0.85420000000000007</v>
      </c>
      <c r="J59">
        <v>0.21</v>
      </c>
      <c r="K59">
        <v>0.5</v>
      </c>
      <c r="L59">
        <v>0.28000000000000003</v>
      </c>
      <c r="M59">
        <f t="shared" si="4"/>
        <v>0.71</v>
      </c>
      <c r="N59">
        <f t="shared" si="4"/>
        <v>0.78</v>
      </c>
    </row>
    <row r="60" spans="1:14" x14ac:dyDescent="0.25">
      <c r="A60" s="59">
        <v>51</v>
      </c>
      <c r="C60">
        <f t="shared" si="1"/>
        <v>0.153</v>
      </c>
      <c r="D60">
        <f t="shared" si="2"/>
        <v>0.64890000000000003</v>
      </c>
      <c r="E60">
        <f t="shared" si="0"/>
        <v>0.2016</v>
      </c>
      <c r="F60">
        <f t="shared" si="3"/>
        <v>0.80190000000000006</v>
      </c>
      <c r="G60">
        <f t="shared" si="3"/>
        <v>0.85050000000000003</v>
      </c>
      <c r="J60">
        <v>0.21</v>
      </c>
      <c r="K60">
        <v>0.5</v>
      </c>
      <c r="L60">
        <v>0.28000000000000003</v>
      </c>
      <c r="M60">
        <f t="shared" si="4"/>
        <v>0.71</v>
      </c>
      <c r="N60">
        <f t="shared" si="4"/>
        <v>0.78</v>
      </c>
    </row>
    <row r="61" spans="1:14" x14ac:dyDescent="0.25">
      <c r="A61" s="59">
        <v>52</v>
      </c>
      <c r="C61">
        <f t="shared" si="1"/>
        <v>0.156</v>
      </c>
      <c r="D61">
        <f t="shared" si="2"/>
        <v>0.64500000000000002</v>
      </c>
      <c r="E61">
        <f t="shared" si="0"/>
        <v>0.20179999999999998</v>
      </c>
      <c r="F61">
        <f t="shared" si="3"/>
        <v>0.80100000000000005</v>
      </c>
      <c r="G61">
        <f t="shared" si="3"/>
        <v>0.8468</v>
      </c>
      <c r="J61">
        <v>0.21</v>
      </c>
      <c r="K61">
        <v>0.5</v>
      </c>
      <c r="L61">
        <v>0.28000000000000003</v>
      </c>
      <c r="M61">
        <f t="shared" si="4"/>
        <v>0.71</v>
      </c>
      <c r="N61">
        <f t="shared" si="4"/>
        <v>0.78</v>
      </c>
    </row>
    <row r="62" spans="1:14" x14ac:dyDescent="0.25">
      <c r="A62" s="59">
        <v>53</v>
      </c>
      <c r="C62">
        <f t="shared" si="1"/>
        <v>0.159</v>
      </c>
      <c r="D62">
        <f t="shared" si="2"/>
        <v>0.6411</v>
      </c>
      <c r="E62">
        <f t="shared" si="0"/>
        <v>0.20199999999999999</v>
      </c>
      <c r="F62">
        <f t="shared" si="3"/>
        <v>0.80010000000000003</v>
      </c>
      <c r="G62">
        <f t="shared" si="3"/>
        <v>0.84309999999999996</v>
      </c>
      <c r="J62">
        <v>0.21</v>
      </c>
      <c r="K62">
        <v>0.5</v>
      </c>
      <c r="L62">
        <v>0.28000000000000003</v>
      </c>
      <c r="M62">
        <f t="shared" si="4"/>
        <v>0.71</v>
      </c>
      <c r="N62">
        <f t="shared" si="4"/>
        <v>0.78</v>
      </c>
    </row>
    <row r="63" spans="1:14" x14ac:dyDescent="0.25">
      <c r="A63" s="59">
        <v>54</v>
      </c>
      <c r="C63">
        <f t="shared" si="1"/>
        <v>0.16200000000000001</v>
      </c>
      <c r="D63">
        <f t="shared" si="2"/>
        <v>0.63719999999999999</v>
      </c>
      <c r="E63">
        <f t="shared" si="0"/>
        <v>0.20219999999999999</v>
      </c>
      <c r="F63">
        <f t="shared" si="3"/>
        <v>0.79920000000000002</v>
      </c>
      <c r="G63">
        <f t="shared" si="3"/>
        <v>0.83939999999999992</v>
      </c>
      <c r="J63">
        <v>0.21</v>
      </c>
      <c r="K63">
        <v>0.5</v>
      </c>
      <c r="L63">
        <v>0.28000000000000003</v>
      </c>
      <c r="M63">
        <f t="shared" si="4"/>
        <v>0.71</v>
      </c>
      <c r="N63">
        <f t="shared" si="4"/>
        <v>0.78</v>
      </c>
    </row>
    <row r="64" spans="1:14" x14ac:dyDescent="0.25">
      <c r="A64" s="59">
        <v>55</v>
      </c>
      <c r="C64">
        <f t="shared" si="1"/>
        <v>0.16500000000000001</v>
      </c>
      <c r="D64">
        <f t="shared" si="2"/>
        <v>0.63329999999999997</v>
      </c>
      <c r="E64">
        <f t="shared" si="0"/>
        <v>0.2024</v>
      </c>
      <c r="F64">
        <f t="shared" si="3"/>
        <v>0.79830000000000001</v>
      </c>
      <c r="G64">
        <f t="shared" si="3"/>
        <v>0.8357</v>
      </c>
      <c r="J64">
        <v>0.21</v>
      </c>
      <c r="K64">
        <v>0.5</v>
      </c>
      <c r="L64">
        <v>0.28000000000000003</v>
      </c>
      <c r="M64">
        <f t="shared" si="4"/>
        <v>0.71</v>
      </c>
      <c r="N64">
        <f t="shared" si="4"/>
        <v>0.78</v>
      </c>
    </row>
    <row r="65" spans="1:14" x14ac:dyDescent="0.25">
      <c r="A65" s="59">
        <v>56</v>
      </c>
      <c r="C65">
        <f t="shared" si="1"/>
        <v>0.16800000000000001</v>
      </c>
      <c r="D65">
        <f t="shared" si="2"/>
        <v>0.62939999999999996</v>
      </c>
      <c r="E65">
        <f t="shared" si="0"/>
        <v>0.20259999999999997</v>
      </c>
      <c r="F65">
        <f t="shared" si="3"/>
        <v>0.7974</v>
      </c>
      <c r="G65">
        <f t="shared" si="3"/>
        <v>0.83199999999999996</v>
      </c>
      <c r="J65">
        <v>0.21</v>
      </c>
      <c r="K65">
        <v>0.5</v>
      </c>
      <c r="L65">
        <v>0.28000000000000003</v>
      </c>
      <c r="M65">
        <f t="shared" si="4"/>
        <v>0.71</v>
      </c>
      <c r="N65">
        <f t="shared" si="4"/>
        <v>0.78</v>
      </c>
    </row>
    <row r="66" spans="1:14" x14ac:dyDescent="0.25">
      <c r="A66" s="59">
        <v>57</v>
      </c>
      <c r="C66">
        <f t="shared" si="1"/>
        <v>0.17100000000000001</v>
      </c>
      <c r="D66">
        <f t="shared" si="2"/>
        <v>0.62549999999999994</v>
      </c>
      <c r="E66">
        <f t="shared" si="0"/>
        <v>0.20279999999999998</v>
      </c>
      <c r="F66">
        <f t="shared" si="3"/>
        <v>0.79649999999999999</v>
      </c>
      <c r="G66">
        <f t="shared" si="3"/>
        <v>0.82829999999999993</v>
      </c>
      <c r="J66">
        <v>0.21</v>
      </c>
      <c r="K66">
        <v>0.5</v>
      </c>
      <c r="L66">
        <v>0.28000000000000003</v>
      </c>
      <c r="M66">
        <f t="shared" si="4"/>
        <v>0.71</v>
      </c>
      <c r="N66">
        <f t="shared" si="4"/>
        <v>0.78</v>
      </c>
    </row>
    <row r="67" spans="1:14" x14ac:dyDescent="0.25">
      <c r="A67" s="59">
        <v>58</v>
      </c>
      <c r="C67">
        <f t="shared" si="1"/>
        <v>0.17400000000000002</v>
      </c>
      <c r="D67">
        <f t="shared" si="2"/>
        <v>0.62160000000000004</v>
      </c>
      <c r="E67">
        <f t="shared" si="0"/>
        <v>0.20299999999999999</v>
      </c>
      <c r="F67">
        <f t="shared" si="3"/>
        <v>0.79560000000000008</v>
      </c>
      <c r="G67">
        <f t="shared" si="3"/>
        <v>0.8246</v>
      </c>
      <c r="J67">
        <v>0.21</v>
      </c>
      <c r="K67">
        <v>0.5</v>
      </c>
      <c r="L67">
        <v>0.28000000000000003</v>
      </c>
      <c r="M67">
        <f t="shared" si="4"/>
        <v>0.71</v>
      </c>
      <c r="N67">
        <f t="shared" si="4"/>
        <v>0.78</v>
      </c>
    </row>
    <row r="68" spans="1:14" x14ac:dyDescent="0.25">
      <c r="A68" s="59">
        <v>59</v>
      </c>
      <c r="C68">
        <f t="shared" si="1"/>
        <v>0.17699999999999999</v>
      </c>
      <c r="D68">
        <f t="shared" si="2"/>
        <v>0.61770000000000003</v>
      </c>
      <c r="E68">
        <f t="shared" si="0"/>
        <v>0.20319999999999999</v>
      </c>
      <c r="F68">
        <f t="shared" si="3"/>
        <v>0.79469999999999996</v>
      </c>
      <c r="G68">
        <f t="shared" si="3"/>
        <v>0.82089999999999996</v>
      </c>
      <c r="J68">
        <v>0.21</v>
      </c>
      <c r="K68">
        <v>0.5</v>
      </c>
      <c r="L68">
        <v>0.28000000000000003</v>
      </c>
      <c r="M68">
        <f t="shared" si="4"/>
        <v>0.71</v>
      </c>
      <c r="N68">
        <f t="shared" si="4"/>
        <v>0.78</v>
      </c>
    </row>
    <row r="69" spans="1:14" x14ac:dyDescent="0.25">
      <c r="A69" s="59">
        <v>60</v>
      </c>
      <c r="C69">
        <f t="shared" si="1"/>
        <v>0.18</v>
      </c>
      <c r="D69">
        <f t="shared" si="2"/>
        <v>0.61380000000000001</v>
      </c>
      <c r="E69">
        <f t="shared" si="0"/>
        <v>0.2034</v>
      </c>
      <c r="F69">
        <f t="shared" si="3"/>
        <v>0.79380000000000006</v>
      </c>
      <c r="G69">
        <f t="shared" si="3"/>
        <v>0.81720000000000004</v>
      </c>
      <c r="J69">
        <v>0.21</v>
      </c>
      <c r="K69">
        <v>0.5</v>
      </c>
      <c r="L69">
        <v>0.28000000000000003</v>
      </c>
      <c r="M69">
        <f t="shared" si="4"/>
        <v>0.71</v>
      </c>
      <c r="N69">
        <f t="shared" si="4"/>
        <v>0.78</v>
      </c>
    </row>
    <row r="70" spans="1:14" x14ac:dyDescent="0.25">
      <c r="A70" s="59">
        <v>61</v>
      </c>
      <c r="C70">
        <f t="shared" si="1"/>
        <v>0.183</v>
      </c>
      <c r="D70">
        <f t="shared" si="2"/>
        <v>0.6099</v>
      </c>
      <c r="E70">
        <f t="shared" si="0"/>
        <v>0.20359999999999998</v>
      </c>
      <c r="F70">
        <f t="shared" si="3"/>
        <v>0.79289999999999994</v>
      </c>
      <c r="G70">
        <f t="shared" si="3"/>
        <v>0.8135</v>
      </c>
      <c r="J70">
        <v>0.21</v>
      </c>
      <c r="K70">
        <v>0.5</v>
      </c>
      <c r="L70">
        <v>0.28000000000000003</v>
      </c>
      <c r="M70">
        <f t="shared" si="4"/>
        <v>0.71</v>
      </c>
      <c r="N70">
        <f t="shared" si="4"/>
        <v>0.78</v>
      </c>
    </row>
    <row r="71" spans="1:14" x14ac:dyDescent="0.25">
      <c r="A71" s="59">
        <v>62</v>
      </c>
      <c r="C71">
        <f t="shared" si="1"/>
        <v>0.186</v>
      </c>
      <c r="D71">
        <f t="shared" si="2"/>
        <v>0.60599999999999998</v>
      </c>
      <c r="E71">
        <f t="shared" si="0"/>
        <v>0.20379999999999998</v>
      </c>
      <c r="F71">
        <f t="shared" si="3"/>
        <v>0.79200000000000004</v>
      </c>
      <c r="G71">
        <f t="shared" si="3"/>
        <v>0.80979999999999996</v>
      </c>
      <c r="J71">
        <v>0.21</v>
      </c>
      <c r="K71">
        <v>0.5</v>
      </c>
      <c r="L71">
        <v>0.28000000000000003</v>
      </c>
      <c r="M71">
        <f t="shared" si="4"/>
        <v>0.71</v>
      </c>
      <c r="N71">
        <f t="shared" si="4"/>
        <v>0.78</v>
      </c>
    </row>
    <row r="72" spans="1:14" x14ac:dyDescent="0.25">
      <c r="A72" s="59">
        <v>63</v>
      </c>
      <c r="C72">
        <f t="shared" si="1"/>
        <v>0.189</v>
      </c>
      <c r="D72">
        <f t="shared" si="2"/>
        <v>0.60209999999999997</v>
      </c>
      <c r="E72">
        <f t="shared" si="0"/>
        <v>0.20399999999999999</v>
      </c>
      <c r="F72">
        <f t="shared" si="3"/>
        <v>0.79109999999999991</v>
      </c>
      <c r="G72">
        <f t="shared" si="3"/>
        <v>0.80609999999999993</v>
      </c>
      <c r="J72">
        <v>0.21</v>
      </c>
      <c r="K72">
        <v>0.5</v>
      </c>
      <c r="L72">
        <v>0.28000000000000003</v>
      </c>
      <c r="M72">
        <f t="shared" si="4"/>
        <v>0.71</v>
      </c>
      <c r="N72">
        <f t="shared" si="4"/>
        <v>0.78</v>
      </c>
    </row>
    <row r="73" spans="1:14" x14ac:dyDescent="0.25">
      <c r="A73" s="59">
        <v>64</v>
      </c>
      <c r="C73">
        <f t="shared" si="1"/>
        <v>0.192</v>
      </c>
      <c r="D73">
        <f t="shared" si="2"/>
        <v>0.59820000000000007</v>
      </c>
      <c r="E73">
        <f t="shared" ref="E73:E136" si="5">(0.0002*A73)+0.1914</f>
        <v>0.20419999999999999</v>
      </c>
      <c r="F73">
        <f t="shared" si="3"/>
        <v>0.79020000000000001</v>
      </c>
      <c r="G73">
        <f t="shared" si="3"/>
        <v>0.8024</v>
      </c>
      <c r="J73">
        <v>0.21</v>
      </c>
      <c r="K73">
        <v>0.5</v>
      </c>
      <c r="L73">
        <v>0.28000000000000003</v>
      </c>
      <c r="M73">
        <f t="shared" si="4"/>
        <v>0.71</v>
      </c>
      <c r="N73">
        <f t="shared" si="4"/>
        <v>0.78</v>
      </c>
    </row>
    <row r="74" spans="1:14" x14ac:dyDescent="0.25">
      <c r="A74" s="59">
        <v>65</v>
      </c>
      <c r="C74">
        <f t="shared" ref="C74:C142" si="6">((0.003)*A74)</f>
        <v>0.19500000000000001</v>
      </c>
      <c r="D74">
        <f t="shared" ref="D74:D142" si="7">((-0.0039)*A74)+0.8478</f>
        <v>0.59430000000000005</v>
      </c>
      <c r="E74">
        <f t="shared" si="5"/>
        <v>0.2044</v>
      </c>
      <c r="F74">
        <f t="shared" ref="F74:G142" si="8">C74+D74</f>
        <v>0.78930000000000011</v>
      </c>
      <c r="G74">
        <f t="shared" si="8"/>
        <v>0.79870000000000008</v>
      </c>
      <c r="J74">
        <v>0.21</v>
      </c>
      <c r="K74">
        <v>0.5</v>
      </c>
      <c r="L74">
        <v>0.28000000000000003</v>
      </c>
      <c r="M74">
        <f t="shared" ref="M74:N142" si="9">J74+K74</f>
        <v>0.71</v>
      </c>
      <c r="N74">
        <f t="shared" si="9"/>
        <v>0.78</v>
      </c>
    </row>
    <row r="75" spans="1:14" x14ac:dyDescent="0.25">
      <c r="A75" s="59">
        <v>66</v>
      </c>
      <c r="C75">
        <f t="shared" si="6"/>
        <v>0.19800000000000001</v>
      </c>
      <c r="D75">
        <f t="shared" si="7"/>
        <v>0.59040000000000004</v>
      </c>
      <c r="E75">
        <f t="shared" si="5"/>
        <v>0.20459999999999998</v>
      </c>
      <c r="F75">
        <f t="shared" si="8"/>
        <v>0.78839999999999999</v>
      </c>
      <c r="G75">
        <f t="shared" si="8"/>
        <v>0.79500000000000004</v>
      </c>
      <c r="J75">
        <v>0.21</v>
      </c>
      <c r="K75">
        <v>0.5</v>
      </c>
      <c r="L75">
        <v>0.28000000000000003</v>
      </c>
      <c r="M75">
        <f t="shared" si="9"/>
        <v>0.71</v>
      </c>
      <c r="N75">
        <f t="shared" si="9"/>
        <v>0.78</v>
      </c>
    </row>
    <row r="76" spans="1:14" x14ac:dyDescent="0.25">
      <c r="A76" s="59">
        <v>67</v>
      </c>
      <c r="C76">
        <f t="shared" si="6"/>
        <v>0.20100000000000001</v>
      </c>
      <c r="D76">
        <f t="shared" si="7"/>
        <v>0.58650000000000002</v>
      </c>
      <c r="E76">
        <f t="shared" si="5"/>
        <v>0.20479999999999998</v>
      </c>
      <c r="F76">
        <f t="shared" si="8"/>
        <v>0.78750000000000009</v>
      </c>
      <c r="G76">
        <f t="shared" si="8"/>
        <v>0.7913</v>
      </c>
      <c r="J76">
        <v>0.21</v>
      </c>
      <c r="K76">
        <v>0.5</v>
      </c>
      <c r="L76">
        <v>0.28000000000000003</v>
      </c>
      <c r="M76">
        <f t="shared" si="9"/>
        <v>0.71</v>
      </c>
      <c r="N76">
        <f t="shared" si="9"/>
        <v>0.78</v>
      </c>
    </row>
    <row r="77" spans="1:14" x14ac:dyDescent="0.25">
      <c r="A77" s="59">
        <v>68</v>
      </c>
      <c r="C77">
        <f t="shared" si="6"/>
        <v>0.20400000000000001</v>
      </c>
      <c r="D77">
        <f t="shared" si="7"/>
        <v>0.58260000000000001</v>
      </c>
      <c r="E77">
        <f t="shared" si="5"/>
        <v>0.20499999999999999</v>
      </c>
      <c r="F77">
        <f t="shared" si="8"/>
        <v>0.78659999999999997</v>
      </c>
      <c r="G77">
        <f t="shared" si="8"/>
        <v>0.78759999999999997</v>
      </c>
      <c r="J77">
        <v>0.21</v>
      </c>
      <c r="K77">
        <v>0.5</v>
      </c>
      <c r="L77">
        <v>0.28000000000000003</v>
      </c>
      <c r="M77">
        <f t="shared" si="9"/>
        <v>0.71</v>
      </c>
      <c r="N77">
        <f t="shared" si="9"/>
        <v>0.78</v>
      </c>
    </row>
    <row r="78" spans="1:14" x14ac:dyDescent="0.25">
      <c r="A78" s="59">
        <v>69</v>
      </c>
      <c r="C78">
        <f t="shared" si="6"/>
        <v>0.20700000000000002</v>
      </c>
      <c r="D78">
        <f t="shared" si="7"/>
        <v>0.57869999999999999</v>
      </c>
      <c r="E78">
        <f t="shared" si="5"/>
        <v>0.20519999999999999</v>
      </c>
      <c r="F78">
        <f t="shared" si="8"/>
        <v>0.78570000000000007</v>
      </c>
      <c r="G78">
        <f t="shared" si="8"/>
        <v>0.78390000000000004</v>
      </c>
      <c r="J78">
        <v>0.21</v>
      </c>
      <c r="K78">
        <v>0.5</v>
      </c>
      <c r="L78">
        <v>0.28000000000000003</v>
      </c>
      <c r="M78">
        <f t="shared" si="9"/>
        <v>0.71</v>
      </c>
      <c r="N78">
        <f t="shared" si="9"/>
        <v>0.78</v>
      </c>
    </row>
    <row r="79" spans="1:14" x14ac:dyDescent="0.25">
      <c r="A79" s="59">
        <v>70</v>
      </c>
      <c r="C79">
        <f t="shared" si="6"/>
        <v>0.21</v>
      </c>
      <c r="D79">
        <f t="shared" si="7"/>
        <v>0.57479999999999998</v>
      </c>
      <c r="E79">
        <f t="shared" si="5"/>
        <v>0.2054</v>
      </c>
      <c r="F79">
        <f t="shared" si="8"/>
        <v>0.78479999999999994</v>
      </c>
      <c r="G79">
        <f t="shared" si="8"/>
        <v>0.7802</v>
      </c>
      <c r="J79">
        <v>0.21</v>
      </c>
      <c r="K79">
        <v>0.5</v>
      </c>
      <c r="L79">
        <v>0.28000000000000003</v>
      </c>
      <c r="M79">
        <f t="shared" si="9"/>
        <v>0.71</v>
      </c>
      <c r="N79">
        <f t="shared" si="9"/>
        <v>0.78</v>
      </c>
    </row>
    <row r="80" spans="1:14" x14ac:dyDescent="0.25">
      <c r="A80" s="59">
        <v>71</v>
      </c>
      <c r="C80">
        <f t="shared" si="6"/>
        <v>0.21299999999999999</v>
      </c>
      <c r="D80">
        <f t="shared" si="7"/>
        <v>0.57089999999999996</v>
      </c>
      <c r="E80">
        <f t="shared" si="5"/>
        <v>0.20559999999999998</v>
      </c>
      <c r="F80">
        <f t="shared" si="8"/>
        <v>0.78389999999999993</v>
      </c>
      <c r="G80">
        <f t="shared" si="8"/>
        <v>0.77649999999999997</v>
      </c>
      <c r="J80">
        <v>0.21</v>
      </c>
      <c r="K80">
        <v>0.5</v>
      </c>
      <c r="L80">
        <v>0.28000000000000003</v>
      </c>
      <c r="M80">
        <f t="shared" si="9"/>
        <v>0.71</v>
      </c>
      <c r="N80">
        <f t="shared" si="9"/>
        <v>0.78</v>
      </c>
    </row>
    <row r="81" spans="1:14" x14ac:dyDescent="0.25">
      <c r="A81" s="59">
        <v>72</v>
      </c>
      <c r="C81">
        <f t="shared" si="6"/>
        <v>0.216</v>
      </c>
      <c r="D81">
        <f t="shared" si="7"/>
        <v>0.56699999999999995</v>
      </c>
      <c r="E81">
        <f t="shared" si="5"/>
        <v>0.20579999999999998</v>
      </c>
      <c r="F81">
        <f t="shared" si="8"/>
        <v>0.78299999999999992</v>
      </c>
      <c r="G81">
        <f t="shared" si="8"/>
        <v>0.77279999999999993</v>
      </c>
      <c r="J81">
        <v>0.21</v>
      </c>
      <c r="K81">
        <v>0.5</v>
      </c>
      <c r="L81">
        <v>0.28000000000000003</v>
      </c>
      <c r="M81">
        <f t="shared" si="9"/>
        <v>0.71</v>
      </c>
      <c r="N81">
        <f t="shared" si="9"/>
        <v>0.78</v>
      </c>
    </row>
    <row r="82" spans="1:14" x14ac:dyDescent="0.25">
      <c r="A82" s="59">
        <v>73</v>
      </c>
      <c r="C82">
        <f t="shared" si="6"/>
        <v>0.219</v>
      </c>
      <c r="D82">
        <f t="shared" si="7"/>
        <v>0.56309999999999993</v>
      </c>
      <c r="E82">
        <f t="shared" si="5"/>
        <v>0.20599999999999999</v>
      </c>
      <c r="F82">
        <f t="shared" si="8"/>
        <v>0.78209999999999991</v>
      </c>
      <c r="G82">
        <f t="shared" si="8"/>
        <v>0.76909999999999989</v>
      </c>
      <c r="J82">
        <v>0.21</v>
      </c>
      <c r="K82">
        <v>0.5</v>
      </c>
      <c r="L82">
        <v>0.28000000000000003</v>
      </c>
      <c r="M82">
        <f t="shared" si="9"/>
        <v>0.71</v>
      </c>
      <c r="N82">
        <f t="shared" si="9"/>
        <v>0.78</v>
      </c>
    </row>
    <row r="83" spans="1:14" x14ac:dyDescent="0.25">
      <c r="A83" s="59">
        <v>74</v>
      </c>
      <c r="C83">
        <f t="shared" si="6"/>
        <v>0.222</v>
      </c>
      <c r="D83">
        <f t="shared" si="7"/>
        <v>0.55920000000000003</v>
      </c>
      <c r="E83">
        <f t="shared" si="5"/>
        <v>0.20619999999999999</v>
      </c>
      <c r="F83">
        <f t="shared" si="8"/>
        <v>0.78120000000000001</v>
      </c>
      <c r="G83">
        <f t="shared" si="8"/>
        <v>0.76540000000000008</v>
      </c>
      <c r="J83">
        <v>0.21</v>
      </c>
      <c r="K83">
        <v>0.5</v>
      </c>
      <c r="L83">
        <v>0.28000000000000003</v>
      </c>
      <c r="M83">
        <f t="shared" si="9"/>
        <v>0.71</v>
      </c>
      <c r="N83">
        <f t="shared" si="9"/>
        <v>0.78</v>
      </c>
    </row>
    <row r="84" spans="1:14" x14ac:dyDescent="0.25">
      <c r="A84" s="59">
        <v>75</v>
      </c>
      <c r="C84">
        <f t="shared" si="6"/>
        <v>0.22500000000000001</v>
      </c>
      <c r="D84">
        <f t="shared" si="7"/>
        <v>0.55530000000000002</v>
      </c>
      <c r="E84">
        <f t="shared" si="5"/>
        <v>0.2064</v>
      </c>
      <c r="F84">
        <f t="shared" si="8"/>
        <v>0.78029999999999999</v>
      </c>
      <c r="G84">
        <f t="shared" si="8"/>
        <v>0.76170000000000004</v>
      </c>
      <c r="J84">
        <v>0.21</v>
      </c>
      <c r="K84">
        <v>0.5</v>
      </c>
      <c r="L84">
        <v>0.28000000000000003</v>
      </c>
      <c r="M84">
        <f t="shared" si="9"/>
        <v>0.71</v>
      </c>
      <c r="N84">
        <f t="shared" si="9"/>
        <v>0.78</v>
      </c>
    </row>
    <row r="85" spans="1:14" x14ac:dyDescent="0.25">
      <c r="A85" s="59">
        <v>77</v>
      </c>
      <c r="C85">
        <f t="shared" si="6"/>
        <v>0.23100000000000001</v>
      </c>
      <c r="D85">
        <f t="shared" si="7"/>
        <v>0.54749999999999999</v>
      </c>
      <c r="E85">
        <f t="shared" si="5"/>
        <v>0.20679999999999998</v>
      </c>
      <c r="F85">
        <f t="shared" si="8"/>
        <v>0.77849999999999997</v>
      </c>
      <c r="G85">
        <f t="shared" si="8"/>
        <v>0.75429999999999997</v>
      </c>
      <c r="J85">
        <v>0.21</v>
      </c>
      <c r="K85">
        <v>0.5</v>
      </c>
      <c r="L85">
        <v>0.28000000000000003</v>
      </c>
      <c r="M85">
        <f t="shared" si="9"/>
        <v>0.71</v>
      </c>
      <c r="N85">
        <f t="shared" si="9"/>
        <v>0.78</v>
      </c>
    </row>
    <row r="86" spans="1:14" x14ac:dyDescent="0.25">
      <c r="A86" s="59">
        <v>78</v>
      </c>
      <c r="C86">
        <f t="shared" si="6"/>
        <v>0.23400000000000001</v>
      </c>
      <c r="D86">
        <f t="shared" si="7"/>
        <v>0.54360000000000008</v>
      </c>
      <c r="E86">
        <f t="shared" si="5"/>
        <v>0.20699999999999999</v>
      </c>
      <c r="F86">
        <f t="shared" si="8"/>
        <v>0.77760000000000007</v>
      </c>
      <c r="G86">
        <f t="shared" si="8"/>
        <v>0.75060000000000004</v>
      </c>
      <c r="J86">
        <v>0.21</v>
      </c>
      <c r="K86">
        <v>0.5</v>
      </c>
      <c r="L86">
        <v>0.28000000000000003</v>
      </c>
      <c r="M86">
        <f t="shared" si="9"/>
        <v>0.71</v>
      </c>
      <c r="N86">
        <f t="shared" si="9"/>
        <v>0.78</v>
      </c>
    </row>
    <row r="87" spans="1:14" x14ac:dyDescent="0.25">
      <c r="A87" s="59">
        <v>79</v>
      </c>
      <c r="C87">
        <f t="shared" si="6"/>
        <v>0.23700000000000002</v>
      </c>
      <c r="D87">
        <f t="shared" si="7"/>
        <v>0.53970000000000007</v>
      </c>
      <c r="E87">
        <f t="shared" si="5"/>
        <v>0.2072</v>
      </c>
      <c r="F87">
        <f t="shared" si="8"/>
        <v>0.77670000000000006</v>
      </c>
      <c r="G87">
        <f t="shared" si="8"/>
        <v>0.74690000000000012</v>
      </c>
      <c r="J87">
        <v>0.21</v>
      </c>
      <c r="K87">
        <v>0.5</v>
      </c>
      <c r="L87">
        <v>0.28000000000000003</v>
      </c>
      <c r="M87">
        <f t="shared" si="9"/>
        <v>0.71</v>
      </c>
      <c r="N87">
        <f t="shared" si="9"/>
        <v>0.78</v>
      </c>
    </row>
    <row r="88" spans="1:14" x14ac:dyDescent="0.25">
      <c r="A88" s="59">
        <v>80</v>
      </c>
      <c r="C88">
        <f t="shared" si="6"/>
        <v>0.24</v>
      </c>
      <c r="D88">
        <f t="shared" si="7"/>
        <v>0.53580000000000005</v>
      </c>
      <c r="E88">
        <f t="shared" si="5"/>
        <v>0.20739999999999997</v>
      </c>
      <c r="F88">
        <f t="shared" si="8"/>
        <v>0.77580000000000005</v>
      </c>
      <c r="G88">
        <f t="shared" si="8"/>
        <v>0.74320000000000008</v>
      </c>
      <c r="J88">
        <v>0.21</v>
      </c>
      <c r="K88">
        <v>0.5</v>
      </c>
      <c r="L88">
        <v>0.28000000000000003</v>
      </c>
      <c r="M88">
        <f t="shared" si="9"/>
        <v>0.71</v>
      </c>
      <c r="N88">
        <f t="shared" si="9"/>
        <v>0.78</v>
      </c>
    </row>
    <row r="89" spans="1:14" x14ac:dyDescent="0.25">
      <c r="A89" s="59">
        <v>81</v>
      </c>
      <c r="C89">
        <f t="shared" si="6"/>
        <v>0.24299999999999999</v>
      </c>
      <c r="D89">
        <f t="shared" si="7"/>
        <v>0.53190000000000004</v>
      </c>
      <c r="E89">
        <f t="shared" si="5"/>
        <v>0.20759999999999998</v>
      </c>
      <c r="F89">
        <f t="shared" si="8"/>
        <v>0.77490000000000003</v>
      </c>
      <c r="G89">
        <f t="shared" si="8"/>
        <v>0.73950000000000005</v>
      </c>
      <c r="J89">
        <v>0.21</v>
      </c>
      <c r="K89">
        <v>0.5</v>
      </c>
      <c r="L89">
        <v>0.28000000000000003</v>
      </c>
      <c r="M89">
        <f t="shared" si="9"/>
        <v>0.71</v>
      </c>
      <c r="N89">
        <f t="shared" si="9"/>
        <v>0.78</v>
      </c>
    </row>
    <row r="90" spans="1:14" x14ac:dyDescent="0.25">
      <c r="A90" s="59">
        <v>78</v>
      </c>
      <c r="C90">
        <f t="shared" si="6"/>
        <v>0.23400000000000001</v>
      </c>
      <c r="D90">
        <f t="shared" si="7"/>
        <v>0.54360000000000008</v>
      </c>
      <c r="E90">
        <f t="shared" si="5"/>
        <v>0.20699999999999999</v>
      </c>
      <c r="F90">
        <f>C90+D90</f>
        <v>0.77760000000000007</v>
      </c>
      <c r="G90">
        <f t="shared" si="8"/>
        <v>0.75060000000000004</v>
      </c>
      <c r="J90">
        <v>0.21</v>
      </c>
      <c r="K90">
        <v>0.5</v>
      </c>
      <c r="L90">
        <v>0.28000000000000003</v>
      </c>
      <c r="M90">
        <f t="shared" si="9"/>
        <v>0.71</v>
      </c>
      <c r="N90">
        <f t="shared" si="9"/>
        <v>0.78</v>
      </c>
    </row>
    <row r="91" spans="1:14" x14ac:dyDescent="0.25">
      <c r="A91" s="59">
        <v>79</v>
      </c>
      <c r="C91">
        <f t="shared" si="6"/>
        <v>0.23700000000000002</v>
      </c>
      <c r="D91">
        <f t="shared" si="7"/>
        <v>0.53970000000000007</v>
      </c>
      <c r="E91">
        <f t="shared" si="5"/>
        <v>0.2072</v>
      </c>
      <c r="F91">
        <f t="shared" si="8"/>
        <v>0.77670000000000006</v>
      </c>
      <c r="G91">
        <f t="shared" si="8"/>
        <v>0.74690000000000012</v>
      </c>
      <c r="J91">
        <v>0.21</v>
      </c>
      <c r="K91">
        <v>0.5</v>
      </c>
      <c r="L91">
        <v>0.28000000000000003</v>
      </c>
      <c r="M91">
        <f t="shared" si="9"/>
        <v>0.71</v>
      </c>
      <c r="N91">
        <f t="shared" si="9"/>
        <v>0.78</v>
      </c>
    </row>
    <row r="92" spans="1:14" x14ac:dyDescent="0.25">
      <c r="A92" s="59">
        <v>80</v>
      </c>
      <c r="C92">
        <f t="shared" si="6"/>
        <v>0.24</v>
      </c>
      <c r="D92">
        <f t="shared" si="7"/>
        <v>0.53580000000000005</v>
      </c>
      <c r="E92">
        <f t="shared" si="5"/>
        <v>0.20739999999999997</v>
      </c>
      <c r="F92">
        <f t="shared" si="8"/>
        <v>0.77580000000000005</v>
      </c>
      <c r="G92">
        <f t="shared" si="8"/>
        <v>0.74320000000000008</v>
      </c>
      <c r="J92">
        <v>0.21</v>
      </c>
      <c r="K92">
        <v>0.5</v>
      </c>
      <c r="L92">
        <v>0.28000000000000003</v>
      </c>
      <c r="M92">
        <f t="shared" si="9"/>
        <v>0.71</v>
      </c>
      <c r="N92">
        <f t="shared" si="9"/>
        <v>0.78</v>
      </c>
    </row>
    <row r="93" spans="1:14" x14ac:dyDescent="0.25">
      <c r="A93" s="59">
        <v>81</v>
      </c>
      <c r="C93">
        <f t="shared" si="6"/>
        <v>0.24299999999999999</v>
      </c>
      <c r="D93">
        <f t="shared" si="7"/>
        <v>0.53190000000000004</v>
      </c>
      <c r="E93">
        <f t="shared" si="5"/>
        <v>0.20759999999999998</v>
      </c>
      <c r="F93">
        <f t="shared" si="8"/>
        <v>0.77490000000000003</v>
      </c>
      <c r="G93">
        <f t="shared" si="8"/>
        <v>0.73950000000000005</v>
      </c>
      <c r="J93">
        <v>0.21</v>
      </c>
      <c r="K93">
        <v>0.5</v>
      </c>
      <c r="L93">
        <v>0.28000000000000003</v>
      </c>
      <c r="M93">
        <f t="shared" si="9"/>
        <v>0.71</v>
      </c>
      <c r="N93">
        <f t="shared" si="9"/>
        <v>0.78</v>
      </c>
    </row>
    <row r="94" spans="1:14" x14ac:dyDescent="0.25">
      <c r="A94" s="59">
        <v>78</v>
      </c>
      <c r="C94">
        <f t="shared" si="6"/>
        <v>0.23400000000000001</v>
      </c>
      <c r="D94">
        <f t="shared" si="7"/>
        <v>0.54360000000000008</v>
      </c>
      <c r="E94">
        <f t="shared" si="5"/>
        <v>0.20699999999999999</v>
      </c>
      <c r="F94">
        <f t="shared" si="8"/>
        <v>0.77760000000000007</v>
      </c>
      <c r="G94">
        <f t="shared" si="8"/>
        <v>0.75060000000000004</v>
      </c>
      <c r="J94">
        <v>0.21</v>
      </c>
      <c r="K94">
        <v>0.5</v>
      </c>
      <c r="L94">
        <v>0.28000000000000003</v>
      </c>
      <c r="M94">
        <f t="shared" si="9"/>
        <v>0.71</v>
      </c>
      <c r="N94">
        <f t="shared" si="9"/>
        <v>0.78</v>
      </c>
    </row>
    <row r="95" spans="1:14" x14ac:dyDescent="0.25">
      <c r="A95" s="59">
        <v>79</v>
      </c>
      <c r="C95">
        <f t="shared" si="6"/>
        <v>0.23700000000000002</v>
      </c>
      <c r="D95">
        <f t="shared" si="7"/>
        <v>0.53970000000000007</v>
      </c>
      <c r="E95">
        <f t="shared" si="5"/>
        <v>0.2072</v>
      </c>
      <c r="F95">
        <f t="shared" si="8"/>
        <v>0.77670000000000006</v>
      </c>
      <c r="G95">
        <f t="shared" si="8"/>
        <v>0.74690000000000012</v>
      </c>
      <c r="J95">
        <v>0.21</v>
      </c>
      <c r="K95">
        <v>0.5</v>
      </c>
      <c r="L95">
        <v>0.28000000000000003</v>
      </c>
      <c r="M95">
        <f t="shared" si="9"/>
        <v>0.71</v>
      </c>
      <c r="N95">
        <f t="shared" si="9"/>
        <v>0.78</v>
      </c>
    </row>
    <row r="96" spans="1:14" x14ac:dyDescent="0.25">
      <c r="A96" s="59">
        <v>79</v>
      </c>
      <c r="C96">
        <f t="shared" si="6"/>
        <v>0.23700000000000002</v>
      </c>
      <c r="D96">
        <f t="shared" si="7"/>
        <v>0.53970000000000007</v>
      </c>
      <c r="E96">
        <f t="shared" si="5"/>
        <v>0.2072</v>
      </c>
      <c r="F96">
        <f t="shared" si="8"/>
        <v>0.77670000000000006</v>
      </c>
      <c r="G96">
        <f t="shared" si="8"/>
        <v>0.74690000000000012</v>
      </c>
      <c r="J96">
        <v>0.21</v>
      </c>
      <c r="K96">
        <v>0.5</v>
      </c>
      <c r="L96">
        <v>0.28000000000000003</v>
      </c>
      <c r="M96">
        <f t="shared" si="9"/>
        <v>0.71</v>
      </c>
      <c r="N96">
        <f t="shared" si="9"/>
        <v>0.78</v>
      </c>
    </row>
    <row r="97" spans="1:14" x14ac:dyDescent="0.25">
      <c r="A97" s="59">
        <v>80</v>
      </c>
      <c r="C97">
        <f t="shared" si="6"/>
        <v>0.24</v>
      </c>
      <c r="D97">
        <f t="shared" si="7"/>
        <v>0.53580000000000005</v>
      </c>
      <c r="E97">
        <f t="shared" si="5"/>
        <v>0.20739999999999997</v>
      </c>
      <c r="F97">
        <f t="shared" si="8"/>
        <v>0.77580000000000005</v>
      </c>
      <c r="G97">
        <f t="shared" si="8"/>
        <v>0.74320000000000008</v>
      </c>
      <c r="J97">
        <v>0.21</v>
      </c>
      <c r="K97">
        <v>0.5</v>
      </c>
      <c r="L97">
        <v>0.28000000000000003</v>
      </c>
      <c r="M97">
        <f t="shared" si="9"/>
        <v>0.71</v>
      </c>
      <c r="N97">
        <f t="shared" si="9"/>
        <v>0.78</v>
      </c>
    </row>
    <row r="98" spans="1:14" x14ac:dyDescent="0.25">
      <c r="A98" s="59">
        <v>81</v>
      </c>
      <c r="C98">
        <f t="shared" si="6"/>
        <v>0.24299999999999999</v>
      </c>
      <c r="D98">
        <f t="shared" si="7"/>
        <v>0.53190000000000004</v>
      </c>
      <c r="E98">
        <f t="shared" si="5"/>
        <v>0.20759999999999998</v>
      </c>
      <c r="F98">
        <f t="shared" si="8"/>
        <v>0.77490000000000003</v>
      </c>
      <c r="G98">
        <f t="shared" si="8"/>
        <v>0.73950000000000005</v>
      </c>
      <c r="J98">
        <v>0.21</v>
      </c>
      <c r="K98">
        <v>0.5</v>
      </c>
      <c r="L98">
        <v>0.28000000000000003</v>
      </c>
      <c r="M98">
        <f t="shared" si="9"/>
        <v>0.71</v>
      </c>
      <c r="N98">
        <f t="shared" si="9"/>
        <v>0.78</v>
      </c>
    </row>
    <row r="99" spans="1:14" x14ac:dyDescent="0.25">
      <c r="A99" s="59">
        <v>78</v>
      </c>
      <c r="C99">
        <f>((0.003)*A99)</f>
        <v>0.23400000000000001</v>
      </c>
      <c r="D99">
        <f>((-0.0039)*A99)+0.8478</f>
        <v>0.54360000000000008</v>
      </c>
      <c r="E99">
        <f>(0.0002*A99)+0.1914</f>
        <v>0.20699999999999999</v>
      </c>
      <c r="F99">
        <f t="shared" si="8"/>
        <v>0.77760000000000007</v>
      </c>
      <c r="G99">
        <f t="shared" si="8"/>
        <v>0.75060000000000004</v>
      </c>
      <c r="J99">
        <v>0.21</v>
      </c>
      <c r="K99">
        <v>0.5</v>
      </c>
      <c r="L99">
        <v>0.28000000000000003</v>
      </c>
      <c r="M99">
        <f t="shared" si="9"/>
        <v>0.71</v>
      </c>
      <c r="N99">
        <f t="shared" si="9"/>
        <v>0.78</v>
      </c>
    </row>
    <row r="100" spans="1:14" x14ac:dyDescent="0.25">
      <c r="A100" s="59">
        <v>79</v>
      </c>
      <c r="C100">
        <f>((0.003)*A100)</f>
        <v>0.23700000000000002</v>
      </c>
      <c r="D100">
        <f>((-0.0039)*A100)+0.8478</f>
        <v>0.53970000000000007</v>
      </c>
      <c r="E100">
        <f>(0.0002*A100)+0.1914</f>
        <v>0.2072</v>
      </c>
      <c r="F100">
        <f t="shared" si="8"/>
        <v>0.77670000000000006</v>
      </c>
      <c r="G100">
        <f t="shared" si="8"/>
        <v>0.74690000000000012</v>
      </c>
      <c r="J100">
        <v>0.21</v>
      </c>
      <c r="K100">
        <v>0.5</v>
      </c>
      <c r="L100">
        <v>0.28000000000000003</v>
      </c>
      <c r="M100">
        <f t="shared" si="9"/>
        <v>0.71</v>
      </c>
      <c r="N100">
        <f t="shared" si="9"/>
        <v>0.78</v>
      </c>
    </row>
    <row r="101" spans="1:14" x14ac:dyDescent="0.25">
      <c r="A101" s="59">
        <v>79</v>
      </c>
      <c r="C101">
        <f>((0.003)*A101)</f>
        <v>0.23700000000000002</v>
      </c>
      <c r="D101">
        <f>((-0.0039)*A101)+0.8478</f>
        <v>0.53970000000000007</v>
      </c>
      <c r="E101">
        <f>(0.0002*A101)+0.1914</f>
        <v>0.2072</v>
      </c>
      <c r="F101">
        <f t="shared" si="8"/>
        <v>0.77670000000000006</v>
      </c>
      <c r="G101">
        <f t="shared" si="8"/>
        <v>0.74690000000000012</v>
      </c>
      <c r="J101">
        <v>0.21</v>
      </c>
      <c r="K101">
        <v>0.5</v>
      </c>
      <c r="L101">
        <v>0.28000000000000003</v>
      </c>
      <c r="M101">
        <f t="shared" si="9"/>
        <v>0.71</v>
      </c>
      <c r="N101">
        <f t="shared" si="9"/>
        <v>0.78</v>
      </c>
    </row>
    <row r="102" spans="1:14" x14ac:dyDescent="0.25">
      <c r="A102" s="59">
        <v>80</v>
      </c>
      <c r="C102">
        <f>((0.003)*A102)</f>
        <v>0.24</v>
      </c>
      <c r="D102">
        <f>((-0.0039)*A102)+0.8478</f>
        <v>0.53580000000000005</v>
      </c>
      <c r="E102">
        <f>(0.0002*A102)+0.1914</f>
        <v>0.20739999999999997</v>
      </c>
      <c r="F102">
        <f t="shared" si="8"/>
        <v>0.77580000000000005</v>
      </c>
      <c r="G102">
        <f t="shared" si="8"/>
        <v>0.74320000000000008</v>
      </c>
      <c r="J102">
        <v>0.21</v>
      </c>
      <c r="K102">
        <v>0.5</v>
      </c>
      <c r="L102">
        <v>0.28000000000000003</v>
      </c>
      <c r="M102">
        <f t="shared" si="9"/>
        <v>0.71</v>
      </c>
      <c r="N102">
        <f t="shared" si="9"/>
        <v>0.78</v>
      </c>
    </row>
    <row r="103" spans="1:14" x14ac:dyDescent="0.25">
      <c r="A103" s="59">
        <v>81</v>
      </c>
      <c r="C103">
        <f>((0.003)*A103)</f>
        <v>0.24299999999999999</v>
      </c>
      <c r="D103">
        <f>((-0.0039)*A103)+0.8478</f>
        <v>0.53190000000000004</v>
      </c>
      <c r="E103">
        <f>(0.0002*A103)+0.1914</f>
        <v>0.20759999999999998</v>
      </c>
      <c r="F103">
        <f t="shared" si="8"/>
        <v>0.77490000000000003</v>
      </c>
      <c r="G103">
        <f t="shared" si="8"/>
        <v>0.73950000000000005</v>
      </c>
      <c r="J103">
        <v>0.21</v>
      </c>
      <c r="K103">
        <v>0.5</v>
      </c>
      <c r="L103">
        <v>0.28000000000000003</v>
      </c>
      <c r="M103">
        <f t="shared" si="9"/>
        <v>0.71</v>
      </c>
      <c r="N103">
        <f t="shared" si="9"/>
        <v>0.78</v>
      </c>
    </row>
    <row r="104" spans="1:14" x14ac:dyDescent="0.25">
      <c r="A104" s="59">
        <v>91</v>
      </c>
      <c r="C104">
        <f t="shared" si="6"/>
        <v>0.27300000000000002</v>
      </c>
      <c r="D104">
        <f t="shared" si="7"/>
        <v>0.4929</v>
      </c>
      <c r="E104">
        <f t="shared" si="5"/>
        <v>0.20959999999999998</v>
      </c>
      <c r="F104">
        <f t="shared" si="8"/>
        <v>0.76590000000000003</v>
      </c>
      <c r="G104">
        <f t="shared" si="8"/>
        <v>0.70250000000000001</v>
      </c>
      <c r="J104">
        <v>0.21</v>
      </c>
      <c r="K104">
        <v>0.5</v>
      </c>
      <c r="L104">
        <v>0.28000000000000003</v>
      </c>
      <c r="M104">
        <f t="shared" si="9"/>
        <v>0.71</v>
      </c>
      <c r="N104">
        <f t="shared" si="9"/>
        <v>0.78</v>
      </c>
    </row>
    <row r="105" spans="1:14" x14ac:dyDescent="0.25">
      <c r="A105" s="59">
        <v>92</v>
      </c>
      <c r="C105">
        <f t="shared" si="6"/>
        <v>0.27600000000000002</v>
      </c>
      <c r="D105">
        <f t="shared" si="7"/>
        <v>0.48899999999999999</v>
      </c>
      <c r="E105">
        <f t="shared" si="5"/>
        <v>0.20979999999999999</v>
      </c>
      <c r="F105">
        <f t="shared" si="8"/>
        <v>0.76500000000000001</v>
      </c>
      <c r="G105">
        <f t="shared" si="8"/>
        <v>0.69879999999999998</v>
      </c>
      <c r="J105">
        <v>0.21</v>
      </c>
      <c r="K105">
        <v>0.5</v>
      </c>
      <c r="L105">
        <v>0.28000000000000003</v>
      </c>
      <c r="M105">
        <f t="shared" si="9"/>
        <v>0.71</v>
      </c>
      <c r="N105">
        <f t="shared" si="9"/>
        <v>0.78</v>
      </c>
    </row>
    <row r="106" spans="1:14" x14ac:dyDescent="0.25">
      <c r="A106" s="59">
        <v>93</v>
      </c>
      <c r="C106">
        <f t="shared" si="6"/>
        <v>0.27900000000000003</v>
      </c>
      <c r="D106">
        <f t="shared" si="7"/>
        <v>0.48510000000000003</v>
      </c>
      <c r="E106">
        <f t="shared" si="5"/>
        <v>0.21</v>
      </c>
      <c r="F106">
        <f t="shared" si="8"/>
        <v>0.7641</v>
      </c>
      <c r="G106">
        <f t="shared" si="8"/>
        <v>0.69510000000000005</v>
      </c>
      <c r="J106">
        <v>0.21</v>
      </c>
      <c r="K106">
        <v>0.5</v>
      </c>
      <c r="L106">
        <v>0.28000000000000003</v>
      </c>
      <c r="M106">
        <f t="shared" si="9"/>
        <v>0.71</v>
      </c>
      <c r="N106">
        <f t="shared" si="9"/>
        <v>0.78</v>
      </c>
    </row>
    <row r="107" spans="1:14" x14ac:dyDescent="0.25">
      <c r="A107" s="59">
        <v>94</v>
      </c>
      <c r="C107">
        <f t="shared" si="6"/>
        <v>0.28200000000000003</v>
      </c>
      <c r="D107">
        <f t="shared" si="7"/>
        <v>0.48120000000000002</v>
      </c>
      <c r="E107">
        <f t="shared" si="5"/>
        <v>0.2102</v>
      </c>
      <c r="F107">
        <f t="shared" si="8"/>
        <v>0.7632000000000001</v>
      </c>
      <c r="G107">
        <f t="shared" si="8"/>
        <v>0.69140000000000001</v>
      </c>
      <c r="J107">
        <v>0.21</v>
      </c>
      <c r="K107">
        <v>0.5</v>
      </c>
      <c r="L107">
        <v>0.28000000000000003</v>
      </c>
      <c r="M107">
        <f t="shared" si="9"/>
        <v>0.71</v>
      </c>
      <c r="N107">
        <f t="shared" si="9"/>
        <v>0.78</v>
      </c>
    </row>
    <row r="108" spans="1:14" x14ac:dyDescent="0.25">
      <c r="A108" s="59">
        <v>95</v>
      </c>
      <c r="C108">
        <f t="shared" si="6"/>
        <v>0.28500000000000003</v>
      </c>
      <c r="D108">
        <f t="shared" si="7"/>
        <v>0.4773</v>
      </c>
      <c r="E108">
        <f t="shared" si="5"/>
        <v>0.21039999999999998</v>
      </c>
      <c r="F108">
        <f t="shared" si="8"/>
        <v>0.76229999999999998</v>
      </c>
      <c r="G108">
        <f t="shared" si="8"/>
        <v>0.68769999999999998</v>
      </c>
      <c r="J108">
        <v>0.21</v>
      </c>
      <c r="K108">
        <v>0.5</v>
      </c>
      <c r="L108">
        <v>0.28000000000000003</v>
      </c>
      <c r="M108">
        <f t="shared" si="9"/>
        <v>0.71</v>
      </c>
      <c r="N108">
        <f t="shared" si="9"/>
        <v>0.78</v>
      </c>
    </row>
    <row r="109" spans="1:14" x14ac:dyDescent="0.25">
      <c r="A109" s="59">
        <v>91</v>
      </c>
      <c r="C109">
        <f t="shared" si="6"/>
        <v>0.27300000000000002</v>
      </c>
      <c r="D109">
        <f t="shared" si="7"/>
        <v>0.4929</v>
      </c>
      <c r="E109">
        <f t="shared" si="5"/>
        <v>0.20959999999999998</v>
      </c>
      <c r="F109">
        <f t="shared" si="8"/>
        <v>0.76590000000000003</v>
      </c>
      <c r="G109">
        <f t="shared" si="8"/>
        <v>0.70250000000000001</v>
      </c>
      <c r="J109">
        <v>0.21</v>
      </c>
      <c r="K109">
        <v>0.5</v>
      </c>
      <c r="L109">
        <v>0.28000000000000003</v>
      </c>
      <c r="M109">
        <f t="shared" si="9"/>
        <v>0.71</v>
      </c>
      <c r="N109">
        <f t="shared" si="9"/>
        <v>0.78</v>
      </c>
    </row>
    <row r="110" spans="1:14" x14ac:dyDescent="0.25">
      <c r="A110" s="59">
        <v>92</v>
      </c>
      <c r="C110">
        <f t="shared" si="6"/>
        <v>0.27600000000000002</v>
      </c>
      <c r="D110">
        <f t="shared" si="7"/>
        <v>0.48899999999999999</v>
      </c>
      <c r="E110">
        <f t="shared" si="5"/>
        <v>0.20979999999999999</v>
      </c>
      <c r="F110">
        <f t="shared" si="8"/>
        <v>0.76500000000000001</v>
      </c>
      <c r="G110">
        <f t="shared" si="8"/>
        <v>0.69879999999999998</v>
      </c>
      <c r="J110">
        <v>0.21</v>
      </c>
      <c r="K110">
        <v>0.5</v>
      </c>
      <c r="L110">
        <v>0.28000000000000003</v>
      </c>
      <c r="M110">
        <f t="shared" si="9"/>
        <v>0.71</v>
      </c>
      <c r="N110">
        <f t="shared" si="9"/>
        <v>0.78</v>
      </c>
    </row>
    <row r="111" spans="1:14" x14ac:dyDescent="0.25">
      <c r="A111" s="59">
        <v>93</v>
      </c>
      <c r="C111">
        <f t="shared" si="6"/>
        <v>0.27900000000000003</v>
      </c>
      <c r="D111">
        <f t="shared" si="7"/>
        <v>0.48510000000000003</v>
      </c>
      <c r="E111">
        <f t="shared" si="5"/>
        <v>0.21</v>
      </c>
      <c r="F111">
        <f t="shared" si="8"/>
        <v>0.7641</v>
      </c>
      <c r="G111">
        <f t="shared" si="8"/>
        <v>0.69510000000000005</v>
      </c>
      <c r="J111">
        <v>0.21</v>
      </c>
      <c r="K111">
        <v>0.5</v>
      </c>
      <c r="L111">
        <v>0.28000000000000003</v>
      </c>
      <c r="M111">
        <f t="shared" si="9"/>
        <v>0.71</v>
      </c>
      <c r="N111">
        <f t="shared" si="9"/>
        <v>0.78</v>
      </c>
    </row>
    <row r="113" spans="1:14" x14ac:dyDescent="0.25">
      <c r="A113" s="59">
        <v>94</v>
      </c>
      <c r="C113">
        <f t="shared" si="6"/>
        <v>0.28200000000000003</v>
      </c>
      <c r="D113">
        <f t="shared" si="7"/>
        <v>0.48120000000000002</v>
      </c>
      <c r="E113">
        <f t="shared" si="5"/>
        <v>0.2102</v>
      </c>
      <c r="F113">
        <f t="shared" si="8"/>
        <v>0.7632000000000001</v>
      </c>
      <c r="G113">
        <f t="shared" si="8"/>
        <v>0.69140000000000001</v>
      </c>
      <c r="J113">
        <v>0.21</v>
      </c>
      <c r="K113">
        <v>0.5</v>
      </c>
      <c r="L113">
        <v>0.28000000000000003</v>
      </c>
      <c r="M113">
        <f t="shared" si="9"/>
        <v>0.71</v>
      </c>
      <c r="N113">
        <f t="shared" si="9"/>
        <v>0.78</v>
      </c>
    </row>
    <row r="114" spans="1:14" x14ac:dyDescent="0.25">
      <c r="A114" s="59">
        <v>95</v>
      </c>
      <c r="C114">
        <f t="shared" si="6"/>
        <v>0.28500000000000003</v>
      </c>
      <c r="D114">
        <f t="shared" si="7"/>
        <v>0.4773</v>
      </c>
      <c r="E114">
        <f t="shared" si="5"/>
        <v>0.21039999999999998</v>
      </c>
      <c r="F114">
        <f t="shared" si="8"/>
        <v>0.76229999999999998</v>
      </c>
      <c r="G114">
        <f t="shared" si="8"/>
        <v>0.68769999999999998</v>
      </c>
      <c r="J114">
        <v>0.21</v>
      </c>
      <c r="K114">
        <v>0.5</v>
      </c>
      <c r="L114">
        <v>0.28000000000000003</v>
      </c>
      <c r="M114">
        <f t="shared" si="9"/>
        <v>0.71</v>
      </c>
      <c r="N114">
        <f t="shared" si="9"/>
        <v>0.78</v>
      </c>
    </row>
    <row r="115" spans="1:14" x14ac:dyDescent="0.25">
      <c r="A115" s="59">
        <v>101</v>
      </c>
      <c r="C115">
        <f t="shared" si="6"/>
        <v>0.30299999999999999</v>
      </c>
      <c r="D115">
        <f t="shared" si="7"/>
        <v>0.45390000000000003</v>
      </c>
      <c r="E115">
        <f t="shared" si="5"/>
        <v>0.21159999999999998</v>
      </c>
      <c r="F115">
        <f t="shared" si="8"/>
        <v>0.75690000000000002</v>
      </c>
      <c r="G115">
        <f t="shared" si="8"/>
        <v>0.66549999999999998</v>
      </c>
      <c r="J115">
        <v>0.21</v>
      </c>
      <c r="K115">
        <v>0.5</v>
      </c>
      <c r="L115">
        <v>0.28000000000000003</v>
      </c>
      <c r="M115">
        <f t="shared" si="9"/>
        <v>0.71</v>
      </c>
      <c r="N115">
        <f t="shared" si="9"/>
        <v>0.78</v>
      </c>
    </row>
    <row r="116" spans="1:14" x14ac:dyDescent="0.25">
      <c r="A116" s="59">
        <v>102</v>
      </c>
      <c r="C116">
        <f t="shared" si="6"/>
        <v>0.30599999999999999</v>
      </c>
      <c r="D116">
        <f t="shared" si="7"/>
        <v>0.45</v>
      </c>
      <c r="E116">
        <f t="shared" si="5"/>
        <v>0.21179999999999999</v>
      </c>
      <c r="F116">
        <f t="shared" si="8"/>
        <v>0.75600000000000001</v>
      </c>
      <c r="G116">
        <f t="shared" si="8"/>
        <v>0.66179999999999994</v>
      </c>
      <c r="J116">
        <v>0.21</v>
      </c>
      <c r="K116">
        <v>0.5</v>
      </c>
      <c r="L116">
        <v>0.28000000000000003</v>
      </c>
      <c r="M116">
        <f t="shared" si="9"/>
        <v>0.71</v>
      </c>
      <c r="N116">
        <f t="shared" si="9"/>
        <v>0.78</v>
      </c>
    </row>
    <row r="117" spans="1:14" x14ac:dyDescent="0.25">
      <c r="A117" s="59">
        <v>103</v>
      </c>
      <c r="C117">
        <f t="shared" si="6"/>
        <v>0.309</v>
      </c>
      <c r="D117">
        <f t="shared" si="7"/>
        <v>0.4461</v>
      </c>
      <c r="E117">
        <f t="shared" si="5"/>
        <v>0.21199999999999999</v>
      </c>
      <c r="F117">
        <f t="shared" si="8"/>
        <v>0.75509999999999999</v>
      </c>
      <c r="G117">
        <f t="shared" si="8"/>
        <v>0.65810000000000002</v>
      </c>
      <c r="J117">
        <v>0.21</v>
      </c>
      <c r="K117">
        <v>0.5</v>
      </c>
      <c r="L117">
        <v>0.28000000000000003</v>
      </c>
      <c r="M117">
        <f t="shared" si="9"/>
        <v>0.71</v>
      </c>
      <c r="N117">
        <f t="shared" si="9"/>
        <v>0.78</v>
      </c>
    </row>
    <row r="118" spans="1:14" x14ac:dyDescent="0.25">
      <c r="A118" s="59">
        <v>104</v>
      </c>
      <c r="C118">
        <f t="shared" si="6"/>
        <v>0.312</v>
      </c>
      <c r="D118">
        <f t="shared" si="7"/>
        <v>0.44220000000000004</v>
      </c>
      <c r="E118">
        <f t="shared" si="5"/>
        <v>0.2122</v>
      </c>
      <c r="F118">
        <f t="shared" si="8"/>
        <v>0.75419999999999998</v>
      </c>
      <c r="G118">
        <f t="shared" si="8"/>
        <v>0.65440000000000009</v>
      </c>
      <c r="J118">
        <v>0.21</v>
      </c>
      <c r="K118">
        <v>0.5</v>
      </c>
      <c r="L118">
        <v>0.28000000000000003</v>
      </c>
      <c r="M118">
        <f t="shared" si="9"/>
        <v>0.71</v>
      </c>
      <c r="N118">
        <f t="shared" si="9"/>
        <v>0.78</v>
      </c>
    </row>
    <row r="119" spans="1:14" x14ac:dyDescent="0.25">
      <c r="A119" s="59">
        <v>105</v>
      </c>
      <c r="C119">
        <f t="shared" si="6"/>
        <v>0.315</v>
      </c>
      <c r="D119">
        <f t="shared" si="7"/>
        <v>0.43830000000000002</v>
      </c>
      <c r="E119">
        <f t="shared" si="5"/>
        <v>0.21239999999999998</v>
      </c>
      <c r="F119">
        <f t="shared" si="8"/>
        <v>0.75330000000000008</v>
      </c>
      <c r="G119">
        <f t="shared" si="8"/>
        <v>0.65070000000000006</v>
      </c>
      <c r="J119">
        <v>0.21</v>
      </c>
      <c r="K119">
        <v>0.5</v>
      </c>
      <c r="L119">
        <v>0.28000000000000003</v>
      </c>
      <c r="M119">
        <f t="shared" si="9"/>
        <v>0.71</v>
      </c>
      <c r="N119">
        <f t="shared" si="9"/>
        <v>0.78</v>
      </c>
    </row>
    <row r="120" spans="1:14" x14ac:dyDescent="0.25">
      <c r="A120" s="59">
        <v>106</v>
      </c>
      <c r="C120">
        <f t="shared" si="6"/>
        <v>0.318</v>
      </c>
      <c r="D120">
        <f t="shared" si="7"/>
        <v>0.43440000000000001</v>
      </c>
      <c r="E120">
        <f t="shared" si="5"/>
        <v>0.21259999999999998</v>
      </c>
      <c r="F120">
        <f t="shared" si="8"/>
        <v>0.75239999999999996</v>
      </c>
      <c r="G120">
        <f t="shared" si="8"/>
        <v>0.64700000000000002</v>
      </c>
      <c r="J120">
        <v>0.21</v>
      </c>
      <c r="K120">
        <v>0.5</v>
      </c>
      <c r="L120">
        <v>0.28000000000000003</v>
      </c>
      <c r="M120">
        <f t="shared" si="9"/>
        <v>0.71</v>
      </c>
      <c r="N120">
        <f t="shared" si="9"/>
        <v>0.78</v>
      </c>
    </row>
    <row r="121" spans="1:14" x14ac:dyDescent="0.25">
      <c r="A121" s="59">
        <v>107</v>
      </c>
      <c r="C121">
        <f t="shared" si="6"/>
        <v>0.32100000000000001</v>
      </c>
      <c r="D121">
        <f t="shared" si="7"/>
        <v>0.43049999999999999</v>
      </c>
      <c r="E121">
        <f t="shared" si="5"/>
        <v>0.21279999999999999</v>
      </c>
      <c r="F121">
        <f t="shared" si="8"/>
        <v>0.75150000000000006</v>
      </c>
      <c r="G121">
        <f t="shared" si="8"/>
        <v>0.64329999999999998</v>
      </c>
      <c r="J121">
        <v>0.21</v>
      </c>
      <c r="K121">
        <v>0.5</v>
      </c>
      <c r="L121">
        <v>0.28000000000000003</v>
      </c>
      <c r="M121">
        <f t="shared" si="9"/>
        <v>0.71</v>
      </c>
      <c r="N121">
        <f t="shared" si="9"/>
        <v>0.78</v>
      </c>
    </row>
    <row r="122" spans="1:14" x14ac:dyDescent="0.25">
      <c r="A122" s="59">
        <v>108</v>
      </c>
      <c r="C122">
        <f t="shared" si="6"/>
        <v>0.32400000000000001</v>
      </c>
      <c r="D122">
        <f t="shared" si="7"/>
        <v>0.42660000000000003</v>
      </c>
      <c r="E122">
        <f t="shared" si="5"/>
        <v>0.21299999999999999</v>
      </c>
      <c r="F122">
        <f t="shared" si="8"/>
        <v>0.75060000000000004</v>
      </c>
      <c r="G122">
        <f t="shared" si="8"/>
        <v>0.63960000000000006</v>
      </c>
      <c r="J122">
        <v>0.21</v>
      </c>
      <c r="K122">
        <v>0.5</v>
      </c>
      <c r="L122">
        <v>0.28000000000000003</v>
      </c>
      <c r="M122">
        <f t="shared" si="9"/>
        <v>0.71</v>
      </c>
      <c r="N122">
        <f t="shared" si="9"/>
        <v>0.78</v>
      </c>
    </row>
    <row r="123" spans="1:14" x14ac:dyDescent="0.25">
      <c r="A123" s="59">
        <v>109</v>
      </c>
      <c r="C123">
        <f t="shared" si="6"/>
        <v>0.32700000000000001</v>
      </c>
      <c r="D123">
        <f t="shared" si="7"/>
        <v>0.42270000000000002</v>
      </c>
      <c r="E123">
        <f t="shared" si="5"/>
        <v>0.2132</v>
      </c>
      <c r="F123">
        <f t="shared" si="8"/>
        <v>0.74970000000000003</v>
      </c>
      <c r="G123">
        <f t="shared" si="8"/>
        <v>0.63590000000000002</v>
      </c>
      <c r="J123">
        <v>0.21</v>
      </c>
      <c r="K123">
        <v>0.5</v>
      </c>
      <c r="L123">
        <v>0.28000000000000003</v>
      </c>
      <c r="M123">
        <f t="shared" si="9"/>
        <v>0.71</v>
      </c>
      <c r="N123">
        <f t="shared" si="9"/>
        <v>0.78</v>
      </c>
    </row>
    <row r="124" spans="1:14" x14ac:dyDescent="0.25">
      <c r="A124" s="59">
        <v>110</v>
      </c>
      <c r="C124">
        <f t="shared" si="6"/>
        <v>0.33</v>
      </c>
      <c r="D124">
        <f t="shared" si="7"/>
        <v>0.41880000000000001</v>
      </c>
      <c r="E124">
        <f t="shared" si="5"/>
        <v>0.21339999999999998</v>
      </c>
      <c r="F124">
        <f t="shared" si="8"/>
        <v>0.74880000000000002</v>
      </c>
      <c r="G124">
        <f t="shared" si="8"/>
        <v>0.63219999999999998</v>
      </c>
      <c r="J124">
        <v>0.21</v>
      </c>
      <c r="K124">
        <v>0.5</v>
      </c>
      <c r="L124">
        <v>0.28000000000000003</v>
      </c>
      <c r="M124">
        <f t="shared" si="9"/>
        <v>0.71</v>
      </c>
      <c r="N124">
        <f t="shared" si="9"/>
        <v>0.78</v>
      </c>
    </row>
    <row r="125" spans="1:14" x14ac:dyDescent="0.25">
      <c r="A125" s="59">
        <v>111</v>
      </c>
      <c r="C125">
        <f t="shared" si="6"/>
        <v>0.33300000000000002</v>
      </c>
      <c r="D125">
        <f t="shared" si="7"/>
        <v>0.41489999999999999</v>
      </c>
      <c r="E125">
        <f t="shared" si="5"/>
        <v>0.21359999999999998</v>
      </c>
      <c r="F125">
        <f t="shared" si="8"/>
        <v>0.74790000000000001</v>
      </c>
      <c r="G125">
        <f t="shared" si="8"/>
        <v>0.62849999999999995</v>
      </c>
      <c r="J125">
        <v>0.21</v>
      </c>
      <c r="K125">
        <v>0.5</v>
      </c>
      <c r="L125">
        <v>0.28000000000000003</v>
      </c>
      <c r="M125">
        <f t="shared" si="9"/>
        <v>0.71</v>
      </c>
      <c r="N125">
        <f t="shared" si="9"/>
        <v>0.78</v>
      </c>
    </row>
    <row r="126" spans="1:14" x14ac:dyDescent="0.25">
      <c r="A126" s="59">
        <v>112</v>
      </c>
      <c r="C126">
        <f t="shared" si="6"/>
        <v>0.33600000000000002</v>
      </c>
      <c r="D126">
        <f t="shared" si="7"/>
        <v>0.41100000000000003</v>
      </c>
      <c r="E126">
        <f t="shared" si="5"/>
        <v>0.21379999999999999</v>
      </c>
      <c r="F126">
        <f t="shared" si="8"/>
        <v>0.74700000000000011</v>
      </c>
      <c r="G126">
        <f t="shared" si="8"/>
        <v>0.62480000000000002</v>
      </c>
      <c r="J126">
        <v>0.21</v>
      </c>
      <c r="K126">
        <v>0.5</v>
      </c>
      <c r="L126">
        <v>0.28000000000000003</v>
      </c>
      <c r="M126">
        <f t="shared" si="9"/>
        <v>0.71</v>
      </c>
      <c r="N126">
        <f t="shared" si="9"/>
        <v>0.78</v>
      </c>
    </row>
    <row r="127" spans="1:14" x14ac:dyDescent="0.25">
      <c r="A127" s="59">
        <v>113</v>
      </c>
      <c r="C127">
        <f t="shared" si="6"/>
        <v>0.33900000000000002</v>
      </c>
      <c r="D127">
        <f t="shared" si="7"/>
        <v>0.40710000000000002</v>
      </c>
      <c r="E127">
        <f t="shared" si="5"/>
        <v>0.214</v>
      </c>
      <c r="F127">
        <f t="shared" si="8"/>
        <v>0.74609999999999999</v>
      </c>
      <c r="G127">
        <f t="shared" si="8"/>
        <v>0.62109999999999999</v>
      </c>
      <c r="J127">
        <v>0.21</v>
      </c>
      <c r="K127">
        <v>0.5</v>
      </c>
      <c r="L127">
        <v>0.28000000000000003</v>
      </c>
      <c r="M127">
        <f t="shared" si="9"/>
        <v>0.71</v>
      </c>
      <c r="N127">
        <f t="shared" si="9"/>
        <v>0.78</v>
      </c>
    </row>
    <row r="128" spans="1:14" x14ac:dyDescent="0.25">
      <c r="A128" s="59">
        <v>114</v>
      </c>
      <c r="C128">
        <f t="shared" si="6"/>
        <v>0.34200000000000003</v>
      </c>
      <c r="D128">
        <f t="shared" si="7"/>
        <v>0.4032</v>
      </c>
      <c r="E128">
        <f t="shared" si="5"/>
        <v>0.2142</v>
      </c>
      <c r="F128">
        <f t="shared" si="8"/>
        <v>0.74520000000000008</v>
      </c>
      <c r="G128">
        <f t="shared" si="8"/>
        <v>0.61739999999999995</v>
      </c>
      <c r="J128">
        <v>0.21</v>
      </c>
      <c r="K128">
        <v>0.5</v>
      </c>
      <c r="L128">
        <v>0.28000000000000003</v>
      </c>
      <c r="M128">
        <f t="shared" si="9"/>
        <v>0.71</v>
      </c>
      <c r="N128">
        <f t="shared" si="9"/>
        <v>0.78</v>
      </c>
    </row>
    <row r="129" spans="1:14" x14ac:dyDescent="0.25">
      <c r="A129" s="59">
        <v>115</v>
      </c>
      <c r="C129">
        <f t="shared" si="6"/>
        <v>0.34500000000000003</v>
      </c>
      <c r="D129">
        <f t="shared" si="7"/>
        <v>0.39930000000000004</v>
      </c>
      <c r="E129">
        <f t="shared" si="5"/>
        <v>0.21439999999999998</v>
      </c>
      <c r="F129">
        <f t="shared" si="8"/>
        <v>0.74430000000000007</v>
      </c>
      <c r="G129">
        <f t="shared" si="8"/>
        <v>0.61370000000000002</v>
      </c>
      <c r="J129">
        <v>0.21</v>
      </c>
      <c r="K129">
        <v>0.5</v>
      </c>
      <c r="L129">
        <v>0.28000000000000003</v>
      </c>
      <c r="M129">
        <f t="shared" si="9"/>
        <v>0.71</v>
      </c>
      <c r="N129">
        <f t="shared" si="9"/>
        <v>0.78</v>
      </c>
    </row>
    <row r="130" spans="1:14" x14ac:dyDescent="0.25">
      <c r="A130" s="59">
        <v>116</v>
      </c>
      <c r="C130">
        <f t="shared" si="6"/>
        <v>0.34800000000000003</v>
      </c>
      <c r="D130">
        <f t="shared" si="7"/>
        <v>0.39540000000000003</v>
      </c>
      <c r="E130">
        <f t="shared" si="5"/>
        <v>0.21459999999999999</v>
      </c>
      <c r="F130">
        <f t="shared" si="8"/>
        <v>0.74340000000000006</v>
      </c>
      <c r="G130">
        <f t="shared" si="8"/>
        <v>0.61</v>
      </c>
      <c r="J130">
        <v>0.21</v>
      </c>
      <c r="K130">
        <v>0.5</v>
      </c>
      <c r="L130">
        <v>0.28000000000000003</v>
      </c>
      <c r="M130">
        <f t="shared" si="9"/>
        <v>0.71</v>
      </c>
      <c r="N130">
        <f t="shared" si="9"/>
        <v>0.78</v>
      </c>
    </row>
    <row r="131" spans="1:14" x14ac:dyDescent="0.25">
      <c r="A131" s="59">
        <v>117</v>
      </c>
      <c r="C131">
        <f t="shared" si="6"/>
        <v>0.35100000000000003</v>
      </c>
      <c r="D131">
        <f t="shared" si="7"/>
        <v>0.39150000000000001</v>
      </c>
      <c r="E131">
        <f t="shared" si="5"/>
        <v>0.21479999999999999</v>
      </c>
      <c r="F131">
        <f t="shared" si="8"/>
        <v>0.74250000000000005</v>
      </c>
      <c r="G131">
        <f t="shared" si="8"/>
        <v>0.60630000000000006</v>
      </c>
      <c r="J131">
        <v>0.21</v>
      </c>
      <c r="K131">
        <v>0.5</v>
      </c>
      <c r="L131">
        <v>0.28000000000000003</v>
      </c>
      <c r="M131">
        <f t="shared" si="9"/>
        <v>0.71</v>
      </c>
      <c r="N131">
        <f t="shared" si="9"/>
        <v>0.78</v>
      </c>
    </row>
    <row r="132" spans="1:14" x14ac:dyDescent="0.25">
      <c r="A132" s="59">
        <v>118</v>
      </c>
      <c r="C132">
        <f t="shared" si="6"/>
        <v>0.35399999999999998</v>
      </c>
      <c r="D132">
        <f t="shared" si="7"/>
        <v>0.3876</v>
      </c>
      <c r="E132">
        <f t="shared" si="5"/>
        <v>0.215</v>
      </c>
      <c r="F132">
        <f t="shared" si="8"/>
        <v>0.74160000000000004</v>
      </c>
      <c r="G132">
        <f t="shared" si="8"/>
        <v>0.60260000000000002</v>
      </c>
      <c r="J132">
        <v>0.21</v>
      </c>
      <c r="K132">
        <v>0.5</v>
      </c>
      <c r="L132">
        <v>0.28000000000000003</v>
      </c>
      <c r="M132">
        <f t="shared" si="9"/>
        <v>0.71</v>
      </c>
      <c r="N132">
        <f t="shared" si="9"/>
        <v>0.78</v>
      </c>
    </row>
    <row r="133" spans="1:14" x14ac:dyDescent="0.25">
      <c r="A133" s="59">
        <v>119</v>
      </c>
      <c r="C133">
        <f t="shared" si="6"/>
        <v>0.35699999999999998</v>
      </c>
      <c r="D133">
        <f t="shared" si="7"/>
        <v>0.38370000000000004</v>
      </c>
      <c r="E133">
        <f t="shared" si="5"/>
        <v>0.2152</v>
      </c>
      <c r="F133">
        <f t="shared" si="8"/>
        <v>0.74070000000000003</v>
      </c>
      <c r="G133">
        <f t="shared" si="8"/>
        <v>0.59889999999999999</v>
      </c>
      <c r="J133">
        <v>0.21</v>
      </c>
      <c r="K133">
        <v>0.5</v>
      </c>
      <c r="L133">
        <v>0.28000000000000003</v>
      </c>
      <c r="M133">
        <f t="shared" si="9"/>
        <v>0.71</v>
      </c>
      <c r="N133">
        <f t="shared" si="9"/>
        <v>0.78</v>
      </c>
    </row>
    <row r="134" spans="1:14" x14ac:dyDescent="0.25">
      <c r="A134" s="59">
        <v>120</v>
      </c>
      <c r="C134">
        <f t="shared" si="6"/>
        <v>0.36</v>
      </c>
      <c r="D134">
        <f t="shared" si="7"/>
        <v>0.37980000000000003</v>
      </c>
      <c r="E134">
        <f t="shared" si="5"/>
        <v>0.21539999999999998</v>
      </c>
      <c r="F134">
        <f t="shared" si="8"/>
        <v>0.73980000000000001</v>
      </c>
      <c r="G134">
        <f t="shared" si="8"/>
        <v>0.59519999999999995</v>
      </c>
      <c r="J134">
        <v>0.21</v>
      </c>
      <c r="K134">
        <v>0.5</v>
      </c>
      <c r="L134">
        <v>0.28000000000000003</v>
      </c>
      <c r="M134">
        <f t="shared" si="9"/>
        <v>0.71</v>
      </c>
      <c r="N134">
        <f t="shared" si="9"/>
        <v>0.78</v>
      </c>
    </row>
    <row r="135" spans="1:14" x14ac:dyDescent="0.25">
      <c r="A135" s="59">
        <v>121</v>
      </c>
      <c r="C135">
        <f t="shared" si="6"/>
        <v>0.36299999999999999</v>
      </c>
      <c r="D135">
        <f t="shared" si="7"/>
        <v>0.37590000000000001</v>
      </c>
      <c r="E135">
        <f t="shared" si="5"/>
        <v>0.21559999999999999</v>
      </c>
      <c r="F135">
        <f t="shared" si="8"/>
        <v>0.7389</v>
      </c>
      <c r="G135">
        <f t="shared" si="8"/>
        <v>0.59150000000000003</v>
      </c>
      <c r="J135">
        <v>0.21</v>
      </c>
      <c r="K135">
        <v>0.5</v>
      </c>
      <c r="L135">
        <v>0.28000000000000003</v>
      </c>
      <c r="M135">
        <f t="shared" si="9"/>
        <v>0.71</v>
      </c>
      <c r="N135">
        <f t="shared" si="9"/>
        <v>0.78</v>
      </c>
    </row>
    <row r="136" spans="1:14" x14ac:dyDescent="0.25">
      <c r="A136" s="59">
        <v>122</v>
      </c>
      <c r="C136">
        <f t="shared" si="6"/>
        <v>0.36599999999999999</v>
      </c>
      <c r="D136">
        <f t="shared" si="7"/>
        <v>0.372</v>
      </c>
      <c r="E136">
        <f t="shared" si="5"/>
        <v>0.21579999999999999</v>
      </c>
      <c r="F136">
        <f t="shared" si="8"/>
        <v>0.73799999999999999</v>
      </c>
      <c r="G136">
        <f t="shared" si="8"/>
        <v>0.58779999999999999</v>
      </c>
      <c r="J136">
        <v>0.21</v>
      </c>
      <c r="K136">
        <v>0.5</v>
      </c>
      <c r="L136">
        <v>0.28000000000000003</v>
      </c>
      <c r="M136">
        <f t="shared" si="9"/>
        <v>0.71</v>
      </c>
      <c r="N136">
        <f t="shared" si="9"/>
        <v>0.78</v>
      </c>
    </row>
    <row r="137" spans="1:14" x14ac:dyDescent="0.25">
      <c r="A137" s="59">
        <v>123</v>
      </c>
      <c r="C137">
        <f t="shared" si="6"/>
        <v>0.36899999999999999</v>
      </c>
      <c r="D137">
        <f t="shared" si="7"/>
        <v>0.36810000000000004</v>
      </c>
      <c r="E137">
        <f t="shared" ref="E137:E165" si="10">(0.0002*A137)+0.1914</f>
        <v>0.216</v>
      </c>
      <c r="F137">
        <f t="shared" si="8"/>
        <v>0.73710000000000009</v>
      </c>
      <c r="G137">
        <f t="shared" si="8"/>
        <v>0.58410000000000006</v>
      </c>
      <c r="J137">
        <v>0.21</v>
      </c>
      <c r="K137">
        <v>0.5</v>
      </c>
      <c r="L137">
        <v>0.28000000000000003</v>
      </c>
      <c r="M137">
        <f t="shared" si="9"/>
        <v>0.71</v>
      </c>
      <c r="N137">
        <f t="shared" si="9"/>
        <v>0.78</v>
      </c>
    </row>
    <row r="138" spans="1:14" x14ac:dyDescent="0.25">
      <c r="A138" s="59">
        <v>124</v>
      </c>
      <c r="C138">
        <f t="shared" si="6"/>
        <v>0.372</v>
      </c>
      <c r="D138">
        <f t="shared" si="7"/>
        <v>0.36420000000000002</v>
      </c>
      <c r="E138">
        <f t="shared" si="10"/>
        <v>0.2162</v>
      </c>
      <c r="F138">
        <f t="shared" si="8"/>
        <v>0.73619999999999997</v>
      </c>
      <c r="G138">
        <f t="shared" si="8"/>
        <v>0.58040000000000003</v>
      </c>
      <c r="J138">
        <v>0.21</v>
      </c>
      <c r="K138">
        <v>0.5</v>
      </c>
      <c r="L138">
        <v>0.28000000000000003</v>
      </c>
      <c r="M138">
        <f t="shared" si="9"/>
        <v>0.71</v>
      </c>
      <c r="N138">
        <f t="shared" si="9"/>
        <v>0.78</v>
      </c>
    </row>
    <row r="139" spans="1:14" x14ac:dyDescent="0.25">
      <c r="A139" s="59">
        <v>125</v>
      </c>
      <c r="C139">
        <f t="shared" si="6"/>
        <v>0.375</v>
      </c>
      <c r="D139">
        <f t="shared" si="7"/>
        <v>0.36030000000000001</v>
      </c>
      <c r="E139">
        <f t="shared" si="10"/>
        <v>0.21639999999999998</v>
      </c>
      <c r="F139">
        <f t="shared" si="8"/>
        <v>0.73530000000000006</v>
      </c>
      <c r="G139">
        <f t="shared" si="8"/>
        <v>0.57669999999999999</v>
      </c>
      <c r="J139">
        <v>0.21</v>
      </c>
      <c r="K139">
        <v>0.5</v>
      </c>
      <c r="L139">
        <v>0.28000000000000003</v>
      </c>
      <c r="M139">
        <f t="shared" si="9"/>
        <v>0.71</v>
      </c>
      <c r="N139">
        <f t="shared" si="9"/>
        <v>0.78</v>
      </c>
    </row>
    <row r="140" spans="1:14" x14ac:dyDescent="0.25">
      <c r="A140" s="59">
        <v>126</v>
      </c>
      <c r="C140">
        <f t="shared" si="6"/>
        <v>0.378</v>
      </c>
      <c r="D140">
        <f t="shared" si="7"/>
        <v>0.35639999999999999</v>
      </c>
      <c r="E140">
        <f t="shared" si="10"/>
        <v>0.21659999999999999</v>
      </c>
      <c r="F140">
        <f t="shared" si="8"/>
        <v>0.73439999999999994</v>
      </c>
      <c r="G140">
        <f t="shared" si="8"/>
        <v>0.57299999999999995</v>
      </c>
      <c r="J140">
        <v>0.21</v>
      </c>
      <c r="K140">
        <v>0.5</v>
      </c>
      <c r="L140">
        <v>0.28000000000000003</v>
      </c>
      <c r="M140">
        <f t="shared" si="9"/>
        <v>0.71</v>
      </c>
      <c r="N140">
        <f t="shared" si="9"/>
        <v>0.78</v>
      </c>
    </row>
    <row r="141" spans="1:14" x14ac:dyDescent="0.25">
      <c r="A141" s="59">
        <v>127</v>
      </c>
      <c r="C141">
        <f t="shared" si="6"/>
        <v>0.38100000000000001</v>
      </c>
      <c r="D141">
        <f t="shared" si="7"/>
        <v>0.35250000000000004</v>
      </c>
      <c r="E141">
        <f t="shared" si="10"/>
        <v>0.21679999999999999</v>
      </c>
      <c r="F141">
        <f t="shared" si="8"/>
        <v>0.73350000000000004</v>
      </c>
      <c r="G141">
        <f t="shared" si="8"/>
        <v>0.56930000000000003</v>
      </c>
      <c r="J141">
        <v>0.21</v>
      </c>
      <c r="K141">
        <v>0.5</v>
      </c>
      <c r="L141">
        <v>0.28000000000000003</v>
      </c>
      <c r="M141">
        <f t="shared" si="9"/>
        <v>0.71</v>
      </c>
      <c r="N141">
        <f t="shared" si="9"/>
        <v>0.78</v>
      </c>
    </row>
    <row r="142" spans="1:14" x14ac:dyDescent="0.25">
      <c r="A142" s="59">
        <v>128</v>
      </c>
      <c r="C142">
        <f t="shared" si="6"/>
        <v>0.38400000000000001</v>
      </c>
      <c r="D142">
        <f t="shared" si="7"/>
        <v>0.34860000000000002</v>
      </c>
      <c r="E142">
        <f t="shared" si="10"/>
        <v>0.217</v>
      </c>
      <c r="F142">
        <f t="shared" si="8"/>
        <v>0.73260000000000003</v>
      </c>
      <c r="G142">
        <f t="shared" si="8"/>
        <v>0.56559999999999999</v>
      </c>
      <c r="J142">
        <v>0.21</v>
      </c>
      <c r="K142">
        <v>0.5</v>
      </c>
      <c r="L142">
        <v>0.28000000000000003</v>
      </c>
      <c r="M142">
        <f t="shared" si="9"/>
        <v>0.71</v>
      </c>
      <c r="N142">
        <f t="shared" si="9"/>
        <v>0.78</v>
      </c>
    </row>
    <row r="143" spans="1:14" x14ac:dyDescent="0.25">
      <c r="A143" s="59">
        <v>129</v>
      </c>
      <c r="C143">
        <f t="shared" ref="C143:C165" si="11">((0.003)*A143)</f>
        <v>0.38700000000000001</v>
      </c>
      <c r="D143">
        <f t="shared" ref="D143:D165" si="12">((-0.0039)*A143)+0.8478</f>
        <v>0.34470000000000001</v>
      </c>
      <c r="E143">
        <f t="shared" si="10"/>
        <v>0.21719999999999998</v>
      </c>
      <c r="F143">
        <f t="shared" ref="F143:G165" si="13">C143+D143</f>
        <v>0.73170000000000002</v>
      </c>
      <c r="G143">
        <f t="shared" si="13"/>
        <v>0.56189999999999996</v>
      </c>
      <c r="J143">
        <v>0.21</v>
      </c>
      <c r="K143">
        <v>0.5</v>
      </c>
      <c r="L143">
        <v>0.28000000000000003</v>
      </c>
      <c r="M143">
        <f t="shared" ref="M143:N165" si="14">J143+K143</f>
        <v>0.71</v>
      </c>
      <c r="N143">
        <f t="shared" si="14"/>
        <v>0.78</v>
      </c>
    </row>
    <row r="144" spans="1:14" x14ac:dyDescent="0.25">
      <c r="A144" s="59">
        <v>130</v>
      </c>
      <c r="C144">
        <f t="shared" si="11"/>
        <v>0.39</v>
      </c>
      <c r="D144">
        <f t="shared" si="12"/>
        <v>0.34079999999999999</v>
      </c>
      <c r="E144">
        <f t="shared" si="10"/>
        <v>0.21739999999999998</v>
      </c>
      <c r="F144">
        <f t="shared" si="13"/>
        <v>0.73080000000000001</v>
      </c>
      <c r="G144">
        <f t="shared" si="13"/>
        <v>0.55820000000000003</v>
      </c>
      <c r="J144">
        <v>0.21</v>
      </c>
      <c r="K144">
        <v>0.5</v>
      </c>
      <c r="L144">
        <v>0.28000000000000003</v>
      </c>
      <c r="M144">
        <f t="shared" si="14"/>
        <v>0.71</v>
      </c>
      <c r="N144">
        <f t="shared" si="14"/>
        <v>0.78</v>
      </c>
    </row>
    <row r="145" spans="1:14" x14ac:dyDescent="0.25">
      <c r="A145" s="59">
        <v>131</v>
      </c>
      <c r="C145">
        <f t="shared" si="11"/>
        <v>0.39300000000000002</v>
      </c>
      <c r="D145">
        <f t="shared" si="12"/>
        <v>0.33689999999999998</v>
      </c>
      <c r="E145">
        <f t="shared" si="10"/>
        <v>0.21759999999999999</v>
      </c>
      <c r="F145">
        <f t="shared" si="13"/>
        <v>0.72989999999999999</v>
      </c>
      <c r="G145">
        <f t="shared" si="13"/>
        <v>0.55449999999999999</v>
      </c>
      <c r="J145">
        <v>0.21</v>
      </c>
      <c r="K145">
        <v>0.5</v>
      </c>
      <c r="L145">
        <v>0.28000000000000003</v>
      </c>
      <c r="M145">
        <f t="shared" si="14"/>
        <v>0.71</v>
      </c>
      <c r="N145">
        <f t="shared" si="14"/>
        <v>0.78</v>
      </c>
    </row>
    <row r="146" spans="1:14" x14ac:dyDescent="0.25">
      <c r="A146" s="59">
        <v>132</v>
      </c>
      <c r="C146">
        <f t="shared" si="11"/>
        <v>0.39600000000000002</v>
      </c>
      <c r="D146">
        <f t="shared" si="12"/>
        <v>0.33300000000000007</v>
      </c>
      <c r="E146">
        <f t="shared" si="10"/>
        <v>0.21779999999999999</v>
      </c>
      <c r="F146">
        <f t="shared" si="13"/>
        <v>0.72900000000000009</v>
      </c>
      <c r="G146">
        <f t="shared" si="13"/>
        <v>0.55080000000000007</v>
      </c>
      <c r="J146">
        <v>0.21</v>
      </c>
      <c r="K146">
        <v>0.5</v>
      </c>
      <c r="L146">
        <v>0.28000000000000003</v>
      </c>
      <c r="M146">
        <f t="shared" si="14"/>
        <v>0.71</v>
      </c>
      <c r="N146">
        <f t="shared" si="14"/>
        <v>0.78</v>
      </c>
    </row>
    <row r="147" spans="1:14" x14ac:dyDescent="0.25">
      <c r="A147" s="59">
        <v>133</v>
      </c>
      <c r="C147">
        <f t="shared" si="11"/>
        <v>0.39900000000000002</v>
      </c>
      <c r="D147">
        <f t="shared" si="12"/>
        <v>0.32910000000000006</v>
      </c>
      <c r="E147">
        <f t="shared" si="10"/>
        <v>0.218</v>
      </c>
      <c r="F147">
        <f t="shared" si="13"/>
        <v>0.72810000000000008</v>
      </c>
      <c r="G147">
        <f t="shared" si="13"/>
        <v>0.54710000000000003</v>
      </c>
      <c r="J147">
        <v>0.21</v>
      </c>
      <c r="K147">
        <v>0.5</v>
      </c>
      <c r="L147">
        <v>0.28000000000000003</v>
      </c>
      <c r="M147">
        <f t="shared" si="14"/>
        <v>0.71</v>
      </c>
      <c r="N147">
        <f t="shared" si="14"/>
        <v>0.78</v>
      </c>
    </row>
    <row r="148" spans="1:14" x14ac:dyDescent="0.25">
      <c r="A148" s="59">
        <v>134</v>
      </c>
      <c r="C148">
        <f t="shared" si="11"/>
        <v>0.40200000000000002</v>
      </c>
      <c r="D148">
        <f t="shared" si="12"/>
        <v>0.32520000000000004</v>
      </c>
      <c r="E148">
        <f t="shared" si="10"/>
        <v>0.21819999999999998</v>
      </c>
      <c r="F148">
        <f t="shared" si="13"/>
        <v>0.72720000000000007</v>
      </c>
      <c r="G148">
        <f t="shared" si="13"/>
        <v>0.54339999999999999</v>
      </c>
      <c r="J148">
        <v>0.21</v>
      </c>
      <c r="K148">
        <v>0.5</v>
      </c>
      <c r="L148">
        <v>0.28000000000000003</v>
      </c>
      <c r="M148">
        <f t="shared" si="14"/>
        <v>0.71</v>
      </c>
      <c r="N148">
        <f t="shared" si="14"/>
        <v>0.78</v>
      </c>
    </row>
    <row r="149" spans="1:14" x14ac:dyDescent="0.25">
      <c r="A149" s="59">
        <v>135</v>
      </c>
      <c r="C149">
        <f t="shared" si="11"/>
        <v>0.40500000000000003</v>
      </c>
      <c r="D149">
        <f t="shared" si="12"/>
        <v>0.32130000000000003</v>
      </c>
      <c r="E149">
        <f t="shared" si="10"/>
        <v>0.21839999999999998</v>
      </c>
      <c r="F149">
        <f t="shared" si="13"/>
        <v>0.72630000000000006</v>
      </c>
      <c r="G149">
        <f t="shared" si="13"/>
        <v>0.53970000000000007</v>
      </c>
      <c r="J149">
        <v>0.21</v>
      </c>
      <c r="K149">
        <v>0.5</v>
      </c>
      <c r="L149">
        <v>0.28000000000000003</v>
      </c>
      <c r="M149">
        <f t="shared" si="14"/>
        <v>0.71</v>
      </c>
      <c r="N149">
        <f t="shared" si="14"/>
        <v>0.78</v>
      </c>
    </row>
    <row r="150" spans="1:14" x14ac:dyDescent="0.25">
      <c r="A150" s="59">
        <v>136</v>
      </c>
      <c r="C150">
        <f t="shared" si="11"/>
        <v>0.40800000000000003</v>
      </c>
      <c r="D150">
        <f t="shared" si="12"/>
        <v>0.31740000000000002</v>
      </c>
      <c r="E150">
        <f t="shared" si="10"/>
        <v>0.21859999999999999</v>
      </c>
      <c r="F150">
        <f t="shared" si="13"/>
        <v>0.72540000000000004</v>
      </c>
      <c r="G150">
        <f t="shared" si="13"/>
        <v>0.53600000000000003</v>
      </c>
      <c r="J150">
        <v>0.21</v>
      </c>
      <c r="K150">
        <v>0.5</v>
      </c>
      <c r="L150">
        <v>0.28000000000000003</v>
      </c>
      <c r="M150">
        <f t="shared" si="14"/>
        <v>0.71</v>
      </c>
      <c r="N150">
        <f t="shared" si="14"/>
        <v>0.78</v>
      </c>
    </row>
    <row r="151" spans="1:14" x14ac:dyDescent="0.25">
      <c r="A151" s="59">
        <v>137</v>
      </c>
      <c r="C151">
        <f t="shared" si="11"/>
        <v>0.41100000000000003</v>
      </c>
      <c r="D151">
        <f t="shared" si="12"/>
        <v>0.3135</v>
      </c>
      <c r="E151">
        <f t="shared" si="10"/>
        <v>0.21879999999999999</v>
      </c>
      <c r="F151">
        <f t="shared" si="13"/>
        <v>0.72450000000000003</v>
      </c>
      <c r="G151">
        <f t="shared" si="13"/>
        <v>0.5323</v>
      </c>
      <c r="J151">
        <v>0.21</v>
      </c>
      <c r="K151">
        <v>0.5</v>
      </c>
      <c r="L151">
        <v>0.28000000000000003</v>
      </c>
      <c r="M151">
        <f t="shared" si="14"/>
        <v>0.71</v>
      </c>
      <c r="N151">
        <f t="shared" si="14"/>
        <v>0.78</v>
      </c>
    </row>
    <row r="152" spans="1:14" x14ac:dyDescent="0.25">
      <c r="A152" s="59">
        <v>138</v>
      </c>
      <c r="C152">
        <f t="shared" si="11"/>
        <v>0.41400000000000003</v>
      </c>
      <c r="D152">
        <f t="shared" si="12"/>
        <v>0.30959999999999999</v>
      </c>
      <c r="E152">
        <f t="shared" si="10"/>
        <v>0.219</v>
      </c>
      <c r="F152">
        <f t="shared" si="13"/>
        <v>0.72360000000000002</v>
      </c>
      <c r="G152">
        <f t="shared" si="13"/>
        <v>0.52859999999999996</v>
      </c>
      <c r="J152">
        <v>0.21</v>
      </c>
      <c r="K152">
        <v>0.5</v>
      </c>
      <c r="L152">
        <v>0.28000000000000003</v>
      </c>
      <c r="M152">
        <f t="shared" si="14"/>
        <v>0.71</v>
      </c>
      <c r="N152">
        <f t="shared" si="14"/>
        <v>0.78</v>
      </c>
    </row>
    <row r="153" spans="1:14" x14ac:dyDescent="0.25">
      <c r="A153" s="59">
        <v>139</v>
      </c>
      <c r="C153">
        <f t="shared" si="11"/>
        <v>0.41699999999999998</v>
      </c>
      <c r="D153">
        <f t="shared" si="12"/>
        <v>0.30569999999999997</v>
      </c>
      <c r="E153">
        <f t="shared" si="10"/>
        <v>0.21919999999999998</v>
      </c>
      <c r="F153">
        <f t="shared" si="13"/>
        <v>0.7226999999999999</v>
      </c>
      <c r="G153">
        <f t="shared" si="13"/>
        <v>0.52489999999999992</v>
      </c>
      <c r="J153">
        <v>0.21</v>
      </c>
      <c r="K153">
        <v>0.5</v>
      </c>
      <c r="L153">
        <v>0.28000000000000003</v>
      </c>
      <c r="M153">
        <f t="shared" si="14"/>
        <v>0.71</v>
      </c>
      <c r="N153">
        <f t="shared" si="14"/>
        <v>0.78</v>
      </c>
    </row>
    <row r="154" spans="1:14" x14ac:dyDescent="0.25">
      <c r="A154" s="59">
        <v>140</v>
      </c>
      <c r="C154">
        <f t="shared" si="11"/>
        <v>0.42</v>
      </c>
      <c r="D154">
        <f t="shared" si="12"/>
        <v>0.30180000000000007</v>
      </c>
      <c r="E154">
        <f t="shared" si="10"/>
        <v>0.21939999999999998</v>
      </c>
      <c r="F154">
        <f t="shared" si="13"/>
        <v>0.7218</v>
      </c>
      <c r="G154">
        <f t="shared" si="13"/>
        <v>0.52120000000000011</v>
      </c>
      <c r="J154">
        <v>0.21</v>
      </c>
      <c r="K154">
        <v>0.5</v>
      </c>
      <c r="L154">
        <v>0.28000000000000003</v>
      </c>
      <c r="M154">
        <f t="shared" si="14"/>
        <v>0.71</v>
      </c>
      <c r="N154">
        <f t="shared" si="14"/>
        <v>0.78</v>
      </c>
    </row>
    <row r="155" spans="1:14" x14ac:dyDescent="0.25">
      <c r="A155" s="59">
        <v>141</v>
      </c>
      <c r="C155">
        <f t="shared" si="11"/>
        <v>0.42299999999999999</v>
      </c>
      <c r="D155">
        <f t="shared" si="12"/>
        <v>0.29790000000000005</v>
      </c>
      <c r="E155">
        <f t="shared" si="10"/>
        <v>0.21959999999999999</v>
      </c>
      <c r="F155">
        <f t="shared" si="13"/>
        <v>0.7209000000000001</v>
      </c>
      <c r="G155">
        <f t="shared" si="13"/>
        <v>0.51750000000000007</v>
      </c>
      <c r="J155">
        <v>0.21</v>
      </c>
      <c r="K155">
        <v>0.5</v>
      </c>
      <c r="L155">
        <v>0.28000000000000003</v>
      </c>
      <c r="M155">
        <f t="shared" si="14"/>
        <v>0.71</v>
      </c>
      <c r="N155">
        <f t="shared" si="14"/>
        <v>0.78</v>
      </c>
    </row>
    <row r="156" spans="1:14" x14ac:dyDescent="0.25">
      <c r="A156" s="59">
        <v>142</v>
      </c>
      <c r="C156">
        <f t="shared" si="11"/>
        <v>0.42599999999999999</v>
      </c>
      <c r="D156">
        <f t="shared" si="12"/>
        <v>0.29400000000000004</v>
      </c>
      <c r="E156">
        <f t="shared" si="10"/>
        <v>0.2198</v>
      </c>
      <c r="F156">
        <f t="shared" si="13"/>
        <v>0.72</v>
      </c>
      <c r="G156">
        <f t="shared" si="13"/>
        <v>0.51380000000000003</v>
      </c>
      <c r="J156">
        <v>0.21</v>
      </c>
      <c r="K156">
        <v>0.5</v>
      </c>
      <c r="L156">
        <v>0.28000000000000003</v>
      </c>
      <c r="M156">
        <f t="shared" si="14"/>
        <v>0.71</v>
      </c>
      <c r="N156">
        <f t="shared" si="14"/>
        <v>0.78</v>
      </c>
    </row>
    <row r="157" spans="1:14" x14ac:dyDescent="0.25">
      <c r="A157" s="59">
        <v>143</v>
      </c>
      <c r="C157">
        <f t="shared" si="11"/>
        <v>0.42899999999999999</v>
      </c>
      <c r="D157">
        <f t="shared" si="12"/>
        <v>0.29010000000000002</v>
      </c>
      <c r="E157">
        <f t="shared" si="10"/>
        <v>0.21999999999999997</v>
      </c>
      <c r="F157">
        <f t="shared" si="13"/>
        <v>0.71910000000000007</v>
      </c>
      <c r="G157">
        <f t="shared" si="13"/>
        <v>0.5101</v>
      </c>
      <c r="J157">
        <v>0.21</v>
      </c>
      <c r="K157">
        <v>0.5</v>
      </c>
      <c r="L157">
        <v>0.28000000000000003</v>
      </c>
      <c r="M157">
        <f t="shared" si="14"/>
        <v>0.71</v>
      </c>
      <c r="N157">
        <f t="shared" si="14"/>
        <v>0.78</v>
      </c>
    </row>
    <row r="158" spans="1:14" x14ac:dyDescent="0.25">
      <c r="A158" s="59">
        <v>144</v>
      </c>
      <c r="C158">
        <f t="shared" si="11"/>
        <v>0.432</v>
      </c>
      <c r="D158">
        <f t="shared" si="12"/>
        <v>0.28620000000000001</v>
      </c>
      <c r="E158">
        <f t="shared" si="10"/>
        <v>0.22019999999999998</v>
      </c>
      <c r="F158">
        <f t="shared" si="13"/>
        <v>0.71819999999999995</v>
      </c>
      <c r="G158">
        <f t="shared" si="13"/>
        <v>0.50639999999999996</v>
      </c>
      <c r="J158">
        <v>0.21</v>
      </c>
      <c r="K158">
        <v>0.5</v>
      </c>
      <c r="L158">
        <v>0.28000000000000003</v>
      </c>
      <c r="M158">
        <f t="shared" si="14"/>
        <v>0.71</v>
      </c>
      <c r="N158">
        <f t="shared" si="14"/>
        <v>0.78</v>
      </c>
    </row>
    <row r="159" spans="1:14" x14ac:dyDescent="0.25">
      <c r="A159" s="59">
        <v>145</v>
      </c>
      <c r="C159">
        <f t="shared" si="11"/>
        <v>0.435</v>
      </c>
      <c r="D159">
        <f t="shared" si="12"/>
        <v>0.2823</v>
      </c>
      <c r="E159">
        <f t="shared" si="10"/>
        <v>0.22039999999999998</v>
      </c>
      <c r="F159">
        <f t="shared" si="13"/>
        <v>0.71730000000000005</v>
      </c>
      <c r="G159">
        <f t="shared" si="13"/>
        <v>0.50269999999999992</v>
      </c>
      <c r="J159">
        <v>0.21</v>
      </c>
      <c r="K159">
        <v>0.5</v>
      </c>
      <c r="L159">
        <v>0.28000000000000003</v>
      </c>
      <c r="M159">
        <f t="shared" si="14"/>
        <v>0.71</v>
      </c>
      <c r="N159">
        <f t="shared" si="14"/>
        <v>0.78</v>
      </c>
    </row>
    <row r="160" spans="1:14" x14ac:dyDescent="0.25">
      <c r="A160" s="59">
        <v>146</v>
      </c>
      <c r="C160">
        <f t="shared" si="11"/>
        <v>0.438</v>
      </c>
      <c r="D160">
        <f t="shared" si="12"/>
        <v>0.27839999999999998</v>
      </c>
      <c r="E160">
        <f t="shared" si="10"/>
        <v>0.22059999999999999</v>
      </c>
      <c r="F160">
        <f t="shared" si="13"/>
        <v>0.71639999999999993</v>
      </c>
      <c r="G160">
        <f t="shared" si="13"/>
        <v>0.499</v>
      </c>
      <c r="J160">
        <v>0.21</v>
      </c>
      <c r="K160">
        <v>0.5</v>
      </c>
      <c r="L160">
        <v>0.28000000000000003</v>
      </c>
      <c r="M160">
        <f t="shared" si="14"/>
        <v>0.71</v>
      </c>
      <c r="N160">
        <f t="shared" si="14"/>
        <v>0.78</v>
      </c>
    </row>
    <row r="161" spans="1:14" x14ac:dyDescent="0.25">
      <c r="A161" s="59">
        <v>147</v>
      </c>
      <c r="C161">
        <f t="shared" si="11"/>
        <v>0.441</v>
      </c>
      <c r="D161">
        <f t="shared" si="12"/>
        <v>0.27450000000000008</v>
      </c>
      <c r="E161">
        <f t="shared" si="10"/>
        <v>0.2208</v>
      </c>
      <c r="F161">
        <f t="shared" si="13"/>
        <v>0.71550000000000002</v>
      </c>
      <c r="G161">
        <f t="shared" si="13"/>
        <v>0.49530000000000007</v>
      </c>
      <c r="J161">
        <v>0.21</v>
      </c>
      <c r="K161">
        <v>0.5</v>
      </c>
      <c r="L161">
        <v>0.28000000000000003</v>
      </c>
      <c r="M161">
        <f t="shared" si="14"/>
        <v>0.71</v>
      </c>
      <c r="N161">
        <f t="shared" si="14"/>
        <v>0.78</v>
      </c>
    </row>
    <row r="162" spans="1:14" x14ac:dyDescent="0.25">
      <c r="A162" s="59">
        <v>148</v>
      </c>
      <c r="C162">
        <f t="shared" si="11"/>
        <v>0.44400000000000001</v>
      </c>
      <c r="D162">
        <f t="shared" si="12"/>
        <v>0.27060000000000006</v>
      </c>
      <c r="E162">
        <f t="shared" si="10"/>
        <v>0.22099999999999997</v>
      </c>
      <c r="F162">
        <f t="shared" si="13"/>
        <v>0.71460000000000012</v>
      </c>
      <c r="G162">
        <f t="shared" si="13"/>
        <v>0.49160000000000004</v>
      </c>
      <c r="J162">
        <v>0.21</v>
      </c>
      <c r="K162">
        <v>0.5</v>
      </c>
      <c r="L162">
        <v>0.28000000000000003</v>
      </c>
      <c r="M162">
        <f t="shared" si="14"/>
        <v>0.71</v>
      </c>
      <c r="N162">
        <f t="shared" si="14"/>
        <v>0.78</v>
      </c>
    </row>
    <row r="163" spans="1:14" x14ac:dyDescent="0.25">
      <c r="A163" s="59">
        <v>149</v>
      </c>
      <c r="C163">
        <f t="shared" si="11"/>
        <v>0.44700000000000001</v>
      </c>
      <c r="D163">
        <f t="shared" si="12"/>
        <v>0.26670000000000005</v>
      </c>
      <c r="E163">
        <f t="shared" si="10"/>
        <v>0.22119999999999998</v>
      </c>
      <c r="F163">
        <f t="shared" si="13"/>
        <v>0.7137</v>
      </c>
      <c r="G163">
        <f t="shared" si="13"/>
        <v>0.4879</v>
      </c>
      <c r="J163">
        <v>0.21</v>
      </c>
      <c r="K163">
        <v>0.5</v>
      </c>
      <c r="L163">
        <v>0.28000000000000003</v>
      </c>
      <c r="M163">
        <f t="shared" si="14"/>
        <v>0.71</v>
      </c>
      <c r="N163">
        <f t="shared" si="14"/>
        <v>0.78</v>
      </c>
    </row>
    <row r="164" spans="1:14" x14ac:dyDescent="0.25">
      <c r="A164" s="59">
        <v>150</v>
      </c>
      <c r="C164">
        <f t="shared" si="11"/>
        <v>0.45</v>
      </c>
      <c r="D164">
        <f t="shared" si="12"/>
        <v>0.26280000000000003</v>
      </c>
      <c r="E164">
        <f t="shared" si="10"/>
        <v>0.22139999999999999</v>
      </c>
      <c r="F164">
        <f t="shared" si="13"/>
        <v>0.7128000000000001</v>
      </c>
      <c r="G164">
        <f t="shared" si="13"/>
        <v>0.48420000000000002</v>
      </c>
      <c r="J164">
        <v>0.21</v>
      </c>
      <c r="K164">
        <v>0.5</v>
      </c>
      <c r="L164">
        <v>0.28000000000000003</v>
      </c>
      <c r="M164">
        <f t="shared" si="14"/>
        <v>0.71</v>
      </c>
      <c r="N164">
        <f t="shared" si="14"/>
        <v>0.78</v>
      </c>
    </row>
    <row r="165" spans="1:14" x14ac:dyDescent="0.25">
      <c r="A165" s="59">
        <v>151</v>
      </c>
      <c r="C165">
        <f t="shared" si="11"/>
        <v>0.45300000000000001</v>
      </c>
      <c r="D165">
        <f t="shared" si="12"/>
        <v>0.25890000000000002</v>
      </c>
      <c r="E165">
        <f t="shared" si="10"/>
        <v>0.22159999999999999</v>
      </c>
      <c r="F165">
        <f t="shared" si="13"/>
        <v>0.71189999999999998</v>
      </c>
      <c r="G165">
        <f t="shared" si="13"/>
        <v>0.48050000000000004</v>
      </c>
      <c r="J165">
        <v>0.21</v>
      </c>
      <c r="K165">
        <v>0.5</v>
      </c>
      <c r="L165">
        <v>0.28000000000000003</v>
      </c>
      <c r="M165">
        <f t="shared" si="14"/>
        <v>0.71</v>
      </c>
      <c r="N165">
        <f t="shared" si="14"/>
        <v>0.78</v>
      </c>
    </row>
  </sheetData>
  <mergeCells count="2">
    <mergeCell ref="C1:F1"/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5DB8-910B-0249-B12E-756A70374389}">
  <dimension ref="A1:G162"/>
  <sheetViews>
    <sheetView topLeftCell="D2" zoomScale="110" zoomScaleNormal="110" workbookViewId="0">
      <selection activeCell="F16" sqref="F16"/>
    </sheetView>
  </sheetViews>
  <sheetFormatPr defaultColWidth="11.5546875" defaultRowHeight="17.399999999999999" x14ac:dyDescent="0.3"/>
  <cols>
    <col min="1" max="3" width="10.6640625"/>
    <col min="5" max="5" width="13" style="339" customWidth="1"/>
    <col min="6" max="7" width="21.6640625" style="327" customWidth="1"/>
  </cols>
  <sheetData>
    <row r="1" spans="1:7" x14ac:dyDescent="0.3">
      <c r="B1" s="75"/>
    </row>
    <row r="2" spans="1:7" x14ac:dyDescent="0.3">
      <c r="A2" s="75"/>
      <c r="B2" s="75"/>
      <c r="C2" s="75"/>
    </row>
    <row r="4" spans="1:7" x14ac:dyDescent="0.3">
      <c r="F4" s="399" t="s">
        <v>154</v>
      </c>
      <c r="G4" s="399"/>
    </row>
    <row r="5" spans="1:7" x14ac:dyDescent="0.3">
      <c r="E5" s="342" t="s">
        <v>120</v>
      </c>
    </row>
    <row r="6" spans="1:7" x14ac:dyDescent="0.3">
      <c r="E6" s="344">
        <v>1</v>
      </c>
      <c r="F6" s="347">
        <f t="shared" ref="F6:F69" si="0">E6*0.009</f>
        <v>8.9999999999999993E-3</v>
      </c>
      <c r="G6" s="345"/>
    </row>
    <row r="7" spans="1:7" x14ac:dyDescent="0.3">
      <c r="E7" s="344">
        <v>2</v>
      </c>
      <c r="F7" s="348">
        <f t="shared" si="0"/>
        <v>1.7999999999999999E-2</v>
      </c>
      <c r="G7" s="343"/>
    </row>
    <row r="8" spans="1:7" x14ac:dyDescent="0.3">
      <c r="E8" s="344">
        <v>3</v>
      </c>
      <c r="F8" s="348">
        <f t="shared" si="0"/>
        <v>2.6999999999999996E-2</v>
      </c>
      <c r="G8" s="343"/>
    </row>
    <row r="9" spans="1:7" x14ac:dyDescent="0.3">
      <c r="E9" s="344">
        <v>4</v>
      </c>
      <c r="F9" s="348">
        <f t="shared" si="0"/>
        <v>3.5999999999999997E-2</v>
      </c>
      <c r="G9" s="343"/>
    </row>
    <row r="10" spans="1:7" x14ac:dyDescent="0.3">
      <c r="E10" s="344">
        <v>5</v>
      </c>
      <c r="F10" s="348">
        <f t="shared" si="0"/>
        <v>4.4999999999999998E-2</v>
      </c>
      <c r="G10" s="343"/>
    </row>
    <row r="11" spans="1:7" x14ac:dyDescent="0.3">
      <c r="E11" s="344">
        <v>6</v>
      </c>
      <c r="F11" s="348">
        <f t="shared" si="0"/>
        <v>5.3999999999999992E-2</v>
      </c>
      <c r="G11" s="343"/>
    </row>
    <row r="12" spans="1:7" x14ac:dyDescent="0.3">
      <c r="E12" s="344">
        <v>7</v>
      </c>
      <c r="F12" s="348">
        <f t="shared" si="0"/>
        <v>6.3E-2</v>
      </c>
      <c r="G12" s="343"/>
    </row>
    <row r="13" spans="1:7" x14ac:dyDescent="0.3">
      <c r="E13" s="344">
        <v>8</v>
      </c>
      <c r="F13" s="348">
        <f t="shared" si="0"/>
        <v>7.1999999999999995E-2</v>
      </c>
      <c r="G13" s="343"/>
    </row>
    <row r="14" spans="1:7" x14ac:dyDescent="0.3">
      <c r="E14" s="344">
        <v>9</v>
      </c>
      <c r="F14" s="348">
        <f t="shared" si="0"/>
        <v>8.0999999999999989E-2</v>
      </c>
      <c r="G14" s="343"/>
    </row>
    <row r="15" spans="1:7" x14ac:dyDescent="0.3">
      <c r="E15" s="344">
        <v>10</v>
      </c>
      <c r="F15" s="348">
        <f t="shared" si="0"/>
        <v>0.09</v>
      </c>
      <c r="G15" s="343"/>
    </row>
    <row r="16" spans="1:7" x14ac:dyDescent="0.3">
      <c r="E16" s="344">
        <v>11</v>
      </c>
      <c r="F16" s="348">
        <f t="shared" si="0"/>
        <v>9.8999999999999991E-2</v>
      </c>
      <c r="G16" s="343"/>
    </row>
    <row r="17" spans="5:7" x14ac:dyDescent="0.3">
      <c r="E17" s="344">
        <v>12</v>
      </c>
      <c r="F17" s="348">
        <f t="shared" si="0"/>
        <v>0.10799999999999998</v>
      </c>
      <c r="G17" s="343"/>
    </row>
    <row r="18" spans="5:7" x14ac:dyDescent="0.3">
      <c r="E18" s="344">
        <v>13</v>
      </c>
      <c r="F18" s="348">
        <f t="shared" si="0"/>
        <v>0.11699999999999999</v>
      </c>
      <c r="G18" s="343"/>
    </row>
    <row r="19" spans="5:7" x14ac:dyDescent="0.3">
      <c r="E19" s="344">
        <v>14</v>
      </c>
      <c r="F19" s="348">
        <f t="shared" si="0"/>
        <v>0.126</v>
      </c>
      <c r="G19" s="343"/>
    </row>
    <row r="20" spans="5:7" x14ac:dyDescent="0.3">
      <c r="E20" s="344">
        <v>15</v>
      </c>
      <c r="F20" s="348">
        <f t="shared" si="0"/>
        <v>0.13499999999999998</v>
      </c>
      <c r="G20" s="343"/>
    </row>
    <row r="21" spans="5:7" x14ac:dyDescent="0.3">
      <c r="E21" s="344">
        <v>16</v>
      </c>
      <c r="F21" s="348">
        <f t="shared" si="0"/>
        <v>0.14399999999999999</v>
      </c>
      <c r="G21" s="343"/>
    </row>
    <row r="22" spans="5:7" x14ac:dyDescent="0.3">
      <c r="E22" s="344">
        <v>17</v>
      </c>
      <c r="F22" s="348">
        <f t="shared" si="0"/>
        <v>0.153</v>
      </c>
      <c r="G22" s="343"/>
    </row>
    <row r="23" spans="5:7" x14ac:dyDescent="0.3">
      <c r="E23" s="344">
        <v>18</v>
      </c>
      <c r="F23" s="348">
        <f t="shared" si="0"/>
        <v>0.16199999999999998</v>
      </c>
      <c r="G23" s="343"/>
    </row>
    <row r="24" spans="5:7" x14ac:dyDescent="0.3">
      <c r="E24" s="344">
        <v>19</v>
      </c>
      <c r="F24" s="348">
        <f t="shared" si="0"/>
        <v>0.17099999999999999</v>
      </c>
      <c r="G24" s="343"/>
    </row>
    <row r="25" spans="5:7" x14ac:dyDescent="0.3">
      <c r="E25" s="344">
        <v>20</v>
      </c>
      <c r="F25" s="348">
        <f t="shared" si="0"/>
        <v>0.18</v>
      </c>
      <c r="G25" s="343"/>
    </row>
    <row r="26" spans="5:7" x14ac:dyDescent="0.3">
      <c r="E26" s="344">
        <v>21</v>
      </c>
      <c r="F26" s="348">
        <f t="shared" si="0"/>
        <v>0.18899999999999997</v>
      </c>
      <c r="G26" s="343"/>
    </row>
    <row r="27" spans="5:7" x14ac:dyDescent="0.3">
      <c r="E27" s="344">
        <v>22</v>
      </c>
      <c r="F27" s="348">
        <f t="shared" si="0"/>
        <v>0.19799999999999998</v>
      </c>
      <c r="G27" s="343"/>
    </row>
    <row r="28" spans="5:7" x14ac:dyDescent="0.3">
      <c r="E28" s="344">
        <v>23</v>
      </c>
      <c r="F28" s="348">
        <f t="shared" si="0"/>
        <v>0.20699999999999999</v>
      </c>
      <c r="G28" s="343"/>
    </row>
    <row r="29" spans="5:7" x14ac:dyDescent="0.3">
      <c r="E29" s="344">
        <v>24</v>
      </c>
      <c r="F29" s="348">
        <f t="shared" si="0"/>
        <v>0.21599999999999997</v>
      </c>
      <c r="G29" s="343"/>
    </row>
    <row r="30" spans="5:7" x14ac:dyDescent="0.3">
      <c r="E30" s="344">
        <v>25</v>
      </c>
      <c r="F30" s="348">
        <f t="shared" si="0"/>
        <v>0.22499999999999998</v>
      </c>
      <c r="G30" s="343"/>
    </row>
    <row r="31" spans="5:7" x14ac:dyDescent="0.3">
      <c r="E31" s="344">
        <v>26</v>
      </c>
      <c r="F31" s="348">
        <f t="shared" si="0"/>
        <v>0.23399999999999999</v>
      </c>
      <c r="G31" s="343"/>
    </row>
    <row r="32" spans="5:7" x14ac:dyDescent="0.3">
      <c r="E32" s="344">
        <v>27</v>
      </c>
      <c r="F32" s="348">
        <f t="shared" si="0"/>
        <v>0.24299999999999999</v>
      </c>
      <c r="G32" s="343"/>
    </row>
    <row r="33" spans="5:7" x14ac:dyDescent="0.3">
      <c r="E33" s="344">
        <v>28</v>
      </c>
      <c r="F33" s="348">
        <f t="shared" si="0"/>
        <v>0.252</v>
      </c>
      <c r="G33" s="343"/>
    </row>
    <row r="34" spans="5:7" x14ac:dyDescent="0.3">
      <c r="E34" s="344">
        <v>29</v>
      </c>
      <c r="F34" s="348">
        <f t="shared" si="0"/>
        <v>0.26099999999999995</v>
      </c>
      <c r="G34" s="343"/>
    </row>
    <row r="35" spans="5:7" x14ac:dyDescent="0.3">
      <c r="E35" s="344">
        <v>30</v>
      </c>
      <c r="F35" s="348">
        <f t="shared" si="0"/>
        <v>0.26999999999999996</v>
      </c>
      <c r="G35" s="343"/>
    </row>
    <row r="36" spans="5:7" x14ac:dyDescent="0.3">
      <c r="E36" s="344">
        <v>31</v>
      </c>
      <c r="F36" s="348">
        <f t="shared" si="0"/>
        <v>0.27899999999999997</v>
      </c>
      <c r="G36" s="343"/>
    </row>
    <row r="37" spans="5:7" x14ac:dyDescent="0.3">
      <c r="E37" s="344">
        <v>32</v>
      </c>
      <c r="F37" s="348">
        <f t="shared" si="0"/>
        <v>0.28799999999999998</v>
      </c>
      <c r="G37" s="343"/>
    </row>
    <row r="38" spans="5:7" x14ac:dyDescent="0.3">
      <c r="E38" s="344">
        <v>33</v>
      </c>
      <c r="F38" s="348">
        <f t="shared" si="0"/>
        <v>0.29699999999999999</v>
      </c>
      <c r="G38" s="343"/>
    </row>
    <row r="39" spans="5:7" x14ac:dyDescent="0.3">
      <c r="E39" s="344">
        <v>34</v>
      </c>
      <c r="F39" s="348">
        <f t="shared" si="0"/>
        <v>0.30599999999999999</v>
      </c>
      <c r="G39" s="343"/>
    </row>
    <row r="40" spans="5:7" x14ac:dyDescent="0.3">
      <c r="E40" s="344">
        <v>35</v>
      </c>
      <c r="F40" s="348">
        <f t="shared" si="0"/>
        <v>0.315</v>
      </c>
      <c r="G40" s="343"/>
    </row>
    <row r="41" spans="5:7" x14ac:dyDescent="0.3">
      <c r="E41" s="344">
        <v>36</v>
      </c>
      <c r="F41" s="348">
        <f t="shared" si="0"/>
        <v>0.32399999999999995</v>
      </c>
      <c r="G41" s="343"/>
    </row>
    <row r="42" spans="5:7" x14ac:dyDescent="0.3">
      <c r="E42" s="344">
        <v>37</v>
      </c>
      <c r="F42" s="348">
        <f t="shared" si="0"/>
        <v>0.33299999999999996</v>
      </c>
      <c r="G42" s="343"/>
    </row>
    <row r="43" spans="5:7" x14ac:dyDescent="0.3">
      <c r="E43" s="344">
        <v>38</v>
      </c>
      <c r="F43" s="348">
        <f t="shared" si="0"/>
        <v>0.34199999999999997</v>
      </c>
      <c r="G43" s="343"/>
    </row>
    <row r="44" spans="5:7" x14ac:dyDescent="0.3">
      <c r="E44" s="344">
        <v>39</v>
      </c>
      <c r="F44" s="348">
        <f t="shared" si="0"/>
        <v>0.35099999999999998</v>
      </c>
      <c r="G44" s="343"/>
    </row>
    <row r="45" spans="5:7" x14ac:dyDescent="0.3">
      <c r="E45" s="344">
        <v>40</v>
      </c>
      <c r="F45" s="348">
        <f t="shared" si="0"/>
        <v>0.36</v>
      </c>
      <c r="G45" s="343"/>
    </row>
    <row r="46" spans="5:7" x14ac:dyDescent="0.3">
      <c r="E46" s="344">
        <v>41</v>
      </c>
      <c r="F46" s="348">
        <f t="shared" si="0"/>
        <v>0.36899999999999999</v>
      </c>
      <c r="G46" s="343"/>
    </row>
    <row r="47" spans="5:7" x14ac:dyDescent="0.3">
      <c r="E47" s="344">
        <v>42</v>
      </c>
      <c r="F47" s="348">
        <f t="shared" si="0"/>
        <v>0.37799999999999995</v>
      </c>
      <c r="G47" s="343"/>
    </row>
    <row r="48" spans="5:7" x14ac:dyDescent="0.3">
      <c r="E48" s="344">
        <v>43</v>
      </c>
      <c r="F48" s="348">
        <f t="shared" si="0"/>
        <v>0.38699999999999996</v>
      </c>
      <c r="G48" s="343"/>
    </row>
    <row r="49" spans="5:7" x14ac:dyDescent="0.3">
      <c r="E49" s="344">
        <v>44</v>
      </c>
      <c r="F49" s="348">
        <f t="shared" si="0"/>
        <v>0.39599999999999996</v>
      </c>
      <c r="G49" s="343"/>
    </row>
    <row r="50" spans="5:7" x14ac:dyDescent="0.3">
      <c r="E50" s="344"/>
      <c r="F50" s="348"/>
      <c r="G50" s="343"/>
    </row>
    <row r="51" spans="5:7" x14ac:dyDescent="0.3">
      <c r="E51" s="344">
        <v>45</v>
      </c>
      <c r="F51" s="348">
        <f t="shared" si="0"/>
        <v>0.40499999999999997</v>
      </c>
      <c r="G51" s="343"/>
    </row>
    <row r="52" spans="5:7" x14ac:dyDescent="0.3">
      <c r="E52" s="344">
        <v>46</v>
      </c>
      <c r="F52" s="348">
        <f t="shared" si="0"/>
        <v>0.41399999999999998</v>
      </c>
      <c r="G52" s="343"/>
    </row>
    <row r="53" spans="5:7" x14ac:dyDescent="0.3">
      <c r="E53" s="344">
        <v>47</v>
      </c>
      <c r="F53" s="348">
        <f t="shared" si="0"/>
        <v>0.42299999999999999</v>
      </c>
      <c r="G53" s="343"/>
    </row>
    <row r="54" spans="5:7" x14ac:dyDescent="0.3">
      <c r="E54" s="344">
        <v>48</v>
      </c>
      <c r="F54" s="348">
        <f t="shared" si="0"/>
        <v>0.43199999999999994</v>
      </c>
      <c r="G54" s="343"/>
    </row>
    <row r="55" spans="5:7" x14ac:dyDescent="0.3">
      <c r="E55" s="344">
        <v>49</v>
      </c>
      <c r="F55" s="348">
        <f t="shared" si="0"/>
        <v>0.44099999999999995</v>
      </c>
      <c r="G55" s="343"/>
    </row>
    <row r="56" spans="5:7" x14ac:dyDescent="0.3">
      <c r="E56" s="344">
        <v>50</v>
      </c>
      <c r="F56" s="348">
        <f t="shared" si="0"/>
        <v>0.44999999999999996</v>
      </c>
      <c r="G56" s="343"/>
    </row>
    <row r="57" spans="5:7" x14ac:dyDescent="0.3">
      <c r="E57" s="344">
        <v>51</v>
      </c>
      <c r="F57" s="348">
        <f t="shared" si="0"/>
        <v>0.45899999999999996</v>
      </c>
      <c r="G57" s="343"/>
    </row>
    <row r="58" spans="5:7" x14ac:dyDescent="0.3">
      <c r="E58" s="344">
        <v>52</v>
      </c>
      <c r="F58" s="348">
        <f t="shared" si="0"/>
        <v>0.46799999999999997</v>
      </c>
      <c r="G58" s="343"/>
    </row>
    <row r="59" spans="5:7" x14ac:dyDescent="0.3">
      <c r="E59" s="344">
        <v>53</v>
      </c>
      <c r="F59" s="348">
        <f t="shared" si="0"/>
        <v>0.47699999999999998</v>
      </c>
      <c r="G59" s="343"/>
    </row>
    <row r="60" spans="5:7" x14ac:dyDescent="0.3">
      <c r="E60" s="344">
        <v>54</v>
      </c>
      <c r="F60" s="348">
        <f t="shared" si="0"/>
        <v>0.48599999999999999</v>
      </c>
      <c r="G60" s="343"/>
    </row>
    <row r="61" spans="5:7" x14ac:dyDescent="0.3">
      <c r="E61" s="344">
        <v>55</v>
      </c>
      <c r="F61" s="348">
        <f t="shared" si="0"/>
        <v>0.49499999999999994</v>
      </c>
      <c r="G61" s="343"/>
    </row>
    <row r="62" spans="5:7" x14ac:dyDescent="0.3">
      <c r="E62" s="344">
        <v>56</v>
      </c>
      <c r="F62" s="348">
        <f t="shared" si="0"/>
        <v>0.504</v>
      </c>
      <c r="G62" s="343"/>
    </row>
    <row r="63" spans="5:7" x14ac:dyDescent="0.3">
      <c r="E63" s="344">
        <v>57</v>
      </c>
      <c r="F63" s="348">
        <f t="shared" si="0"/>
        <v>0.51300000000000001</v>
      </c>
      <c r="G63" s="343"/>
    </row>
    <row r="64" spans="5:7" x14ac:dyDescent="0.3">
      <c r="E64" s="344">
        <v>58</v>
      </c>
      <c r="F64" s="348">
        <f t="shared" si="0"/>
        <v>0.52199999999999991</v>
      </c>
      <c r="G64" s="343"/>
    </row>
    <row r="65" spans="5:7" x14ac:dyDescent="0.3">
      <c r="E65" s="344">
        <v>59</v>
      </c>
      <c r="F65" s="348">
        <f t="shared" si="0"/>
        <v>0.53099999999999992</v>
      </c>
      <c r="G65" s="343"/>
    </row>
    <row r="66" spans="5:7" x14ac:dyDescent="0.3">
      <c r="E66" s="344">
        <v>60</v>
      </c>
      <c r="F66" s="348">
        <f t="shared" si="0"/>
        <v>0.53999999999999992</v>
      </c>
      <c r="G66" s="343"/>
    </row>
    <row r="67" spans="5:7" x14ac:dyDescent="0.3">
      <c r="E67" s="344">
        <v>61</v>
      </c>
      <c r="F67" s="348">
        <f t="shared" si="0"/>
        <v>0.54899999999999993</v>
      </c>
      <c r="G67" s="343"/>
    </row>
    <row r="68" spans="5:7" x14ac:dyDescent="0.3">
      <c r="E68" s="344">
        <v>62</v>
      </c>
      <c r="F68" s="348">
        <f t="shared" si="0"/>
        <v>0.55799999999999994</v>
      </c>
      <c r="G68" s="343"/>
    </row>
    <row r="69" spans="5:7" x14ac:dyDescent="0.3">
      <c r="E69" s="344">
        <v>63</v>
      </c>
      <c r="F69" s="348">
        <f t="shared" si="0"/>
        <v>0.56699999999999995</v>
      </c>
      <c r="G69" s="343"/>
    </row>
    <row r="70" spans="5:7" x14ac:dyDescent="0.3">
      <c r="E70" s="344">
        <v>64</v>
      </c>
      <c r="F70" s="348">
        <f t="shared" ref="F70:F122" si="1">E70*0.009</f>
        <v>0.57599999999999996</v>
      </c>
      <c r="G70" s="343"/>
    </row>
    <row r="71" spans="5:7" x14ac:dyDescent="0.3">
      <c r="E71" s="344">
        <v>65</v>
      </c>
      <c r="F71" s="348">
        <f t="shared" si="1"/>
        <v>0.58499999999999996</v>
      </c>
      <c r="G71" s="343"/>
    </row>
    <row r="72" spans="5:7" x14ac:dyDescent="0.3">
      <c r="E72" s="344">
        <v>66</v>
      </c>
      <c r="F72" s="348">
        <f t="shared" si="1"/>
        <v>0.59399999999999997</v>
      </c>
      <c r="G72" s="343"/>
    </row>
    <row r="73" spans="5:7" x14ac:dyDescent="0.3">
      <c r="E73" s="344">
        <v>67</v>
      </c>
      <c r="F73" s="348">
        <f t="shared" si="1"/>
        <v>0.60299999999999998</v>
      </c>
      <c r="G73" s="343"/>
    </row>
    <row r="74" spans="5:7" x14ac:dyDescent="0.3">
      <c r="E74" s="344">
        <v>68</v>
      </c>
      <c r="F74" s="348">
        <f t="shared" si="1"/>
        <v>0.61199999999999999</v>
      </c>
      <c r="G74" s="343"/>
    </row>
    <row r="75" spans="5:7" x14ac:dyDescent="0.3">
      <c r="E75" s="344">
        <v>69</v>
      </c>
      <c r="F75" s="348">
        <f t="shared" si="1"/>
        <v>0.621</v>
      </c>
      <c r="G75" s="343"/>
    </row>
    <row r="76" spans="5:7" x14ac:dyDescent="0.3">
      <c r="E76" s="344">
        <v>70</v>
      </c>
      <c r="F76" s="348">
        <f t="shared" si="1"/>
        <v>0.63</v>
      </c>
      <c r="G76" s="343"/>
    </row>
    <row r="77" spans="5:7" x14ac:dyDescent="0.3">
      <c r="E77" s="344">
        <v>71</v>
      </c>
      <c r="F77" s="348">
        <f t="shared" si="1"/>
        <v>0.6389999999999999</v>
      </c>
      <c r="G77" s="343"/>
    </row>
    <row r="78" spans="5:7" x14ac:dyDescent="0.3">
      <c r="E78" s="344">
        <v>72</v>
      </c>
      <c r="F78" s="348">
        <f t="shared" si="1"/>
        <v>0.64799999999999991</v>
      </c>
      <c r="G78" s="343"/>
    </row>
    <row r="79" spans="5:7" x14ac:dyDescent="0.3">
      <c r="E79" s="344">
        <v>73</v>
      </c>
      <c r="F79" s="348">
        <f t="shared" si="1"/>
        <v>0.65699999999999992</v>
      </c>
      <c r="G79" s="343"/>
    </row>
    <row r="80" spans="5:7" x14ac:dyDescent="0.3">
      <c r="E80" s="344">
        <v>74</v>
      </c>
      <c r="F80" s="348">
        <f t="shared" si="1"/>
        <v>0.66599999999999993</v>
      </c>
      <c r="G80" s="343"/>
    </row>
    <row r="81" spans="5:7" x14ac:dyDescent="0.3">
      <c r="E81" s="344">
        <v>75</v>
      </c>
      <c r="F81" s="348">
        <f t="shared" si="1"/>
        <v>0.67499999999999993</v>
      </c>
      <c r="G81" s="343"/>
    </row>
    <row r="82" spans="5:7" x14ac:dyDescent="0.3">
      <c r="E82" s="344">
        <v>77</v>
      </c>
      <c r="F82" s="348">
        <f t="shared" si="1"/>
        <v>0.69299999999999995</v>
      </c>
      <c r="G82" s="343"/>
    </row>
    <row r="83" spans="5:7" x14ac:dyDescent="0.3">
      <c r="E83" s="344">
        <v>78</v>
      </c>
      <c r="F83" s="348">
        <f t="shared" si="1"/>
        <v>0.70199999999999996</v>
      </c>
      <c r="G83" s="343"/>
    </row>
    <row r="84" spans="5:7" x14ac:dyDescent="0.3">
      <c r="E84" s="344">
        <v>79</v>
      </c>
      <c r="F84" s="348">
        <f t="shared" si="1"/>
        <v>0.71099999999999997</v>
      </c>
      <c r="G84" s="343"/>
    </row>
    <row r="85" spans="5:7" x14ac:dyDescent="0.3">
      <c r="E85" s="344">
        <v>80</v>
      </c>
      <c r="F85" s="348">
        <f t="shared" si="1"/>
        <v>0.72</v>
      </c>
      <c r="G85" s="343"/>
    </row>
    <row r="86" spans="5:7" x14ac:dyDescent="0.3">
      <c r="E86" s="344">
        <v>81</v>
      </c>
      <c r="F86" s="348">
        <f t="shared" si="1"/>
        <v>0.72899999999999998</v>
      </c>
      <c r="G86" s="343"/>
    </row>
    <row r="87" spans="5:7" x14ac:dyDescent="0.3">
      <c r="E87" s="344">
        <v>78</v>
      </c>
      <c r="F87" s="348">
        <f t="shared" si="1"/>
        <v>0.70199999999999996</v>
      </c>
      <c r="G87" s="343"/>
    </row>
    <row r="88" spans="5:7" x14ac:dyDescent="0.3">
      <c r="E88" s="344">
        <v>79</v>
      </c>
      <c r="F88" s="348">
        <f t="shared" si="1"/>
        <v>0.71099999999999997</v>
      </c>
      <c r="G88" s="343"/>
    </row>
    <row r="89" spans="5:7" x14ac:dyDescent="0.3">
      <c r="E89" s="344">
        <v>80</v>
      </c>
      <c r="F89" s="348">
        <f t="shared" si="1"/>
        <v>0.72</v>
      </c>
      <c r="G89" s="343"/>
    </row>
    <row r="90" spans="5:7" x14ac:dyDescent="0.3">
      <c r="E90" s="344">
        <v>81</v>
      </c>
      <c r="F90" s="348">
        <f t="shared" si="1"/>
        <v>0.72899999999999998</v>
      </c>
      <c r="G90" s="343"/>
    </row>
    <row r="91" spans="5:7" x14ac:dyDescent="0.3">
      <c r="E91" s="344">
        <v>78</v>
      </c>
      <c r="F91" s="348">
        <f t="shared" si="1"/>
        <v>0.70199999999999996</v>
      </c>
      <c r="G91" s="343"/>
    </row>
    <row r="92" spans="5:7" x14ac:dyDescent="0.3">
      <c r="E92" s="344">
        <v>79</v>
      </c>
      <c r="F92" s="348">
        <f t="shared" si="1"/>
        <v>0.71099999999999997</v>
      </c>
      <c r="G92" s="343"/>
    </row>
    <row r="93" spans="5:7" x14ac:dyDescent="0.3">
      <c r="E93" s="344">
        <v>79</v>
      </c>
      <c r="F93" s="348">
        <f t="shared" si="1"/>
        <v>0.71099999999999997</v>
      </c>
      <c r="G93" s="343"/>
    </row>
    <row r="94" spans="5:7" x14ac:dyDescent="0.3">
      <c r="E94" s="344">
        <v>80</v>
      </c>
      <c r="F94" s="348">
        <f t="shared" si="1"/>
        <v>0.72</v>
      </c>
      <c r="G94" s="343"/>
    </row>
    <row r="95" spans="5:7" x14ac:dyDescent="0.3">
      <c r="E95" s="344">
        <v>81</v>
      </c>
      <c r="F95" s="348">
        <f t="shared" si="1"/>
        <v>0.72899999999999998</v>
      </c>
      <c r="G95" s="343"/>
    </row>
    <row r="96" spans="5:7" x14ac:dyDescent="0.3">
      <c r="E96" s="344">
        <v>78</v>
      </c>
      <c r="F96" s="348">
        <f>E96*0.009</f>
        <v>0.70199999999999996</v>
      </c>
      <c r="G96" s="343"/>
    </row>
    <row r="97" spans="5:7" x14ac:dyDescent="0.3">
      <c r="E97" s="344">
        <v>79</v>
      </c>
      <c r="F97" s="348">
        <f>E97*0.009</f>
        <v>0.71099999999999997</v>
      </c>
      <c r="G97" s="343"/>
    </row>
    <row r="98" spans="5:7" x14ac:dyDescent="0.3">
      <c r="E98" s="344">
        <v>79</v>
      </c>
      <c r="F98" s="348">
        <f>E98*0.009</f>
        <v>0.71099999999999997</v>
      </c>
      <c r="G98" s="343"/>
    </row>
    <row r="99" spans="5:7" x14ac:dyDescent="0.3">
      <c r="E99" s="344">
        <v>80</v>
      </c>
      <c r="F99" s="348">
        <f>E99*0.009</f>
        <v>0.72</v>
      </c>
      <c r="G99" s="343"/>
    </row>
    <row r="100" spans="5:7" x14ac:dyDescent="0.3">
      <c r="E100" s="344">
        <v>81</v>
      </c>
      <c r="F100" s="348">
        <f>E100*0.009</f>
        <v>0.72899999999999998</v>
      </c>
      <c r="G100" s="343"/>
    </row>
    <row r="101" spans="5:7" x14ac:dyDescent="0.3">
      <c r="E101" s="344">
        <v>91</v>
      </c>
      <c r="F101" s="348">
        <f t="shared" si="1"/>
        <v>0.81899999999999995</v>
      </c>
      <c r="G101" s="343"/>
    </row>
    <row r="102" spans="5:7" x14ac:dyDescent="0.3">
      <c r="E102" s="344">
        <v>92</v>
      </c>
      <c r="F102" s="348">
        <f t="shared" si="1"/>
        <v>0.82799999999999996</v>
      </c>
      <c r="G102" s="343"/>
    </row>
    <row r="103" spans="5:7" x14ac:dyDescent="0.3">
      <c r="E103" s="344">
        <v>93</v>
      </c>
      <c r="F103" s="348">
        <f t="shared" si="1"/>
        <v>0.83699999999999997</v>
      </c>
      <c r="G103" s="343"/>
    </row>
    <row r="104" spans="5:7" x14ac:dyDescent="0.3">
      <c r="E104" s="344">
        <v>94</v>
      </c>
      <c r="F104" s="348">
        <f t="shared" si="1"/>
        <v>0.84599999999999997</v>
      </c>
      <c r="G104" s="343"/>
    </row>
    <row r="105" spans="5:7" x14ac:dyDescent="0.3">
      <c r="E105" s="344">
        <v>95</v>
      </c>
      <c r="F105" s="348">
        <f t="shared" si="1"/>
        <v>0.85499999999999998</v>
      </c>
      <c r="G105" s="343"/>
    </row>
    <row r="106" spans="5:7" x14ac:dyDescent="0.3">
      <c r="E106" s="344">
        <v>91</v>
      </c>
      <c r="F106" s="348">
        <f t="shared" si="1"/>
        <v>0.81899999999999995</v>
      </c>
      <c r="G106" s="343"/>
    </row>
    <row r="107" spans="5:7" x14ac:dyDescent="0.3">
      <c r="E107" s="344">
        <v>92</v>
      </c>
      <c r="F107" s="348">
        <f t="shared" si="1"/>
        <v>0.82799999999999996</v>
      </c>
      <c r="G107" s="343"/>
    </row>
    <row r="108" spans="5:7" x14ac:dyDescent="0.3">
      <c r="E108" s="344">
        <v>93</v>
      </c>
      <c r="F108" s="348">
        <f t="shared" si="1"/>
        <v>0.83699999999999997</v>
      </c>
      <c r="G108" s="343"/>
    </row>
    <row r="109" spans="5:7" x14ac:dyDescent="0.3">
      <c r="E109" s="344"/>
      <c r="F109" s="348"/>
      <c r="G109" s="343"/>
    </row>
    <row r="110" spans="5:7" x14ac:dyDescent="0.3">
      <c r="E110" s="344">
        <v>94</v>
      </c>
      <c r="F110" s="348">
        <f t="shared" si="1"/>
        <v>0.84599999999999997</v>
      </c>
      <c r="G110" s="343"/>
    </row>
    <row r="111" spans="5:7" x14ac:dyDescent="0.3">
      <c r="E111" s="344">
        <v>95</v>
      </c>
      <c r="F111" s="348">
        <f t="shared" si="1"/>
        <v>0.85499999999999998</v>
      </c>
      <c r="G111" s="343"/>
    </row>
    <row r="112" spans="5:7" x14ac:dyDescent="0.3">
      <c r="E112" s="344">
        <v>101</v>
      </c>
      <c r="F112" s="348">
        <f t="shared" si="1"/>
        <v>0.90899999999999992</v>
      </c>
      <c r="G112" s="343"/>
    </row>
    <row r="113" spans="5:7" x14ac:dyDescent="0.3">
      <c r="E113" s="344">
        <v>102</v>
      </c>
      <c r="F113" s="348">
        <f t="shared" si="1"/>
        <v>0.91799999999999993</v>
      </c>
      <c r="G113" s="343"/>
    </row>
    <row r="114" spans="5:7" x14ac:dyDescent="0.3">
      <c r="E114" s="344">
        <v>103</v>
      </c>
      <c r="F114" s="348">
        <f t="shared" si="1"/>
        <v>0.92699999999999994</v>
      </c>
      <c r="G114" s="343"/>
    </row>
    <row r="115" spans="5:7" x14ac:dyDescent="0.3">
      <c r="E115" s="344">
        <v>104</v>
      </c>
      <c r="F115" s="348">
        <f t="shared" si="1"/>
        <v>0.93599999999999994</v>
      </c>
      <c r="G115" s="343"/>
    </row>
    <row r="116" spans="5:7" x14ac:dyDescent="0.3">
      <c r="E116" s="344">
        <v>105</v>
      </c>
      <c r="F116" s="348">
        <f t="shared" si="1"/>
        <v>0.94499999999999995</v>
      </c>
      <c r="G116" s="343"/>
    </row>
    <row r="117" spans="5:7" x14ac:dyDescent="0.3">
      <c r="E117" s="344">
        <v>106</v>
      </c>
      <c r="F117" s="348">
        <f t="shared" si="1"/>
        <v>0.95399999999999996</v>
      </c>
      <c r="G117" s="343"/>
    </row>
    <row r="118" spans="5:7" x14ac:dyDescent="0.3">
      <c r="E118" s="344">
        <v>107</v>
      </c>
      <c r="F118" s="348">
        <f t="shared" si="1"/>
        <v>0.96299999999999997</v>
      </c>
      <c r="G118" s="343"/>
    </row>
    <row r="119" spans="5:7" x14ac:dyDescent="0.3">
      <c r="E119" s="344">
        <v>108</v>
      </c>
      <c r="F119" s="348">
        <f t="shared" si="1"/>
        <v>0.97199999999999998</v>
      </c>
      <c r="G119" s="343"/>
    </row>
    <row r="120" spans="5:7" x14ac:dyDescent="0.3">
      <c r="E120" s="344">
        <v>109</v>
      </c>
      <c r="F120" s="348">
        <f t="shared" si="1"/>
        <v>0.98099999999999987</v>
      </c>
      <c r="G120" s="343"/>
    </row>
    <row r="121" spans="5:7" x14ac:dyDescent="0.3">
      <c r="E121" s="344">
        <v>110</v>
      </c>
      <c r="F121" s="348">
        <f t="shared" si="1"/>
        <v>0.98999999999999988</v>
      </c>
      <c r="G121" s="343"/>
    </row>
    <row r="122" spans="5:7" x14ac:dyDescent="0.3">
      <c r="E122" s="344">
        <v>111</v>
      </c>
      <c r="F122" s="348">
        <f t="shared" si="1"/>
        <v>0.99899999999999989</v>
      </c>
      <c r="G122" s="343"/>
    </row>
    <row r="123" spans="5:7" x14ac:dyDescent="0.3">
      <c r="E123" s="344">
        <v>112</v>
      </c>
      <c r="F123" s="348">
        <v>1</v>
      </c>
      <c r="G123" s="343"/>
    </row>
    <row r="124" spans="5:7" x14ac:dyDescent="0.3">
      <c r="E124" s="344">
        <v>113</v>
      </c>
      <c r="F124" s="348">
        <v>1</v>
      </c>
      <c r="G124" s="343"/>
    </row>
    <row r="125" spans="5:7" x14ac:dyDescent="0.3">
      <c r="E125" s="344">
        <v>114</v>
      </c>
      <c r="F125" s="348">
        <v>1</v>
      </c>
      <c r="G125" s="343"/>
    </row>
    <row r="126" spans="5:7" x14ac:dyDescent="0.3">
      <c r="E126" s="344">
        <v>115</v>
      </c>
      <c r="F126" s="348">
        <v>1</v>
      </c>
      <c r="G126" s="343"/>
    </row>
    <row r="127" spans="5:7" x14ac:dyDescent="0.3">
      <c r="E127" s="344">
        <v>116</v>
      </c>
      <c r="F127" s="348">
        <v>1</v>
      </c>
      <c r="G127" s="343"/>
    </row>
    <row r="128" spans="5:7" x14ac:dyDescent="0.3">
      <c r="E128" s="344">
        <v>117</v>
      </c>
      <c r="F128" s="348">
        <v>1</v>
      </c>
      <c r="G128" s="343"/>
    </row>
    <row r="129" spans="5:7" x14ac:dyDescent="0.3">
      <c r="E129" s="344">
        <v>118</v>
      </c>
      <c r="F129" s="348">
        <v>1</v>
      </c>
      <c r="G129" s="343"/>
    </row>
    <row r="130" spans="5:7" x14ac:dyDescent="0.3">
      <c r="E130" s="344">
        <v>119</v>
      </c>
      <c r="F130" s="348">
        <v>1</v>
      </c>
      <c r="G130" s="343"/>
    </row>
    <row r="131" spans="5:7" x14ac:dyDescent="0.3">
      <c r="E131" s="344">
        <v>120</v>
      </c>
      <c r="F131" s="348">
        <v>1</v>
      </c>
      <c r="G131" s="343"/>
    </row>
    <row r="132" spans="5:7" x14ac:dyDescent="0.3">
      <c r="E132" s="344">
        <v>121</v>
      </c>
      <c r="F132" s="348">
        <v>1</v>
      </c>
      <c r="G132" s="343"/>
    </row>
    <row r="133" spans="5:7" x14ac:dyDescent="0.3">
      <c r="E133" s="344">
        <v>122</v>
      </c>
      <c r="F133" s="348">
        <v>1</v>
      </c>
      <c r="G133" s="343"/>
    </row>
    <row r="134" spans="5:7" x14ac:dyDescent="0.3">
      <c r="E134" s="344">
        <v>123</v>
      </c>
      <c r="F134" s="348">
        <v>1</v>
      </c>
      <c r="G134" s="343"/>
    </row>
    <row r="135" spans="5:7" x14ac:dyDescent="0.3">
      <c r="E135" s="344">
        <v>124</v>
      </c>
      <c r="F135" s="348"/>
      <c r="G135" s="343"/>
    </row>
    <row r="136" spans="5:7" x14ac:dyDescent="0.3">
      <c r="E136" s="344">
        <v>125</v>
      </c>
      <c r="F136" s="348"/>
      <c r="G136" s="343"/>
    </row>
    <row r="137" spans="5:7" x14ac:dyDescent="0.3">
      <c r="E137" s="344">
        <v>126</v>
      </c>
      <c r="F137" s="348"/>
      <c r="G137" s="343"/>
    </row>
    <row r="138" spans="5:7" x14ac:dyDescent="0.3">
      <c r="E138" s="344">
        <v>127</v>
      </c>
      <c r="F138" s="348"/>
      <c r="G138" s="343"/>
    </row>
    <row r="139" spans="5:7" x14ac:dyDescent="0.3">
      <c r="E139" s="344">
        <v>128</v>
      </c>
      <c r="F139" s="348"/>
      <c r="G139" s="343"/>
    </row>
    <row r="140" spans="5:7" x14ac:dyDescent="0.3">
      <c r="E140" s="344">
        <v>129</v>
      </c>
      <c r="F140" s="348"/>
      <c r="G140" s="343"/>
    </row>
    <row r="141" spans="5:7" x14ac:dyDescent="0.3">
      <c r="E141" s="344">
        <v>130</v>
      </c>
      <c r="F141" s="348"/>
      <c r="G141" s="343"/>
    </row>
    <row r="142" spans="5:7" x14ac:dyDescent="0.3">
      <c r="E142" s="344">
        <v>131</v>
      </c>
      <c r="F142" s="348"/>
      <c r="G142" s="343"/>
    </row>
    <row r="143" spans="5:7" x14ac:dyDescent="0.3">
      <c r="E143" s="344">
        <v>132</v>
      </c>
      <c r="F143" s="348"/>
      <c r="G143" s="343"/>
    </row>
    <row r="144" spans="5:7" x14ac:dyDescent="0.3">
      <c r="E144" s="344">
        <v>133</v>
      </c>
      <c r="F144" s="348"/>
      <c r="G144" s="343"/>
    </row>
    <row r="145" spans="5:7" x14ac:dyDescent="0.3">
      <c r="E145" s="344">
        <v>134</v>
      </c>
      <c r="F145" s="348"/>
      <c r="G145" s="343"/>
    </row>
    <row r="146" spans="5:7" x14ac:dyDescent="0.3">
      <c r="E146" s="344">
        <v>135</v>
      </c>
      <c r="F146" s="348"/>
      <c r="G146" s="343"/>
    </row>
    <row r="147" spans="5:7" x14ac:dyDescent="0.3">
      <c r="E147" s="344">
        <v>136</v>
      </c>
      <c r="F147" s="348"/>
      <c r="G147" s="343"/>
    </row>
    <row r="148" spans="5:7" x14ac:dyDescent="0.3">
      <c r="E148" s="344">
        <v>137</v>
      </c>
      <c r="F148" s="348"/>
      <c r="G148" s="343"/>
    </row>
    <row r="149" spans="5:7" x14ac:dyDescent="0.3">
      <c r="E149" s="344">
        <v>138</v>
      </c>
      <c r="F149" s="348"/>
      <c r="G149" s="343"/>
    </row>
    <row r="150" spans="5:7" x14ac:dyDescent="0.3">
      <c r="E150" s="344">
        <v>139</v>
      </c>
      <c r="F150" s="348"/>
      <c r="G150" s="343"/>
    </row>
    <row r="151" spans="5:7" x14ac:dyDescent="0.3">
      <c r="E151" s="344">
        <v>140</v>
      </c>
      <c r="F151" s="348"/>
      <c r="G151" s="343"/>
    </row>
    <row r="152" spans="5:7" x14ac:dyDescent="0.3">
      <c r="E152" s="344">
        <v>141</v>
      </c>
      <c r="F152" s="348"/>
      <c r="G152" s="343"/>
    </row>
    <row r="153" spans="5:7" x14ac:dyDescent="0.3">
      <c r="E153" s="344">
        <v>142</v>
      </c>
      <c r="F153" s="348"/>
      <c r="G153" s="343"/>
    </row>
    <row r="154" spans="5:7" x14ac:dyDescent="0.3">
      <c r="E154" s="344">
        <v>143</v>
      </c>
      <c r="F154" s="348"/>
      <c r="G154" s="343"/>
    </row>
    <row r="155" spans="5:7" x14ac:dyDescent="0.3">
      <c r="E155" s="344">
        <v>144</v>
      </c>
      <c r="F155" s="348"/>
      <c r="G155" s="343"/>
    </row>
    <row r="156" spans="5:7" x14ac:dyDescent="0.3">
      <c r="E156" s="344">
        <v>145</v>
      </c>
      <c r="F156" s="348"/>
      <c r="G156" s="343"/>
    </row>
    <row r="157" spans="5:7" x14ac:dyDescent="0.3">
      <c r="E157" s="344">
        <v>146</v>
      </c>
      <c r="F157" s="348"/>
      <c r="G157" s="343"/>
    </row>
    <row r="158" spans="5:7" x14ac:dyDescent="0.3">
      <c r="E158" s="344">
        <v>147</v>
      </c>
      <c r="F158" s="348"/>
      <c r="G158" s="343"/>
    </row>
    <row r="159" spans="5:7" x14ac:dyDescent="0.3">
      <c r="E159" s="344">
        <v>148</v>
      </c>
      <c r="F159" s="348"/>
      <c r="G159" s="343"/>
    </row>
    <row r="160" spans="5:7" x14ac:dyDescent="0.3">
      <c r="E160" s="344">
        <v>149</v>
      </c>
      <c r="F160" s="348"/>
      <c r="G160" s="343"/>
    </row>
    <row r="161" spans="5:7" x14ac:dyDescent="0.3">
      <c r="E161" s="344">
        <v>150</v>
      </c>
      <c r="F161" s="348"/>
      <c r="G161" s="343"/>
    </row>
    <row r="162" spans="5:7" x14ac:dyDescent="0.3">
      <c r="E162" s="344">
        <v>151</v>
      </c>
      <c r="F162" s="349"/>
      <c r="G162" s="346"/>
    </row>
  </sheetData>
  <mergeCells count="1">
    <mergeCell ref="F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1"/>
  <sheetViews>
    <sheetView zoomScale="80" zoomScaleNormal="80" workbookViewId="0">
      <pane xSplit="16" ySplit="6" topLeftCell="BY64" activePane="bottomRight" state="frozen"/>
      <selection pane="topRight" activeCell="Q1" sqref="Q1"/>
      <selection pane="bottomLeft" activeCell="A7" sqref="A7"/>
      <selection pane="bottomRight" activeCell="B208" sqref="B208"/>
    </sheetView>
  </sheetViews>
  <sheetFormatPr defaultColWidth="8.6640625" defaultRowHeight="13.2" x14ac:dyDescent="0.25"/>
  <cols>
    <col min="1" max="1" width="9.109375" customWidth="1"/>
    <col min="2" max="2" width="13.44140625" customWidth="1"/>
    <col min="3" max="3" width="15.6640625" style="109" customWidth="1"/>
    <col min="4" max="4" width="12" customWidth="1"/>
    <col min="5" max="6" width="10.6640625" customWidth="1"/>
    <col min="7" max="7" width="20.44140625" style="77" customWidth="1"/>
    <col min="8" max="8" width="7.6640625" style="85" hidden="1" customWidth="1"/>
    <col min="9" max="9" width="7" hidden="1" customWidth="1"/>
    <col min="10" max="10" width="9" hidden="1" customWidth="1"/>
    <col min="11" max="11" width="9.44140625" hidden="1" customWidth="1"/>
    <col min="12" max="15" width="9" hidden="1" customWidth="1"/>
    <col min="16" max="16" width="15.109375" style="84" hidden="1" customWidth="1"/>
    <col min="17" max="17" width="8" style="85" customWidth="1"/>
    <col min="18" max="18" width="7.109375" customWidth="1"/>
    <col min="19" max="19" width="11.33203125" customWidth="1"/>
    <col min="20" max="20" width="9.6640625" customWidth="1"/>
    <col min="21" max="21" width="7.44140625" customWidth="1"/>
    <col min="22" max="24" width="11.33203125" customWidth="1"/>
    <col min="25" max="25" width="10.33203125" style="170" customWidth="1"/>
    <col min="26" max="26" width="7.44140625" customWidth="1"/>
    <col min="27" max="27" width="11" style="170" customWidth="1"/>
    <col min="28" max="28" width="18.33203125" style="61" customWidth="1"/>
    <col min="29" max="29" width="10" customWidth="1"/>
    <col min="30" max="30" width="12.44140625" customWidth="1"/>
    <col min="31" max="31" width="11" style="73" customWidth="1"/>
    <col min="32" max="32" width="14.109375" style="78" customWidth="1"/>
    <col min="33" max="33" width="12.109375" style="77" customWidth="1"/>
    <col min="34" max="36" width="11.44140625" customWidth="1"/>
    <col min="37" max="37" width="19.6640625" style="250" customWidth="1"/>
    <col min="38" max="38" width="12.44140625" customWidth="1"/>
    <col min="39" max="39" width="14.6640625" customWidth="1"/>
    <col min="40" max="40" width="12" customWidth="1"/>
    <col min="41" max="41" width="12" style="287" hidden="1" customWidth="1"/>
    <col min="42" max="42" width="12.6640625" style="304" hidden="1" customWidth="1"/>
    <col min="43" max="43" width="27.6640625" style="287" hidden="1" customWidth="1"/>
    <col min="44" max="44" width="12" style="304" hidden="1" customWidth="1"/>
    <col min="45" max="45" width="16.33203125" style="287" hidden="1" customWidth="1"/>
    <col min="46" max="46" width="16.33203125" style="304" hidden="1" customWidth="1"/>
    <col min="47" max="47" width="10.6640625" style="79" hidden="1" customWidth="1"/>
    <col min="48" max="48" width="14.44140625" hidden="1" customWidth="1"/>
    <col min="49" max="49" width="10.109375" hidden="1" customWidth="1"/>
    <col min="50" max="50" width="9.109375" hidden="1" customWidth="1"/>
    <col min="51" max="51" width="12.109375" style="61" hidden="1" customWidth="1"/>
    <col min="52" max="52" width="13.33203125" hidden="1" customWidth="1"/>
    <col min="53" max="53" width="11.109375" style="78" hidden="1" customWidth="1"/>
    <col min="54" max="54" width="9.109375" style="117" customWidth="1"/>
    <col min="55" max="55" width="9.109375" style="117" hidden="1" customWidth="1"/>
    <col min="56" max="56" width="9.109375" style="117" customWidth="1"/>
    <col min="57" max="57" width="9.109375" style="112" customWidth="1"/>
    <col min="58" max="59" width="11.44140625" style="112" customWidth="1"/>
    <col min="60" max="61" width="11.33203125" style="112" customWidth="1"/>
    <col min="62" max="62" width="11.6640625" style="112" customWidth="1"/>
    <col min="63" max="63" width="9.109375" style="112" customWidth="1"/>
    <col min="64" max="73" width="9.109375"/>
    <col min="75" max="79" width="9.109375" customWidth="1"/>
    <col min="80" max="80" width="11.33203125" customWidth="1"/>
    <col min="81" max="82" width="9.109375" customWidth="1"/>
    <col min="89" max="89" width="2.109375" customWidth="1"/>
    <col min="93" max="94" width="16.44140625" customWidth="1"/>
    <col min="95" max="95" width="13.44140625" customWidth="1"/>
    <col min="99" max="99" width="15.6640625" customWidth="1"/>
    <col min="100" max="100" width="16.109375" customWidth="1"/>
  </cols>
  <sheetData>
    <row r="1" spans="1:96" s="134" customFormat="1" ht="82.5" customHeight="1" thickTop="1" thickBot="1" x14ac:dyDescent="0.3">
      <c r="A1" s="133"/>
      <c r="B1" s="134" t="s">
        <v>219</v>
      </c>
      <c r="C1" s="135"/>
      <c r="F1" s="251"/>
      <c r="H1" s="137" t="s">
        <v>179</v>
      </c>
      <c r="I1" s="137"/>
      <c r="J1" s="137"/>
      <c r="K1" s="137"/>
      <c r="L1" s="137"/>
      <c r="M1" s="137"/>
      <c r="N1" s="137"/>
      <c r="O1" s="137"/>
      <c r="P1" s="138"/>
      <c r="Q1" s="136" t="s">
        <v>220</v>
      </c>
      <c r="R1" s="137"/>
      <c r="S1" s="137"/>
      <c r="T1" s="137"/>
      <c r="U1" s="137"/>
      <c r="V1" s="137"/>
      <c r="W1" s="137"/>
      <c r="X1" s="137"/>
      <c r="Y1" s="166"/>
      <c r="Z1" s="137" t="s">
        <v>177</v>
      </c>
      <c r="AA1" s="166"/>
      <c r="AB1" s="165" t="s">
        <v>183</v>
      </c>
      <c r="AC1" s="134" t="s">
        <v>145</v>
      </c>
      <c r="AE1" s="276"/>
      <c r="AF1" s="138">
        <v>50</v>
      </c>
      <c r="AG1" s="282" t="s">
        <v>136</v>
      </c>
      <c r="AH1" s="283" t="s">
        <v>182</v>
      </c>
      <c r="AI1" s="283">
        <v>0.55000000000000004</v>
      </c>
      <c r="AJ1" s="283" t="s">
        <v>116</v>
      </c>
      <c r="AK1" s="246"/>
      <c r="AL1" s="246"/>
      <c r="AM1" s="246" t="s">
        <v>145</v>
      </c>
      <c r="AN1" s="246">
        <v>50</v>
      </c>
      <c r="AO1" s="284"/>
      <c r="AP1" s="301"/>
      <c r="AQ1" s="285" t="s">
        <v>217</v>
      </c>
      <c r="AR1" s="301"/>
      <c r="AS1" s="284"/>
      <c r="AT1" s="301"/>
      <c r="AU1" s="133" t="s">
        <v>136</v>
      </c>
      <c r="AW1" s="134">
        <v>1</v>
      </c>
      <c r="AY1" s="160"/>
      <c r="AZ1" s="134" t="s">
        <v>144</v>
      </c>
      <c r="BA1" s="138">
        <v>50</v>
      </c>
      <c r="BB1" s="139" t="s">
        <v>149</v>
      </c>
      <c r="BC1" s="140"/>
      <c r="BD1" s="141"/>
      <c r="BE1" s="142" t="s">
        <v>157</v>
      </c>
      <c r="BF1" s="143"/>
      <c r="BG1" s="144"/>
      <c r="BH1" s="143"/>
      <c r="BI1" s="143"/>
      <c r="BJ1" s="143"/>
      <c r="BK1" s="145"/>
    </row>
    <row r="2" spans="1:96" s="147" customFormat="1" ht="116.25" customHeight="1" thickTop="1" thickBot="1" x14ac:dyDescent="0.3">
      <c r="A2" s="133"/>
      <c r="B2" s="147" t="s">
        <v>129</v>
      </c>
      <c r="C2" s="148" t="s">
        <v>13</v>
      </c>
      <c r="D2" s="147" t="s">
        <v>138</v>
      </c>
      <c r="E2" s="147" t="s">
        <v>137</v>
      </c>
      <c r="F2" s="150" t="s">
        <v>185</v>
      </c>
      <c r="G2" s="252" t="s">
        <v>210</v>
      </c>
      <c r="H2" s="150" t="s">
        <v>176</v>
      </c>
      <c r="I2" s="150" t="s">
        <v>178</v>
      </c>
      <c r="J2" s="150" t="s">
        <v>181</v>
      </c>
      <c r="K2" s="150" t="s">
        <v>165</v>
      </c>
      <c r="L2" s="150" t="s">
        <v>178</v>
      </c>
      <c r="M2" s="150" t="s">
        <v>181</v>
      </c>
      <c r="N2" s="150" t="s">
        <v>173</v>
      </c>
      <c r="O2" s="150" t="s">
        <v>178</v>
      </c>
      <c r="P2" s="151" t="s">
        <v>181</v>
      </c>
      <c r="Q2" s="149" t="s">
        <v>176</v>
      </c>
      <c r="R2" s="150" t="s">
        <v>178</v>
      </c>
      <c r="S2" s="150" t="s">
        <v>209</v>
      </c>
      <c r="T2" s="150" t="s">
        <v>165</v>
      </c>
      <c r="U2" s="150" t="s">
        <v>178</v>
      </c>
      <c r="V2" s="150"/>
      <c r="W2" s="150" t="s">
        <v>173</v>
      </c>
      <c r="X2" s="150" t="s">
        <v>178</v>
      </c>
      <c r="Y2" s="167" t="s">
        <v>209</v>
      </c>
      <c r="Z2" s="150" t="s">
        <v>178</v>
      </c>
      <c r="AA2" s="167" t="s">
        <v>180</v>
      </c>
      <c r="AB2" s="161" t="s">
        <v>130</v>
      </c>
      <c r="AC2" s="147" t="s">
        <v>148</v>
      </c>
      <c r="AD2" s="147" t="s">
        <v>147</v>
      </c>
      <c r="AE2" s="147" t="s">
        <v>126</v>
      </c>
      <c r="AF2" s="152" t="s">
        <v>135</v>
      </c>
      <c r="AG2" s="281" t="s">
        <v>140</v>
      </c>
      <c r="AH2" s="147" t="s">
        <v>119</v>
      </c>
      <c r="AJ2" s="147" t="s">
        <v>130</v>
      </c>
      <c r="AK2" s="288" t="s">
        <v>222</v>
      </c>
      <c r="AL2" s="150" t="s">
        <v>223</v>
      </c>
      <c r="AM2" s="150" t="s">
        <v>221</v>
      </c>
      <c r="AN2" s="147" t="s">
        <v>135</v>
      </c>
      <c r="AO2" s="285" t="s">
        <v>213</v>
      </c>
      <c r="AP2" s="302" t="s">
        <v>214</v>
      </c>
      <c r="AQ2" s="285" t="s">
        <v>218</v>
      </c>
      <c r="AR2" s="302" t="s">
        <v>212</v>
      </c>
      <c r="AS2" s="289" t="s">
        <v>214</v>
      </c>
      <c r="AT2" s="302" t="s">
        <v>215</v>
      </c>
      <c r="AU2" s="146" t="s">
        <v>140</v>
      </c>
      <c r="AV2" s="147" t="s">
        <v>139</v>
      </c>
      <c r="AW2" s="147" t="s">
        <v>119</v>
      </c>
      <c r="AX2" s="147" t="s">
        <v>143</v>
      </c>
      <c r="AY2" s="161" t="s">
        <v>146</v>
      </c>
      <c r="AZ2" s="147" t="s">
        <v>141</v>
      </c>
      <c r="BA2" s="152" t="s">
        <v>142</v>
      </c>
      <c r="BB2" s="153"/>
      <c r="BC2" s="154" t="s">
        <v>150</v>
      </c>
      <c r="BD2" s="155" t="s">
        <v>150</v>
      </c>
      <c r="BE2" s="156" t="s">
        <v>158</v>
      </c>
      <c r="BF2" s="157"/>
      <c r="BG2" s="158" t="s">
        <v>160</v>
      </c>
      <c r="BH2" s="157"/>
      <c r="BI2" s="158" t="s">
        <v>159</v>
      </c>
      <c r="BJ2" s="157"/>
      <c r="BK2" s="159" t="s">
        <v>161</v>
      </c>
      <c r="BL2" s="150" t="s">
        <v>211</v>
      </c>
      <c r="BM2" s="150"/>
      <c r="BN2" s="150"/>
      <c r="BO2" s="150"/>
      <c r="BP2" s="150"/>
      <c r="BQ2" s="150"/>
      <c r="BR2" s="150"/>
      <c r="BS2" s="150"/>
      <c r="BT2" s="150"/>
      <c r="BU2" s="150"/>
      <c r="CR2" s="147">
        <f>14/0.8</f>
        <v>17.5</v>
      </c>
    </row>
    <row r="3" spans="1:96" s="108" customFormat="1" ht="13.8" thickTop="1" x14ac:dyDescent="0.25">
      <c r="C3" s="110"/>
      <c r="G3" s="126"/>
      <c r="H3" s="131"/>
      <c r="P3" s="132"/>
      <c r="Q3" s="131"/>
      <c r="Y3" s="168"/>
      <c r="AA3" s="168"/>
      <c r="AB3" s="130"/>
      <c r="AF3" s="129"/>
      <c r="AG3" s="126"/>
      <c r="AK3" s="247"/>
      <c r="AO3" s="286"/>
      <c r="AP3" s="303"/>
      <c r="AQ3" s="286"/>
      <c r="AR3" s="303"/>
      <c r="AS3" s="286"/>
      <c r="AT3" s="303"/>
      <c r="AU3" s="128"/>
      <c r="AY3" s="130"/>
      <c r="BA3" s="129"/>
      <c r="BB3" s="118"/>
      <c r="BC3" s="119"/>
      <c r="BD3" s="118"/>
      <c r="BE3" s="113"/>
      <c r="BF3" s="114"/>
      <c r="BG3" s="113"/>
      <c r="BH3" s="114"/>
      <c r="BI3" s="113"/>
      <c r="BJ3" s="114"/>
      <c r="BK3" s="113"/>
      <c r="BL3" s="124"/>
      <c r="BM3" s="124"/>
      <c r="BN3" s="124"/>
      <c r="BO3" s="124"/>
      <c r="BP3" s="124"/>
      <c r="BQ3" s="124"/>
      <c r="BR3" s="124"/>
      <c r="BS3" s="124"/>
      <c r="BT3" s="124"/>
      <c r="BU3" s="124"/>
    </row>
    <row r="4" spans="1:96" s="174" customFormat="1" x14ac:dyDescent="0.25">
      <c r="A4" s="171">
        <v>1982</v>
      </c>
      <c r="B4" s="172">
        <f>C4-DATE(YEAR(C4),1,1)+1</f>
        <v>1</v>
      </c>
      <c r="C4" s="173">
        <v>29952</v>
      </c>
      <c r="E4" s="172" t="e">
        <f>VLOOKUP(C4,#REF!,2)</f>
        <v>#REF!</v>
      </c>
      <c r="F4" s="172"/>
      <c r="G4" s="171">
        <v>0</v>
      </c>
      <c r="H4" s="175"/>
      <c r="P4" s="176"/>
      <c r="Q4" s="175"/>
      <c r="Y4" s="177"/>
      <c r="AA4" s="177"/>
      <c r="AB4" s="178"/>
      <c r="AF4" s="179"/>
      <c r="AG4" s="171">
        <v>0</v>
      </c>
      <c r="AK4" s="247"/>
      <c r="AO4" s="286"/>
      <c r="AP4" s="303"/>
      <c r="AQ4" s="286"/>
      <c r="AR4" s="303"/>
      <c r="AS4" s="286"/>
      <c r="AT4" s="303"/>
      <c r="AU4" s="180"/>
      <c r="AY4" s="178"/>
      <c r="BA4" s="179"/>
      <c r="BC4" s="181"/>
      <c r="BE4" s="181"/>
      <c r="BG4" s="181"/>
      <c r="BI4" s="181"/>
      <c r="BK4" s="181"/>
      <c r="BL4" s="181"/>
      <c r="BM4" s="181"/>
      <c r="BN4" s="181"/>
      <c r="BO4" s="181"/>
      <c r="BP4" s="181"/>
      <c r="BQ4" s="181"/>
      <c r="BR4" s="181"/>
      <c r="BS4" s="181"/>
      <c r="BT4" s="181"/>
      <c r="BU4" s="181"/>
    </row>
    <row r="5" spans="1:96" s="174" customFormat="1" x14ac:dyDescent="0.25">
      <c r="A5" s="171">
        <v>1982</v>
      </c>
      <c r="B5" s="172">
        <f>C5-DATE(YEAR(C5),1,1)+1</f>
        <v>112</v>
      </c>
      <c r="C5" s="182">
        <v>30063</v>
      </c>
      <c r="E5" s="172" t="e">
        <f>VLOOKUP(C5,#REF!,2)</f>
        <v>#REF!</v>
      </c>
      <c r="F5" s="172">
        <v>0.05</v>
      </c>
      <c r="G5" s="171">
        <f>AA5</f>
        <v>185.89743589743588</v>
      </c>
      <c r="H5" s="175"/>
      <c r="N5" s="174">
        <v>145</v>
      </c>
      <c r="O5" s="174">
        <f>VLOOKUP(B5,$CJ$101:$CP$257, 7)</f>
        <v>0.62480000000000002</v>
      </c>
      <c r="P5" s="176">
        <f>N5/O5</f>
        <v>232.07426376440461</v>
      </c>
      <c r="Q5" s="175"/>
      <c r="W5" s="174">
        <v>145</v>
      </c>
      <c r="X5" s="174">
        <f>VLOOKUP(B5,$CJ$98:$CV$254, 13)</f>
        <v>0.78</v>
      </c>
      <c r="Y5" s="177">
        <f>W5/X5</f>
        <v>185.89743589743588</v>
      </c>
      <c r="Z5" s="174">
        <f>VLOOKUP(B5,$CG$86:$CI$242,2)</f>
        <v>1</v>
      </c>
      <c r="AA5" s="177">
        <f>Y5/Z5</f>
        <v>185.89743589743588</v>
      </c>
      <c r="AB5" s="178">
        <f>0.5*($B6-$B4)*G5</f>
        <v>13942.307692307691</v>
      </c>
      <c r="AC5" s="183">
        <f>AF5/$AF$1</f>
        <v>278.84615384615381</v>
      </c>
      <c r="AD5" s="174">
        <f>G5</f>
        <v>185.89743589743588</v>
      </c>
      <c r="AE5" s="206">
        <f>AC5/AD5</f>
        <v>1.5</v>
      </c>
      <c r="AF5" s="179">
        <f>AB5</f>
        <v>13942.307692307691</v>
      </c>
      <c r="AG5" s="171">
        <f>G5/AH5</f>
        <v>337.99533799533793</v>
      </c>
      <c r="AH5" s="174">
        <f>$AI$1</f>
        <v>0.55000000000000004</v>
      </c>
      <c r="AJ5" s="174">
        <f>AB5/AH5</f>
        <v>25349.650349650346</v>
      </c>
      <c r="AK5" s="248">
        <f>AN5/$AF$1</f>
        <v>506.99300699300693</v>
      </c>
      <c r="AL5" s="174">
        <f>AD5/AH5</f>
        <v>337.99533799533793</v>
      </c>
      <c r="AM5" s="181">
        <f>AK5/AL5</f>
        <v>1.5</v>
      </c>
      <c r="AN5" s="174">
        <f>AF5/AH5</f>
        <v>25349.650349650346</v>
      </c>
      <c r="AO5" s="286"/>
      <c r="AP5" s="303"/>
      <c r="AQ5" s="286">
        <f>AL5*$AP$188</f>
        <v>0</v>
      </c>
      <c r="AR5" s="303"/>
      <c r="AS5" s="286"/>
      <c r="AT5" s="303">
        <f>AL5*$AS$177</f>
        <v>0</v>
      </c>
      <c r="AU5" s="180"/>
      <c r="AY5" s="178"/>
      <c r="BA5" s="179"/>
      <c r="BC5" s="181"/>
      <c r="BE5" s="181"/>
      <c r="BG5" s="181"/>
      <c r="BI5" s="181"/>
      <c r="BK5" s="181"/>
      <c r="BL5" s="181"/>
      <c r="BM5" s="181"/>
      <c r="BN5" s="181"/>
      <c r="BO5" s="181"/>
      <c r="BP5" s="181"/>
      <c r="BQ5" s="181"/>
      <c r="BR5" s="181"/>
      <c r="BS5" s="181"/>
      <c r="BT5" s="181"/>
      <c r="BU5" s="181"/>
    </row>
    <row r="6" spans="1:96" s="174" customFormat="1" x14ac:dyDescent="0.25">
      <c r="A6" s="171">
        <v>1982</v>
      </c>
      <c r="B6" s="172">
        <f>C6-DATE(YEAR(C6),1,1)+1</f>
        <v>151</v>
      </c>
      <c r="C6" s="173">
        <v>30102</v>
      </c>
      <c r="E6" s="172" t="e">
        <f>VLOOKUP(C6,#REF!,2)</f>
        <v>#REF!</v>
      </c>
      <c r="F6" s="172"/>
      <c r="G6" s="171">
        <f>AA6</f>
        <v>0</v>
      </c>
      <c r="H6" s="175"/>
      <c r="P6" s="176"/>
      <c r="Q6" s="175"/>
      <c r="Y6" s="177"/>
      <c r="AA6" s="177"/>
      <c r="AB6" s="178"/>
      <c r="AC6" s="183"/>
      <c r="AE6" s="206"/>
      <c r="AF6" s="179"/>
      <c r="AG6" s="171">
        <f>G6/AH6</f>
        <v>0</v>
      </c>
      <c r="AH6" s="174">
        <f t="shared" ref="AH6:AH86" si="0">$AI$1</f>
        <v>0.55000000000000004</v>
      </c>
      <c r="AJ6" s="174">
        <f t="shared" ref="AJ6:AJ69" si="1">AB6/AH6</f>
        <v>0</v>
      </c>
      <c r="AK6" s="248"/>
      <c r="AL6" s="174">
        <f t="shared" ref="AL6:AL69" si="2">AD6/AH6</f>
        <v>0</v>
      </c>
      <c r="AN6" s="174">
        <f t="shared" ref="AN6:AN69" si="3">AF6/AH6</f>
        <v>0</v>
      </c>
      <c r="AO6" s="286"/>
      <c r="AP6" s="303"/>
      <c r="AQ6" s="286"/>
      <c r="AR6" s="303"/>
      <c r="AS6" s="286"/>
      <c r="AT6" s="303"/>
      <c r="AU6" s="180"/>
      <c r="AY6" s="178"/>
      <c r="BA6" s="179"/>
      <c r="BC6" s="181"/>
      <c r="BE6" s="181"/>
      <c r="BG6" s="181"/>
      <c r="BI6" s="181"/>
      <c r="BK6" s="181"/>
      <c r="BL6" s="181"/>
      <c r="BM6" s="181"/>
      <c r="BN6" s="181"/>
      <c r="BO6" s="181"/>
      <c r="BP6" s="181"/>
      <c r="BQ6" s="181"/>
      <c r="BR6" s="181"/>
      <c r="BS6" s="181"/>
      <c r="BT6" s="181"/>
      <c r="BU6" s="181"/>
    </row>
    <row r="7" spans="1:96" s="108" customFormat="1" x14ac:dyDescent="0.25">
      <c r="A7" s="126">
        <v>1983</v>
      </c>
      <c r="B7">
        <f t="shared" ref="B7:B15" si="4">C7-DATE(YEAR(C7),1,1)+1</f>
        <v>1</v>
      </c>
      <c r="C7" s="110">
        <v>30317</v>
      </c>
      <c r="E7" t="e">
        <f>VLOOKUP(C7,#REF!,2)</f>
        <v>#REF!</v>
      </c>
      <c r="F7"/>
      <c r="G7" s="126">
        <v>0</v>
      </c>
      <c r="H7" s="131"/>
      <c r="P7" s="132"/>
      <c r="Q7" s="131"/>
      <c r="Y7" s="168"/>
      <c r="AA7" s="168"/>
      <c r="AB7" s="130"/>
      <c r="AC7" s="61"/>
      <c r="AE7" s="73"/>
      <c r="AF7" s="129"/>
      <c r="AG7" s="171">
        <f>AHM77</f>
        <v>0</v>
      </c>
      <c r="AH7" s="108">
        <f t="shared" si="0"/>
        <v>0.55000000000000004</v>
      </c>
      <c r="AJ7" s="174">
        <f t="shared" si="1"/>
        <v>0</v>
      </c>
      <c r="AK7" s="248"/>
      <c r="AL7" s="174">
        <f t="shared" si="2"/>
        <v>0</v>
      </c>
      <c r="AN7" s="174">
        <f t="shared" si="3"/>
        <v>0</v>
      </c>
      <c r="AO7" s="286"/>
      <c r="AP7" s="303"/>
      <c r="AQ7" s="286"/>
      <c r="AR7" s="303"/>
      <c r="AS7" s="286"/>
      <c r="AT7" s="303"/>
      <c r="AU7" s="128"/>
      <c r="AY7" s="130"/>
      <c r="BA7" s="129"/>
      <c r="BB7" s="118"/>
      <c r="BC7" s="119"/>
      <c r="BD7" s="118"/>
      <c r="BE7" s="113"/>
      <c r="BF7" s="114"/>
      <c r="BG7" s="113"/>
      <c r="BH7" s="114"/>
      <c r="BI7" s="113"/>
      <c r="BJ7" s="114"/>
      <c r="BK7" s="113"/>
      <c r="BL7" s="124"/>
      <c r="BM7" s="124"/>
      <c r="BN7" s="124"/>
      <c r="BO7" s="124"/>
      <c r="BP7" s="124"/>
      <c r="BQ7" s="124"/>
      <c r="BR7" s="124"/>
      <c r="BS7" s="124"/>
      <c r="BT7" s="124"/>
      <c r="BU7" s="124"/>
    </row>
    <row r="8" spans="1:96" s="108" customFormat="1" x14ac:dyDescent="0.25">
      <c r="A8" s="126">
        <v>1983</v>
      </c>
      <c r="B8">
        <f t="shared" si="4"/>
        <v>83</v>
      </c>
      <c r="C8" s="127">
        <v>30399</v>
      </c>
      <c r="E8" t="e">
        <f>VLOOKUP(C8,#REF!,2)</f>
        <v>#REF!</v>
      </c>
      <c r="F8">
        <v>0.1</v>
      </c>
      <c r="G8" s="126">
        <f>S8</f>
        <v>212.67605633802819</v>
      </c>
      <c r="H8" s="131">
        <v>151</v>
      </c>
      <c r="I8" s="108">
        <f>VLOOKUP(B8,$CJ$97:$CP$253, 6)</f>
        <v>0.77490000000000003</v>
      </c>
      <c r="J8" s="108">
        <f>H8/I8</f>
        <v>194.86385340043876</v>
      </c>
      <c r="P8" s="132"/>
      <c r="Q8" s="131">
        <v>151</v>
      </c>
      <c r="R8" s="108">
        <f>VLOOKUP(B8,CJ61:CV227, 12)</f>
        <v>0.71</v>
      </c>
      <c r="S8" s="108">
        <f>Q8/R8</f>
        <v>212.67605633802819</v>
      </c>
      <c r="Y8" s="168"/>
      <c r="Z8" s="108">
        <f>VLOOKUP(B8,$CG$86:$CI$242,2)</f>
        <v>0.72899999999999998</v>
      </c>
      <c r="AA8" s="168">
        <f>S8/Z8</f>
        <v>291.73670279564908</v>
      </c>
      <c r="AB8" s="130">
        <f>0.5*(B8-B7)*G8</f>
        <v>8719.7183098591559</v>
      </c>
      <c r="AC8" s="61">
        <f>AF8/$AF$1</f>
        <v>461.34066368170022</v>
      </c>
      <c r="AD8" s="108">
        <f>G10</f>
        <v>326.39061765275358</v>
      </c>
      <c r="AE8" s="73">
        <f>AC8/AD8</f>
        <v>1.4134617808546193</v>
      </c>
      <c r="AF8" s="129">
        <f>SUM(AB8:AB11)</f>
        <v>23067.033184085012</v>
      </c>
      <c r="AG8" s="171">
        <f>G8/AH8</f>
        <v>386.68373879641484</v>
      </c>
      <c r="AH8" s="108">
        <f t="shared" si="0"/>
        <v>0.55000000000000004</v>
      </c>
      <c r="AJ8" s="174">
        <f>AB8/AH8</f>
        <v>15854.033290653009</v>
      </c>
      <c r="AK8" s="248">
        <f>AN8/$AN$1</f>
        <v>838.80120669400048</v>
      </c>
      <c r="AL8" s="174">
        <f t="shared" si="2"/>
        <v>593.43748664137013</v>
      </c>
      <c r="AM8" s="108">
        <f>AK8/AL8</f>
        <v>1.4134617808546195</v>
      </c>
      <c r="AN8" s="174">
        <f t="shared" si="3"/>
        <v>41940.060334700021</v>
      </c>
      <c r="AO8" s="286"/>
      <c r="AP8" s="303"/>
      <c r="AQ8" s="286">
        <f>AL8*$AP$188</f>
        <v>0</v>
      </c>
      <c r="AR8" s="303"/>
      <c r="AS8" s="286"/>
      <c r="AT8" s="303">
        <f>AL8*$AS$177</f>
        <v>0</v>
      </c>
      <c r="AU8" s="128"/>
      <c r="AY8" s="130"/>
      <c r="BA8" s="129"/>
      <c r="BB8" s="118"/>
      <c r="BC8" s="119"/>
      <c r="BD8" s="118"/>
      <c r="BE8" s="113"/>
      <c r="BF8" s="114"/>
      <c r="BG8" s="113"/>
      <c r="BH8" s="114"/>
      <c r="BI8" s="113"/>
      <c r="BJ8" s="114"/>
      <c r="BK8" s="113"/>
      <c r="BL8" s="124"/>
      <c r="BM8" s="124"/>
      <c r="BN8" s="124"/>
      <c r="BO8" s="124"/>
      <c r="BP8" s="124"/>
      <c r="BQ8" s="124"/>
      <c r="BR8" s="124"/>
      <c r="BS8" s="124"/>
      <c r="BT8" s="124"/>
      <c r="BU8" s="124"/>
    </row>
    <row r="9" spans="1:96" s="108" customFormat="1" x14ac:dyDescent="0.25">
      <c r="A9" s="126">
        <v>1983</v>
      </c>
      <c r="B9">
        <f t="shared" si="4"/>
        <v>103</v>
      </c>
      <c r="C9" s="127">
        <v>30419</v>
      </c>
      <c r="E9" t="e">
        <f>VLOOKUP(C9,#REF!,2)</f>
        <v>#REF!</v>
      </c>
      <c r="F9">
        <v>0.15</v>
      </c>
      <c r="G9" s="126">
        <f>Y9</f>
        <v>302.56410256410254</v>
      </c>
      <c r="H9" s="131"/>
      <c r="N9" s="108">
        <v>236</v>
      </c>
      <c r="O9" s="108">
        <f>VLOOKUP(B9,$CJ$101:$CP$257, 7)</f>
        <v>0.65810000000000002</v>
      </c>
      <c r="P9" s="132">
        <f>N9/O9</f>
        <v>358.60811426834829</v>
      </c>
      <c r="Q9" s="131"/>
      <c r="W9" s="108">
        <v>236</v>
      </c>
      <c r="X9" s="108">
        <f>VLOOKUP(B9,$CJ$98:$CV$254, 13)</f>
        <v>0.78</v>
      </c>
      <c r="Y9" s="168">
        <f>W9/X9</f>
        <v>302.56410256410254</v>
      </c>
      <c r="Z9" s="108">
        <f>VLOOKUP(B9,$CG$86:$CI$242,2)</f>
        <v>0.92699999999999994</v>
      </c>
      <c r="AA9" s="168">
        <f>Y9/Z9</f>
        <v>326.39061765275358</v>
      </c>
      <c r="AB9" s="130">
        <f>((B9-B8)*G9)-((B9-B8)*(G9-G8)*0.5)</f>
        <v>5152.4015890213068</v>
      </c>
      <c r="AC9" s="61"/>
      <c r="AE9" s="73"/>
      <c r="AF9" s="129"/>
      <c r="AG9" s="171">
        <f t="shared" ref="AG9:AG16" si="5">G9/AH9</f>
        <v>550.11655011655</v>
      </c>
      <c r="AH9" s="108">
        <f t="shared" si="0"/>
        <v>0.55000000000000004</v>
      </c>
      <c r="AJ9" s="174">
        <f t="shared" si="1"/>
        <v>9368.0028891296479</v>
      </c>
      <c r="AK9" s="248"/>
      <c r="AL9" s="174">
        <f t="shared" si="2"/>
        <v>0</v>
      </c>
      <c r="AN9" s="174">
        <f t="shared" si="3"/>
        <v>0</v>
      </c>
      <c r="AO9" s="286"/>
      <c r="AP9" s="303"/>
      <c r="AQ9" s="286"/>
      <c r="AR9" s="303"/>
      <c r="AS9" s="286"/>
      <c r="AT9" s="303"/>
      <c r="AU9" s="128"/>
      <c r="AY9" s="130"/>
      <c r="BA9" s="129"/>
      <c r="BB9" s="118"/>
      <c r="BC9" s="119"/>
      <c r="BD9" s="118"/>
      <c r="BE9" s="113"/>
      <c r="BF9" s="114"/>
      <c r="BG9" s="113"/>
      <c r="BH9" s="114"/>
      <c r="BI9" s="113"/>
      <c r="BJ9" s="114"/>
      <c r="BK9" s="113"/>
      <c r="BL9" s="124"/>
      <c r="BM9" s="124"/>
      <c r="BN9" s="124"/>
      <c r="BO9" s="124"/>
      <c r="BP9" s="124"/>
      <c r="BQ9" s="124"/>
      <c r="BR9" s="124"/>
      <c r="BS9" s="124"/>
      <c r="BT9" s="124"/>
      <c r="BU9" s="124"/>
    </row>
    <row r="10" spans="1:96" s="163" customFormat="1" x14ac:dyDescent="0.25">
      <c r="A10" s="253">
        <v>1983</v>
      </c>
      <c r="B10" s="125">
        <f t="shared" si="4"/>
        <v>112</v>
      </c>
      <c r="C10" s="254">
        <v>30428</v>
      </c>
      <c r="E10" s="125" t="e">
        <f>VLOOKUP(C10,#REF!,2)</f>
        <v>#REF!</v>
      </c>
      <c r="F10" s="125">
        <v>0.15</v>
      </c>
      <c r="G10" s="253">
        <f>AA9</f>
        <v>326.39061765275358</v>
      </c>
      <c r="H10" s="255"/>
      <c r="P10" s="256"/>
      <c r="Q10" s="255"/>
      <c r="Y10" s="257"/>
      <c r="AA10" s="257"/>
      <c r="AB10" s="130">
        <f>((B10-B9)*G10)-((B10-B9)*(G10-G9)*0.5)</f>
        <v>2830.2962409758525</v>
      </c>
      <c r="AC10" s="259"/>
      <c r="AE10" s="277"/>
      <c r="AF10" s="260"/>
      <c r="AG10" s="171">
        <f t="shared" si="5"/>
        <v>593.43748664137013</v>
      </c>
      <c r="AH10" s="108">
        <f t="shared" si="0"/>
        <v>0.55000000000000004</v>
      </c>
      <c r="AJ10" s="174">
        <f t="shared" si="1"/>
        <v>5145.9931654106404</v>
      </c>
      <c r="AK10" s="261"/>
      <c r="AL10" s="174">
        <f t="shared" si="2"/>
        <v>0</v>
      </c>
      <c r="AN10" s="174">
        <f t="shared" si="3"/>
        <v>0</v>
      </c>
      <c r="AO10" s="286"/>
      <c r="AP10" s="303"/>
      <c r="AQ10" s="286"/>
      <c r="AR10" s="303"/>
      <c r="AS10" s="286"/>
      <c r="AT10" s="303"/>
      <c r="AU10" s="262"/>
      <c r="AY10" s="258"/>
      <c r="BA10" s="260"/>
      <c r="BB10" s="263"/>
      <c r="BC10" s="263"/>
      <c r="BD10" s="263"/>
      <c r="BE10" s="264"/>
      <c r="BF10" s="264"/>
      <c r="BG10" s="264"/>
      <c r="BH10" s="264"/>
      <c r="BI10" s="264"/>
      <c r="BJ10" s="264"/>
      <c r="BK10" s="264"/>
    </row>
    <row r="11" spans="1:96" s="108" customFormat="1" x14ac:dyDescent="0.25">
      <c r="A11" s="126">
        <v>1983</v>
      </c>
      <c r="B11">
        <f t="shared" si="4"/>
        <v>151</v>
      </c>
      <c r="C11" s="110">
        <v>30467</v>
      </c>
      <c r="E11" t="e">
        <f>VLOOKUP(C11,#REF!,2)</f>
        <v>#REF!</v>
      </c>
      <c r="F11"/>
      <c r="G11" s="126">
        <v>0</v>
      </c>
      <c r="H11" s="131"/>
      <c r="P11" s="132"/>
      <c r="Q11" s="131"/>
      <c r="Y11" s="168"/>
      <c r="AA11" s="168"/>
      <c r="AB11" s="130">
        <f>0.5*(B11-B10)*G10</f>
        <v>6364.6170442286948</v>
      </c>
      <c r="AC11" s="61"/>
      <c r="AE11" s="73"/>
      <c r="AF11" s="129"/>
      <c r="AG11" s="171">
        <f t="shared" si="5"/>
        <v>0</v>
      </c>
      <c r="AH11" s="108">
        <f t="shared" si="0"/>
        <v>0.55000000000000004</v>
      </c>
      <c r="AJ11" s="174">
        <f t="shared" si="1"/>
        <v>11572.030989506717</v>
      </c>
      <c r="AK11" s="248"/>
      <c r="AL11" s="174">
        <f t="shared" si="2"/>
        <v>0</v>
      </c>
      <c r="AN11" s="174">
        <f t="shared" si="3"/>
        <v>0</v>
      </c>
      <c r="AO11" s="286"/>
      <c r="AP11" s="303"/>
      <c r="AQ11" s="286"/>
      <c r="AR11" s="303"/>
      <c r="AS11" s="286"/>
      <c r="AT11" s="303"/>
      <c r="AU11" s="128"/>
      <c r="AY11" s="130"/>
      <c r="BA11" s="129"/>
      <c r="BB11" s="118"/>
      <c r="BC11" s="119"/>
      <c r="BD11" s="118"/>
      <c r="BE11" s="113"/>
      <c r="BF11" s="114"/>
      <c r="BG11" s="113"/>
      <c r="BH11" s="114"/>
      <c r="BI11" s="113"/>
      <c r="BJ11" s="114"/>
      <c r="BK11" s="113"/>
      <c r="BL11" s="124"/>
      <c r="BM11" s="124"/>
      <c r="BN11" s="124"/>
      <c r="BO11" s="124"/>
      <c r="BP11" s="124"/>
      <c r="BQ11" s="124"/>
      <c r="BR11" s="124"/>
      <c r="BS11" s="124"/>
      <c r="BT11" s="124"/>
      <c r="BU11" s="124"/>
    </row>
    <row r="12" spans="1:96" s="174" customFormat="1" x14ac:dyDescent="0.25">
      <c r="A12" s="171">
        <v>1984</v>
      </c>
      <c r="B12" s="172">
        <f t="shared" si="4"/>
        <v>1</v>
      </c>
      <c r="C12" s="173">
        <v>30682</v>
      </c>
      <c r="E12" s="172" t="e">
        <f>VLOOKUP(C12,#REF!,2)</f>
        <v>#REF!</v>
      </c>
      <c r="F12" s="172"/>
      <c r="G12" s="171">
        <f>AA12</f>
        <v>0</v>
      </c>
      <c r="H12" s="175"/>
      <c r="P12" s="176"/>
      <c r="Q12" s="175"/>
      <c r="Y12" s="177"/>
      <c r="AA12" s="177"/>
      <c r="AB12" s="178"/>
      <c r="AC12" s="183"/>
      <c r="AE12" s="206"/>
      <c r="AF12" s="179"/>
      <c r="AG12" s="171">
        <f t="shared" si="5"/>
        <v>0</v>
      </c>
      <c r="AH12" s="108">
        <f t="shared" si="0"/>
        <v>0.55000000000000004</v>
      </c>
      <c r="AJ12" s="174">
        <f t="shared" si="1"/>
        <v>0</v>
      </c>
      <c r="AK12" s="248"/>
      <c r="AL12" s="174">
        <f t="shared" si="2"/>
        <v>0</v>
      </c>
      <c r="AN12" s="174">
        <f t="shared" si="3"/>
        <v>0</v>
      </c>
      <c r="AO12" s="286"/>
      <c r="AP12" s="303"/>
      <c r="AQ12" s="286"/>
      <c r="AR12" s="303"/>
      <c r="AS12" s="286"/>
      <c r="AT12" s="303"/>
      <c r="AU12" s="180"/>
      <c r="AY12" s="178"/>
      <c r="BA12" s="179"/>
      <c r="BC12" s="181"/>
      <c r="BE12" s="181"/>
      <c r="BG12" s="181"/>
      <c r="BI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</row>
    <row r="13" spans="1:96" s="174" customFormat="1" x14ac:dyDescent="0.25">
      <c r="A13" s="171">
        <v>1984</v>
      </c>
      <c r="B13" s="172">
        <f t="shared" si="4"/>
        <v>93</v>
      </c>
      <c r="C13" s="182">
        <v>30774</v>
      </c>
      <c r="E13" s="172" t="e">
        <f>VLOOKUP(C13,#REF!,2)</f>
        <v>#REF!</v>
      </c>
      <c r="F13" s="172">
        <v>0.26</v>
      </c>
      <c r="G13" s="171">
        <f>S13</f>
        <v>297.64705882352939</v>
      </c>
      <c r="H13" s="175">
        <v>253</v>
      </c>
      <c r="I13" s="184">
        <v>0.85</v>
      </c>
      <c r="J13" s="174">
        <f>H13/I13</f>
        <v>297.64705882352939</v>
      </c>
      <c r="P13" s="176"/>
      <c r="Q13" s="175">
        <v>253</v>
      </c>
      <c r="R13" s="184">
        <v>0.85</v>
      </c>
      <c r="S13" s="174">
        <f>Q13/R13</f>
        <v>297.64705882352939</v>
      </c>
      <c r="Y13" s="177"/>
      <c r="Z13" s="174">
        <f>VLOOKUP(B13,$CG$86:$CI$242,2)</f>
        <v>0.83699999999999997</v>
      </c>
      <c r="AA13" s="177">
        <f>S13/Z13</f>
        <v>355.61177876168387</v>
      </c>
      <c r="AB13" s="178">
        <f>0.5*($B15-$B12)*$G13</f>
        <v>22472.352941176468</v>
      </c>
      <c r="AC13" s="183">
        <f>AF13/$AF$1</f>
        <v>718.78742005762865</v>
      </c>
      <c r="AD13" s="174">
        <f>G14</f>
        <v>355.61177876168387</v>
      </c>
      <c r="AE13" s="206">
        <f>AC13/AD13</f>
        <v>2.0212699999999999</v>
      </c>
      <c r="AF13" s="179">
        <f>SUM(AB12:AB15)</f>
        <v>35939.371002881431</v>
      </c>
      <c r="AG13" s="171">
        <f>G13/AH13</f>
        <v>541.17647058823525</v>
      </c>
      <c r="AH13" s="108">
        <f t="shared" si="0"/>
        <v>0.55000000000000004</v>
      </c>
      <c r="AJ13" s="174">
        <f t="shared" si="1"/>
        <v>40858.823529411755</v>
      </c>
      <c r="AK13" s="248">
        <f>AN13/$AF$1</f>
        <v>1306.8862182865973</v>
      </c>
      <c r="AL13" s="174">
        <f>AD13/AH13</f>
        <v>646.56687047578885</v>
      </c>
      <c r="AM13" s="174">
        <f>AK13/AL13</f>
        <v>2.0212699999999995</v>
      </c>
      <c r="AN13" s="174">
        <f t="shared" si="3"/>
        <v>65344.310914329872</v>
      </c>
      <c r="AO13" s="286"/>
      <c r="AP13" s="303"/>
      <c r="AQ13" s="286">
        <f>AL13*$AP$188</f>
        <v>0</v>
      </c>
      <c r="AR13" s="303"/>
      <c r="AS13" s="286"/>
      <c r="AT13" s="303">
        <f>AL13*$AS$177</f>
        <v>0</v>
      </c>
      <c r="AU13" s="180"/>
      <c r="AY13" s="178"/>
      <c r="BA13" s="179"/>
      <c r="BC13" s="181"/>
      <c r="BE13" s="181"/>
      <c r="BG13" s="181"/>
      <c r="BI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1"/>
    </row>
    <row r="14" spans="1:96" s="184" customFormat="1" x14ac:dyDescent="0.25">
      <c r="A14" s="265">
        <v>1984</v>
      </c>
      <c r="B14" s="186">
        <f>C14-DATE(YEAR(C14),1,1)+1</f>
        <v>113</v>
      </c>
      <c r="C14" s="266">
        <v>30794</v>
      </c>
      <c r="E14" s="186" t="e">
        <f>VLOOKUP(C14,#REF!,2)</f>
        <v>#REF!</v>
      </c>
      <c r="F14" s="186">
        <v>0.26</v>
      </c>
      <c r="G14" s="265">
        <f>AA13</f>
        <v>355.61177876168387</v>
      </c>
      <c r="H14" s="267"/>
      <c r="P14" s="268"/>
      <c r="Q14" s="267"/>
      <c r="Y14" s="269"/>
      <c r="AA14" s="269"/>
      <c r="AB14" s="178">
        <f>((B14-B13)*G14)-((B14-B13)*(G14-G13)*0.5)</f>
        <v>6532.5883758521322</v>
      </c>
      <c r="AC14" s="271"/>
      <c r="AE14" s="278"/>
      <c r="AF14" s="272"/>
      <c r="AG14" s="171">
        <f>G14/AH14</f>
        <v>646.56687047578885</v>
      </c>
      <c r="AH14" s="108">
        <f t="shared" si="0"/>
        <v>0.55000000000000004</v>
      </c>
      <c r="AJ14" s="174">
        <f>AB14/AH14</f>
        <v>11877.43341064024</v>
      </c>
      <c r="AK14" s="261"/>
      <c r="AL14" s="174">
        <f t="shared" si="2"/>
        <v>0</v>
      </c>
      <c r="AN14" s="174">
        <f t="shared" si="3"/>
        <v>0</v>
      </c>
      <c r="AO14" s="286"/>
      <c r="AP14" s="303"/>
      <c r="AQ14" s="286"/>
      <c r="AR14" s="303"/>
      <c r="AS14" s="286"/>
      <c r="AT14" s="303"/>
      <c r="AU14" s="273"/>
      <c r="AY14" s="270"/>
      <c r="BA14" s="272"/>
    </row>
    <row r="15" spans="1:96" s="174" customFormat="1" x14ac:dyDescent="0.25">
      <c r="A15" s="171">
        <v>1984</v>
      </c>
      <c r="B15" s="172">
        <f t="shared" si="4"/>
        <v>152</v>
      </c>
      <c r="C15" s="173">
        <v>30833</v>
      </c>
      <c r="E15" s="172" t="e">
        <f>VLOOKUP(C15,#REF!,2)</f>
        <v>#REF!</v>
      </c>
      <c r="F15" s="172"/>
      <c r="G15" s="171">
        <f>AA15</f>
        <v>0</v>
      </c>
      <c r="H15" s="175"/>
      <c r="I15" s="184"/>
      <c r="P15" s="176"/>
      <c r="Q15" s="175"/>
      <c r="R15" s="185" t="s">
        <v>184</v>
      </c>
      <c r="Y15" s="177"/>
      <c r="AA15" s="177"/>
      <c r="AB15" s="274">
        <f>0.5*(B15-B14)*G14</f>
        <v>6934.4296858528351</v>
      </c>
      <c r="AC15" s="183"/>
      <c r="AE15" s="206"/>
      <c r="AF15" s="179"/>
      <c r="AG15" s="171">
        <f t="shared" si="5"/>
        <v>0</v>
      </c>
      <c r="AH15" s="108">
        <f t="shared" si="0"/>
        <v>0.55000000000000004</v>
      </c>
      <c r="AJ15" s="174">
        <f t="shared" si="1"/>
        <v>12608.05397427788</v>
      </c>
      <c r="AK15" s="248"/>
      <c r="AL15" s="174">
        <f t="shared" si="2"/>
        <v>0</v>
      </c>
      <c r="AN15" s="174">
        <f t="shared" si="3"/>
        <v>0</v>
      </c>
      <c r="AO15" s="286"/>
      <c r="AP15" s="303"/>
      <c r="AQ15" s="286"/>
      <c r="AR15" s="303"/>
      <c r="AS15" s="286"/>
      <c r="AT15" s="303"/>
      <c r="AU15" s="180"/>
      <c r="AY15" s="178"/>
      <c r="BA15" s="179"/>
      <c r="BC15" s="181"/>
      <c r="BE15" s="181"/>
      <c r="BG15" s="181"/>
      <c r="BI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</row>
    <row r="16" spans="1:96" s="108" customFormat="1" x14ac:dyDescent="0.25">
      <c r="A16" s="126">
        <v>1985</v>
      </c>
      <c r="B16">
        <f t="shared" ref="B16:B23" si="6">C16-DATE(YEAR(C16),1,1)+1</f>
        <v>1</v>
      </c>
      <c r="C16" s="110">
        <v>31048</v>
      </c>
      <c r="E16" t="e">
        <f>VLOOKUP(C16,#REF!,2)</f>
        <v>#REF!</v>
      </c>
      <c r="F16"/>
      <c r="G16" s="126">
        <v>0</v>
      </c>
      <c r="H16" s="131"/>
      <c r="I16" s="163"/>
      <c r="P16" s="132"/>
      <c r="Q16" s="131"/>
      <c r="Y16" s="168"/>
      <c r="AA16" s="168"/>
      <c r="AB16" s="130"/>
      <c r="AC16" s="61"/>
      <c r="AE16" s="73"/>
      <c r="AF16" s="129"/>
      <c r="AG16" s="171">
        <f t="shared" si="5"/>
        <v>0</v>
      </c>
      <c r="AH16" s="108">
        <f t="shared" si="0"/>
        <v>0.55000000000000004</v>
      </c>
      <c r="AJ16" s="174">
        <f t="shared" si="1"/>
        <v>0</v>
      </c>
      <c r="AK16" s="248"/>
      <c r="AL16" s="174">
        <f t="shared" si="2"/>
        <v>0</v>
      </c>
      <c r="AN16" s="174">
        <f t="shared" si="3"/>
        <v>0</v>
      </c>
      <c r="AO16" s="286"/>
      <c r="AP16" s="303"/>
      <c r="AQ16" s="286"/>
      <c r="AR16" s="303"/>
      <c r="AS16" s="286"/>
      <c r="AT16" s="303"/>
      <c r="AU16" s="128"/>
      <c r="AY16" s="130"/>
      <c r="BA16" s="129"/>
      <c r="BB16" s="118"/>
      <c r="BC16" s="119"/>
      <c r="BD16" s="118"/>
      <c r="BE16" s="113"/>
      <c r="BF16" s="114"/>
      <c r="BG16" s="113"/>
      <c r="BH16" s="114"/>
      <c r="BI16" s="113"/>
      <c r="BJ16" s="114"/>
      <c r="BK16" s="113"/>
      <c r="BL16" s="124"/>
      <c r="BM16" s="124"/>
      <c r="BN16" s="124"/>
      <c r="BO16" s="124"/>
      <c r="BP16" s="124"/>
      <c r="BQ16" s="124"/>
      <c r="BR16" s="124"/>
      <c r="BS16" s="124"/>
      <c r="BT16" s="124"/>
      <c r="BU16" s="124"/>
    </row>
    <row r="17" spans="1:73" s="108" customFormat="1" x14ac:dyDescent="0.25">
      <c r="A17" s="126">
        <v>1985</v>
      </c>
      <c r="B17">
        <f t="shared" si="6"/>
        <v>101</v>
      </c>
      <c r="C17" s="127">
        <v>31148</v>
      </c>
      <c r="E17" t="e">
        <f>VLOOKUP(C17,#REF!,2)</f>
        <v>#REF!</v>
      </c>
      <c r="F17">
        <v>0.28000000000000003</v>
      </c>
      <c r="G17" s="126">
        <v>471</v>
      </c>
      <c r="H17" s="131"/>
      <c r="I17" s="163"/>
      <c r="P17" s="132"/>
      <c r="Q17" s="131"/>
      <c r="S17" s="108">
        <v>471</v>
      </c>
      <c r="Y17" s="168"/>
      <c r="Z17" s="108">
        <f>VLOOKUP(B17,$CG$86:$CI$242,2)</f>
        <v>0.90899999999999992</v>
      </c>
      <c r="AA17" s="168">
        <f>S17/Z17</f>
        <v>518.15181518151815</v>
      </c>
      <c r="AB17" s="130">
        <f>0.5*($B19-$B16)*$G17</f>
        <v>35325</v>
      </c>
      <c r="AC17" s="61">
        <f>AF17/$AF$1</f>
        <v>1017.3859075907592</v>
      </c>
      <c r="AD17" s="108">
        <f>G18</f>
        <v>518.15181518151815</v>
      </c>
      <c r="AE17" s="73">
        <f>AC17/AD17</f>
        <v>1.9634900000000002</v>
      </c>
      <c r="AF17" s="129">
        <f>SUM(AB17:AB19)</f>
        <v>50869.295379537958</v>
      </c>
      <c r="AG17" s="171">
        <f t="shared" ref="AG17:AG80" si="7">G17/AH17</f>
        <v>856.36363636363626</v>
      </c>
      <c r="AH17" s="108">
        <f t="shared" si="0"/>
        <v>0.55000000000000004</v>
      </c>
      <c r="AJ17" s="174">
        <f t="shared" si="1"/>
        <v>64227.272727272721</v>
      </c>
      <c r="AK17" s="248">
        <f>AN17/$AN$1</f>
        <v>1849.7925592559257</v>
      </c>
      <c r="AL17" s="174">
        <f>AD17/AH17</f>
        <v>942.09420942094198</v>
      </c>
      <c r="AM17" s="108">
        <f>AK17/AL17</f>
        <v>1.9634900000000004</v>
      </c>
      <c r="AN17" s="174">
        <f t="shared" si="3"/>
        <v>92489.627962796279</v>
      </c>
      <c r="AO17" s="286"/>
      <c r="AP17" s="303"/>
      <c r="AQ17" s="286">
        <f>AL17*$AP$188</f>
        <v>0</v>
      </c>
      <c r="AR17" s="303"/>
      <c r="AS17" s="286"/>
      <c r="AT17" s="303">
        <f>AL17*$AS$177</f>
        <v>0</v>
      </c>
      <c r="AU17" s="128"/>
      <c r="AY17" s="130"/>
      <c r="BA17" s="129"/>
      <c r="BB17" s="118"/>
      <c r="BC17" s="119"/>
      <c r="BD17" s="118"/>
      <c r="BE17" s="113"/>
      <c r="BF17" s="114"/>
      <c r="BG17" s="113"/>
      <c r="BH17" s="114"/>
      <c r="BI17" s="113"/>
      <c r="BJ17" s="114"/>
      <c r="BK17" s="113"/>
      <c r="BL17" s="124"/>
      <c r="BM17" s="124"/>
      <c r="BN17" s="124"/>
      <c r="BO17" s="124"/>
      <c r="BP17" s="124"/>
      <c r="BQ17" s="124"/>
      <c r="BR17" s="124"/>
      <c r="BS17" s="124"/>
      <c r="BT17" s="124"/>
      <c r="BU17" s="124"/>
    </row>
    <row r="18" spans="1:73" s="163" customFormat="1" x14ac:dyDescent="0.25">
      <c r="A18" s="253">
        <v>1985</v>
      </c>
      <c r="B18" s="125">
        <f t="shared" si="6"/>
        <v>112</v>
      </c>
      <c r="C18" s="254">
        <v>31159</v>
      </c>
      <c r="E18" s="125" t="e">
        <f>VLOOKUP(C18,#REF!,2)</f>
        <v>#REF!</v>
      </c>
      <c r="F18" s="125">
        <v>0.28000000000000003</v>
      </c>
      <c r="G18" s="253">
        <f>AA17</f>
        <v>518.15181518151815</v>
      </c>
      <c r="H18" s="255"/>
      <c r="P18" s="256"/>
      <c r="Q18" s="255"/>
      <c r="Y18" s="257"/>
      <c r="AA18" s="257"/>
      <c r="AB18" s="275">
        <f>((B18-B17)*G18)-((B18-B17)*(G18-G17)*0.5)</f>
        <v>5440.3349834983492</v>
      </c>
      <c r="AC18" s="259"/>
      <c r="AE18" s="277"/>
      <c r="AF18" s="260"/>
      <c r="AG18" s="171">
        <f t="shared" si="7"/>
        <v>942.09420942094198</v>
      </c>
      <c r="AH18" s="108">
        <f t="shared" si="0"/>
        <v>0.55000000000000004</v>
      </c>
      <c r="AJ18" s="174">
        <f t="shared" si="1"/>
        <v>9891.5181518151803</v>
      </c>
      <c r="AK18" s="261"/>
      <c r="AL18" s="174">
        <f t="shared" si="2"/>
        <v>0</v>
      </c>
      <c r="AN18" s="174">
        <f t="shared" si="3"/>
        <v>0</v>
      </c>
      <c r="AO18" s="286"/>
      <c r="AP18" s="303"/>
      <c r="AQ18" s="286"/>
      <c r="AR18" s="303"/>
      <c r="AS18" s="286"/>
      <c r="AT18" s="303"/>
      <c r="AU18" s="262"/>
      <c r="AY18" s="258"/>
      <c r="BA18" s="260"/>
      <c r="BB18" s="263"/>
      <c r="BC18" s="263"/>
      <c r="BD18" s="263"/>
      <c r="BE18" s="264"/>
      <c r="BF18" s="264"/>
      <c r="BG18" s="264"/>
      <c r="BH18" s="264"/>
      <c r="BI18" s="264"/>
      <c r="BJ18" s="264"/>
      <c r="BK18" s="264"/>
    </row>
    <row r="19" spans="1:73" s="108" customFormat="1" x14ac:dyDescent="0.25">
      <c r="A19" s="126">
        <v>1985</v>
      </c>
      <c r="B19">
        <f t="shared" si="6"/>
        <v>151</v>
      </c>
      <c r="C19" s="110">
        <v>31198</v>
      </c>
      <c r="E19" t="e">
        <f>VLOOKUP(C19,#REF!,2)</f>
        <v>#REF!</v>
      </c>
      <c r="F19"/>
      <c r="G19" s="126">
        <v>0</v>
      </c>
      <c r="H19" s="131"/>
      <c r="I19" s="163"/>
      <c r="P19" s="132"/>
      <c r="Q19" s="131"/>
      <c r="Y19" s="168"/>
      <c r="AA19" s="168"/>
      <c r="AB19" s="130">
        <f>0.5*(B19-B18)*G18</f>
        <v>10103.960396039603</v>
      </c>
      <c r="AC19" s="61"/>
      <c r="AE19" s="73"/>
      <c r="AF19" s="129"/>
      <c r="AG19" s="171">
        <f t="shared" si="7"/>
        <v>0</v>
      </c>
      <c r="AH19" s="108">
        <f t="shared" si="0"/>
        <v>0.55000000000000004</v>
      </c>
      <c r="AJ19" s="174">
        <f t="shared" si="1"/>
        <v>18370.837083708368</v>
      </c>
      <c r="AK19" s="248"/>
      <c r="AL19" s="174">
        <f t="shared" si="2"/>
        <v>0</v>
      </c>
      <c r="AN19" s="174">
        <f t="shared" si="3"/>
        <v>0</v>
      </c>
      <c r="AO19" s="286"/>
      <c r="AP19" s="303"/>
      <c r="AQ19" s="286"/>
      <c r="AR19" s="303"/>
      <c r="AS19" s="286"/>
      <c r="AT19" s="303"/>
      <c r="AU19" s="128"/>
      <c r="AY19" s="130"/>
      <c r="BA19" s="129"/>
      <c r="BB19" s="118"/>
      <c r="BC19" s="119"/>
      <c r="BD19" s="118"/>
      <c r="BE19" s="113"/>
      <c r="BF19" s="114"/>
      <c r="BG19" s="113"/>
      <c r="BH19" s="114"/>
      <c r="BI19" s="113"/>
      <c r="BJ19" s="114"/>
      <c r="BK19" s="113"/>
      <c r="BL19" s="124"/>
      <c r="BM19" s="124"/>
      <c r="BN19" s="124"/>
      <c r="BO19" s="124"/>
      <c r="BP19" s="124"/>
      <c r="BQ19" s="124"/>
      <c r="BR19" s="124"/>
      <c r="BS19" s="124"/>
      <c r="BT19" s="124"/>
      <c r="BU19" s="124"/>
    </row>
    <row r="20" spans="1:73" s="174" customFormat="1" x14ac:dyDescent="0.25">
      <c r="A20" s="171">
        <v>1986</v>
      </c>
      <c r="B20" s="172">
        <f t="shared" si="6"/>
        <v>1</v>
      </c>
      <c r="C20" s="173">
        <v>31413</v>
      </c>
      <c r="E20" s="172" t="e">
        <f>VLOOKUP(C20,#REF!,2)</f>
        <v>#REF!</v>
      </c>
      <c r="F20" s="172"/>
      <c r="G20" s="171">
        <f>AA20</f>
        <v>0</v>
      </c>
      <c r="H20" s="175"/>
      <c r="I20" s="184"/>
      <c r="P20" s="176"/>
      <c r="Q20" s="175"/>
      <c r="Y20" s="177"/>
      <c r="AA20" s="177"/>
      <c r="AB20" s="178"/>
      <c r="AC20" s="183"/>
      <c r="AE20" s="206"/>
      <c r="AF20" s="179"/>
      <c r="AG20" s="171">
        <f t="shared" si="7"/>
        <v>0</v>
      </c>
      <c r="AH20" s="108">
        <f t="shared" si="0"/>
        <v>0.55000000000000004</v>
      </c>
      <c r="AJ20" s="174">
        <f t="shared" si="1"/>
        <v>0</v>
      </c>
      <c r="AK20" s="248"/>
      <c r="AL20" s="174">
        <f t="shared" si="2"/>
        <v>0</v>
      </c>
      <c r="AN20" s="174">
        <f t="shared" si="3"/>
        <v>0</v>
      </c>
      <c r="AO20" s="286"/>
      <c r="AP20" s="303"/>
      <c r="AQ20" s="286"/>
      <c r="AR20" s="303"/>
      <c r="AS20" s="286"/>
      <c r="AT20" s="303"/>
      <c r="AU20" s="180"/>
      <c r="AY20" s="178"/>
      <c r="BA20" s="179"/>
      <c r="BC20" s="181"/>
      <c r="BE20" s="181"/>
      <c r="BG20" s="181"/>
      <c r="BI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</row>
    <row r="21" spans="1:73" s="174" customFormat="1" x14ac:dyDescent="0.25">
      <c r="A21" s="171">
        <v>1986</v>
      </c>
      <c r="B21" s="172">
        <f t="shared" si="6"/>
        <v>40</v>
      </c>
      <c r="C21" s="182">
        <v>31452</v>
      </c>
      <c r="E21" s="172" t="e">
        <f>VLOOKUP(C21,#REF!,2)</f>
        <v>#REF!</v>
      </c>
      <c r="F21" s="186">
        <f>(F17+F25)/2</f>
        <v>0.36499999999999999</v>
      </c>
      <c r="G21" s="171">
        <f>S21</f>
        <v>78.873239436619727</v>
      </c>
      <c r="H21" s="175">
        <v>56</v>
      </c>
      <c r="I21" s="174">
        <f>VLOOKUP(B21,$CJ$97:$CP$253, 6)</f>
        <v>0.81179999999999997</v>
      </c>
      <c r="J21" s="174">
        <f>H21/I21</f>
        <v>68.982508006898257</v>
      </c>
      <c r="P21" s="176"/>
      <c r="Q21" s="175">
        <v>56</v>
      </c>
      <c r="R21" s="174">
        <f>VLOOKUP(B21,CJ61:CV227, 12)</f>
        <v>0.71</v>
      </c>
      <c r="S21" s="174">
        <f>Q21/R21</f>
        <v>78.873239436619727</v>
      </c>
      <c r="Y21" s="177"/>
      <c r="Z21" s="174">
        <f>VLOOKUP(B21,$CG$86:$CI$242,2)</f>
        <v>0.36</v>
      </c>
      <c r="AA21" s="177">
        <f>S21/Z21</f>
        <v>219.09233176838814</v>
      </c>
      <c r="AB21" s="178">
        <f>0.5*($B23-$B20)*$G21</f>
        <v>5915.4929577464791</v>
      </c>
      <c r="AC21" s="183">
        <f>AF21/$AF$1</f>
        <v>418.29107981220659</v>
      </c>
      <c r="AD21" s="174">
        <f>G22</f>
        <v>219.09233176838814</v>
      </c>
      <c r="AE21" s="206">
        <f>AC21/AD21</f>
        <v>1.9091999999999998</v>
      </c>
      <c r="AF21" s="179">
        <f>SUM(AB21:AB23)</f>
        <v>20914.553990610329</v>
      </c>
      <c r="AG21" s="171">
        <f t="shared" si="7"/>
        <v>143.40588988476313</v>
      </c>
      <c r="AH21" s="108">
        <f t="shared" si="0"/>
        <v>0.55000000000000004</v>
      </c>
      <c r="AJ21" s="174">
        <f t="shared" si="1"/>
        <v>10755.441741357234</v>
      </c>
      <c r="AK21" s="248">
        <f>AN21/$AF$1</f>
        <v>760.5292360221938</v>
      </c>
      <c r="AL21" s="174">
        <f t="shared" si="2"/>
        <v>398.34969412434202</v>
      </c>
      <c r="AM21" s="174">
        <f>AK21/AL21</f>
        <v>1.9092</v>
      </c>
      <c r="AN21" s="174">
        <f t="shared" si="3"/>
        <v>38026.46180110969</v>
      </c>
      <c r="AO21" s="286"/>
      <c r="AP21" s="303"/>
      <c r="AQ21" s="286">
        <f>AL21*$AP$188</f>
        <v>0</v>
      </c>
      <c r="AR21" s="303"/>
      <c r="AS21" s="286"/>
      <c r="AT21" s="303">
        <f>AL21*$AS$177</f>
        <v>0</v>
      </c>
      <c r="AU21" s="180"/>
      <c r="AY21" s="178"/>
      <c r="BA21" s="179"/>
      <c r="BC21" s="181"/>
      <c r="BE21" s="181"/>
      <c r="BG21" s="181"/>
      <c r="BI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</row>
    <row r="22" spans="1:73" s="184" customFormat="1" x14ac:dyDescent="0.25">
      <c r="A22" s="265">
        <v>1986</v>
      </c>
      <c r="B22" s="186">
        <f>C22-DATE(YEAR(C22),1,1)+1</f>
        <v>112</v>
      </c>
      <c r="C22" s="266">
        <v>31524</v>
      </c>
      <c r="E22" s="186" t="e">
        <f>VLOOKUP(C22,#REF!,2)</f>
        <v>#REF!</v>
      </c>
      <c r="F22" s="186">
        <f>(F18+F27)/2</f>
        <v>0.14000000000000001</v>
      </c>
      <c r="G22" s="265">
        <f>AA21</f>
        <v>219.09233176838814</v>
      </c>
      <c r="H22" s="267"/>
      <c r="P22" s="268"/>
      <c r="Q22" s="267"/>
      <c r="Y22" s="269"/>
      <c r="AA22" s="269"/>
      <c r="AB22" s="178">
        <f>((B22-B21)*G22)-((B22-B21)*(G22-G21)*0.5)</f>
        <v>10726.760563380283</v>
      </c>
      <c r="AC22" s="271"/>
      <c r="AE22" s="278"/>
      <c r="AF22" s="272"/>
      <c r="AG22" s="171">
        <f t="shared" si="7"/>
        <v>398.34969412434202</v>
      </c>
      <c r="AH22" s="108">
        <f t="shared" si="0"/>
        <v>0.55000000000000004</v>
      </c>
      <c r="AJ22" s="174">
        <f t="shared" si="1"/>
        <v>19503.201024327787</v>
      </c>
      <c r="AK22" s="261"/>
      <c r="AL22" s="174">
        <f t="shared" si="2"/>
        <v>0</v>
      </c>
      <c r="AN22" s="174">
        <f t="shared" si="3"/>
        <v>0</v>
      </c>
      <c r="AO22" s="286"/>
      <c r="AP22" s="303"/>
      <c r="AQ22" s="286"/>
      <c r="AR22" s="303"/>
      <c r="AS22" s="286"/>
      <c r="AT22" s="303"/>
      <c r="AU22" s="273"/>
      <c r="AY22" s="270"/>
      <c r="BA22" s="272"/>
    </row>
    <row r="23" spans="1:73" s="174" customFormat="1" x14ac:dyDescent="0.25">
      <c r="A23" s="171">
        <v>1986</v>
      </c>
      <c r="B23" s="172">
        <f t="shared" si="6"/>
        <v>151</v>
      </c>
      <c r="C23" s="173">
        <v>31563</v>
      </c>
      <c r="E23" s="172" t="e">
        <f>VLOOKUP(C23,#REF!,2)</f>
        <v>#REF!</v>
      </c>
      <c r="F23" s="172"/>
      <c r="G23" s="171">
        <f>AA23</f>
        <v>0</v>
      </c>
      <c r="H23" s="175"/>
      <c r="P23" s="176"/>
      <c r="Q23" s="175"/>
      <c r="Y23" s="177"/>
      <c r="AA23" s="177"/>
      <c r="AB23" s="274">
        <f>0.5*(B23-B22)*G22</f>
        <v>4272.300469483569</v>
      </c>
      <c r="AC23" s="183"/>
      <c r="AE23" s="206"/>
      <c r="AF23" s="179"/>
      <c r="AG23" s="171">
        <f t="shared" si="7"/>
        <v>0</v>
      </c>
      <c r="AH23" s="108">
        <f t="shared" si="0"/>
        <v>0.55000000000000004</v>
      </c>
      <c r="AJ23" s="174">
        <f t="shared" si="1"/>
        <v>7767.8190354246699</v>
      </c>
      <c r="AK23" s="248"/>
      <c r="AL23" s="174">
        <f t="shared" si="2"/>
        <v>0</v>
      </c>
      <c r="AN23" s="174">
        <f t="shared" si="3"/>
        <v>0</v>
      </c>
      <c r="AO23" s="286"/>
      <c r="AP23" s="303"/>
      <c r="AQ23" s="286"/>
      <c r="AR23" s="303"/>
      <c r="AS23" s="286"/>
      <c r="AT23" s="303"/>
      <c r="AU23" s="180"/>
      <c r="AY23" s="178"/>
      <c r="BA23" s="179"/>
      <c r="BC23" s="181"/>
      <c r="BE23" s="181"/>
      <c r="BG23" s="181"/>
      <c r="BI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</row>
    <row r="24" spans="1:73" s="108" customFormat="1" x14ac:dyDescent="0.25">
      <c r="A24" s="126">
        <v>1987</v>
      </c>
      <c r="B24">
        <f t="shared" ref="B24:B40" si="8">C24-DATE(YEAR(C24),1,1)+1</f>
        <v>1</v>
      </c>
      <c r="C24" s="110">
        <v>31778</v>
      </c>
      <c r="E24" t="e">
        <f>VLOOKUP(C24,#REF!,2)</f>
        <v>#REF!</v>
      </c>
      <c r="F24"/>
      <c r="G24" s="126">
        <v>0</v>
      </c>
      <c r="H24" s="131"/>
      <c r="P24" s="132"/>
      <c r="Q24" s="131"/>
      <c r="Y24" s="168"/>
      <c r="AA24" s="168"/>
      <c r="AB24" s="130"/>
      <c r="AC24" s="61"/>
      <c r="AE24" s="73"/>
      <c r="AF24" s="129"/>
      <c r="AG24" s="171">
        <f t="shared" si="7"/>
        <v>0</v>
      </c>
      <c r="AH24" s="108">
        <f t="shared" si="0"/>
        <v>0.55000000000000004</v>
      </c>
      <c r="AJ24" s="174">
        <f t="shared" si="1"/>
        <v>0</v>
      </c>
      <c r="AK24" s="248"/>
      <c r="AL24" s="174">
        <f t="shared" si="2"/>
        <v>0</v>
      </c>
      <c r="AN24" s="174">
        <f t="shared" si="3"/>
        <v>0</v>
      </c>
      <c r="AO24" s="286"/>
      <c r="AP24" s="303"/>
      <c r="AQ24" s="286"/>
      <c r="AR24" s="303"/>
      <c r="AS24" s="286"/>
      <c r="AT24" s="303"/>
      <c r="AU24" s="128"/>
      <c r="AY24" s="130"/>
      <c r="BA24" s="129"/>
      <c r="BB24" s="118"/>
      <c r="BC24" s="119"/>
      <c r="BD24" s="118"/>
      <c r="BE24" s="113"/>
      <c r="BF24" s="114"/>
      <c r="BG24" s="113"/>
      <c r="BH24" s="114"/>
      <c r="BI24" s="113"/>
      <c r="BJ24" s="114"/>
      <c r="BK24" s="113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</row>
    <row r="25" spans="1:73" s="108" customFormat="1" x14ac:dyDescent="0.25">
      <c r="A25" s="126">
        <v>1987</v>
      </c>
      <c r="B25">
        <f t="shared" si="8"/>
        <v>86</v>
      </c>
      <c r="C25" s="127">
        <v>31863</v>
      </c>
      <c r="E25" t="e">
        <f>VLOOKUP(C25,#REF!,2)</f>
        <v>#REF!</v>
      </c>
      <c r="F25" s="108">
        <v>0.45</v>
      </c>
      <c r="G25" s="126">
        <f>V25</f>
        <v>328</v>
      </c>
      <c r="H25" s="131"/>
      <c r="K25" s="108">
        <v>164</v>
      </c>
      <c r="L25" s="108">
        <f>VLOOKUP(B25,$CJ$101:$CR$257, 4)</f>
        <v>0.53190000000000004</v>
      </c>
      <c r="M25" s="108">
        <f>K25/L25</f>
        <v>308.32863320172964</v>
      </c>
      <c r="P25" s="132"/>
      <c r="Q25" s="131"/>
      <c r="T25" s="108">
        <v>164</v>
      </c>
      <c r="U25" s="108">
        <f>VLOOKUP(B25,$CJ$101:$CV$257, 10)</f>
        <v>0.5</v>
      </c>
      <c r="V25" s="108">
        <f>T25/U25</f>
        <v>328</v>
      </c>
      <c r="Y25" s="168"/>
      <c r="Z25" s="108">
        <f>VLOOKUP(B25,$CG$86:$CI$242,2)</f>
        <v>0.72899999999999998</v>
      </c>
      <c r="AA25" s="168">
        <f>V25/Z25</f>
        <v>449.93141289437585</v>
      </c>
      <c r="AB25" s="130">
        <f>0.5*($B27-$B24)*$G25</f>
        <v>24600</v>
      </c>
      <c r="AC25" s="61">
        <f>AF25/$AF$1</f>
        <v>869.7354183813444</v>
      </c>
      <c r="AD25" s="108">
        <f>G26</f>
        <v>449.93141289437585</v>
      </c>
      <c r="AE25" s="73">
        <f>AC25/AD25</f>
        <v>1.9330400000000003</v>
      </c>
      <c r="AF25" s="129">
        <f>SUM(AB25:AB27)</f>
        <v>43486.770919067218</v>
      </c>
      <c r="AG25" s="171">
        <f t="shared" si="7"/>
        <v>596.36363636363626</v>
      </c>
      <c r="AH25" s="108">
        <f t="shared" si="0"/>
        <v>0.55000000000000004</v>
      </c>
      <c r="AJ25" s="174">
        <f>AB25/AH25</f>
        <v>44727.272727272721</v>
      </c>
      <c r="AK25" s="248">
        <f>AN25/$AN$1</f>
        <v>1581.337124329717</v>
      </c>
      <c r="AL25" s="174">
        <f t="shared" si="2"/>
        <v>818.05711435341061</v>
      </c>
      <c r="AM25" s="108">
        <f>AK25/AL25</f>
        <v>1.9330400000000001</v>
      </c>
      <c r="AN25" s="174">
        <f t="shared" si="3"/>
        <v>79066.856216485845</v>
      </c>
      <c r="AO25" s="286"/>
      <c r="AP25" s="303"/>
      <c r="AQ25" s="286">
        <f>AL25*$AP$188</f>
        <v>0</v>
      </c>
      <c r="AR25" s="303"/>
      <c r="AS25" s="286"/>
      <c r="AT25" s="303">
        <f>AL25*$AS$177</f>
        <v>0</v>
      </c>
      <c r="AU25" s="128"/>
      <c r="AY25" s="130"/>
      <c r="BA25" s="129"/>
      <c r="BB25" s="118"/>
      <c r="BC25" s="119"/>
      <c r="BD25" s="118"/>
      <c r="BE25" s="113"/>
      <c r="BF25" s="114"/>
      <c r="BG25" s="113"/>
      <c r="BH25" s="114"/>
      <c r="BI25" s="113"/>
      <c r="BJ25" s="114"/>
      <c r="BK25" s="113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</row>
    <row r="26" spans="1:73" s="163" customFormat="1" x14ac:dyDescent="0.25">
      <c r="A26" s="253">
        <v>1987</v>
      </c>
      <c r="B26" s="125">
        <f>C26-DATE(YEAR(C26),1,1)+1</f>
        <v>112</v>
      </c>
      <c r="C26" s="254">
        <v>31889</v>
      </c>
      <c r="E26" s="125" t="e">
        <f>VLOOKUP(C26,#REF!,2)</f>
        <v>#REF!</v>
      </c>
      <c r="F26" s="163">
        <v>0.45</v>
      </c>
      <c r="G26" s="253">
        <f>AA25</f>
        <v>449.93141289437585</v>
      </c>
      <c r="H26" s="255"/>
      <c r="P26" s="256"/>
      <c r="Q26" s="255"/>
      <c r="Y26" s="257"/>
      <c r="AA26" s="257"/>
      <c r="AB26" s="130">
        <f>((B26-B25)*G26)-((B26-B25)*(G26-G25)*0.5)</f>
        <v>10113.108367626886</v>
      </c>
      <c r="AC26" s="259"/>
      <c r="AE26" s="277"/>
      <c r="AF26" s="260"/>
      <c r="AG26" s="171">
        <f t="shared" si="7"/>
        <v>818.05711435341061</v>
      </c>
      <c r="AH26" s="108">
        <f t="shared" si="0"/>
        <v>0.55000000000000004</v>
      </c>
      <c r="AJ26" s="174">
        <f t="shared" si="1"/>
        <v>18387.469759321611</v>
      </c>
      <c r="AK26" s="261"/>
      <c r="AL26" s="174">
        <f t="shared" si="2"/>
        <v>0</v>
      </c>
      <c r="AN26" s="174">
        <f t="shared" si="3"/>
        <v>0</v>
      </c>
      <c r="AO26" s="286"/>
      <c r="AP26" s="303"/>
      <c r="AQ26" s="286"/>
      <c r="AR26" s="303"/>
      <c r="AS26" s="286"/>
      <c r="AT26" s="303"/>
      <c r="AU26" s="262"/>
      <c r="AY26" s="258"/>
      <c r="BA26" s="260"/>
      <c r="BB26" s="263"/>
      <c r="BC26" s="263"/>
      <c r="BD26" s="263"/>
      <c r="BE26" s="264"/>
      <c r="BF26" s="264"/>
      <c r="BG26" s="264"/>
      <c r="BH26" s="264"/>
      <c r="BI26" s="264"/>
      <c r="BJ26" s="264"/>
      <c r="BK26" s="264"/>
    </row>
    <row r="27" spans="1:73" s="108" customFormat="1" x14ac:dyDescent="0.25">
      <c r="A27" s="126">
        <v>1987</v>
      </c>
      <c r="B27">
        <f t="shared" si="8"/>
        <v>151</v>
      </c>
      <c r="C27" s="110">
        <v>31928</v>
      </c>
      <c r="E27" t="e">
        <f>VLOOKUP(C27,#REF!,2)</f>
        <v>#REF!</v>
      </c>
      <c r="F27"/>
      <c r="G27" s="126">
        <v>0</v>
      </c>
      <c r="H27" s="131"/>
      <c r="P27" s="132"/>
      <c r="Q27" s="131"/>
      <c r="Y27" s="168"/>
      <c r="AA27" s="168"/>
      <c r="AB27" s="130">
        <f>0.5*(B27-B26)*G26</f>
        <v>8773.6625514403295</v>
      </c>
      <c r="AC27" s="61"/>
      <c r="AE27" s="73"/>
      <c r="AF27" s="129"/>
      <c r="AG27" s="171">
        <f t="shared" si="7"/>
        <v>0</v>
      </c>
      <c r="AH27" s="108">
        <f t="shared" si="0"/>
        <v>0.55000000000000004</v>
      </c>
      <c r="AJ27" s="174">
        <f t="shared" si="1"/>
        <v>15952.113729891507</v>
      </c>
      <c r="AK27" s="248"/>
      <c r="AL27" s="174">
        <f t="shared" si="2"/>
        <v>0</v>
      </c>
      <c r="AN27" s="174">
        <f t="shared" si="3"/>
        <v>0</v>
      </c>
      <c r="AO27" s="286"/>
      <c r="AP27" s="303"/>
      <c r="AQ27" s="286"/>
      <c r="AR27" s="303"/>
      <c r="AS27" s="286"/>
      <c r="AT27" s="303"/>
      <c r="AU27" s="128"/>
      <c r="AY27" s="130"/>
      <c r="BA27" s="129"/>
      <c r="BB27" s="118"/>
      <c r="BC27" s="119"/>
      <c r="BD27" s="118"/>
      <c r="BE27" s="113"/>
      <c r="BF27" s="114"/>
      <c r="BG27" s="113"/>
      <c r="BH27" s="114"/>
      <c r="BI27" s="113"/>
      <c r="BJ27" s="114"/>
      <c r="BK27" s="113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</row>
    <row r="28" spans="1:73" s="174" customFormat="1" x14ac:dyDescent="0.25">
      <c r="A28" s="171">
        <v>1988</v>
      </c>
      <c r="B28" s="172">
        <f t="shared" si="8"/>
        <v>1</v>
      </c>
      <c r="C28" s="173">
        <v>32143</v>
      </c>
      <c r="E28" s="172" t="e">
        <f>VLOOKUP(C28,#REF!,2)</f>
        <v>#REF!</v>
      </c>
      <c r="F28" s="172"/>
      <c r="G28" s="171">
        <f>AA28</f>
        <v>0</v>
      </c>
      <c r="H28" s="175"/>
      <c r="P28" s="176"/>
      <c r="Q28" s="175"/>
      <c r="Y28" s="177"/>
      <c r="AA28" s="177"/>
      <c r="AB28" s="178"/>
      <c r="AC28" s="183"/>
      <c r="AE28" s="206"/>
      <c r="AF28" s="179"/>
      <c r="AG28" s="171">
        <f t="shared" si="7"/>
        <v>0</v>
      </c>
      <c r="AH28" s="108">
        <f t="shared" si="0"/>
        <v>0.55000000000000004</v>
      </c>
      <c r="AJ28" s="174">
        <f t="shared" si="1"/>
        <v>0</v>
      </c>
      <c r="AK28" s="248"/>
      <c r="AL28" s="174">
        <f t="shared" si="2"/>
        <v>0</v>
      </c>
      <c r="AN28" s="174">
        <f t="shared" si="3"/>
        <v>0</v>
      </c>
      <c r="AO28" s="286"/>
      <c r="AP28" s="303"/>
      <c r="AQ28" s="286"/>
      <c r="AR28" s="303"/>
      <c r="AS28" s="286"/>
      <c r="AT28" s="303"/>
      <c r="AU28" s="180"/>
      <c r="AY28" s="178"/>
      <c r="BA28" s="179"/>
      <c r="BC28" s="181"/>
      <c r="BE28" s="181"/>
      <c r="BG28" s="181"/>
      <c r="BI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</row>
    <row r="29" spans="1:73" s="174" customFormat="1" x14ac:dyDescent="0.25">
      <c r="A29" s="171">
        <v>1988</v>
      </c>
      <c r="B29" s="172">
        <f t="shared" si="8"/>
        <v>55</v>
      </c>
      <c r="C29" s="182">
        <v>32197</v>
      </c>
      <c r="E29" s="172" t="e">
        <f>VLOOKUP(C29,#REF!,2)</f>
        <v>#REF!</v>
      </c>
      <c r="F29" s="172">
        <v>0.23</v>
      </c>
      <c r="G29" s="171">
        <f>S29</f>
        <v>250.7042253521127</v>
      </c>
      <c r="H29" s="175">
        <v>178</v>
      </c>
      <c r="I29" s="174">
        <f>VLOOKUP(B29,$CJ$97:$CP$253, 6)</f>
        <v>0.79830000000000001</v>
      </c>
      <c r="J29" s="174">
        <f>H29/I29</f>
        <v>222.97381936615307</v>
      </c>
      <c r="P29" s="176"/>
      <c r="Q29" s="174">
        <v>178</v>
      </c>
      <c r="R29" s="174">
        <f>VLOOKUP(B29,CJ74:CV233, 12)</f>
        <v>0.71</v>
      </c>
      <c r="S29" s="174">
        <f>Q29/R29</f>
        <v>250.7042253521127</v>
      </c>
      <c r="Y29" s="177"/>
      <c r="Z29" s="174">
        <f>VLOOKUP(B29,$CG$101:$CI$257,2)</f>
        <v>0.49499999999999994</v>
      </c>
      <c r="AA29" s="177">
        <f>S29/Z29</f>
        <v>506.47318252952067</v>
      </c>
      <c r="AB29" s="178">
        <f>0.5*($B31-$B28)*$G29</f>
        <v>18928.169014084509</v>
      </c>
      <c r="AC29" s="183">
        <f>AF29/$AF$1</f>
        <v>1012.7437757860295</v>
      </c>
      <c r="AD29" s="174">
        <f>G30</f>
        <v>506.47318252952067</v>
      </c>
      <c r="AE29" s="206">
        <f>AC29/AD29</f>
        <v>1.9995999999999998</v>
      </c>
      <c r="AF29" s="179">
        <f>SUM(AB29:AB31)</f>
        <v>50637.188789301472</v>
      </c>
      <c r="AG29" s="171">
        <f t="shared" si="7"/>
        <v>455.8258642765685</v>
      </c>
      <c r="AH29" s="108">
        <f t="shared" si="0"/>
        <v>0.55000000000000004</v>
      </c>
      <c r="AJ29" s="174">
        <f t="shared" si="1"/>
        <v>34414.852752880921</v>
      </c>
      <c r="AK29" s="248">
        <f>AN29/$AF$1</f>
        <v>1841.3523196109627</v>
      </c>
      <c r="AL29" s="174">
        <f t="shared" si="2"/>
        <v>920.86033187185569</v>
      </c>
      <c r="AM29" s="174">
        <f>AK29/AL29</f>
        <v>1.9996</v>
      </c>
      <c r="AN29" s="174">
        <f t="shared" si="3"/>
        <v>92067.615980548129</v>
      </c>
      <c r="AO29" s="286"/>
      <c r="AP29" s="303"/>
      <c r="AQ29" s="286">
        <f>AL29*$AP$188</f>
        <v>0</v>
      </c>
      <c r="AR29" s="303"/>
      <c r="AS29" s="286"/>
      <c r="AT29" s="303">
        <f>AL29*$AS$177</f>
        <v>0</v>
      </c>
      <c r="AU29" s="180"/>
      <c r="AY29" s="178"/>
      <c r="BA29" s="179"/>
      <c r="BC29" s="181"/>
      <c r="BE29" s="181"/>
      <c r="BG29" s="181"/>
      <c r="BI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</row>
    <row r="30" spans="1:73" s="184" customFormat="1" x14ac:dyDescent="0.25">
      <c r="A30" s="265">
        <v>1988</v>
      </c>
      <c r="B30" s="186">
        <f>C30-DATE(YEAR(C30),1,1)+1</f>
        <v>112</v>
      </c>
      <c r="C30" s="266">
        <v>31524</v>
      </c>
      <c r="E30" s="186" t="e">
        <f>VLOOKUP(C30,#REF!,2)</f>
        <v>#REF!</v>
      </c>
      <c r="F30" s="186">
        <v>0.23</v>
      </c>
      <c r="G30" s="265">
        <f>AA29</f>
        <v>506.47318252952067</v>
      </c>
      <c r="H30" s="267"/>
      <c r="P30" s="268"/>
      <c r="Y30" s="269"/>
      <c r="AA30" s="269"/>
      <c r="AB30" s="178">
        <f>((B30-B29)*G30)-((B30-B29)*(G30-G29)*0.5)</f>
        <v>21579.55612462655</v>
      </c>
      <c r="AC30" s="271"/>
      <c r="AE30" s="278"/>
      <c r="AF30" s="272"/>
      <c r="AG30" s="171">
        <f t="shared" si="7"/>
        <v>920.86033187185569</v>
      </c>
      <c r="AH30" s="108">
        <f t="shared" si="0"/>
        <v>0.55000000000000004</v>
      </c>
      <c r="AJ30" s="174">
        <f t="shared" si="1"/>
        <v>39235.556590230088</v>
      </c>
      <c r="AK30" s="261"/>
      <c r="AL30" s="174">
        <f t="shared" si="2"/>
        <v>0</v>
      </c>
      <c r="AN30" s="174">
        <f t="shared" si="3"/>
        <v>0</v>
      </c>
      <c r="AO30" s="286"/>
      <c r="AP30" s="303"/>
      <c r="AQ30" s="286"/>
      <c r="AR30" s="303"/>
      <c r="AS30" s="286"/>
      <c r="AT30" s="303"/>
      <c r="AU30" s="273"/>
      <c r="AY30" s="270"/>
      <c r="BA30" s="272"/>
    </row>
    <row r="31" spans="1:73" s="174" customFormat="1" x14ac:dyDescent="0.25">
      <c r="A31" s="171">
        <v>1988</v>
      </c>
      <c r="B31" s="172">
        <f t="shared" si="8"/>
        <v>152</v>
      </c>
      <c r="C31" s="173">
        <v>32294</v>
      </c>
      <c r="E31" s="172" t="e">
        <f>VLOOKUP(C31,#REF!,2)</f>
        <v>#REF!</v>
      </c>
      <c r="F31" s="172"/>
      <c r="G31" s="171">
        <f>AA31</f>
        <v>0</v>
      </c>
      <c r="H31" s="175"/>
      <c r="P31" s="176"/>
      <c r="Q31" s="175"/>
      <c r="Y31" s="177"/>
      <c r="AA31" s="177"/>
      <c r="AB31" s="274">
        <f>0.5*(B31-B30)*G30</f>
        <v>10129.463650590413</v>
      </c>
      <c r="AC31" s="183"/>
      <c r="AE31" s="206"/>
      <c r="AF31" s="179"/>
      <c r="AG31" s="171">
        <f t="shared" si="7"/>
        <v>0</v>
      </c>
      <c r="AH31" s="108">
        <f t="shared" si="0"/>
        <v>0.55000000000000004</v>
      </c>
      <c r="AJ31" s="174">
        <f t="shared" si="1"/>
        <v>18417.206637437113</v>
      </c>
      <c r="AK31" s="248"/>
      <c r="AL31" s="174">
        <f t="shared" si="2"/>
        <v>0</v>
      </c>
      <c r="AN31" s="174">
        <f>AF31/AH31</f>
        <v>0</v>
      </c>
      <c r="AO31" s="286"/>
      <c r="AP31" s="303"/>
      <c r="AQ31" s="286"/>
      <c r="AR31" s="303"/>
      <c r="AS31" s="286"/>
      <c r="AT31" s="303"/>
      <c r="AU31" s="180"/>
      <c r="AY31" s="178"/>
      <c r="BA31" s="179"/>
      <c r="BC31" s="181"/>
      <c r="BE31" s="181"/>
      <c r="BG31" s="181"/>
      <c r="BI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1"/>
    </row>
    <row r="32" spans="1:73" s="108" customFormat="1" x14ac:dyDescent="0.25">
      <c r="A32" s="164">
        <v>1989</v>
      </c>
      <c r="B32">
        <f t="shared" si="8"/>
        <v>1</v>
      </c>
      <c r="C32" s="110">
        <v>32509</v>
      </c>
      <c r="E32" t="e">
        <f>VLOOKUP(C32,#REF!,2)</f>
        <v>#REF!</v>
      </c>
      <c r="F32"/>
      <c r="G32" s="126">
        <v>0</v>
      </c>
      <c r="H32" s="131"/>
      <c r="P32" s="132"/>
      <c r="Q32" s="131"/>
      <c r="Y32" s="168"/>
      <c r="AA32" s="168"/>
      <c r="AB32" s="130"/>
      <c r="AC32" s="61"/>
      <c r="AE32" s="73"/>
      <c r="AF32" s="129"/>
      <c r="AG32" s="171">
        <f t="shared" si="7"/>
        <v>0</v>
      </c>
      <c r="AH32" s="108">
        <f t="shared" si="0"/>
        <v>0.55000000000000004</v>
      </c>
      <c r="AJ32" s="174">
        <f t="shared" si="1"/>
        <v>0</v>
      </c>
      <c r="AK32" s="248"/>
      <c r="AL32" s="174">
        <f t="shared" si="2"/>
        <v>0</v>
      </c>
      <c r="AN32" s="174">
        <f t="shared" si="3"/>
        <v>0</v>
      </c>
      <c r="AO32" s="286"/>
      <c r="AP32" s="303"/>
      <c r="AQ32" s="286"/>
      <c r="AR32" s="303"/>
      <c r="AS32" s="286"/>
      <c r="AT32" s="303"/>
      <c r="AU32" s="128"/>
      <c r="AY32" s="130"/>
      <c r="BA32" s="129"/>
      <c r="BB32" s="118"/>
      <c r="BC32" s="119"/>
      <c r="BD32" s="118"/>
      <c r="BE32" s="113"/>
      <c r="BF32" s="114"/>
      <c r="BG32" s="113"/>
      <c r="BH32" s="114"/>
      <c r="BI32" s="113"/>
      <c r="BJ32" s="114"/>
      <c r="BK32" s="113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</row>
    <row r="33" spans="1:73" s="108" customFormat="1" x14ac:dyDescent="0.25">
      <c r="A33" s="164">
        <v>1989</v>
      </c>
      <c r="B33">
        <f t="shared" si="8"/>
        <v>40</v>
      </c>
      <c r="C33" s="110">
        <v>32548</v>
      </c>
      <c r="E33" t="e">
        <f>VLOOKUP(C33,#REF!,2)</f>
        <v>#REF!</v>
      </c>
      <c r="F33" s="125">
        <f>(F29+F38)/2</f>
        <v>0.36499999999999999</v>
      </c>
      <c r="G33" s="126">
        <f>V33</f>
        <v>80</v>
      </c>
      <c r="H33" s="131"/>
      <c r="K33" s="108">
        <v>40</v>
      </c>
      <c r="L33" s="108">
        <f>VLOOKUP(B33,$CJ$101:$CR$257, 4)</f>
        <v>0.69179999999999997</v>
      </c>
      <c r="M33" s="108">
        <f>K33/L33</f>
        <v>57.820179242555653</v>
      </c>
      <c r="P33" s="132"/>
      <c r="Q33" s="131"/>
      <c r="T33" s="108">
        <v>40</v>
      </c>
      <c r="U33" s="108">
        <f>VLOOKUP(B33,CJ100:CV256, 10)</f>
        <v>0.5</v>
      </c>
      <c r="V33" s="108">
        <f>T33/U33</f>
        <v>80</v>
      </c>
      <c r="Y33" s="168"/>
      <c r="Z33" s="108">
        <f>VLOOKUP(B33,$CG$101:$CI$257,2)</f>
        <v>0.36</v>
      </c>
      <c r="AA33" s="168">
        <f>V33/Z33</f>
        <v>222.22222222222223</v>
      </c>
      <c r="AB33" s="130">
        <f>0.5*(B33-B32)*G33</f>
        <v>1560</v>
      </c>
      <c r="AC33" s="61">
        <f>AF33/$AF$1</f>
        <v>153.02814814814815</v>
      </c>
      <c r="AD33" s="108">
        <f>G35</f>
        <v>81.481481481481495</v>
      </c>
      <c r="AE33" s="73">
        <f>AC33/AD33</f>
        <v>1.8780727272727269</v>
      </c>
      <c r="AF33" s="129">
        <f>SUM(AB33:AB36)</f>
        <v>7651.4074074074069</v>
      </c>
      <c r="AG33" s="171">
        <f t="shared" si="7"/>
        <v>145.45454545454544</v>
      </c>
      <c r="AH33" s="108">
        <f t="shared" si="0"/>
        <v>0.55000000000000004</v>
      </c>
      <c r="AJ33" s="174">
        <f t="shared" si="1"/>
        <v>2836.363636363636</v>
      </c>
      <c r="AK33" s="248">
        <f>AN33/$AN$1</f>
        <v>278.23299663299656</v>
      </c>
      <c r="AL33" s="174">
        <f t="shared" si="2"/>
        <v>148.14814814814815</v>
      </c>
      <c r="AM33" s="108">
        <f>AK33/AL33</f>
        <v>1.8780727272727267</v>
      </c>
      <c r="AN33" s="174">
        <f t="shared" si="3"/>
        <v>13911.649831649829</v>
      </c>
      <c r="AO33" s="286"/>
      <c r="AP33" s="303"/>
      <c r="AQ33" s="286">
        <f>AL33*$AP$188</f>
        <v>0</v>
      </c>
      <c r="AR33" s="303"/>
      <c r="AS33" s="286"/>
      <c r="AT33" s="303">
        <f>AL33*$AS$177</f>
        <v>0</v>
      </c>
      <c r="AU33" s="128"/>
      <c r="AY33" s="130"/>
      <c r="BA33" s="129"/>
      <c r="BB33" s="118"/>
      <c r="BC33" s="119"/>
      <c r="BD33" s="118"/>
      <c r="BE33" s="113"/>
      <c r="BF33" s="114"/>
      <c r="BG33" s="113"/>
      <c r="BH33" s="114"/>
      <c r="BI33" s="113"/>
      <c r="BJ33" s="114"/>
      <c r="BK33" s="113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</row>
    <row r="34" spans="1:73" s="108" customFormat="1" x14ac:dyDescent="0.25">
      <c r="A34" s="164">
        <v>1989</v>
      </c>
      <c r="B34">
        <f t="shared" si="8"/>
        <v>60</v>
      </c>
      <c r="C34" s="110">
        <v>32568</v>
      </c>
      <c r="E34" t="e">
        <f>VLOOKUP(C34,#REF!,2)</f>
        <v>#REF!</v>
      </c>
      <c r="F34" s="125">
        <v>0.36499999999999999</v>
      </c>
      <c r="G34" s="126">
        <f>V34</f>
        <v>44</v>
      </c>
      <c r="H34" s="131"/>
      <c r="K34" s="108">
        <v>22</v>
      </c>
      <c r="L34" s="108">
        <f>VLOOKUP(B34,$CJ$101:$CR$257, 4)</f>
        <v>0.61380000000000001</v>
      </c>
      <c r="M34" s="108">
        <f>K34/L34</f>
        <v>35.842293906810035</v>
      </c>
      <c r="P34" s="132"/>
      <c r="Q34" s="131"/>
      <c r="T34" s="108">
        <v>22</v>
      </c>
      <c r="U34" s="108">
        <f>VLOOKUP(B34,CJ101:CV257, 10)</f>
        <v>0.5</v>
      </c>
      <c r="V34" s="108">
        <f>T34/U34</f>
        <v>44</v>
      </c>
      <c r="Y34" s="168"/>
      <c r="Z34" s="108">
        <f>VLOOKUP(B34,$CG$101:$CI$257,2)</f>
        <v>0.53999999999999992</v>
      </c>
      <c r="AA34" s="168">
        <f>V34/Z34</f>
        <v>81.481481481481495</v>
      </c>
      <c r="AB34" s="130">
        <f>((B34-B33)*G34)-((B34-B33)*(G34-G33)*0.5)</f>
        <v>1240</v>
      </c>
      <c r="AC34" s="61"/>
      <c r="AE34" s="73"/>
      <c r="AF34" s="129"/>
      <c r="AG34" s="171">
        <f t="shared" si="7"/>
        <v>80</v>
      </c>
      <c r="AH34" s="108">
        <f t="shared" si="0"/>
        <v>0.55000000000000004</v>
      </c>
      <c r="AJ34" s="174">
        <f t="shared" si="1"/>
        <v>2254.5454545454545</v>
      </c>
      <c r="AK34" s="248"/>
      <c r="AL34" s="174">
        <f t="shared" si="2"/>
        <v>0</v>
      </c>
      <c r="AN34" s="174">
        <f t="shared" si="3"/>
        <v>0</v>
      </c>
      <c r="AO34" s="286"/>
      <c r="AP34" s="303"/>
      <c r="AQ34" s="286"/>
      <c r="AR34" s="303"/>
      <c r="AS34" s="286"/>
      <c r="AT34" s="303"/>
      <c r="AU34" s="128"/>
      <c r="AY34" s="130"/>
      <c r="BA34" s="129"/>
      <c r="BB34" s="118"/>
      <c r="BC34" s="119"/>
      <c r="BD34" s="118"/>
      <c r="BE34" s="113"/>
      <c r="BF34" s="114"/>
      <c r="BG34" s="113"/>
      <c r="BH34" s="114"/>
      <c r="BI34" s="113"/>
      <c r="BJ34" s="114"/>
      <c r="BK34" s="113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</row>
    <row r="35" spans="1:73" s="163" customFormat="1" x14ac:dyDescent="0.25">
      <c r="A35" s="253">
        <v>1989</v>
      </c>
      <c r="B35" s="125">
        <f>C35-DATE(YEAR(C35),1,1)+1</f>
        <v>112</v>
      </c>
      <c r="C35" s="254">
        <v>32620</v>
      </c>
      <c r="E35" s="125" t="e">
        <f>VLOOKUP(C35,#REF!,2)</f>
        <v>#REF!</v>
      </c>
      <c r="F35" s="125">
        <v>0.36499999999999999</v>
      </c>
      <c r="G35" s="253">
        <f>AA34</f>
        <v>81.481481481481495</v>
      </c>
      <c r="H35" s="255"/>
      <c r="P35" s="256"/>
      <c r="Q35" s="255"/>
      <c r="Y35" s="257"/>
      <c r="AA35" s="257"/>
      <c r="AB35" s="130">
        <f>((B35-B34)*G35)-((B35-B34)*(G35-G34)*0.5)</f>
        <v>3262.5185185185182</v>
      </c>
      <c r="AC35" s="259"/>
      <c r="AE35" s="277"/>
      <c r="AF35" s="260"/>
      <c r="AG35" s="171">
        <f t="shared" si="7"/>
        <v>148.14814814814815</v>
      </c>
      <c r="AH35" s="108">
        <f t="shared" si="0"/>
        <v>0.55000000000000004</v>
      </c>
      <c r="AJ35" s="174">
        <f t="shared" si="1"/>
        <v>5931.8518518518513</v>
      </c>
      <c r="AK35" s="261"/>
      <c r="AL35" s="174">
        <f t="shared" si="2"/>
        <v>0</v>
      </c>
      <c r="AN35" s="174">
        <f t="shared" si="3"/>
        <v>0</v>
      </c>
      <c r="AO35" s="286"/>
      <c r="AP35" s="303"/>
      <c r="AQ35" s="286"/>
      <c r="AR35" s="303"/>
      <c r="AS35" s="286"/>
      <c r="AT35" s="303"/>
      <c r="AU35" s="262"/>
      <c r="AY35" s="258"/>
      <c r="BA35" s="260"/>
      <c r="BB35" s="263"/>
      <c r="BC35" s="263"/>
      <c r="BD35" s="263"/>
      <c r="BE35" s="264"/>
      <c r="BF35" s="264"/>
      <c r="BG35" s="264"/>
      <c r="BH35" s="264"/>
      <c r="BI35" s="264"/>
      <c r="BJ35" s="264"/>
      <c r="BK35" s="264"/>
    </row>
    <row r="36" spans="1:73" s="108" customFormat="1" x14ac:dyDescent="0.25">
      <c r="A36" s="164">
        <v>1989</v>
      </c>
      <c r="B36">
        <f t="shared" si="8"/>
        <v>151</v>
      </c>
      <c r="C36" s="110">
        <v>32659</v>
      </c>
      <c r="E36" t="e">
        <f>VLOOKUP(C36,#REF!,2)</f>
        <v>#REF!</v>
      </c>
      <c r="F36"/>
      <c r="G36" s="126">
        <v>0</v>
      </c>
      <c r="H36" s="131"/>
      <c r="P36" s="132"/>
      <c r="Q36" s="131"/>
      <c r="Y36" s="168"/>
      <c r="AA36" s="168"/>
      <c r="AB36" s="130">
        <f>0.5*(B36-B35)*G35</f>
        <v>1588.8888888888891</v>
      </c>
      <c r="AC36" s="61"/>
      <c r="AE36" s="73"/>
      <c r="AF36" s="129"/>
      <c r="AG36" s="171">
        <f t="shared" si="7"/>
        <v>0</v>
      </c>
      <c r="AH36" s="108">
        <f t="shared" si="0"/>
        <v>0.55000000000000004</v>
      </c>
      <c r="AJ36" s="174">
        <f t="shared" si="1"/>
        <v>2888.8888888888891</v>
      </c>
      <c r="AK36" s="248"/>
      <c r="AL36" s="174">
        <f t="shared" si="2"/>
        <v>0</v>
      </c>
      <c r="AN36" s="174">
        <f>AF36/AH36</f>
        <v>0</v>
      </c>
      <c r="AO36" s="286"/>
      <c r="AP36" s="303"/>
      <c r="AQ36" s="286"/>
      <c r="AR36" s="303"/>
      <c r="AS36" s="286"/>
      <c r="AT36" s="303"/>
      <c r="AU36" s="128"/>
      <c r="AY36" s="130"/>
      <c r="BA36" s="129"/>
      <c r="BB36" s="118"/>
      <c r="BC36" s="119"/>
      <c r="BD36" s="118"/>
      <c r="BE36" s="113"/>
      <c r="BF36" s="114"/>
      <c r="BG36" s="113"/>
      <c r="BH36" s="114"/>
      <c r="BI36" s="113"/>
      <c r="BJ36" s="114"/>
      <c r="BK36" s="113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</row>
    <row r="37" spans="1:73" s="174" customFormat="1" x14ac:dyDescent="0.25">
      <c r="A37" s="187">
        <v>1990</v>
      </c>
      <c r="B37" s="172">
        <f t="shared" si="8"/>
        <v>1</v>
      </c>
      <c r="C37" s="173">
        <v>32874</v>
      </c>
      <c r="E37" s="172" t="e">
        <f>VLOOKUP(C37,#REF!,2)</f>
        <v>#REF!</v>
      </c>
      <c r="F37" s="172"/>
      <c r="G37" s="171">
        <f>AA37</f>
        <v>0</v>
      </c>
      <c r="H37" s="175"/>
      <c r="P37" s="176"/>
      <c r="Q37" s="175"/>
      <c r="Y37" s="177"/>
      <c r="AA37" s="177"/>
      <c r="AB37" s="178"/>
      <c r="AC37" s="183"/>
      <c r="AE37" s="206"/>
      <c r="AF37" s="179"/>
      <c r="AG37" s="171">
        <f t="shared" si="7"/>
        <v>0</v>
      </c>
      <c r="AH37" s="108">
        <f t="shared" si="0"/>
        <v>0.55000000000000004</v>
      </c>
      <c r="AJ37" s="174">
        <f t="shared" si="1"/>
        <v>0</v>
      </c>
      <c r="AK37" s="248"/>
      <c r="AL37" s="174">
        <f t="shared" si="2"/>
        <v>0</v>
      </c>
      <c r="AN37" s="174">
        <f t="shared" si="3"/>
        <v>0</v>
      </c>
      <c r="AO37" s="286"/>
      <c r="AP37" s="303"/>
      <c r="AQ37" s="286"/>
      <c r="AR37" s="303"/>
      <c r="AS37" s="286"/>
      <c r="AT37" s="303"/>
      <c r="AU37" s="180"/>
      <c r="AY37" s="178"/>
      <c r="BA37" s="179"/>
      <c r="BC37" s="181"/>
      <c r="BE37" s="181"/>
      <c r="BG37" s="181"/>
      <c r="BI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1"/>
    </row>
    <row r="38" spans="1:73" s="174" customFormat="1" x14ac:dyDescent="0.25">
      <c r="A38" s="187">
        <v>1990</v>
      </c>
      <c r="B38" s="172">
        <f t="shared" si="8"/>
        <v>50</v>
      </c>
      <c r="C38" s="182">
        <v>32923</v>
      </c>
      <c r="E38" s="172" t="e">
        <f>VLOOKUP(C38,#REF!,2)</f>
        <v>#REF!</v>
      </c>
      <c r="F38" s="172">
        <v>0.5</v>
      </c>
      <c r="G38" s="171">
        <f>V38</f>
        <v>88</v>
      </c>
      <c r="H38" s="175"/>
      <c r="K38" s="174">
        <v>44</v>
      </c>
      <c r="L38" s="174">
        <f>VLOOKUP(B38,$CJ$101:$CR$257, 4)</f>
        <v>0.65280000000000005</v>
      </c>
      <c r="M38" s="174">
        <f>K38/L38</f>
        <v>67.401960784313715</v>
      </c>
      <c r="P38" s="176"/>
      <c r="Q38" s="175"/>
      <c r="T38" s="174">
        <v>44</v>
      </c>
      <c r="U38" s="174">
        <f>VLOOKUP(B38,CJ104:CV260, 10)</f>
        <v>0.5</v>
      </c>
      <c r="V38" s="174">
        <f>T38/U38</f>
        <v>88</v>
      </c>
      <c r="Y38" s="177"/>
      <c r="Z38" s="174">
        <f>VLOOKUP(B38,$CG$86:$CI$242,2)</f>
        <v>0.44999999999999996</v>
      </c>
      <c r="AA38" s="314">
        <f>V38/Z38</f>
        <v>195.55555555555557</v>
      </c>
      <c r="AB38" s="178">
        <f>0.5*(B38-B37)*G38</f>
        <v>2156</v>
      </c>
      <c r="AC38" s="183">
        <f>AF38/$AF$1</f>
        <v>295.19111111111113</v>
      </c>
      <c r="AD38" s="174">
        <f>G39</f>
        <v>195.55555555555557</v>
      </c>
      <c r="AE38" s="206">
        <f>AC38/AD38</f>
        <v>1.5095000000000001</v>
      </c>
      <c r="AF38" s="179">
        <f>SUM(AB37:AB40)</f>
        <v>14759.555555555557</v>
      </c>
      <c r="AG38" s="171">
        <f t="shared" si="7"/>
        <v>160</v>
      </c>
      <c r="AH38" s="108">
        <f t="shared" si="0"/>
        <v>0.55000000000000004</v>
      </c>
      <c r="AJ38" s="174">
        <f>AB38/AH38</f>
        <v>3919.9999999999995</v>
      </c>
      <c r="AK38" s="248">
        <f>AN38/$AF$1</f>
        <v>536.71111111111111</v>
      </c>
      <c r="AL38" s="174">
        <f t="shared" si="2"/>
        <v>355.55555555555554</v>
      </c>
      <c r="AM38" s="174">
        <f>AK38/AL38</f>
        <v>1.5095000000000001</v>
      </c>
      <c r="AN38" s="174">
        <f t="shared" si="3"/>
        <v>26835.555555555555</v>
      </c>
      <c r="AO38" s="286"/>
      <c r="AP38" s="303"/>
      <c r="AQ38" s="286">
        <f>AL38*$AP$188</f>
        <v>0</v>
      </c>
      <c r="AR38" s="303"/>
      <c r="AS38" s="286"/>
      <c r="AT38" s="303">
        <f>AL38*$AS$177</f>
        <v>0</v>
      </c>
      <c r="AU38" s="180"/>
      <c r="AY38" s="178"/>
      <c r="BA38" s="179"/>
      <c r="BC38" s="181"/>
      <c r="BE38" s="181"/>
      <c r="BG38" s="181"/>
      <c r="BI38" s="181"/>
      <c r="BK38" s="181"/>
      <c r="BL38" s="181"/>
      <c r="BM38" s="181"/>
      <c r="BN38" s="181"/>
      <c r="BO38" s="181"/>
      <c r="BP38" s="181"/>
      <c r="BQ38" s="181"/>
      <c r="BR38" s="181"/>
      <c r="BS38" s="181"/>
      <c r="BT38" s="181"/>
      <c r="BU38" s="181"/>
    </row>
    <row r="39" spans="1:73" s="184" customFormat="1" x14ac:dyDescent="0.25">
      <c r="A39" s="265">
        <v>1990</v>
      </c>
      <c r="B39" s="186">
        <f t="shared" si="8"/>
        <v>112</v>
      </c>
      <c r="C39" s="266">
        <v>32985</v>
      </c>
      <c r="E39" s="186" t="e">
        <f>VLOOKUP(C39,#REF!,2)</f>
        <v>#REF!</v>
      </c>
      <c r="F39" s="186">
        <v>0.5</v>
      </c>
      <c r="G39" s="265">
        <f>AA38</f>
        <v>195.55555555555557</v>
      </c>
      <c r="H39" s="267"/>
      <c r="P39" s="268"/>
      <c r="Q39" s="267"/>
      <c r="Y39" s="269"/>
      <c r="AA39" s="269"/>
      <c r="AB39" s="178">
        <f>((B39-B38)*G39)-((B39-B38)*(G39-G38)*0.5)</f>
        <v>8790.2222222222226</v>
      </c>
      <c r="AC39" s="271"/>
      <c r="AE39" s="278"/>
      <c r="AF39" s="272"/>
      <c r="AG39" s="171">
        <f t="shared" si="7"/>
        <v>355.55555555555554</v>
      </c>
      <c r="AH39" s="108">
        <f t="shared" si="0"/>
        <v>0.55000000000000004</v>
      </c>
      <c r="AJ39" s="174">
        <f>AB39/AH39</f>
        <v>15982.222222222221</v>
      </c>
      <c r="AK39" s="261"/>
      <c r="AL39" s="174">
        <f t="shared" si="2"/>
        <v>0</v>
      </c>
      <c r="AN39" s="174">
        <f t="shared" si="3"/>
        <v>0</v>
      </c>
      <c r="AO39" s="286"/>
      <c r="AP39" s="303"/>
      <c r="AQ39" s="286"/>
      <c r="AR39" s="303"/>
      <c r="AS39" s="286"/>
      <c r="AT39" s="303"/>
      <c r="AU39" s="273"/>
      <c r="AY39" s="270"/>
      <c r="BA39" s="272"/>
    </row>
    <row r="40" spans="1:73" s="174" customFormat="1" x14ac:dyDescent="0.25">
      <c r="A40" s="187">
        <v>1990</v>
      </c>
      <c r="B40" s="172">
        <f t="shared" si="8"/>
        <v>151</v>
      </c>
      <c r="C40" s="173">
        <v>33024</v>
      </c>
      <c r="E40" s="172" t="e">
        <f>VLOOKUP(C40,#REF!,2)</f>
        <v>#REF!</v>
      </c>
      <c r="F40" s="172"/>
      <c r="G40" s="171">
        <f>AA40</f>
        <v>0</v>
      </c>
      <c r="H40" s="175"/>
      <c r="P40" s="176"/>
      <c r="Q40" s="175"/>
      <c r="Y40" s="177"/>
      <c r="AA40" s="177"/>
      <c r="AB40" s="274">
        <f>0.5*(B40-B39)*G39</f>
        <v>3813.3333333333335</v>
      </c>
      <c r="AC40" s="183"/>
      <c r="AE40" s="206"/>
      <c r="AF40" s="179"/>
      <c r="AG40" s="171">
        <f t="shared" si="7"/>
        <v>0</v>
      </c>
      <c r="AH40" s="108">
        <f t="shared" si="0"/>
        <v>0.55000000000000004</v>
      </c>
      <c r="AJ40" s="174">
        <f t="shared" si="1"/>
        <v>6933.333333333333</v>
      </c>
      <c r="AK40" s="248"/>
      <c r="AL40" s="174">
        <f t="shared" si="2"/>
        <v>0</v>
      </c>
      <c r="AN40" s="174">
        <f t="shared" si="3"/>
        <v>0</v>
      </c>
      <c r="AO40" s="286"/>
      <c r="AP40" s="303"/>
      <c r="AQ40" s="286"/>
      <c r="AR40" s="303"/>
      <c r="AS40" s="286"/>
      <c r="AT40" s="303"/>
      <c r="AU40" s="180"/>
      <c r="AY40" s="178"/>
      <c r="BA40" s="179"/>
      <c r="BC40" s="181"/>
      <c r="BE40" s="181"/>
      <c r="BG40" s="181"/>
      <c r="BI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1"/>
    </row>
    <row r="41" spans="1:73" s="108" customFormat="1" x14ac:dyDescent="0.25">
      <c r="A41" s="126">
        <v>1991</v>
      </c>
      <c r="B41">
        <f>C41-DATE(YEAR(C41),1,1)+1</f>
        <v>1</v>
      </c>
      <c r="C41" s="110">
        <v>33239</v>
      </c>
      <c r="E41" t="e">
        <f>VLOOKUP(C41,#REF!,2)</f>
        <v>#REF!</v>
      </c>
      <c r="F41"/>
      <c r="G41" s="126">
        <v>0</v>
      </c>
      <c r="H41" s="131"/>
      <c r="P41" s="132"/>
      <c r="Q41" s="131"/>
      <c r="Y41" s="168"/>
      <c r="AA41" s="168"/>
      <c r="AB41" s="130">
        <f>0.5*(B41-B40)*G41</f>
        <v>0</v>
      </c>
      <c r="AC41" s="61">
        <f>AF41/$AF$1</f>
        <v>131.21449487045732</v>
      </c>
      <c r="AD41" s="108">
        <f>G44</f>
        <v>81.14530806236597</v>
      </c>
      <c r="AE41" s="73">
        <f>AC41/AD41</f>
        <v>1.6170312</v>
      </c>
      <c r="AF41" s="129">
        <f>SUM(AB41:AB45)</f>
        <v>6560.7247435228655</v>
      </c>
      <c r="AG41" s="171">
        <f t="shared" si="7"/>
        <v>0</v>
      </c>
      <c r="AH41" s="108">
        <f t="shared" si="0"/>
        <v>0.55000000000000004</v>
      </c>
      <c r="AJ41" s="174">
        <f t="shared" si="1"/>
        <v>0</v>
      </c>
      <c r="AK41" s="247"/>
      <c r="AL41" s="174">
        <f>AD41/AH41</f>
        <v>147.53692374975628</v>
      </c>
      <c r="AM41" s="108">
        <f>AK42/AL41</f>
        <v>1.6170312</v>
      </c>
      <c r="AN41" s="174">
        <f t="shared" si="3"/>
        <v>11928.590442768846</v>
      </c>
      <c r="AO41" s="286"/>
      <c r="AP41" s="303"/>
      <c r="AQ41" s="286">
        <f>AL41*$AP$188</f>
        <v>0</v>
      </c>
      <c r="AR41" s="303"/>
      <c r="AS41" s="286"/>
      <c r="AT41" s="303">
        <f>AL41*$AS$177</f>
        <v>0</v>
      </c>
      <c r="AU41" s="128"/>
      <c r="AY41" s="130"/>
      <c r="BA41" s="129"/>
      <c r="BB41" s="118"/>
      <c r="BC41" s="119"/>
      <c r="BD41" s="118"/>
      <c r="BE41" s="113"/>
      <c r="BF41" s="114"/>
      <c r="BG41" s="113"/>
      <c r="BH41" s="114"/>
      <c r="BI41" s="113"/>
      <c r="BJ41" s="114"/>
      <c r="BK41" s="113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</row>
    <row r="42" spans="1:73" s="108" customFormat="1" x14ac:dyDescent="0.25">
      <c r="A42" s="126">
        <v>1991</v>
      </c>
      <c r="B42">
        <f>C42-DATE(YEAR(C42),1,1)+1</f>
        <v>29</v>
      </c>
      <c r="C42" s="110">
        <v>33267</v>
      </c>
      <c r="E42" t="e">
        <f>VLOOKUP(C42,#REF!,2)</f>
        <v>#REF!</v>
      </c>
      <c r="F42">
        <v>0.5</v>
      </c>
      <c r="G42" s="126">
        <f>V42</f>
        <v>34</v>
      </c>
      <c r="H42" s="131"/>
      <c r="K42" s="108">
        <v>17</v>
      </c>
      <c r="L42" s="108">
        <f>VLOOKUP(B42,$CJ$101:$CR$257, 4)</f>
        <v>0.73470000000000002</v>
      </c>
      <c r="M42" s="108">
        <f>K42/L42</f>
        <v>23.138696066421669</v>
      </c>
      <c r="P42" s="132"/>
      <c r="Q42" s="131"/>
      <c r="T42" s="108">
        <v>17</v>
      </c>
      <c r="U42" s="108">
        <f>VLOOKUP(B42,CJ107:CV263, 10)</f>
        <v>0.5</v>
      </c>
      <c r="V42" s="108">
        <f>T42/U42</f>
        <v>34</v>
      </c>
      <c r="Y42" s="168"/>
      <c r="Z42" s="108">
        <f>VLOOKUP(B42,$CG$86:$CI$242,2)</f>
        <v>0.26099999999999995</v>
      </c>
      <c r="AA42" s="168">
        <f>V42/Z42</f>
        <v>130.2681992337165</v>
      </c>
      <c r="AB42" s="130">
        <f>0.5*(B42-B41)*G42</f>
        <v>476</v>
      </c>
      <c r="AC42" s="61"/>
      <c r="AE42" s="73"/>
      <c r="AF42" s="129"/>
      <c r="AG42" s="171">
        <f t="shared" si="7"/>
        <v>61.818181818181813</v>
      </c>
      <c r="AH42" s="108">
        <f t="shared" si="0"/>
        <v>0.55000000000000004</v>
      </c>
      <c r="AJ42" s="174">
        <f t="shared" si="1"/>
        <v>865.45454545454538</v>
      </c>
      <c r="AK42" s="248">
        <f>AN41/$AN$1</f>
        <v>238.5718088553769</v>
      </c>
      <c r="AL42" s="174">
        <f>AD42/AH42</f>
        <v>0</v>
      </c>
      <c r="AN42" s="174">
        <f t="shared" si="3"/>
        <v>0</v>
      </c>
      <c r="AO42" s="286"/>
      <c r="AP42" s="303"/>
      <c r="AQ42" s="286"/>
      <c r="AR42" s="303"/>
      <c r="AS42" s="286"/>
      <c r="AT42" s="303"/>
      <c r="AU42" s="128"/>
      <c r="AY42" s="130"/>
      <c r="BA42" s="129"/>
      <c r="BB42" s="118"/>
      <c r="BC42" s="119"/>
      <c r="BD42" s="118"/>
      <c r="BE42" s="113"/>
      <c r="BF42" s="114"/>
      <c r="BG42" s="113"/>
      <c r="BH42" s="114"/>
      <c r="BI42" s="113"/>
      <c r="BJ42" s="114"/>
      <c r="BK42" s="113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</row>
    <row r="43" spans="1:73" s="108" customFormat="1" x14ac:dyDescent="0.25">
      <c r="A43" s="126">
        <v>1991</v>
      </c>
      <c r="B43">
        <f>C43-DATE(YEAR(C43),1,1)+1</f>
        <v>85</v>
      </c>
      <c r="C43" s="127">
        <v>33323</v>
      </c>
      <c r="E43" t="e">
        <f>VLOOKUP(C43,#REF!,2)</f>
        <v>#REF!</v>
      </c>
      <c r="F43">
        <v>0.5</v>
      </c>
      <c r="G43" s="126">
        <f>S43</f>
        <v>59.154929577464792</v>
      </c>
      <c r="H43" s="131">
        <v>42</v>
      </c>
      <c r="I43" s="108">
        <f>VLOOKUP(B43,$CJ$97:$CP$253, 6)</f>
        <v>0.77490000000000003</v>
      </c>
      <c r="J43" s="108">
        <f>H43/I43</f>
        <v>54.200542005420054</v>
      </c>
      <c r="P43" s="132"/>
      <c r="Q43" s="131">
        <v>42</v>
      </c>
      <c r="R43" s="108">
        <f>VLOOKUP(B43,CJ78:CV236, 12)</f>
        <v>0.71</v>
      </c>
      <c r="S43" s="108">
        <f>Q43/R43</f>
        <v>59.154929577464792</v>
      </c>
      <c r="Y43" s="168"/>
      <c r="Z43" s="108">
        <f>VLOOKUP(B43,$CG$86:$CI$242,2)</f>
        <v>0.72899999999999998</v>
      </c>
      <c r="AA43" s="168">
        <f>S43/Z43</f>
        <v>81.14530806236597</v>
      </c>
      <c r="AB43" s="130">
        <f>((B43-B42)*G43)-((B43-B42)*(G43-G42)*0.5)</f>
        <v>2608.3380281690143</v>
      </c>
      <c r="AC43" s="61"/>
      <c r="AE43" s="73"/>
      <c r="AF43" s="129"/>
      <c r="AG43" s="171">
        <f t="shared" si="7"/>
        <v>107.55441741357234</v>
      </c>
      <c r="AH43" s="108">
        <f t="shared" si="0"/>
        <v>0.55000000000000004</v>
      </c>
      <c r="AJ43" s="174">
        <f t="shared" si="1"/>
        <v>4742.4327784891166</v>
      </c>
      <c r="AK43" s="248"/>
      <c r="AL43" s="174">
        <f t="shared" si="2"/>
        <v>0</v>
      </c>
      <c r="AN43" s="174">
        <f>AF43/AH43</f>
        <v>0</v>
      </c>
      <c r="AO43" s="286"/>
      <c r="AP43" s="303"/>
      <c r="AQ43" s="286"/>
      <c r="AR43" s="303"/>
      <c r="AS43" s="286"/>
      <c r="AT43" s="303"/>
      <c r="AU43" s="128"/>
      <c r="AY43" s="130"/>
      <c r="BA43" s="129"/>
      <c r="BB43" s="118"/>
      <c r="BC43" s="119"/>
      <c r="BD43" s="118"/>
      <c r="BE43" s="113"/>
      <c r="BF43" s="114"/>
      <c r="BG43" s="113"/>
      <c r="BH43" s="114"/>
      <c r="BI43" s="113"/>
      <c r="BJ43" s="114"/>
      <c r="BK43" s="113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</row>
    <row r="44" spans="1:73" s="163" customFormat="1" x14ac:dyDescent="0.25">
      <c r="A44" s="253">
        <v>1991</v>
      </c>
      <c r="B44" s="125">
        <f>C44-DATE(YEAR(C44),1,1)+1</f>
        <v>112</v>
      </c>
      <c r="C44" s="254">
        <v>33350</v>
      </c>
      <c r="E44" s="125" t="e">
        <f>VLOOKUP(C44,#REF!,2)</f>
        <v>#REF!</v>
      </c>
      <c r="F44" s="125">
        <v>0.5</v>
      </c>
      <c r="G44" s="253">
        <f>AA43</f>
        <v>81.14530806236597</v>
      </c>
      <c r="H44" s="255"/>
      <c r="P44" s="256"/>
      <c r="Q44" s="255"/>
      <c r="Y44" s="257"/>
      <c r="AA44" s="257"/>
      <c r="AB44" s="275">
        <f>((B44-B43)*G44)-((B44-B43)*(G44-G43)*0.5)</f>
        <v>1894.0532081377153</v>
      </c>
      <c r="AC44" s="259"/>
      <c r="AE44" s="277"/>
      <c r="AF44" s="260"/>
      <c r="AG44" s="171">
        <f t="shared" si="7"/>
        <v>147.53692374975628</v>
      </c>
      <c r="AH44" s="108">
        <f t="shared" si="0"/>
        <v>0.55000000000000004</v>
      </c>
      <c r="AJ44" s="174">
        <f t="shared" si="1"/>
        <v>3443.7331057049364</v>
      </c>
      <c r="AK44" s="261"/>
      <c r="AL44" s="174">
        <f t="shared" si="2"/>
        <v>0</v>
      </c>
      <c r="AN44" s="174">
        <f t="shared" si="3"/>
        <v>0</v>
      </c>
      <c r="AO44" s="286"/>
      <c r="AP44" s="303"/>
      <c r="AQ44" s="286"/>
      <c r="AR44" s="303"/>
      <c r="AS44" s="286"/>
      <c r="AT44" s="303"/>
      <c r="AU44" s="262"/>
      <c r="AY44" s="258"/>
      <c r="BA44" s="260"/>
      <c r="BB44" s="263"/>
      <c r="BC44" s="263"/>
      <c r="BD44" s="263"/>
      <c r="BE44" s="264"/>
      <c r="BF44" s="264"/>
      <c r="BG44" s="264"/>
      <c r="BH44" s="264"/>
      <c r="BI44" s="264"/>
      <c r="BJ44" s="264"/>
      <c r="BK44" s="264"/>
    </row>
    <row r="45" spans="1:73" s="108" customFormat="1" x14ac:dyDescent="0.25">
      <c r="A45" s="126">
        <v>1991</v>
      </c>
      <c r="B45">
        <f>C45-DATE(YEAR(C45),1,1)+1</f>
        <v>151</v>
      </c>
      <c r="C45" s="110">
        <v>33389</v>
      </c>
      <c r="E45" t="e">
        <f>VLOOKUP(C45,#REF!,2)</f>
        <v>#REF!</v>
      </c>
      <c r="F45"/>
      <c r="G45" s="126">
        <v>0</v>
      </c>
      <c r="H45" s="131"/>
      <c r="P45" s="132"/>
      <c r="Q45" s="131"/>
      <c r="Y45" s="168"/>
      <c r="AA45" s="168"/>
      <c r="AB45" s="130">
        <f>0.5*(B45-B44)*G44</f>
        <v>1582.3335072161365</v>
      </c>
      <c r="AC45" s="61"/>
      <c r="AE45" s="73"/>
      <c r="AF45" s="129"/>
      <c r="AG45" s="171">
        <f t="shared" si="7"/>
        <v>0</v>
      </c>
      <c r="AH45" s="108">
        <f t="shared" si="0"/>
        <v>0.55000000000000004</v>
      </c>
      <c r="AJ45" s="174">
        <f t="shared" si="1"/>
        <v>2876.970013120248</v>
      </c>
      <c r="AK45" s="248"/>
      <c r="AL45" s="174">
        <f t="shared" si="2"/>
        <v>0</v>
      </c>
      <c r="AN45" s="174">
        <f t="shared" si="3"/>
        <v>0</v>
      </c>
      <c r="AO45" s="286"/>
      <c r="AP45" s="303"/>
      <c r="AQ45" s="286"/>
      <c r="AR45" s="303"/>
      <c r="AS45" s="286"/>
      <c r="AT45" s="303"/>
      <c r="AU45" s="128"/>
      <c r="AY45" s="130"/>
      <c r="BA45" s="129"/>
      <c r="BB45" s="118"/>
      <c r="BC45" s="119"/>
      <c r="BD45" s="118"/>
      <c r="BE45" s="113"/>
      <c r="BF45" s="114"/>
      <c r="BG45" s="113"/>
      <c r="BH45" s="114"/>
      <c r="BI45" s="113"/>
      <c r="BJ45" s="114"/>
      <c r="BK45" s="113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</row>
    <row r="46" spans="1:73" s="174" customFormat="1" x14ac:dyDescent="0.25">
      <c r="A46" s="171">
        <v>1992</v>
      </c>
      <c r="B46" s="172">
        <f t="shared" ref="B46:B51" si="9">C46-DATE(YEAR(C46),1,1)+1</f>
        <v>1</v>
      </c>
      <c r="C46" s="173">
        <v>33604</v>
      </c>
      <c r="E46" s="172" t="e">
        <f>VLOOKUP(C46,#REF!,2)</f>
        <v>#REF!</v>
      </c>
      <c r="F46" s="172"/>
      <c r="G46" s="171">
        <f>AA46</f>
        <v>0</v>
      </c>
      <c r="H46" s="175"/>
      <c r="P46" s="176"/>
      <c r="Q46" s="175"/>
      <c r="Y46" s="177"/>
      <c r="AA46" s="177"/>
      <c r="AB46" s="178"/>
      <c r="AC46" s="183"/>
      <c r="AE46" s="206"/>
      <c r="AF46" s="179"/>
      <c r="AG46" s="171">
        <f t="shared" si="7"/>
        <v>0</v>
      </c>
      <c r="AH46" s="108">
        <f t="shared" si="0"/>
        <v>0.55000000000000004</v>
      </c>
      <c r="AJ46" s="174">
        <f t="shared" si="1"/>
        <v>0</v>
      </c>
      <c r="AK46" s="248"/>
      <c r="AL46" s="174">
        <f t="shared" si="2"/>
        <v>0</v>
      </c>
      <c r="AN46" s="174">
        <f t="shared" si="3"/>
        <v>0</v>
      </c>
      <c r="AO46" s="286"/>
      <c r="AP46" s="303"/>
      <c r="AQ46" s="286"/>
      <c r="AR46" s="303"/>
      <c r="AS46" s="286"/>
      <c r="AT46" s="303"/>
      <c r="AU46" s="180"/>
      <c r="AY46" s="178"/>
      <c r="BA46" s="179"/>
      <c r="BC46" s="181"/>
      <c r="BE46" s="181"/>
      <c r="BG46" s="181"/>
      <c r="BI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1"/>
    </row>
    <row r="47" spans="1:73" s="174" customFormat="1" x14ac:dyDescent="0.25">
      <c r="A47" s="171">
        <v>1992</v>
      </c>
      <c r="B47" s="172">
        <f t="shared" si="9"/>
        <v>71</v>
      </c>
      <c r="C47" s="173">
        <v>33674</v>
      </c>
      <c r="E47" s="172" t="e">
        <f>VLOOKUP(C47,#REF!,2)</f>
        <v>#REF!</v>
      </c>
      <c r="F47" s="172">
        <v>0.48</v>
      </c>
      <c r="G47" s="171">
        <f>S47</f>
        <v>116.90140845070422</v>
      </c>
      <c r="H47" s="175">
        <v>83</v>
      </c>
      <c r="I47" s="174">
        <f>VLOOKUP(B47,$CJ$97:$CP$253, 6)</f>
        <v>0.78389999999999993</v>
      </c>
      <c r="J47" s="174">
        <f>H47/I47</f>
        <v>105.88085214950887</v>
      </c>
      <c r="P47" s="176"/>
      <c r="Q47" s="175">
        <v>83</v>
      </c>
      <c r="R47" s="174">
        <f>VLOOKUP(B47,CJ83:CV239, 12)</f>
        <v>0.71</v>
      </c>
      <c r="S47" s="174">
        <f>Q47/R47</f>
        <v>116.90140845070422</v>
      </c>
      <c r="Y47" s="177"/>
      <c r="Z47" s="174">
        <f>VLOOKUP(B47,$CG$86:$CI$242,2)</f>
        <v>0.6389999999999999</v>
      </c>
      <c r="AA47" s="177">
        <f>S47/Z47</f>
        <v>182.94430117481102</v>
      </c>
      <c r="AB47" s="178">
        <f>0.5*($B49-$B46)*$G47</f>
        <v>8826.0563380281692</v>
      </c>
      <c r="AC47" s="183">
        <f>AF47/$AF$1</f>
        <v>373.80460226145607</v>
      </c>
      <c r="AD47" s="174">
        <f>G48</f>
        <v>182.94430117481102</v>
      </c>
      <c r="AE47" s="206">
        <f>AC47/AD47</f>
        <v>2.0432699999999997</v>
      </c>
      <c r="AF47" s="179">
        <f>SUM(AB47:AB49)</f>
        <v>18690.230113072805</v>
      </c>
      <c r="AG47" s="171">
        <f t="shared" si="7"/>
        <v>212.54801536491675</v>
      </c>
      <c r="AH47" s="108">
        <f t="shared" si="0"/>
        <v>0.55000000000000004</v>
      </c>
      <c r="AJ47" s="174">
        <f t="shared" si="1"/>
        <v>16047.375160051215</v>
      </c>
      <c r="AK47" s="248">
        <f>AN47/$AF$1</f>
        <v>679.64473138446556</v>
      </c>
      <c r="AL47" s="174">
        <f t="shared" si="2"/>
        <v>332.62600213602002</v>
      </c>
      <c r="AM47" s="174">
        <f>AK47/AL47</f>
        <v>2.0432699999999997</v>
      </c>
      <c r="AN47" s="174">
        <f t="shared" si="3"/>
        <v>33982.236569223278</v>
      </c>
      <c r="AO47" s="286"/>
      <c r="AP47" s="303"/>
      <c r="AQ47" s="286">
        <f>AL47*$AP$188</f>
        <v>0</v>
      </c>
      <c r="AR47" s="303"/>
      <c r="AS47" s="286"/>
      <c r="AT47" s="303">
        <f>AL47*$AS$177</f>
        <v>0</v>
      </c>
      <c r="AU47" s="180"/>
      <c r="AY47" s="178"/>
      <c r="BA47" s="179"/>
      <c r="BC47" s="181"/>
      <c r="BE47" s="181"/>
      <c r="BG47" s="181"/>
      <c r="BI47" s="181"/>
      <c r="BK47" s="181"/>
      <c r="BL47" s="181"/>
      <c r="BM47" s="181"/>
      <c r="BN47" s="181"/>
      <c r="BO47" s="181"/>
      <c r="BP47" s="181"/>
      <c r="BQ47" s="181"/>
      <c r="BR47" s="181"/>
      <c r="BS47" s="181"/>
      <c r="BT47" s="181"/>
      <c r="BU47" s="181"/>
    </row>
    <row r="48" spans="1:73" s="184" customFormat="1" x14ac:dyDescent="0.25">
      <c r="A48" s="265">
        <v>1992</v>
      </c>
      <c r="B48" s="186">
        <f>C48-DATE(YEAR(C48),1,1)+1</f>
        <v>113</v>
      </c>
      <c r="C48" s="266">
        <v>33716</v>
      </c>
      <c r="E48" s="186" t="e">
        <f>VLOOKUP(C48,#REF!,2)</f>
        <v>#REF!</v>
      </c>
      <c r="F48" s="186">
        <v>0.48</v>
      </c>
      <c r="G48" s="265">
        <f>AA47</f>
        <v>182.94430117481102</v>
      </c>
      <c r="H48" s="267"/>
      <c r="P48" s="268"/>
      <c r="Q48" s="267"/>
      <c r="Y48" s="269"/>
      <c r="AA48" s="269"/>
      <c r="AB48" s="178">
        <f>((B48-B47)*G48)-((B48-B47)*(G48-G47)*0.5)</f>
        <v>6296.7599021358201</v>
      </c>
      <c r="AC48" s="271"/>
      <c r="AE48" s="278"/>
      <c r="AF48" s="272"/>
      <c r="AG48" s="171">
        <f t="shared" si="7"/>
        <v>332.62600213602002</v>
      </c>
      <c r="AH48" s="108">
        <f t="shared" si="0"/>
        <v>0.55000000000000004</v>
      </c>
      <c r="AJ48" s="174">
        <f t="shared" si="1"/>
        <v>11448.654367519672</v>
      </c>
      <c r="AK48" s="261"/>
      <c r="AL48" s="174">
        <f t="shared" si="2"/>
        <v>0</v>
      </c>
      <c r="AN48" s="174">
        <f t="shared" si="3"/>
        <v>0</v>
      </c>
      <c r="AO48" s="286"/>
      <c r="AP48" s="303"/>
      <c r="AQ48" s="286"/>
      <c r="AR48" s="303"/>
      <c r="AS48" s="286"/>
      <c r="AT48" s="303"/>
      <c r="AU48" s="273"/>
      <c r="AY48" s="270"/>
      <c r="BA48" s="272"/>
    </row>
    <row r="49" spans="1:73" s="174" customFormat="1" x14ac:dyDescent="0.25">
      <c r="A49" s="171">
        <v>1992</v>
      </c>
      <c r="B49" s="172">
        <f t="shared" si="9"/>
        <v>152</v>
      </c>
      <c r="C49" s="173">
        <v>33755</v>
      </c>
      <c r="E49" s="172" t="e">
        <f>VLOOKUP(C49,#REF!,2)</f>
        <v>#REF!</v>
      </c>
      <c r="F49" s="172"/>
      <c r="G49" s="171">
        <f>AA49</f>
        <v>0</v>
      </c>
      <c r="H49" s="175"/>
      <c r="P49" s="176"/>
      <c r="Q49" s="175"/>
      <c r="Y49" s="177"/>
      <c r="AA49" s="177"/>
      <c r="AB49" s="274">
        <f>0.5*(B49-B48)*G48</f>
        <v>3567.4138729088149</v>
      </c>
      <c r="AC49" s="183"/>
      <c r="AE49" s="206"/>
      <c r="AF49" s="179"/>
      <c r="AG49" s="171">
        <f t="shared" si="7"/>
        <v>0</v>
      </c>
      <c r="AH49" s="108">
        <f t="shared" si="0"/>
        <v>0.55000000000000004</v>
      </c>
      <c r="AJ49" s="174">
        <f t="shared" si="1"/>
        <v>6486.2070416523902</v>
      </c>
      <c r="AK49" s="248"/>
      <c r="AL49" s="174">
        <f t="shared" si="2"/>
        <v>0</v>
      </c>
      <c r="AN49" s="174">
        <f>AF49/AH49</f>
        <v>0</v>
      </c>
      <c r="AO49" s="286"/>
      <c r="AP49" s="303"/>
      <c r="AQ49" s="286"/>
      <c r="AR49" s="303"/>
      <c r="AS49" s="286"/>
      <c r="AT49" s="303"/>
      <c r="AU49" s="180"/>
      <c r="AY49" s="178"/>
      <c r="BA49" s="179"/>
      <c r="BC49" s="181"/>
      <c r="BE49" s="181"/>
      <c r="BG49" s="181"/>
      <c r="BI49" s="181"/>
      <c r="BK49" s="181"/>
      <c r="BL49" s="181"/>
      <c r="BM49" s="181"/>
      <c r="BN49" s="181"/>
      <c r="BO49" s="181"/>
      <c r="BP49" s="181"/>
      <c r="BQ49" s="181"/>
      <c r="BR49" s="181"/>
      <c r="BS49" s="181"/>
      <c r="BT49" s="181"/>
      <c r="BU49" s="181"/>
    </row>
    <row r="50" spans="1:73" s="108" customFormat="1" x14ac:dyDescent="0.25">
      <c r="A50" s="126">
        <v>1993</v>
      </c>
      <c r="B50">
        <f t="shared" si="9"/>
        <v>1</v>
      </c>
      <c r="C50" s="110">
        <v>33970</v>
      </c>
      <c r="E50" t="e">
        <f>VLOOKUP(C50,#REF!,2)</f>
        <v>#REF!</v>
      </c>
      <c r="F50"/>
      <c r="G50" s="126">
        <v>0</v>
      </c>
      <c r="H50" s="131"/>
      <c r="P50" s="132"/>
      <c r="Q50" s="131"/>
      <c r="Y50" s="168"/>
      <c r="AA50" s="168"/>
      <c r="AB50" s="130"/>
      <c r="AC50" s="61"/>
      <c r="AE50" s="73"/>
      <c r="AF50" s="129"/>
      <c r="AG50" s="171">
        <f t="shared" si="7"/>
        <v>0</v>
      </c>
      <c r="AH50" s="108">
        <f t="shared" si="0"/>
        <v>0.55000000000000004</v>
      </c>
      <c r="AJ50" s="174">
        <f t="shared" si="1"/>
        <v>0</v>
      </c>
      <c r="AK50" s="248"/>
      <c r="AL50" s="174">
        <f t="shared" si="2"/>
        <v>0</v>
      </c>
      <c r="AN50" s="174">
        <f t="shared" si="3"/>
        <v>0</v>
      </c>
      <c r="AO50" s="286"/>
      <c r="AP50" s="303"/>
      <c r="AQ50" s="286"/>
      <c r="AR50" s="303"/>
      <c r="AS50" s="286"/>
      <c r="AT50" s="303"/>
      <c r="AU50" s="128"/>
      <c r="AY50" s="130"/>
      <c r="BA50" s="129"/>
      <c r="BB50" s="118"/>
      <c r="BC50" s="119"/>
      <c r="BD50" s="118"/>
      <c r="BE50" s="113"/>
      <c r="BF50" s="114"/>
      <c r="BG50" s="113"/>
      <c r="BH50" s="114"/>
      <c r="BI50" s="113"/>
      <c r="BJ50" s="114"/>
      <c r="BK50" s="113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</row>
    <row r="51" spans="1:73" s="108" customFormat="1" x14ac:dyDescent="0.25">
      <c r="A51" s="126">
        <v>1993</v>
      </c>
      <c r="B51">
        <f t="shared" si="9"/>
        <v>56</v>
      </c>
      <c r="C51" s="110">
        <v>34025</v>
      </c>
      <c r="E51" t="e">
        <f>VLOOKUP(C51,#REF!,2)</f>
        <v>#REF!</v>
      </c>
      <c r="F51">
        <v>0.33</v>
      </c>
      <c r="G51" s="126">
        <f>S51</f>
        <v>101.40845070422536</v>
      </c>
      <c r="H51" s="131">
        <v>72</v>
      </c>
      <c r="I51" s="108">
        <f>VLOOKUP(B51,$CJ$97:$CP$253, 6)</f>
        <v>0.7974</v>
      </c>
      <c r="J51" s="108">
        <f>H51/I51</f>
        <v>90.293453724604973</v>
      </c>
      <c r="P51" s="132"/>
      <c r="Q51" s="131">
        <v>72</v>
      </c>
      <c r="R51" s="108">
        <f>VLOOKUP(B51,CJ80:CV238, 12)</f>
        <v>0.71</v>
      </c>
      <c r="S51" s="108">
        <f>Q51/R51</f>
        <v>101.40845070422536</v>
      </c>
      <c r="Y51" s="168"/>
      <c r="Z51" s="108">
        <f>VLOOKUP(B51,$CG$86:$CI$242,2)</f>
        <v>0.504</v>
      </c>
      <c r="AA51" s="168">
        <f>S51/Z51</f>
        <v>201.2072434607646</v>
      </c>
      <c r="AB51" s="130">
        <f>0.5*(B51-B50)*G51</f>
        <v>2788.7323943661972</v>
      </c>
      <c r="AC51" s="61">
        <f>AF51/$AF$1</f>
        <v>123.96955470194908</v>
      </c>
      <c r="AD51" s="108">
        <f>G51</f>
        <v>101.40845070422536</v>
      </c>
      <c r="AE51" s="73">
        <f>AC51/AD51</f>
        <v>1.2224775533108867</v>
      </c>
      <c r="AF51" s="129">
        <f>SUM(AB51:AB53)</f>
        <v>6198.4777350974537</v>
      </c>
      <c r="AG51" s="171">
        <f t="shared" si="7"/>
        <v>184.37900128040974</v>
      </c>
      <c r="AH51" s="108">
        <f t="shared" si="0"/>
        <v>0.55000000000000004</v>
      </c>
      <c r="AJ51" s="174">
        <f t="shared" si="1"/>
        <v>5070.4225352112671</v>
      </c>
      <c r="AK51" s="248">
        <f>AN51/$AN$1</f>
        <v>225.39919036718013</v>
      </c>
      <c r="AL51" s="174">
        <f t="shared" si="2"/>
        <v>184.37900128040974</v>
      </c>
      <c r="AM51" s="108">
        <f>AK51/AL51</f>
        <v>1.2224775533108867</v>
      </c>
      <c r="AN51" s="174">
        <f t="shared" si="3"/>
        <v>11269.959518359006</v>
      </c>
      <c r="AO51" s="286"/>
      <c r="AP51" s="303"/>
      <c r="AQ51" s="286">
        <f>AL51*$AP$188</f>
        <v>0</v>
      </c>
      <c r="AR51" s="303"/>
      <c r="AS51" s="286"/>
      <c r="AT51" s="303">
        <f>AL51*$AS$177</f>
        <v>0</v>
      </c>
      <c r="AU51" s="128"/>
      <c r="AY51" s="130"/>
      <c r="BA51" s="129"/>
      <c r="BB51" s="118"/>
      <c r="BC51" s="119"/>
      <c r="BD51" s="118"/>
      <c r="BE51" s="113"/>
      <c r="BF51" s="114"/>
      <c r="BG51" s="113"/>
      <c r="BH51" s="114"/>
      <c r="BI51" s="113"/>
      <c r="BJ51" s="114"/>
      <c r="BK51" s="113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</row>
    <row r="52" spans="1:73" s="108" customFormat="1" x14ac:dyDescent="0.25">
      <c r="A52" s="126">
        <v>1993</v>
      </c>
      <c r="B52">
        <f t="shared" ref="B52:B57" si="10">C52-DATE(YEAR(C52),1,1)+1</f>
        <v>110</v>
      </c>
      <c r="C52" s="110">
        <v>34079</v>
      </c>
      <c r="E52" t="e">
        <f>VLOOKUP(C52,#REF!,2)</f>
        <v>#REF!</v>
      </c>
      <c r="F52">
        <v>0.33</v>
      </c>
      <c r="G52" s="126">
        <f>AA52</f>
        <v>14.141414141414144</v>
      </c>
      <c r="H52" s="131"/>
      <c r="K52" s="108">
        <v>7</v>
      </c>
      <c r="L52" s="108">
        <f>VLOOKUP(B52,$CJ$101:$CR$257, 4)</f>
        <v>0.41880000000000001</v>
      </c>
      <c r="M52" s="108">
        <f>K52/L52</f>
        <v>16.714422158548231</v>
      </c>
      <c r="P52" s="132"/>
      <c r="Q52" s="131"/>
      <c r="T52" s="108">
        <v>7</v>
      </c>
      <c r="U52" s="108">
        <f>VLOOKUP(B52,CJ114:CV270, 10)</f>
        <v>0.5</v>
      </c>
      <c r="V52" s="108">
        <f>T52/U52</f>
        <v>14</v>
      </c>
      <c r="Y52" s="168"/>
      <c r="Z52" s="108">
        <f>VLOOKUP(B52,$CG$86:$CI$242,2)</f>
        <v>0.98999999999999988</v>
      </c>
      <c r="AA52" s="168">
        <f>V52/Z52</f>
        <v>14.141414141414144</v>
      </c>
      <c r="AB52" s="130">
        <f>((B52-B51)*G52)-((B52-B51)*(G52-G51)*0.5)</f>
        <v>3119.8463508322666</v>
      </c>
      <c r="AC52" s="61"/>
      <c r="AE52" s="73"/>
      <c r="AF52" s="129"/>
      <c r="AG52" s="171">
        <f t="shared" si="7"/>
        <v>25.711662075298442</v>
      </c>
      <c r="AH52" s="108">
        <f t="shared" si="0"/>
        <v>0.55000000000000004</v>
      </c>
      <c r="AJ52" s="174">
        <f t="shared" si="1"/>
        <v>5672.4479106041208</v>
      </c>
      <c r="AK52" s="248"/>
      <c r="AL52" s="174">
        <f t="shared" si="2"/>
        <v>0</v>
      </c>
      <c r="AN52" s="174">
        <f t="shared" si="3"/>
        <v>0</v>
      </c>
      <c r="AO52" s="286"/>
      <c r="AP52" s="303"/>
      <c r="AQ52" s="286"/>
      <c r="AR52" s="303"/>
      <c r="AS52" s="286"/>
      <c r="AT52" s="303"/>
      <c r="AU52" s="128"/>
      <c r="AY52" s="130"/>
      <c r="BA52" s="129"/>
      <c r="BB52" s="118"/>
      <c r="BC52" s="119"/>
      <c r="BD52" s="118"/>
      <c r="BE52" s="113"/>
      <c r="BF52" s="114"/>
      <c r="BG52" s="113"/>
      <c r="BH52" s="114"/>
      <c r="BI52" s="113"/>
      <c r="BJ52" s="114"/>
      <c r="BK52" s="113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</row>
    <row r="53" spans="1:73" s="108" customFormat="1" x14ac:dyDescent="0.25">
      <c r="A53" s="126">
        <v>1993</v>
      </c>
      <c r="B53">
        <f t="shared" si="10"/>
        <v>151</v>
      </c>
      <c r="C53" s="110">
        <v>34120</v>
      </c>
      <c r="E53" t="e">
        <f>VLOOKUP(C53,#REF!,2)</f>
        <v>#REF!</v>
      </c>
      <c r="F53"/>
      <c r="G53" s="126">
        <v>0</v>
      </c>
      <c r="H53" s="131"/>
      <c r="P53" s="132"/>
      <c r="Q53" s="131"/>
      <c r="Y53" s="168"/>
      <c r="AA53" s="168"/>
      <c r="AB53" s="130">
        <f>0.5*(B53-B52)*G52</f>
        <v>289.89898989898995</v>
      </c>
      <c r="AC53" s="61"/>
      <c r="AE53" s="73"/>
      <c r="AF53" s="129"/>
      <c r="AG53" s="171">
        <f t="shared" si="7"/>
        <v>0</v>
      </c>
      <c r="AH53" s="108">
        <f t="shared" si="0"/>
        <v>0.55000000000000004</v>
      </c>
      <c r="AJ53" s="174">
        <f t="shared" si="1"/>
        <v>527.08907254361804</v>
      </c>
      <c r="AK53" s="248"/>
      <c r="AL53" s="174">
        <f t="shared" si="2"/>
        <v>0</v>
      </c>
      <c r="AN53" s="174">
        <f t="shared" si="3"/>
        <v>0</v>
      </c>
      <c r="AO53" s="286"/>
      <c r="AP53" s="303"/>
      <c r="AQ53" s="286"/>
      <c r="AR53" s="303"/>
      <c r="AS53" s="286"/>
      <c r="AT53" s="303"/>
      <c r="AU53" s="128"/>
      <c r="AY53" s="130"/>
      <c r="BA53" s="129"/>
      <c r="BB53" s="118"/>
      <c r="BC53" s="119"/>
      <c r="BD53" s="118"/>
      <c r="BE53" s="113"/>
      <c r="BF53" s="114"/>
      <c r="BG53" s="113"/>
      <c r="BH53" s="114"/>
      <c r="BI53" s="113"/>
      <c r="BJ53" s="114"/>
      <c r="BK53" s="113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</row>
    <row r="54" spans="1:73" s="174" customFormat="1" x14ac:dyDescent="0.25">
      <c r="A54" s="171">
        <v>1994</v>
      </c>
      <c r="B54" s="172">
        <f t="shared" si="10"/>
        <v>1</v>
      </c>
      <c r="C54" s="173">
        <v>34335</v>
      </c>
      <c r="E54" s="172" t="e">
        <f>VLOOKUP(C54,#REF!,2)</f>
        <v>#REF!</v>
      </c>
      <c r="F54" s="172"/>
      <c r="G54" s="171">
        <f>AA54</f>
        <v>0</v>
      </c>
      <c r="H54" s="175"/>
      <c r="P54" s="176"/>
      <c r="Q54" s="175"/>
      <c r="Y54" s="177"/>
      <c r="AA54" s="177"/>
      <c r="AB54" s="178"/>
      <c r="AC54" s="183"/>
      <c r="AE54" s="206"/>
      <c r="AF54" s="179"/>
      <c r="AG54" s="171">
        <f t="shared" si="7"/>
        <v>0</v>
      </c>
      <c r="AH54" s="108">
        <f t="shared" si="0"/>
        <v>0.55000000000000004</v>
      </c>
      <c r="AJ54" s="174">
        <f t="shared" si="1"/>
        <v>0</v>
      </c>
      <c r="AK54" s="248"/>
      <c r="AL54" s="174">
        <f t="shared" si="2"/>
        <v>0</v>
      </c>
      <c r="AN54" s="174">
        <f t="shared" si="3"/>
        <v>0</v>
      </c>
      <c r="AO54" s="286"/>
      <c r="AP54" s="303"/>
      <c r="AQ54" s="286"/>
      <c r="AR54" s="303"/>
      <c r="AS54" s="286"/>
      <c r="AT54" s="303"/>
      <c r="AU54" s="180"/>
      <c r="AY54" s="178"/>
      <c r="BA54" s="179"/>
      <c r="BC54" s="181"/>
      <c r="BE54" s="181"/>
      <c r="BG54" s="181"/>
      <c r="BI54" s="181"/>
      <c r="BK54" s="181"/>
      <c r="BL54" s="181"/>
      <c r="BM54" s="181"/>
      <c r="BN54" s="181"/>
      <c r="BO54" s="181"/>
      <c r="BP54" s="181"/>
      <c r="BQ54" s="181"/>
      <c r="BR54" s="181"/>
      <c r="BS54" s="181"/>
      <c r="BT54" s="181"/>
      <c r="BU54" s="181"/>
    </row>
    <row r="55" spans="1:73" s="174" customFormat="1" x14ac:dyDescent="0.25">
      <c r="A55" s="171">
        <v>1994</v>
      </c>
      <c r="B55" s="172">
        <f t="shared" si="10"/>
        <v>87</v>
      </c>
      <c r="C55" s="173">
        <v>34421</v>
      </c>
      <c r="E55" s="172" t="e">
        <f>VLOOKUP(C55,#REF!,2)</f>
        <v>#REF!</v>
      </c>
      <c r="F55" s="172">
        <v>0.25</v>
      </c>
      <c r="G55" s="171">
        <f>S55</f>
        <v>23.943661971830988</v>
      </c>
      <c r="H55" s="175">
        <v>17</v>
      </c>
      <c r="I55" s="174">
        <f>VLOOKUP(B55,$CJ$97:$CP$253, 6)</f>
        <v>0.77490000000000003</v>
      </c>
      <c r="J55" s="174">
        <f>H55/I55</f>
        <v>21.938314621241449</v>
      </c>
      <c r="P55" s="176"/>
      <c r="Q55" s="175">
        <v>17</v>
      </c>
      <c r="R55" s="174">
        <f>VLOOKUP(B55,CJ86:CV242, 12)</f>
        <v>0.71</v>
      </c>
      <c r="S55" s="174">
        <f>Q55/R55</f>
        <v>23.943661971830988</v>
      </c>
      <c r="Y55" s="177"/>
      <c r="Z55" s="174">
        <f>VLOOKUP(B55,$CG$86:$CI$242,2)</f>
        <v>0.72899999999999998</v>
      </c>
      <c r="AA55" s="177">
        <f>S55/Z55</f>
        <v>32.8445294538148</v>
      </c>
      <c r="AB55" s="178">
        <f>0.5*($B55-$B54)*$G55</f>
        <v>1029.5774647887324</v>
      </c>
      <c r="AC55" s="183">
        <f>AF55/$AF$1</f>
        <v>47.597963639173869</v>
      </c>
      <c r="AD55" s="174">
        <f>G56</f>
        <v>32.8445294538148</v>
      </c>
      <c r="AE55" s="206">
        <f>AC55/AD55</f>
        <v>1.44919</v>
      </c>
      <c r="AF55" s="179">
        <f>SUM(AB55:AB57)</f>
        <v>2379.8981819586934</v>
      </c>
      <c r="AG55" s="171">
        <f t="shared" si="7"/>
        <v>43.533930857874523</v>
      </c>
      <c r="AH55" s="108">
        <f t="shared" si="0"/>
        <v>0.55000000000000004</v>
      </c>
      <c r="AJ55" s="174">
        <f t="shared" si="1"/>
        <v>1871.9590268886043</v>
      </c>
      <c r="AK55" s="248">
        <f>AN55/$AF$1</f>
        <v>86.541752071225204</v>
      </c>
      <c r="AL55" s="174">
        <f t="shared" si="2"/>
        <v>59.717326279663268</v>
      </c>
      <c r="AM55" s="174">
        <f>AK55/AL55</f>
        <v>1.44919</v>
      </c>
      <c r="AN55" s="174">
        <f t="shared" si="3"/>
        <v>4327.08760356126</v>
      </c>
      <c r="AO55" s="286"/>
      <c r="AP55" s="303"/>
      <c r="AQ55" s="286">
        <f>AL55*$AP$188</f>
        <v>0</v>
      </c>
      <c r="AR55" s="303"/>
      <c r="AS55" s="286"/>
      <c r="AT55" s="303">
        <f>AL55*$AS$177</f>
        <v>0</v>
      </c>
      <c r="AU55" s="180"/>
      <c r="AY55" s="178"/>
      <c r="BA55" s="179"/>
      <c r="BC55" s="181"/>
      <c r="BE55" s="181"/>
      <c r="BG55" s="181"/>
      <c r="BI55" s="181"/>
      <c r="BK55" s="181"/>
      <c r="BL55" s="181"/>
      <c r="BM55" s="181"/>
      <c r="BN55" s="181"/>
      <c r="BO55" s="181"/>
      <c r="BP55" s="181"/>
      <c r="BQ55" s="181"/>
      <c r="BR55" s="181"/>
      <c r="BS55" s="181"/>
      <c r="BT55" s="181"/>
      <c r="BU55" s="181"/>
    </row>
    <row r="56" spans="1:73" s="184" customFormat="1" x14ac:dyDescent="0.25">
      <c r="A56" s="265">
        <v>1994</v>
      </c>
      <c r="B56" s="186">
        <f>C56-DATE(YEAR(C56),1,1)+1</f>
        <v>112</v>
      </c>
      <c r="C56" s="266">
        <v>34446</v>
      </c>
      <c r="E56" s="186" t="e">
        <f>VLOOKUP(C56,#REF!,2)</f>
        <v>#REF!</v>
      </c>
      <c r="F56" s="186">
        <v>0.25</v>
      </c>
      <c r="G56" s="265">
        <f>AA55</f>
        <v>32.8445294538148</v>
      </c>
      <c r="H56" s="267"/>
      <c r="P56" s="268"/>
      <c r="Q56" s="267"/>
      <c r="Y56" s="269"/>
      <c r="AA56" s="269"/>
      <c r="AB56" s="178">
        <f>((B56-B55)*G56)-((B56-B55)*(G56-G55)*0.5)</f>
        <v>709.85239282057239</v>
      </c>
      <c r="AC56" s="271"/>
      <c r="AE56" s="278"/>
      <c r="AF56" s="272"/>
      <c r="AG56" s="171">
        <f t="shared" si="7"/>
        <v>59.717326279663268</v>
      </c>
      <c r="AH56" s="108">
        <f t="shared" si="0"/>
        <v>0.55000000000000004</v>
      </c>
      <c r="AJ56" s="174">
        <f t="shared" si="1"/>
        <v>1290.6407142192224</v>
      </c>
      <c r="AK56" s="261"/>
      <c r="AL56" s="174">
        <f t="shared" si="2"/>
        <v>0</v>
      </c>
      <c r="AN56" s="174">
        <f t="shared" si="3"/>
        <v>0</v>
      </c>
      <c r="AO56" s="286"/>
      <c r="AP56" s="303"/>
      <c r="AQ56" s="286"/>
      <c r="AR56" s="303"/>
      <c r="AS56" s="286"/>
      <c r="AT56" s="303"/>
      <c r="AU56" s="273"/>
      <c r="AY56" s="270"/>
      <c r="BA56" s="272"/>
    </row>
    <row r="57" spans="1:73" s="174" customFormat="1" x14ac:dyDescent="0.25">
      <c r="A57" s="171">
        <v>1994</v>
      </c>
      <c r="B57" s="172">
        <f t="shared" si="10"/>
        <v>151</v>
      </c>
      <c r="C57" s="173">
        <v>34485</v>
      </c>
      <c r="E57" s="172" t="e">
        <f>VLOOKUP(C57,#REF!,2)</f>
        <v>#REF!</v>
      </c>
      <c r="F57" s="172"/>
      <c r="G57" s="171">
        <f>AA57</f>
        <v>0</v>
      </c>
      <c r="H57" s="175"/>
      <c r="P57" s="176"/>
      <c r="Q57" s="175"/>
      <c r="Y57" s="177"/>
      <c r="AA57" s="177"/>
      <c r="AB57" s="274">
        <f>0.5*(B57-B56)*G56</f>
        <v>640.46832434938858</v>
      </c>
      <c r="AC57" s="183"/>
      <c r="AE57" s="206"/>
      <c r="AF57" s="179"/>
      <c r="AG57" s="171">
        <f t="shared" si="7"/>
        <v>0</v>
      </c>
      <c r="AH57" s="108">
        <f t="shared" si="0"/>
        <v>0.55000000000000004</v>
      </c>
      <c r="AJ57" s="174">
        <f t="shared" si="1"/>
        <v>1164.4878624534338</v>
      </c>
      <c r="AK57" s="248"/>
      <c r="AL57" s="174">
        <f t="shared" si="2"/>
        <v>0</v>
      </c>
      <c r="AN57" s="174">
        <f t="shared" si="3"/>
        <v>0</v>
      </c>
      <c r="AO57" s="286"/>
      <c r="AP57" s="303"/>
      <c r="AQ57" s="286"/>
      <c r="AR57" s="303"/>
      <c r="AS57" s="286"/>
      <c r="AT57" s="303"/>
      <c r="AU57" s="180"/>
      <c r="AY57" s="178"/>
      <c r="BA57" s="179"/>
      <c r="BC57" s="181"/>
      <c r="BE57" s="181"/>
      <c r="BG57" s="181"/>
      <c r="BI57" s="181"/>
      <c r="BK57" s="181"/>
      <c r="BL57" s="181"/>
      <c r="BM57" s="181"/>
      <c r="BN57" s="181"/>
      <c r="BO57" s="181"/>
      <c r="BP57" s="181"/>
      <c r="BQ57" s="181"/>
      <c r="BR57" s="181"/>
      <c r="BS57" s="181"/>
      <c r="BT57" s="181"/>
      <c r="BU57" s="181"/>
    </row>
    <row r="58" spans="1:73" s="108" customFormat="1" x14ac:dyDescent="0.25">
      <c r="A58" s="126">
        <v>1995</v>
      </c>
      <c r="B58">
        <f>C58-DATE(YEAR(C58),1,1)+1</f>
        <v>1</v>
      </c>
      <c r="C58" s="110">
        <v>34700</v>
      </c>
      <c r="E58" t="e">
        <f>VLOOKUP(C58,#REF!,2)</f>
        <v>#REF!</v>
      </c>
      <c r="F58"/>
      <c r="G58" s="126">
        <v>0</v>
      </c>
      <c r="H58" s="131"/>
      <c r="P58" s="132"/>
      <c r="Q58" s="131"/>
      <c r="Y58" s="168"/>
      <c r="AA58" s="168"/>
      <c r="AB58" s="130"/>
      <c r="AC58" s="61"/>
      <c r="AE58" s="73"/>
      <c r="AF58" s="129"/>
      <c r="AG58" s="171">
        <f t="shared" si="7"/>
        <v>0</v>
      </c>
      <c r="AH58" s="108">
        <f t="shared" si="0"/>
        <v>0.55000000000000004</v>
      </c>
      <c r="AJ58" s="174">
        <f t="shared" si="1"/>
        <v>0</v>
      </c>
      <c r="AK58" s="248"/>
      <c r="AL58" s="174">
        <f t="shared" si="2"/>
        <v>0</v>
      </c>
      <c r="AN58" s="174">
        <f t="shared" si="3"/>
        <v>0</v>
      </c>
      <c r="AO58" s="286"/>
      <c r="AP58" s="303"/>
      <c r="AQ58" s="286"/>
      <c r="AR58" s="303"/>
      <c r="AS58" s="286"/>
      <c r="AT58" s="303"/>
      <c r="AU58" s="128"/>
      <c r="AY58" s="130"/>
      <c r="BA58" s="129"/>
      <c r="BB58" s="118"/>
      <c r="BC58" s="119"/>
      <c r="BD58" s="118"/>
      <c r="BE58" s="113"/>
      <c r="BF58" s="114"/>
      <c r="BG58" s="113"/>
      <c r="BH58" s="114"/>
      <c r="BI58" s="113"/>
      <c r="BJ58" s="114"/>
      <c r="BK58" s="113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</row>
    <row r="59" spans="1:73" s="108" customFormat="1" x14ac:dyDescent="0.25">
      <c r="A59" s="126">
        <v>1995</v>
      </c>
      <c r="B59">
        <f>C59-DATE(YEAR(C59),1,1)+1</f>
        <v>60</v>
      </c>
      <c r="C59" s="110">
        <v>34759</v>
      </c>
      <c r="E59" t="e">
        <f>VLOOKUP(C59,#REF!,2)</f>
        <v>#REF!</v>
      </c>
      <c r="F59">
        <v>0.27</v>
      </c>
      <c r="G59" s="126">
        <f>S59</f>
        <v>50.70422535211268</v>
      </c>
      <c r="H59" s="162">
        <v>36</v>
      </c>
      <c r="I59" s="108">
        <f>VLOOKUP(B59,$CJ$97:$CP$253, 6)</f>
        <v>0.79380000000000006</v>
      </c>
      <c r="J59" s="108">
        <f>H59/I59</f>
        <v>45.351473922902493</v>
      </c>
      <c r="P59" s="132"/>
      <c r="Q59" s="131">
        <v>36</v>
      </c>
      <c r="R59" s="108">
        <f>VLOOKUP(B59,CJ89:CV245, 12)</f>
        <v>0.71</v>
      </c>
      <c r="S59" s="108">
        <f>Q59/R59</f>
        <v>50.70422535211268</v>
      </c>
      <c r="Y59" s="168"/>
      <c r="Z59" s="108">
        <f>VLOOKUP(B59,CG89:CI245,2)</f>
        <v>0.53999999999999992</v>
      </c>
      <c r="AA59" s="168">
        <f>S59/Z59</f>
        <v>93.896713615023501</v>
      </c>
      <c r="AB59" s="130">
        <f>0.5*($B61-$B58)*$G59</f>
        <v>3802.816901408451</v>
      </c>
      <c r="AC59" s="61">
        <f>AF59/$AF$1</f>
        <v>187.86854460093898</v>
      </c>
      <c r="AD59" s="108">
        <f>G60</f>
        <v>93.896713615023501</v>
      </c>
      <c r="AE59" s="73">
        <f>AC59/AD59</f>
        <v>2.0007999999999995</v>
      </c>
      <c r="AF59" s="129">
        <f>SUM(AB58:AB61)</f>
        <v>9393.4272300469493</v>
      </c>
      <c r="AG59" s="171">
        <f t="shared" si="7"/>
        <v>92.189500640204869</v>
      </c>
      <c r="AH59" s="108">
        <f t="shared" si="0"/>
        <v>0.55000000000000004</v>
      </c>
      <c r="AJ59" s="174">
        <f t="shared" si="1"/>
        <v>6914.2125480153645</v>
      </c>
      <c r="AK59" s="248">
        <f>AN59/$AN$1</f>
        <v>341.57917200170721</v>
      </c>
      <c r="AL59" s="174">
        <f t="shared" si="2"/>
        <v>170.72129748186089</v>
      </c>
      <c r="AM59" s="108">
        <f>AK59/AL59</f>
        <v>2.0007999999999995</v>
      </c>
      <c r="AN59" s="174">
        <f t="shared" si="3"/>
        <v>17078.95860008536</v>
      </c>
      <c r="AO59" s="286"/>
      <c r="AP59" s="303"/>
      <c r="AQ59" s="286">
        <f>AL59*$AP$188</f>
        <v>0</v>
      </c>
      <c r="AR59" s="303"/>
      <c r="AS59" s="286"/>
      <c r="AT59" s="303">
        <f>AL59*$AS$177</f>
        <v>0</v>
      </c>
      <c r="AU59" s="128"/>
      <c r="AY59" s="130"/>
      <c r="BA59" s="129"/>
      <c r="BB59" s="118"/>
      <c r="BC59" s="119"/>
      <c r="BD59" s="118"/>
      <c r="BE59" s="113"/>
      <c r="BF59" s="114"/>
      <c r="BG59" s="113"/>
      <c r="BH59" s="114"/>
      <c r="BI59" s="113"/>
      <c r="BJ59" s="114"/>
      <c r="BK59" s="113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</row>
    <row r="60" spans="1:73" s="163" customFormat="1" x14ac:dyDescent="0.25">
      <c r="A60" s="253">
        <v>1995</v>
      </c>
      <c r="B60" s="125">
        <f>C60-DATE(YEAR(C60),1,1)+1</f>
        <v>112</v>
      </c>
      <c r="C60" s="254">
        <v>34811</v>
      </c>
      <c r="E60" s="125" t="e">
        <f>VLOOKUP(C60,#REF!,2)</f>
        <v>#REF!</v>
      </c>
      <c r="F60" s="125">
        <v>0.27</v>
      </c>
      <c r="G60" s="253">
        <f>AA59</f>
        <v>93.896713615023501</v>
      </c>
      <c r="H60" s="255"/>
      <c r="P60" s="256"/>
      <c r="Q60" s="255"/>
      <c r="Y60" s="257"/>
      <c r="AA60" s="257"/>
      <c r="AB60" s="275">
        <f>((B60-B59)*G60)-((B60-B59)*(G60-G59)*0.5)</f>
        <v>3759.6244131455405</v>
      </c>
      <c r="AC60" s="259"/>
      <c r="AE60" s="277"/>
      <c r="AF60" s="260"/>
      <c r="AG60" s="171">
        <f t="shared" si="7"/>
        <v>170.72129748186089</v>
      </c>
      <c r="AH60" s="108">
        <f t="shared" si="0"/>
        <v>0.55000000000000004</v>
      </c>
      <c r="AJ60" s="174">
        <f t="shared" si="1"/>
        <v>6835.6807511737097</v>
      </c>
      <c r="AK60" s="261"/>
      <c r="AL60" s="174">
        <f t="shared" si="2"/>
        <v>0</v>
      </c>
      <c r="AN60" s="174">
        <f t="shared" si="3"/>
        <v>0</v>
      </c>
      <c r="AO60" s="286"/>
      <c r="AP60" s="303"/>
      <c r="AQ60" s="286"/>
      <c r="AR60" s="303"/>
      <c r="AS60" s="286"/>
      <c r="AT60" s="303"/>
      <c r="AU60" s="262"/>
      <c r="AY60" s="258"/>
      <c r="BA60" s="260"/>
      <c r="BB60" s="263"/>
      <c r="BC60" s="263"/>
      <c r="BD60" s="263"/>
      <c r="BE60" s="264"/>
      <c r="BF60" s="264"/>
      <c r="BG60" s="264"/>
      <c r="BH60" s="264"/>
      <c r="BI60" s="264"/>
      <c r="BJ60" s="264"/>
      <c r="BK60" s="264"/>
    </row>
    <row r="61" spans="1:73" s="108" customFormat="1" x14ac:dyDescent="0.25">
      <c r="A61" s="126">
        <v>1995</v>
      </c>
      <c r="B61">
        <f>C61-DATE(YEAR(C61),1,1)+1</f>
        <v>151</v>
      </c>
      <c r="C61" s="110">
        <v>34850</v>
      </c>
      <c r="E61" t="e">
        <f>VLOOKUP(C61,#REF!,2)</f>
        <v>#REF!</v>
      </c>
      <c r="F61"/>
      <c r="G61" s="126">
        <v>0</v>
      </c>
      <c r="H61" s="131"/>
      <c r="P61" s="132"/>
      <c r="Q61" s="131"/>
      <c r="Y61" s="168"/>
      <c r="AA61" s="168"/>
      <c r="AB61" s="130">
        <f>0.5*(B61-B60)*G60</f>
        <v>1830.9859154929582</v>
      </c>
      <c r="AC61" s="61"/>
      <c r="AE61" s="73"/>
      <c r="AF61" s="129"/>
      <c r="AG61" s="171">
        <f t="shared" si="7"/>
        <v>0</v>
      </c>
      <c r="AH61" s="108">
        <f t="shared" si="0"/>
        <v>0.55000000000000004</v>
      </c>
      <c r="AJ61" s="174">
        <f t="shared" si="1"/>
        <v>3329.0653008962872</v>
      </c>
      <c r="AK61" s="248"/>
      <c r="AL61" s="174">
        <f t="shared" si="2"/>
        <v>0</v>
      </c>
      <c r="AN61" s="174">
        <f t="shared" si="3"/>
        <v>0</v>
      </c>
      <c r="AO61" s="286"/>
      <c r="AP61" s="303"/>
      <c r="AQ61" s="286"/>
      <c r="AR61" s="303"/>
      <c r="AS61" s="286"/>
      <c r="AT61" s="303"/>
      <c r="AU61" s="128"/>
      <c r="AY61" s="130"/>
      <c r="BA61" s="129"/>
      <c r="BB61" s="118"/>
      <c r="BC61" s="119"/>
      <c r="BD61" s="118"/>
      <c r="BE61" s="113"/>
      <c r="BF61" s="114"/>
      <c r="BG61" s="113"/>
      <c r="BH61" s="114"/>
      <c r="BI61" s="113"/>
      <c r="BJ61" s="114"/>
      <c r="BK61" s="113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</row>
    <row r="62" spans="1:73" s="174" customFormat="1" x14ac:dyDescent="0.25">
      <c r="A62" s="171">
        <v>1996</v>
      </c>
      <c r="B62" s="172">
        <f t="shared" ref="B62:B78" si="11">C62-DATE(YEAR(C62),1,1)+1</f>
        <v>1</v>
      </c>
      <c r="C62" s="173">
        <v>35065</v>
      </c>
      <c r="E62" s="172" t="e">
        <f>VLOOKUP(C62,#REF!,2)</f>
        <v>#REF!</v>
      </c>
      <c r="F62" s="172"/>
      <c r="G62" s="171">
        <f>AA62</f>
        <v>0</v>
      </c>
      <c r="H62" s="175"/>
      <c r="P62" s="176"/>
      <c r="Q62" s="175"/>
      <c r="Y62" s="177"/>
      <c r="AA62" s="177"/>
      <c r="AB62" s="178"/>
      <c r="AC62" s="183"/>
      <c r="AE62" s="206"/>
      <c r="AF62" s="179"/>
      <c r="AG62" s="171">
        <f t="shared" si="7"/>
        <v>0</v>
      </c>
      <c r="AH62" s="108">
        <f t="shared" si="0"/>
        <v>0.55000000000000004</v>
      </c>
      <c r="AJ62" s="174">
        <f t="shared" si="1"/>
        <v>0</v>
      </c>
      <c r="AK62" s="248"/>
      <c r="AL62" s="174">
        <f t="shared" si="2"/>
        <v>0</v>
      </c>
      <c r="AN62" s="174">
        <f t="shared" si="3"/>
        <v>0</v>
      </c>
      <c r="AO62" s="286"/>
      <c r="AP62" s="303"/>
      <c r="AQ62" s="286"/>
      <c r="AR62" s="303"/>
      <c r="AS62" s="286"/>
      <c r="AT62" s="303"/>
      <c r="AU62" s="180"/>
      <c r="AY62" s="178"/>
      <c r="BA62" s="179"/>
      <c r="BC62" s="181"/>
      <c r="BE62" s="181"/>
      <c r="BG62" s="181"/>
      <c r="BI62" s="181"/>
      <c r="BK62" s="181"/>
      <c r="BL62" s="181"/>
      <c r="BM62" s="181"/>
      <c r="BN62" s="181"/>
      <c r="BO62" s="181"/>
      <c r="BP62" s="181"/>
      <c r="BQ62" s="181"/>
      <c r="BR62" s="181"/>
      <c r="BS62" s="181"/>
      <c r="BT62" s="181"/>
      <c r="BU62" s="181"/>
    </row>
    <row r="63" spans="1:73" s="174" customFormat="1" x14ac:dyDescent="0.25">
      <c r="A63" s="171">
        <v>1996</v>
      </c>
      <c r="B63" s="172">
        <f>C63-DATE(YEAR(C63),1,1)+1</f>
        <v>88</v>
      </c>
      <c r="C63" s="173">
        <v>35152</v>
      </c>
      <c r="E63" s="172" t="e">
        <f>VLOOKUP(C63,#REF!,2)</f>
        <v>#REF!</v>
      </c>
      <c r="F63" s="172">
        <v>0.15</v>
      </c>
      <c r="G63" s="171">
        <f>S63</f>
        <v>42.253521126760567</v>
      </c>
      <c r="H63" s="175">
        <v>30</v>
      </c>
      <c r="I63" s="174">
        <f>VLOOKUP(B63,$CJ$97:$CP$253, 6)</f>
        <v>0.77490000000000003</v>
      </c>
      <c r="J63" s="174">
        <f>H63/I63</f>
        <v>38.714672861014321</v>
      </c>
      <c r="P63" s="176"/>
      <c r="Q63" s="175">
        <v>30</v>
      </c>
      <c r="R63" s="174">
        <f>VLOOKUP(B63,CJ92:CV248, 12)</f>
        <v>0.71</v>
      </c>
      <c r="S63" s="174">
        <f>Q63/R63</f>
        <v>42.253521126760567</v>
      </c>
      <c r="Y63" s="177"/>
      <c r="Z63" s="174">
        <f>VLOOKUP(B63,CG92:CI248,2)</f>
        <v>0.72899999999999998</v>
      </c>
      <c r="AA63" s="177">
        <f>S63/Z63</f>
        <v>57.960934330261409</v>
      </c>
      <c r="AB63" s="178">
        <f>0.5*($B65-$B62)*$G63</f>
        <v>3190.140845070423</v>
      </c>
      <c r="AC63" s="183">
        <f>AF63/$AF$1</f>
        <v>111.4611951544659</v>
      </c>
      <c r="AD63" s="174">
        <f>G64</f>
        <v>57.960934330261409</v>
      </c>
      <c r="AE63" s="206">
        <f>AC63/AD63</f>
        <v>1.9230399999999999</v>
      </c>
      <c r="AF63" s="179">
        <f>SUM(AB63:AB65)</f>
        <v>5573.0597577232948</v>
      </c>
      <c r="AG63" s="171">
        <f t="shared" si="7"/>
        <v>76.824583866837386</v>
      </c>
      <c r="AH63" s="108">
        <f t="shared" si="0"/>
        <v>0.55000000000000004</v>
      </c>
      <c r="AJ63" s="174">
        <f t="shared" si="1"/>
        <v>5800.2560819462233</v>
      </c>
      <c r="AK63" s="248">
        <f>AN63/$AF$1</f>
        <v>202.65671846266522</v>
      </c>
      <c r="AL63" s="174">
        <f t="shared" si="2"/>
        <v>105.38351696411165</v>
      </c>
      <c r="AM63" s="174">
        <f>AK63/AL63</f>
        <v>1.9230399999999996</v>
      </c>
      <c r="AN63" s="174">
        <f t="shared" si="3"/>
        <v>10132.835923133262</v>
      </c>
      <c r="AO63" s="286"/>
      <c r="AP63" s="303"/>
      <c r="AQ63" s="286">
        <f>AL63*$AP$188</f>
        <v>0</v>
      </c>
      <c r="AR63" s="303"/>
      <c r="AS63" s="286"/>
      <c r="AT63" s="303">
        <f>AL63*$AS$177</f>
        <v>0</v>
      </c>
      <c r="AU63" s="180"/>
      <c r="AY63" s="178"/>
      <c r="BA63" s="179"/>
      <c r="BC63" s="181"/>
      <c r="BE63" s="181"/>
      <c r="BG63" s="181"/>
      <c r="BI63" s="181"/>
      <c r="BK63" s="181"/>
      <c r="BL63" s="181"/>
      <c r="BM63" s="181"/>
      <c r="BN63" s="181"/>
      <c r="BO63" s="181"/>
      <c r="BP63" s="181"/>
      <c r="BQ63" s="181"/>
      <c r="BR63" s="181"/>
      <c r="BS63" s="181"/>
      <c r="BT63" s="181"/>
      <c r="BU63" s="181"/>
    </row>
    <row r="64" spans="1:73" s="184" customFormat="1" x14ac:dyDescent="0.25">
      <c r="A64" s="265">
        <v>1996</v>
      </c>
      <c r="B64" s="186">
        <f>C64-DATE(YEAR(C64),1,1)+1</f>
        <v>113</v>
      </c>
      <c r="C64" s="266">
        <v>35177</v>
      </c>
      <c r="E64" s="186" t="e">
        <f>VLOOKUP(C64,#REF!,2)</f>
        <v>#REF!</v>
      </c>
      <c r="F64" s="186">
        <v>0.15</v>
      </c>
      <c r="G64" s="265">
        <f>AA63</f>
        <v>57.960934330261409</v>
      </c>
      <c r="H64" s="267"/>
      <c r="P64" s="268"/>
      <c r="Q64" s="267"/>
      <c r="Y64" s="269"/>
      <c r="AA64" s="269"/>
      <c r="AB64" s="178">
        <f>((B64-B63)*G64)-((B64-B63)*(G64-G63)*0.5)</f>
        <v>1252.6806932127747</v>
      </c>
      <c r="AC64" s="271"/>
      <c r="AE64" s="278"/>
      <c r="AF64" s="272"/>
      <c r="AG64" s="171">
        <f t="shared" si="7"/>
        <v>105.38351696411165</v>
      </c>
      <c r="AH64" s="108">
        <f t="shared" si="0"/>
        <v>0.55000000000000004</v>
      </c>
      <c r="AJ64" s="174">
        <f t="shared" si="1"/>
        <v>2277.601260386863</v>
      </c>
      <c r="AK64" s="261"/>
      <c r="AL64" s="174">
        <f t="shared" si="2"/>
        <v>0</v>
      </c>
      <c r="AN64" s="174">
        <f t="shared" si="3"/>
        <v>0</v>
      </c>
      <c r="AO64" s="286"/>
      <c r="AP64" s="303"/>
      <c r="AQ64" s="286"/>
      <c r="AR64" s="303"/>
      <c r="AS64" s="286"/>
      <c r="AT64" s="303"/>
      <c r="AU64" s="273"/>
      <c r="AY64" s="270"/>
      <c r="BA64" s="272"/>
    </row>
    <row r="65" spans="1:73" s="174" customFormat="1" x14ac:dyDescent="0.25">
      <c r="A65" s="171">
        <v>1996</v>
      </c>
      <c r="B65" s="172">
        <f t="shared" si="11"/>
        <v>152</v>
      </c>
      <c r="C65" s="173">
        <v>35216</v>
      </c>
      <c r="E65" s="172" t="e">
        <f>VLOOKUP(C65,#REF!,2)</f>
        <v>#REF!</v>
      </c>
      <c r="F65" s="172"/>
      <c r="G65" s="171">
        <f>AA65</f>
        <v>0</v>
      </c>
      <c r="H65" s="175"/>
      <c r="P65" s="176"/>
      <c r="Q65" s="175"/>
      <c r="Y65" s="177"/>
      <c r="AA65" s="177"/>
      <c r="AB65" s="274">
        <f>0.5*(B65-B64)*G64</f>
        <v>1130.2382194400975</v>
      </c>
      <c r="AC65" s="183"/>
      <c r="AE65" s="206"/>
      <c r="AF65" s="179"/>
      <c r="AG65" s="171">
        <f t="shared" si="7"/>
        <v>0</v>
      </c>
      <c r="AH65" s="108">
        <f t="shared" si="0"/>
        <v>0.55000000000000004</v>
      </c>
      <c r="AJ65" s="174">
        <f t="shared" si="1"/>
        <v>2054.978580800177</v>
      </c>
      <c r="AK65" s="248"/>
      <c r="AL65" s="174">
        <f t="shared" si="2"/>
        <v>0</v>
      </c>
      <c r="AN65" s="174">
        <f t="shared" si="3"/>
        <v>0</v>
      </c>
      <c r="AO65" s="286"/>
      <c r="AP65" s="303"/>
      <c r="AQ65" s="286"/>
      <c r="AR65" s="303"/>
      <c r="AS65" s="286"/>
      <c r="AT65" s="303"/>
      <c r="AU65" s="180"/>
      <c r="AY65" s="178"/>
      <c r="BA65" s="179"/>
      <c r="BC65" s="181"/>
      <c r="BE65" s="181"/>
      <c r="BG65" s="181"/>
      <c r="BI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1"/>
    </row>
    <row r="66" spans="1:73" s="108" customFormat="1" x14ac:dyDescent="0.25">
      <c r="A66" s="126">
        <v>1998</v>
      </c>
      <c r="B66">
        <f t="shared" si="11"/>
        <v>1</v>
      </c>
      <c r="C66" s="110">
        <v>72321</v>
      </c>
      <c r="E66" t="e">
        <f>VLOOKUP(C66,#REF!,2)</f>
        <v>#REF!</v>
      </c>
      <c r="F66"/>
      <c r="G66" s="126">
        <v>0</v>
      </c>
      <c r="H66" s="131"/>
      <c r="P66" s="132"/>
      <c r="Q66" s="131"/>
      <c r="Y66" s="168"/>
      <c r="AA66" s="168"/>
      <c r="AB66" s="130"/>
      <c r="AC66" s="61"/>
      <c r="AE66" s="73"/>
      <c r="AF66" s="129"/>
      <c r="AG66" s="171">
        <f t="shared" si="7"/>
        <v>0</v>
      </c>
      <c r="AH66" s="108">
        <f t="shared" si="0"/>
        <v>0.55000000000000004</v>
      </c>
      <c r="AJ66" s="174">
        <f t="shared" si="1"/>
        <v>0</v>
      </c>
      <c r="AK66" s="248"/>
      <c r="AL66" s="174">
        <f t="shared" si="2"/>
        <v>0</v>
      </c>
      <c r="AN66" s="174">
        <f t="shared" si="3"/>
        <v>0</v>
      </c>
      <c r="AO66" s="286"/>
      <c r="AP66" s="303"/>
      <c r="AQ66" s="286"/>
      <c r="AR66" s="303"/>
      <c r="AS66" s="286"/>
      <c r="AT66" s="303"/>
      <c r="AU66" s="128"/>
      <c r="AY66" s="130"/>
      <c r="BA66" s="129"/>
      <c r="BB66" s="118"/>
      <c r="BC66" s="119"/>
      <c r="BD66" s="118"/>
      <c r="BE66" s="113"/>
      <c r="BF66" s="114"/>
      <c r="BG66" s="113"/>
      <c r="BH66" s="114"/>
      <c r="BI66" s="113"/>
      <c r="BJ66" s="114"/>
      <c r="BK66" s="113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</row>
    <row r="67" spans="1:73" s="108" customFormat="1" x14ac:dyDescent="0.25">
      <c r="A67" s="126">
        <v>1998</v>
      </c>
      <c r="B67">
        <f t="shared" si="11"/>
        <v>63</v>
      </c>
      <c r="C67" s="110">
        <v>35858</v>
      </c>
      <c r="E67" t="e">
        <f>VLOOKUP(C67,#REF!,2)</f>
        <v>#REF!</v>
      </c>
      <c r="F67">
        <v>0.25</v>
      </c>
      <c r="G67" s="126">
        <f>S67</f>
        <v>5.6338028169014089</v>
      </c>
      <c r="H67" s="131">
        <v>4</v>
      </c>
      <c r="P67" s="132"/>
      <c r="Q67" s="131">
        <v>4</v>
      </c>
      <c r="R67" s="108">
        <f>VLOOKUP(B67,CJ95:CV251, 12)</f>
        <v>0.71</v>
      </c>
      <c r="S67" s="108">
        <f>Q67/R67</f>
        <v>5.6338028169014089</v>
      </c>
      <c r="Y67" s="168"/>
      <c r="Z67" s="108">
        <f>VLOOKUP(B67,CG92:CI248,2)</f>
        <v>0.56699999999999995</v>
      </c>
      <c r="AA67" s="168">
        <f>S67/Z67</f>
        <v>9.9361601709019567</v>
      </c>
      <c r="AB67" s="130">
        <f>0.5*($B69-$B66)*$G67</f>
        <v>422.53521126760569</v>
      </c>
      <c r="AC67" s="61">
        <f>AF67/$AF$1</f>
        <v>19.955088556027526</v>
      </c>
      <c r="AD67" s="108">
        <f>G68</f>
        <v>9.9361601709019567</v>
      </c>
      <c r="AE67" s="73">
        <f>AC67/AD67</f>
        <v>2.0083299999999999</v>
      </c>
      <c r="AF67" s="129">
        <f>SUM(AB67:AB69)</f>
        <v>997.75442780137632</v>
      </c>
      <c r="AG67" s="171">
        <f t="shared" si="7"/>
        <v>10.243277848911651</v>
      </c>
      <c r="AH67" s="108">
        <f t="shared" si="0"/>
        <v>0.55000000000000004</v>
      </c>
      <c r="AJ67" s="174">
        <f t="shared" si="1"/>
        <v>768.24583866837395</v>
      </c>
      <c r="AK67" s="248">
        <f>AN67/$AN$1</f>
        <v>36.281979192777314</v>
      </c>
      <c r="AL67" s="174">
        <f t="shared" si="2"/>
        <v>18.065745765276283</v>
      </c>
      <c r="AM67" s="108">
        <f>AK67/AL67</f>
        <v>2.0083299999999999</v>
      </c>
      <c r="AN67" s="174">
        <f t="shared" si="3"/>
        <v>1814.0989596388658</v>
      </c>
      <c r="AO67" s="286"/>
      <c r="AP67" s="303"/>
      <c r="AQ67" s="286">
        <f>AL67*$AP$188</f>
        <v>0</v>
      </c>
      <c r="AR67" s="303"/>
      <c r="AS67" s="286"/>
      <c r="AT67" s="303">
        <f>AL67*$AS$177</f>
        <v>0</v>
      </c>
      <c r="AU67" s="128"/>
      <c r="AY67" s="130"/>
      <c r="BA67" s="129"/>
      <c r="BB67" s="118"/>
      <c r="BC67" s="119"/>
      <c r="BD67" s="118"/>
      <c r="BE67" s="113"/>
      <c r="BF67" s="114"/>
      <c r="BG67" s="113"/>
      <c r="BH67" s="114"/>
      <c r="BI67" s="113"/>
      <c r="BJ67" s="114"/>
      <c r="BK67" s="113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</row>
    <row r="68" spans="1:73" s="163" customFormat="1" x14ac:dyDescent="0.25">
      <c r="A68" s="253">
        <v>1998</v>
      </c>
      <c r="B68" s="125">
        <f>C68-DATE(YEAR(C68),1,1)+1</f>
        <v>112</v>
      </c>
      <c r="C68" s="254">
        <v>35907</v>
      </c>
      <c r="E68" s="125" t="e">
        <f>VLOOKUP(C68,#REF!,2)</f>
        <v>#REF!</v>
      </c>
      <c r="F68" s="125">
        <v>0.25</v>
      </c>
      <c r="G68" s="253">
        <f>AA67</f>
        <v>9.9361601709019567</v>
      </c>
      <c r="H68" s="255"/>
      <c r="P68" s="256"/>
      <c r="Q68" s="255"/>
      <c r="Y68" s="257"/>
      <c r="AA68" s="257"/>
      <c r="AB68" s="275">
        <f>((B68-B67)*G68)-((B68-B67)*(G68-G67)*0.5)</f>
        <v>381.46409320118249</v>
      </c>
      <c r="AC68" s="259"/>
      <c r="AE68" s="277"/>
      <c r="AF68" s="260"/>
      <c r="AG68" s="171">
        <f t="shared" si="7"/>
        <v>18.065745765276283</v>
      </c>
      <c r="AH68" s="108">
        <f t="shared" si="0"/>
        <v>0.55000000000000004</v>
      </c>
      <c r="AJ68" s="174">
        <f t="shared" si="1"/>
        <v>693.57107854760443</v>
      </c>
      <c r="AK68" s="261"/>
      <c r="AL68" s="174">
        <f t="shared" si="2"/>
        <v>0</v>
      </c>
      <c r="AN68" s="174">
        <f t="shared" si="3"/>
        <v>0</v>
      </c>
      <c r="AO68" s="286"/>
      <c r="AP68" s="303"/>
      <c r="AQ68" s="286"/>
      <c r="AR68" s="303"/>
      <c r="AS68" s="286"/>
      <c r="AT68" s="303"/>
      <c r="AU68" s="262"/>
      <c r="AY68" s="258"/>
      <c r="BA68" s="260"/>
      <c r="BB68" s="263"/>
      <c r="BC68" s="263"/>
      <c r="BD68" s="263"/>
      <c r="BE68" s="264"/>
      <c r="BF68" s="264"/>
      <c r="BG68" s="264"/>
      <c r="BH68" s="264"/>
      <c r="BI68" s="264"/>
      <c r="BJ68" s="264"/>
      <c r="BK68" s="264"/>
    </row>
    <row r="69" spans="1:73" s="108" customFormat="1" x14ac:dyDescent="0.25">
      <c r="A69" s="126">
        <v>1998</v>
      </c>
      <c r="B69">
        <f t="shared" si="11"/>
        <v>151</v>
      </c>
      <c r="C69" s="127">
        <v>35946</v>
      </c>
      <c r="E69" t="e">
        <f>VLOOKUP(C69,#REF!,2)</f>
        <v>#REF!</v>
      </c>
      <c r="F69"/>
      <c r="G69" s="126">
        <v>0</v>
      </c>
      <c r="H69" s="131"/>
      <c r="P69" s="132"/>
      <c r="Q69" s="131"/>
      <c r="Y69" s="168"/>
      <c r="AA69" s="168"/>
      <c r="AB69" s="130">
        <f>0.5*(B69-B68)*G68</f>
        <v>193.75512333258814</v>
      </c>
      <c r="AC69" s="61"/>
      <c r="AE69" s="73"/>
      <c r="AF69" s="129"/>
      <c r="AG69" s="171">
        <f t="shared" si="7"/>
        <v>0</v>
      </c>
      <c r="AH69" s="108">
        <f t="shared" si="0"/>
        <v>0.55000000000000004</v>
      </c>
      <c r="AJ69" s="174">
        <f t="shared" si="1"/>
        <v>352.28204242288751</v>
      </c>
      <c r="AK69" s="248"/>
      <c r="AL69" s="174">
        <f t="shared" si="2"/>
        <v>0</v>
      </c>
      <c r="AN69" s="174">
        <f t="shared" si="3"/>
        <v>0</v>
      </c>
      <c r="AO69" s="286"/>
      <c r="AP69" s="303"/>
      <c r="AQ69" s="286"/>
      <c r="AR69" s="303"/>
      <c r="AS69" s="286"/>
      <c r="AT69" s="303"/>
      <c r="AU69" s="128"/>
      <c r="AY69" s="130"/>
      <c r="BA69" s="129"/>
      <c r="BB69" s="118"/>
      <c r="BC69" s="119"/>
      <c r="BD69" s="118"/>
      <c r="BE69" s="113"/>
      <c r="BF69" s="114"/>
      <c r="BG69" s="113"/>
      <c r="BH69" s="114"/>
      <c r="BI69" s="113"/>
      <c r="BJ69" s="114"/>
      <c r="BK69" s="113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</row>
    <row r="70" spans="1:73" s="174" customFormat="1" x14ac:dyDescent="0.25">
      <c r="A70" s="171">
        <v>1999</v>
      </c>
      <c r="B70" s="172">
        <f t="shared" si="11"/>
        <v>1</v>
      </c>
      <c r="C70" s="173">
        <v>72686</v>
      </c>
      <c r="E70" s="172" t="e">
        <f>VLOOKUP(C70,#REF!,2)</f>
        <v>#REF!</v>
      </c>
      <c r="F70" s="172"/>
      <c r="G70" s="171">
        <v>0</v>
      </c>
      <c r="H70" s="175"/>
      <c r="P70" s="176"/>
      <c r="Q70" s="175"/>
      <c r="Y70" s="177"/>
      <c r="AA70" s="177"/>
      <c r="AB70" s="178"/>
      <c r="AC70" s="183"/>
      <c r="AE70" s="206"/>
      <c r="AF70" s="179"/>
      <c r="AG70" s="171">
        <f t="shared" si="7"/>
        <v>0</v>
      </c>
      <c r="AH70" s="108">
        <f t="shared" si="0"/>
        <v>0.55000000000000004</v>
      </c>
      <c r="AJ70" s="174">
        <f t="shared" ref="AJ70:AJ83" si="12">AB70/AH70</f>
        <v>0</v>
      </c>
      <c r="AK70" s="248"/>
      <c r="AL70" s="174">
        <f t="shared" ref="AL70:AL82" si="13">AD70/AH70</f>
        <v>0</v>
      </c>
      <c r="AN70" s="174">
        <f t="shared" ref="AN70:AN83" si="14">AF70/AH70</f>
        <v>0</v>
      </c>
      <c r="AO70" s="286"/>
      <c r="AP70" s="303"/>
      <c r="AQ70" s="286"/>
      <c r="AR70" s="303"/>
      <c r="AS70" s="286"/>
      <c r="AT70" s="303"/>
      <c r="AU70" s="180"/>
      <c r="AY70" s="178"/>
      <c r="BA70" s="179"/>
      <c r="BC70" s="181"/>
      <c r="BE70" s="181"/>
      <c r="BG70" s="181"/>
      <c r="BI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1"/>
    </row>
    <row r="71" spans="1:73" s="174" customFormat="1" x14ac:dyDescent="0.25">
      <c r="A71" s="171">
        <v>1999</v>
      </c>
      <c r="B71" s="172">
        <f t="shared" si="11"/>
        <v>67</v>
      </c>
      <c r="C71" s="173">
        <v>36227</v>
      </c>
      <c r="E71" s="172" t="e">
        <f>VLOOKUP(C71,#REF!,2)</f>
        <v>#REF!</v>
      </c>
      <c r="F71" s="172"/>
      <c r="G71" s="171">
        <f>AA71</f>
        <v>39.70756545908953</v>
      </c>
      <c r="H71" s="175">
        <v>17</v>
      </c>
      <c r="I71" s="174">
        <f>VLOOKUP(B71,CJ95:CP251, 6)</f>
        <v>0.78750000000000009</v>
      </c>
      <c r="J71" s="174">
        <f>H71/I71</f>
        <v>21.587301587301585</v>
      </c>
      <c r="P71" s="176"/>
      <c r="Q71" s="175">
        <v>17</v>
      </c>
      <c r="R71" s="174">
        <f>VLOOKUP(B71,CJ95:CV251, 12)</f>
        <v>0.71</v>
      </c>
      <c r="S71" s="174">
        <f>Q71/R71</f>
        <v>23.943661971830988</v>
      </c>
      <c r="Y71" s="177"/>
      <c r="Z71" s="174">
        <f>VLOOKUP(B71,CG95:CI251,2)</f>
        <v>0.60299999999999998</v>
      </c>
      <c r="AA71" s="177">
        <f>S71/Z71</f>
        <v>39.70756545908953</v>
      </c>
      <c r="AB71" s="178">
        <f>0.5*($B74-$B70)*$G71</f>
        <v>2978.0674094317146</v>
      </c>
      <c r="AC71" s="183">
        <f>AF71/$AF$1</f>
        <v>178.85899757451932</v>
      </c>
      <c r="AD71" s="174">
        <f>G73</f>
        <v>116.95906432748538</v>
      </c>
      <c r="AE71" s="206">
        <f>AC71/AD71</f>
        <v>1.5292444292621401</v>
      </c>
      <c r="AF71" s="179">
        <f>SUM(AB71:AB74)</f>
        <v>8942.9498787259654</v>
      </c>
      <c r="AG71" s="171">
        <f t="shared" si="7"/>
        <v>72.19557356198095</v>
      </c>
      <c r="AH71" s="108">
        <f t="shared" si="0"/>
        <v>0.55000000000000004</v>
      </c>
      <c r="AJ71" s="174">
        <f>AB71/AH71</f>
        <v>5414.6680171485714</v>
      </c>
      <c r="AK71" s="248">
        <f>AN71/$AF$1</f>
        <v>325.19817740821691</v>
      </c>
      <c r="AL71" s="174">
        <f t="shared" si="13"/>
        <v>212.65284423179159</v>
      </c>
      <c r="AM71" s="174">
        <f>AK71/AL71</f>
        <v>1.5292444292621401</v>
      </c>
      <c r="AN71" s="174">
        <f t="shared" si="14"/>
        <v>16259.908870410845</v>
      </c>
      <c r="AO71" s="286"/>
      <c r="AP71" s="303"/>
      <c r="AQ71" s="286">
        <f>AL71*$AP$188</f>
        <v>0</v>
      </c>
      <c r="AR71" s="303"/>
      <c r="AS71" s="286"/>
      <c r="AT71" s="303">
        <f>AL71*$AS$177</f>
        <v>0</v>
      </c>
      <c r="AU71" s="180"/>
      <c r="AY71" s="178"/>
      <c r="BA71" s="179"/>
      <c r="BC71" s="181"/>
      <c r="BE71" s="181"/>
      <c r="BG71" s="181"/>
      <c r="BI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1"/>
    </row>
    <row r="72" spans="1:73" s="174" customFormat="1" x14ac:dyDescent="0.25">
      <c r="A72" s="171">
        <v>1999</v>
      </c>
      <c r="B72" s="172">
        <f t="shared" si="11"/>
        <v>98</v>
      </c>
      <c r="C72" s="182">
        <v>36258</v>
      </c>
      <c r="E72" s="172" t="e">
        <f>VLOOKUP(C72,#REF!,2)</f>
        <v>#REF!</v>
      </c>
      <c r="F72" s="172">
        <v>0.15</v>
      </c>
      <c r="G72" s="171">
        <f>V72</f>
        <v>100</v>
      </c>
      <c r="H72" s="175"/>
      <c r="K72" s="174">
        <v>50</v>
      </c>
      <c r="L72" s="174">
        <f>VLOOKUP(B72,$CJ$101:$CR$257, 4)</f>
        <v>0.4773</v>
      </c>
      <c r="M72" s="174">
        <f>K72/L72</f>
        <v>104.75591870940708</v>
      </c>
      <c r="P72" s="176"/>
      <c r="Q72" s="175"/>
      <c r="T72" s="174">
        <v>50</v>
      </c>
      <c r="U72" s="174">
        <f>VLOOKUP(B72,$CJ$101:$CV$257, 10)</f>
        <v>0.5</v>
      </c>
      <c r="V72" s="174">
        <f>T72/U72</f>
        <v>100</v>
      </c>
      <c r="Y72" s="177"/>
      <c r="Z72" s="174">
        <f>VLOOKUP(B72,CG96:CI252,2)</f>
        <v>0.85499999999999998</v>
      </c>
      <c r="AA72" s="177">
        <f>V72/Z72</f>
        <v>116.95906432748538</v>
      </c>
      <c r="AB72" s="178">
        <f>((B72-B71)*G72)-((B72-B71)*(G72-G71)*0.5)</f>
        <v>2165.4672646158879</v>
      </c>
      <c r="AC72" s="183"/>
      <c r="AE72" s="206"/>
      <c r="AF72" s="179"/>
      <c r="AG72" s="171">
        <f t="shared" si="7"/>
        <v>181.81818181818181</v>
      </c>
      <c r="AH72" s="108">
        <f t="shared" si="0"/>
        <v>0.55000000000000004</v>
      </c>
      <c r="AJ72" s="174">
        <f t="shared" si="12"/>
        <v>3937.213208392523</v>
      </c>
      <c r="AK72" s="248"/>
      <c r="AL72" s="174">
        <f t="shared" si="13"/>
        <v>0</v>
      </c>
      <c r="AN72" s="174">
        <f t="shared" si="14"/>
        <v>0</v>
      </c>
      <c r="AO72" s="286"/>
      <c r="AP72" s="303"/>
      <c r="AQ72" s="286"/>
      <c r="AR72" s="303"/>
      <c r="AS72" s="286"/>
      <c r="AT72" s="303"/>
      <c r="AU72" s="180"/>
      <c r="AY72" s="178"/>
      <c r="BA72" s="179"/>
      <c r="BC72" s="181"/>
      <c r="BE72" s="181"/>
      <c r="BG72" s="181"/>
      <c r="BI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1"/>
    </row>
    <row r="73" spans="1:73" s="184" customFormat="1" x14ac:dyDescent="0.25">
      <c r="A73" s="265">
        <v>1999</v>
      </c>
      <c r="B73" s="186">
        <f>C73-DATE(YEAR(C73),1,1)+1</f>
        <v>112</v>
      </c>
      <c r="C73" s="266">
        <v>36272</v>
      </c>
      <c r="E73" s="186" t="e">
        <f>VLOOKUP(C73,#REF!,2)</f>
        <v>#REF!</v>
      </c>
      <c r="F73" s="186">
        <v>0.15</v>
      </c>
      <c r="G73" s="265">
        <f>AA72</f>
        <v>116.95906432748538</v>
      </c>
      <c r="H73" s="267"/>
      <c r="P73" s="268"/>
      <c r="Q73" s="267"/>
      <c r="Y73" s="269"/>
      <c r="AA73" s="269"/>
      <c r="AB73" s="178">
        <f>((B73-B72)*G73)-((B73-B72)*(G73-G72)*0.5)</f>
        <v>1518.7134502923975</v>
      </c>
      <c r="AC73" s="271"/>
      <c r="AE73" s="278"/>
      <c r="AF73" s="272"/>
      <c r="AG73" s="171">
        <f t="shared" si="7"/>
        <v>212.65284423179159</v>
      </c>
      <c r="AH73" s="108">
        <f t="shared" si="0"/>
        <v>0.55000000000000004</v>
      </c>
      <c r="AJ73" s="174">
        <f t="shared" si="12"/>
        <v>2761.2971823498133</v>
      </c>
      <c r="AK73" s="261"/>
      <c r="AL73" s="174">
        <f t="shared" si="13"/>
        <v>0</v>
      </c>
      <c r="AN73" s="174">
        <f t="shared" si="14"/>
        <v>0</v>
      </c>
      <c r="AO73" s="286"/>
      <c r="AP73" s="303"/>
      <c r="AQ73" s="286"/>
      <c r="AR73" s="303"/>
      <c r="AS73" s="286"/>
      <c r="AT73" s="303"/>
      <c r="AU73" s="273"/>
      <c r="AY73" s="270"/>
      <c r="BA73" s="272"/>
    </row>
    <row r="74" spans="1:73" s="174" customFormat="1" x14ac:dyDescent="0.25">
      <c r="A74" s="171">
        <v>1999</v>
      </c>
      <c r="B74" s="172">
        <f t="shared" si="11"/>
        <v>151</v>
      </c>
      <c r="C74" s="182">
        <v>36311</v>
      </c>
      <c r="E74" s="172" t="e">
        <f>VLOOKUP(C74,#REF!,2)</f>
        <v>#REF!</v>
      </c>
      <c r="F74" s="172"/>
      <c r="G74" s="171">
        <v>0</v>
      </c>
      <c r="H74" s="175"/>
      <c r="P74" s="176"/>
      <c r="Q74" s="175"/>
      <c r="Y74" s="177"/>
      <c r="AA74" s="177"/>
      <c r="AB74" s="274">
        <f>0.5*(B74-B73)*G73</f>
        <v>2280.7017543859647</v>
      </c>
      <c r="AC74" s="183"/>
      <c r="AE74" s="206"/>
      <c r="AF74" s="179"/>
      <c r="AG74" s="171">
        <f t="shared" si="7"/>
        <v>0</v>
      </c>
      <c r="AH74" s="108">
        <f t="shared" si="0"/>
        <v>0.55000000000000004</v>
      </c>
      <c r="AJ74" s="174">
        <f t="shared" si="12"/>
        <v>4146.7304625199358</v>
      </c>
      <c r="AK74" s="248"/>
      <c r="AL74" s="174">
        <f t="shared" si="13"/>
        <v>0</v>
      </c>
      <c r="AN74" s="174">
        <f t="shared" si="14"/>
        <v>0</v>
      </c>
      <c r="AO74" s="286"/>
      <c r="AP74" s="303"/>
      <c r="AQ74" s="286"/>
      <c r="AR74" s="303"/>
      <c r="AS74" s="286"/>
      <c r="AT74" s="303"/>
      <c r="AU74" s="180"/>
      <c r="AY74" s="178"/>
      <c r="BA74" s="179"/>
      <c r="BC74" s="181"/>
      <c r="BE74" s="181"/>
      <c r="BG74" s="181"/>
      <c r="BI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1"/>
    </row>
    <row r="75" spans="1:73" s="108" customFormat="1" x14ac:dyDescent="0.25">
      <c r="A75" s="126">
        <v>2000</v>
      </c>
      <c r="B75">
        <f t="shared" si="11"/>
        <v>1</v>
      </c>
      <c r="C75" s="110">
        <v>36526</v>
      </c>
      <c r="E75" t="e">
        <f>VLOOKUP(C75,#REF!,2)</f>
        <v>#REF!</v>
      </c>
      <c r="F75"/>
      <c r="G75" s="126">
        <v>0</v>
      </c>
      <c r="H75" s="131"/>
      <c r="P75" s="132"/>
      <c r="Q75" s="131"/>
      <c r="Y75" s="168"/>
      <c r="AA75" s="168"/>
      <c r="AB75" s="130"/>
      <c r="AC75" s="61"/>
      <c r="AE75" s="73"/>
      <c r="AF75" s="129"/>
      <c r="AG75" s="171">
        <f t="shared" si="7"/>
        <v>0</v>
      </c>
      <c r="AH75" s="108">
        <f t="shared" si="0"/>
        <v>0.55000000000000004</v>
      </c>
      <c r="AJ75" s="174">
        <f t="shared" si="12"/>
        <v>0</v>
      </c>
      <c r="AK75" s="248"/>
      <c r="AL75" s="174">
        <f t="shared" si="13"/>
        <v>0</v>
      </c>
      <c r="AN75" s="174">
        <f>AF75/AH75</f>
        <v>0</v>
      </c>
      <c r="AO75" s="286"/>
      <c r="AP75" s="303"/>
      <c r="AQ75" s="286"/>
      <c r="AR75" s="303"/>
      <c r="AS75" s="286"/>
      <c r="AT75" s="303"/>
      <c r="AU75" s="128"/>
      <c r="AY75" s="130"/>
      <c r="BA75" s="129"/>
      <c r="BB75" s="118"/>
      <c r="BC75" s="119"/>
      <c r="BD75" s="118"/>
      <c r="BE75" s="113"/>
      <c r="BF75" s="114"/>
      <c r="BG75" s="113"/>
      <c r="BH75" s="114"/>
      <c r="BI75" s="113"/>
      <c r="BJ75" s="114"/>
      <c r="BK75" s="113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</row>
    <row r="76" spans="1:73" s="108" customFormat="1" x14ac:dyDescent="0.25">
      <c r="A76" s="126">
        <v>2000</v>
      </c>
      <c r="B76">
        <f t="shared" si="11"/>
        <v>88</v>
      </c>
      <c r="C76" s="110">
        <v>36613</v>
      </c>
      <c r="D76" s="108">
        <v>4.67</v>
      </c>
      <c r="E76" t="e">
        <f>VLOOKUP(C76,#REF!,2)</f>
        <v>#REF!</v>
      </c>
      <c r="F76"/>
      <c r="G76" s="126">
        <f>V76</f>
        <v>14</v>
      </c>
      <c r="H76" s="131"/>
      <c r="K76" s="108">
        <v>7</v>
      </c>
      <c r="L76" s="108">
        <f>VLOOKUP(B76,$CJ$101:$CR$257, 4)</f>
        <v>0.53190000000000004</v>
      </c>
      <c r="M76" s="108">
        <f>K76/L76</f>
        <v>13.160368490317728</v>
      </c>
      <c r="P76" s="132"/>
      <c r="Q76" s="131"/>
      <c r="T76" s="108">
        <v>7</v>
      </c>
      <c r="U76" s="108">
        <f>VLOOKUP(B76,$CJ$101:$CV$257, 10)</f>
        <v>0.5</v>
      </c>
      <c r="V76" s="108">
        <f>T76/U76</f>
        <v>14</v>
      </c>
      <c r="Y76" s="168"/>
      <c r="Z76" s="108">
        <f>VLOOKUP(B76,$CG$98:$CI$254,2)</f>
        <v>0.72899999999999998</v>
      </c>
      <c r="AA76" s="168">
        <f>M76/Z76</f>
        <v>18.052631673961219</v>
      </c>
      <c r="AB76" s="130">
        <f>0.5*($B78-$B75)*$G76</f>
        <v>1057</v>
      </c>
      <c r="AC76" s="61">
        <f>AF76/$AF$1</f>
        <v>36.193684271335179</v>
      </c>
      <c r="AD76" s="108">
        <f>G77</f>
        <v>18.052631673961219</v>
      </c>
      <c r="AE76" s="73">
        <f>AC76/AD76</f>
        <v>2.0048979519999999</v>
      </c>
      <c r="AF76" s="129">
        <f>SUM(AB76:AB78)</f>
        <v>1809.6842135667591</v>
      </c>
      <c r="AG76" s="171">
        <f t="shared" si="7"/>
        <v>25.454545454545453</v>
      </c>
      <c r="AH76" s="108">
        <f t="shared" si="0"/>
        <v>0.55000000000000004</v>
      </c>
      <c r="AJ76" s="174">
        <f t="shared" si="12"/>
        <v>1921.8181818181818</v>
      </c>
      <c r="AK76" s="248">
        <f>AN76/$AN$1</f>
        <v>65.806698675154877</v>
      </c>
      <c r="AL76" s="174">
        <f>AD76/AH76</f>
        <v>32.822966679929486</v>
      </c>
      <c r="AM76" s="108">
        <f>AK76/AL76</f>
        <v>2.0048979520000003</v>
      </c>
      <c r="AN76" s="174">
        <f t="shared" si="14"/>
        <v>3290.3349337577438</v>
      </c>
      <c r="AO76" s="286"/>
      <c r="AP76" s="303"/>
      <c r="AQ76" s="286">
        <f>AL76*$AP$188</f>
        <v>0</v>
      </c>
      <c r="AR76" s="303"/>
      <c r="AS76" s="286"/>
      <c r="AT76" s="303">
        <f>AL76*$AS$177</f>
        <v>0</v>
      </c>
      <c r="AU76" s="128">
        <f>AD76/AW76</f>
        <v>18.611344227676053</v>
      </c>
      <c r="AV76">
        <f>B76/D76</f>
        <v>18.843683083511777</v>
      </c>
      <c r="AW76">
        <f>VLOOKUP(AV76,$CB$102:$CC$271,2)</f>
        <v>0.96998000000000006</v>
      </c>
      <c r="AX76" s="108">
        <f>AZ76/$BA$1</f>
        <v>28.103129783790841</v>
      </c>
      <c r="AY76" s="61">
        <f>AX76/AD76</f>
        <v>1.5567331285181136</v>
      </c>
      <c r="AZ76">
        <f>0.5*(B78-B75)*AU76</f>
        <v>1405.1564891895421</v>
      </c>
      <c r="BA76" s="129">
        <f>AZ76</f>
        <v>1405.1564891895421</v>
      </c>
      <c r="BB76" s="118"/>
      <c r="BC76" s="119"/>
      <c r="BD76" s="118"/>
      <c r="BE76" s="113"/>
      <c r="BF76" s="114"/>
      <c r="BG76" s="113"/>
      <c r="BH76" s="114"/>
      <c r="BI76" s="113"/>
      <c r="BJ76" s="114"/>
      <c r="BK76" s="113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</row>
    <row r="77" spans="1:73" s="163" customFormat="1" x14ac:dyDescent="0.25">
      <c r="A77" s="253">
        <v>2000</v>
      </c>
      <c r="B77" s="125">
        <f>C77-DATE(YEAR(C77),1,1)+1</f>
        <v>113</v>
      </c>
      <c r="C77" s="254">
        <v>36638</v>
      </c>
      <c r="D77" s="163">
        <v>5.67</v>
      </c>
      <c r="E77" s="125" t="e">
        <f>VLOOKUP(C77,#REF!,2)</f>
        <v>#REF!</v>
      </c>
      <c r="F77" s="125"/>
      <c r="G77" s="253">
        <f>AA76</f>
        <v>18.052631673961219</v>
      </c>
      <c r="H77" s="255"/>
      <c r="P77" s="256"/>
      <c r="Q77" s="255"/>
      <c r="Y77" s="257"/>
      <c r="AA77" s="257"/>
      <c r="AB77" s="275">
        <f>((B77-B76)*G77)-((B77-B76)*(G77-G76)*0.5)</f>
        <v>400.65789592451523</v>
      </c>
      <c r="AC77" s="259"/>
      <c r="AE77" s="277"/>
      <c r="AF77" s="260"/>
      <c r="AG77" s="171">
        <f t="shared" si="7"/>
        <v>32.822966679929486</v>
      </c>
      <c r="AH77" s="108">
        <f t="shared" si="0"/>
        <v>0.55000000000000004</v>
      </c>
      <c r="AJ77" s="174">
        <f t="shared" si="12"/>
        <v>728.46890168093671</v>
      </c>
      <c r="AK77" s="261"/>
      <c r="AL77" s="174">
        <f t="shared" si="13"/>
        <v>0</v>
      </c>
      <c r="AN77" s="174">
        <f t="shared" si="14"/>
        <v>0</v>
      </c>
      <c r="AO77" s="286"/>
      <c r="AP77" s="303"/>
      <c r="AQ77" s="286"/>
      <c r="AR77" s="303"/>
      <c r="AS77" s="286"/>
      <c r="AT77" s="303"/>
      <c r="AU77" s="262"/>
      <c r="AV77" s="125"/>
      <c r="AW77" s="125"/>
      <c r="AY77" s="259"/>
      <c r="AZ77" s="125"/>
      <c r="BA77" s="260"/>
      <c r="BB77" s="263"/>
      <c r="BC77" s="263"/>
      <c r="BD77" s="263"/>
      <c r="BE77" s="264"/>
      <c r="BF77" s="264"/>
      <c r="BG77" s="264"/>
      <c r="BH77" s="264"/>
      <c r="BI77" s="264"/>
      <c r="BJ77" s="264"/>
      <c r="BK77" s="264"/>
    </row>
    <row r="78" spans="1:73" s="108" customFormat="1" x14ac:dyDescent="0.25">
      <c r="A78" s="126">
        <v>2000</v>
      </c>
      <c r="B78">
        <f t="shared" si="11"/>
        <v>152</v>
      </c>
      <c r="C78" s="127">
        <v>36677</v>
      </c>
      <c r="E78" t="e">
        <f>VLOOKUP(C78,#REF!,2)</f>
        <v>#REF!</v>
      </c>
      <c r="F78"/>
      <c r="G78" s="126">
        <v>0</v>
      </c>
      <c r="H78" s="131"/>
      <c r="P78" s="132"/>
      <c r="Q78" s="131"/>
      <c r="Y78" s="168"/>
      <c r="AA78" s="168"/>
      <c r="AB78" s="130">
        <f>0.5*(B78-B77)*G77</f>
        <v>352.02631764224378</v>
      </c>
      <c r="AC78" s="61"/>
      <c r="AE78" s="73"/>
      <c r="AF78" s="129"/>
      <c r="AG78" s="171">
        <f t="shared" si="7"/>
        <v>0</v>
      </c>
      <c r="AH78" s="108">
        <f t="shared" si="0"/>
        <v>0.55000000000000004</v>
      </c>
      <c r="AJ78" s="174">
        <f t="shared" si="12"/>
        <v>640.04785025862498</v>
      </c>
      <c r="AK78" s="248"/>
      <c r="AL78" s="174">
        <f t="shared" si="13"/>
        <v>0</v>
      </c>
      <c r="AN78" s="174">
        <f t="shared" si="14"/>
        <v>0</v>
      </c>
      <c r="AO78" s="286"/>
      <c r="AP78" s="303"/>
      <c r="AQ78" s="286"/>
      <c r="AR78" s="303"/>
      <c r="AS78" s="286"/>
      <c r="AT78" s="303"/>
      <c r="AU78" s="128"/>
      <c r="AV78"/>
      <c r="AW78"/>
      <c r="AY78" s="61"/>
      <c r="AZ78"/>
      <c r="BA78" s="129"/>
      <c r="BB78" s="118"/>
      <c r="BC78" s="119"/>
      <c r="BD78" s="118"/>
      <c r="BE78" s="113"/>
      <c r="BF78" s="114"/>
      <c r="BG78" s="113"/>
      <c r="BH78" s="114"/>
      <c r="BI78" s="113"/>
      <c r="BJ78" s="114"/>
      <c r="BK78" s="113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</row>
    <row r="79" spans="1:73" s="174" customFormat="1" x14ac:dyDescent="0.25">
      <c r="A79" s="172">
        <v>2001</v>
      </c>
      <c r="B79" s="172">
        <f t="shared" ref="B79:B84" si="15">C79-DATE(YEAR(C79),1,1)+1</f>
        <v>1</v>
      </c>
      <c r="C79" s="173">
        <v>36892</v>
      </c>
      <c r="E79" s="172" t="e">
        <f>VLOOKUP(C79,#REF!,2)</f>
        <v>#REF!</v>
      </c>
      <c r="F79" s="172"/>
      <c r="G79" s="171">
        <v>0</v>
      </c>
      <c r="H79" s="175"/>
      <c r="P79" s="176"/>
      <c r="Q79" s="175"/>
      <c r="Y79" s="177"/>
      <c r="AA79" s="177"/>
      <c r="AG79" s="171">
        <f t="shared" si="7"/>
        <v>0</v>
      </c>
      <c r="AH79" s="108">
        <f t="shared" si="0"/>
        <v>0.55000000000000004</v>
      </c>
      <c r="AJ79" s="174">
        <f t="shared" si="12"/>
        <v>0</v>
      </c>
      <c r="AK79" s="248"/>
      <c r="AL79" s="174">
        <f t="shared" si="13"/>
        <v>0</v>
      </c>
      <c r="AN79" s="174">
        <f t="shared" si="14"/>
        <v>0</v>
      </c>
      <c r="AO79" s="286"/>
      <c r="AP79" s="303"/>
      <c r="AQ79" s="286"/>
      <c r="AR79" s="303"/>
      <c r="AS79" s="286"/>
      <c r="AT79" s="303"/>
      <c r="AU79" s="180"/>
      <c r="AV79" s="172"/>
      <c r="AW79" s="172"/>
      <c r="AY79" s="183"/>
      <c r="AZ79" s="172"/>
      <c r="BA79" s="179"/>
      <c r="BC79" s="181"/>
      <c r="BE79" s="181"/>
      <c r="BG79" s="181"/>
      <c r="BI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1"/>
    </row>
    <row r="80" spans="1:73" s="174" customFormat="1" x14ac:dyDescent="0.25">
      <c r="A80" s="172">
        <v>2001</v>
      </c>
      <c r="B80" s="172">
        <f t="shared" si="15"/>
        <v>71</v>
      </c>
      <c r="C80" s="182">
        <v>36962</v>
      </c>
      <c r="D80" s="174">
        <v>4.67</v>
      </c>
      <c r="E80" s="172" t="e">
        <f>VLOOKUP(C80,#REF!,2)</f>
        <v>#REF!</v>
      </c>
      <c r="F80" s="172"/>
      <c r="G80" s="171">
        <f>S80</f>
        <v>76.056338028169023</v>
      </c>
      <c r="H80" s="175">
        <v>54</v>
      </c>
      <c r="I80" s="174">
        <f>VLOOKUP(B80,CJ101:CP257, 6)</f>
        <v>0.78389999999999993</v>
      </c>
      <c r="J80" s="174">
        <f>H80/I80</f>
        <v>68.886337543053969</v>
      </c>
      <c r="Q80" s="175">
        <v>54</v>
      </c>
      <c r="R80" s="174">
        <f>VLOOKUP(B80,CJ101:CV257, 12)</f>
        <v>0.71</v>
      </c>
      <c r="S80" s="174">
        <f>Q80/R80</f>
        <v>76.056338028169023</v>
      </c>
      <c r="Y80" s="177"/>
      <c r="Z80" s="174">
        <f>VLOOKUP(B80,CG101:CI257,2)</f>
        <v>0.6389999999999999</v>
      </c>
      <c r="AA80" s="177">
        <f>S80/Z80</f>
        <v>119.02400317397345</v>
      </c>
      <c r="AB80" s="183">
        <f>0.5*(B80-B79)*G80</f>
        <v>2661.9718309859159</v>
      </c>
      <c r="AC80" s="183">
        <f>AF80/$AF$1</f>
        <v>122.99217527386543</v>
      </c>
      <c r="AD80" s="174">
        <f>G80</f>
        <v>76.056338028169023</v>
      </c>
      <c r="AE80" s="206">
        <f>AC80/AD80</f>
        <v>1.6171193415637859</v>
      </c>
      <c r="AF80" s="179">
        <f>SUM(AB80:AB83)</f>
        <v>6149.6087636932716</v>
      </c>
      <c r="AG80" s="171">
        <f t="shared" si="7"/>
        <v>138.2842509603073</v>
      </c>
      <c r="AH80" s="108">
        <f t="shared" si="0"/>
        <v>0.55000000000000004</v>
      </c>
      <c r="AJ80" s="174">
        <f t="shared" si="12"/>
        <v>4839.9487836107555</v>
      </c>
      <c r="AK80" s="248">
        <f>AN80/$AF$1</f>
        <v>223.62213686157349</v>
      </c>
      <c r="AL80" s="174">
        <f>AD80/AH80</f>
        <v>138.2842509603073</v>
      </c>
      <c r="AM80" s="174">
        <f>AK80/AL80</f>
        <v>1.6171193415637861</v>
      </c>
      <c r="AN80" s="174">
        <f>AF80/AH80</f>
        <v>11181.106843078675</v>
      </c>
      <c r="AO80" s="286"/>
      <c r="AP80" s="303"/>
      <c r="AQ80" s="286">
        <f>AL80*$AP$188</f>
        <v>0</v>
      </c>
      <c r="AR80" s="303"/>
      <c r="AS80" s="286"/>
      <c r="AT80" s="303">
        <f>AL80*$AS$177</f>
        <v>0</v>
      </c>
      <c r="AU80" s="180">
        <f>AD81/AW80</f>
        <v>0</v>
      </c>
      <c r="AV80" s="172">
        <f>B80/D80</f>
        <v>15.203426124197003</v>
      </c>
      <c r="AW80" s="172">
        <f>VLOOKUP(AV80,$CB$102:$CC$271,2)</f>
        <v>0.79215999999999998</v>
      </c>
      <c r="AX80" s="174">
        <f>AZ80/$BA$1</f>
        <v>0</v>
      </c>
      <c r="AY80" s="183" t="e">
        <f>AX80/AD81</f>
        <v>#DIV/0!</v>
      </c>
      <c r="AZ80" s="172">
        <f>0.5*(B83-B79)*AU80</f>
        <v>0</v>
      </c>
      <c r="BA80" s="179">
        <f>AZ80</f>
        <v>0</v>
      </c>
      <c r="BC80" s="181"/>
      <c r="BE80" s="181"/>
      <c r="BG80" s="181"/>
      <c r="BI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1"/>
    </row>
    <row r="81" spans="1:96" s="174" customFormat="1" x14ac:dyDescent="0.25">
      <c r="A81" s="171">
        <v>2001</v>
      </c>
      <c r="B81" s="172">
        <f>C81-DATE(YEAR(C81),1,1)+1</f>
        <v>96</v>
      </c>
      <c r="C81" s="182">
        <v>36987</v>
      </c>
      <c r="D81" s="174">
        <v>7</v>
      </c>
      <c r="E81" s="172" t="e">
        <f>VLOOKUP(C81,#REF!,2)</f>
        <v>#REF!</v>
      </c>
      <c r="F81" s="172"/>
      <c r="G81" s="171">
        <f>S81</f>
        <v>53.521126760563384</v>
      </c>
      <c r="H81" s="175">
        <v>38</v>
      </c>
      <c r="I81" s="174">
        <f>VLOOKUP(B81,CJ102:CP258, 6)</f>
        <v>0.76229999999999998</v>
      </c>
      <c r="J81" s="174">
        <f>H81/I81</f>
        <v>49.84914075823167</v>
      </c>
      <c r="Q81" s="175">
        <v>38</v>
      </c>
      <c r="R81" s="174">
        <f>VLOOKUP(B81,CJ102:CV258, 12)</f>
        <v>0.71</v>
      </c>
      <c r="S81" s="174">
        <f>Q81/R81</f>
        <v>53.521126760563384</v>
      </c>
      <c r="Y81" s="177"/>
      <c r="Z81" s="174">
        <f>VLOOKUP(B81,CG102:CI258,2)</f>
        <v>0.85499999999999998</v>
      </c>
      <c r="AA81" s="177">
        <f>S81/Z81</f>
        <v>62.597809076682324</v>
      </c>
      <c r="AB81" s="183">
        <f>((B81-B80)*G81)-((B80-B80)*(G80-G80)*0.5)</f>
        <v>1338.0281690140846</v>
      </c>
      <c r="AC81" s="183"/>
      <c r="AE81" s="206"/>
      <c r="AF81" s="179"/>
      <c r="AG81" s="171">
        <f>G81/AH81</f>
        <v>97.311139564660692</v>
      </c>
      <c r="AH81" s="108">
        <f t="shared" si="0"/>
        <v>0.55000000000000004</v>
      </c>
      <c r="AJ81" s="174">
        <f t="shared" si="12"/>
        <v>2432.7784891165174</v>
      </c>
      <c r="AK81" s="248"/>
      <c r="AL81" s="174">
        <f t="shared" si="13"/>
        <v>0</v>
      </c>
      <c r="AN81" s="174">
        <f t="shared" si="14"/>
        <v>0</v>
      </c>
      <c r="AO81" s="286"/>
      <c r="AP81" s="303"/>
      <c r="AQ81" s="286"/>
      <c r="AR81" s="303"/>
      <c r="AS81" s="286"/>
      <c r="AT81" s="303"/>
      <c r="AU81" s="180"/>
      <c r="AV81" s="172"/>
      <c r="AW81" s="172"/>
      <c r="AY81" s="183"/>
      <c r="AZ81" s="172"/>
      <c r="BA81" s="179"/>
      <c r="BC81" s="181"/>
      <c r="BE81" s="181"/>
      <c r="BG81" s="181"/>
      <c r="BI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1"/>
    </row>
    <row r="82" spans="1:96" s="184" customFormat="1" x14ac:dyDescent="0.25">
      <c r="A82" s="265">
        <v>2001</v>
      </c>
      <c r="B82" s="186">
        <f>C82-DATE(YEAR(C82),1,1)+1</f>
        <v>112</v>
      </c>
      <c r="C82" s="266">
        <v>37003</v>
      </c>
      <c r="D82" s="184">
        <v>8</v>
      </c>
      <c r="E82" s="186" t="e">
        <f>VLOOKUP(C82,#REF!,2)</f>
        <v>#REF!</v>
      </c>
      <c r="F82" s="186"/>
      <c r="G82" s="265">
        <f>AA81</f>
        <v>62.597809076682324</v>
      </c>
      <c r="H82" s="267"/>
      <c r="Q82" s="267"/>
      <c r="Y82" s="269"/>
      <c r="AA82" s="269"/>
      <c r="AB82" s="178">
        <f>((B82-B81)*G82)-((B82-B81)*(G82-G81)*0.5)</f>
        <v>928.95148669796572</v>
      </c>
      <c r="AC82" s="271"/>
      <c r="AE82" s="278"/>
      <c r="AF82" s="272"/>
      <c r="AG82" s="171">
        <f>G82/AH82</f>
        <v>113.81419832124058</v>
      </c>
      <c r="AH82" s="108">
        <f t="shared" si="0"/>
        <v>0.55000000000000004</v>
      </c>
      <c r="AJ82" s="174">
        <f t="shared" si="12"/>
        <v>1689.0027030872102</v>
      </c>
      <c r="AK82" s="261"/>
      <c r="AL82" s="174">
        <f t="shared" si="13"/>
        <v>0</v>
      </c>
      <c r="AN82" s="174">
        <f t="shared" si="14"/>
        <v>0</v>
      </c>
      <c r="AO82" s="286"/>
      <c r="AP82" s="303"/>
      <c r="AQ82" s="286"/>
      <c r="AR82" s="303"/>
      <c r="AS82" s="286"/>
      <c r="AT82" s="303"/>
      <c r="AU82" s="273"/>
      <c r="AV82" s="186"/>
      <c r="AW82" s="186"/>
      <c r="AY82" s="271"/>
      <c r="AZ82" s="186"/>
      <c r="BA82" s="272"/>
    </row>
    <row r="83" spans="1:96" s="174" customFormat="1" x14ac:dyDescent="0.25">
      <c r="A83" s="172">
        <v>2001</v>
      </c>
      <c r="B83" s="172">
        <f>C83-DATE(YEAR(C83),1,1)+1</f>
        <v>151</v>
      </c>
      <c r="C83" s="182">
        <v>37042</v>
      </c>
      <c r="E83" s="172" t="e">
        <f>VLOOKUP(C83,#REF!,2)</f>
        <v>#REF!</v>
      </c>
      <c r="F83" s="172"/>
      <c r="G83" s="171">
        <v>0</v>
      </c>
      <c r="H83" s="188"/>
      <c r="I83" s="171"/>
      <c r="J83" s="171"/>
      <c r="K83" s="171"/>
      <c r="L83" s="171"/>
      <c r="M83" s="171"/>
      <c r="N83" s="171"/>
      <c r="O83" s="171"/>
      <c r="P83" s="189"/>
      <c r="Q83" s="188"/>
      <c r="R83" s="171"/>
      <c r="S83" s="171"/>
      <c r="T83" s="171"/>
      <c r="U83" s="171"/>
      <c r="V83" s="171"/>
      <c r="W83" s="171"/>
      <c r="X83" s="171"/>
      <c r="Y83" s="190"/>
      <c r="Z83" s="171"/>
      <c r="AA83" s="190"/>
      <c r="AB83" s="183">
        <f>0.5*(B83-B82)*G82</f>
        <v>1220.6572769953054</v>
      </c>
      <c r="AC83" s="183"/>
      <c r="AE83" s="206"/>
      <c r="AF83" s="179"/>
      <c r="AG83" s="171">
        <f t="shared" ref="AG83:AG114" si="16">G83/AH83</f>
        <v>0</v>
      </c>
      <c r="AH83" s="174">
        <f t="shared" si="0"/>
        <v>0.55000000000000004</v>
      </c>
      <c r="AJ83" s="174">
        <f t="shared" si="12"/>
        <v>2219.3768672641913</v>
      </c>
      <c r="AK83" s="248"/>
      <c r="AL83" s="174">
        <f>AD83/AH83</f>
        <v>0</v>
      </c>
      <c r="AN83" s="174">
        <f t="shared" si="14"/>
        <v>0</v>
      </c>
      <c r="AO83" s="286"/>
      <c r="AP83" s="303"/>
      <c r="AQ83" s="286"/>
      <c r="AR83" s="303"/>
      <c r="AS83" s="286"/>
      <c r="AT83" s="303"/>
      <c r="AU83" s="180"/>
      <c r="AV83" s="172"/>
      <c r="AW83" s="172"/>
      <c r="AY83" s="183"/>
      <c r="AZ83" s="172"/>
      <c r="BA83" s="179"/>
      <c r="BC83" s="181"/>
      <c r="BE83" s="181"/>
      <c r="BG83" s="181"/>
      <c r="BI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1"/>
    </row>
    <row r="84" spans="1:96" x14ac:dyDescent="0.25">
      <c r="A84">
        <v>2002</v>
      </c>
      <c r="B84">
        <f t="shared" si="15"/>
        <v>1</v>
      </c>
      <c r="C84" s="109">
        <v>37257</v>
      </c>
      <c r="E84" t="e">
        <f>VLOOKUP(C84,#REF!,2)</f>
        <v>#REF!</v>
      </c>
      <c r="G84" s="77">
        <v>0</v>
      </c>
      <c r="H84" s="93"/>
      <c r="I84" s="77"/>
      <c r="J84" s="77"/>
      <c r="K84" s="77"/>
      <c r="L84" s="77"/>
      <c r="M84" s="77"/>
      <c r="N84" s="77"/>
      <c r="O84" s="77"/>
      <c r="P84" s="94"/>
      <c r="Q84" s="93"/>
      <c r="R84" s="77"/>
      <c r="S84" s="77"/>
      <c r="T84" s="77"/>
      <c r="U84" s="77"/>
      <c r="V84" s="77"/>
      <c r="W84" s="77"/>
      <c r="X84" s="77"/>
      <c r="Y84" s="169"/>
      <c r="Z84" s="77"/>
      <c r="AA84" s="169"/>
      <c r="AC84" s="61"/>
      <c r="AD84">
        <f t="shared" ref="AD84:AD89" si="17">AD85</f>
        <v>73</v>
      </c>
      <c r="AG84" s="171">
        <f t="shared" si="16"/>
        <v>0</v>
      </c>
      <c r="AH84" s="108">
        <f t="shared" si="0"/>
        <v>0.55000000000000004</v>
      </c>
      <c r="AI84" s="108"/>
      <c r="AJ84" s="108"/>
      <c r="AK84" s="249"/>
      <c r="AL84" s="77">
        <f>MAX($G$84:$G$91)/AH84</f>
        <v>132.72727272727272</v>
      </c>
      <c r="AN84" s="108"/>
      <c r="AO84" s="286"/>
      <c r="AP84" s="303"/>
      <c r="AQ84" s="286"/>
      <c r="AR84" s="303"/>
      <c r="AS84" s="286"/>
      <c r="AT84" s="303">
        <f>AL84*$AS$177</f>
        <v>0</v>
      </c>
      <c r="AU84" s="79">
        <v>0</v>
      </c>
      <c r="BC84" s="120" t="s">
        <v>151</v>
      </c>
      <c r="BD84" s="120" t="s">
        <v>152</v>
      </c>
      <c r="BE84" s="115"/>
      <c r="BF84" s="115"/>
      <c r="BG84" s="115"/>
      <c r="BH84" s="115"/>
      <c r="BI84" s="115"/>
      <c r="BJ84" s="115"/>
      <c r="BK84" s="115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</row>
    <row r="85" spans="1:96" x14ac:dyDescent="0.25">
      <c r="A85">
        <v>2002</v>
      </c>
      <c r="B85">
        <f>C85-DATE(YEAR(C85),1,1)+1</f>
        <v>18</v>
      </c>
      <c r="C85" s="109">
        <v>37274</v>
      </c>
      <c r="D85">
        <v>15</v>
      </c>
      <c r="E85" t="e">
        <f>VLOOKUP(C85,#REF!,2)</f>
        <v>#REF!</v>
      </c>
      <c r="G85" s="77">
        <v>17</v>
      </c>
      <c r="AB85" s="61">
        <f>0.5*($B85-$B84)*$G85</f>
        <v>144.5</v>
      </c>
      <c r="AD85">
        <f t="shared" si="17"/>
        <v>73</v>
      </c>
      <c r="AG85" s="171">
        <f t="shared" si="16"/>
        <v>30.909090909090907</v>
      </c>
      <c r="AH85" s="108">
        <f t="shared" si="0"/>
        <v>0.55000000000000004</v>
      </c>
      <c r="AI85" s="108"/>
      <c r="AJ85" s="108">
        <f>0.5*($B85-$B84)*$AG85</f>
        <v>262.72727272727269</v>
      </c>
      <c r="AK85" s="249"/>
      <c r="AL85" s="77">
        <f t="shared" ref="AL85:AL91" si="18">MAX($G$84:$G$91)/AH85</f>
        <v>132.72727272727272</v>
      </c>
      <c r="AM85" s="73"/>
      <c r="AN85" s="108"/>
      <c r="AO85" s="286"/>
      <c r="AP85" s="303"/>
      <c r="AQ85" s="286"/>
      <c r="AR85" s="303"/>
      <c r="AS85" s="286"/>
      <c r="AT85" s="303"/>
      <c r="AU85" s="79">
        <f t="shared" ref="AU85:AU90" si="19">G85/AW85</f>
        <v>68</v>
      </c>
      <c r="AV85">
        <f t="shared" ref="AV85:AV90" si="20">B85/D85</f>
        <v>1.2</v>
      </c>
      <c r="AW85">
        <f t="shared" ref="AW85:AW90" si="21">VLOOKUP(AV85,$CB$102:$CC$271,2)</f>
        <v>0.25</v>
      </c>
      <c r="AZ85">
        <f>0.5*(B85-B84)*AU85</f>
        <v>578</v>
      </c>
      <c r="BB85" s="117">
        <f t="shared" ref="BB85:BB90" si="22">B85</f>
        <v>18</v>
      </c>
      <c r="BC85" s="117">
        <f t="shared" ref="BC85:BC90" si="23">G85/AD85</f>
        <v>0.23287671232876711</v>
      </c>
      <c r="BD85" s="117">
        <v>0.23287671232876711</v>
      </c>
      <c r="BE85" s="112">
        <v>5</v>
      </c>
      <c r="BF85" s="112">
        <f>5/17</f>
        <v>0.29411764705882354</v>
      </c>
      <c r="BG85" s="112">
        <v>11</v>
      </c>
      <c r="BH85" s="112">
        <f>11/17</f>
        <v>0.6470588235294118</v>
      </c>
      <c r="BI85" s="112">
        <v>1</v>
      </c>
      <c r="BJ85" s="112">
        <f>1/17</f>
        <v>5.8823529411764705E-2</v>
      </c>
      <c r="BK85" s="112">
        <f>0/17</f>
        <v>0</v>
      </c>
    </row>
    <row r="86" spans="1:96" x14ac:dyDescent="0.25">
      <c r="A86">
        <v>2002</v>
      </c>
      <c r="B86">
        <f t="shared" ref="B86:B144" si="24">C86-DATE(YEAR(C86),1,1)+1</f>
        <v>44</v>
      </c>
      <c r="C86" s="109">
        <v>37300</v>
      </c>
      <c r="D86">
        <v>12.5</v>
      </c>
      <c r="E86" t="e">
        <f>VLOOKUP(C86,#REF!,2)</f>
        <v>#REF!</v>
      </c>
      <c r="G86" s="77">
        <v>16</v>
      </c>
      <c r="AB86" s="61">
        <f>((B86-B85)*G86)-((B86-B85)*(G86-G85)*0.5)</f>
        <v>429</v>
      </c>
      <c r="AD86">
        <f t="shared" si="17"/>
        <v>73</v>
      </c>
      <c r="AG86" s="171">
        <f t="shared" si="16"/>
        <v>29.09090909090909</v>
      </c>
      <c r="AH86" s="108">
        <f t="shared" si="0"/>
        <v>0.55000000000000004</v>
      </c>
      <c r="AI86" s="108"/>
      <c r="AJ86" s="108">
        <f>((B86-B85)*AG86)-((B86-B85)*(AG86-AG85)*0.5)</f>
        <v>780</v>
      </c>
      <c r="AK86" s="249"/>
      <c r="AL86" s="77">
        <f t="shared" si="18"/>
        <v>132.72727272727272</v>
      </c>
      <c r="AM86" s="73"/>
      <c r="AN86" s="108"/>
      <c r="AO86" s="286"/>
      <c r="AP86" s="303"/>
      <c r="AQ86" s="286"/>
      <c r="AR86" s="303"/>
      <c r="AS86" s="286"/>
      <c r="AT86" s="303"/>
      <c r="AU86" s="79">
        <f t="shared" si="19"/>
        <v>64</v>
      </c>
      <c r="AV86">
        <f t="shared" si="20"/>
        <v>3.52</v>
      </c>
      <c r="AW86">
        <f t="shared" si="21"/>
        <v>0.25</v>
      </c>
      <c r="AZ86">
        <f>((B86-B85)*AU86)-((B86-B85)*(AU86-AU85)*0.5)</f>
        <v>1716</v>
      </c>
      <c r="BB86" s="117">
        <f t="shared" si="22"/>
        <v>44</v>
      </c>
      <c r="BC86" s="117">
        <f t="shared" si="23"/>
        <v>0.21917808219178081</v>
      </c>
      <c r="BD86" s="117">
        <v>0.21917808219178081</v>
      </c>
      <c r="BE86" s="112">
        <v>4</v>
      </c>
      <c r="BF86" s="112">
        <f>4/16</f>
        <v>0.25</v>
      </c>
      <c r="BG86" s="112">
        <v>12</v>
      </c>
      <c r="BH86" s="112">
        <f>12/16</f>
        <v>0.75</v>
      </c>
      <c r="BI86" s="112">
        <v>0</v>
      </c>
      <c r="BJ86" s="112">
        <f>0/15</f>
        <v>0</v>
      </c>
      <c r="BK86" s="112">
        <f>0/16</f>
        <v>0</v>
      </c>
      <c r="CB86" t="s">
        <v>134</v>
      </c>
    </row>
    <row r="87" spans="1:96" x14ac:dyDescent="0.25">
      <c r="A87">
        <v>2002</v>
      </c>
      <c r="B87">
        <f t="shared" si="24"/>
        <v>68</v>
      </c>
      <c r="C87" s="109">
        <v>37324</v>
      </c>
      <c r="D87">
        <v>9</v>
      </c>
      <c r="E87" t="e">
        <f>VLOOKUP(C87,#REF!,2)</f>
        <v>#REF!</v>
      </c>
      <c r="G87" s="77">
        <v>46</v>
      </c>
      <c r="AB87" s="61">
        <f>((B87-B86)*G87)-((B87-B86)*(G87-G86)*0.5)</f>
        <v>744</v>
      </c>
      <c r="AD87">
        <f t="shared" si="17"/>
        <v>73</v>
      </c>
      <c r="AG87" s="171">
        <f t="shared" si="16"/>
        <v>83.636363636363626</v>
      </c>
      <c r="AH87" s="108">
        <f t="shared" ref="AH87:AH150" si="25">$AI$1</f>
        <v>0.55000000000000004</v>
      </c>
      <c r="AI87" s="108"/>
      <c r="AJ87" s="108">
        <f>((B87-B86)*AG87)-((B87-B86)*(AG87-AG86)*0.5)</f>
        <v>1352.7272727272725</v>
      </c>
      <c r="AK87" s="249"/>
      <c r="AL87" s="77">
        <f t="shared" si="18"/>
        <v>132.72727272727272</v>
      </c>
      <c r="AM87" s="73"/>
      <c r="AN87" s="108"/>
      <c r="AO87" s="286"/>
      <c r="AP87" s="303"/>
      <c r="AQ87" s="286"/>
      <c r="AR87" s="303"/>
      <c r="AS87" s="286"/>
      <c r="AT87" s="303"/>
      <c r="AU87" s="79">
        <f t="shared" si="19"/>
        <v>119.7230753214306</v>
      </c>
      <c r="AV87">
        <f t="shared" si="20"/>
        <v>7.5555555555555554</v>
      </c>
      <c r="AW87">
        <f t="shared" si="21"/>
        <v>0.38421999999999945</v>
      </c>
      <c r="AZ87">
        <f>((B87-B86)*AU87)-((B87-B86)*(AU87-AU86)*0.5)</f>
        <v>2204.6769038571674</v>
      </c>
      <c r="BB87" s="117">
        <f t="shared" si="22"/>
        <v>68</v>
      </c>
      <c r="BC87" s="117">
        <f t="shared" si="23"/>
        <v>0.63013698630136983</v>
      </c>
      <c r="BD87" s="117">
        <v>0.63013698630136983</v>
      </c>
      <c r="BE87" s="112">
        <v>11</v>
      </c>
      <c r="BF87" s="112">
        <f>11/46</f>
        <v>0.2391304347826087</v>
      </c>
      <c r="BG87" s="112">
        <v>29</v>
      </c>
      <c r="BH87" s="112">
        <f>29/46</f>
        <v>0.63043478260869568</v>
      </c>
      <c r="BI87" s="112">
        <v>6</v>
      </c>
      <c r="BJ87" s="112">
        <f>6/46</f>
        <v>0.13043478260869565</v>
      </c>
      <c r="BK87" s="112">
        <v>0</v>
      </c>
    </row>
    <row r="88" spans="1:96" x14ac:dyDescent="0.25">
      <c r="A88">
        <v>2002</v>
      </c>
      <c r="B88">
        <f t="shared" si="24"/>
        <v>81</v>
      </c>
      <c r="C88" s="109">
        <v>37337</v>
      </c>
      <c r="D88">
        <v>10.5</v>
      </c>
      <c r="E88" t="e">
        <f>VLOOKUP(C88,#REF!,2)</f>
        <v>#REF!</v>
      </c>
      <c r="G88" s="77">
        <v>50</v>
      </c>
      <c r="AB88" s="61">
        <f>((B88-B87)*G88)-((B88-B87)*(G88-G87)*0.5)</f>
        <v>624</v>
      </c>
      <c r="AD88">
        <f t="shared" si="17"/>
        <v>73</v>
      </c>
      <c r="AG88" s="171">
        <f t="shared" si="16"/>
        <v>90.909090909090907</v>
      </c>
      <c r="AH88" s="108">
        <f t="shared" si="25"/>
        <v>0.55000000000000004</v>
      </c>
      <c r="AI88" s="108"/>
      <c r="AJ88" s="108">
        <f>((B88-B87)*AG88)-((B88-B87)*(AG88-AG87)*0.5)</f>
        <v>1134.5454545454545</v>
      </c>
      <c r="AK88" s="249"/>
      <c r="AL88" s="77">
        <f t="shared" si="18"/>
        <v>132.72727272727272</v>
      </c>
      <c r="AM88" s="73"/>
      <c r="AN88" s="108"/>
      <c r="AO88" s="286"/>
      <c r="AP88" s="303"/>
      <c r="AQ88" s="286"/>
      <c r="AR88" s="303"/>
      <c r="AS88" s="286"/>
      <c r="AT88" s="303"/>
      <c r="AU88" s="79">
        <f t="shared" si="19"/>
        <v>126.68490929360513</v>
      </c>
      <c r="AV88">
        <f t="shared" si="20"/>
        <v>7.7142857142857144</v>
      </c>
      <c r="AW88">
        <f t="shared" si="21"/>
        <v>0.39467999999999942</v>
      </c>
      <c r="AZ88">
        <f>((B88-B87)*AU88)-((B88-B87)*(AU88-AU87)*0.5)</f>
        <v>1601.6518999977322</v>
      </c>
      <c r="BB88" s="117">
        <f t="shared" si="22"/>
        <v>81</v>
      </c>
      <c r="BC88" s="117">
        <f t="shared" si="23"/>
        <v>0.68493150684931503</v>
      </c>
      <c r="BD88" s="117">
        <v>0.68493150684931503</v>
      </c>
      <c r="BE88" s="112">
        <v>9</v>
      </c>
      <c r="BF88" s="112">
        <f>9/50</f>
        <v>0.18</v>
      </c>
      <c r="BG88" s="112">
        <v>30</v>
      </c>
      <c r="BH88" s="111">
        <f>30/50</f>
        <v>0.6</v>
      </c>
      <c r="BI88" s="111">
        <v>11</v>
      </c>
      <c r="BJ88" s="112">
        <f>11/50</f>
        <v>0.22</v>
      </c>
      <c r="BK88" s="112">
        <f>0/72</f>
        <v>0</v>
      </c>
      <c r="CB88" t="s">
        <v>133</v>
      </c>
    </row>
    <row r="89" spans="1:96" x14ac:dyDescent="0.25">
      <c r="A89">
        <v>2002</v>
      </c>
      <c r="B89">
        <f t="shared" si="24"/>
        <v>116</v>
      </c>
      <c r="C89" s="109">
        <v>37372</v>
      </c>
      <c r="D89">
        <v>7.62</v>
      </c>
      <c r="E89" t="e">
        <f>VLOOKUP(C89,#REF!,2)</f>
        <v>#REF!</v>
      </c>
      <c r="G89" s="77">
        <v>73</v>
      </c>
      <c r="AB89" s="61">
        <f>((B89-B88)*G89)-((B89-B88)*(G89-G88)*0.5)</f>
        <v>2152.5</v>
      </c>
      <c r="AD89">
        <f t="shared" si="17"/>
        <v>73</v>
      </c>
      <c r="AG89" s="171">
        <f>G89/AH89</f>
        <v>132.72727272727272</v>
      </c>
      <c r="AH89" s="108">
        <f t="shared" si="25"/>
        <v>0.55000000000000004</v>
      </c>
      <c r="AI89" s="108"/>
      <c r="AJ89" s="108">
        <f>((B89-B88)*AG89)-((B89-B88)*(AG89-AG88)*0.5)</f>
        <v>3913.6363636363631</v>
      </c>
      <c r="AK89" s="249"/>
      <c r="AL89" s="77">
        <f t="shared" si="18"/>
        <v>132.72727272727272</v>
      </c>
      <c r="AM89" s="73"/>
      <c r="AN89" s="108"/>
      <c r="AO89" s="286"/>
      <c r="AP89" s="303"/>
      <c r="AQ89" s="286"/>
      <c r="AR89" s="303"/>
      <c r="AS89" s="286"/>
      <c r="AT89" s="303"/>
      <c r="AU89" s="79">
        <f t="shared" si="19"/>
        <v>92.153100383760858</v>
      </c>
      <c r="AV89">
        <f t="shared" si="20"/>
        <v>15.223097112860891</v>
      </c>
      <c r="AW89">
        <f t="shared" si="21"/>
        <v>0.79215999999999998</v>
      </c>
      <c r="AZ89">
        <f>((B89-B88)*AU89)-((B89-B88)*(AU89-AU88)*0.5)</f>
        <v>3829.6651693539047</v>
      </c>
      <c r="BB89" s="117">
        <f t="shared" si="22"/>
        <v>116</v>
      </c>
      <c r="BC89" s="117">
        <f t="shared" si="23"/>
        <v>1</v>
      </c>
      <c r="BD89" s="117">
        <v>1</v>
      </c>
      <c r="BE89" s="112">
        <v>10</v>
      </c>
      <c r="BF89" s="112">
        <f>10/72</f>
        <v>0.1388888888888889</v>
      </c>
      <c r="BG89" s="112">
        <v>23</v>
      </c>
      <c r="BH89" s="112">
        <f>23/72</f>
        <v>0.31944444444444442</v>
      </c>
      <c r="BI89" s="111">
        <v>34</v>
      </c>
      <c r="BJ89" s="112">
        <f>34/72</f>
        <v>0.47222222222222221</v>
      </c>
      <c r="BK89" s="112">
        <v>3</v>
      </c>
      <c r="CB89">
        <v>5.2299999999999999E-2</v>
      </c>
      <c r="CC89">
        <v>2.8E-3</v>
      </c>
    </row>
    <row r="90" spans="1:96" x14ac:dyDescent="0.25">
      <c r="A90">
        <v>2002</v>
      </c>
      <c r="B90">
        <f t="shared" si="24"/>
        <v>134</v>
      </c>
      <c r="C90" s="109">
        <v>37390</v>
      </c>
      <c r="D90">
        <v>10.6</v>
      </c>
      <c r="E90" t="e">
        <f>VLOOKUP(C90,#REF!,2)</f>
        <v>#REF!</v>
      </c>
      <c r="G90" s="77">
        <v>29</v>
      </c>
      <c r="AB90" s="61">
        <f>((B90-B89)*G90)-((B90-B89)*(G90-G89)*0.5)</f>
        <v>918</v>
      </c>
      <c r="AD90">
        <f>AD91</f>
        <v>73</v>
      </c>
      <c r="AG90" s="171">
        <f t="shared" si="16"/>
        <v>52.72727272727272</v>
      </c>
      <c r="AH90" s="108">
        <f t="shared" si="25"/>
        <v>0.55000000000000004</v>
      </c>
      <c r="AI90" s="108"/>
      <c r="AJ90" s="108">
        <f>((B90-B89)*AG90)-((B90-B89)*(AG90-AG89)*0.5)</f>
        <v>1669.090909090909</v>
      </c>
      <c r="AK90" s="249"/>
      <c r="AL90" s="77">
        <f t="shared" si="18"/>
        <v>132.72727272727272</v>
      </c>
      <c r="AM90" s="73"/>
      <c r="AN90" s="108"/>
      <c r="AO90" s="286"/>
      <c r="AP90" s="303"/>
      <c r="AQ90" s="286"/>
      <c r="AR90" s="303"/>
      <c r="AS90" s="286"/>
      <c r="AT90" s="303"/>
      <c r="AU90" s="79">
        <f t="shared" si="19"/>
        <v>44.195190344112895</v>
      </c>
      <c r="AV90">
        <f t="shared" si="20"/>
        <v>12.641509433962264</v>
      </c>
      <c r="AW90">
        <f t="shared" si="21"/>
        <v>0.65617999999999999</v>
      </c>
      <c r="AZ90">
        <f>((B90-B89)*AU90)-((B90-B89)*(AU90-AU89)*0.5)</f>
        <v>1227.1346165508639</v>
      </c>
      <c r="BB90" s="117">
        <f t="shared" si="22"/>
        <v>134</v>
      </c>
      <c r="BC90" s="117">
        <f t="shared" si="23"/>
        <v>0.39726027397260272</v>
      </c>
      <c r="BE90" s="112">
        <v>3</v>
      </c>
      <c r="BF90" s="112">
        <f>3/28</f>
        <v>0.10714285714285714</v>
      </c>
      <c r="BG90" s="112">
        <v>9</v>
      </c>
      <c r="BH90" s="112">
        <f>9/28</f>
        <v>0.32142857142857145</v>
      </c>
      <c r="BI90" s="111">
        <v>16</v>
      </c>
      <c r="BJ90" s="112">
        <f>16/28</f>
        <v>0.5714285714285714</v>
      </c>
    </row>
    <row r="91" spans="1:96" x14ac:dyDescent="0.25">
      <c r="A91">
        <v>2002</v>
      </c>
      <c r="B91">
        <f t="shared" si="24"/>
        <v>151</v>
      </c>
      <c r="C91" s="109">
        <v>37407</v>
      </c>
      <c r="E91" t="e">
        <f>VLOOKUP(C91,#REF!,2)</f>
        <v>#REF!</v>
      </c>
      <c r="G91" s="77">
        <v>0</v>
      </c>
      <c r="AB91" s="61">
        <f>0.5*(B91-B90)*G90</f>
        <v>246.5</v>
      </c>
      <c r="AC91">
        <f>AF91/$AF$1</f>
        <v>6.8</v>
      </c>
      <c r="AD91">
        <f>MAX(G84:G91)</f>
        <v>73</v>
      </c>
      <c r="AE91" s="73">
        <f>AC91/AD91</f>
        <v>9.3150684931506841E-2</v>
      </c>
      <c r="AF91" s="279">
        <v>340</v>
      </c>
      <c r="AG91" s="171">
        <f t="shared" si="16"/>
        <v>0</v>
      </c>
      <c r="AH91" s="108">
        <f t="shared" si="25"/>
        <v>0.55000000000000004</v>
      </c>
      <c r="AI91" s="108"/>
      <c r="AJ91" s="108">
        <f>0.5*(B91-B90)*AG90</f>
        <v>448.18181818181813</v>
      </c>
      <c r="AK91" s="248">
        <f>AN91/$AN$1</f>
        <v>191.21818181818179</v>
      </c>
      <c r="AL91" s="77">
        <f t="shared" si="18"/>
        <v>132.72727272727272</v>
      </c>
      <c r="AM91" s="73">
        <f>AK91/AL91</f>
        <v>1.4406849315068493</v>
      </c>
      <c r="AN91" s="108">
        <f>SUM(AJ85:AJ91)</f>
        <v>9560.9090909090901</v>
      </c>
      <c r="AO91" s="286">
        <v>340</v>
      </c>
      <c r="AP91" s="303">
        <v>4.57</v>
      </c>
      <c r="AQ91" s="290">
        <f>AO91</f>
        <v>340</v>
      </c>
      <c r="AR91" s="303">
        <v>340</v>
      </c>
      <c r="AS91" s="286">
        <v>4.6500000000000004</v>
      </c>
      <c r="AT91" s="303">
        <f>AL91*$AS$177</f>
        <v>0</v>
      </c>
      <c r="AU91" s="79">
        <v>0</v>
      </c>
      <c r="AX91">
        <f>BA91/BA1</f>
        <v>230.65575415369256</v>
      </c>
      <c r="AY91" s="61">
        <f>AX91/AD91</f>
        <v>3.1596678651190762</v>
      </c>
      <c r="AZ91">
        <f>0.5*(B91-B90)*AU90</f>
        <v>375.65911792495962</v>
      </c>
      <c r="BA91" s="78">
        <f>SUM(AZ85:AZ91)</f>
        <v>11532.787707684627</v>
      </c>
    </row>
    <row r="92" spans="1:96" s="172" customFormat="1" x14ac:dyDescent="0.25">
      <c r="A92" s="172">
        <v>2003</v>
      </c>
      <c r="B92" s="172">
        <f t="shared" si="24"/>
        <v>1</v>
      </c>
      <c r="C92" s="191">
        <v>37622</v>
      </c>
      <c r="E92" s="172" t="e">
        <f>VLOOKUP(C92,#REF!,2)</f>
        <v>#REF!</v>
      </c>
      <c r="G92" s="192">
        <v>0</v>
      </c>
      <c r="H92" s="193"/>
      <c r="P92" s="194"/>
      <c r="Q92" s="193"/>
      <c r="Y92" s="195"/>
      <c r="AA92" s="195"/>
      <c r="AB92" s="183"/>
      <c r="AD92" s="172">
        <f t="shared" ref="AD92:AD97" si="26">AD93</f>
        <v>50</v>
      </c>
      <c r="AE92" s="206"/>
      <c r="AF92" s="196"/>
      <c r="AG92" s="171">
        <f t="shared" si="16"/>
        <v>0</v>
      </c>
      <c r="AH92" s="174">
        <f t="shared" si="25"/>
        <v>0.55000000000000004</v>
      </c>
      <c r="AI92" s="174"/>
      <c r="AJ92" s="174"/>
      <c r="AK92" s="249"/>
      <c r="AL92" s="192">
        <f>MAX($G$92:$G$99)/AH92</f>
        <v>90.909090909090907</v>
      </c>
      <c r="AM92" s="206"/>
      <c r="AN92" s="174"/>
      <c r="AO92" s="286"/>
      <c r="AP92" s="303"/>
      <c r="AQ92" s="286"/>
      <c r="AR92" s="303"/>
      <c r="AS92" s="286"/>
      <c r="AT92" s="303"/>
      <c r="AU92" s="197">
        <v>0</v>
      </c>
      <c r="AY92" s="183"/>
      <c r="BA92" s="196"/>
    </row>
    <row r="93" spans="1:96" s="172" customFormat="1" x14ac:dyDescent="0.25">
      <c r="A93" s="172">
        <v>2003</v>
      </c>
      <c r="B93" s="172">
        <f t="shared" si="24"/>
        <v>20</v>
      </c>
      <c r="C93" s="191">
        <v>37641</v>
      </c>
      <c r="D93" s="172">
        <v>11</v>
      </c>
      <c r="E93" s="172" t="e">
        <f>VLOOKUP(C93,#REF!,2)</f>
        <v>#REF!</v>
      </c>
      <c r="G93" s="192">
        <v>5</v>
      </c>
      <c r="H93" s="193"/>
      <c r="P93" s="194"/>
      <c r="Q93" s="193"/>
      <c r="Y93" s="195"/>
      <c r="AA93" s="195"/>
      <c r="AB93" s="183">
        <f>0.5*(B93-B92)*G93</f>
        <v>47.5</v>
      </c>
      <c r="AD93" s="172">
        <f t="shared" si="26"/>
        <v>50</v>
      </c>
      <c r="AE93" s="206"/>
      <c r="AF93" s="196"/>
      <c r="AG93" s="171">
        <f t="shared" si="16"/>
        <v>9.0909090909090899</v>
      </c>
      <c r="AH93" s="174">
        <f t="shared" si="25"/>
        <v>0.55000000000000004</v>
      </c>
      <c r="AI93" s="174"/>
      <c r="AJ93" s="174">
        <f>0.5*($B93-$B92)*$AG93</f>
        <v>86.36363636363636</v>
      </c>
      <c r="AK93" s="249"/>
      <c r="AL93" s="192">
        <f t="shared" ref="AL93:AL99" si="27">MAX($G$92:$G$99)/AH93</f>
        <v>90.909090909090907</v>
      </c>
      <c r="AM93" s="206"/>
      <c r="AN93" s="174"/>
      <c r="AO93" s="286"/>
      <c r="AP93" s="303"/>
      <c r="AQ93" s="286"/>
      <c r="AR93" s="303"/>
      <c r="AS93" s="286"/>
      <c r="AT93" s="303"/>
      <c r="AU93" s="197">
        <f t="shared" ref="AU93:AU98" si="28">G93/AW93</f>
        <v>20</v>
      </c>
      <c r="AV93" s="172">
        <f t="shared" ref="AV93:AV98" si="29">B93/D93</f>
        <v>1.8181818181818181</v>
      </c>
      <c r="AW93" s="172">
        <f t="shared" ref="AW93:AW98" si="30">VLOOKUP(AV93,$CB$102:$CC$271,2)</f>
        <v>0.25</v>
      </c>
      <c r="AY93" s="183"/>
      <c r="AZ93" s="172">
        <f>0.5*(B93-B92)*AU93</f>
        <v>190</v>
      </c>
      <c r="BA93" s="196"/>
      <c r="BB93" s="172">
        <f t="shared" ref="BB93:BB98" si="31">B93</f>
        <v>20</v>
      </c>
      <c r="BC93" s="172">
        <f t="shared" ref="BC93:BC98" si="32">G93/AD93</f>
        <v>0.1</v>
      </c>
      <c r="BD93" s="172">
        <v>0.1</v>
      </c>
      <c r="BH93" s="198"/>
      <c r="BI93" s="198"/>
      <c r="CF93" s="199" t="s">
        <v>153</v>
      </c>
      <c r="CL93" s="199" t="s">
        <v>171</v>
      </c>
    </row>
    <row r="94" spans="1:96" s="172" customFormat="1" x14ac:dyDescent="0.25">
      <c r="A94" s="172">
        <v>2003</v>
      </c>
      <c r="B94" s="172">
        <f t="shared" si="24"/>
        <v>43</v>
      </c>
      <c r="C94" s="191">
        <v>37664</v>
      </c>
      <c r="D94" s="172">
        <v>7.5</v>
      </c>
      <c r="E94" s="172" t="e">
        <f>VLOOKUP(C94,#REF!,2)</f>
        <v>#REF!</v>
      </c>
      <c r="G94" s="192">
        <v>19</v>
      </c>
      <c r="H94" s="193"/>
      <c r="P94" s="194"/>
      <c r="Q94" s="193"/>
      <c r="Y94" s="195"/>
      <c r="AA94" s="195"/>
      <c r="AB94" s="183">
        <f>((B94-B93)*G94)-((B94-B93)*(G94-G93)*0.5)</f>
        <v>276</v>
      </c>
      <c r="AD94" s="172">
        <f t="shared" si="26"/>
        <v>50</v>
      </c>
      <c r="AE94" s="206"/>
      <c r="AF94" s="196"/>
      <c r="AG94" s="171">
        <f t="shared" si="16"/>
        <v>34.54545454545454</v>
      </c>
      <c r="AH94" s="174">
        <f t="shared" si="25"/>
        <v>0.55000000000000004</v>
      </c>
      <c r="AI94" s="174"/>
      <c r="AJ94" s="174">
        <f>((B94-B93)*AG94)-((B94-B93)*(AG94-AG93)*0.5)</f>
        <v>501.8181818181817</v>
      </c>
      <c r="AK94" s="249"/>
      <c r="AL94" s="192">
        <f t="shared" si="27"/>
        <v>90.909090909090907</v>
      </c>
      <c r="AM94" s="206"/>
      <c r="AN94" s="174"/>
      <c r="AO94" s="286"/>
      <c r="AP94" s="303"/>
      <c r="AQ94" s="286"/>
      <c r="AR94" s="303"/>
      <c r="AS94" s="286"/>
      <c r="AT94" s="303"/>
      <c r="AU94" s="197">
        <f t="shared" si="28"/>
        <v>65.499172642029791</v>
      </c>
      <c r="AV94" s="172">
        <f t="shared" si="29"/>
        <v>5.7333333333333334</v>
      </c>
      <c r="AW94" s="172">
        <f t="shared" si="30"/>
        <v>0.29007999999999995</v>
      </c>
      <c r="AY94" s="183"/>
      <c r="AZ94" s="172">
        <f>((B94-B93)*AU94)-((B94-B93)*(AU94-AU93)*0.5)</f>
        <v>983.24048538334262</v>
      </c>
      <c r="BA94" s="196"/>
      <c r="BB94" s="172">
        <f t="shared" si="31"/>
        <v>43</v>
      </c>
      <c r="BC94" s="172">
        <f t="shared" si="32"/>
        <v>0.38</v>
      </c>
      <c r="BD94" s="172">
        <v>0.38</v>
      </c>
      <c r="BE94" s="172">
        <v>1</v>
      </c>
      <c r="BF94" s="172">
        <f>1/19</f>
        <v>5.2631578947368418E-2</v>
      </c>
      <c r="BG94" s="172">
        <v>15</v>
      </c>
      <c r="BH94" s="172">
        <f>15/19</f>
        <v>0.78947368421052633</v>
      </c>
      <c r="BI94" s="172">
        <v>3</v>
      </c>
      <c r="BJ94" s="172">
        <f>3/19</f>
        <v>0.15789473684210525</v>
      </c>
    </row>
    <row r="95" spans="1:96" s="172" customFormat="1" x14ac:dyDescent="0.25">
      <c r="A95" s="172">
        <v>2003</v>
      </c>
      <c r="B95" s="172">
        <f t="shared" si="24"/>
        <v>66</v>
      </c>
      <c r="C95" s="191">
        <v>37687</v>
      </c>
      <c r="D95" s="172">
        <v>3.5</v>
      </c>
      <c r="E95" s="172" t="e">
        <f>VLOOKUP(C95,#REF!,2)</f>
        <v>#REF!</v>
      </c>
      <c r="G95" s="192">
        <v>21</v>
      </c>
      <c r="H95" s="193"/>
      <c r="P95" s="194"/>
      <c r="Q95" s="193"/>
      <c r="Y95" s="195"/>
      <c r="AA95" s="195"/>
      <c r="AB95" s="183">
        <f>((B95-B94)*G95)-((B95-B94)*(G95-G94)*0.5)</f>
        <v>460</v>
      </c>
      <c r="AD95" s="172">
        <f t="shared" si="26"/>
        <v>50</v>
      </c>
      <c r="AE95" s="206"/>
      <c r="AF95" s="196"/>
      <c r="AG95" s="171">
        <f t="shared" si="16"/>
        <v>38.18181818181818</v>
      </c>
      <c r="AH95" s="174">
        <f t="shared" si="25"/>
        <v>0.55000000000000004</v>
      </c>
      <c r="AI95" s="174"/>
      <c r="AJ95" s="174">
        <f>((B95-B94)*AG95)-((B95-B94)*(AG95-AG94)*0.5)</f>
        <v>836.36363636363626</v>
      </c>
      <c r="AK95" s="249"/>
      <c r="AL95" s="192">
        <f t="shared" si="27"/>
        <v>90.909090909090907</v>
      </c>
      <c r="AM95" s="206"/>
      <c r="AN95" s="174"/>
      <c r="AO95" s="286"/>
      <c r="AP95" s="303"/>
      <c r="AQ95" s="286"/>
      <c r="AR95" s="303"/>
      <c r="AS95" s="286"/>
      <c r="AT95" s="303"/>
      <c r="AU95" s="197">
        <f t="shared" si="28"/>
        <v>21.649930926410853</v>
      </c>
      <c r="AV95" s="172">
        <f t="shared" si="29"/>
        <v>18.857142857142858</v>
      </c>
      <c r="AW95" s="172">
        <f t="shared" si="30"/>
        <v>0.96998000000000006</v>
      </c>
      <c r="AY95" s="183"/>
      <c r="AZ95" s="172">
        <f>((B95-B94)*AU95)-((B95-B94)*(AU95-AU94)*0.5)</f>
        <v>1002.2146910370675</v>
      </c>
      <c r="BA95" s="196"/>
      <c r="BB95" s="172">
        <f t="shared" si="31"/>
        <v>66</v>
      </c>
      <c r="BC95" s="172">
        <f t="shared" si="32"/>
        <v>0.42</v>
      </c>
      <c r="BD95" s="172">
        <v>0.42</v>
      </c>
      <c r="BE95" s="172">
        <v>6</v>
      </c>
      <c r="BF95" s="200">
        <f>6/21</f>
        <v>0.2857142857142857</v>
      </c>
      <c r="BG95" s="200">
        <v>13</v>
      </c>
      <c r="BH95" s="172">
        <f>13/21</f>
        <v>0.61904761904761907</v>
      </c>
      <c r="BI95" s="172">
        <v>2</v>
      </c>
      <c r="BJ95" s="172">
        <f>2/21</f>
        <v>9.5238095238095233E-2</v>
      </c>
      <c r="BK95" s="172">
        <f>0/21</f>
        <v>0</v>
      </c>
      <c r="CF95" s="199" t="s">
        <v>155</v>
      </c>
      <c r="CL95" s="199" t="s">
        <v>162</v>
      </c>
      <c r="CR95" s="172" t="s">
        <v>162</v>
      </c>
    </row>
    <row r="96" spans="1:96" s="172" customFormat="1" x14ac:dyDescent="0.25">
      <c r="A96" s="172">
        <v>2003</v>
      </c>
      <c r="B96" s="172">
        <f t="shared" si="24"/>
        <v>97</v>
      </c>
      <c r="C96" s="191">
        <v>37718</v>
      </c>
      <c r="D96" s="172">
        <v>12.7</v>
      </c>
      <c r="E96" s="172" t="e">
        <f>VLOOKUP(C96,#REF!,2)</f>
        <v>#REF!</v>
      </c>
      <c r="G96" s="192">
        <v>46</v>
      </c>
      <c r="H96" s="193"/>
      <c r="P96" s="194"/>
      <c r="Q96" s="193"/>
      <c r="Y96" s="195"/>
      <c r="AA96" s="195"/>
      <c r="AB96" s="183">
        <f>((B96-B95)*G96)-((B96-B95)*(G96-G95)*0.5)</f>
        <v>1038.5</v>
      </c>
      <c r="AD96" s="172">
        <f t="shared" si="26"/>
        <v>50</v>
      </c>
      <c r="AE96" s="206"/>
      <c r="AF96" s="196"/>
      <c r="AG96" s="171">
        <f t="shared" si="16"/>
        <v>83.636363636363626</v>
      </c>
      <c r="AH96" s="174">
        <f t="shared" si="25"/>
        <v>0.55000000000000004</v>
      </c>
      <c r="AI96" s="174"/>
      <c r="AJ96" s="174">
        <f>((B96-B95)*AG96)-((B96-B95)*(AG96-AG95)*0.5)</f>
        <v>1888.181818181818</v>
      </c>
      <c r="AK96" s="249"/>
      <c r="AL96" s="192">
        <f t="shared" si="27"/>
        <v>90.909090909090907</v>
      </c>
      <c r="AM96" s="206"/>
      <c r="AN96" s="174"/>
      <c r="AO96" s="286"/>
      <c r="AP96" s="303"/>
      <c r="AQ96" s="286"/>
      <c r="AR96" s="303"/>
      <c r="AS96" s="286"/>
      <c r="AT96" s="303"/>
      <c r="AU96" s="197">
        <f t="shared" si="28"/>
        <v>116.55011655011673</v>
      </c>
      <c r="AV96" s="172">
        <f t="shared" si="29"/>
        <v>7.6377952755905518</v>
      </c>
      <c r="AW96" s="172">
        <f t="shared" si="30"/>
        <v>0.39467999999999942</v>
      </c>
      <c r="AY96" s="183"/>
      <c r="AZ96" s="172">
        <f>((B96-B95)*AU96)-((B96-B95)*(AU96-AU95)*0.5)</f>
        <v>2142.1007358861771</v>
      </c>
      <c r="BA96" s="196"/>
      <c r="BB96" s="172">
        <f t="shared" si="31"/>
        <v>97</v>
      </c>
      <c r="BC96" s="172">
        <f t="shared" si="32"/>
        <v>0.92</v>
      </c>
      <c r="BD96" s="172">
        <v>0.92</v>
      </c>
      <c r="BE96" s="172">
        <v>10</v>
      </c>
      <c r="BF96" s="172">
        <f>10/46</f>
        <v>0.21739130434782608</v>
      </c>
      <c r="BG96" s="172">
        <v>16</v>
      </c>
      <c r="BH96" s="172">
        <f>16/46</f>
        <v>0.34782608695652173</v>
      </c>
      <c r="BI96" s="172">
        <v>20</v>
      </c>
      <c r="BJ96" s="172">
        <f>20/46</f>
        <v>0.43478260869565216</v>
      </c>
      <c r="BK96" s="172">
        <f>0/46</f>
        <v>0</v>
      </c>
      <c r="CF96" s="199" t="s">
        <v>156</v>
      </c>
    </row>
    <row r="97" spans="1:100" s="172" customFormat="1" x14ac:dyDescent="0.25">
      <c r="A97" s="172">
        <v>2003</v>
      </c>
      <c r="B97" s="172">
        <f t="shared" si="24"/>
        <v>113</v>
      </c>
      <c r="C97" s="191">
        <v>37734</v>
      </c>
      <c r="D97" s="172">
        <v>10.5</v>
      </c>
      <c r="E97" s="172" t="e">
        <f>VLOOKUP(C97,#REF!,2)</f>
        <v>#REF!</v>
      </c>
      <c r="G97" s="192">
        <v>50</v>
      </c>
      <c r="H97" s="193"/>
      <c r="P97" s="194"/>
      <c r="Q97" s="193"/>
      <c r="Y97" s="195"/>
      <c r="AA97" s="195"/>
      <c r="AB97" s="183">
        <f>((B97-B96)*G97)-((B97-B96)*(G97-G96)*0.5)</f>
        <v>768</v>
      </c>
      <c r="AD97" s="172">
        <f t="shared" si="26"/>
        <v>50</v>
      </c>
      <c r="AE97" s="206"/>
      <c r="AF97" s="196"/>
      <c r="AG97" s="171">
        <f t="shared" si="16"/>
        <v>90.909090909090907</v>
      </c>
      <c r="AH97" s="174">
        <f t="shared" si="25"/>
        <v>0.55000000000000004</v>
      </c>
      <c r="AI97" s="174"/>
      <c r="AJ97" s="174">
        <f>((B97-B96)*AG97)-((B97-B96)*(AG97-AG96)*0.5)</f>
        <v>1396.3636363636363</v>
      </c>
      <c r="AK97" s="249"/>
      <c r="AL97" s="192">
        <f t="shared" si="27"/>
        <v>90.909090909090907</v>
      </c>
      <c r="AM97" s="206"/>
      <c r="AN97" s="174"/>
      <c r="AO97" s="286"/>
      <c r="AP97" s="303"/>
      <c r="AQ97" s="286"/>
      <c r="AR97" s="303"/>
      <c r="AS97" s="286"/>
      <c r="AT97" s="303"/>
      <c r="AU97" s="197">
        <f t="shared" si="28"/>
        <v>90.648681968164183</v>
      </c>
      <c r="AV97" s="172">
        <f t="shared" si="29"/>
        <v>10.761904761904763</v>
      </c>
      <c r="AW97" s="172">
        <f t="shared" si="30"/>
        <v>0.55157999999999996</v>
      </c>
      <c r="AY97" s="183"/>
      <c r="AZ97" s="172">
        <f>((B97-B96)*AU97)-((B97-B96)*(AU97-AU96)*0.5)</f>
        <v>1657.5903881462473</v>
      </c>
      <c r="BA97" s="196"/>
      <c r="BB97" s="172">
        <f t="shared" si="31"/>
        <v>113</v>
      </c>
      <c r="BC97" s="172">
        <f t="shared" si="32"/>
        <v>1</v>
      </c>
      <c r="BD97" s="172">
        <v>1</v>
      </c>
      <c r="BE97" s="172">
        <v>14</v>
      </c>
      <c r="BF97" s="172">
        <f>14/46</f>
        <v>0.30434782608695654</v>
      </c>
      <c r="BG97" s="172">
        <v>13</v>
      </c>
      <c r="BH97" s="172">
        <f>13/46</f>
        <v>0.28260869565217389</v>
      </c>
      <c r="BI97" s="172">
        <v>19</v>
      </c>
      <c r="BJ97" s="172">
        <f>19/36</f>
        <v>0.52777777777777779</v>
      </c>
      <c r="BK97" s="172">
        <f>4</f>
        <v>4</v>
      </c>
      <c r="CL97" s="201">
        <v>1</v>
      </c>
      <c r="CM97" s="201">
        <v>2</v>
      </c>
      <c r="CN97" s="201">
        <v>3</v>
      </c>
      <c r="CO97" s="201">
        <v>4</v>
      </c>
      <c r="CP97" s="201">
        <v>5</v>
      </c>
      <c r="CR97" s="201">
        <v>1</v>
      </c>
      <c r="CS97" s="201">
        <v>2</v>
      </c>
      <c r="CT97" s="201">
        <v>3</v>
      </c>
      <c r="CU97" s="201">
        <v>4</v>
      </c>
      <c r="CV97" s="201">
        <v>5</v>
      </c>
    </row>
    <row r="98" spans="1:100" s="172" customFormat="1" x14ac:dyDescent="0.25">
      <c r="A98" s="172">
        <v>2003</v>
      </c>
      <c r="B98" s="172">
        <f t="shared" si="24"/>
        <v>134</v>
      </c>
      <c r="C98" s="191">
        <v>37755</v>
      </c>
      <c r="D98" s="172">
        <v>6.1</v>
      </c>
      <c r="E98" s="172" t="e">
        <f>VLOOKUP(C98,#REF!,2)</f>
        <v>#REF!</v>
      </c>
      <c r="G98" s="192">
        <v>20</v>
      </c>
      <c r="H98" s="193"/>
      <c r="P98" s="194"/>
      <c r="Q98" s="193"/>
      <c r="Y98" s="195"/>
      <c r="AA98" s="195"/>
      <c r="AB98" s="183">
        <f>((B98-B97)*G98)-((B98-B97)*(G98-G97)*0.5)</f>
        <v>735</v>
      </c>
      <c r="AD98" s="172">
        <f>AD99</f>
        <v>50</v>
      </c>
      <c r="AE98" s="206"/>
      <c r="AF98" s="196"/>
      <c r="AG98" s="171">
        <f t="shared" si="16"/>
        <v>36.36363636363636</v>
      </c>
      <c r="AH98" s="174">
        <f t="shared" si="25"/>
        <v>0.55000000000000004</v>
      </c>
      <c r="AI98" s="174"/>
      <c r="AJ98" s="174">
        <f>((B98-B97)*AG98)-((B98-B97)*(AG98-AG97)*0.5)</f>
        <v>1336.3636363636363</v>
      </c>
      <c r="AK98" s="249"/>
      <c r="AL98" s="192">
        <f t="shared" si="27"/>
        <v>90.909090909090907</v>
      </c>
      <c r="AM98" s="206"/>
      <c r="AN98" s="174"/>
      <c r="AO98" s="286"/>
      <c r="AP98" s="303"/>
      <c r="AQ98" s="286"/>
      <c r="AR98" s="303"/>
      <c r="AS98" s="286"/>
      <c r="AT98" s="303"/>
      <c r="AU98" s="197">
        <f t="shared" si="28"/>
        <v>20</v>
      </c>
      <c r="AV98" s="172">
        <f t="shared" si="29"/>
        <v>21.967213114754099</v>
      </c>
      <c r="AW98" s="172">
        <f t="shared" si="30"/>
        <v>1</v>
      </c>
      <c r="AY98" s="183"/>
      <c r="AZ98" s="172">
        <f>((B98-B97)*AU98)-((B98-B97)*(AU98-AU97)*0.5)</f>
        <v>1161.8111606657239</v>
      </c>
      <c r="BA98" s="196"/>
      <c r="BB98" s="172">
        <f t="shared" si="31"/>
        <v>134</v>
      </c>
      <c r="BC98" s="172">
        <f t="shared" si="32"/>
        <v>0.4</v>
      </c>
      <c r="BF98" s="172">
        <f>12/20</f>
        <v>0.6</v>
      </c>
      <c r="BG98" s="172">
        <v>0</v>
      </c>
      <c r="BH98" s="172">
        <f>0/20</f>
        <v>0</v>
      </c>
      <c r="BI98" s="172">
        <v>8</v>
      </c>
      <c r="BJ98" s="172">
        <f>8/20</f>
        <v>0.4</v>
      </c>
      <c r="BK98" s="172">
        <f>0/20</f>
        <v>0</v>
      </c>
      <c r="CL98" s="202" t="s">
        <v>172</v>
      </c>
      <c r="CM98" s="203"/>
      <c r="CN98" s="203"/>
      <c r="CO98" s="204"/>
      <c r="CP98" s="204"/>
      <c r="CR98" s="202" t="s">
        <v>175</v>
      </c>
      <c r="CS98" s="203"/>
      <c r="CT98" s="203"/>
      <c r="CU98" s="204"/>
      <c r="CV98" s="204"/>
    </row>
    <row r="99" spans="1:100" s="172" customFormat="1" x14ac:dyDescent="0.25">
      <c r="A99" s="172">
        <v>2003</v>
      </c>
      <c r="B99" s="172">
        <f t="shared" si="24"/>
        <v>151</v>
      </c>
      <c r="C99" s="191">
        <v>37772</v>
      </c>
      <c r="E99" s="172" t="e">
        <f>VLOOKUP(C99,#REF!,2)</f>
        <v>#REF!</v>
      </c>
      <c r="G99" s="192">
        <v>0</v>
      </c>
      <c r="H99" s="193"/>
      <c r="P99" s="194"/>
      <c r="Q99" s="193"/>
      <c r="Y99" s="195"/>
      <c r="AA99" s="195"/>
      <c r="AB99" s="183">
        <f>0.5*(B99-B98)*G98</f>
        <v>170</v>
      </c>
      <c r="AC99" s="172">
        <f>AF99/$AF$1</f>
        <v>69.900000000000006</v>
      </c>
      <c r="AD99" s="172">
        <f>MAX(G92:G99)</f>
        <v>50</v>
      </c>
      <c r="AE99" s="206">
        <f>AC99/AD99</f>
        <v>1.3980000000000001</v>
      </c>
      <c r="AF99" s="280">
        <f>SUM(AB93:AB99)</f>
        <v>3495</v>
      </c>
      <c r="AG99" s="171">
        <f t="shared" si="16"/>
        <v>0</v>
      </c>
      <c r="AH99" s="174">
        <f t="shared" si="25"/>
        <v>0.55000000000000004</v>
      </c>
      <c r="AI99" s="174"/>
      <c r="AJ99" s="174">
        <f>0.5*(B99-B98)*AG98</f>
        <v>309.09090909090907</v>
      </c>
      <c r="AK99" s="248">
        <f>AN99/$AF$1</f>
        <v>127.09090909090907</v>
      </c>
      <c r="AL99" s="192">
        <f t="shared" si="27"/>
        <v>90.909090909090907</v>
      </c>
      <c r="AM99" s="206">
        <f>AK99/AL99</f>
        <v>1.3979999999999997</v>
      </c>
      <c r="AN99" s="174">
        <f>SUM(AJ93:AJ99)</f>
        <v>6354.5454545454531</v>
      </c>
      <c r="AO99" s="286">
        <v>158</v>
      </c>
      <c r="AP99" s="303">
        <v>3.14</v>
      </c>
      <c r="AQ99" s="290">
        <f>AO99</f>
        <v>158</v>
      </c>
      <c r="AR99" s="303">
        <v>158</v>
      </c>
      <c r="AS99" s="286">
        <v>3.16</v>
      </c>
      <c r="AT99" s="303">
        <f>AL99*$AS$177</f>
        <v>0</v>
      </c>
      <c r="AU99" s="197">
        <v>0</v>
      </c>
      <c r="AX99" s="172">
        <f>BA99/$BA$1</f>
        <v>146.13914922237117</v>
      </c>
      <c r="AY99" s="183">
        <f>AX99/AD99</f>
        <v>2.9227829844474233</v>
      </c>
      <c r="AZ99" s="172">
        <f>0.5*(B99-B98)*AU98</f>
        <v>170</v>
      </c>
      <c r="BA99" s="196">
        <f>SUM(AZ93:AZ99)</f>
        <v>7306.9574611185581</v>
      </c>
      <c r="CH99" s="199" t="s">
        <v>154</v>
      </c>
      <c r="CL99" s="205" t="s">
        <v>163</v>
      </c>
      <c r="CM99" s="205" t="s">
        <v>165</v>
      </c>
      <c r="CN99" s="205" t="s">
        <v>167</v>
      </c>
      <c r="CO99" s="205" t="s">
        <v>169</v>
      </c>
      <c r="CP99" s="205" t="s">
        <v>173</v>
      </c>
      <c r="CQ99" s="199"/>
      <c r="CR99" s="205" t="s">
        <v>163</v>
      </c>
      <c r="CS99" s="205" t="s">
        <v>165</v>
      </c>
      <c r="CT99" s="205" t="s">
        <v>167</v>
      </c>
      <c r="CU99" s="205" t="s">
        <v>169</v>
      </c>
      <c r="CV99" s="205" t="s">
        <v>173</v>
      </c>
    </row>
    <row r="100" spans="1:100" x14ac:dyDescent="0.25">
      <c r="A100">
        <v>2004</v>
      </c>
      <c r="B100">
        <f t="shared" si="24"/>
        <v>1</v>
      </c>
      <c r="C100" s="109">
        <v>37987</v>
      </c>
      <c r="E100" t="e">
        <f>VLOOKUP(C100,#REF!,2)</f>
        <v>#REF!</v>
      </c>
      <c r="G100" s="77">
        <v>0</v>
      </c>
      <c r="AD100">
        <f t="shared" ref="AD100:AD105" si="33">AD101</f>
        <v>45</v>
      </c>
      <c r="AG100" s="171">
        <f t="shared" si="16"/>
        <v>0</v>
      </c>
      <c r="AH100" s="108">
        <f t="shared" si="25"/>
        <v>0.55000000000000004</v>
      </c>
      <c r="AI100" s="108"/>
      <c r="AJ100" s="108"/>
      <c r="AK100" s="249"/>
      <c r="AL100" s="77">
        <f>MAX($G$100:$G$107)/AH100</f>
        <v>81.818181818181813</v>
      </c>
      <c r="AM100" s="73"/>
      <c r="AN100" s="108"/>
      <c r="AO100" s="286"/>
      <c r="AP100" s="303"/>
      <c r="AQ100" s="286"/>
      <c r="AR100" s="303"/>
      <c r="AS100" s="286"/>
      <c r="AT100" s="303"/>
      <c r="AU100" s="79">
        <v>0</v>
      </c>
      <c r="CG100" s="75" t="s">
        <v>120</v>
      </c>
      <c r="CH100" s="75"/>
      <c r="CI100" s="75"/>
      <c r="CJ100" s="75" t="s">
        <v>120</v>
      </c>
      <c r="CK100" s="75"/>
      <c r="CL100" s="123" t="s">
        <v>164</v>
      </c>
      <c r="CM100" s="123" t="s">
        <v>166</v>
      </c>
      <c r="CN100" s="123" t="s">
        <v>168</v>
      </c>
      <c r="CO100" s="123" t="s">
        <v>170</v>
      </c>
      <c r="CP100" s="123" t="s">
        <v>174</v>
      </c>
      <c r="CQ100" s="75"/>
      <c r="CR100" s="123" t="s">
        <v>164</v>
      </c>
      <c r="CS100" s="123" t="s">
        <v>166</v>
      </c>
      <c r="CT100" s="123" t="s">
        <v>168</v>
      </c>
      <c r="CU100" s="123" t="s">
        <v>170</v>
      </c>
      <c r="CV100" s="123" t="s">
        <v>174</v>
      </c>
    </row>
    <row r="101" spans="1:100" x14ac:dyDescent="0.25">
      <c r="A101">
        <v>2004</v>
      </c>
      <c r="B101">
        <f t="shared" si="24"/>
        <v>36</v>
      </c>
      <c r="C101" s="109">
        <v>38022</v>
      </c>
      <c r="D101">
        <v>11</v>
      </c>
      <c r="E101" t="e">
        <f>VLOOKUP(C101,#REF!,2)</f>
        <v>#REF!</v>
      </c>
      <c r="G101" s="77">
        <v>6</v>
      </c>
      <c r="AB101" s="61">
        <f>0.5*(B101-B100)*G101</f>
        <v>105</v>
      </c>
      <c r="AD101">
        <f t="shared" si="33"/>
        <v>45</v>
      </c>
      <c r="AG101" s="171">
        <f t="shared" si="16"/>
        <v>10.909090909090908</v>
      </c>
      <c r="AH101" s="108">
        <f t="shared" si="25"/>
        <v>0.55000000000000004</v>
      </c>
      <c r="AI101" s="108"/>
      <c r="AJ101" s="108">
        <f>0.5*($B101-$B100)*$AG101</f>
        <v>190.90909090909091</v>
      </c>
      <c r="AK101" s="249"/>
      <c r="AL101" s="77">
        <f t="shared" ref="AL101:AL107" si="34">MAX($G$100:$G$107)/AH101</f>
        <v>81.818181818181813</v>
      </c>
      <c r="AM101" s="73"/>
      <c r="AN101" s="108"/>
      <c r="AO101" s="286"/>
      <c r="AP101" s="303"/>
      <c r="AQ101" s="286"/>
      <c r="AR101" s="303"/>
      <c r="AS101" s="286"/>
      <c r="AT101" s="303"/>
      <c r="AU101" s="79">
        <f t="shared" ref="AU101:AU106" si="35">G101/AW101</f>
        <v>24</v>
      </c>
      <c r="AV101">
        <f t="shared" ref="AV101:AV106" si="36">B101/D101</f>
        <v>3.2727272727272729</v>
      </c>
      <c r="AW101">
        <f t="shared" ref="AW101:AW106" si="37">VLOOKUP(AV101,$CB$102:$CC$271,2)</f>
        <v>0.25</v>
      </c>
      <c r="AZ101">
        <f>0.5*(B101-B100)*AU101</f>
        <v>420</v>
      </c>
      <c r="BB101" s="117">
        <f t="shared" ref="BB101:BB106" si="38">B101</f>
        <v>36</v>
      </c>
      <c r="BC101" s="117">
        <f t="shared" ref="BC101:BC106" si="39">G101/AD101</f>
        <v>0.13333333333333333</v>
      </c>
      <c r="BD101" s="117">
        <v>0.13333333333333333</v>
      </c>
      <c r="BE101" s="112">
        <v>2</v>
      </c>
      <c r="BF101" s="112">
        <f>2/5</f>
        <v>0.4</v>
      </c>
      <c r="BG101" s="112">
        <v>3</v>
      </c>
      <c r="BH101" s="112">
        <f>3/6</f>
        <v>0.5</v>
      </c>
      <c r="BI101" s="112">
        <v>1</v>
      </c>
      <c r="BJ101" s="112">
        <f>1/6</f>
        <v>0.16666666666666666</v>
      </c>
      <c r="CB101" t="s">
        <v>132</v>
      </c>
      <c r="CC101" t="s">
        <v>131</v>
      </c>
      <c r="CG101">
        <v>1</v>
      </c>
      <c r="CH101">
        <f t="shared" ref="CH101:CH132" si="40">CG101*0.009</f>
        <v>8.9999999999999993E-3</v>
      </c>
      <c r="CJ101">
        <v>1</v>
      </c>
      <c r="CL101">
        <f>((0.003)*CJ101)</f>
        <v>3.0000000000000001E-3</v>
      </c>
      <c r="CM101">
        <f>((-0.0039)*CJ101)+0.8478</f>
        <v>0.84389999999999998</v>
      </c>
      <c r="CN101">
        <f t="shared" ref="CN101:CN132" si="41">(0.0002*CJ101)+0.1914</f>
        <v>0.19159999999999999</v>
      </c>
      <c r="CO101">
        <f>CL101+CM101</f>
        <v>0.84689999999999999</v>
      </c>
      <c r="CP101">
        <f>CM101+CN101</f>
        <v>1.0354999999999999</v>
      </c>
      <c r="CR101">
        <v>0.21</v>
      </c>
      <c r="CS101">
        <v>0.5</v>
      </c>
      <c r="CT101">
        <v>0.28000000000000003</v>
      </c>
      <c r="CU101">
        <f>CR101+CS101</f>
        <v>0.71</v>
      </c>
      <c r="CV101">
        <f>CS101+CT101</f>
        <v>0.78</v>
      </c>
    </row>
    <row r="102" spans="1:100" x14ac:dyDescent="0.25">
      <c r="A102">
        <v>2004</v>
      </c>
      <c r="B102">
        <f t="shared" si="24"/>
        <v>62</v>
      </c>
      <c r="C102" s="109">
        <v>38048</v>
      </c>
      <c r="D102">
        <v>6.6</v>
      </c>
      <c r="E102" t="e">
        <f>VLOOKUP(C102,#REF!,2)</f>
        <v>#REF!</v>
      </c>
      <c r="G102" s="77">
        <v>21</v>
      </c>
      <c r="AB102" s="61">
        <f>((B102-B101)*G102)-((B102-B101)*(G102-G101)*0.5)</f>
        <v>351</v>
      </c>
      <c r="AD102">
        <f t="shared" si="33"/>
        <v>45</v>
      </c>
      <c r="AG102" s="171">
        <f t="shared" si="16"/>
        <v>38.18181818181818</v>
      </c>
      <c r="AH102" s="108">
        <f t="shared" si="25"/>
        <v>0.55000000000000004</v>
      </c>
      <c r="AI102" s="108"/>
      <c r="AJ102" s="108">
        <f>((B102-B101)*AG102)-((B102-B101)*(AG102-AG101)*0.5)</f>
        <v>638.18181818181802</v>
      </c>
      <c r="AK102" s="249"/>
      <c r="AL102" s="77">
        <f t="shared" si="34"/>
        <v>81.818181818181813</v>
      </c>
      <c r="AM102" s="73"/>
      <c r="AN102" s="108"/>
      <c r="AO102" s="286"/>
      <c r="AP102" s="303"/>
      <c r="AQ102" s="286"/>
      <c r="AR102" s="303"/>
      <c r="AS102" s="286"/>
      <c r="AT102" s="303"/>
      <c r="AU102" s="79">
        <f t="shared" si="35"/>
        <v>43.899991638096878</v>
      </c>
      <c r="AV102">
        <f t="shared" si="36"/>
        <v>9.3939393939393945</v>
      </c>
      <c r="AW102">
        <f t="shared" si="37"/>
        <v>0.47835999999999945</v>
      </c>
      <c r="AZ102">
        <f>((B102-B101)*AU102)-((B102-B101)*(AU102-AU101)*0.5)</f>
        <v>882.69989129525948</v>
      </c>
      <c r="BB102" s="117">
        <f t="shared" si="38"/>
        <v>62</v>
      </c>
      <c r="BC102" s="117">
        <f t="shared" si="39"/>
        <v>0.46666666666666667</v>
      </c>
      <c r="BD102" s="117">
        <v>0.53333333333333333</v>
      </c>
      <c r="BE102" s="112">
        <v>1</v>
      </c>
      <c r="BF102" s="112">
        <f>1/21</f>
        <v>4.7619047619047616E-2</v>
      </c>
      <c r="BG102" s="112">
        <v>20</v>
      </c>
      <c r="BH102" s="112">
        <f>20/21</f>
        <v>0.95238095238095233</v>
      </c>
      <c r="BI102" s="112">
        <v>0</v>
      </c>
      <c r="BJ102" s="112">
        <f>0/21</f>
        <v>0</v>
      </c>
      <c r="CB102">
        <v>0</v>
      </c>
      <c r="CC102">
        <v>0.25</v>
      </c>
      <c r="CG102">
        <v>2</v>
      </c>
      <c r="CH102">
        <f t="shared" si="40"/>
        <v>1.7999999999999999E-2</v>
      </c>
      <c r="CJ102">
        <v>2</v>
      </c>
      <c r="CL102">
        <f t="shared" ref="CL102:CL165" si="42">((0.003)*CJ102)</f>
        <v>6.0000000000000001E-3</v>
      </c>
      <c r="CM102">
        <f t="shared" ref="CM102:CM165" si="43">((-0.0039)*CJ102)+0.8478</f>
        <v>0.84</v>
      </c>
      <c r="CN102">
        <f t="shared" si="41"/>
        <v>0.1918</v>
      </c>
      <c r="CO102">
        <f t="shared" ref="CO102:CO165" si="44">CL102+CM102</f>
        <v>0.84599999999999997</v>
      </c>
      <c r="CP102">
        <f t="shared" ref="CP102:CP165" si="45">CM102+CN102</f>
        <v>1.0318000000000001</v>
      </c>
      <c r="CR102">
        <v>0.21</v>
      </c>
      <c r="CS102">
        <v>0.5</v>
      </c>
      <c r="CT102">
        <v>0.28000000000000003</v>
      </c>
      <c r="CU102">
        <f t="shared" ref="CU102:CU165" si="46">CR102+CS102</f>
        <v>0.71</v>
      </c>
      <c r="CV102">
        <f t="shared" ref="CV102:CV165" si="47">CS102+CT102</f>
        <v>0.78</v>
      </c>
    </row>
    <row r="103" spans="1:100" x14ac:dyDescent="0.25">
      <c r="A103">
        <v>2004</v>
      </c>
      <c r="B103">
        <f t="shared" si="24"/>
        <v>83</v>
      </c>
      <c r="C103" s="109">
        <v>38069</v>
      </c>
      <c r="D103">
        <v>9.1</v>
      </c>
      <c r="E103" t="e">
        <f>VLOOKUP(C103,#REF!,2)</f>
        <v>#REF!</v>
      </c>
      <c r="G103" s="77">
        <v>24</v>
      </c>
      <c r="AB103" s="61">
        <f>((B103-B102)*G103)-((B103-B102)*(G103-G102)*0.5)</f>
        <v>472.5</v>
      </c>
      <c r="AD103">
        <f t="shared" si="33"/>
        <v>45</v>
      </c>
      <c r="AG103" s="171">
        <f t="shared" si="16"/>
        <v>43.636363636363633</v>
      </c>
      <c r="AH103" s="108">
        <f t="shared" si="25"/>
        <v>0.55000000000000004</v>
      </c>
      <c r="AI103" s="108"/>
      <c r="AJ103" s="108">
        <f>((B103-B102)*AG103)-((B103-B102)*(AG103-AG102)*0.5)</f>
        <v>859.09090909090901</v>
      </c>
      <c r="AK103" s="249"/>
      <c r="AL103" s="77">
        <f t="shared" si="34"/>
        <v>81.818181818181813</v>
      </c>
      <c r="AM103" s="73"/>
      <c r="AN103" s="108"/>
      <c r="AO103" s="286"/>
      <c r="AP103" s="303"/>
      <c r="AQ103" s="286"/>
      <c r="AR103" s="303"/>
      <c r="AS103" s="286"/>
      <c r="AT103" s="303"/>
      <c r="AU103" s="79">
        <f t="shared" si="35"/>
        <v>51.293011327206727</v>
      </c>
      <c r="AV103">
        <f t="shared" si="36"/>
        <v>9.1208791208791204</v>
      </c>
      <c r="AW103">
        <f t="shared" si="37"/>
        <v>0.46789999999999943</v>
      </c>
      <c r="AZ103">
        <f>((B103-B102)*AU103)-((B103-B102)*(AU103-AU102)*0.5)</f>
        <v>999.52653113568795</v>
      </c>
      <c r="BB103" s="117">
        <f t="shared" si="38"/>
        <v>83</v>
      </c>
      <c r="BC103" s="117">
        <f t="shared" si="39"/>
        <v>0.53333333333333333</v>
      </c>
      <c r="BD103" s="117">
        <v>0.53333333333333333</v>
      </c>
      <c r="BE103" s="112">
        <v>6</v>
      </c>
      <c r="BF103" s="112">
        <f>6/24</f>
        <v>0.25</v>
      </c>
      <c r="BG103" s="112">
        <v>13</v>
      </c>
      <c r="BH103" s="112">
        <f>13/24</f>
        <v>0.54166666666666663</v>
      </c>
      <c r="BI103" s="112">
        <v>5</v>
      </c>
      <c r="BJ103" s="112">
        <f>5/24</f>
        <v>0.20833333333333334</v>
      </c>
      <c r="CB103">
        <v>0.2</v>
      </c>
      <c r="CC103">
        <v>0.25</v>
      </c>
      <c r="CG103">
        <v>3</v>
      </c>
      <c r="CH103">
        <f t="shared" si="40"/>
        <v>2.6999999999999996E-2</v>
      </c>
      <c r="CJ103">
        <v>3</v>
      </c>
      <c r="CL103">
        <f t="shared" si="42"/>
        <v>9.0000000000000011E-3</v>
      </c>
      <c r="CM103">
        <f t="shared" si="43"/>
        <v>0.83609999999999995</v>
      </c>
      <c r="CN103">
        <f t="shared" si="41"/>
        <v>0.19199999999999998</v>
      </c>
      <c r="CO103">
        <f t="shared" si="44"/>
        <v>0.84509999999999996</v>
      </c>
      <c r="CP103">
        <f t="shared" si="45"/>
        <v>1.0281</v>
      </c>
      <c r="CR103">
        <v>0.21</v>
      </c>
      <c r="CS103">
        <v>0.5</v>
      </c>
      <c r="CT103">
        <v>0.28000000000000003</v>
      </c>
      <c r="CU103">
        <f t="shared" si="46"/>
        <v>0.71</v>
      </c>
      <c r="CV103">
        <f t="shared" si="47"/>
        <v>0.78</v>
      </c>
    </row>
    <row r="104" spans="1:100" x14ac:dyDescent="0.25">
      <c r="A104">
        <v>2004</v>
      </c>
      <c r="B104">
        <f t="shared" si="24"/>
        <v>105</v>
      </c>
      <c r="C104" s="109">
        <v>38091</v>
      </c>
      <c r="D104">
        <v>11.6</v>
      </c>
      <c r="E104" t="e">
        <f>VLOOKUP(C104,#REF!,2)</f>
        <v>#REF!</v>
      </c>
      <c r="G104" s="77">
        <v>45</v>
      </c>
      <c r="AB104" s="61">
        <f>((B104-B103)*G104)-((B104-B103)*(G104-G103)*0.5)</f>
        <v>759</v>
      </c>
      <c r="AD104">
        <f t="shared" si="33"/>
        <v>45</v>
      </c>
      <c r="AG104" s="171">
        <f t="shared" si="16"/>
        <v>81.818181818181813</v>
      </c>
      <c r="AH104" s="108">
        <f t="shared" si="25"/>
        <v>0.55000000000000004</v>
      </c>
      <c r="AI104" s="108"/>
      <c r="AJ104" s="108">
        <f>((B104-B103)*AG104)-((B104-B103)*(AG104-AG103)*0.5)</f>
        <v>1380</v>
      </c>
      <c r="AK104" s="249"/>
      <c r="AL104" s="77">
        <f t="shared" si="34"/>
        <v>81.818181818181813</v>
      </c>
      <c r="AM104" s="73"/>
      <c r="AN104" s="108"/>
      <c r="AO104" s="286"/>
      <c r="AP104" s="303"/>
      <c r="AQ104" s="286"/>
      <c r="AR104" s="303"/>
      <c r="AS104" s="286"/>
      <c r="AT104" s="303"/>
      <c r="AU104" s="79">
        <f t="shared" si="35"/>
        <v>96.174396238512614</v>
      </c>
      <c r="AV104">
        <f t="shared" si="36"/>
        <v>9.0517241379310356</v>
      </c>
      <c r="AW104">
        <f t="shared" si="37"/>
        <v>0.46789999999999943</v>
      </c>
      <c r="AZ104">
        <f>((B104-B103)*AU104)-((B104-B103)*(AU104-AU103)*0.5)</f>
        <v>1622.1414832229129</v>
      </c>
      <c r="BB104" s="117">
        <f t="shared" si="38"/>
        <v>105</v>
      </c>
      <c r="BC104" s="117">
        <f t="shared" si="39"/>
        <v>1</v>
      </c>
      <c r="BD104" s="117">
        <v>1</v>
      </c>
      <c r="BE104" s="112">
        <v>15</v>
      </c>
      <c r="BF104" s="112">
        <f>15/38</f>
        <v>0.39473684210526316</v>
      </c>
      <c r="BG104" s="112">
        <v>12</v>
      </c>
      <c r="BH104" s="112">
        <f>12/38</f>
        <v>0.31578947368421051</v>
      </c>
      <c r="BI104" s="112">
        <v>11</v>
      </c>
      <c r="BJ104" s="112">
        <f>11/38</f>
        <v>0.28947368421052633</v>
      </c>
      <c r="BK104" s="112">
        <v>7</v>
      </c>
      <c r="CB104">
        <v>0.4</v>
      </c>
      <c r="CC104">
        <v>0.25</v>
      </c>
      <c r="CG104">
        <v>4</v>
      </c>
      <c r="CH104">
        <f t="shared" si="40"/>
        <v>3.5999999999999997E-2</v>
      </c>
      <c r="CJ104">
        <v>4</v>
      </c>
      <c r="CL104">
        <f t="shared" si="42"/>
        <v>1.2E-2</v>
      </c>
      <c r="CM104">
        <f t="shared" si="43"/>
        <v>0.83220000000000005</v>
      </c>
      <c r="CN104">
        <f t="shared" si="41"/>
        <v>0.19219999999999998</v>
      </c>
      <c r="CO104">
        <f t="shared" si="44"/>
        <v>0.84420000000000006</v>
      </c>
      <c r="CP104">
        <f t="shared" si="45"/>
        <v>1.0244</v>
      </c>
      <c r="CR104">
        <v>0.21</v>
      </c>
      <c r="CS104">
        <v>0.5</v>
      </c>
      <c r="CT104">
        <v>0.28000000000000003</v>
      </c>
      <c r="CU104">
        <f t="shared" si="46"/>
        <v>0.71</v>
      </c>
      <c r="CV104">
        <f t="shared" si="47"/>
        <v>0.78</v>
      </c>
    </row>
    <row r="105" spans="1:100" x14ac:dyDescent="0.25">
      <c r="A105">
        <v>2004</v>
      </c>
      <c r="B105">
        <f t="shared" si="24"/>
        <v>120</v>
      </c>
      <c r="C105" s="109">
        <v>38106</v>
      </c>
      <c r="D105">
        <v>8.9600000000000009</v>
      </c>
      <c r="E105" t="e">
        <f>VLOOKUP(C105,#REF!,2)</f>
        <v>#REF!</v>
      </c>
      <c r="G105" s="77">
        <v>41</v>
      </c>
      <c r="AB105" s="61">
        <f>((B105-B104)*G105)-((B105-B104)*(G105-G104)*0.5)</f>
        <v>645</v>
      </c>
      <c r="AD105">
        <f t="shared" si="33"/>
        <v>45</v>
      </c>
      <c r="AG105" s="171">
        <f t="shared" si="16"/>
        <v>74.545454545454533</v>
      </c>
      <c r="AH105" s="108">
        <f t="shared" si="25"/>
        <v>0.55000000000000004</v>
      </c>
      <c r="AI105" s="108"/>
      <c r="AJ105" s="108">
        <f>((B105-B104)*AG105)-((B105-B104)*(AG105-AG104)*0.5)</f>
        <v>1172.7272727272725</v>
      </c>
      <c r="AK105" s="249"/>
      <c r="AL105" s="77">
        <f t="shared" si="34"/>
        <v>81.818181818181813</v>
      </c>
      <c r="AM105" s="73"/>
      <c r="AN105" s="108"/>
      <c r="AO105" s="286"/>
      <c r="AP105" s="303"/>
      <c r="AQ105" s="286"/>
      <c r="AR105" s="303"/>
      <c r="AS105" s="286"/>
      <c r="AT105" s="303"/>
      <c r="AU105" s="79">
        <f t="shared" si="35"/>
        <v>59.631159462446917</v>
      </c>
      <c r="AV105">
        <f t="shared" si="36"/>
        <v>13.392857142857142</v>
      </c>
      <c r="AW105">
        <f t="shared" si="37"/>
        <v>0.68755999999999995</v>
      </c>
      <c r="AZ105">
        <f>((B105-B104)*AU105)-((B105-B104)*(AU105-AU104)*0.5)</f>
        <v>1168.5416677571966</v>
      </c>
      <c r="BB105" s="117">
        <f t="shared" si="38"/>
        <v>120</v>
      </c>
      <c r="BC105" s="117">
        <f t="shared" si="39"/>
        <v>0.91111111111111109</v>
      </c>
      <c r="BE105" s="112">
        <v>4</v>
      </c>
      <c r="BF105" s="112">
        <f>4/40</f>
        <v>0.1</v>
      </c>
      <c r="BG105" s="112">
        <v>28</v>
      </c>
      <c r="BH105" s="112">
        <f>28/40</f>
        <v>0.7</v>
      </c>
      <c r="BI105" s="112">
        <v>8</v>
      </c>
      <c r="BJ105" s="112">
        <f>8/40</f>
        <v>0.2</v>
      </c>
      <c r="BK105" s="112">
        <v>1</v>
      </c>
      <c r="CB105">
        <v>0.6</v>
      </c>
      <c r="CC105">
        <v>0.25</v>
      </c>
      <c r="CG105">
        <v>5</v>
      </c>
      <c r="CH105">
        <f t="shared" si="40"/>
        <v>4.4999999999999998E-2</v>
      </c>
      <c r="CJ105">
        <v>5</v>
      </c>
      <c r="CL105">
        <f t="shared" si="42"/>
        <v>1.4999999999999999E-2</v>
      </c>
      <c r="CM105">
        <f t="shared" si="43"/>
        <v>0.82830000000000004</v>
      </c>
      <c r="CN105">
        <f t="shared" si="41"/>
        <v>0.19239999999999999</v>
      </c>
      <c r="CO105">
        <f t="shared" si="44"/>
        <v>0.84330000000000005</v>
      </c>
      <c r="CP105">
        <f t="shared" si="45"/>
        <v>1.0206999999999999</v>
      </c>
      <c r="CR105">
        <v>0.21</v>
      </c>
      <c r="CS105">
        <v>0.5</v>
      </c>
      <c r="CT105">
        <v>0.28000000000000003</v>
      </c>
      <c r="CU105">
        <f t="shared" si="46"/>
        <v>0.71</v>
      </c>
      <c r="CV105">
        <f t="shared" si="47"/>
        <v>0.78</v>
      </c>
    </row>
    <row r="106" spans="1:100" x14ac:dyDescent="0.25">
      <c r="A106">
        <v>2004</v>
      </c>
      <c r="B106">
        <f t="shared" si="24"/>
        <v>135</v>
      </c>
      <c r="C106" s="109">
        <v>38121</v>
      </c>
      <c r="D106">
        <v>5.93</v>
      </c>
      <c r="E106" t="e">
        <f>VLOOKUP(C106,#REF!,2)</f>
        <v>#REF!</v>
      </c>
      <c r="G106" s="77">
        <v>26</v>
      </c>
      <c r="AB106" s="61">
        <f>((B106-B105)*G106)-((B106-B105)*(G106-G105)*0.5)</f>
        <v>502.5</v>
      </c>
      <c r="AD106">
        <f>AD107</f>
        <v>45</v>
      </c>
      <c r="AG106" s="171">
        <f t="shared" si="16"/>
        <v>47.272727272727266</v>
      </c>
      <c r="AH106" s="108">
        <f t="shared" si="25"/>
        <v>0.55000000000000004</v>
      </c>
      <c r="AI106" s="108"/>
      <c r="AJ106" s="108">
        <f>((B106-B105)*AG106)-((B106-B105)*(AG106-AG105)*0.5)</f>
        <v>913.63636363636351</v>
      </c>
      <c r="AK106" s="249"/>
      <c r="AL106" s="77">
        <f t="shared" si="34"/>
        <v>81.818181818181813</v>
      </c>
      <c r="AM106" s="73"/>
      <c r="AN106" s="108"/>
      <c r="AO106" s="286"/>
      <c r="AP106" s="303"/>
      <c r="AQ106" s="286"/>
      <c r="AR106" s="303"/>
      <c r="AS106" s="286"/>
      <c r="AT106" s="303"/>
      <c r="AU106" s="79">
        <f t="shared" si="35"/>
        <v>26</v>
      </c>
      <c r="AV106">
        <f t="shared" si="36"/>
        <v>22.765598650927487</v>
      </c>
      <c r="AW106">
        <f t="shared" si="37"/>
        <v>1</v>
      </c>
      <c r="AZ106">
        <f>((B106-B105)*AU106)-((B106-B105)*(AU106-AU105)*0.5)</f>
        <v>642.23369596835187</v>
      </c>
      <c r="BB106" s="117">
        <f t="shared" si="38"/>
        <v>135</v>
      </c>
      <c r="BC106" s="117">
        <f t="shared" si="39"/>
        <v>0.57777777777777772</v>
      </c>
      <c r="BE106" s="112">
        <v>4</v>
      </c>
      <c r="BF106" s="112">
        <f>4/26</f>
        <v>0.15384615384615385</v>
      </c>
      <c r="BG106" s="112">
        <v>7</v>
      </c>
      <c r="BH106" s="112">
        <f>7/26</f>
        <v>0.26923076923076922</v>
      </c>
      <c r="BI106" s="112">
        <v>15</v>
      </c>
      <c r="BJ106" s="112">
        <f>15/26</f>
        <v>0.57692307692307687</v>
      </c>
      <c r="CB106">
        <v>0.8</v>
      </c>
      <c r="CC106">
        <v>0.25</v>
      </c>
      <c r="CG106">
        <v>6</v>
      </c>
      <c r="CH106">
        <f t="shared" si="40"/>
        <v>5.3999999999999992E-2</v>
      </c>
      <c r="CJ106">
        <v>6</v>
      </c>
      <c r="CL106">
        <f t="shared" si="42"/>
        <v>1.8000000000000002E-2</v>
      </c>
      <c r="CM106">
        <f t="shared" si="43"/>
        <v>0.82440000000000002</v>
      </c>
      <c r="CN106">
        <f t="shared" si="41"/>
        <v>0.19259999999999999</v>
      </c>
      <c r="CO106">
        <f t="shared" si="44"/>
        <v>0.84240000000000004</v>
      </c>
      <c r="CP106">
        <f t="shared" si="45"/>
        <v>1.0169999999999999</v>
      </c>
      <c r="CR106">
        <v>0.21</v>
      </c>
      <c r="CS106">
        <v>0.5</v>
      </c>
      <c r="CT106">
        <v>0.28000000000000003</v>
      </c>
      <c r="CU106">
        <f t="shared" si="46"/>
        <v>0.71</v>
      </c>
      <c r="CV106">
        <f t="shared" si="47"/>
        <v>0.78</v>
      </c>
    </row>
    <row r="107" spans="1:100" x14ac:dyDescent="0.25">
      <c r="A107">
        <v>2004</v>
      </c>
      <c r="B107">
        <f t="shared" si="24"/>
        <v>152</v>
      </c>
      <c r="C107" s="109">
        <v>38138</v>
      </c>
      <c r="E107" t="e">
        <f>VLOOKUP(C107,#REF!,2)</f>
        <v>#REF!</v>
      </c>
      <c r="G107" s="77">
        <v>0</v>
      </c>
      <c r="AB107" s="61">
        <f>0.5*(B107-B106)*G106</f>
        <v>221</v>
      </c>
      <c r="AC107">
        <f>AF107/$AF$1</f>
        <v>61.12</v>
      </c>
      <c r="AD107">
        <f>MAX(G100:G107)</f>
        <v>45</v>
      </c>
      <c r="AE107" s="73">
        <f>AC107/AD107</f>
        <v>1.3582222222222222</v>
      </c>
      <c r="AF107" s="279">
        <f>SUM(AB101:AB107)</f>
        <v>3056</v>
      </c>
      <c r="AG107" s="171">
        <f t="shared" si="16"/>
        <v>0</v>
      </c>
      <c r="AH107" s="108">
        <f t="shared" si="25"/>
        <v>0.55000000000000004</v>
      </c>
      <c r="AI107" s="108"/>
      <c r="AJ107" s="108">
        <f>0.5*(B107-B106)*AG106</f>
        <v>401.81818181818176</v>
      </c>
      <c r="AK107" s="248">
        <f>AN107/$AN$1</f>
        <v>111.12727272727273</v>
      </c>
      <c r="AL107" s="77">
        <f t="shared" si="34"/>
        <v>81.818181818181813</v>
      </c>
      <c r="AM107" s="73">
        <f>AK107/AL107</f>
        <v>1.3582222222222222</v>
      </c>
      <c r="AN107" s="108">
        <f>SUM(AJ101:AJ107)</f>
        <v>5556.363636363636</v>
      </c>
      <c r="AO107" s="286">
        <v>334</v>
      </c>
      <c r="AP107" s="303">
        <v>3</v>
      </c>
      <c r="AQ107" s="290">
        <f>AO107</f>
        <v>334</v>
      </c>
      <c r="AR107" s="303">
        <v>132</v>
      </c>
      <c r="AS107" s="286">
        <v>2.93</v>
      </c>
      <c r="AT107" s="303">
        <f>AL107*$AS$177</f>
        <v>0</v>
      </c>
      <c r="AU107" s="79">
        <v>0</v>
      </c>
      <c r="AX107">
        <f>BA107/$BA$1</f>
        <v>119.12286538758818</v>
      </c>
      <c r="AY107" s="61">
        <f>AX107/AD107</f>
        <v>2.6471747863908486</v>
      </c>
      <c r="AZ107">
        <f>0.5*(B107-B106)*AU106</f>
        <v>221</v>
      </c>
      <c r="BA107" s="78">
        <f>SUM(AZ100:AZ107)</f>
        <v>5956.1432693794086</v>
      </c>
      <c r="CB107">
        <v>1</v>
      </c>
      <c r="CC107">
        <v>0.25</v>
      </c>
      <c r="CG107">
        <v>7</v>
      </c>
      <c r="CH107">
        <f t="shared" si="40"/>
        <v>6.3E-2</v>
      </c>
      <c r="CJ107">
        <v>7</v>
      </c>
      <c r="CL107">
        <f t="shared" si="42"/>
        <v>2.1000000000000001E-2</v>
      </c>
      <c r="CM107">
        <f t="shared" si="43"/>
        <v>0.82050000000000001</v>
      </c>
      <c r="CN107">
        <f t="shared" si="41"/>
        <v>0.1928</v>
      </c>
      <c r="CO107">
        <f t="shared" si="44"/>
        <v>0.84150000000000003</v>
      </c>
      <c r="CP107">
        <f t="shared" si="45"/>
        <v>1.0133000000000001</v>
      </c>
      <c r="CR107">
        <v>0.21</v>
      </c>
      <c r="CS107">
        <v>0.5</v>
      </c>
      <c r="CT107">
        <v>0.28000000000000003</v>
      </c>
      <c r="CU107">
        <f t="shared" si="46"/>
        <v>0.71</v>
      </c>
      <c r="CV107">
        <f t="shared" si="47"/>
        <v>0.78</v>
      </c>
    </row>
    <row r="108" spans="1:100" s="172" customFormat="1" x14ac:dyDescent="0.25">
      <c r="A108" s="172">
        <v>2005</v>
      </c>
      <c r="B108" s="172">
        <f t="shared" si="24"/>
        <v>1</v>
      </c>
      <c r="C108" s="191">
        <v>38353</v>
      </c>
      <c r="E108" s="172" t="e">
        <f>VLOOKUP(C108,#REF!,2)</f>
        <v>#REF!</v>
      </c>
      <c r="G108" s="192">
        <v>0</v>
      </c>
      <c r="H108" s="193"/>
      <c r="P108" s="194"/>
      <c r="Q108" s="193"/>
      <c r="Y108" s="195"/>
      <c r="AA108" s="195"/>
      <c r="AB108" s="183"/>
      <c r="AD108" s="172">
        <f>AD109</f>
        <v>61</v>
      </c>
      <c r="AE108" s="206"/>
      <c r="AF108" s="196"/>
      <c r="AG108" s="171">
        <f t="shared" si="16"/>
        <v>0</v>
      </c>
      <c r="AH108" s="174">
        <f t="shared" si="25"/>
        <v>0.55000000000000004</v>
      </c>
      <c r="AI108" s="174"/>
      <c r="AJ108" s="174"/>
      <c r="AK108" s="249"/>
      <c r="AL108" s="192">
        <f t="shared" ref="AL108:AL113" si="48">MAX($G$108:$G$113)/AH108</f>
        <v>110.90909090909091</v>
      </c>
      <c r="AM108" s="206"/>
      <c r="AN108" s="174"/>
      <c r="AO108" s="286"/>
      <c r="AP108" s="303"/>
      <c r="AQ108" s="286"/>
      <c r="AR108" s="303"/>
      <c r="AS108" s="286"/>
      <c r="AT108" s="303"/>
      <c r="AU108" s="197">
        <v>0</v>
      </c>
      <c r="AY108" s="183"/>
      <c r="BA108" s="196"/>
      <c r="CB108" s="172">
        <v>1.2</v>
      </c>
      <c r="CC108" s="172">
        <v>0.25</v>
      </c>
      <c r="CG108" s="172">
        <v>8</v>
      </c>
      <c r="CH108" s="172">
        <f t="shared" si="40"/>
        <v>7.1999999999999995E-2</v>
      </c>
      <c r="CJ108" s="172">
        <v>8</v>
      </c>
      <c r="CL108" s="172">
        <f t="shared" si="42"/>
        <v>2.4E-2</v>
      </c>
      <c r="CM108" s="172">
        <f t="shared" si="43"/>
        <v>0.81659999999999999</v>
      </c>
      <c r="CN108" s="172">
        <f t="shared" si="41"/>
        <v>0.19299999999999998</v>
      </c>
      <c r="CO108" s="172">
        <f t="shared" si="44"/>
        <v>0.84060000000000001</v>
      </c>
      <c r="CP108" s="172">
        <f t="shared" si="45"/>
        <v>1.0096000000000001</v>
      </c>
      <c r="CR108" s="172">
        <v>0.21</v>
      </c>
      <c r="CS108" s="172">
        <v>0.5</v>
      </c>
      <c r="CT108" s="172">
        <v>0.28000000000000003</v>
      </c>
      <c r="CU108" s="172">
        <f t="shared" si="46"/>
        <v>0.71</v>
      </c>
      <c r="CV108" s="172">
        <f t="shared" si="47"/>
        <v>0.78</v>
      </c>
    </row>
    <row r="109" spans="1:100" s="172" customFormat="1" x14ac:dyDescent="0.25">
      <c r="A109" s="172">
        <v>2005</v>
      </c>
      <c r="B109" s="172">
        <f t="shared" si="24"/>
        <v>42</v>
      </c>
      <c r="C109" s="191">
        <v>38394</v>
      </c>
      <c r="D109" s="172">
        <v>12</v>
      </c>
      <c r="E109" s="172" t="e">
        <f>VLOOKUP(C109,#REF!,2)</f>
        <v>#REF!</v>
      </c>
      <c r="G109" s="192">
        <v>9</v>
      </c>
      <c r="H109" s="193"/>
      <c r="P109" s="194"/>
      <c r="Q109" s="193"/>
      <c r="Y109" s="195"/>
      <c r="AA109" s="195"/>
      <c r="AB109" s="183">
        <f>0.5*(B109-B108)*G109</f>
        <v>184.5</v>
      </c>
      <c r="AD109" s="172">
        <f>AD110</f>
        <v>61</v>
      </c>
      <c r="AE109" s="206"/>
      <c r="AF109" s="196"/>
      <c r="AG109" s="171">
        <f t="shared" si="16"/>
        <v>16.363636363636363</v>
      </c>
      <c r="AH109" s="174">
        <f t="shared" si="25"/>
        <v>0.55000000000000004</v>
      </c>
      <c r="AI109" s="174"/>
      <c r="AJ109" s="174">
        <v>86.36363636363636</v>
      </c>
      <c r="AK109" s="249"/>
      <c r="AL109" s="192">
        <f t="shared" si="48"/>
        <v>110.90909090909091</v>
      </c>
      <c r="AM109" s="206"/>
      <c r="AN109" s="174"/>
      <c r="AO109" s="286"/>
      <c r="AP109" s="303"/>
      <c r="AQ109" s="286"/>
      <c r="AR109" s="303"/>
      <c r="AS109" s="286"/>
      <c r="AT109" s="303"/>
      <c r="AU109" s="197">
        <f t="shared" ref="AU109:AU118" si="49">G109/AW109</f>
        <v>36</v>
      </c>
      <c r="AV109" s="172">
        <f>B109/D109</f>
        <v>3.5</v>
      </c>
      <c r="AW109" s="172">
        <f t="shared" ref="AW109:AW118" si="50">VLOOKUP(AV109,$CB$102:$CC$271,2)</f>
        <v>0.25</v>
      </c>
      <c r="AY109" s="183"/>
      <c r="AZ109" s="172">
        <f>0.5*(B109-B108)*AU109</f>
        <v>738</v>
      </c>
      <c r="BA109" s="196"/>
      <c r="BB109" s="172">
        <f>B109</f>
        <v>42</v>
      </c>
      <c r="BC109" s="172">
        <f>G109/AD109</f>
        <v>0.14754098360655737</v>
      </c>
      <c r="BD109" s="172">
        <v>0.14754098360655737</v>
      </c>
      <c r="BE109" s="172">
        <v>1</v>
      </c>
      <c r="BF109" s="172">
        <f>1/9</f>
        <v>0.1111111111111111</v>
      </c>
      <c r="BG109" s="172">
        <v>6</v>
      </c>
      <c r="BH109" s="172">
        <f>6/9</f>
        <v>0.66666666666666663</v>
      </c>
      <c r="BI109" s="172">
        <v>1</v>
      </c>
      <c r="BJ109" s="172">
        <f>1/9</f>
        <v>0.1111111111111111</v>
      </c>
      <c r="CB109" s="172">
        <v>1.4</v>
      </c>
      <c r="CC109" s="172">
        <v>0.25</v>
      </c>
      <c r="CG109" s="172">
        <v>9</v>
      </c>
      <c r="CH109" s="172">
        <f t="shared" si="40"/>
        <v>8.0999999999999989E-2</v>
      </c>
      <c r="CJ109" s="172">
        <v>9</v>
      </c>
      <c r="CL109" s="172">
        <f t="shared" si="42"/>
        <v>2.7E-2</v>
      </c>
      <c r="CM109" s="172">
        <f t="shared" si="43"/>
        <v>0.81269999999999998</v>
      </c>
      <c r="CN109" s="172">
        <f t="shared" si="41"/>
        <v>0.19319999999999998</v>
      </c>
      <c r="CO109" s="172">
        <f t="shared" si="44"/>
        <v>0.8397</v>
      </c>
      <c r="CP109" s="172">
        <f t="shared" si="45"/>
        <v>1.0059</v>
      </c>
      <c r="CR109" s="172">
        <v>0.21</v>
      </c>
      <c r="CS109" s="172">
        <v>0.5</v>
      </c>
      <c r="CT109" s="172">
        <v>0.28000000000000003</v>
      </c>
      <c r="CU109" s="172">
        <f t="shared" si="46"/>
        <v>0.71</v>
      </c>
      <c r="CV109" s="172">
        <f t="shared" si="47"/>
        <v>0.78</v>
      </c>
    </row>
    <row r="110" spans="1:100" s="172" customFormat="1" x14ac:dyDescent="0.25">
      <c r="A110" s="172">
        <v>2005</v>
      </c>
      <c r="B110" s="172">
        <f t="shared" si="24"/>
        <v>67</v>
      </c>
      <c r="C110" s="191">
        <v>38419</v>
      </c>
      <c r="D110" s="172">
        <v>10.4</v>
      </c>
      <c r="E110" s="172" t="e">
        <f>VLOOKUP(C110,#REF!,2)</f>
        <v>#REF!</v>
      </c>
      <c r="G110" s="192">
        <v>32</v>
      </c>
      <c r="H110" s="193"/>
      <c r="P110" s="194"/>
      <c r="Q110" s="193"/>
      <c r="Y110" s="195"/>
      <c r="AA110" s="195"/>
      <c r="AB110" s="183">
        <f>((B110-B109)*G110)-((B110-B109)*(G110-G109)*0.5)</f>
        <v>512.5</v>
      </c>
      <c r="AD110" s="172">
        <f>AD111</f>
        <v>61</v>
      </c>
      <c r="AE110" s="206"/>
      <c r="AF110" s="196"/>
      <c r="AG110" s="171">
        <f t="shared" si="16"/>
        <v>58.18181818181818</v>
      </c>
      <c r="AH110" s="174">
        <f t="shared" si="25"/>
        <v>0.55000000000000004</v>
      </c>
      <c r="AI110" s="174"/>
      <c r="AJ110" s="174">
        <f>((B110-B109)*AG110)-((B110-B109)*(AG110-AG109)*0.5)</f>
        <v>931.81818181818187</v>
      </c>
      <c r="AK110" s="249"/>
      <c r="AL110" s="192">
        <f t="shared" si="48"/>
        <v>110.90909090909091</v>
      </c>
      <c r="AM110" s="206"/>
      <c r="AN110" s="174"/>
      <c r="AO110" s="286"/>
      <c r="AP110" s="303"/>
      <c r="AQ110" s="286"/>
      <c r="AR110" s="303"/>
      <c r="AS110" s="286"/>
      <c r="AT110" s="303"/>
      <c r="AU110" s="197">
        <f t="shared" si="49"/>
        <v>96.408773198361047</v>
      </c>
      <c r="AV110" s="172">
        <f>B110/D110</f>
        <v>6.4423076923076925</v>
      </c>
      <c r="AW110" s="172">
        <f t="shared" si="50"/>
        <v>0.33191999999999999</v>
      </c>
      <c r="AY110" s="183"/>
      <c r="AZ110" s="172">
        <f>((B110-B109)*AU110)-((B110-B109)*(AU110-AU109)*0.5)</f>
        <v>1655.1096649795131</v>
      </c>
      <c r="BA110" s="196"/>
      <c r="BB110" s="172">
        <f>B110</f>
        <v>67</v>
      </c>
      <c r="BC110" s="172">
        <f>G110/AD110</f>
        <v>0.52459016393442626</v>
      </c>
      <c r="BD110" s="172">
        <v>0.52459016393442626</v>
      </c>
      <c r="BE110" s="172">
        <v>3</v>
      </c>
      <c r="BF110" s="172">
        <f>3/32</f>
        <v>9.375E-2</v>
      </c>
      <c r="BG110" s="172">
        <v>18</v>
      </c>
      <c r="BH110" s="172">
        <f>18/32</f>
        <v>0.5625</v>
      </c>
      <c r="BI110" s="172">
        <v>10</v>
      </c>
      <c r="BJ110" s="172">
        <f>10/32</f>
        <v>0.3125</v>
      </c>
      <c r="CB110" s="172">
        <v>1.6</v>
      </c>
      <c r="CC110" s="172">
        <v>0.25</v>
      </c>
      <c r="CG110" s="172">
        <v>10</v>
      </c>
      <c r="CH110" s="172">
        <f t="shared" si="40"/>
        <v>0.09</v>
      </c>
      <c r="CJ110" s="172">
        <v>10</v>
      </c>
      <c r="CL110" s="172">
        <f t="shared" si="42"/>
        <v>0.03</v>
      </c>
      <c r="CM110" s="172">
        <f t="shared" si="43"/>
        <v>0.80879999999999996</v>
      </c>
      <c r="CN110" s="172">
        <f t="shared" si="41"/>
        <v>0.19339999999999999</v>
      </c>
      <c r="CO110" s="172">
        <f t="shared" si="44"/>
        <v>0.83879999999999999</v>
      </c>
      <c r="CP110" s="172">
        <f t="shared" si="45"/>
        <v>1.0022</v>
      </c>
      <c r="CR110" s="172">
        <v>0.21</v>
      </c>
      <c r="CS110" s="172">
        <v>0.5</v>
      </c>
      <c r="CT110" s="172">
        <v>0.28000000000000003</v>
      </c>
      <c r="CU110" s="172">
        <f t="shared" si="46"/>
        <v>0.71</v>
      </c>
      <c r="CV110" s="172">
        <f t="shared" si="47"/>
        <v>0.78</v>
      </c>
    </row>
    <row r="111" spans="1:100" s="172" customFormat="1" x14ac:dyDescent="0.25">
      <c r="A111" s="172">
        <v>2005</v>
      </c>
      <c r="B111" s="172">
        <f t="shared" si="24"/>
        <v>105</v>
      </c>
      <c r="C111" s="191">
        <v>38457</v>
      </c>
      <c r="D111" s="172">
        <v>14.63</v>
      </c>
      <c r="E111" s="172" t="e">
        <f>VLOOKUP(C111,#REF!,2)</f>
        <v>#REF!</v>
      </c>
      <c r="G111" s="192">
        <v>61</v>
      </c>
      <c r="H111" s="193"/>
      <c r="P111" s="194"/>
      <c r="Q111" s="193"/>
      <c r="Y111" s="195"/>
      <c r="AA111" s="195"/>
      <c r="AB111" s="183">
        <f>((B111-B110)*G111)-((B111-B110)*(G111-G110)*0.5)</f>
        <v>1767</v>
      </c>
      <c r="AD111" s="172">
        <f>AD112</f>
        <v>61</v>
      </c>
      <c r="AE111" s="206"/>
      <c r="AF111" s="196"/>
      <c r="AG111" s="171">
        <f t="shared" si="16"/>
        <v>110.90909090909091</v>
      </c>
      <c r="AH111" s="174">
        <f t="shared" si="25"/>
        <v>0.55000000000000004</v>
      </c>
      <c r="AI111" s="174"/>
      <c r="AJ111" s="174">
        <f>((B111-B110)*AG111)-((B111-B110)*(AG111-AG110)*0.5)</f>
        <v>3212.7272727272721</v>
      </c>
      <c r="AK111" s="249"/>
      <c r="AL111" s="192">
        <f t="shared" si="48"/>
        <v>110.90909090909091</v>
      </c>
      <c r="AM111" s="206"/>
      <c r="AN111" s="174"/>
      <c r="AO111" s="286"/>
      <c r="AP111" s="303"/>
      <c r="AQ111" s="286"/>
      <c r="AR111" s="303"/>
      <c r="AS111" s="286"/>
      <c r="AT111" s="303"/>
      <c r="AU111" s="197">
        <f t="shared" si="49"/>
        <v>167.90531241398318</v>
      </c>
      <c r="AV111" s="172">
        <f>B111/D111</f>
        <v>7.1770334928229662</v>
      </c>
      <c r="AW111" s="172">
        <f t="shared" si="50"/>
        <v>0.36329999999999946</v>
      </c>
      <c r="AY111" s="183"/>
      <c r="AZ111" s="172">
        <f>((B111-B110)*AU111)-((B111-B110)*(AU111-AU110)*0.5)</f>
        <v>5021.9676266345405</v>
      </c>
      <c r="BA111" s="196"/>
      <c r="BB111" s="172">
        <f>B111</f>
        <v>105</v>
      </c>
      <c r="BC111" s="172">
        <f>G111/AD111</f>
        <v>1</v>
      </c>
      <c r="BD111" s="172">
        <v>1</v>
      </c>
      <c r="BE111" s="172">
        <v>11</v>
      </c>
      <c r="BF111" s="172">
        <f>11/59</f>
        <v>0.1864406779661017</v>
      </c>
      <c r="BG111" s="172">
        <v>29</v>
      </c>
      <c r="BH111" s="172">
        <f>29/59</f>
        <v>0.49152542372881358</v>
      </c>
      <c r="BI111" s="172">
        <v>19</v>
      </c>
      <c r="BJ111" s="172">
        <f>19/59</f>
        <v>0.32203389830508472</v>
      </c>
      <c r="BK111" s="172">
        <v>2</v>
      </c>
      <c r="CB111" s="172">
        <v>1.8</v>
      </c>
      <c r="CC111" s="172">
        <v>0.25</v>
      </c>
      <c r="CG111" s="172">
        <v>11</v>
      </c>
      <c r="CH111" s="172">
        <f t="shared" si="40"/>
        <v>9.8999999999999991E-2</v>
      </c>
      <c r="CJ111" s="172">
        <v>11</v>
      </c>
      <c r="CL111" s="172">
        <f t="shared" si="42"/>
        <v>3.3000000000000002E-2</v>
      </c>
      <c r="CM111" s="172">
        <f t="shared" si="43"/>
        <v>0.80489999999999995</v>
      </c>
      <c r="CN111" s="172">
        <f t="shared" si="41"/>
        <v>0.19359999999999999</v>
      </c>
      <c r="CO111" s="172">
        <f t="shared" si="44"/>
        <v>0.83789999999999998</v>
      </c>
      <c r="CP111" s="172">
        <f t="shared" si="45"/>
        <v>0.99849999999999994</v>
      </c>
      <c r="CR111" s="172">
        <v>0.21</v>
      </c>
      <c r="CS111" s="172">
        <v>0.5</v>
      </c>
      <c r="CT111" s="172">
        <v>0.28000000000000003</v>
      </c>
      <c r="CU111" s="172">
        <f t="shared" si="46"/>
        <v>0.71</v>
      </c>
      <c r="CV111" s="172">
        <f t="shared" si="47"/>
        <v>0.78</v>
      </c>
    </row>
    <row r="112" spans="1:100" s="172" customFormat="1" x14ac:dyDescent="0.25">
      <c r="A112" s="172">
        <v>2005</v>
      </c>
      <c r="B112" s="172">
        <f t="shared" si="24"/>
        <v>119</v>
      </c>
      <c r="C112" s="191">
        <v>38471</v>
      </c>
      <c r="D112" s="172">
        <v>16.3</v>
      </c>
      <c r="E112" s="172" t="e">
        <f>VLOOKUP(C112,#REF!,2)</f>
        <v>#REF!</v>
      </c>
      <c r="G112" s="192">
        <v>47</v>
      </c>
      <c r="H112" s="193"/>
      <c r="P112" s="194"/>
      <c r="Q112" s="193"/>
      <c r="Y112" s="195"/>
      <c r="AA112" s="195"/>
      <c r="AB112" s="183">
        <f>((B112-B111)*G112)-((B112-B111)*(G112-G111)*0.5)</f>
        <v>756</v>
      </c>
      <c r="AD112" s="172">
        <f>AD113</f>
        <v>61</v>
      </c>
      <c r="AE112" s="206"/>
      <c r="AF112" s="196"/>
      <c r="AG112" s="171">
        <f t="shared" si="16"/>
        <v>85.454545454545453</v>
      </c>
      <c r="AH112" s="174">
        <f t="shared" si="25"/>
        <v>0.55000000000000004</v>
      </c>
      <c r="AI112" s="174"/>
      <c r="AJ112" s="174">
        <f>((B112-B111)*AG112)-((B112-B111)*(AG112-AG111)*0.5)</f>
        <v>1374.5454545454545</v>
      </c>
      <c r="AK112" s="249"/>
      <c r="AL112" s="192">
        <f t="shared" si="48"/>
        <v>110.90909090909091</v>
      </c>
      <c r="AM112" s="206"/>
      <c r="AN112" s="174"/>
      <c r="AO112" s="286"/>
      <c r="AP112" s="303"/>
      <c r="AQ112" s="286"/>
      <c r="AR112" s="303"/>
      <c r="AS112" s="286"/>
      <c r="AT112" s="303"/>
      <c r="AU112" s="197">
        <f t="shared" si="49"/>
        <v>125.74914383561661</v>
      </c>
      <c r="AV112" s="172">
        <f>B112/D112</f>
        <v>7.3006134969325149</v>
      </c>
      <c r="AW112" s="172">
        <f t="shared" si="50"/>
        <v>0.37375999999999948</v>
      </c>
      <c r="AY112" s="183"/>
      <c r="AZ112" s="172">
        <f>((B112-B111)*AU112)-((B112-B111)*(AU112-AU111)*0.5)</f>
        <v>2055.5811937471985</v>
      </c>
      <c r="BA112" s="196"/>
      <c r="BB112" s="172">
        <f>B112</f>
        <v>119</v>
      </c>
      <c r="BC112" s="172">
        <f>G112/AD112</f>
        <v>0.77049180327868849</v>
      </c>
      <c r="BE112" s="172">
        <v>10</v>
      </c>
      <c r="BF112" s="172">
        <f>10/45</f>
        <v>0.22222222222222221</v>
      </c>
      <c r="BG112" s="172">
        <v>16</v>
      </c>
      <c r="BH112" s="172">
        <f>16/45</f>
        <v>0.35555555555555557</v>
      </c>
      <c r="BI112" s="172">
        <v>19</v>
      </c>
      <c r="BJ112" s="172">
        <f>19/45</f>
        <v>0.42222222222222222</v>
      </c>
      <c r="BK112" s="172">
        <v>2</v>
      </c>
      <c r="CB112" s="172">
        <v>2</v>
      </c>
      <c r="CC112" s="172">
        <v>0.25</v>
      </c>
      <c r="CG112" s="172">
        <v>12</v>
      </c>
      <c r="CH112" s="172">
        <f t="shared" si="40"/>
        <v>0.10799999999999998</v>
      </c>
      <c r="CJ112" s="172">
        <v>12</v>
      </c>
      <c r="CL112" s="172">
        <f t="shared" si="42"/>
        <v>3.6000000000000004E-2</v>
      </c>
      <c r="CM112" s="172">
        <f t="shared" si="43"/>
        <v>0.80100000000000005</v>
      </c>
      <c r="CN112" s="172">
        <f t="shared" si="41"/>
        <v>0.1938</v>
      </c>
      <c r="CO112" s="172">
        <f t="shared" si="44"/>
        <v>0.83700000000000008</v>
      </c>
      <c r="CP112" s="172">
        <f t="shared" si="45"/>
        <v>0.99480000000000002</v>
      </c>
      <c r="CR112" s="172">
        <v>0.21</v>
      </c>
      <c r="CS112" s="172">
        <v>0.5</v>
      </c>
      <c r="CT112" s="172">
        <v>0.28000000000000003</v>
      </c>
      <c r="CU112" s="172">
        <f t="shared" si="46"/>
        <v>0.71</v>
      </c>
      <c r="CV112" s="172">
        <f t="shared" si="47"/>
        <v>0.78</v>
      </c>
    </row>
    <row r="113" spans="1:100" s="172" customFormat="1" x14ac:dyDescent="0.25">
      <c r="A113" s="172">
        <v>2005</v>
      </c>
      <c r="B113" s="172">
        <f t="shared" si="24"/>
        <v>151</v>
      </c>
      <c r="C113" s="191">
        <v>38503</v>
      </c>
      <c r="E113" s="172" t="e">
        <f>VLOOKUP(C113,#REF!,2)</f>
        <v>#REF!</v>
      </c>
      <c r="G113" s="192">
        <v>0</v>
      </c>
      <c r="H113" s="193"/>
      <c r="P113" s="194"/>
      <c r="Q113" s="193"/>
      <c r="Y113" s="195"/>
      <c r="AA113" s="195"/>
      <c r="AB113" s="183">
        <f>0.5*(B113-B112)*G112</f>
        <v>752</v>
      </c>
      <c r="AC113" s="172">
        <f>AF113/$AF$1</f>
        <v>79.44</v>
      </c>
      <c r="AD113" s="172">
        <f>MAX(G108:G113)</f>
        <v>61</v>
      </c>
      <c r="AE113" s="206">
        <f>AC113/AD113</f>
        <v>1.302295081967213</v>
      </c>
      <c r="AF113" s="280">
        <f>SUM(AB108:AB113)</f>
        <v>3972</v>
      </c>
      <c r="AG113" s="171">
        <f t="shared" si="16"/>
        <v>0</v>
      </c>
      <c r="AH113" s="174">
        <f t="shared" si="25"/>
        <v>0.55000000000000004</v>
      </c>
      <c r="AI113" s="174"/>
      <c r="AJ113" s="174">
        <f>0.5*(B113-B112)*AG112</f>
        <v>1367.2727272727273</v>
      </c>
      <c r="AK113" s="249">
        <f>AN113/$AN$1</f>
        <v>139.45454545454541</v>
      </c>
      <c r="AL113" s="192">
        <f t="shared" si="48"/>
        <v>110.90909090909091</v>
      </c>
      <c r="AM113" s="206">
        <f>AK113/AL113</f>
        <v>1.2573770491803276</v>
      </c>
      <c r="AN113" s="174">
        <f>SUM(AJ108:AJ113)</f>
        <v>6972.7272727272712</v>
      </c>
      <c r="AO113" s="286">
        <v>157</v>
      </c>
      <c r="AP113" s="303">
        <v>2.64</v>
      </c>
      <c r="AQ113" s="290">
        <f>AO113</f>
        <v>157</v>
      </c>
      <c r="AR113" s="303">
        <v>161</v>
      </c>
      <c r="AS113" s="286">
        <v>2.64</v>
      </c>
      <c r="AT113" s="303">
        <f>AL113*$AS$177</f>
        <v>0</v>
      </c>
      <c r="AU113" s="197">
        <f t="shared" si="49"/>
        <v>0</v>
      </c>
      <c r="AW113" s="172">
        <f t="shared" si="50"/>
        <v>0.25</v>
      </c>
      <c r="AX113" s="172">
        <f>BA113/$BA$1</f>
        <v>229.65289573462235</v>
      </c>
      <c r="AY113" s="183">
        <f>AX113/AD113</f>
        <v>3.7648015694200385</v>
      </c>
      <c r="AZ113" s="172">
        <f>0.5*(B113-B112)*AU112</f>
        <v>2011.9863013698657</v>
      </c>
      <c r="BA113" s="196">
        <f>SUM(AZ108:AZ113)</f>
        <v>11482.644786731118</v>
      </c>
      <c r="CB113" s="172">
        <v>2.2000000000000002</v>
      </c>
      <c r="CC113" s="172">
        <v>0.25</v>
      </c>
      <c r="CG113" s="172">
        <v>13</v>
      </c>
      <c r="CH113" s="172">
        <f t="shared" si="40"/>
        <v>0.11699999999999999</v>
      </c>
      <c r="CJ113" s="172">
        <v>13</v>
      </c>
      <c r="CL113" s="172">
        <f t="shared" si="42"/>
        <v>3.9E-2</v>
      </c>
      <c r="CM113" s="172">
        <f t="shared" si="43"/>
        <v>0.79710000000000003</v>
      </c>
      <c r="CN113" s="172">
        <f t="shared" si="41"/>
        <v>0.19399999999999998</v>
      </c>
      <c r="CO113" s="172">
        <f t="shared" si="44"/>
        <v>0.83610000000000007</v>
      </c>
      <c r="CP113" s="172">
        <f t="shared" si="45"/>
        <v>0.99109999999999998</v>
      </c>
      <c r="CR113" s="172">
        <v>0.21</v>
      </c>
      <c r="CS113" s="172">
        <v>0.5</v>
      </c>
      <c r="CT113" s="172">
        <v>0.28000000000000003</v>
      </c>
      <c r="CU113" s="172">
        <f t="shared" si="46"/>
        <v>0.71</v>
      </c>
      <c r="CV113" s="172">
        <f t="shared" si="47"/>
        <v>0.78</v>
      </c>
    </row>
    <row r="114" spans="1:100" x14ac:dyDescent="0.25">
      <c r="A114">
        <v>2006</v>
      </c>
      <c r="B114">
        <f t="shared" si="24"/>
        <v>1</v>
      </c>
      <c r="C114" s="109">
        <v>38718</v>
      </c>
      <c r="E114" t="e">
        <f>VLOOKUP(C114,#REF!,2)</f>
        <v>#REF!</v>
      </c>
      <c r="G114" s="77">
        <v>0</v>
      </c>
      <c r="AD114">
        <f>AD115</f>
        <v>62</v>
      </c>
      <c r="AG114" s="171">
        <f t="shared" si="16"/>
        <v>0</v>
      </c>
      <c r="AH114" s="108">
        <f t="shared" si="25"/>
        <v>0.55000000000000004</v>
      </c>
      <c r="AI114" s="108"/>
      <c r="AJ114" s="108"/>
      <c r="AK114" s="249"/>
      <c r="AL114" s="77">
        <f t="shared" ref="AL114:AL119" si="51">MAX($G$114:$G$119)/AH114</f>
        <v>112.72727272727272</v>
      </c>
      <c r="AM114" s="73"/>
      <c r="AN114" s="108"/>
      <c r="AO114" s="286"/>
      <c r="AP114" s="303"/>
      <c r="AQ114" s="286"/>
      <c r="AR114" s="303"/>
      <c r="AS114" s="286"/>
      <c r="AT114" s="303"/>
      <c r="AU114" s="79">
        <f t="shared" si="49"/>
        <v>0</v>
      </c>
      <c r="AW114">
        <f t="shared" si="50"/>
        <v>0.25</v>
      </c>
      <c r="CB114">
        <v>2.4</v>
      </c>
      <c r="CC114">
        <v>0.25</v>
      </c>
      <c r="CG114">
        <v>14</v>
      </c>
      <c r="CH114">
        <f t="shared" si="40"/>
        <v>0.126</v>
      </c>
      <c r="CJ114">
        <v>14</v>
      </c>
      <c r="CL114">
        <f t="shared" si="42"/>
        <v>4.2000000000000003E-2</v>
      </c>
      <c r="CM114">
        <f t="shared" si="43"/>
        <v>0.79320000000000002</v>
      </c>
      <c r="CN114">
        <f t="shared" si="41"/>
        <v>0.19419999999999998</v>
      </c>
      <c r="CO114">
        <f t="shared" si="44"/>
        <v>0.83520000000000005</v>
      </c>
      <c r="CP114">
        <f t="shared" si="45"/>
        <v>0.98740000000000006</v>
      </c>
      <c r="CR114">
        <v>0.21</v>
      </c>
      <c r="CS114">
        <v>0.5</v>
      </c>
      <c r="CT114">
        <v>0.28000000000000003</v>
      </c>
      <c r="CU114">
        <f t="shared" si="46"/>
        <v>0.71</v>
      </c>
      <c r="CV114">
        <f t="shared" si="47"/>
        <v>0.78</v>
      </c>
    </row>
    <row r="115" spans="1:100" x14ac:dyDescent="0.25">
      <c r="A115">
        <v>2006</v>
      </c>
      <c r="B115">
        <f t="shared" si="24"/>
        <v>46</v>
      </c>
      <c r="C115" s="109">
        <v>38763</v>
      </c>
      <c r="D115">
        <v>6.8</v>
      </c>
      <c r="E115" t="e">
        <f>VLOOKUP(C115,#REF!,2)</f>
        <v>#REF!</v>
      </c>
      <c r="G115" s="77">
        <v>32</v>
      </c>
      <c r="AB115" s="61">
        <f>0.5*(B115-B114)*G115</f>
        <v>720</v>
      </c>
      <c r="AD115">
        <f>AD116</f>
        <v>62</v>
      </c>
      <c r="AG115" s="171">
        <f t="shared" ref="AG115:AG146" si="52">G115/AH115</f>
        <v>58.18181818181818</v>
      </c>
      <c r="AH115" s="108">
        <f t="shared" si="25"/>
        <v>0.55000000000000004</v>
      </c>
      <c r="AI115" s="108"/>
      <c r="AJ115" s="108">
        <f>0.5*($B115-$B114)*$AG115</f>
        <v>1309.090909090909</v>
      </c>
      <c r="AK115" s="249"/>
      <c r="AL115" s="77">
        <f t="shared" si="51"/>
        <v>112.72727272727272</v>
      </c>
      <c r="AM115" s="73"/>
      <c r="AN115" s="108"/>
      <c r="AO115" s="286"/>
      <c r="AP115" s="303"/>
      <c r="AQ115" s="286"/>
      <c r="AR115" s="303"/>
      <c r="AS115" s="286"/>
      <c r="AT115" s="303"/>
      <c r="AU115" s="79">
        <f t="shared" si="49"/>
        <v>93.46340323617035</v>
      </c>
      <c r="AV115">
        <f>B115/D115</f>
        <v>6.7647058823529411</v>
      </c>
      <c r="AW115">
        <f t="shared" si="50"/>
        <v>0.34237999999999996</v>
      </c>
      <c r="AZ115">
        <f>0.5*(B115-B114)*AU115</f>
        <v>2102.926572813833</v>
      </c>
      <c r="BB115" s="117">
        <f>B115</f>
        <v>46</v>
      </c>
      <c r="BC115" s="117">
        <f>G115/AD115</f>
        <v>0.5161290322580645</v>
      </c>
      <c r="BD115" s="117">
        <v>0.5161290322580645</v>
      </c>
      <c r="BE115" s="112">
        <v>12</v>
      </c>
      <c r="BF115" s="112">
        <f>12/32</f>
        <v>0.375</v>
      </c>
      <c r="BG115" s="112">
        <v>17</v>
      </c>
      <c r="BH115" s="112">
        <f>17/32</f>
        <v>0.53125</v>
      </c>
      <c r="BI115" s="112">
        <v>3</v>
      </c>
      <c r="BJ115" s="112">
        <f>3/32</f>
        <v>9.375E-2</v>
      </c>
      <c r="CB115">
        <v>2.6</v>
      </c>
      <c r="CC115">
        <v>0.25</v>
      </c>
      <c r="CG115">
        <v>15</v>
      </c>
      <c r="CH115">
        <f t="shared" si="40"/>
        <v>0.13499999999999998</v>
      </c>
      <c r="CJ115">
        <v>15</v>
      </c>
      <c r="CL115">
        <f t="shared" si="42"/>
        <v>4.4999999999999998E-2</v>
      </c>
      <c r="CM115">
        <f t="shared" si="43"/>
        <v>0.7893</v>
      </c>
      <c r="CN115">
        <f t="shared" si="41"/>
        <v>0.19439999999999999</v>
      </c>
      <c r="CO115">
        <f t="shared" si="44"/>
        <v>0.83430000000000004</v>
      </c>
      <c r="CP115">
        <f t="shared" si="45"/>
        <v>0.98370000000000002</v>
      </c>
      <c r="CR115">
        <v>0.21</v>
      </c>
      <c r="CS115">
        <v>0.5</v>
      </c>
      <c r="CT115">
        <v>0.28000000000000003</v>
      </c>
      <c r="CU115">
        <f t="shared" si="46"/>
        <v>0.71</v>
      </c>
      <c r="CV115">
        <f t="shared" si="47"/>
        <v>0.78</v>
      </c>
    </row>
    <row r="116" spans="1:100" x14ac:dyDescent="0.25">
      <c r="A116">
        <v>2006</v>
      </c>
      <c r="B116">
        <f t="shared" si="24"/>
        <v>80</v>
      </c>
      <c r="C116" s="109">
        <v>38797</v>
      </c>
      <c r="D116">
        <v>5</v>
      </c>
      <c r="E116" t="e">
        <f>VLOOKUP(C116,#REF!,2)</f>
        <v>#REF!</v>
      </c>
      <c r="G116" s="77">
        <v>59</v>
      </c>
      <c r="AB116" s="61">
        <f>((B116-B115)*G116)-((B116-B115)*(G116-G115)*0.5)</f>
        <v>1547</v>
      </c>
      <c r="AD116">
        <f>AD117</f>
        <v>62</v>
      </c>
      <c r="AG116" s="171">
        <f t="shared" si="52"/>
        <v>107.27272727272727</v>
      </c>
      <c r="AH116" s="108">
        <f t="shared" si="25"/>
        <v>0.55000000000000004</v>
      </c>
      <c r="AI116" s="108"/>
      <c r="AJ116" s="108">
        <f>((B116-B115)*AG116)-((B116-B115)*(AG116-AG115)*0.5)</f>
        <v>2812.7272727272725</v>
      </c>
      <c r="AK116" s="249"/>
      <c r="AL116" s="77">
        <f t="shared" si="51"/>
        <v>112.72727272727272</v>
      </c>
      <c r="AM116" s="73"/>
      <c r="AN116" s="108"/>
      <c r="AO116" s="286"/>
      <c r="AP116" s="303"/>
      <c r="AQ116" s="286"/>
      <c r="AR116" s="303"/>
      <c r="AS116" s="286"/>
      <c r="AT116" s="303"/>
      <c r="AU116" s="79">
        <f t="shared" si="49"/>
        <v>71.64193603225101</v>
      </c>
      <c r="AV116">
        <f>B116/D116</f>
        <v>16</v>
      </c>
      <c r="AW116">
        <f t="shared" si="50"/>
        <v>0.82354000000000005</v>
      </c>
      <c r="AZ116">
        <f>((B116-B115)*G116)-((B116-B115)*(AW116-G115)*0.5)</f>
        <v>2535.99982</v>
      </c>
      <c r="BB116" s="117">
        <f>B116</f>
        <v>80</v>
      </c>
      <c r="BC116" s="117">
        <f>G116/AD116</f>
        <v>0.95161290322580649</v>
      </c>
      <c r="BD116" s="117">
        <v>0.95161290322580649</v>
      </c>
      <c r="BE116" s="112">
        <v>17</v>
      </c>
      <c r="BF116" s="112">
        <f>17/59</f>
        <v>0.28813559322033899</v>
      </c>
      <c r="BG116" s="112">
        <v>32</v>
      </c>
      <c r="BH116" s="112">
        <f>32/59</f>
        <v>0.5423728813559322</v>
      </c>
      <c r="BI116" s="112">
        <v>10</v>
      </c>
      <c r="BJ116" s="112">
        <f>10/59</f>
        <v>0.16949152542372881</v>
      </c>
      <c r="CB116">
        <v>2.8</v>
      </c>
      <c r="CC116">
        <v>0.25</v>
      </c>
      <c r="CG116">
        <v>16</v>
      </c>
      <c r="CH116">
        <f t="shared" si="40"/>
        <v>0.14399999999999999</v>
      </c>
      <c r="CJ116">
        <v>16</v>
      </c>
      <c r="CL116">
        <f t="shared" si="42"/>
        <v>4.8000000000000001E-2</v>
      </c>
      <c r="CM116">
        <f t="shared" si="43"/>
        <v>0.78539999999999999</v>
      </c>
      <c r="CN116">
        <f t="shared" si="41"/>
        <v>0.1946</v>
      </c>
      <c r="CO116">
        <f t="shared" si="44"/>
        <v>0.83340000000000003</v>
      </c>
      <c r="CP116">
        <f t="shared" si="45"/>
        <v>0.98</v>
      </c>
      <c r="CR116">
        <v>0.21</v>
      </c>
      <c r="CS116">
        <v>0.5</v>
      </c>
      <c r="CT116">
        <v>0.28000000000000003</v>
      </c>
      <c r="CU116">
        <f t="shared" si="46"/>
        <v>0.71</v>
      </c>
      <c r="CV116">
        <f t="shared" si="47"/>
        <v>0.78</v>
      </c>
    </row>
    <row r="117" spans="1:100" x14ac:dyDescent="0.25">
      <c r="A117">
        <v>2006</v>
      </c>
      <c r="B117">
        <f t="shared" si="24"/>
        <v>103</v>
      </c>
      <c r="C117" s="109">
        <v>38820</v>
      </c>
      <c r="D117">
        <v>12</v>
      </c>
      <c r="E117" t="e">
        <f>VLOOKUP(C117,#REF!,2)</f>
        <v>#REF!</v>
      </c>
      <c r="G117" s="77">
        <v>62</v>
      </c>
      <c r="AB117" s="61">
        <f>((B117-B116)*G117)-((B117-B116)*(G117-G116)*0.5)</f>
        <v>1391.5</v>
      </c>
      <c r="AD117">
        <f>AD118</f>
        <v>62</v>
      </c>
      <c r="AG117" s="171">
        <f t="shared" si="52"/>
        <v>112.72727272727272</v>
      </c>
      <c r="AH117" s="108">
        <f t="shared" si="25"/>
        <v>0.55000000000000004</v>
      </c>
      <c r="AI117" s="108"/>
      <c r="AJ117" s="108">
        <f>((B117-B116)*AG117)-((B117-B116)*(AG117-AG116)*0.5)</f>
        <v>2530</v>
      </c>
      <c r="AK117" s="249"/>
      <c r="AL117" s="77">
        <f t="shared" si="51"/>
        <v>112.72727272727272</v>
      </c>
      <c r="AM117" s="73"/>
      <c r="AN117" s="108"/>
      <c r="AO117" s="286"/>
      <c r="AP117" s="303"/>
      <c r="AQ117" s="286"/>
      <c r="AR117" s="303"/>
      <c r="AS117" s="286"/>
      <c r="AT117" s="303"/>
      <c r="AU117" s="79">
        <f t="shared" si="49"/>
        <v>142.03243837624871</v>
      </c>
      <c r="AV117">
        <f>B117/D117</f>
        <v>8.5833333333333339</v>
      </c>
      <c r="AW117">
        <f t="shared" si="50"/>
        <v>0.43651999999999941</v>
      </c>
      <c r="AZ117">
        <f>((B117-B116)*G117)-((B117-B116)*(AW117-G116)*0.5)</f>
        <v>2099.48002</v>
      </c>
      <c r="BB117" s="117">
        <f>B117</f>
        <v>103</v>
      </c>
      <c r="BC117" s="117">
        <f>G117/AD117</f>
        <v>1</v>
      </c>
      <c r="BD117" s="117">
        <v>1</v>
      </c>
      <c r="BE117" s="112">
        <v>6</v>
      </c>
      <c r="BF117" s="112">
        <f>6/62</f>
        <v>9.6774193548387094E-2</v>
      </c>
      <c r="BG117" s="112">
        <v>25</v>
      </c>
      <c r="BH117" s="112">
        <f>25/62</f>
        <v>0.40322580645161288</v>
      </c>
      <c r="BI117" s="112">
        <v>24</v>
      </c>
      <c r="BJ117" s="112">
        <f>24/62</f>
        <v>0.38709677419354838</v>
      </c>
      <c r="CB117">
        <v>3</v>
      </c>
      <c r="CC117">
        <v>0.25</v>
      </c>
      <c r="CG117">
        <v>17</v>
      </c>
      <c r="CH117">
        <f t="shared" si="40"/>
        <v>0.153</v>
      </c>
      <c r="CJ117">
        <v>17</v>
      </c>
      <c r="CL117">
        <f t="shared" si="42"/>
        <v>5.1000000000000004E-2</v>
      </c>
      <c r="CM117">
        <f t="shared" si="43"/>
        <v>0.78149999999999997</v>
      </c>
      <c r="CN117">
        <f t="shared" si="41"/>
        <v>0.19479999999999997</v>
      </c>
      <c r="CO117">
        <f t="shared" si="44"/>
        <v>0.83250000000000002</v>
      </c>
      <c r="CP117">
        <f t="shared" si="45"/>
        <v>0.97629999999999995</v>
      </c>
      <c r="CR117">
        <v>0.21</v>
      </c>
      <c r="CS117">
        <v>0.5</v>
      </c>
      <c r="CT117">
        <v>0.28000000000000003</v>
      </c>
      <c r="CU117">
        <f t="shared" si="46"/>
        <v>0.71</v>
      </c>
      <c r="CV117">
        <f t="shared" si="47"/>
        <v>0.78</v>
      </c>
    </row>
    <row r="118" spans="1:100" x14ac:dyDescent="0.25">
      <c r="A118">
        <v>2006</v>
      </c>
      <c r="B118">
        <f t="shared" si="24"/>
        <v>125</v>
      </c>
      <c r="C118" s="109">
        <v>38842</v>
      </c>
      <c r="D118">
        <v>8</v>
      </c>
      <c r="E118" t="e">
        <f>VLOOKUP(C118,#REF!,2)</f>
        <v>#REF!</v>
      </c>
      <c r="G118" s="77">
        <v>62</v>
      </c>
      <c r="AB118" s="61">
        <f>((B118-B117)*G118)-((B118-B117)*(G118-G117)*0.5)</f>
        <v>1364</v>
      </c>
      <c r="AD118">
        <f>AD119</f>
        <v>62</v>
      </c>
      <c r="AG118" s="171">
        <f t="shared" si="52"/>
        <v>112.72727272727272</v>
      </c>
      <c r="AH118" s="108">
        <f t="shared" si="25"/>
        <v>0.55000000000000004</v>
      </c>
      <c r="AI118" s="108"/>
      <c r="AJ118" s="108">
        <f>((B118-B117)*AG118)-((B118-B117)*(AG118-AG117)*0.5)</f>
        <v>2480</v>
      </c>
      <c r="AK118" s="249"/>
      <c r="AL118" s="77">
        <f t="shared" si="51"/>
        <v>112.72727272727272</v>
      </c>
      <c r="AM118" s="73"/>
      <c r="AN118" s="108"/>
      <c r="AO118" s="286"/>
      <c r="AP118" s="303"/>
      <c r="AQ118" s="291" t="s">
        <v>216</v>
      </c>
      <c r="AR118" s="303"/>
      <c r="AS118" s="286"/>
      <c r="AT118" s="303"/>
      <c r="AU118" s="79">
        <f t="shared" si="49"/>
        <v>76.253259211885677</v>
      </c>
      <c r="AV118">
        <f>B118/D118</f>
        <v>15.625</v>
      </c>
      <c r="AW118">
        <f t="shared" si="50"/>
        <v>0.81307999999999991</v>
      </c>
      <c r="AZ118">
        <f>((B118-B117)*G118)-((B118-B117)*(AW118-G117)*0.5)</f>
        <v>2037.05612</v>
      </c>
      <c r="BB118" s="117">
        <f>B118</f>
        <v>125</v>
      </c>
      <c r="BC118" s="117">
        <f>G118/AD118</f>
        <v>1</v>
      </c>
      <c r="BD118" s="117">
        <v>1</v>
      </c>
      <c r="BE118" s="112">
        <v>12</v>
      </c>
      <c r="BF118" s="112">
        <f>12/62</f>
        <v>0.19354838709677419</v>
      </c>
      <c r="BG118" s="112">
        <v>20</v>
      </c>
      <c r="BH118" s="112">
        <f>20/62</f>
        <v>0.32258064516129031</v>
      </c>
      <c r="BI118" s="112">
        <v>30</v>
      </c>
      <c r="BJ118" s="112">
        <f>30/62</f>
        <v>0.4838709677419355</v>
      </c>
      <c r="CB118">
        <v>3.2</v>
      </c>
      <c r="CC118">
        <v>0.25</v>
      </c>
      <c r="CG118">
        <v>18</v>
      </c>
      <c r="CH118">
        <f t="shared" si="40"/>
        <v>0.16199999999999998</v>
      </c>
      <c r="CJ118">
        <v>18</v>
      </c>
      <c r="CL118">
        <f t="shared" si="42"/>
        <v>5.3999999999999999E-2</v>
      </c>
      <c r="CM118">
        <f t="shared" si="43"/>
        <v>0.77759999999999996</v>
      </c>
      <c r="CN118">
        <f t="shared" si="41"/>
        <v>0.19499999999999998</v>
      </c>
      <c r="CO118">
        <f t="shared" si="44"/>
        <v>0.83160000000000001</v>
      </c>
      <c r="CP118">
        <f t="shared" si="45"/>
        <v>0.97259999999999991</v>
      </c>
      <c r="CR118">
        <v>0.21</v>
      </c>
      <c r="CS118">
        <v>0.5</v>
      </c>
      <c r="CT118">
        <v>0.28000000000000003</v>
      </c>
      <c r="CU118">
        <f t="shared" si="46"/>
        <v>0.71</v>
      </c>
      <c r="CV118">
        <f t="shared" si="47"/>
        <v>0.78</v>
      </c>
    </row>
    <row r="119" spans="1:100" x14ac:dyDescent="0.25">
      <c r="A119">
        <v>2006</v>
      </c>
      <c r="B119">
        <f t="shared" si="24"/>
        <v>151</v>
      </c>
      <c r="C119" s="109">
        <v>38868</v>
      </c>
      <c r="E119" t="e">
        <f>VLOOKUP(C119,#REF!,2)</f>
        <v>#REF!</v>
      </c>
      <c r="G119" s="77">
        <v>0</v>
      </c>
      <c r="AB119" s="61">
        <f>0.5*(B119-B118)*G118</f>
        <v>806</v>
      </c>
      <c r="AC119">
        <f>AF119/$AF$1</f>
        <v>116.57</v>
      </c>
      <c r="AD119">
        <f>MAX(G114:G119)</f>
        <v>62</v>
      </c>
      <c r="AE119" s="73">
        <f>AC119/AD119</f>
        <v>1.8801612903225806</v>
      </c>
      <c r="AF119" s="279">
        <f>SUM(AB114:AB119)</f>
        <v>5828.5</v>
      </c>
      <c r="AG119" s="171">
        <f t="shared" si="52"/>
        <v>0</v>
      </c>
      <c r="AH119" s="108">
        <f t="shared" si="25"/>
        <v>0.55000000000000004</v>
      </c>
      <c r="AI119" s="108"/>
      <c r="AJ119" s="108">
        <f>0.5*(B119-B118)*AG118</f>
        <v>1465.4545454545453</v>
      </c>
      <c r="AK119" s="248">
        <f>AN119/$AN$1</f>
        <v>211.94545454545457</v>
      </c>
      <c r="AL119" s="77">
        <f t="shared" si="51"/>
        <v>112.72727272727272</v>
      </c>
      <c r="AM119" s="73">
        <f>AK119/AL119</f>
        <v>1.8801612903225811</v>
      </c>
      <c r="AN119" s="108">
        <f>SUM(AJ114:AJ119)</f>
        <v>10597.272727272728</v>
      </c>
      <c r="AO119" s="286">
        <v>135</v>
      </c>
      <c r="AP119" s="303">
        <v>8.1300000000000008</v>
      </c>
      <c r="AQ119" s="291">
        <f>AL119*$AP$177</f>
        <v>0</v>
      </c>
      <c r="AR119" s="303">
        <v>412</v>
      </c>
      <c r="AS119" s="286">
        <v>6.64</v>
      </c>
      <c r="AT119" s="303">
        <f>AL119*$AS$177</f>
        <v>0</v>
      </c>
      <c r="AU119" s="79">
        <v>0</v>
      </c>
      <c r="AX119">
        <f>BA119/$BA$1</f>
        <v>195.33509805136694</v>
      </c>
      <c r="AY119" s="61">
        <f>AX119/AD119</f>
        <v>3.1505660976026926</v>
      </c>
      <c r="AZ119">
        <f>0.5*(B119-B118)*AU118</f>
        <v>991.29236975451386</v>
      </c>
      <c r="BA119" s="78">
        <f>SUM(AZ115:AZ119)</f>
        <v>9766.7549025683475</v>
      </c>
      <c r="CB119">
        <v>3.4</v>
      </c>
      <c r="CC119">
        <v>0.25</v>
      </c>
      <c r="CG119">
        <v>19</v>
      </c>
      <c r="CH119">
        <f t="shared" si="40"/>
        <v>0.17099999999999999</v>
      </c>
      <c r="CJ119">
        <v>19</v>
      </c>
      <c r="CL119">
        <f t="shared" si="42"/>
        <v>5.7000000000000002E-2</v>
      </c>
      <c r="CM119">
        <f t="shared" si="43"/>
        <v>0.77370000000000005</v>
      </c>
      <c r="CN119">
        <f t="shared" si="41"/>
        <v>0.19519999999999998</v>
      </c>
      <c r="CO119">
        <f t="shared" si="44"/>
        <v>0.8307000000000001</v>
      </c>
      <c r="CP119">
        <f t="shared" si="45"/>
        <v>0.96890000000000009</v>
      </c>
      <c r="CR119">
        <v>0.21</v>
      </c>
      <c r="CS119">
        <v>0.5</v>
      </c>
      <c r="CT119">
        <v>0.28000000000000003</v>
      </c>
      <c r="CU119">
        <f t="shared" si="46"/>
        <v>0.71</v>
      </c>
      <c r="CV119">
        <f t="shared" si="47"/>
        <v>0.78</v>
      </c>
    </row>
    <row r="120" spans="1:100" s="172" customFormat="1" x14ac:dyDescent="0.25">
      <c r="A120" s="172">
        <v>2007</v>
      </c>
      <c r="B120" s="172">
        <f t="shared" si="24"/>
        <v>1</v>
      </c>
      <c r="C120" s="191">
        <v>39083</v>
      </c>
      <c r="E120" s="172" t="e">
        <f>VLOOKUP(C120,#REF!,2)</f>
        <v>#REF!</v>
      </c>
      <c r="G120" s="192">
        <v>0</v>
      </c>
      <c r="H120" s="193"/>
      <c r="P120" s="194"/>
      <c r="Q120" s="193"/>
      <c r="Y120" s="195"/>
      <c r="AA120" s="195"/>
      <c r="AB120" s="183"/>
      <c r="AD120" s="172">
        <f>AD121</f>
        <v>60</v>
      </c>
      <c r="AE120" s="206"/>
      <c r="AF120" s="196"/>
      <c r="AG120" s="171">
        <f t="shared" si="52"/>
        <v>0</v>
      </c>
      <c r="AH120" s="174">
        <f t="shared" si="25"/>
        <v>0.55000000000000004</v>
      </c>
      <c r="AI120" s="174"/>
      <c r="AJ120" s="174"/>
      <c r="AK120" s="249"/>
      <c r="AL120" s="192">
        <f>MAX($G$120:$G$124)/AH120</f>
        <v>109.09090909090908</v>
      </c>
      <c r="AM120" s="206"/>
      <c r="AN120" s="174"/>
      <c r="AO120" s="286"/>
      <c r="AP120" s="303"/>
      <c r="AQ120" s="286"/>
      <c r="AR120" s="303"/>
      <c r="AS120" s="286"/>
      <c r="AT120" s="303"/>
      <c r="AU120" s="197">
        <v>0</v>
      </c>
      <c r="AY120" s="183"/>
      <c r="BA120" s="196"/>
      <c r="CB120" s="172">
        <v>3.6</v>
      </c>
      <c r="CC120" s="172">
        <v>0.25</v>
      </c>
      <c r="CG120" s="172">
        <v>20</v>
      </c>
      <c r="CH120" s="172">
        <f t="shared" si="40"/>
        <v>0.18</v>
      </c>
      <c r="CJ120" s="172">
        <v>20</v>
      </c>
      <c r="CL120" s="172">
        <f t="shared" si="42"/>
        <v>0.06</v>
      </c>
      <c r="CM120" s="172">
        <f t="shared" si="43"/>
        <v>0.76980000000000004</v>
      </c>
      <c r="CN120" s="172">
        <f t="shared" si="41"/>
        <v>0.19539999999999999</v>
      </c>
      <c r="CO120" s="172">
        <f t="shared" si="44"/>
        <v>0.82980000000000009</v>
      </c>
      <c r="CP120" s="172">
        <f t="shared" si="45"/>
        <v>0.96520000000000006</v>
      </c>
      <c r="CR120" s="172">
        <v>0.21</v>
      </c>
      <c r="CS120" s="172">
        <v>0.5</v>
      </c>
      <c r="CT120" s="172">
        <v>0.28000000000000003</v>
      </c>
      <c r="CU120" s="172">
        <f t="shared" si="46"/>
        <v>0.71</v>
      </c>
      <c r="CV120" s="172">
        <f t="shared" si="47"/>
        <v>0.78</v>
      </c>
    </row>
    <row r="121" spans="1:100" s="172" customFormat="1" x14ac:dyDescent="0.25">
      <c r="A121" s="172">
        <v>2007</v>
      </c>
      <c r="B121" s="172">
        <f t="shared" si="24"/>
        <v>54</v>
      </c>
      <c r="C121" s="191">
        <v>39136</v>
      </c>
      <c r="D121" s="172">
        <v>9.5</v>
      </c>
      <c r="E121" s="172" t="e">
        <f>VLOOKUP(C121,#REF!,2)</f>
        <v>#REF!</v>
      </c>
      <c r="G121" s="192">
        <v>18</v>
      </c>
      <c r="H121" s="193"/>
      <c r="P121" s="194"/>
      <c r="Q121" s="193"/>
      <c r="Y121" s="195"/>
      <c r="AA121" s="195"/>
      <c r="AB121" s="183">
        <f>0.5*(B121-B120)*G121</f>
        <v>477</v>
      </c>
      <c r="AD121" s="172">
        <f>AD122</f>
        <v>60</v>
      </c>
      <c r="AE121" s="206"/>
      <c r="AF121" s="196"/>
      <c r="AG121" s="171">
        <f t="shared" si="52"/>
        <v>32.727272727272727</v>
      </c>
      <c r="AH121" s="174">
        <f t="shared" si="25"/>
        <v>0.55000000000000004</v>
      </c>
      <c r="AI121" s="174"/>
      <c r="AJ121" s="174">
        <f>0.5*($B121-$B120)*$AG121</f>
        <v>867.27272727272725</v>
      </c>
      <c r="AK121" s="249"/>
      <c r="AL121" s="192">
        <f>MAX($G$120:$G$124)/AH121</f>
        <v>109.09090909090908</v>
      </c>
      <c r="AM121" s="206"/>
      <c r="AN121" s="174"/>
      <c r="AO121" s="286"/>
      <c r="AP121" s="303"/>
      <c r="AQ121" s="286"/>
      <c r="AR121" s="303"/>
      <c r="AS121" s="286"/>
      <c r="AT121" s="303"/>
      <c r="AU121" s="197">
        <f>G121/AW121</f>
        <v>62.051847766133491</v>
      </c>
      <c r="AV121" s="172">
        <f>B121/D121</f>
        <v>5.6842105263157894</v>
      </c>
      <c r="AW121" s="172">
        <f>VLOOKUP(AV121,$CB$102:$CC$271,2)</f>
        <v>0.29007999999999995</v>
      </c>
      <c r="AY121" s="183"/>
      <c r="AZ121" s="172">
        <f>0.5*(B121-B120)*AU121</f>
        <v>1644.3739658025374</v>
      </c>
      <c r="BA121" s="196"/>
      <c r="BB121" s="172">
        <f>B121</f>
        <v>54</v>
      </c>
      <c r="BC121" s="172">
        <f>G121/AD121</f>
        <v>0.3</v>
      </c>
      <c r="BD121" s="172">
        <v>0.3</v>
      </c>
      <c r="BE121" s="172">
        <v>4</v>
      </c>
      <c r="BF121" s="172">
        <f>4/18</f>
        <v>0.22222222222222221</v>
      </c>
      <c r="BG121" s="172">
        <v>13</v>
      </c>
      <c r="BH121" s="172">
        <f>13/18</f>
        <v>0.72222222222222221</v>
      </c>
      <c r="BI121" s="172">
        <v>1</v>
      </c>
      <c r="BJ121" s="172">
        <f>1/18</f>
        <v>5.5555555555555552E-2</v>
      </c>
      <c r="CB121" s="172">
        <v>3.8</v>
      </c>
      <c r="CC121" s="172">
        <v>0.25</v>
      </c>
      <c r="CG121" s="172">
        <v>21</v>
      </c>
      <c r="CH121" s="172">
        <f t="shared" si="40"/>
        <v>0.18899999999999997</v>
      </c>
      <c r="CJ121" s="172">
        <v>21</v>
      </c>
      <c r="CL121" s="172">
        <f t="shared" si="42"/>
        <v>6.3E-2</v>
      </c>
      <c r="CM121" s="172">
        <f t="shared" si="43"/>
        <v>0.76590000000000003</v>
      </c>
      <c r="CN121" s="172">
        <f t="shared" si="41"/>
        <v>0.1956</v>
      </c>
      <c r="CO121" s="172">
        <f t="shared" si="44"/>
        <v>0.82889999999999997</v>
      </c>
      <c r="CP121" s="172">
        <f t="shared" si="45"/>
        <v>0.96150000000000002</v>
      </c>
      <c r="CR121" s="172">
        <v>0.21</v>
      </c>
      <c r="CS121" s="172">
        <v>0.5</v>
      </c>
      <c r="CT121" s="172">
        <v>0.28000000000000003</v>
      </c>
      <c r="CU121" s="172">
        <f t="shared" si="46"/>
        <v>0.71</v>
      </c>
      <c r="CV121" s="172">
        <f t="shared" si="47"/>
        <v>0.78</v>
      </c>
    </row>
    <row r="122" spans="1:100" s="172" customFormat="1" x14ac:dyDescent="0.25">
      <c r="A122" s="172">
        <v>2007</v>
      </c>
      <c r="B122" s="172">
        <f t="shared" si="24"/>
        <v>88</v>
      </c>
      <c r="C122" s="191">
        <v>39170</v>
      </c>
      <c r="D122" s="172">
        <v>9.5</v>
      </c>
      <c r="E122" s="172" t="e">
        <f>VLOOKUP(C122,#REF!,2)</f>
        <v>#REF!</v>
      </c>
      <c r="G122" s="192">
        <v>50</v>
      </c>
      <c r="H122" s="193"/>
      <c r="P122" s="194"/>
      <c r="Q122" s="193"/>
      <c r="Y122" s="195"/>
      <c r="AA122" s="195"/>
      <c r="AB122" s="183">
        <f>((B122-B121)*G122)-((B122-B121)*(G122-G121)*0.5)</f>
        <v>1156</v>
      </c>
      <c r="AD122" s="172">
        <f>AD123</f>
        <v>60</v>
      </c>
      <c r="AE122" s="206"/>
      <c r="AF122" s="196"/>
      <c r="AG122" s="171">
        <f t="shared" si="52"/>
        <v>90.909090909090907</v>
      </c>
      <c r="AH122" s="174">
        <f t="shared" si="25"/>
        <v>0.55000000000000004</v>
      </c>
      <c r="AI122" s="174"/>
      <c r="AJ122" s="174">
        <v>780</v>
      </c>
      <c r="AK122" s="249"/>
      <c r="AL122" s="192">
        <f>MAX($G$120:$G$124)/AH122</f>
        <v>109.09090909090908</v>
      </c>
      <c r="AM122" s="206"/>
      <c r="AN122" s="174"/>
      <c r="AO122" s="286"/>
      <c r="AP122" s="303"/>
      <c r="AQ122" s="286"/>
      <c r="AR122" s="303"/>
      <c r="AS122" s="286"/>
      <c r="AT122" s="303"/>
      <c r="AU122" s="197">
        <f>G122/AW122</f>
        <v>104.52378961451639</v>
      </c>
      <c r="AV122" s="172">
        <f>B122/D122</f>
        <v>9.2631578947368425</v>
      </c>
      <c r="AW122" s="172">
        <f>VLOOKUP(AV122,$CB$102:$CC$271,2)</f>
        <v>0.47835999999999945</v>
      </c>
      <c r="AY122" s="183"/>
      <c r="AZ122" s="172">
        <f>((B122-B121)*AU122)-((B122-B121)*(AU122-AU121)*0.5)</f>
        <v>2831.7858354710479</v>
      </c>
      <c r="BA122" s="196"/>
      <c r="BB122" s="172">
        <f>B122</f>
        <v>88</v>
      </c>
      <c r="BC122" s="172">
        <f>G122/AD122</f>
        <v>0.83333333333333337</v>
      </c>
      <c r="BD122" s="172">
        <v>0.83333333333333337</v>
      </c>
      <c r="BE122" s="172">
        <v>6</v>
      </c>
      <c r="BF122" s="172">
        <f>6/50</f>
        <v>0.12</v>
      </c>
      <c r="BG122" s="172">
        <v>29</v>
      </c>
      <c r="BH122" s="172">
        <f>29/50</f>
        <v>0.57999999999999996</v>
      </c>
      <c r="BI122" s="172">
        <v>15</v>
      </c>
      <c r="BJ122" s="172">
        <f>15/50</f>
        <v>0.3</v>
      </c>
      <c r="CB122" s="172">
        <v>4</v>
      </c>
      <c r="CC122" s="172">
        <v>0.25</v>
      </c>
      <c r="CG122" s="172">
        <v>22</v>
      </c>
      <c r="CH122" s="172">
        <f t="shared" si="40"/>
        <v>0.19799999999999998</v>
      </c>
      <c r="CJ122" s="172">
        <v>22</v>
      </c>
      <c r="CL122" s="172">
        <f t="shared" si="42"/>
        <v>6.6000000000000003E-2</v>
      </c>
      <c r="CM122" s="172">
        <f t="shared" si="43"/>
        <v>0.76200000000000001</v>
      </c>
      <c r="CN122" s="172">
        <f t="shared" si="41"/>
        <v>0.19579999999999997</v>
      </c>
      <c r="CO122" s="172">
        <f t="shared" si="44"/>
        <v>0.82800000000000007</v>
      </c>
      <c r="CP122" s="172">
        <f t="shared" si="45"/>
        <v>0.95779999999999998</v>
      </c>
      <c r="CR122" s="172">
        <v>0.21</v>
      </c>
      <c r="CS122" s="172">
        <v>0.5</v>
      </c>
      <c r="CT122" s="172">
        <v>0.28000000000000003</v>
      </c>
      <c r="CU122" s="172">
        <f t="shared" si="46"/>
        <v>0.71</v>
      </c>
      <c r="CV122" s="172">
        <f t="shared" si="47"/>
        <v>0.78</v>
      </c>
    </row>
    <row r="123" spans="1:100" s="172" customFormat="1" x14ac:dyDescent="0.25">
      <c r="A123" s="172">
        <v>2007</v>
      </c>
      <c r="B123" s="172">
        <f t="shared" si="24"/>
        <v>110</v>
      </c>
      <c r="C123" s="191">
        <v>39192</v>
      </c>
      <c r="D123" s="172">
        <v>9.51</v>
      </c>
      <c r="E123" s="172" t="e">
        <f>VLOOKUP(C123,#REF!,2)</f>
        <v>#REF!</v>
      </c>
      <c r="G123" s="192">
        <v>60</v>
      </c>
      <c r="H123" s="193"/>
      <c r="P123" s="194"/>
      <c r="Q123" s="193"/>
      <c r="Y123" s="195"/>
      <c r="AA123" s="195"/>
      <c r="AB123" s="183">
        <f>((B123-B122)*G123)-((B123-B122)*(G123-G122)*0.5)</f>
        <v>1210</v>
      </c>
      <c r="AD123" s="172">
        <f>AD124</f>
        <v>60</v>
      </c>
      <c r="AE123" s="206"/>
      <c r="AF123" s="196"/>
      <c r="AG123" s="171">
        <f t="shared" si="52"/>
        <v>109.09090909090908</v>
      </c>
      <c r="AH123" s="174">
        <f t="shared" si="25"/>
        <v>0.55000000000000004</v>
      </c>
      <c r="AI123" s="174"/>
      <c r="AJ123" s="174">
        <f>((B123-B122)*AG123)-((B123-B122)*(AG123-AG122)*0.5)</f>
        <v>2199.9999999999995</v>
      </c>
      <c r="AK123" s="249"/>
      <c r="AL123" s="192">
        <f>MAX($G$120:$G$124)/AH123</f>
        <v>109.09090909090908</v>
      </c>
      <c r="AM123" s="206"/>
      <c r="AN123" s="174"/>
      <c r="AO123" s="286"/>
      <c r="AP123" s="303"/>
      <c r="AQ123" s="286"/>
      <c r="AR123" s="303"/>
      <c r="AS123" s="286"/>
      <c r="AT123" s="303"/>
      <c r="AU123" s="197">
        <f>G123/AW123</f>
        <v>101.10882680057971</v>
      </c>
      <c r="AV123" s="172">
        <f>B123/D123</f>
        <v>11.566771819137751</v>
      </c>
      <c r="AW123" s="172">
        <f>VLOOKUP(AV123,$CB$102:$CC$271,2)</f>
        <v>0.59341999999999995</v>
      </c>
      <c r="AY123" s="183"/>
      <c r="AZ123" s="172">
        <f>((B123-B122)*AU123)-((B123-B122)*(AU123-AU122)*0.5)</f>
        <v>2261.9587805660572</v>
      </c>
      <c r="BA123" s="196"/>
      <c r="BB123" s="172">
        <f>B123</f>
        <v>110</v>
      </c>
      <c r="BC123" s="172">
        <f>G123/AD123</f>
        <v>1</v>
      </c>
      <c r="BD123" s="172">
        <v>1</v>
      </c>
      <c r="BE123" s="172">
        <v>10</v>
      </c>
      <c r="BF123" s="172">
        <f>10/60</f>
        <v>0.16666666666666666</v>
      </c>
      <c r="BG123" s="172">
        <v>53</v>
      </c>
      <c r="BH123" s="172">
        <f>53/60</f>
        <v>0.8833333333333333</v>
      </c>
      <c r="BI123" s="172">
        <v>17</v>
      </c>
      <c r="BJ123" s="172">
        <f>17/60</f>
        <v>0.28333333333333333</v>
      </c>
      <c r="CB123" s="172">
        <v>4.2</v>
      </c>
      <c r="CC123" s="172">
        <v>0.25</v>
      </c>
      <c r="CG123" s="172">
        <v>23</v>
      </c>
      <c r="CH123" s="172">
        <f t="shared" si="40"/>
        <v>0.20699999999999999</v>
      </c>
      <c r="CJ123" s="172">
        <v>23</v>
      </c>
      <c r="CL123" s="172">
        <f t="shared" si="42"/>
        <v>6.9000000000000006E-2</v>
      </c>
      <c r="CM123" s="172">
        <f t="shared" si="43"/>
        <v>0.7581</v>
      </c>
      <c r="CN123" s="172">
        <f t="shared" si="41"/>
        <v>0.19599999999999998</v>
      </c>
      <c r="CO123" s="172">
        <f t="shared" si="44"/>
        <v>0.82709999999999995</v>
      </c>
      <c r="CP123" s="172">
        <f t="shared" si="45"/>
        <v>0.95409999999999995</v>
      </c>
      <c r="CR123" s="172">
        <v>0.21</v>
      </c>
      <c r="CS123" s="172">
        <v>0.5</v>
      </c>
      <c r="CT123" s="172">
        <v>0.28000000000000003</v>
      </c>
      <c r="CU123" s="172">
        <f t="shared" si="46"/>
        <v>0.71</v>
      </c>
      <c r="CV123" s="172">
        <f t="shared" si="47"/>
        <v>0.78</v>
      </c>
    </row>
    <row r="124" spans="1:100" s="172" customFormat="1" x14ac:dyDescent="0.25">
      <c r="A124" s="172">
        <v>2007</v>
      </c>
      <c r="B124" s="172">
        <f t="shared" si="24"/>
        <v>151</v>
      </c>
      <c r="C124" s="191">
        <v>39233</v>
      </c>
      <c r="E124" s="172" t="e">
        <f>VLOOKUP(C124,#REF!,2)</f>
        <v>#REF!</v>
      </c>
      <c r="G124" s="192">
        <v>0</v>
      </c>
      <c r="H124" s="193"/>
      <c r="P124" s="194"/>
      <c r="Q124" s="193"/>
      <c r="Y124" s="195"/>
      <c r="AA124" s="195"/>
      <c r="AB124" s="183">
        <f>0.5*(B124-B123)*G123</f>
        <v>1230</v>
      </c>
      <c r="AC124" s="172">
        <f>AF124/$AF$1</f>
        <v>81.459999999999994</v>
      </c>
      <c r="AD124" s="172">
        <f>MAX(G120:G124)</f>
        <v>60</v>
      </c>
      <c r="AE124" s="206">
        <f>AC124/AD124</f>
        <v>1.3576666666666666</v>
      </c>
      <c r="AF124" s="280">
        <f>SUM(AB120:AB124)</f>
        <v>4073</v>
      </c>
      <c r="AG124" s="171">
        <f t="shared" si="52"/>
        <v>0</v>
      </c>
      <c r="AH124" s="174">
        <f t="shared" si="25"/>
        <v>0.55000000000000004</v>
      </c>
      <c r="AI124" s="174"/>
      <c r="AJ124" s="174">
        <f>0.5*(B124-B123)*AG123</f>
        <v>2236.363636363636</v>
      </c>
      <c r="AK124" s="249">
        <f>AN124/$AN$1</f>
        <v>121.67272727272726</v>
      </c>
      <c r="AL124" s="192">
        <f>MAX($G$120:$G$124)/AH124</f>
        <v>109.09090909090908</v>
      </c>
      <c r="AM124" s="206">
        <f>AK124/AL124</f>
        <v>1.1153333333333333</v>
      </c>
      <c r="AN124" s="174">
        <f>SUM(AJ120:AJ124)</f>
        <v>6083.6363636363631</v>
      </c>
      <c r="AO124" s="286">
        <v>161</v>
      </c>
      <c r="AP124" s="303">
        <v>3.36</v>
      </c>
      <c r="AQ124" s="290">
        <f>AO124</f>
        <v>161</v>
      </c>
      <c r="AR124" s="303">
        <v>171</v>
      </c>
      <c r="AS124" s="286">
        <v>2.85</v>
      </c>
      <c r="AT124" s="303">
        <f>AL124*$AS$177</f>
        <v>0</v>
      </c>
      <c r="AU124" s="197">
        <v>0</v>
      </c>
      <c r="AX124" s="172">
        <f>BA124/$BA$1</f>
        <v>176.21699062503052</v>
      </c>
      <c r="AY124" s="183">
        <f>AX124/AD124</f>
        <v>2.9369498437505088</v>
      </c>
      <c r="AZ124" s="172">
        <f>0.5*(B124-B123)*AU123</f>
        <v>2072.730949411884</v>
      </c>
      <c r="BA124" s="196">
        <f>SUM(AZ120:AZ124)</f>
        <v>8810.8495312515261</v>
      </c>
      <c r="CB124" s="172">
        <v>4.4000000000000004</v>
      </c>
      <c r="CC124" s="172">
        <v>0.25</v>
      </c>
      <c r="CG124" s="172">
        <v>24</v>
      </c>
      <c r="CH124" s="172">
        <f t="shared" si="40"/>
        <v>0.21599999999999997</v>
      </c>
      <c r="CJ124" s="172">
        <v>24</v>
      </c>
      <c r="CL124" s="172">
        <f t="shared" si="42"/>
        <v>7.2000000000000008E-2</v>
      </c>
      <c r="CM124" s="172">
        <f t="shared" si="43"/>
        <v>0.75419999999999998</v>
      </c>
      <c r="CN124" s="172">
        <f t="shared" si="41"/>
        <v>0.19619999999999999</v>
      </c>
      <c r="CO124" s="172">
        <f t="shared" si="44"/>
        <v>0.82620000000000005</v>
      </c>
      <c r="CP124" s="172">
        <f t="shared" si="45"/>
        <v>0.95039999999999991</v>
      </c>
      <c r="CR124" s="172">
        <v>0.21</v>
      </c>
      <c r="CS124" s="172">
        <v>0.5</v>
      </c>
      <c r="CT124" s="172">
        <v>0.28000000000000003</v>
      </c>
      <c r="CU124" s="172">
        <f t="shared" si="46"/>
        <v>0.71</v>
      </c>
      <c r="CV124" s="172">
        <f t="shared" si="47"/>
        <v>0.78</v>
      </c>
    </row>
    <row r="125" spans="1:100" x14ac:dyDescent="0.25">
      <c r="A125">
        <v>2008</v>
      </c>
      <c r="B125">
        <f t="shared" si="24"/>
        <v>1</v>
      </c>
      <c r="C125" s="109">
        <v>39448</v>
      </c>
      <c r="E125" t="e">
        <f>VLOOKUP(C125,#REF!,2)</f>
        <v>#REF!</v>
      </c>
      <c r="G125" s="77">
        <v>0</v>
      </c>
      <c r="AD125">
        <f>AD126</f>
        <v>18</v>
      </c>
      <c r="AG125" s="171">
        <f t="shared" si="52"/>
        <v>0</v>
      </c>
      <c r="AH125" s="108">
        <f t="shared" si="25"/>
        <v>0.55000000000000004</v>
      </c>
      <c r="AI125" s="108"/>
      <c r="AJ125" s="108"/>
      <c r="AK125" s="249"/>
      <c r="AL125" s="77">
        <f>MAX($G$125:$G$128)/AH125</f>
        <v>32.727272727272727</v>
      </c>
      <c r="AM125" s="73"/>
      <c r="AN125" s="108"/>
      <c r="AO125" s="286"/>
      <c r="AP125" s="303"/>
      <c r="AQ125" s="286"/>
      <c r="AR125" s="303"/>
      <c r="AS125" s="286"/>
      <c r="AT125" s="303"/>
      <c r="AU125" s="79">
        <v>0</v>
      </c>
      <c r="CB125">
        <v>4.5999999999999996</v>
      </c>
      <c r="CC125">
        <v>0.25</v>
      </c>
      <c r="CG125">
        <v>25</v>
      </c>
      <c r="CH125">
        <f t="shared" si="40"/>
        <v>0.22499999999999998</v>
      </c>
      <c r="CJ125">
        <v>25</v>
      </c>
      <c r="CL125">
        <f t="shared" si="42"/>
        <v>7.4999999999999997E-2</v>
      </c>
      <c r="CM125">
        <f t="shared" si="43"/>
        <v>0.75029999999999997</v>
      </c>
      <c r="CN125">
        <f t="shared" si="41"/>
        <v>0.19639999999999999</v>
      </c>
      <c r="CO125">
        <f t="shared" si="44"/>
        <v>0.82529999999999992</v>
      </c>
      <c r="CP125">
        <f t="shared" si="45"/>
        <v>0.94669999999999999</v>
      </c>
      <c r="CR125">
        <v>0.21</v>
      </c>
      <c r="CS125">
        <v>0.5</v>
      </c>
      <c r="CT125">
        <v>0.28000000000000003</v>
      </c>
      <c r="CU125">
        <f t="shared" si="46"/>
        <v>0.71</v>
      </c>
      <c r="CV125">
        <f t="shared" si="47"/>
        <v>0.78</v>
      </c>
    </row>
    <row r="126" spans="1:100" x14ac:dyDescent="0.25">
      <c r="A126">
        <v>2008</v>
      </c>
      <c r="B126">
        <f t="shared" si="24"/>
        <v>68</v>
      </c>
      <c r="C126" s="109">
        <v>39515</v>
      </c>
      <c r="D126">
        <v>8.25</v>
      </c>
      <c r="E126" t="e">
        <f>VLOOKUP(C126,#REF!,2)</f>
        <v>#REF!</v>
      </c>
      <c r="G126" s="77">
        <v>18</v>
      </c>
      <c r="AB126" s="61">
        <f>0.5*(B126-B125)*G126</f>
        <v>603</v>
      </c>
      <c r="AD126">
        <f>AD127</f>
        <v>18</v>
      </c>
      <c r="AG126" s="171">
        <f t="shared" si="52"/>
        <v>32.727272727272727</v>
      </c>
      <c r="AH126" s="108">
        <f t="shared" si="25"/>
        <v>0.55000000000000004</v>
      </c>
      <c r="AI126" s="108"/>
      <c r="AJ126" s="108">
        <f>0.5*($B126-$B125)*$AG126</f>
        <v>1096.3636363636363</v>
      </c>
      <c r="AK126" s="249"/>
      <c r="AL126" s="77">
        <f>MAX($G$125:$G$128)/AH126</f>
        <v>32.727272727272727</v>
      </c>
      <c r="AM126" s="73"/>
      <c r="AN126" s="108"/>
      <c r="AO126" s="286"/>
      <c r="AP126" s="303"/>
      <c r="AQ126" s="286"/>
      <c r="AR126" s="303"/>
      <c r="AS126" s="286"/>
      <c r="AT126" s="303"/>
      <c r="AU126" s="79">
        <f>G126/AW126</f>
        <v>42.247570764681079</v>
      </c>
      <c r="AV126">
        <f>B126/D126</f>
        <v>8.2424242424242422</v>
      </c>
      <c r="AW126">
        <f>VLOOKUP(AV126,$CB$102:$CC$271,2)</f>
        <v>0.42605999999999949</v>
      </c>
      <c r="AZ126">
        <f>0.5*(B126-B125)*AU126</f>
        <v>1415.293620616816</v>
      </c>
      <c r="BB126" s="117">
        <f>B126</f>
        <v>68</v>
      </c>
      <c r="BC126" s="117">
        <f>G126/AD126</f>
        <v>1</v>
      </c>
      <c r="BD126" s="117">
        <v>1</v>
      </c>
      <c r="BE126" s="112">
        <v>2</v>
      </c>
      <c r="BF126" s="112">
        <f>BE126/AD126</f>
        <v>0.1111111111111111</v>
      </c>
      <c r="BG126" s="112">
        <v>15</v>
      </c>
      <c r="BH126" s="112">
        <f>BG126/AD126</f>
        <v>0.83333333333333337</v>
      </c>
      <c r="BI126" s="112">
        <v>1</v>
      </c>
      <c r="BJ126" s="112">
        <f>BI126/AD126</f>
        <v>5.5555555555555552E-2</v>
      </c>
      <c r="CB126">
        <v>4.8</v>
      </c>
      <c r="CC126">
        <v>0.25</v>
      </c>
      <c r="CG126">
        <v>26</v>
      </c>
      <c r="CH126">
        <f t="shared" si="40"/>
        <v>0.23399999999999999</v>
      </c>
      <c r="CJ126">
        <v>26</v>
      </c>
      <c r="CL126">
        <f t="shared" si="42"/>
        <v>7.8E-2</v>
      </c>
      <c r="CM126">
        <f t="shared" si="43"/>
        <v>0.74639999999999995</v>
      </c>
      <c r="CN126">
        <f t="shared" si="41"/>
        <v>0.1966</v>
      </c>
      <c r="CO126">
        <f t="shared" si="44"/>
        <v>0.82439999999999991</v>
      </c>
      <c r="CP126">
        <f t="shared" si="45"/>
        <v>0.94299999999999995</v>
      </c>
      <c r="CR126">
        <v>0.21</v>
      </c>
      <c r="CS126">
        <v>0.5</v>
      </c>
      <c r="CT126">
        <v>0.28000000000000003</v>
      </c>
      <c r="CU126">
        <f t="shared" si="46"/>
        <v>0.71</v>
      </c>
      <c r="CV126">
        <f t="shared" si="47"/>
        <v>0.78</v>
      </c>
    </row>
    <row r="127" spans="1:100" x14ac:dyDescent="0.25">
      <c r="A127">
        <v>2008</v>
      </c>
      <c r="B127">
        <f t="shared" si="24"/>
        <v>108</v>
      </c>
      <c r="C127" s="109">
        <v>39555</v>
      </c>
      <c r="D127">
        <v>9.8000000000000007</v>
      </c>
      <c r="E127" t="e">
        <f>VLOOKUP(C127,#REF!,2)</f>
        <v>#REF!</v>
      </c>
      <c r="G127" s="77">
        <v>17</v>
      </c>
      <c r="AB127" s="61">
        <f>((B127-B126)*G127)-((B127-B126)*(G127-G126)*0.5)</f>
        <v>700</v>
      </c>
      <c r="AD127">
        <f>AD128</f>
        <v>18</v>
      </c>
      <c r="AG127" s="171">
        <f t="shared" si="52"/>
        <v>30.909090909090907</v>
      </c>
      <c r="AH127" s="108">
        <f t="shared" si="25"/>
        <v>0.55000000000000004</v>
      </c>
      <c r="AI127" s="108"/>
      <c r="AJ127" s="108">
        <f>((B127-B126)*AG127)-((B127-B126)*(AG127-AG126)*0.5)</f>
        <v>1272.7272727272727</v>
      </c>
      <c r="AK127" s="249"/>
      <c r="AL127" s="77">
        <f>MAX($G$125:$G$128)/AH127</f>
        <v>32.727272727272727</v>
      </c>
      <c r="AM127" s="73"/>
      <c r="AN127" s="108"/>
      <c r="AO127" s="286"/>
      <c r="AP127" s="303"/>
      <c r="AQ127" s="291" t="s">
        <v>216</v>
      </c>
      <c r="AR127" s="303"/>
      <c r="AS127" s="286"/>
      <c r="AT127" s="303"/>
      <c r="AU127" s="79">
        <f>G127/AW127</f>
        <v>29.694323144104803</v>
      </c>
      <c r="AV127">
        <f>B127/D127</f>
        <v>11.020408163265305</v>
      </c>
      <c r="AW127">
        <f>VLOOKUP(AV127,$CB$102:$CC$271,2)</f>
        <v>0.57250000000000001</v>
      </c>
      <c r="AZ127">
        <f>((B127-B126)*AU127)-((B127-B126)*(AU127-AU126)*0.5)</f>
        <v>1438.8378781757178</v>
      </c>
      <c r="BB127" s="117">
        <f>B127</f>
        <v>108</v>
      </c>
      <c r="BC127" s="117">
        <f>G127/AD127</f>
        <v>0.94444444444444442</v>
      </c>
      <c r="BE127" s="112">
        <v>1</v>
      </c>
      <c r="BF127" s="112">
        <f>BE127/AD127</f>
        <v>5.5555555555555552E-2</v>
      </c>
      <c r="BG127" s="112">
        <v>6</v>
      </c>
      <c r="BH127" s="112">
        <f>BG127/AD127</f>
        <v>0.33333333333333331</v>
      </c>
      <c r="BI127" s="112">
        <v>11</v>
      </c>
      <c r="BJ127" s="112">
        <f>BI127/AD127</f>
        <v>0.61111111111111116</v>
      </c>
      <c r="CB127">
        <v>5</v>
      </c>
      <c r="CC127">
        <f t="shared" ref="CC127:CC181" si="53">(($CB$89)*CB127)-($CC$89)</f>
        <v>0.25869999999999999</v>
      </c>
      <c r="CG127">
        <v>27</v>
      </c>
      <c r="CH127">
        <f t="shared" si="40"/>
        <v>0.24299999999999999</v>
      </c>
      <c r="CJ127">
        <v>27</v>
      </c>
      <c r="CL127">
        <f t="shared" si="42"/>
        <v>8.1000000000000003E-2</v>
      </c>
      <c r="CM127">
        <f t="shared" si="43"/>
        <v>0.74250000000000005</v>
      </c>
      <c r="CN127">
        <f t="shared" si="41"/>
        <v>0.19679999999999997</v>
      </c>
      <c r="CO127">
        <f t="shared" si="44"/>
        <v>0.82350000000000001</v>
      </c>
      <c r="CP127">
        <f t="shared" si="45"/>
        <v>0.93930000000000002</v>
      </c>
      <c r="CR127">
        <v>0.21</v>
      </c>
      <c r="CS127">
        <v>0.5</v>
      </c>
      <c r="CT127">
        <v>0.28000000000000003</v>
      </c>
      <c r="CU127">
        <f t="shared" si="46"/>
        <v>0.71</v>
      </c>
      <c r="CV127">
        <f t="shared" si="47"/>
        <v>0.78</v>
      </c>
    </row>
    <row r="128" spans="1:100" x14ac:dyDescent="0.25">
      <c r="A128">
        <v>2008</v>
      </c>
      <c r="B128">
        <f t="shared" si="24"/>
        <v>152</v>
      </c>
      <c r="C128" s="109">
        <v>39599</v>
      </c>
      <c r="E128" t="e">
        <f>VLOOKUP(C128,#REF!,2)</f>
        <v>#REF!</v>
      </c>
      <c r="G128" s="77">
        <v>0</v>
      </c>
      <c r="AB128" s="61">
        <f>0.5*(B128-B127)*G127</f>
        <v>374</v>
      </c>
      <c r="AC128">
        <f>AF128/$AF$1</f>
        <v>33.54</v>
      </c>
      <c r="AD128">
        <f>MAX(G125:G128)</f>
        <v>18</v>
      </c>
      <c r="AE128" s="73">
        <f>AC128/AD128</f>
        <v>1.8633333333333333</v>
      </c>
      <c r="AF128" s="78">
        <f>SUM(AB126:AB128)</f>
        <v>1677</v>
      </c>
      <c r="AG128" s="171">
        <f t="shared" si="52"/>
        <v>0</v>
      </c>
      <c r="AH128" s="108">
        <f t="shared" si="25"/>
        <v>0.55000000000000004</v>
      </c>
      <c r="AI128" s="108"/>
      <c r="AJ128" s="108">
        <f>0.5*(B128-B127)*AG127</f>
        <v>680</v>
      </c>
      <c r="AK128" s="248">
        <f>AN128/$AN$1</f>
        <v>60.981818181818177</v>
      </c>
      <c r="AL128" s="77">
        <f>MAX($G$125:$G$128)/AH128</f>
        <v>32.727272727272727</v>
      </c>
      <c r="AM128" s="73">
        <f>AK128/AL128</f>
        <v>1.8633333333333333</v>
      </c>
      <c r="AN128" s="108">
        <f>SUM(AJ126:AJ128)</f>
        <v>3049.090909090909</v>
      </c>
      <c r="AO128" s="286">
        <v>504</v>
      </c>
      <c r="AP128" s="303">
        <v>11.03</v>
      </c>
      <c r="AQ128" s="291">
        <f>AL128*AP188</f>
        <v>0</v>
      </c>
      <c r="AR128" s="303">
        <v>569</v>
      </c>
      <c r="AS128" s="286">
        <v>31.61</v>
      </c>
      <c r="AT128" s="303">
        <f>AL128*$AS$177</f>
        <v>0</v>
      </c>
      <c r="AU128" s="79">
        <v>0</v>
      </c>
      <c r="AX128">
        <f>BA128/$BA$1</f>
        <v>70.148132159256789</v>
      </c>
      <c r="AY128" s="61">
        <f>AX128/AD128</f>
        <v>3.8971184532920438</v>
      </c>
      <c r="AZ128">
        <f>0.5*(B128-B127)*AU127</f>
        <v>653.27510917030565</v>
      </c>
      <c r="BA128" s="78">
        <f>SUM(AZ126:AZ128)</f>
        <v>3507.4066079628396</v>
      </c>
      <c r="CB128">
        <v>5.2</v>
      </c>
      <c r="CC128">
        <f t="shared" si="53"/>
        <v>0.26915999999999995</v>
      </c>
      <c r="CG128">
        <v>28</v>
      </c>
      <c r="CH128">
        <f t="shared" si="40"/>
        <v>0.252</v>
      </c>
      <c r="CJ128">
        <v>28</v>
      </c>
      <c r="CL128">
        <f t="shared" si="42"/>
        <v>8.4000000000000005E-2</v>
      </c>
      <c r="CM128">
        <f t="shared" si="43"/>
        <v>0.73860000000000003</v>
      </c>
      <c r="CN128">
        <f t="shared" si="41"/>
        <v>0.19699999999999998</v>
      </c>
      <c r="CO128">
        <f t="shared" si="44"/>
        <v>0.8226</v>
      </c>
      <c r="CP128">
        <f t="shared" si="45"/>
        <v>0.93559999999999999</v>
      </c>
      <c r="CR128">
        <v>0.21</v>
      </c>
      <c r="CS128">
        <v>0.5</v>
      </c>
      <c r="CT128">
        <v>0.28000000000000003</v>
      </c>
      <c r="CU128">
        <f t="shared" si="46"/>
        <v>0.71</v>
      </c>
      <c r="CV128">
        <f t="shared" si="47"/>
        <v>0.78</v>
      </c>
    </row>
    <row r="129" spans="1:100" s="172" customFormat="1" x14ac:dyDescent="0.25">
      <c r="A129" s="172">
        <v>2009</v>
      </c>
      <c r="B129" s="172">
        <f t="shared" si="24"/>
        <v>1</v>
      </c>
      <c r="C129" s="191">
        <v>39814</v>
      </c>
      <c r="E129" s="172" t="e">
        <f>VLOOKUP(C129,#REF!,2)</f>
        <v>#REF!</v>
      </c>
      <c r="G129" s="192">
        <v>0</v>
      </c>
      <c r="H129" s="193"/>
      <c r="P129" s="194"/>
      <c r="Q129" s="193"/>
      <c r="Y129" s="195"/>
      <c r="AA129" s="195"/>
      <c r="AB129" s="183"/>
      <c r="AD129" s="172">
        <f>AD130</f>
        <v>38</v>
      </c>
      <c r="AE129" s="206"/>
      <c r="AF129" s="196"/>
      <c r="AG129" s="171">
        <f t="shared" si="52"/>
        <v>0</v>
      </c>
      <c r="AH129" s="174">
        <f t="shared" si="25"/>
        <v>0.55000000000000004</v>
      </c>
      <c r="AI129" s="174"/>
      <c r="AJ129" s="174"/>
      <c r="AK129" s="249"/>
      <c r="AL129" s="192">
        <f>MAX($G$129:$G$132)/AH129</f>
        <v>69.090909090909079</v>
      </c>
      <c r="AM129" s="206"/>
      <c r="AN129" s="174"/>
      <c r="AO129" s="286"/>
      <c r="AP129" s="303"/>
      <c r="AQ129" s="286"/>
      <c r="AR129" s="303"/>
      <c r="AS129" s="286"/>
      <c r="AT129" s="303"/>
      <c r="AU129" s="197">
        <v>0</v>
      </c>
      <c r="AY129" s="183"/>
      <c r="BA129" s="196"/>
      <c r="CB129" s="172">
        <v>5.4</v>
      </c>
      <c r="CC129" s="172">
        <f t="shared" si="53"/>
        <v>0.27961999999999998</v>
      </c>
      <c r="CG129" s="172">
        <v>29</v>
      </c>
      <c r="CH129" s="172">
        <f t="shared" si="40"/>
        <v>0.26099999999999995</v>
      </c>
      <c r="CJ129" s="172">
        <v>29</v>
      </c>
      <c r="CL129" s="172">
        <f t="shared" si="42"/>
        <v>8.7000000000000008E-2</v>
      </c>
      <c r="CM129" s="172">
        <f t="shared" si="43"/>
        <v>0.73470000000000002</v>
      </c>
      <c r="CN129" s="172">
        <f t="shared" si="41"/>
        <v>0.19719999999999999</v>
      </c>
      <c r="CO129" s="172">
        <f t="shared" si="44"/>
        <v>0.82169999999999999</v>
      </c>
      <c r="CP129" s="172">
        <f t="shared" si="45"/>
        <v>0.93189999999999995</v>
      </c>
      <c r="CR129" s="172">
        <v>0.21</v>
      </c>
      <c r="CS129" s="172">
        <v>0.5</v>
      </c>
      <c r="CT129" s="172">
        <v>0.28000000000000003</v>
      </c>
      <c r="CU129" s="172">
        <f t="shared" si="46"/>
        <v>0.71</v>
      </c>
      <c r="CV129" s="172">
        <f t="shared" si="47"/>
        <v>0.78</v>
      </c>
    </row>
    <row r="130" spans="1:100" s="172" customFormat="1" x14ac:dyDescent="0.25">
      <c r="A130" s="172">
        <v>2009</v>
      </c>
      <c r="B130" s="172">
        <f t="shared" si="24"/>
        <v>85</v>
      </c>
      <c r="C130" s="191">
        <v>39898</v>
      </c>
      <c r="D130" s="172">
        <v>8.1</v>
      </c>
      <c r="E130" s="172" t="e">
        <f>VLOOKUP(C130,#REF!,2)</f>
        <v>#REF!</v>
      </c>
      <c r="G130" s="192">
        <v>24</v>
      </c>
      <c r="H130" s="193"/>
      <c r="P130" s="194"/>
      <c r="Q130" s="193"/>
      <c r="Y130" s="195"/>
      <c r="AA130" s="195"/>
      <c r="AB130" s="183">
        <f>0.5*(B130-B129)*G130</f>
        <v>1008</v>
      </c>
      <c r="AD130" s="172">
        <f>AD131</f>
        <v>38</v>
      </c>
      <c r="AE130" s="206"/>
      <c r="AF130" s="196"/>
      <c r="AG130" s="171">
        <f t="shared" si="52"/>
        <v>43.636363636363633</v>
      </c>
      <c r="AH130" s="174">
        <f t="shared" si="25"/>
        <v>0.55000000000000004</v>
      </c>
      <c r="AI130" s="174"/>
      <c r="AJ130" s="174">
        <f>0.5*($B130-$B129)*$AG130</f>
        <v>1832.7272727272725</v>
      </c>
      <c r="AK130" s="249"/>
      <c r="AL130" s="192">
        <f>MAX($G$129:$G$132)/AH130</f>
        <v>69.090909090909079</v>
      </c>
      <c r="AM130" s="206"/>
      <c r="AN130" s="174"/>
      <c r="AO130" s="286"/>
      <c r="AP130" s="303"/>
      <c r="AQ130" s="286"/>
      <c r="AR130" s="303"/>
      <c r="AS130" s="286"/>
      <c r="AT130" s="303"/>
      <c r="AU130" s="197">
        <f>G130/AW130</f>
        <v>44.352454169130695</v>
      </c>
      <c r="AV130" s="172">
        <f>B130/D130</f>
        <v>10.493827160493828</v>
      </c>
      <c r="AW130" s="172">
        <f>VLOOKUP(AV130,$CB$102:$CC$271,2)</f>
        <v>0.54111999999999993</v>
      </c>
      <c r="AY130" s="183"/>
      <c r="AZ130" s="172">
        <f>0.5*(B130-B129)*AU130</f>
        <v>1862.8030751034892</v>
      </c>
      <c r="BA130" s="196"/>
      <c r="BB130" s="172">
        <f>B130</f>
        <v>85</v>
      </c>
      <c r="BC130" s="172">
        <f>G130/AD130</f>
        <v>0.63157894736842102</v>
      </c>
      <c r="BD130" s="172">
        <v>0.63157894736842102</v>
      </c>
      <c r="BE130" s="172">
        <v>5</v>
      </c>
      <c r="BF130" s="172">
        <f>BE130/AD130</f>
        <v>0.13157894736842105</v>
      </c>
      <c r="BG130" s="172">
        <v>18</v>
      </c>
      <c r="BH130" s="172">
        <f>BG130/AD130</f>
        <v>0.47368421052631576</v>
      </c>
      <c r="BI130" s="172">
        <v>1</v>
      </c>
      <c r="BJ130" s="172">
        <f>BI130/AD130</f>
        <v>2.6315789473684209E-2</v>
      </c>
      <c r="CB130" s="172">
        <v>5.6</v>
      </c>
      <c r="CC130" s="172">
        <f t="shared" si="53"/>
        <v>0.29007999999999995</v>
      </c>
      <c r="CG130" s="172">
        <v>30</v>
      </c>
      <c r="CH130" s="172">
        <f t="shared" si="40"/>
        <v>0.26999999999999996</v>
      </c>
      <c r="CJ130" s="172">
        <v>30</v>
      </c>
      <c r="CL130" s="172">
        <f t="shared" si="42"/>
        <v>0.09</v>
      </c>
      <c r="CM130" s="172">
        <f t="shared" si="43"/>
        <v>0.73080000000000001</v>
      </c>
      <c r="CN130" s="172">
        <f t="shared" si="41"/>
        <v>0.19739999999999999</v>
      </c>
      <c r="CO130" s="172">
        <f t="shared" si="44"/>
        <v>0.82079999999999997</v>
      </c>
      <c r="CP130" s="172">
        <f t="shared" si="45"/>
        <v>0.92820000000000003</v>
      </c>
      <c r="CR130" s="172">
        <v>0.21</v>
      </c>
      <c r="CS130" s="172">
        <v>0.5</v>
      </c>
      <c r="CT130" s="172">
        <v>0.28000000000000003</v>
      </c>
      <c r="CU130" s="172">
        <f t="shared" si="46"/>
        <v>0.71</v>
      </c>
      <c r="CV130" s="172">
        <f t="shared" si="47"/>
        <v>0.78</v>
      </c>
    </row>
    <row r="131" spans="1:100" s="172" customFormat="1" x14ac:dyDescent="0.25">
      <c r="A131" s="172">
        <v>2009</v>
      </c>
      <c r="B131" s="172">
        <f t="shared" si="24"/>
        <v>117</v>
      </c>
      <c r="C131" s="191">
        <v>39930</v>
      </c>
      <c r="D131" s="172">
        <v>7.5</v>
      </c>
      <c r="E131" s="172" t="e">
        <f>VLOOKUP(C131,#REF!,2)</f>
        <v>#REF!</v>
      </c>
      <c r="G131" s="192">
        <v>38</v>
      </c>
      <c r="H131" s="193"/>
      <c r="P131" s="194"/>
      <c r="Q131" s="193"/>
      <c r="Y131" s="195"/>
      <c r="AA131" s="195"/>
      <c r="AB131" s="183">
        <f>((B131-B130)*G131)-((B131-B130)*(G131-G130)*0.5)</f>
        <v>992</v>
      </c>
      <c r="AD131" s="172">
        <f>AD132</f>
        <v>38</v>
      </c>
      <c r="AE131" s="206"/>
      <c r="AF131" s="196"/>
      <c r="AG131" s="171">
        <f t="shared" si="52"/>
        <v>69.090909090909079</v>
      </c>
      <c r="AH131" s="174">
        <f t="shared" si="25"/>
        <v>0.55000000000000004</v>
      </c>
      <c r="AI131" s="174"/>
      <c r="AJ131" s="174">
        <f>((B131-B130)*AG131)-((B131-B130)*(AG131-AG130)*0.5)</f>
        <v>1803.6363636363635</v>
      </c>
      <c r="AK131" s="249"/>
      <c r="AL131" s="192">
        <f>MAX($G$129:$G$132)/AH131</f>
        <v>69.090909090909079</v>
      </c>
      <c r="AM131" s="206"/>
      <c r="AN131" s="174"/>
      <c r="AO131" s="286"/>
      <c r="AP131" s="303"/>
      <c r="AQ131" s="291" t="s">
        <v>216</v>
      </c>
      <c r="AR131" s="303"/>
      <c r="AS131" s="286"/>
      <c r="AT131" s="303"/>
      <c r="AU131" s="197">
        <f>G131/AW131</f>
        <v>46.735868549220257</v>
      </c>
      <c r="AV131" s="172">
        <f>B131/D131</f>
        <v>15.6</v>
      </c>
      <c r="AW131" s="172">
        <f>VLOOKUP(AV131,$CB$102:$CC$271,2)</f>
        <v>0.81307999999999991</v>
      </c>
      <c r="AY131" s="183"/>
      <c r="AZ131" s="172">
        <f>((B131-B130)*AU131)-((B131-B130)*(AU131-AU130)*0.5)</f>
        <v>1457.4131634936152</v>
      </c>
      <c r="BA131" s="196"/>
      <c r="BB131" s="172">
        <f>B131</f>
        <v>117</v>
      </c>
      <c r="BC131" s="172">
        <f>G131/AD131</f>
        <v>1</v>
      </c>
      <c r="BD131" s="172">
        <v>1</v>
      </c>
      <c r="BE131" s="172">
        <v>12</v>
      </c>
      <c r="BF131" s="172">
        <f>BE131/AD131</f>
        <v>0.31578947368421051</v>
      </c>
      <c r="BG131" s="172">
        <v>20</v>
      </c>
      <c r="BH131" s="172">
        <f>BG131/AD131</f>
        <v>0.52631578947368418</v>
      </c>
      <c r="BI131" s="172">
        <v>6</v>
      </c>
      <c r="BJ131" s="172">
        <f>BI131/AD131</f>
        <v>0.15789473684210525</v>
      </c>
      <c r="CB131" s="172">
        <v>5.8</v>
      </c>
      <c r="CC131" s="172">
        <f t="shared" si="53"/>
        <v>0.30053999999999997</v>
      </c>
      <c r="CG131" s="172">
        <v>31</v>
      </c>
      <c r="CH131" s="172">
        <f t="shared" si="40"/>
        <v>0.27899999999999997</v>
      </c>
      <c r="CJ131" s="172">
        <v>31</v>
      </c>
      <c r="CL131" s="172">
        <f t="shared" si="42"/>
        <v>9.2999999999999999E-2</v>
      </c>
      <c r="CM131" s="172">
        <f t="shared" si="43"/>
        <v>0.72689999999999999</v>
      </c>
      <c r="CN131" s="172">
        <f t="shared" si="41"/>
        <v>0.1976</v>
      </c>
      <c r="CO131" s="172">
        <f t="shared" si="44"/>
        <v>0.81989999999999996</v>
      </c>
      <c r="CP131" s="172">
        <f t="shared" si="45"/>
        <v>0.92449999999999999</v>
      </c>
      <c r="CR131" s="172">
        <v>0.21</v>
      </c>
      <c r="CS131" s="172">
        <v>0.5</v>
      </c>
      <c r="CT131" s="172">
        <v>0.28000000000000003</v>
      </c>
      <c r="CU131" s="172">
        <f t="shared" si="46"/>
        <v>0.71</v>
      </c>
      <c r="CV131" s="172">
        <f t="shared" si="47"/>
        <v>0.78</v>
      </c>
    </row>
    <row r="132" spans="1:100" s="172" customFormat="1" x14ac:dyDescent="0.25">
      <c r="A132" s="172">
        <v>2009</v>
      </c>
      <c r="B132" s="172">
        <f t="shared" si="24"/>
        <v>151</v>
      </c>
      <c r="C132" s="191">
        <v>39964</v>
      </c>
      <c r="E132" s="172" t="e">
        <f>VLOOKUP(C132,#REF!,2)</f>
        <v>#REF!</v>
      </c>
      <c r="G132" s="192">
        <v>0</v>
      </c>
      <c r="H132" s="193"/>
      <c r="P132" s="194"/>
      <c r="Q132" s="193"/>
      <c r="Y132" s="195"/>
      <c r="AA132" s="195"/>
      <c r="AB132" s="183">
        <f>0.5*(B132-B131)*G131</f>
        <v>646</v>
      </c>
      <c r="AC132" s="172">
        <f>AF132/$AF$1</f>
        <v>52.92</v>
      </c>
      <c r="AD132" s="172">
        <f>MAX(G129:G132)</f>
        <v>38</v>
      </c>
      <c r="AE132" s="206">
        <f>AC132/AD132</f>
        <v>1.3926315789473684</v>
      </c>
      <c r="AF132" s="196">
        <f>SUM(AB129:AB132)</f>
        <v>2646</v>
      </c>
      <c r="AG132" s="171">
        <f t="shared" si="52"/>
        <v>0</v>
      </c>
      <c r="AH132" s="174">
        <f t="shared" si="25"/>
        <v>0.55000000000000004</v>
      </c>
      <c r="AI132" s="174"/>
      <c r="AJ132" s="174">
        <f>0.5*(B132-B131)*AG131</f>
        <v>1174.5454545454543</v>
      </c>
      <c r="AK132" s="249">
        <f>AN132/$AN$1</f>
        <v>96.218181818181804</v>
      </c>
      <c r="AL132" s="192">
        <f>MAX($G$129:$G$132)/AH132</f>
        <v>69.090909090909079</v>
      </c>
      <c r="AM132" s="206">
        <f>AK132/AL132</f>
        <v>1.3926315789473684</v>
      </c>
      <c r="AN132" s="174">
        <f>SUM(AJ129:AJ132)</f>
        <v>4810.9090909090901</v>
      </c>
      <c r="AO132" s="286">
        <v>201</v>
      </c>
      <c r="AP132" s="303">
        <v>5.13</v>
      </c>
      <c r="AQ132" s="291">
        <f>AL132*AP188</f>
        <v>0</v>
      </c>
      <c r="AR132" s="303">
        <v>72</v>
      </c>
      <c r="AS132" s="286">
        <v>1.88</v>
      </c>
      <c r="AT132" s="303">
        <f>AL132*$AS$188</f>
        <v>0</v>
      </c>
      <c r="AU132" s="197">
        <v>0</v>
      </c>
      <c r="AX132" s="172">
        <f>BA132/$BA$1</f>
        <v>82.294520078676982</v>
      </c>
      <c r="AY132" s="183">
        <f>AX132/AD132</f>
        <v>2.1656452652283416</v>
      </c>
      <c r="AZ132" s="172">
        <f>0.5*(B132-B131)*AU131</f>
        <v>794.50976533674441</v>
      </c>
      <c r="BA132" s="196">
        <f>SUM(AZ130:AZ132)</f>
        <v>4114.7260039338489</v>
      </c>
      <c r="CB132" s="172">
        <v>6</v>
      </c>
      <c r="CC132" s="172">
        <f t="shared" si="53"/>
        <v>0.31099999999999994</v>
      </c>
      <c r="CG132" s="172">
        <v>32</v>
      </c>
      <c r="CH132" s="172">
        <f t="shared" si="40"/>
        <v>0.28799999999999998</v>
      </c>
      <c r="CJ132" s="172">
        <v>32</v>
      </c>
      <c r="CL132" s="172">
        <f t="shared" si="42"/>
        <v>9.6000000000000002E-2</v>
      </c>
      <c r="CM132" s="172">
        <f t="shared" si="43"/>
        <v>0.72299999999999998</v>
      </c>
      <c r="CN132" s="172">
        <f t="shared" si="41"/>
        <v>0.19779999999999998</v>
      </c>
      <c r="CO132" s="172">
        <f t="shared" si="44"/>
        <v>0.81899999999999995</v>
      </c>
      <c r="CP132" s="172">
        <f t="shared" si="45"/>
        <v>0.92079999999999995</v>
      </c>
      <c r="CR132" s="172">
        <v>0.21</v>
      </c>
      <c r="CS132" s="172">
        <v>0.5</v>
      </c>
      <c r="CT132" s="172">
        <v>0.28000000000000003</v>
      </c>
      <c r="CU132" s="172">
        <f t="shared" si="46"/>
        <v>0.71</v>
      </c>
      <c r="CV132" s="172">
        <f t="shared" si="47"/>
        <v>0.78</v>
      </c>
    </row>
    <row r="133" spans="1:100" x14ac:dyDescent="0.25">
      <c r="A133">
        <v>2010</v>
      </c>
      <c r="B133">
        <f t="shared" si="24"/>
        <v>1</v>
      </c>
      <c r="C133" s="109">
        <v>40179</v>
      </c>
      <c r="E133" t="e">
        <f>VLOOKUP(C133,#REF!,2)</f>
        <v>#REF!</v>
      </c>
      <c r="G133" s="77">
        <v>0</v>
      </c>
      <c r="AD133">
        <f>AD134</f>
        <v>54</v>
      </c>
      <c r="AG133" s="171">
        <f t="shared" si="52"/>
        <v>0</v>
      </c>
      <c r="AH133" s="108">
        <f t="shared" si="25"/>
        <v>0.55000000000000004</v>
      </c>
      <c r="AI133" s="108"/>
      <c r="AJ133" s="108"/>
      <c r="AK133" s="249"/>
      <c r="AL133" s="77">
        <f>MAX($G$133:$G$136)</f>
        <v>54</v>
      </c>
      <c r="AM133" s="73"/>
      <c r="AN133" s="108"/>
      <c r="AO133" s="286"/>
      <c r="AP133" s="303"/>
      <c r="AQ133" s="286"/>
      <c r="AR133" s="303"/>
      <c r="AS133" s="286"/>
      <c r="AT133" s="303"/>
      <c r="AU133" s="79">
        <v>0</v>
      </c>
      <c r="CB133">
        <v>6.2</v>
      </c>
      <c r="CC133">
        <f t="shared" si="53"/>
        <v>0.32145999999999997</v>
      </c>
      <c r="CG133">
        <v>33</v>
      </c>
      <c r="CH133">
        <f t="shared" ref="CH133:CH165" si="54">CG133*0.009</f>
        <v>0.29699999999999999</v>
      </c>
      <c r="CJ133">
        <v>33</v>
      </c>
      <c r="CL133">
        <f t="shared" si="42"/>
        <v>9.9000000000000005E-2</v>
      </c>
      <c r="CM133">
        <f t="shared" si="43"/>
        <v>0.71910000000000007</v>
      </c>
      <c r="CN133">
        <f t="shared" ref="CN133:CN164" si="55">(0.0002*CJ133)+0.1914</f>
        <v>0.19799999999999998</v>
      </c>
      <c r="CO133">
        <f t="shared" si="44"/>
        <v>0.81810000000000005</v>
      </c>
      <c r="CP133">
        <f t="shared" si="45"/>
        <v>0.91710000000000003</v>
      </c>
      <c r="CR133">
        <v>0.21</v>
      </c>
      <c r="CS133">
        <v>0.5</v>
      </c>
      <c r="CT133">
        <v>0.28000000000000003</v>
      </c>
      <c r="CU133">
        <f t="shared" si="46"/>
        <v>0.71</v>
      </c>
      <c r="CV133">
        <f t="shared" si="47"/>
        <v>0.78</v>
      </c>
    </row>
    <row r="134" spans="1:100" x14ac:dyDescent="0.25">
      <c r="A134">
        <v>2010</v>
      </c>
      <c r="B134">
        <f t="shared" si="24"/>
        <v>69</v>
      </c>
      <c r="C134" s="109">
        <v>40247</v>
      </c>
      <c r="D134">
        <v>6.2</v>
      </c>
      <c r="E134" t="e">
        <f>VLOOKUP(C134,#REF!,2)</f>
        <v>#REF!</v>
      </c>
      <c r="G134" s="77">
        <v>42</v>
      </c>
      <c r="AB134" s="61">
        <f>0.5*(B134-B133)*G134</f>
        <v>1428</v>
      </c>
      <c r="AD134">
        <f>AD135</f>
        <v>54</v>
      </c>
      <c r="AG134" s="171">
        <f t="shared" si="52"/>
        <v>76.36363636363636</v>
      </c>
      <c r="AH134" s="108">
        <f t="shared" si="25"/>
        <v>0.55000000000000004</v>
      </c>
      <c r="AI134" s="108"/>
      <c r="AJ134" s="108">
        <f>0.5*($B134-$B133)*$AG134</f>
        <v>2596.363636363636</v>
      </c>
      <c r="AK134" s="249"/>
      <c r="AL134" s="77">
        <f>MAX($G$133:$G$136)</f>
        <v>54</v>
      </c>
      <c r="AM134" s="73"/>
      <c r="AN134" s="108"/>
      <c r="AO134" s="286"/>
      <c r="AP134" s="303"/>
      <c r="AQ134" s="286"/>
      <c r="AR134" s="303"/>
      <c r="AS134" s="286"/>
      <c r="AT134" s="303"/>
      <c r="AU134" s="79">
        <f>G134/AW134</f>
        <v>73.362445414847159</v>
      </c>
      <c r="AV134">
        <f>B134/D134</f>
        <v>11.129032258064516</v>
      </c>
      <c r="AW134">
        <f>VLOOKUP(AV134,$CB$102:$CC$271,2)</f>
        <v>0.57250000000000001</v>
      </c>
      <c r="AZ134">
        <f>0.5*(B134-B133)*AU134</f>
        <v>2494.3231441048033</v>
      </c>
      <c r="BB134" s="117">
        <f>B134</f>
        <v>69</v>
      </c>
      <c r="BC134" s="117">
        <f>G134/AD134</f>
        <v>0.77777777777777779</v>
      </c>
      <c r="BD134" s="117">
        <v>0.77777777777777779</v>
      </c>
      <c r="BE134" s="121"/>
      <c r="BG134" s="121"/>
      <c r="BI134" s="121"/>
      <c r="BK134" s="121"/>
      <c r="BL134" s="125"/>
      <c r="BM134" s="125"/>
      <c r="BN134" s="125"/>
      <c r="BO134" s="125"/>
      <c r="BP134" s="125"/>
      <c r="BQ134" s="125"/>
      <c r="BR134" s="125"/>
      <c r="BS134" s="125"/>
      <c r="BT134" s="125"/>
      <c r="BU134" s="125"/>
      <c r="CB134">
        <v>6.4</v>
      </c>
      <c r="CC134">
        <f t="shared" si="53"/>
        <v>0.33191999999999999</v>
      </c>
      <c r="CG134">
        <v>34</v>
      </c>
      <c r="CH134">
        <f t="shared" si="54"/>
        <v>0.30599999999999999</v>
      </c>
      <c r="CJ134">
        <v>34</v>
      </c>
      <c r="CL134">
        <f t="shared" si="42"/>
        <v>0.10200000000000001</v>
      </c>
      <c r="CM134">
        <f t="shared" si="43"/>
        <v>0.71520000000000006</v>
      </c>
      <c r="CN134">
        <f t="shared" si="55"/>
        <v>0.19819999999999999</v>
      </c>
      <c r="CO134">
        <f t="shared" si="44"/>
        <v>0.81720000000000004</v>
      </c>
      <c r="CP134">
        <f t="shared" si="45"/>
        <v>0.91339999999999999</v>
      </c>
      <c r="CR134">
        <v>0.21</v>
      </c>
      <c r="CS134">
        <v>0.5</v>
      </c>
      <c r="CT134">
        <v>0.28000000000000003</v>
      </c>
      <c r="CU134">
        <f t="shared" si="46"/>
        <v>0.71</v>
      </c>
      <c r="CV134">
        <f t="shared" si="47"/>
        <v>0.78</v>
      </c>
    </row>
    <row r="135" spans="1:100" x14ac:dyDescent="0.25">
      <c r="A135">
        <v>2010</v>
      </c>
      <c r="B135">
        <f t="shared" si="24"/>
        <v>105</v>
      </c>
      <c r="C135" s="109">
        <v>40283</v>
      </c>
      <c r="D135">
        <v>13</v>
      </c>
      <c r="E135" t="e">
        <f>VLOOKUP(C135,#REF!,2)</f>
        <v>#REF!</v>
      </c>
      <c r="G135" s="77">
        <v>54</v>
      </c>
      <c r="AB135" s="61">
        <f>((B135-B134)*G135)-((B135-B134)*(G135-G134)*0.5)</f>
        <v>1728</v>
      </c>
      <c r="AD135">
        <f>AD136</f>
        <v>54</v>
      </c>
      <c r="AG135" s="171">
        <f t="shared" si="52"/>
        <v>98.181818181818173</v>
      </c>
      <c r="AH135" s="108">
        <f t="shared" si="25"/>
        <v>0.55000000000000004</v>
      </c>
      <c r="AI135" s="108"/>
      <c r="AJ135" s="108">
        <f>((B135-B134)*AG135)-((B135-B134)*(AG135-AG134)*0.5)</f>
        <v>3141.8181818181815</v>
      </c>
      <c r="AK135" s="249"/>
      <c r="AL135" s="77">
        <f>MAX($G$133:$G$136)</f>
        <v>54</v>
      </c>
      <c r="AM135" s="73"/>
      <c r="AN135" s="108"/>
      <c r="AO135" s="286"/>
      <c r="AP135" s="303"/>
      <c r="AQ135" s="286"/>
      <c r="AR135" s="303"/>
      <c r="AS135" s="286"/>
      <c r="AT135" s="303"/>
      <c r="AU135" s="79">
        <f>G135/AW135</f>
        <v>129.93262752646791</v>
      </c>
      <c r="AV135">
        <f>B135/D135</f>
        <v>8.0769230769230766</v>
      </c>
      <c r="AW135">
        <f>VLOOKUP(AV135,$CB$102:$CC$271,2)</f>
        <v>0.41559999999999947</v>
      </c>
      <c r="AZ135">
        <f>((B135-B134)*AU135)-((B135-B134)*(AW135-AU134)*0.5)</f>
        <v>5990.6178084200938</v>
      </c>
      <c r="BB135" s="117">
        <f>B135</f>
        <v>105</v>
      </c>
      <c r="BC135" s="117">
        <f>G135/AD135</f>
        <v>1</v>
      </c>
      <c r="BD135" s="117">
        <v>1</v>
      </c>
      <c r="BE135" s="112">
        <v>24</v>
      </c>
      <c r="BF135" s="112">
        <f>BE135/AD135</f>
        <v>0.44444444444444442</v>
      </c>
      <c r="BG135" s="112">
        <v>26</v>
      </c>
      <c r="BH135" s="112">
        <f>BG135/AD135</f>
        <v>0.48148148148148145</v>
      </c>
      <c r="BI135" s="112">
        <v>4</v>
      </c>
      <c r="BJ135" s="112">
        <f>BI135/AD135</f>
        <v>7.407407407407407E-2</v>
      </c>
      <c r="CB135">
        <v>6.6</v>
      </c>
      <c r="CC135">
        <f t="shared" si="53"/>
        <v>0.34237999999999996</v>
      </c>
      <c r="CG135">
        <v>35</v>
      </c>
      <c r="CH135">
        <f t="shared" si="54"/>
        <v>0.315</v>
      </c>
      <c r="CJ135">
        <v>35</v>
      </c>
      <c r="CL135">
        <f t="shared" si="42"/>
        <v>0.105</v>
      </c>
      <c r="CM135">
        <f t="shared" si="43"/>
        <v>0.71130000000000004</v>
      </c>
      <c r="CN135">
        <f t="shared" si="55"/>
        <v>0.19839999999999999</v>
      </c>
      <c r="CO135">
        <f t="shared" si="44"/>
        <v>0.81630000000000003</v>
      </c>
      <c r="CP135">
        <f t="shared" si="45"/>
        <v>0.90970000000000006</v>
      </c>
      <c r="CR135">
        <v>0.21</v>
      </c>
      <c r="CS135">
        <v>0.5</v>
      </c>
      <c r="CT135">
        <v>0.28000000000000003</v>
      </c>
      <c r="CU135">
        <f t="shared" si="46"/>
        <v>0.71</v>
      </c>
      <c r="CV135">
        <f t="shared" si="47"/>
        <v>0.78</v>
      </c>
    </row>
    <row r="136" spans="1:100" x14ac:dyDescent="0.25">
      <c r="A136">
        <v>2010</v>
      </c>
      <c r="B136">
        <f t="shared" si="24"/>
        <v>151</v>
      </c>
      <c r="C136" s="109">
        <v>40329</v>
      </c>
      <c r="E136" t="e">
        <f>VLOOKUP(C136,#REF!,2)</f>
        <v>#REF!</v>
      </c>
      <c r="G136" s="77">
        <v>0</v>
      </c>
      <c r="AB136" s="61">
        <f>0.5*(B136-B135)*G135</f>
        <v>1242</v>
      </c>
      <c r="AC136">
        <f>AF136/$AF$1</f>
        <v>87.96</v>
      </c>
      <c r="AD136">
        <f>MAX(G133:G136)</f>
        <v>54</v>
      </c>
      <c r="AE136" s="73">
        <f>AC136/AD136</f>
        <v>1.6288888888888888</v>
      </c>
      <c r="AF136" s="279">
        <f>SUM(AB134:AB136)</f>
        <v>4398</v>
      </c>
      <c r="AG136" s="171">
        <f t="shared" si="52"/>
        <v>0</v>
      </c>
      <c r="AH136" s="108">
        <f t="shared" si="25"/>
        <v>0.55000000000000004</v>
      </c>
      <c r="AI136" s="108"/>
      <c r="AJ136" s="108">
        <f>0.5*(B136-B135)*AG135</f>
        <v>2258.181818181818</v>
      </c>
      <c r="AK136" s="248">
        <f>AN136/$AN$1</f>
        <v>159.92727272727271</v>
      </c>
      <c r="AL136" s="77">
        <f>MAX($G$133:$G$136)</f>
        <v>54</v>
      </c>
      <c r="AM136" s="73">
        <f>AK136/AL136</f>
        <v>2.9616161616161611</v>
      </c>
      <c r="AN136" s="108">
        <f>SUM(AJ134:AJ136)</f>
        <v>7996.363636363636</v>
      </c>
      <c r="AO136" s="286">
        <v>198</v>
      </c>
      <c r="AP136" s="303">
        <v>3.84</v>
      </c>
      <c r="AQ136" s="290">
        <f>AO136</f>
        <v>198</v>
      </c>
      <c r="AR136" s="303">
        <v>228</v>
      </c>
      <c r="AS136" s="286">
        <v>4.2300000000000004</v>
      </c>
      <c r="AT136" s="303">
        <f>AL136*$AS$188</f>
        <v>0</v>
      </c>
      <c r="AU136" s="79">
        <v>0</v>
      </c>
      <c r="AX136">
        <f>BA136/$BA$1</f>
        <v>229.46782771267317</v>
      </c>
      <c r="AY136" s="61">
        <f>AX136/AD136</f>
        <v>4.2494042169013548</v>
      </c>
      <c r="AZ136">
        <f>0.5*(B136-B135)*AU135</f>
        <v>2988.4504331087619</v>
      </c>
      <c r="BA136" s="78">
        <f>SUM(AZ133:AZ136)</f>
        <v>11473.391385633659</v>
      </c>
      <c r="CB136">
        <v>6.8</v>
      </c>
      <c r="CC136">
        <f t="shared" si="53"/>
        <v>0.35283999999999999</v>
      </c>
      <c r="CG136">
        <v>36</v>
      </c>
      <c r="CH136">
        <f t="shared" si="54"/>
        <v>0.32399999999999995</v>
      </c>
      <c r="CJ136">
        <v>36</v>
      </c>
      <c r="CL136">
        <f t="shared" si="42"/>
        <v>0.108</v>
      </c>
      <c r="CM136">
        <f t="shared" si="43"/>
        <v>0.70740000000000003</v>
      </c>
      <c r="CN136">
        <f t="shared" si="55"/>
        <v>0.1986</v>
      </c>
      <c r="CO136">
        <f t="shared" si="44"/>
        <v>0.81540000000000001</v>
      </c>
      <c r="CP136">
        <f t="shared" si="45"/>
        <v>0.90600000000000003</v>
      </c>
      <c r="CR136">
        <v>0.21</v>
      </c>
      <c r="CS136">
        <v>0.5</v>
      </c>
      <c r="CT136">
        <v>0.28000000000000003</v>
      </c>
      <c r="CU136">
        <f t="shared" si="46"/>
        <v>0.71</v>
      </c>
      <c r="CV136">
        <f t="shared" si="47"/>
        <v>0.78</v>
      </c>
    </row>
    <row r="137" spans="1:100" s="172" customFormat="1" x14ac:dyDescent="0.25">
      <c r="A137" s="172">
        <v>2011</v>
      </c>
      <c r="B137" s="172">
        <f t="shared" si="24"/>
        <v>1</v>
      </c>
      <c r="C137" s="191">
        <v>40544</v>
      </c>
      <c r="E137" s="172" t="e">
        <f>VLOOKUP(C137,#REF!,2)</f>
        <v>#REF!</v>
      </c>
      <c r="G137" s="192">
        <v>0</v>
      </c>
      <c r="H137" s="193"/>
      <c r="P137" s="194"/>
      <c r="Q137" s="193"/>
      <c r="Y137" s="195"/>
      <c r="AA137" s="195"/>
      <c r="AB137" s="183"/>
      <c r="AD137" s="172">
        <f>AD138</f>
        <v>103</v>
      </c>
      <c r="AE137" s="206"/>
      <c r="AF137" s="196"/>
      <c r="AG137" s="171">
        <f t="shared" si="52"/>
        <v>0</v>
      </c>
      <c r="AH137" s="174">
        <f t="shared" si="25"/>
        <v>0.55000000000000004</v>
      </c>
      <c r="AI137" s="174"/>
      <c r="AJ137" s="174"/>
      <c r="AK137" s="249"/>
      <c r="AL137" s="192">
        <f>MAX($G$137:$G$140)/AH137</f>
        <v>187.27272727272725</v>
      </c>
      <c r="AM137" s="206"/>
      <c r="AN137" s="174"/>
      <c r="AO137" s="286"/>
      <c r="AP137" s="303"/>
      <c r="AQ137" s="286"/>
      <c r="AR137" s="303"/>
      <c r="AS137" s="286"/>
      <c r="AT137" s="303"/>
      <c r="AU137" s="197">
        <v>0</v>
      </c>
      <c r="AY137" s="183"/>
      <c r="BA137" s="196"/>
      <c r="CB137" s="172">
        <v>6.9999999999999902</v>
      </c>
      <c r="CC137" s="172">
        <f t="shared" si="53"/>
        <v>0.36329999999999946</v>
      </c>
      <c r="CG137" s="172">
        <v>37</v>
      </c>
      <c r="CH137" s="172">
        <f t="shared" si="54"/>
        <v>0.33299999999999996</v>
      </c>
      <c r="CJ137" s="172">
        <v>37</v>
      </c>
      <c r="CL137" s="172">
        <f t="shared" si="42"/>
        <v>0.111</v>
      </c>
      <c r="CM137" s="172">
        <f t="shared" si="43"/>
        <v>0.70350000000000001</v>
      </c>
      <c r="CN137" s="172">
        <f t="shared" si="55"/>
        <v>0.19879999999999998</v>
      </c>
      <c r="CO137" s="172">
        <f t="shared" si="44"/>
        <v>0.8145</v>
      </c>
      <c r="CP137" s="172">
        <f t="shared" si="45"/>
        <v>0.90229999999999999</v>
      </c>
      <c r="CR137" s="172">
        <v>0.21</v>
      </c>
      <c r="CS137" s="172">
        <v>0.5</v>
      </c>
      <c r="CT137" s="172">
        <v>0.28000000000000003</v>
      </c>
      <c r="CU137" s="172">
        <f t="shared" si="46"/>
        <v>0.71</v>
      </c>
      <c r="CV137" s="172">
        <f t="shared" si="47"/>
        <v>0.78</v>
      </c>
    </row>
    <row r="138" spans="1:100" s="172" customFormat="1" x14ac:dyDescent="0.25">
      <c r="A138" s="172">
        <v>2011</v>
      </c>
      <c r="B138" s="172">
        <f t="shared" si="24"/>
        <v>87</v>
      </c>
      <c r="C138" s="191">
        <v>40630</v>
      </c>
      <c r="D138" s="172">
        <v>9.4</v>
      </c>
      <c r="E138" s="172" t="e">
        <f>VLOOKUP(C138,#REF!,2)</f>
        <v>#REF!</v>
      </c>
      <c r="G138" s="192">
        <v>68</v>
      </c>
      <c r="H138" s="193"/>
      <c r="P138" s="194"/>
      <c r="Q138" s="193"/>
      <c r="Y138" s="195"/>
      <c r="AA138" s="195"/>
      <c r="AB138" s="183">
        <f>0.5*(B138-B137)*G138</f>
        <v>2924</v>
      </c>
      <c r="AD138" s="172">
        <f>AD139</f>
        <v>103</v>
      </c>
      <c r="AE138" s="206"/>
      <c r="AF138" s="196"/>
      <c r="AG138" s="171">
        <f t="shared" si="52"/>
        <v>123.63636363636363</v>
      </c>
      <c r="AH138" s="174">
        <f t="shared" si="25"/>
        <v>0.55000000000000004</v>
      </c>
      <c r="AI138" s="174"/>
      <c r="AJ138" s="174">
        <f>0.5*($B138-$B137)*$AG138</f>
        <v>5316.363636363636</v>
      </c>
      <c r="AK138" s="249"/>
      <c r="AL138" s="192">
        <f>MAX($G$137:$G$140)/AH138</f>
        <v>187.27272727272725</v>
      </c>
      <c r="AM138" s="206"/>
      <c r="AN138" s="174"/>
      <c r="AO138" s="286"/>
      <c r="AP138" s="303"/>
      <c r="AQ138" s="286"/>
      <c r="AR138" s="303"/>
      <c r="AS138" s="286"/>
      <c r="AT138" s="303"/>
      <c r="AU138" s="197">
        <f>G138/AW138</f>
        <v>142.15235387574228</v>
      </c>
      <c r="AV138" s="172">
        <f>B138/D138</f>
        <v>9.2553191489361701</v>
      </c>
      <c r="AW138" s="172">
        <f>VLOOKUP(AV138,$CB$102:$CC$271,2)</f>
        <v>0.47835999999999945</v>
      </c>
      <c r="AY138" s="183"/>
      <c r="AZ138" s="172">
        <f>0.5*(B138-B137)*AU138</f>
        <v>6112.5512166569179</v>
      </c>
      <c r="BA138" s="196"/>
      <c r="BB138" s="172">
        <f>B138</f>
        <v>87</v>
      </c>
      <c r="BC138" s="172">
        <f>G138/AD138</f>
        <v>0.66019417475728159</v>
      </c>
      <c r="BD138" s="172">
        <v>0.66019417475728159</v>
      </c>
      <c r="BE138" s="172">
        <v>6</v>
      </c>
      <c r="BF138" s="172">
        <f>BE138/AD138</f>
        <v>5.8252427184466021E-2</v>
      </c>
      <c r="BG138" s="172">
        <v>51</v>
      </c>
      <c r="BH138" s="172">
        <f>BG138/AD138</f>
        <v>0.49514563106796117</v>
      </c>
      <c r="BI138" s="172">
        <v>11</v>
      </c>
      <c r="BJ138" s="172">
        <f>BI138/AD138</f>
        <v>0.10679611650485436</v>
      </c>
      <c r="CB138" s="172">
        <v>7.1999999999999904</v>
      </c>
      <c r="CC138" s="172">
        <f t="shared" si="53"/>
        <v>0.37375999999999948</v>
      </c>
      <c r="CG138" s="172">
        <v>38</v>
      </c>
      <c r="CH138" s="172">
        <f t="shared" si="54"/>
        <v>0.34199999999999997</v>
      </c>
      <c r="CJ138" s="172">
        <v>38</v>
      </c>
      <c r="CL138" s="172">
        <f t="shared" si="42"/>
        <v>0.114</v>
      </c>
      <c r="CM138" s="172">
        <f t="shared" si="43"/>
        <v>0.6996</v>
      </c>
      <c r="CN138" s="172">
        <f t="shared" si="55"/>
        <v>0.19899999999999998</v>
      </c>
      <c r="CO138" s="172">
        <f t="shared" si="44"/>
        <v>0.81359999999999999</v>
      </c>
      <c r="CP138" s="172">
        <f t="shared" si="45"/>
        <v>0.89859999999999995</v>
      </c>
      <c r="CR138" s="172">
        <v>0.21</v>
      </c>
      <c r="CS138" s="172">
        <v>0.5</v>
      </c>
      <c r="CT138" s="172">
        <v>0.28000000000000003</v>
      </c>
      <c r="CU138" s="172">
        <f t="shared" si="46"/>
        <v>0.71</v>
      </c>
      <c r="CV138" s="172">
        <f t="shared" si="47"/>
        <v>0.78</v>
      </c>
    </row>
    <row r="139" spans="1:100" s="172" customFormat="1" x14ac:dyDescent="0.25">
      <c r="A139" s="172">
        <v>2011</v>
      </c>
      <c r="B139" s="172">
        <f t="shared" si="24"/>
        <v>109</v>
      </c>
      <c r="C139" s="191">
        <v>40652</v>
      </c>
      <c r="D139" s="172">
        <v>5.2</v>
      </c>
      <c r="E139" s="172" t="e">
        <f>VLOOKUP(C139,#REF!,2)</f>
        <v>#REF!</v>
      </c>
      <c r="G139" s="192">
        <v>103</v>
      </c>
      <c r="H139" s="193"/>
      <c r="P139" s="194"/>
      <c r="Q139" s="193"/>
      <c r="Y139" s="195"/>
      <c r="AA139" s="195"/>
      <c r="AB139" s="183">
        <f>((B139-B138)*G139)-((B139-B138)*(G139-G138)*0.5)</f>
        <v>1881</v>
      </c>
      <c r="AD139" s="172">
        <f>AD140</f>
        <v>103</v>
      </c>
      <c r="AE139" s="206"/>
      <c r="AF139" s="196"/>
      <c r="AG139" s="171">
        <f t="shared" si="52"/>
        <v>187.27272727272725</v>
      </c>
      <c r="AH139" s="174">
        <f t="shared" si="25"/>
        <v>0.55000000000000004</v>
      </c>
      <c r="AI139" s="174"/>
      <c r="AJ139" s="174">
        <f>((B139-B138)*AG139)-((B139-B138)*(AG139-AG138)*0.5)</f>
        <v>3420</v>
      </c>
      <c r="AK139" s="249"/>
      <c r="AL139" s="192">
        <f>MAX($G$137:$G$140)/AH139</f>
        <v>187.27272727272725</v>
      </c>
      <c r="AM139" s="206"/>
      <c r="AN139" s="174"/>
      <c r="AO139" s="286"/>
      <c r="AP139" s="303"/>
      <c r="AQ139" s="286"/>
      <c r="AR139" s="303"/>
      <c r="AS139" s="286"/>
      <c r="AT139" s="303"/>
      <c r="AU139" s="197">
        <f>G139/AW139</f>
        <v>103</v>
      </c>
      <c r="AV139" s="172">
        <f>B139/D139</f>
        <v>20.96153846153846</v>
      </c>
      <c r="AW139" s="172">
        <f>VLOOKUP(AV139,$CB$102:$CC$271,2)</f>
        <v>1</v>
      </c>
      <c r="AY139" s="183"/>
      <c r="AZ139" s="172">
        <f>((B139-B138)*AU139)-((B139-B138)*(AU139-AU138)*0.5)</f>
        <v>2696.6758926331649</v>
      </c>
      <c r="BA139" s="196"/>
      <c r="BB139" s="172">
        <f>B139</f>
        <v>109</v>
      </c>
      <c r="BC139" s="172">
        <f>G139/AD139</f>
        <v>1</v>
      </c>
      <c r="BD139" s="172">
        <v>1</v>
      </c>
      <c r="BE139" s="172">
        <v>19</v>
      </c>
      <c r="BF139" s="172">
        <f>BE139/AD139</f>
        <v>0.18446601941747573</v>
      </c>
      <c r="BG139" s="172">
        <v>60</v>
      </c>
      <c r="BH139" s="172">
        <f>BG139/AD139</f>
        <v>0.58252427184466016</v>
      </c>
      <c r="BI139" s="172">
        <v>24</v>
      </c>
      <c r="BJ139" s="172">
        <f>BI139/AD139</f>
        <v>0.23300970873786409</v>
      </c>
      <c r="CB139" s="172">
        <v>7.3999999999999897</v>
      </c>
      <c r="CC139" s="172">
        <f t="shared" si="53"/>
        <v>0.38421999999999945</v>
      </c>
      <c r="CG139" s="172">
        <v>39</v>
      </c>
      <c r="CH139" s="172">
        <f t="shared" si="54"/>
        <v>0.35099999999999998</v>
      </c>
      <c r="CJ139" s="172">
        <v>39</v>
      </c>
      <c r="CL139" s="172">
        <f t="shared" si="42"/>
        <v>0.11700000000000001</v>
      </c>
      <c r="CM139" s="172">
        <f t="shared" si="43"/>
        <v>0.69569999999999999</v>
      </c>
      <c r="CN139" s="172">
        <f t="shared" si="55"/>
        <v>0.19919999999999999</v>
      </c>
      <c r="CO139" s="172">
        <f t="shared" si="44"/>
        <v>0.81269999999999998</v>
      </c>
      <c r="CP139" s="172">
        <f t="shared" si="45"/>
        <v>0.89490000000000003</v>
      </c>
      <c r="CR139" s="172">
        <v>0.21</v>
      </c>
      <c r="CS139" s="172">
        <v>0.5</v>
      </c>
      <c r="CT139" s="172">
        <v>0.28000000000000003</v>
      </c>
      <c r="CU139" s="172">
        <f t="shared" si="46"/>
        <v>0.71</v>
      </c>
      <c r="CV139" s="172">
        <f t="shared" si="47"/>
        <v>0.78</v>
      </c>
    </row>
    <row r="140" spans="1:100" s="172" customFormat="1" x14ac:dyDescent="0.25">
      <c r="A140" s="172">
        <v>2011</v>
      </c>
      <c r="B140" s="172">
        <f t="shared" si="24"/>
        <v>151</v>
      </c>
      <c r="C140" s="191">
        <v>40694</v>
      </c>
      <c r="E140" s="172" t="e">
        <f>VLOOKUP(C140,#REF!,2)</f>
        <v>#REF!</v>
      </c>
      <c r="G140" s="192">
        <v>0</v>
      </c>
      <c r="H140" s="193"/>
      <c r="P140" s="194"/>
      <c r="Q140" s="193"/>
      <c r="Y140" s="195"/>
      <c r="AA140" s="195"/>
      <c r="AB140" s="183">
        <f>0.5*(B140-B139)*G139</f>
        <v>2163</v>
      </c>
      <c r="AC140" s="172">
        <f>AF140/$AF$1</f>
        <v>139.36000000000001</v>
      </c>
      <c r="AD140" s="172">
        <f>MAX(G137:G140)</f>
        <v>103</v>
      </c>
      <c r="AE140" s="206">
        <f>AC140/AD140</f>
        <v>1.3530097087378643</v>
      </c>
      <c r="AF140" s="196">
        <f>SUM(AB138:AB140)</f>
        <v>6968</v>
      </c>
      <c r="AG140" s="171">
        <f t="shared" si="52"/>
        <v>0</v>
      </c>
      <c r="AH140" s="174">
        <f t="shared" si="25"/>
        <v>0.55000000000000004</v>
      </c>
      <c r="AI140" s="174"/>
      <c r="AJ140" s="174">
        <f>0.5*(B140-B139)*AG139</f>
        <v>3932.7272727272721</v>
      </c>
      <c r="AK140" s="249">
        <f>AN140/$AN$1</f>
        <v>253.38181818181818</v>
      </c>
      <c r="AL140" s="192">
        <f>MAX($G$137:$G$140)/AH140</f>
        <v>187.27272727272725</v>
      </c>
      <c r="AM140" s="206">
        <f>AK140/AL140</f>
        <v>1.3530097087378643</v>
      </c>
      <c r="AN140" s="174">
        <f>SUM(AJ138:AJ140)</f>
        <v>12669.090909090908</v>
      </c>
      <c r="AO140" s="286">
        <v>195</v>
      </c>
      <c r="AP140" s="303">
        <v>2.04</v>
      </c>
      <c r="AQ140" s="290">
        <f>AO140</f>
        <v>195</v>
      </c>
      <c r="AR140" s="303">
        <v>194</v>
      </c>
      <c r="AS140" s="286">
        <v>1.88</v>
      </c>
      <c r="AT140" s="303">
        <f>AL140*$AS$188</f>
        <v>0</v>
      </c>
      <c r="AU140" s="197">
        <v>0</v>
      </c>
      <c r="AX140" s="172">
        <f>BA140/$BA$1</f>
        <v>219.44454218580165</v>
      </c>
      <c r="AY140" s="183">
        <f>AX140/AD140</f>
        <v>2.1305295357844822</v>
      </c>
      <c r="AZ140" s="172">
        <f>0.5*(B140-B139)*AU139</f>
        <v>2163</v>
      </c>
      <c r="BA140" s="196">
        <f>SUM(AZ138:AZ140)</f>
        <v>10972.227109290083</v>
      </c>
      <c r="CB140" s="172">
        <v>7.5999999999999899</v>
      </c>
      <c r="CC140" s="172">
        <f t="shared" si="53"/>
        <v>0.39467999999999942</v>
      </c>
      <c r="CG140" s="172">
        <v>40</v>
      </c>
      <c r="CH140" s="172">
        <f t="shared" si="54"/>
        <v>0.36</v>
      </c>
      <c r="CJ140" s="172">
        <v>40</v>
      </c>
      <c r="CL140" s="172">
        <f t="shared" si="42"/>
        <v>0.12</v>
      </c>
      <c r="CM140" s="172">
        <f t="shared" si="43"/>
        <v>0.69179999999999997</v>
      </c>
      <c r="CN140" s="172">
        <f t="shared" si="55"/>
        <v>0.19939999999999999</v>
      </c>
      <c r="CO140" s="172">
        <f t="shared" si="44"/>
        <v>0.81179999999999997</v>
      </c>
      <c r="CP140" s="172">
        <f t="shared" si="45"/>
        <v>0.89119999999999999</v>
      </c>
      <c r="CR140" s="172">
        <v>0.21</v>
      </c>
      <c r="CS140" s="172">
        <v>0.5</v>
      </c>
      <c r="CT140" s="172">
        <v>0.28000000000000003</v>
      </c>
      <c r="CU140" s="172">
        <f t="shared" si="46"/>
        <v>0.71</v>
      </c>
      <c r="CV140" s="172">
        <f t="shared" si="47"/>
        <v>0.78</v>
      </c>
    </row>
    <row r="141" spans="1:100" x14ac:dyDescent="0.25">
      <c r="A141">
        <v>2012</v>
      </c>
      <c r="B141">
        <f t="shared" si="24"/>
        <v>1</v>
      </c>
      <c r="C141" s="109">
        <v>40909</v>
      </c>
      <c r="E141" t="e">
        <f>VLOOKUP(C141,#REF!,2)</f>
        <v>#REF!</v>
      </c>
      <c r="G141" s="77">
        <v>0</v>
      </c>
      <c r="AD141">
        <f>AD142</f>
        <v>42</v>
      </c>
      <c r="AG141" s="171">
        <f t="shared" si="52"/>
        <v>0</v>
      </c>
      <c r="AH141" s="108">
        <f t="shared" si="25"/>
        <v>0.55000000000000004</v>
      </c>
      <c r="AI141" s="108"/>
      <c r="AJ141" s="108"/>
      <c r="AK141" s="249"/>
      <c r="AL141" s="77">
        <f t="shared" ref="AL141:AL146" si="56">MAX($G$141:$G$146)/AH141</f>
        <v>76.36363636363636</v>
      </c>
      <c r="AM141" s="73"/>
      <c r="AN141" s="108"/>
      <c r="AO141" s="286"/>
      <c r="AP141" s="303"/>
      <c r="AQ141" s="286"/>
      <c r="AR141" s="303"/>
      <c r="AS141" s="286"/>
      <c r="AT141" s="303"/>
      <c r="AU141" s="79">
        <v>0</v>
      </c>
      <c r="CB141">
        <v>7.7999999999999901</v>
      </c>
      <c r="CC141">
        <f t="shared" si="53"/>
        <v>0.40513999999999945</v>
      </c>
      <c r="CG141">
        <v>41</v>
      </c>
      <c r="CH141">
        <f t="shared" si="54"/>
        <v>0.36899999999999999</v>
      </c>
      <c r="CJ141">
        <v>41</v>
      </c>
      <c r="CL141">
        <f t="shared" si="42"/>
        <v>0.123</v>
      </c>
      <c r="CM141">
        <f t="shared" si="43"/>
        <v>0.68789999999999996</v>
      </c>
      <c r="CN141">
        <f t="shared" si="55"/>
        <v>0.1996</v>
      </c>
      <c r="CO141">
        <f t="shared" si="44"/>
        <v>0.81089999999999995</v>
      </c>
      <c r="CP141">
        <f t="shared" si="45"/>
        <v>0.88749999999999996</v>
      </c>
      <c r="CR141">
        <v>0.21</v>
      </c>
      <c r="CS141">
        <v>0.5</v>
      </c>
      <c r="CT141">
        <v>0.28000000000000003</v>
      </c>
      <c r="CU141">
        <f t="shared" si="46"/>
        <v>0.71</v>
      </c>
      <c r="CV141">
        <f t="shared" si="47"/>
        <v>0.78</v>
      </c>
    </row>
    <row r="142" spans="1:100" x14ac:dyDescent="0.25">
      <c r="A142">
        <v>2012</v>
      </c>
      <c r="B142">
        <f t="shared" si="24"/>
        <v>83</v>
      </c>
      <c r="C142" s="109">
        <v>40991</v>
      </c>
      <c r="D142">
        <v>11.3</v>
      </c>
      <c r="E142" t="e">
        <f>VLOOKUP(C142,#REF!,2)</f>
        <v>#REF!</v>
      </c>
      <c r="G142" s="77">
        <v>35</v>
      </c>
      <c r="AB142" s="61">
        <f>0.5*(B142-B141)*G142</f>
        <v>1435</v>
      </c>
      <c r="AD142">
        <f>AD143</f>
        <v>42</v>
      </c>
      <c r="AG142" s="171">
        <f t="shared" si="52"/>
        <v>63.636363636363633</v>
      </c>
      <c r="AH142" s="108">
        <f t="shared" si="25"/>
        <v>0.55000000000000004</v>
      </c>
      <c r="AI142" s="108"/>
      <c r="AJ142" s="108">
        <f>0.5*($B142-$B141)*$AG142</f>
        <v>2609.090909090909</v>
      </c>
      <c r="AK142" s="249"/>
      <c r="AL142" s="77">
        <f t="shared" si="56"/>
        <v>76.36363636363636</v>
      </c>
      <c r="AM142" s="73"/>
      <c r="AN142" s="108"/>
      <c r="AO142" s="286"/>
      <c r="AP142" s="303"/>
      <c r="AQ142" s="286"/>
      <c r="AR142" s="303"/>
      <c r="AS142" s="286"/>
      <c r="AT142" s="303"/>
      <c r="AU142" s="79">
        <f>G142/AW142</f>
        <v>93.642979452054931</v>
      </c>
      <c r="AV142">
        <f>B142/D142</f>
        <v>7.3451327433628313</v>
      </c>
      <c r="AW142">
        <f>VLOOKUP(AV142,$CB$102:$CC$271,2)</f>
        <v>0.37375999999999948</v>
      </c>
      <c r="AZ142">
        <f>0.5*(B142-B141)*AU142</f>
        <v>3839.3621575342522</v>
      </c>
      <c r="BB142" s="117">
        <f>B142</f>
        <v>83</v>
      </c>
      <c r="BC142" s="117">
        <f>G142/AD142</f>
        <v>0.83333333333333337</v>
      </c>
      <c r="BD142" s="117">
        <v>0.7857142857142857</v>
      </c>
      <c r="BE142" s="112">
        <v>11</v>
      </c>
      <c r="BF142" s="112">
        <f>BE142/AD142</f>
        <v>0.26190476190476192</v>
      </c>
      <c r="BG142" s="112">
        <v>15</v>
      </c>
      <c r="BH142" s="112">
        <f>BG142/AD142</f>
        <v>0.35714285714285715</v>
      </c>
      <c r="BI142" s="112">
        <v>9</v>
      </c>
      <c r="BJ142" s="112">
        <f>BI142/AD142</f>
        <v>0.21428571428571427</v>
      </c>
      <c r="CB142">
        <v>7.9999999999999902</v>
      </c>
      <c r="CC142">
        <f t="shared" si="53"/>
        <v>0.41559999999999947</v>
      </c>
      <c r="CG142">
        <v>42</v>
      </c>
      <c r="CH142">
        <f t="shared" si="54"/>
        <v>0.37799999999999995</v>
      </c>
      <c r="CJ142">
        <v>42</v>
      </c>
      <c r="CL142">
        <f t="shared" si="42"/>
        <v>0.126</v>
      </c>
      <c r="CM142">
        <f t="shared" si="43"/>
        <v>0.68399999999999994</v>
      </c>
      <c r="CN142">
        <f t="shared" si="55"/>
        <v>0.19979999999999998</v>
      </c>
      <c r="CO142">
        <f t="shared" si="44"/>
        <v>0.80999999999999994</v>
      </c>
      <c r="CP142">
        <f t="shared" si="45"/>
        <v>0.88379999999999992</v>
      </c>
      <c r="CR142">
        <v>0.21</v>
      </c>
      <c r="CS142">
        <v>0.5</v>
      </c>
      <c r="CT142">
        <v>0.28000000000000003</v>
      </c>
      <c r="CU142">
        <f t="shared" si="46"/>
        <v>0.71</v>
      </c>
      <c r="CV142">
        <f t="shared" si="47"/>
        <v>0.78</v>
      </c>
    </row>
    <row r="143" spans="1:100" x14ac:dyDescent="0.25">
      <c r="A143">
        <v>2012</v>
      </c>
      <c r="B143">
        <f t="shared" si="24"/>
        <v>113</v>
      </c>
      <c r="C143" s="109">
        <v>41021</v>
      </c>
      <c r="D143">
        <v>14.7</v>
      </c>
      <c r="E143" t="e">
        <f>VLOOKUP(C143,#REF!,2)</f>
        <v>#REF!</v>
      </c>
      <c r="G143" s="77">
        <v>39</v>
      </c>
      <c r="AB143" s="61">
        <f>((B143-B142)*G143)-((B143-B142)*(G143-G142)*0.5)</f>
        <v>1110</v>
      </c>
      <c r="AD143">
        <f>AD144</f>
        <v>42</v>
      </c>
      <c r="AG143" s="171">
        <f t="shared" si="52"/>
        <v>70.909090909090907</v>
      </c>
      <c r="AH143" s="108">
        <f t="shared" si="25"/>
        <v>0.55000000000000004</v>
      </c>
      <c r="AI143" s="108"/>
      <c r="AJ143" s="108">
        <f>((B143-B142)*AG143)-((B143-B142)*(AG143-AG142)*0.5)</f>
        <v>2018.181818181818</v>
      </c>
      <c r="AK143" s="249"/>
      <c r="AL143" s="77">
        <f t="shared" si="56"/>
        <v>76.36363636363636</v>
      </c>
      <c r="AM143" s="73"/>
      <c r="AN143" s="108"/>
      <c r="AO143" s="286"/>
      <c r="AP143" s="303"/>
      <c r="AQ143" s="286"/>
      <c r="AR143" s="303"/>
      <c r="AS143" s="286"/>
      <c r="AT143" s="303"/>
      <c r="AU143" s="79">
        <f>G143/AW143</f>
        <v>98.814229249012001</v>
      </c>
      <c r="AV143">
        <f>B143/D143</f>
        <v>7.6870748299319729</v>
      </c>
      <c r="AW143">
        <f>VLOOKUP(AV143,$CB$102:$CC$271,2)</f>
        <v>0.39467999999999942</v>
      </c>
      <c r="AZ143">
        <f>((B143-B142)*AU143)-((B143-B142)*(AU143-AU142)*0.5)</f>
        <v>2886.8581305160042</v>
      </c>
      <c r="BB143" s="117">
        <f>B143</f>
        <v>113</v>
      </c>
      <c r="BC143" s="117">
        <f>G143/AD143</f>
        <v>0.9285714285714286</v>
      </c>
      <c r="BD143" s="117">
        <v>0.90476190476190477</v>
      </c>
      <c r="BE143" s="112">
        <v>9</v>
      </c>
      <c r="BF143" s="112">
        <f>BE143/AD143</f>
        <v>0.21428571428571427</v>
      </c>
      <c r="BG143" s="112">
        <v>21</v>
      </c>
      <c r="BH143" s="112">
        <f>BG143/AD143</f>
        <v>0.5</v>
      </c>
      <c r="BI143" s="112">
        <v>9</v>
      </c>
      <c r="BJ143" s="112">
        <f>BI143/AD143</f>
        <v>0.21428571428571427</v>
      </c>
      <c r="CB143">
        <v>8.1999999999999904</v>
      </c>
      <c r="CC143">
        <f t="shared" si="53"/>
        <v>0.42605999999999949</v>
      </c>
      <c r="CG143">
        <v>43</v>
      </c>
      <c r="CH143">
        <f t="shared" si="54"/>
        <v>0.38699999999999996</v>
      </c>
      <c r="CJ143">
        <v>43</v>
      </c>
      <c r="CL143">
        <f t="shared" si="42"/>
        <v>0.129</v>
      </c>
      <c r="CM143">
        <f t="shared" si="43"/>
        <v>0.68010000000000004</v>
      </c>
      <c r="CN143">
        <f t="shared" si="55"/>
        <v>0.19999999999999998</v>
      </c>
      <c r="CO143">
        <f t="shared" si="44"/>
        <v>0.80910000000000004</v>
      </c>
      <c r="CP143">
        <f t="shared" si="45"/>
        <v>0.88009999999999999</v>
      </c>
      <c r="CR143">
        <v>0.21</v>
      </c>
      <c r="CS143">
        <v>0.5</v>
      </c>
      <c r="CT143">
        <v>0.28000000000000003</v>
      </c>
      <c r="CU143">
        <f t="shared" si="46"/>
        <v>0.71</v>
      </c>
      <c r="CV143">
        <f t="shared" si="47"/>
        <v>0.78</v>
      </c>
    </row>
    <row r="144" spans="1:100" x14ac:dyDescent="0.25">
      <c r="A144">
        <v>2012</v>
      </c>
      <c r="B144">
        <f t="shared" si="24"/>
        <v>128</v>
      </c>
      <c r="C144" s="109">
        <v>41036</v>
      </c>
      <c r="D144">
        <v>10.9</v>
      </c>
      <c r="E144" t="e">
        <f>VLOOKUP(C144,#REF!,2)</f>
        <v>#REF!</v>
      </c>
      <c r="G144" s="77">
        <v>42</v>
      </c>
      <c r="AB144" s="61">
        <f>((B144-B143)*G144)-((B144-B143)*(G144-G143)*0.5)</f>
        <v>607.5</v>
      </c>
      <c r="AD144">
        <f>AD146</f>
        <v>42</v>
      </c>
      <c r="AG144" s="171">
        <f t="shared" si="52"/>
        <v>76.36363636363636</v>
      </c>
      <c r="AH144" s="108">
        <f t="shared" si="25"/>
        <v>0.55000000000000004</v>
      </c>
      <c r="AI144" s="108"/>
      <c r="AJ144" s="108">
        <f>0.5*(B144-B143)*AG143</f>
        <v>531.81818181818176</v>
      </c>
      <c r="AK144" s="249"/>
      <c r="AL144" s="77">
        <f t="shared" si="56"/>
        <v>76.36363636363636</v>
      </c>
      <c r="AM144" s="73"/>
      <c r="AN144" s="108"/>
      <c r="AO144" s="286"/>
      <c r="AP144" s="303"/>
      <c r="AQ144" s="286"/>
      <c r="AR144" s="303"/>
      <c r="AS144" s="286"/>
      <c r="AT144" s="303"/>
      <c r="AU144" s="79">
        <f>G144/AW144</f>
        <v>69.550241769888061</v>
      </c>
      <c r="AV144">
        <f>B144/D144</f>
        <v>11.743119266055045</v>
      </c>
      <c r="AW144">
        <f>VLOOKUP(AV144,$CB$102:$CC$271,2)</f>
        <v>0.60387999999999997</v>
      </c>
      <c r="AZ144">
        <f>((B144-B143)*AU144)-((B144-B143)*(AU144-AU143)*0.5)</f>
        <v>1262.7335326417503</v>
      </c>
      <c r="BB144" s="117">
        <f>B144</f>
        <v>128</v>
      </c>
      <c r="BC144" s="117">
        <f>G144/AD144</f>
        <v>1</v>
      </c>
      <c r="BD144" s="117">
        <v>1</v>
      </c>
      <c r="BE144" s="112">
        <v>5</v>
      </c>
      <c r="BF144" s="112">
        <f>BE144/AD144</f>
        <v>0.11904761904761904</v>
      </c>
      <c r="BG144" s="112">
        <v>15</v>
      </c>
      <c r="BH144" s="112">
        <f>BG144/AD144</f>
        <v>0.35714285714285715</v>
      </c>
      <c r="BI144" s="112">
        <v>26</v>
      </c>
      <c r="BJ144" s="112">
        <f>BI144/AD144</f>
        <v>0.61904761904761907</v>
      </c>
      <c r="CB144">
        <v>8.3999999999999897</v>
      </c>
      <c r="CC144">
        <f t="shared" si="53"/>
        <v>0.43651999999999941</v>
      </c>
      <c r="CG144">
        <v>44</v>
      </c>
      <c r="CH144">
        <f t="shared" si="54"/>
        <v>0.39599999999999996</v>
      </c>
      <c r="CJ144">
        <v>44</v>
      </c>
      <c r="CL144">
        <f t="shared" si="42"/>
        <v>0.13200000000000001</v>
      </c>
      <c r="CM144">
        <f t="shared" si="43"/>
        <v>0.67620000000000002</v>
      </c>
      <c r="CN144">
        <f t="shared" si="55"/>
        <v>0.20019999999999999</v>
      </c>
      <c r="CO144">
        <f t="shared" si="44"/>
        <v>0.80820000000000003</v>
      </c>
      <c r="CP144">
        <f t="shared" si="45"/>
        <v>0.87640000000000007</v>
      </c>
      <c r="CR144">
        <v>0.21</v>
      </c>
      <c r="CS144">
        <v>0.5</v>
      </c>
      <c r="CT144">
        <v>0.28000000000000003</v>
      </c>
      <c r="CU144">
        <f t="shared" si="46"/>
        <v>0.71</v>
      </c>
      <c r="CV144">
        <f t="shared" si="47"/>
        <v>0.78</v>
      </c>
    </row>
    <row r="145" spans="1:100" x14ac:dyDescent="0.25">
      <c r="A145">
        <v>2012</v>
      </c>
      <c r="B145">
        <f t="shared" ref="B145:B173" si="57">C145-DATE(YEAR(C145),1,1)+1</f>
        <v>146</v>
      </c>
      <c r="C145" s="109">
        <v>41054</v>
      </c>
      <c r="E145" t="e">
        <f>VLOOKUP(C145,#REF!,2)</f>
        <v>#REF!</v>
      </c>
      <c r="G145" s="77">
        <v>27</v>
      </c>
      <c r="AB145" s="61">
        <f>0.5*(B146-B145)*G145</f>
        <v>81</v>
      </c>
      <c r="AD145">
        <v>42</v>
      </c>
      <c r="AG145" s="171">
        <f t="shared" si="52"/>
        <v>49.090909090909086</v>
      </c>
      <c r="AH145" s="108">
        <f t="shared" si="25"/>
        <v>0.55000000000000004</v>
      </c>
      <c r="AI145" s="108"/>
      <c r="AJ145" s="108">
        <f>((B145-B144)*AG145)-((B145-B144)*(AG145-AG144)*0.5)</f>
        <v>1129.090909090909</v>
      </c>
      <c r="AK145" s="249"/>
      <c r="AL145" s="77">
        <f t="shared" si="56"/>
        <v>76.36363636363636</v>
      </c>
      <c r="AM145" s="73"/>
      <c r="AN145" s="108"/>
      <c r="AO145" s="286"/>
      <c r="AP145" s="303"/>
      <c r="AQ145" s="286"/>
      <c r="AR145" s="303"/>
      <c r="AS145" s="286"/>
      <c r="AT145" s="303"/>
      <c r="BE145" s="112">
        <v>6</v>
      </c>
      <c r="BF145" s="112">
        <f>BE145/AD145</f>
        <v>0.14285714285714285</v>
      </c>
      <c r="BG145" s="112">
        <v>6</v>
      </c>
      <c r="BH145" s="112">
        <f>BG145/AD145</f>
        <v>0.14285714285714285</v>
      </c>
      <c r="BI145" s="112">
        <v>15</v>
      </c>
      <c r="BJ145" s="112">
        <f>BI145/AD145</f>
        <v>0.35714285714285715</v>
      </c>
      <c r="CL145">
        <f t="shared" si="42"/>
        <v>0</v>
      </c>
      <c r="CM145">
        <f t="shared" si="43"/>
        <v>0.8478</v>
      </c>
      <c r="CN145">
        <f t="shared" si="55"/>
        <v>0.19139999999999999</v>
      </c>
      <c r="CO145">
        <f t="shared" si="44"/>
        <v>0.8478</v>
      </c>
      <c r="CP145">
        <f t="shared" si="45"/>
        <v>1.0391999999999999</v>
      </c>
      <c r="CR145">
        <v>0.21</v>
      </c>
      <c r="CS145">
        <v>0.5</v>
      </c>
      <c r="CT145">
        <v>0.28000000000000003</v>
      </c>
      <c r="CU145">
        <f t="shared" si="46"/>
        <v>0.71</v>
      </c>
      <c r="CV145">
        <f t="shared" si="47"/>
        <v>0.78</v>
      </c>
    </row>
    <row r="146" spans="1:100" x14ac:dyDescent="0.25">
      <c r="A146">
        <v>2012</v>
      </c>
      <c r="B146">
        <f t="shared" si="57"/>
        <v>152</v>
      </c>
      <c r="C146" s="109">
        <v>41060</v>
      </c>
      <c r="E146" t="e">
        <f>VLOOKUP(C146,#REF!,2)</f>
        <v>#REF!</v>
      </c>
      <c r="G146" s="77">
        <v>0</v>
      </c>
      <c r="AC146">
        <f>AF146/$AF$1</f>
        <v>64.67</v>
      </c>
      <c r="AD146">
        <f>MAX(G141:G146)</f>
        <v>42</v>
      </c>
      <c r="AE146" s="73">
        <f>AC146/AD146</f>
        <v>1.5397619047619049</v>
      </c>
      <c r="AF146" s="279">
        <f>SUM(AB142:AB146)</f>
        <v>3233.5</v>
      </c>
      <c r="AG146" s="171">
        <f t="shared" si="52"/>
        <v>0</v>
      </c>
      <c r="AH146" s="108">
        <f t="shared" si="25"/>
        <v>0.55000000000000004</v>
      </c>
      <c r="AI146" s="108"/>
      <c r="AJ146" s="108">
        <f>0.5*(B146-B145)*AG145</f>
        <v>147.27272727272725</v>
      </c>
      <c r="AK146" s="248">
        <f>AN146/$AN$1</f>
        <v>128.70909090909089</v>
      </c>
      <c r="AL146" s="77">
        <f t="shared" si="56"/>
        <v>76.36363636363636</v>
      </c>
      <c r="AM146" s="73">
        <f>AK146/AL146</f>
        <v>1.6854761904761904</v>
      </c>
      <c r="AN146" s="108">
        <f>SUM(AJ142:AJ146)</f>
        <v>6435.454545454545</v>
      </c>
      <c r="AO146" s="286">
        <v>165</v>
      </c>
      <c r="AP146" s="303">
        <v>3.93</v>
      </c>
      <c r="AQ146" s="290">
        <f>AO146</f>
        <v>165</v>
      </c>
      <c r="AR146" s="303">
        <v>392</v>
      </c>
      <c r="AS146" s="286">
        <v>9.34</v>
      </c>
      <c r="AT146" s="303">
        <f>AL146*$AS$188</f>
        <v>0</v>
      </c>
      <c r="AU146" s="79">
        <v>0</v>
      </c>
      <c r="AX146">
        <f>BA146/$BA$1</f>
        <v>176.47113443861326</v>
      </c>
      <c r="AY146" s="61">
        <f>AX146/AD146</f>
        <v>4.2016936771098399</v>
      </c>
      <c r="AZ146">
        <f>0.5*(B146-B144)*AU144</f>
        <v>834.60290123865673</v>
      </c>
      <c r="BA146" s="78">
        <f>SUM(AZ142:AZ146)</f>
        <v>8823.5567219306631</v>
      </c>
      <c r="CB146">
        <v>8.5999999999999908</v>
      </c>
      <c r="CC146">
        <f t="shared" si="53"/>
        <v>0.44697999999999949</v>
      </c>
      <c r="CG146">
        <v>45</v>
      </c>
      <c r="CH146">
        <f t="shared" si="54"/>
        <v>0.40499999999999997</v>
      </c>
      <c r="CJ146">
        <v>45</v>
      </c>
      <c r="CL146">
        <f t="shared" si="42"/>
        <v>0.13500000000000001</v>
      </c>
      <c r="CM146">
        <f t="shared" si="43"/>
        <v>0.67230000000000001</v>
      </c>
      <c r="CN146">
        <f t="shared" si="55"/>
        <v>0.20039999999999999</v>
      </c>
      <c r="CO146">
        <f t="shared" si="44"/>
        <v>0.80730000000000002</v>
      </c>
      <c r="CP146">
        <f t="shared" si="45"/>
        <v>0.87270000000000003</v>
      </c>
      <c r="CR146">
        <v>0.21</v>
      </c>
      <c r="CS146">
        <v>0.5</v>
      </c>
      <c r="CT146">
        <v>0.28000000000000003</v>
      </c>
      <c r="CU146">
        <f t="shared" si="46"/>
        <v>0.71</v>
      </c>
      <c r="CV146">
        <f t="shared" si="47"/>
        <v>0.78</v>
      </c>
    </row>
    <row r="147" spans="1:100" s="172" customFormat="1" x14ac:dyDescent="0.25">
      <c r="A147" s="172">
        <v>2013</v>
      </c>
      <c r="B147" s="172">
        <f t="shared" si="57"/>
        <v>1</v>
      </c>
      <c r="C147" s="191">
        <v>41275</v>
      </c>
      <c r="E147" s="172" t="e">
        <f>VLOOKUP(C147,#REF!,2)</f>
        <v>#REF!</v>
      </c>
      <c r="G147" s="192">
        <v>0</v>
      </c>
      <c r="H147" s="193"/>
      <c r="P147" s="194"/>
      <c r="Q147" s="193"/>
      <c r="Y147" s="195"/>
      <c r="AA147" s="195"/>
      <c r="AB147" s="183"/>
      <c r="AD147" s="172">
        <f t="shared" ref="AD147:AD152" si="58">AD148</f>
        <v>93</v>
      </c>
      <c r="AE147" s="206"/>
      <c r="AF147" s="196"/>
      <c r="AG147" s="171">
        <f t="shared" ref="AG147:AG168" si="59">G147/AH147</f>
        <v>0</v>
      </c>
      <c r="AH147" s="174">
        <f t="shared" si="25"/>
        <v>0.55000000000000004</v>
      </c>
      <c r="AI147" s="174"/>
      <c r="AJ147" s="174"/>
      <c r="AK147" s="249"/>
      <c r="AL147" s="192">
        <f>MAX($G$147:$G$153)/AH147</f>
        <v>169.09090909090907</v>
      </c>
      <c r="AM147" s="206"/>
      <c r="AN147" s="174"/>
      <c r="AO147" s="286"/>
      <c r="AP147" s="303"/>
      <c r="AQ147" s="286"/>
      <c r="AR147" s="303"/>
      <c r="AS147" s="286"/>
      <c r="AT147" s="303"/>
      <c r="AU147" s="197">
        <v>0</v>
      </c>
      <c r="AY147" s="183"/>
      <c r="BA147" s="196"/>
      <c r="CB147" s="172">
        <v>8.7999999999999901</v>
      </c>
      <c r="CC147" s="172">
        <f t="shared" si="53"/>
        <v>0.45743999999999946</v>
      </c>
      <c r="CG147" s="172">
        <v>46</v>
      </c>
      <c r="CH147" s="172">
        <f t="shared" si="54"/>
        <v>0.41399999999999998</v>
      </c>
      <c r="CJ147" s="172">
        <v>46</v>
      </c>
      <c r="CL147" s="172">
        <f t="shared" si="42"/>
        <v>0.13800000000000001</v>
      </c>
      <c r="CM147" s="172">
        <f t="shared" si="43"/>
        <v>0.66839999999999999</v>
      </c>
      <c r="CN147" s="172">
        <f t="shared" si="55"/>
        <v>0.2006</v>
      </c>
      <c r="CO147" s="172">
        <f t="shared" si="44"/>
        <v>0.80640000000000001</v>
      </c>
      <c r="CP147" s="172">
        <f t="shared" si="45"/>
        <v>0.86899999999999999</v>
      </c>
      <c r="CR147" s="172">
        <v>0.21</v>
      </c>
      <c r="CS147" s="172">
        <v>0.5</v>
      </c>
      <c r="CT147" s="172">
        <v>0.28000000000000003</v>
      </c>
      <c r="CU147" s="172">
        <f t="shared" si="46"/>
        <v>0.71</v>
      </c>
      <c r="CV147" s="172">
        <f t="shared" si="47"/>
        <v>0.78</v>
      </c>
    </row>
    <row r="148" spans="1:100" s="172" customFormat="1" x14ac:dyDescent="0.25">
      <c r="A148" s="172">
        <v>2013</v>
      </c>
      <c r="B148" s="172">
        <f t="shared" si="57"/>
        <v>85</v>
      </c>
      <c r="C148" s="191">
        <v>41359</v>
      </c>
      <c r="D148" s="172">
        <v>9.5</v>
      </c>
      <c r="E148" s="172" t="e">
        <f>VLOOKUP(C148,#REF!,2)</f>
        <v>#REF!</v>
      </c>
      <c r="G148" s="192">
        <v>84</v>
      </c>
      <c r="H148" s="193"/>
      <c r="P148" s="194"/>
      <c r="Q148" s="193"/>
      <c r="Y148" s="195"/>
      <c r="AA148" s="195"/>
      <c r="AB148" s="183">
        <f>0.5*(B148-B147)*G148</f>
        <v>3528</v>
      </c>
      <c r="AD148" s="172">
        <f t="shared" si="58"/>
        <v>93</v>
      </c>
      <c r="AE148" s="206"/>
      <c r="AF148" s="196"/>
      <c r="AG148" s="171">
        <f t="shared" si="59"/>
        <v>152.72727272727272</v>
      </c>
      <c r="AH148" s="174">
        <f t="shared" si="25"/>
        <v>0.55000000000000004</v>
      </c>
      <c r="AI148" s="174"/>
      <c r="AJ148" s="174">
        <f>0.5*($B148-$B147)*$AG148</f>
        <v>6414.545454545454</v>
      </c>
      <c r="AK148" s="249"/>
      <c r="AL148" s="192">
        <f t="shared" ref="AL148:AL153" si="60">MAX($G$147:$G$153)/AH148</f>
        <v>169.09090909090907</v>
      </c>
      <c r="AM148" s="206"/>
      <c r="AN148" s="174"/>
      <c r="AO148" s="286"/>
      <c r="AP148" s="303"/>
      <c r="AQ148" s="286"/>
      <c r="AR148" s="303"/>
      <c r="AS148" s="286"/>
      <c r="AT148" s="303"/>
      <c r="AU148" s="197">
        <f>G148/AW148</f>
        <v>183.63064008394565</v>
      </c>
      <c r="AV148" s="172">
        <f>B148/D148</f>
        <v>8.9473684210526319</v>
      </c>
      <c r="AW148" s="172">
        <f>VLOOKUP(AV148,$CB$102:$CC$271,2)</f>
        <v>0.45743999999999946</v>
      </c>
      <c r="AY148" s="183"/>
      <c r="AZ148" s="172">
        <f>0.5*(B148-B147)*AU148</f>
        <v>7712.4868835257175</v>
      </c>
      <c r="BA148" s="196"/>
      <c r="BB148" s="172">
        <f>B148</f>
        <v>85</v>
      </c>
      <c r="BC148" s="172">
        <f>G148/AD148</f>
        <v>0.90322580645161288</v>
      </c>
      <c r="BD148" s="172">
        <v>0.9438202247191011</v>
      </c>
      <c r="BE148" s="172">
        <v>22</v>
      </c>
      <c r="BF148" s="172">
        <f>BE148/AD148</f>
        <v>0.23655913978494625</v>
      </c>
      <c r="BG148" s="172">
        <v>42</v>
      </c>
      <c r="BH148" s="172">
        <f>BG148/AD148</f>
        <v>0.45161290322580644</v>
      </c>
      <c r="BI148" s="172">
        <v>20</v>
      </c>
      <c r="BJ148" s="172">
        <f>BI148/AD148</f>
        <v>0.21505376344086022</v>
      </c>
      <c r="CB148" s="172">
        <v>8.9999999999999893</v>
      </c>
      <c r="CC148" s="172">
        <f t="shared" si="53"/>
        <v>0.46789999999999943</v>
      </c>
      <c r="CG148" s="172">
        <v>47</v>
      </c>
      <c r="CH148" s="172">
        <f t="shared" si="54"/>
        <v>0.42299999999999999</v>
      </c>
      <c r="CJ148" s="172">
        <v>47</v>
      </c>
      <c r="CL148" s="172">
        <f t="shared" si="42"/>
        <v>0.14100000000000001</v>
      </c>
      <c r="CM148" s="172">
        <f t="shared" si="43"/>
        <v>0.66449999999999998</v>
      </c>
      <c r="CN148" s="172">
        <f t="shared" si="55"/>
        <v>0.20079999999999998</v>
      </c>
      <c r="CO148" s="172">
        <f t="shared" si="44"/>
        <v>0.80549999999999999</v>
      </c>
      <c r="CP148" s="172">
        <f t="shared" si="45"/>
        <v>0.86529999999999996</v>
      </c>
      <c r="CR148" s="172">
        <v>0.21</v>
      </c>
      <c r="CS148" s="172">
        <v>0.5</v>
      </c>
      <c r="CT148" s="172">
        <v>0.28000000000000003</v>
      </c>
      <c r="CU148" s="172">
        <f t="shared" si="46"/>
        <v>0.71</v>
      </c>
      <c r="CV148" s="172">
        <f t="shared" si="47"/>
        <v>0.78</v>
      </c>
    </row>
    <row r="149" spans="1:100" s="172" customFormat="1" x14ac:dyDescent="0.25">
      <c r="A149" s="172">
        <v>2013</v>
      </c>
      <c r="B149" s="172">
        <f t="shared" si="57"/>
        <v>86</v>
      </c>
      <c r="C149" s="191">
        <v>41360</v>
      </c>
      <c r="D149" s="172">
        <v>8.8000000000000007</v>
      </c>
      <c r="E149" s="172" t="e">
        <f>VLOOKUP(C149,#REF!,2)</f>
        <v>#REF!</v>
      </c>
      <c r="G149" s="192">
        <v>87</v>
      </c>
      <c r="H149" s="193"/>
      <c r="P149" s="194"/>
      <c r="Q149" s="193"/>
      <c r="Y149" s="195"/>
      <c r="AA149" s="195"/>
      <c r="AB149" s="183">
        <f>((B149-B148)*G149)-((B149-B148)*(G149-G148)*0.5)</f>
        <v>85.5</v>
      </c>
      <c r="AD149" s="172">
        <f t="shared" si="58"/>
        <v>93</v>
      </c>
      <c r="AE149" s="206"/>
      <c r="AF149" s="196"/>
      <c r="AG149" s="171">
        <f t="shared" si="59"/>
        <v>158.18181818181816</v>
      </c>
      <c r="AH149" s="174">
        <f t="shared" si="25"/>
        <v>0.55000000000000004</v>
      </c>
      <c r="AI149" s="174"/>
      <c r="AJ149" s="174">
        <f>((B149-B148)*AG149)-((B149-B148)*(AG149-AG148)*0.5)</f>
        <v>155.45454545454544</v>
      </c>
      <c r="AK149" s="249"/>
      <c r="AL149" s="192">
        <f t="shared" si="60"/>
        <v>169.09090909090907</v>
      </c>
      <c r="AM149" s="206"/>
      <c r="AN149" s="174"/>
      <c r="AO149" s="286"/>
      <c r="AP149" s="303"/>
      <c r="AQ149" s="286"/>
      <c r="AR149" s="303"/>
      <c r="AS149" s="286"/>
      <c r="AT149" s="303"/>
      <c r="AU149" s="197">
        <f>G149/AW149</f>
        <v>174.25092132671062</v>
      </c>
      <c r="AV149" s="172">
        <f>B149/D149</f>
        <v>9.7727272727272716</v>
      </c>
      <c r="AW149" s="172">
        <f>VLOOKUP(AV149,$CB$102:$CC$271,2)</f>
        <v>0.4992799999999995</v>
      </c>
      <c r="AY149" s="183"/>
      <c r="AZ149" s="172">
        <f>((B149-B148)*AU149)-((B149-B148)*(AU149-AU148)*0.5)</f>
        <v>178.94078070532814</v>
      </c>
      <c r="BA149" s="196"/>
      <c r="BB149" s="172">
        <f>B149</f>
        <v>86</v>
      </c>
      <c r="BC149" s="172">
        <f>G149/AD149</f>
        <v>0.93548387096774188</v>
      </c>
      <c r="BD149" s="172">
        <v>0.97752808988764039</v>
      </c>
      <c r="BE149" s="172">
        <v>22</v>
      </c>
      <c r="BF149" s="172">
        <f>BE149/AD149</f>
        <v>0.23655913978494625</v>
      </c>
      <c r="BG149" s="172">
        <v>33</v>
      </c>
      <c r="BH149" s="172">
        <f>BG149/AD149</f>
        <v>0.35483870967741937</v>
      </c>
      <c r="BI149" s="172">
        <v>32</v>
      </c>
      <c r="BJ149" s="172">
        <f>BI149/AD149</f>
        <v>0.34408602150537637</v>
      </c>
      <c r="CB149" s="172">
        <v>9.1999999999999904</v>
      </c>
      <c r="CC149" s="172">
        <f t="shared" si="53"/>
        <v>0.47835999999999945</v>
      </c>
      <c r="CG149" s="172">
        <v>48</v>
      </c>
      <c r="CH149" s="172">
        <f t="shared" si="54"/>
        <v>0.43199999999999994</v>
      </c>
      <c r="CJ149" s="172">
        <v>48</v>
      </c>
      <c r="CL149" s="172">
        <f t="shared" si="42"/>
        <v>0.14400000000000002</v>
      </c>
      <c r="CM149" s="172">
        <f t="shared" si="43"/>
        <v>0.66060000000000008</v>
      </c>
      <c r="CN149" s="172">
        <f t="shared" si="55"/>
        <v>0.20099999999999998</v>
      </c>
      <c r="CO149" s="172">
        <f t="shared" si="44"/>
        <v>0.80460000000000009</v>
      </c>
      <c r="CP149" s="172">
        <f t="shared" si="45"/>
        <v>0.86160000000000003</v>
      </c>
      <c r="CR149" s="172">
        <v>0.21</v>
      </c>
      <c r="CS149" s="172">
        <v>0.5</v>
      </c>
      <c r="CT149" s="172">
        <v>0.28000000000000003</v>
      </c>
      <c r="CU149" s="172">
        <f t="shared" si="46"/>
        <v>0.71</v>
      </c>
      <c r="CV149" s="172">
        <f t="shared" si="47"/>
        <v>0.78</v>
      </c>
    </row>
    <row r="150" spans="1:100" s="172" customFormat="1" x14ac:dyDescent="0.25">
      <c r="A150" s="172">
        <v>2013</v>
      </c>
      <c r="B150" s="172">
        <f t="shared" si="57"/>
        <v>107</v>
      </c>
      <c r="C150" s="191">
        <v>41381</v>
      </c>
      <c r="D150" s="172">
        <v>7.7</v>
      </c>
      <c r="E150" s="172" t="e">
        <f>VLOOKUP(C150,#REF!,2)</f>
        <v>#REF!</v>
      </c>
      <c r="G150" s="192">
        <v>93</v>
      </c>
      <c r="H150" s="193"/>
      <c r="P150" s="194"/>
      <c r="Q150" s="193"/>
      <c r="Y150" s="195"/>
      <c r="AA150" s="195"/>
      <c r="AB150" s="183">
        <f>((B150-B149)*G150)-((B150-B149)*(G150-G149)*0.5)</f>
        <v>1890</v>
      </c>
      <c r="AD150" s="172">
        <f t="shared" si="58"/>
        <v>93</v>
      </c>
      <c r="AE150" s="206"/>
      <c r="AF150" s="196"/>
      <c r="AG150" s="171">
        <f t="shared" si="59"/>
        <v>169.09090909090907</v>
      </c>
      <c r="AH150" s="174">
        <f t="shared" si="25"/>
        <v>0.55000000000000004</v>
      </c>
      <c r="AI150" s="174"/>
      <c r="AJ150" s="174">
        <f>((B150-B149)*AG150)-((B150-B149)*(AG150-AG149)*0.5)</f>
        <v>3436.363636363636</v>
      </c>
      <c r="AK150" s="249"/>
      <c r="AL150" s="192">
        <f t="shared" si="60"/>
        <v>169.09090909090907</v>
      </c>
      <c r="AM150" s="206"/>
      <c r="AN150" s="174"/>
      <c r="AO150" s="286"/>
      <c r="AP150" s="303"/>
      <c r="AQ150" s="286"/>
      <c r="AR150" s="303"/>
      <c r="AS150" s="286"/>
      <c r="AT150" s="303"/>
      <c r="AU150" s="197">
        <f>G150/AW150</f>
        <v>129.35710907725263</v>
      </c>
      <c r="AV150" s="172">
        <f>B150/D150</f>
        <v>13.896103896103895</v>
      </c>
      <c r="AW150" s="172">
        <f>VLOOKUP(AV150,$CB$102:$CC$271,2)</f>
        <v>0.71894000000000002</v>
      </c>
      <c r="AY150" s="183"/>
      <c r="AZ150" s="172">
        <f>((B150-B149)*AU150)-((B150-B149)*(AU150-AU149)*0.5)</f>
        <v>3187.8843192416143</v>
      </c>
      <c r="BA150" s="196"/>
      <c r="BB150" s="172">
        <f>B150</f>
        <v>107</v>
      </c>
      <c r="BC150" s="172">
        <f>G150/AD150</f>
        <v>1</v>
      </c>
      <c r="BD150" s="172">
        <v>1</v>
      </c>
      <c r="BE150" s="172">
        <v>14</v>
      </c>
      <c r="BF150" s="172">
        <f>BE150/AD150</f>
        <v>0.15053763440860216</v>
      </c>
      <c r="BG150" s="172">
        <v>36</v>
      </c>
      <c r="BH150" s="172">
        <f>BG150/AD150</f>
        <v>0.38709677419354838</v>
      </c>
      <c r="BI150" s="172">
        <v>43</v>
      </c>
      <c r="BJ150" s="172">
        <f>BI150/AD150</f>
        <v>0.46236559139784944</v>
      </c>
      <c r="CB150" s="172">
        <v>9.3999999999999897</v>
      </c>
      <c r="CC150" s="172">
        <f t="shared" si="53"/>
        <v>0.48881999999999942</v>
      </c>
      <c r="CG150" s="172">
        <v>49</v>
      </c>
      <c r="CH150" s="172">
        <f t="shared" si="54"/>
        <v>0.44099999999999995</v>
      </c>
      <c r="CJ150" s="172">
        <v>49</v>
      </c>
      <c r="CL150" s="172">
        <f t="shared" si="42"/>
        <v>0.14699999999999999</v>
      </c>
      <c r="CM150" s="172">
        <f t="shared" si="43"/>
        <v>0.65670000000000006</v>
      </c>
      <c r="CN150" s="172">
        <f t="shared" si="55"/>
        <v>0.20119999999999999</v>
      </c>
      <c r="CO150" s="172">
        <f t="shared" si="44"/>
        <v>0.80370000000000008</v>
      </c>
      <c r="CP150" s="172">
        <f t="shared" si="45"/>
        <v>0.85790000000000011</v>
      </c>
      <c r="CR150" s="172">
        <v>0.21</v>
      </c>
      <c r="CS150" s="172">
        <v>0.5</v>
      </c>
      <c r="CT150" s="172">
        <v>0.28000000000000003</v>
      </c>
      <c r="CU150" s="172">
        <f t="shared" si="46"/>
        <v>0.71</v>
      </c>
      <c r="CV150" s="172">
        <f t="shared" si="47"/>
        <v>0.78</v>
      </c>
    </row>
    <row r="151" spans="1:100" s="172" customFormat="1" x14ac:dyDescent="0.25">
      <c r="A151" s="172">
        <v>2013</v>
      </c>
      <c r="B151" s="172">
        <f t="shared" si="57"/>
        <v>115</v>
      </c>
      <c r="C151" s="191">
        <v>41389</v>
      </c>
      <c r="D151" s="172">
        <v>7.9</v>
      </c>
      <c r="E151" s="172" t="e">
        <f>VLOOKUP(C151,#REF!,2)</f>
        <v>#REF!</v>
      </c>
      <c r="G151" s="192">
        <v>89</v>
      </c>
      <c r="H151" s="193"/>
      <c r="P151" s="194"/>
      <c r="Q151" s="193"/>
      <c r="Y151" s="195"/>
      <c r="AA151" s="195"/>
      <c r="AB151" s="183">
        <f>((B151-B150)*G151)-((B151-B150)*(G151-G150)*0.5)</f>
        <v>728</v>
      </c>
      <c r="AD151" s="172">
        <f t="shared" si="58"/>
        <v>93</v>
      </c>
      <c r="AE151" s="206"/>
      <c r="AF151" s="196"/>
      <c r="AG151" s="171">
        <f t="shared" si="59"/>
        <v>161.81818181818181</v>
      </c>
      <c r="AH151" s="174">
        <f t="shared" ref="AH151:AH206" si="61">$AI$1</f>
        <v>0.55000000000000004</v>
      </c>
      <c r="AI151" s="174"/>
      <c r="AJ151" s="174">
        <f>((B151-B150)*AG151)-((B151-B150)*(AG151-AG150)*0.5)</f>
        <v>1323.6363636363635</v>
      </c>
      <c r="AK151" s="249"/>
      <c r="AL151" s="192">
        <f t="shared" si="60"/>
        <v>169.09090909090907</v>
      </c>
      <c r="AM151" s="206"/>
      <c r="AN151" s="174"/>
      <c r="AO151" s="286"/>
      <c r="AP151" s="303"/>
      <c r="AQ151" s="286"/>
      <c r="AR151" s="303"/>
      <c r="AS151" s="286"/>
      <c r="AT151" s="303"/>
      <c r="AU151" s="197">
        <f>G151/AW151</f>
        <v>118.61605714894978</v>
      </c>
      <c r="AV151" s="172">
        <f>B151/D151</f>
        <v>14.556962025316455</v>
      </c>
      <c r="AW151" s="172">
        <f>VLOOKUP(AV151,$CB$102:$CC$271,2)</f>
        <v>0.75031999999999999</v>
      </c>
      <c r="AY151" s="183"/>
      <c r="AZ151" s="172">
        <f>((B151-B150)*AU151)-((B151-B150)*(AU151-AU150)*0.5)</f>
        <v>991.89266490480964</v>
      </c>
      <c r="BA151" s="196"/>
      <c r="BB151" s="172">
        <f>B151</f>
        <v>115</v>
      </c>
      <c r="BC151" s="172">
        <f>G151/AD151</f>
        <v>0.956989247311828</v>
      </c>
      <c r="BD151" s="172">
        <v>1</v>
      </c>
      <c r="BE151" s="172">
        <v>32</v>
      </c>
      <c r="BF151" s="172">
        <f>BE151/AD151</f>
        <v>0.34408602150537637</v>
      </c>
      <c r="BG151" s="172">
        <v>25</v>
      </c>
      <c r="BH151" s="172">
        <f>BG151/AD151</f>
        <v>0.26881720430107525</v>
      </c>
      <c r="BI151" s="172">
        <v>32</v>
      </c>
      <c r="BJ151" s="172">
        <f>BI151/AD151</f>
        <v>0.34408602150537637</v>
      </c>
      <c r="CB151" s="172">
        <v>9.5999999999999908</v>
      </c>
      <c r="CC151" s="172">
        <f t="shared" si="53"/>
        <v>0.4992799999999995</v>
      </c>
      <c r="CG151" s="172">
        <v>50</v>
      </c>
      <c r="CH151" s="172">
        <f t="shared" si="54"/>
        <v>0.44999999999999996</v>
      </c>
      <c r="CJ151" s="172">
        <v>50</v>
      </c>
      <c r="CL151" s="172">
        <f t="shared" si="42"/>
        <v>0.15</v>
      </c>
      <c r="CM151" s="172">
        <f t="shared" si="43"/>
        <v>0.65280000000000005</v>
      </c>
      <c r="CN151" s="172">
        <f t="shared" si="55"/>
        <v>0.2014</v>
      </c>
      <c r="CO151" s="172">
        <f t="shared" si="44"/>
        <v>0.80280000000000007</v>
      </c>
      <c r="CP151" s="172">
        <f t="shared" si="45"/>
        <v>0.85420000000000007</v>
      </c>
      <c r="CR151" s="172">
        <v>0.21</v>
      </c>
      <c r="CS151" s="172">
        <v>0.5</v>
      </c>
      <c r="CT151" s="172">
        <v>0.28000000000000003</v>
      </c>
      <c r="CU151" s="172">
        <f t="shared" si="46"/>
        <v>0.71</v>
      </c>
      <c r="CV151" s="172">
        <f t="shared" si="47"/>
        <v>0.78</v>
      </c>
    </row>
    <row r="152" spans="1:100" s="172" customFormat="1" x14ac:dyDescent="0.25">
      <c r="A152" s="172">
        <v>2013</v>
      </c>
      <c r="B152" s="172">
        <f t="shared" si="57"/>
        <v>123</v>
      </c>
      <c r="C152" s="191">
        <v>41397</v>
      </c>
      <c r="D152" s="172">
        <v>6.2</v>
      </c>
      <c r="E152" s="172" t="e">
        <f>VLOOKUP(C152,#REF!,2)</f>
        <v>#REF!</v>
      </c>
      <c r="G152" s="192">
        <v>89</v>
      </c>
      <c r="H152" s="193"/>
      <c r="P152" s="194"/>
      <c r="Q152" s="193"/>
      <c r="Y152" s="195"/>
      <c r="AA152" s="195"/>
      <c r="AB152" s="183">
        <f>0.5*(B153-B152)*G152</f>
        <v>1246</v>
      </c>
      <c r="AD152" s="172">
        <f t="shared" si="58"/>
        <v>93</v>
      </c>
      <c r="AE152" s="206"/>
      <c r="AF152" s="196"/>
      <c r="AG152" s="171">
        <f t="shared" si="59"/>
        <v>161.81818181818181</v>
      </c>
      <c r="AH152" s="174">
        <f t="shared" si="61"/>
        <v>0.55000000000000004</v>
      </c>
      <c r="AI152" s="174"/>
      <c r="AJ152" s="174">
        <f>((B152-B151)*AG152)-((B152-B151)*(AG152-AG151)*0.5)</f>
        <v>1294.5454545454545</v>
      </c>
      <c r="AK152" s="249"/>
      <c r="AL152" s="192">
        <f t="shared" si="60"/>
        <v>169.09090909090907</v>
      </c>
      <c r="AM152" s="206"/>
      <c r="AN152" s="174"/>
      <c r="AO152" s="286"/>
      <c r="AP152" s="303"/>
      <c r="AQ152" s="286"/>
      <c r="AR152" s="303"/>
      <c r="AS152" s="286"/>
      <c r="AT152" s="303"/>
      <c r="AU152" s="197">
        <f>G152/AW152</f>
        <v>89</v>
      </c>
      <c r="AV152" s="172">
        <f>B152/D152</f>
        <v>19.838709677419356</v>
      </c>
      <c r="AW152" s="172">
        <f>VLOOKUP(AV152,$CB$102:$CC$271,2)</f>
        <v>1</v>
      </c>
      <c r="AY152" s="183"/>
      <c r="AZ152" s="172">
        <f>((B152-B151)*AU152)-((B152-B151)*(AU152-AU151)*0.5)</f>
        <v>830.46422859579911</v>
      </c>
      <c r="BA152" s="196"/>
      <c r="BB152" s="172">
        <f>B152</f>
        <v>123</v>
      </c>
      <c r="BC152" s="172">
        <f>G152/AD152</f>
        <v>0.956989247311828</v>
      </c>
      <c r="BD152" s="172">
        <v>1</v>
      </c>
      <c r="BE152" s="172">
        <v>45</v>
      </c>
      <c r="BF152" s="172">
        <f>BE152/AD152</f>
        <v>0.4838709677419355</v>
      </c>
      <c r="BG152" s="172">
        <v>24</v>
      </c>
      <c r="BH152" s="172">
        <f>BG152/AD152</f>
        <v>0.25806451612903225</v>
      </c>
      <c r="BI152" s="172">
        <v>20</v>
      </c>
      <c r="BJ152" s="172">
        <f>BI152/AD152</f>
        <v>0.21505376344086022</v>
      </c>
      <c r="CB152" s="172">
        <v>9.7999999999999901</v>
      </c>
      <c r="CC152" s="172">
        <f t="shared" si="53"/>
        <v>0.50973999999999942</v>
      </c>
      <c r="CG152" s="172">
        <v>51</v>
      </c>
      <c r="CH152" s="172">
        <f t="shared" si="54"/>
        <v>0.45899999999999996</v>
      </c>
      <c r="CJ152" s="172">
        <v>51</v>
      </c>
      <c r="CL152" s="172">
        <f t="shared" si="42"/>
        <v>0.153</v>
      </c>
      <c r="CM152" s="172">
        <f t="shared" si="43"/>
        <v>0.64890000000000003</v>
      </c>
      <c r="CN152" s="172">
        <f t="shared" si="55"/>
        <v>0.2016</v>
      </c>
      <c r="CO152" s="172">
        <f t="shared" si="44"/>
        <v>0.80190000000000006</v>
      </c>
      <c r="CP152" s="172">
        <f t="shared" si="45"/>
        <v>0.85050000000000003</v>
      </c>
      <c r="CR152" s="172">
        <v>0.21</v>
      </c>
      <c r="CS152" s="172">
        <v>0.5</v>
      </c>
      <c r="CT152" s="172">
        <v>0.28000000000000003</v>
      </c>
      <c r="CU152" s="172">
        <f t="shared" si="46"/>
        <v>0.71</v>
      </c>
      <c r="CV152" s="172">
        <f t="shared" si="47"/>
        <v>0.78</v>
      </c>
    </row>
    <row r="153" spans="1:100" s="172" customFormat="1" x14ac:dyDescent="0.25">
      <c r="A153" s="172">
        <v>2013</v>
      </c>
      <c r="B153" s="172">
        <f t="shared" si="57"/>
        <v>151</v>
      </c>
      <c r="C153" s="191">
        <v>41425</v>
      </c>
      <c r="E153" s="172" t="e">
        <f>VLOOKUP(C153,#REF!,2)</f>
        <v>#REF!</v>
      </c>
      <c r="G153" s="192">
        <v>0</v>
      </c>
      <c r="H153" s="193"/>
      <c r="P153" s="194"/>
      <c r="Q153" s="193"/>
      <c r="Y153" s="195"/>
      <c r="AA153" s="195"/>
      <c r="AB153" s="183"/>
      <c r="AC153" s="172">
        <f>AF153/$AF$1</f>
        <v>149.55000000000001</v>
      </c>
      <c r="AD153" s="172">
        <f>MAX(G147:G153)</f>
        <v>93</v>
      </c>
      <c r="AE153" s="206">
        <f>AC153/AD153</f>
        <v>1.6080645161290323</v>
      </c>
      <c r="AF153" s="280">
        <f>SUM(AB148:AB153)</f>
        <v>7477.5</v>
      </c>
      <c r="AG153" s="171">
        <f t="shared" si="59"/>
        <v>0</v>
      </c>
      <c r="AH153" s="174">
        <f t="shared" si="61"/>
        <v>0.55000000000000004</v>
      </c>
      <c r="AI153" s="174"/>
      <c r="AJ153" s="174">
        <f>0.5*(B153-B152)*AG152</f>
        <v>2265.4545454545455</v>
      </c>
      <c r="AK153" s="249">
        <f>AN153/$AN$1</f>
        <v>297.8</v>
      </c>
      <c r="AL153" s="192">
        <f t="shared" si="60"/>
        <v>169.09090909090907</v>
      </c>
      <c r="AM153" s="206">
        <f>AK153/AL153</f>
        <v>1.761182795698925</v>
      </c>
      <c r="AN153" s="174">
        <f>SUM(AJ148:AJ153)</f>
        <v>14890</v>
      </c>
      <c r="AO153" s="286">
        <v>124</v>
      </c>
      <c r="AP153" s="303">
        <v>1.39</v>
      </c>
      <c r="AQ153" s="290">
        <f>AO153</f>
        <v>124</v>
      </c>
      <c r="AR153" s="303">
        <v>834</v>
      </c>
      <c r="AS153" s="286">
        <v>9.3699999999999992</v>
      </c>
      <c r="AT153" s="303">
        <f>AL153*$AS$188</f>
        <v>0</v>
      </c>
      <c r="AU153" s="197">
        <v>0</v>
      </c>
      <c r="AX153" s="172">
        <f>BA153/$BA$1</f>
        <v>149.22999999999999</v>
      </c>
      <c r="AY153" s="183">
        <f>AX153/AD153</f>
        <v>1.6046236559139784</v>
      </c>
      <c r="AZ153" s="172">
        <f>0.5*(B153-B152)*AU152</f>
        <v>1246</v>
      </c>
      <c r="BA153" s="196">
        <v>7461.5</v>
      </c>
      <c r="CB153" s="172">
        <v>9.9999999999999893</v>
      </c>
      <c r="CC153" s="172">
        <f t="shared" si="53"/>
        <v>0.52019999999999944</v>
      </c>
      <c r="CG153" s="172">
        <v>52</v>
      </c>
      <c r="CH153" s="172">
        <f t="shared" si="54"/>
        <v>0.46799999999999997</v>
      </c>
      <c r="CJ153" s="172">
        <v>52</v>
      </c>
      <c r="CL153" s="172">
        <f t="shared" si="42"/>
        <v>0.156</v>
      </c>
      <c r="CM153" s="172">
        <f t="shared" si="43"/>
        <v>0.64500000000000002</v>
      </c>
      <c r="CN153" s="172">
        <f t="shared" si="55"/>
        <v>0.20179999999999998</v>
      </c>
      <c r="CO153" s="172">
        <f t="shared" si="44"/>
        <v>0.80100000000000005</v>
      </c>
      <c r="CP153" s="172">
        <f t="shared" si="45"/>
        <v>0.8468</v>
      </c>
      <c r="CR153" s="172">
        <v>0.21</v>
      </c>
      <c r="CS153" s="172">
        <v>0.5</v>
      </c>
      <c r="CT153" s="172">
        <v>0.28000000000000003</v>
      </c>
      <c r="CU153" s="172">
        <f t="shared" si="46"/>
        <v>0.71</v>
      </c>
      <c r="CV153" s="172">
        <f t="shared" si="47"/>
        <v>0.78</v>
      </c>
    </row>
    <row r="154" spans="1:100" x14ac:dyDescent="0.25">
      <c r="A154">
        <v>2014</v>
      </c>
      <c r="B154">
        <f t="shared" si="57"/>
        <v>1</v>
      </c>
      <c r="C154" s="109">
        <v>41275</v>
      </c>
      <c r="G154" s="77">
        <v>0</v>
      </c>
      <c r="AD154">
        <f>AD155</f>
        <v>68</v>
      </c>
      <c r="AG154" s="171">
        <f t="shared" si="59"/>
        <v>0</v>
      </c>
      <c r="AH154" s="108">
        <f t="shared" si="61"/>
        <v>0.55000000000000004</v>
      </c>
      <c r="AI154" s="108"/>
      <c r="AJ154" s="108"/>
      <c r="AK154" s="249"/>
      <c r="AL154" s="77">
        <f>MAX($G$154:$G$158)/AH154</f>
        <v>123.63636363636363</v>
      </c>
      <c r="AM154" s="73"/>
      <c r="AN154" s="108"/>
      <c r="AO154" s="286"/>
      <c r="AP154" s="303"/>
      <c r="AQ154" s="286"/>
      <c r="AR154" s="303"/>
      <c r="AS154" s="286"/>
      <c r="AT154" s="303"/>
      <c r="AU154" s="79">
        <v>0</v>
      </c>
      <c r="CB154">
        <v>10.199999999999999</v>
      </c>
      <c r="CC154">
        <f t="shared" si="53"/>
        <v>0.53065999999999991</v>
      </c>
      <c r="CG154">
        <v>53</v>
      </c>
      <c r="CH154">
        <f t="shared" si="54"/>
        <v>0.47699999999999998</v>
      </c>
      <c r="CJ154">
        <v>53</v>
      </c>
      <c r="CL154">
        <f t="shared" si="42"/>
        <v>0.159</v>
      </c>
      <c r="CM154">
        <f t="shared" si="43"/>
        <v>0.6411</v>
      </c>
      <c r="CN154">
        <f t="shared" si="55"/>
        <v>0.20199999999999999</v>
      </c>
      <c r="CO154">
        <f t="shared" si="44"/>
        <v>0.80010000000000003</v>
      </c>
      <c r="CP154">
        <f t="shared" si="45"/>
        <v>0.84309999999999996</v>
      </c>
      <c r="CR154">
        <v>0.21</v>
      </c>
      <c r="CS154">
        <v>0.5</v>
      </c>
      <c r="CT154">
        <v>0.28000000000000003</v>
      </c>
      <c r="CU154">
        <f t="shared" si="46"/>
        <v>0.71</v>
      </c>
      <c r="CV154">
        <f t="shared" si="47"/>
        <v>0.78</v>
      </c>
    </row>
    <row r="155" spans="1:100" x14ac:dyDescent="0.25">
      <c r="A155">
        <v>2014</v>
      </c>
      <c r="B155">
        <f t="shared" si="57"/>
        <v>84</v>
      </c>
      <c r="C155" s="109">
        <v>41723</v>
      </c>
      <c r="D155">
        <v>7.9</v>
      </c>
      <c r="G155" s="77">
        <v>39</v>
      </c>
      <c r="AB155" s="61">
        <f>0.5*(B155-B154)*G155</f>
        <v>1618.5</v>
      </c>
      <c r="AD155">
        <f>AD156</f>
        <v>68</v>
      </c>
      <c r="AG155" s="171">
        <f t="shared" si="59"/>
        <v>70.909090909090907</v>
      </c>
      <c r="AH155" s="108">
        <f t="shared" si="61"/>
        <v>0.55000000000000004</v>
      </c>
      <c r="AI155" s="108"/>
      <c r="AJ155" s="108">
        <f>0.5*($B155-$B154)*$AG155</f>
        <v>2942.7272727272725</v>
      </c>
      <c r="AK155" s="249"/>
      <c r="AL155" s="77">
        <f>MAX($G$154:$G$158)/AH155</f>
        <v>123.63636363636363</v>
      </c>
      <c r="AM155" s="73"/>
      <c r="AN155" s="108"/>
      <c r="AO155" s="286"/>
      <c r="AP155" s="303"/>
      <c r="AQ155" s="286"/>
      <c r="AR155" s="303"/>
      <c r="AS155" s="286"/>
      <c r="AT155" s="303"/>
      <c r="AU155" s="79">
        <f>G155/AW155</f>
        <v>70.705971935168066</v>
      </c>
      <c r="AV155">
        <f>B155/D155</f>
        <v>10.632911392405063</v>
      </c>
      <c r="AW155">
        <f>VLOOKUP(AV155,$CB$102:$CC$271,2)</f>
        <v>0.55157999999999996</v>
      </c>
      <c r="AZ155">
        <f>0.5*(B155-B154)*AU155</f>
        <v>2934.2978353094745</v>
      </c>
      <c r="BB155" s="117">
        <f>B155</f>
        <v>84</v>
      </c>
      <c r="BC155" s="117">
        <f>G155/AD155</f>
        <v>0.57352941176470584</v>
      </c>
      <c r="BD155" s="117">
        <v>0.47058823529411764</v>
      </c>
      <c r="BE155" s="112">
        <v>4</v>
      </c>
      <c r="BF155" s="112">
        <f>BE155/AD155</f>
        <v>5.8823529411764705E-2</v>
      </c>
      <c r="BG155" s="112">
        <v>26</v>
      </c>
      <c r="BH155" s="112">
        <f>BG155/AD155</f>
        <v>0.38235294117647056</v>
      </c>
      <c r="BI155" s="112">
        <v>9</v>
      </c>
      <c r="BJ155" s="112">
        <f>BI155/AD155</f>
        <v>0.13235294117647059</v>
      </c>
      <c r="CB155">
        <v>10.4</v>
      </c>
      <c r="CC155">
        <f t="shared" si="53"/>
        <v>0.54111999999999993</v>
      </c>
      <c r="CG155">
        <v>54</v>
      </c>
      <c r="CH155">
        <f t="shared" si="54"/>
        <v>0.48599999999999999</v>
      </c>
      <c r="CJ155">
        <v>54</v>
      </c>
      <c r="CL155">
        <f t="shared" si="42"/>
        <v>0.16200000000000001</v>
      </c>
      <c r="CM155">
        <f t="shared" si="43"/>
        <v>0.63719999999999999</v>
      </c>
      <c r="CN155">
        <f t="shared" si="55"/>
        <v>0.20219999999999999</v>
      </c>
      <c r="CO155">
        <f t="shared" si="44"/>
        <v>0.79920000000000002</v>
      </c>
      <c r="CP155">
        <f t="shared" si="45"/>
        <v>0.83939999999999992</v>
      </c>
      <c r="CR155">
        <v>0.21</v>
      </c>
      <c r="CS155">
        <v>0.5</v>
      </c>
      <c r="CT155">
        <v>0.28000000000000003</v>
      </c>
      <c r="CU155">
        <f t="shared" si="46"/>
        <v>0.71</v>
      </c>
      <c r="CV155">
        <f t="shared" si="47"/>
        <v>0.78</v>
      </c>
    </row>
    <row r="156" spans="1:100" x14ac:dyDescent="0.25">
      <c r="A156">
        <v>2014</v>
      </c>
      <c r="B156">
        <f t="shared" si="57"/>
        <v>101</v>
      </c>
      <c r="C156" s="109">
        <v>41740</v>
      </c>
      <c r="D156">
        <v>8.9700000000000006</v>
      </c>
      <c r="G156" s="77">
        <v>68</v>
      </c>
      <c r="AB156" s="61">
        <f>((B156-B155)*G156)-((B156-B155)*(G156-G155)*0.5)</f>
        <v>909.5</v>
      </c>
      <c r="AD156">
        <f>AD157</f>
        <v>68</v>
      </c>
      <c r="AG156" s="171">
        <f t="shared" si="59"/>
        <v>123.63636363636363</v>
      </c>
      <c r="AH156" s="108">
        <f t="shared" si="61"/>
        <v>0.55000000000000004</v>
      </c>
      <c r="AI156" s="108"/>
      <c r="AJ156" s="108">
        <f>((B156-B155)*AG156)-((B156-B155)*(AG156-AG155)*0.5)</f>
        <v>1653.6363636363635</v>
      </c>
      <c r="AK156" s="249"/>
      <c r="AL156" s="77">
        <f>MAX($G$154:$G$158)/AH156</f>
        <v>123.63636363636363</v>
      </c>
      <c r="AM156" s="73"/>
      <c r="AN156" s="108"/>
      <c r="AO156" s="286"/>
      <c r="AP156" s="303"/>
      <c r="AQ156" s="286"/>
      <c r="AR156" s="303"/>
      <c r="AS156" s="286"/>
      <c r="AT156" s="303"/>
      <c r="AU156" s="79">
        <f>G156/AW156</f>
        <v>116.64608206394952</v>
      </c>
      <c r="AV156">
        <f>B156/D156</f>
        <v>11.259754738015607</v>
      </c>
      <c r="AW156">
        <f>VLOOKUP(AV156,$CB$102:$CC$271,2)</f>
        <v>0.58295999999999992</v>
      </c>
      <c r="AZ156">
        <f>((B156-B155)*AU156)-((B156-B155)*(AU156-AU155)*0.5)</f>
        <v>1592.4924589924995</v>
      </c>
      <c r="BB156" s="117">
        <f>B156</f>
        <v>101</v>
      </c>
      <c r="BC156" s="117">
        <f>G156/AD156</f>
        <v>1</v>
      </c>
      <c r="BD156" s="117">
        <v>1</v>
      </c>
      <c r="BE156" s="112">
        <v>17</v>
      </c>
      <c r="BF156" s="112">
        <f>BE156/AD156</f>
        <v>0.25</v>
      </c>
      <c r="BG156" s="112">
        <v>35</v>
      </c>
      <c r="BH156" s="112">
        <f>BG156/AD156</f>
        <v>0.51470588235294112</v>
      </c>
      <c r="BI156" s="112">
        <v>16</v>
      </c>
      <c r="BJ156" s="112">
        <f>BI156/AD156</f>
        <v>0.23529411764705882</v>
      </c>
      <c r="CB156">
        <v>10.6</v>
      </c>
      <c r="CC156">
        <f t="shared" si="53"/>
        <v>0.55157999999999996</v>
      </c>
      <c r="CG156">
        <v>55</v>
      </c>
      <c r="CH156">
        <f t="shared" si="54"/>
        <v>0.49499999999999994</v>
      </c>
      <c r="CJ156">
        <v>55</v>
      </c>
      <c r="CL156">
        <f t="shared" si="42"/>
        <v>0.16500000000000001</v>
      </c>
      <c r="CM156">
        <f t="shared" si="43"/>
        <v>0.63329999999999997</v>
      </c>
      <c r="CN156">
        <f t="shared" si="55"/>
        <v>0.2024</v>
      </c>
      <c r="CO156">
        <f t="shared" si="44"/>
        <v>0.79830000000000001</v>
      </c>
      <c r="CP156">
        <f t="shared" si="45"/>
        <v>0.8357</v>
      </c>
      <c r="CR156">
        <v>0.21</v>
      </c>
      <c r="CS156">
        <v>0.5</v>
      </c>
      <c r="CT156">
        <v>0.28000000000000003</v>
      </c>
      <c r="CU156">
        <f t="shared" si="46"/>
        <v>0.71</v>
      </c>
      <c r="CV156">
        <f t="shared" si="47"/>
        <v>0.78</v>
      </c>
    </row>
    <row r="157" spans="1:100" x14ac:dyDescent="0.25">
      <c r="A157">
        <v>2014</v>
      </c>
      <c r="B157">
        <f t="shared" si="57"/>
        <v>114</v>
      </c>
      <c r="C157" s="109">
        <v>41753</v>
      </c>
      <c r="D157">
        <v>13.5</v>
      </c>
      <c r="G157" s="77">
        <v>62</v>
      </c>
      <c r="AB157" s="61">
        <f>((B157-B156)*G157)-((B157-B156)*(G157-G156)*0.5)</f>
        <v>845</v>
      </c>
      <c r="AD157">
        <f>AD158</f>
        <v>68</v>
      </c>
      <c r="AG157" s="171">
        <f t="shared" si="59"/>
        <v>112.72727272727272</v>
      </c>
      <c r="AH157" s="108">
        <f t="shared" si="61"/>
        <v>0.55000000000000004</v>
      </c>
      <c r="AI157" s="108"/>
      <c r="AJ157" s="108">
        <f>((B157-B156)*AG157)-((B157-B156)*(AG157-AG156)*0.5)</f>
        <v>1536.3636363636363</v>
      </c>
      <c r="AK157" s="249"/>
      <c r="AL157" s="77">
        <f>MAX($G$154:$G$158)/AH157</f>
        <v>123.63636363636363</v>
      </c>
      <c r="AM157" s="73"/>
      <c r="AN157" s="108"/>
      <c r="AO157" s="286"/>
      <c r="AP157" s="303"/>
      <c r="AQ157" s="286"/>
      <c r="AR157" s="303"/>
      <c r="AS157" s="286"/>
      <c r="AT157" s="303"/>
      <c r="AU157" s="79">
        <f>G157/AW157</f>
        <v>142.03243837624871</v>
      </c>
      <c r="AV157">
        <f>B157/D157</f>
        <v>8.4444444444444446</v>
      </c>
      <c r="AW157">
        <f>VLOOKUP(AV157,$CB$102:$CC$271,2)</f>
        <v>0.43651999999999941</v>
      </c>
      <c r="AZ157">
        <f>((B157-B156)*AU157)-((B157-B156)*(AU157-AU156)*0.5)</f>
        <v>1681.4103828612883</v>
      </c>
      <c r="BB157" s="117">
        <f>B157</f>
        <v>114</v>
      </c>
      <c r="BC157" s="117">
        <f>G157/AD157</f>
        <v>0.91176470588235292</v>
      </c>
      <c r="BE157" s="112">
        <v>2</v>
      </c>
      <c r="BF157" s="112">
        <f>BE157/AD157</f>
        <v>2.9411764705882353E-2</v>
      </c>
      <c r="BG157" s="112">
        <v>40</v>
      </c>
      <c r="BH157" s="112">
        <f>BG157/AD157</f>
        <v>0.58823529411764708</v>
      </c>
      <c r="BI157" s="112">
        <v>20</v>
      </c>
      <c r="BJ157" s="112">
        <f>BI157/AD157</f>
        <v>0.29411764705882354</v>
      </c>
      <c r="CB157">
        <v>10.8</v>
      </c>
      <c r="CC157">
        <f t="shared" si="53"/>
        <v>0.56203999999999998</v>
      </c>
      <c r="CG157">
        <v>56</v>
      </c>
      <c r="CH157">
        <f t="shared" si="54"/>
        <v>0.504</v>
      </c>
      <c r="CJ157">
        <v>56</v>
      </c>
      <c r="CL157">
        <f t="shared" si="42"/>
        <v>0.16800000000000001</v>
      </c>
      <c r="CM157">
        <f t="shared" si="43"/>
        <v>0.62939999999999996</v>
      </c>
      <c r="CN157">
        <f t="shared" si="55"/>
        <v>0.20259999999999997</v>
      </c>
      <c r="CO157">
        <f t="shared" si="44"/>
        <v>0.7974</v>
      </c>
      <c r="CP157">
        <f t="shared" si="45"/>
        <v>0.83199999999999996</v>
      </c>
      <c r="CR157">
        <v>0.21</v>
      </c>
      <c r="CS157">
        <v>0.5</v>
      </c>
      <c r="CT157">
        <v>0.28000000000000003</v>
      </c>
      <c r="CU157">
        <f t="shared" si="46"/>
        <v>0.71</v>
      </c>
      <c r="CV157">
        <f t="shared" si="47"/>
        <v>0.78</v>
      </c>
    </row>
    <row r="158" spans="1:100" x14ac:dyDescent="0.25">
      <c r="A158">
        <v>2014</v>
      </c>
      <c r="B158">
        <f t="shared" si="57"/>
        <v>151</v>
      </c>
      <c r="C158" s="109">
        <v>41790</v>
      </c>
      <c r="G158" s="77">
        <v>0</v>
      </c>
      <c r="AB158" s="61">
        <f>((B158-B157)*G158)-((B158-B157)*(G158-G157)*0.5)</f>
        <v>1147</v>
      </c>
      <c r="AC158">
        <f>AF158/$AF$1</f>
        <v>90.4</v>
      </c>
      <c r="AD158">
        <f>MAX(G154:G158)</f>
        <v>68</v>
      </c>
      <c r="AE158" s="73">
        <f>AC158/AD158</f>
        <v>1.3294117647058825</v>
      </c>
      <c r="AF158" s="279">
        <f>SUM(AB155:AB158)</f>
        <v>4520</v>
      </c>
      <c r="AG158" s="171">
        <f t="shared" si="59"/>
        <v>0</v>
      </c>
      <c r="AH158" s="108">
        <f t="shared" si="61"/>
        <v>0.55000000000000004</v>
      </c>
      <c r="AI158" s="108"/>
      <c r="AJ158" s="108">
        <f>0.5*(B158-B157)*AG157</f>
        <v>2085.4545454545455</v>
      </c>
      <c r="AK158" s="248">
        <f>AN158/$AN$1</f>
        <v>164.36363636363637</v>
      </c>
      <c r="AL158" s="77">
        <f>MAX($G$154:$G$158)/AH158</f>
        <v>123.63636363636363</v>
      </c>
      <c r="AM158" s="73">
        <f>AK158/AL158</f>
        <v>1.3294117647058825</v>
      </c>
      <c r="AN158" s="108">
        <f>SUM(AJ155:AJ158)</f>
        <v>8218.181818181818</v>
      </c>
      <c r="AO158" s="286">
        <v>118</v>
      </c>
      <c r="AP158" s="303">
        <v>1.74</v>
      </c>
      <c r="AQ158" s="290">
        <f>AO158</f>
        <v>118</v>
      </c>
      <c r="AR158" s="303">
        <v>117</v>
      </c>
      <c r="AS158" s="286">
        <v>1.72</v>
      </c>
      <c r="AT158" s="303">
        <f>AL158*$AS$188</f>
        <v>0</v>
      </c>
      <c r="AU158" s="79">
        <v>0</v>
      </c>
      <c r="AX158">
        <f>BA158/$BA$1</f>
        <v>176.71601574247725</v>
      </c>
      <c r="AY158" s="61">
        <f>AX158/AD158</f>
        <v>2.5987649373893715</v>
      </c>
      <c r="AZ158">
        <f>0.5*(B158-B157)*AU157</f>
        <v>2627.600109960601</v>
      </c>
      <c r="BA158" s="78">
        <f>SUM(AZ154:AZ158)</f>
        <v>8835.8007871238624</v>
      </c>
      <c r="CB158">
        <v>11</v>
      </c>
      <c r="CC158">
        <f t="shared" si="53"/>
        <v>0.57250000000000001</v>
      </c>
      <c r="CG158">
        <v>57</v>
      </c>
      <c r="CH158">
        <f t="shared" si="54"/>
        <v>0.51300000000000001</v>
      </c>
      <c r="CJ158">
        <v>57</v>
      </c>
      <c r="CL158">
        <f t="shared" si="42"/>
        <v>0.17100000000000001</v>
      </c>
      <c r="CM158">
        <f t="shared" si="43"/>
        <v>0.62549999999999994</v>
      </c>
      <c r="CN158">
        <f t="shared" si="55"/>
        <v>0.20279999999999998</v>
      </c>
      <c r="CO158">
        <f t="shared" si="44"/>
        <v>0.79649999999999999</v>
      </c>
      <c r="CP158">
        <f t="shared" si="45"/>
        <v>0.82829999999999993</v>
      </c>
      <c r="CR158">
        <v>0.21</v>
      </c>
      <c r="CS158">
        <v>0.5</v>
      </c>
      <c r="CT158">
        <v>0.28000000000000003</v>
      </c>
      <c r="CU158">
        <f t="shared" si="46"/>
        <v>0.71</v>
      </c>
      <c r="CV158">
        <f t="shared" si="47"/>
        <v>0.78</v>
      </c>
    </row>
    <row r="159" spans="1:100" s="172" customFormat="1" x14ac:dyDescent="0.25">
      <c r="A159" s="172">
        <v>2015</v>
      </c>
      <c r="B159" s="172">
        <f t="shared" si="57"/>
        <v>1</v>
      </c>
      <c r="C159" s="191">
        <v>42005</v>
      </c>
      <c r="G159" s="192">
        <v>0</v>
      </c>
      <c r="H159" s="193"/>
      <c r="P159" s="194"/>
      <c r="Q159" s="193"/>
      <c r="Y159" s="195"/>
      <c r="AA159" s="195"/>
      <c r="AB159" s="183"/>
      <c r="AD159" s="172">
        <f>AD160</f>
        <v>109</v>
      </c>
      <c r="AE159" s="206"/>
      <c r="AF159" s="196"/>
      <c r="AG159" s="171">
        <f t="shared" si="59"/>
        <v>0</v>
      </c>
      <c r="AH159" s="174">
        <f t="shared" si="61"/>
        <v>0.55000000000000004</v>
      </c>
      <c r="AI159" s="174"/>
      <c r="AJ159" s="174"/>
      <c r="AK159" s="249"/>
      <c r="AL159" s="192">
        <f>MAX($G$159:$G$163)/AH159</f>
        <v>198.18181818181816</v>
      </c>
      <c r="AM159" s="206"/>
      <c r="AN159" s="174"/>
      <c r="AO159" s="286"/>
      <c r="AP159" s="303"/>
      <c r="AQ159" s="286"/>
      <c r="AR159" s="303"/>
      <c r="AS159" s="286"/>
      <c r="AT159" s="303"/>
      <c r="AU159" s="197">
        <v>0</v>
      </c>
      <c r="AY159" s="183"/>
      <c r="BA159" s="196"/>
      <c r="CB159" s="172">
        <v>11.2</v>
      </c>
      <c r="CC159" s="172">
        <f t="shared" si="53"/>
        <v>0.58295999999999992</v>
      </c>
      <c r="CG159" s="172">
        <v>58</v>
      </c>
      <c r="CH159" s="172">
        <f t="shared" si="54"/>
        <v>0.52199999999999991</v>
      </c>
      <c r="CJ159" s="172">
        <v>58</v>
      </c>
      <c r="CL159" s="172">
        <f t="shared" si="42"/>
        <v>0.17400000000000002</v>
      </c>
      <c r="CM159" s="172">
        <f t="shared" si="43"/>
        <v>0.62160000000000004</v>
      </c>
      <c r="CN159" s="172">
        <f t="shared" si="55"/>
        <v>0.20299999999999999</v>
      </c>
      <c r="CO159" s="172">
        <f t="shared" si="44"/>
        <v>0.79560000000000008</v>
      </c>
      <c r="CP159" s="172">
        <f t="shared" si="45"/>
        <v>0.8246</v>
      </c>
      <c r="CR159" s="172">
        <v>0.21</v>
      </c>
      <c r="CS159" s="172">
        <v>0.5</v>
      </c>
      <c r="CT159" s="172">
        <v>0.28000000000000003</v>
      </c>
      <c r="CU159" s="172">
        <f t="shared" si="46"/>
        <v>0.71</v>
      </c>
      <c r="CV159" s="172">
        <f t="shared" si="47"/>
        <v>0.78</v>
      </c>
    </row>
    <row r="160" spans="1:100" s="172" customFormat="1" x14ac:dyDescent="0.25">
      <c r="A160" s="172">
        <v>2015</v>
      </c>
      <c r="B160" s="172">
        <f t="shared" si="57"/>
        <v>86</v>
      </c>
      <c r="C160" s="191">
        <v>42090</v>
      </c>
      <c r="D160" s="172">
        <v>10</v>
      </c>
      <c r="E160" s="172">
        <v>12.1</v>
      </c>
      <c r="G160" s="192">
        <v>109</v>
      </c>
      <c r="H160" s="193"/>
      <c r="P160" s="194"/>
      <c r="Q160" s="193"/>
      <c r="Y160" s="195"/>
      <c r="AA160" s="195"/>
      <c r="AB160" s="183">
        <f>0.5*(B160-B159)*G160</f>
        <v>4632.5</v>
      </c>
      <c r="AD160" s="172">
        <f>AD161</f>
        <v>109</v>
      </c>
      <c r="AE160" s="206"/>
      <c r="AF160" s="196"/>
      <c r="AG160" s="171">
        <f t="shared" si="59"/>
        <v>198.18181818181816</v>
      </c>
      <c r="AH160" s="174">
        <f t="shared" si="61"/>
        <v>0.55000000000000004</v>
      </c>
      <c r="AI160" s="174"/>
      <c r="AJ160" s="174">
        <f>0.5*($B160-$B159)*$AG160</f>
        <v>8422.7272727272721</v>
      </c>
      <c r="AK160" s="249"/>
      <c r="AL160" s="192">
        <f>MAX($G$159:$G$163)/AH160</f>
        <v>198.18181818181816</v>
      </c>
      <c r="AM160" s="206"/>
      <c r="AN160" s="174"/>
      <c r="AO160" s="286"/>
      <c r="AP160" s="303"/>
      <c r="AQ160" s="286"/>
      <c r="AR160" s="303"/>
      <c r="AS160" s="286"/>
      <c r="AT160" s="303"/>
      <c r="AU160" s="197">
        <f>G160/AW160</f>
        <v>243.85878562799257</v>
      </c>
      <c r="AV160" s="172">
        <f>B160/D160</f>
        <v>8.6</v>
      </c>
      <c r="AW160" s="172">
        <f>VLOOKUP(AV160,$CB$102:$CC$271,2)</f>
        <v>0.44697999999999949</v>
      </c>
      <c r="AY160" s="183"/>
      <c r="AZ160" s="172">
        <f>0.5*(B160-B159)*AU160</f>
        <v>10363.998389189685</v>
      </c>
      <c r="BA160" s="196"/>
      <c r="BB160" s="172">
        <f>B160</f>
        <v>86</v>
      </c>
      <c r="BC160" s="172">
        <f>G160/AD160</f>
        <v>1</v>
      </c>
      <c r="BD160" s="172">
        <v>1</v>
      </c>
      <c r="CB160" s="172">
        <v>11.4</v>
      </c>
      <c r="CC160" s="172">
        <f t="shared" si="53"/>
        <v>0.59341999999999995</v>
      </c>
      <c r="CG160" s="172">
        <v>59</v>
      </c>
      <c r="CH160" s="172">
        <f t="shared" si="54"/>
        <v>0.53099999999999992</v>
      </c>
      <c r="CJ160" s="172">
        <v>59</v>
      </c>
      <c r="CL160" s="172">
        <f t="shared" si="42"/>
        <v>0.17699999999999999</v>
      </c>
      <c r="CM160" s="172">
        <f t="shared" si="43"/>
        <v>0.61770000000000003</v>
      </c>
      <c r="CN160" s="172">
        <f t="shared" si="55"/>
        <v>0.20319999999999999</v>
      </c>
      <c r="CO160" s="172">
        <f t="shared" si="44"/>
        <v>0.79469999999999996</v>
      </c>
      <c r="CP160" s="172">
        <f t="shared" si="45"/>
        <v>0.82089999999999996</v>
      </c>
      <c r="CR160" s="172">
        <v>0.21</v>
      </c>
      <c r="CS160" s="172">
        <v>0.5</v>
      </c>
      <c r="CT160" s="172">
        <v>0.28000000000000003</v>
      </c>
      <c r="CU160" s="172">
        <f t="shared" si="46"/>
        <v>0.71</v>
      </c>
      <c r="CV160" s="172">
        <f t="shared" si="47"/>
        <v>0.78</v>
      </c>
    </row>
    <row r="161" spans="1:100" s="172" customFormat="1" x14ac:dyDescent="0.25">
      <c r="A161" s="172">
        <v>2015</v>
      </c>
      <c r="B161" s="172">
        <f t="shared" si="57"/>
        <v>98</v>
      </c>
      <c r="C161" s="191">
        <v>42102</v>
      </c>
      <c r="D161" s="172">
        <v>6.2</v>
      </c>
      <c r="G161" s="192">
        <v>106</v>
      </c>
      <c r="H161" s="193"/>
      <c r="P161" s="194"/>
      <c r="Q161" s="193"/>
      <c r="Y161" s="195"/>
      <c r="AA161" s="195"/>
      <c r="AB161" s="183">
        <f>((B161-B160)*G161)-((B161-B160)*(G161-G160)*0.5)</f>
        <v>1290</v>
      </c>
      <c r="AD161" s="172">
        <f>AD162</f>
        <v>109</v>
      </c>
      <c r="AE161" s="206"/>
      <c r="AF161" s="196"/>
      <c r="AG161" s="171">
        <f t="shared" si="59"/>
        <v>192.72727272727272</v>
      </c>
      <c r="AH161" s="174">
        <f t="shared" si="61"/>
        <v>0.55000000000000004</v>
      </c>
      <c r="AI161" s="174"/>
      <c r="AJ161" s="174">
        <f>((B161-B160)*AG161)-((B161-B160)*(AG161-AG160)*0.5)</f>
        <v>2345.454545454545</v>
      </c>
      <c r="AK161" s="249"/>
      <c r="AL161" s="192">
        <f>MAX($G$159:$G$163)/AH161</f>
        <v>198.18181818181816</v>
      </c>
      <c r="AM161" s="206"/>
      <c r="AN161" s="174"/>
      <c r="AO161" s="286"/>
      <c r="AP161" s="303"/>
      <c r="AQ161" s="286"/>
      <c r="AR161" s="303"/>
      <c r="AS161" s="286"/>
      <c r="AT161" s="303"/>
      <c r="AU161" s="197">
        <f>G161/AW161</f>
        <v>128.71263083760351</v>
      </c>
      <c r="AV161" s="172">
        <f>B161/D161</f>
        <v>15.806451612903226</v>
      </c>
      <c r="AW161" s="172">
        <f>VLOOKUP(AV161,$CB$102:$CC$271,2)</f>
        <v>0.82354000000000005</v>
      </c>
      <c r="AY161" s="183"/>
      <c r="AZ161" s="172">
        <f>((B161-B160)*AU161)-((B161-B160)*(AU161-AU160)*0.5)</f>
        <v>2235.4284987935766</v>
      </c>
      <c r="BA161" s="196"/>
      <c r="BB161" s="172">
        <f>B161</f>
        <v>98</v>
      </c>
      <c r="BC161" s="172">
        <f>G161/AD161</f>
        <v>0.97247706422018354</v>
      </c>
      <c r="BE161" s="172">
        <v>2</v>
      </c>
      <c r="BF161" s="172">
        <f>BE161/AD161</f>
        <v>1.834862385321101E-2</v>
      </c>
      <c r="BG161" s="172">
        <v>57</v>
      </c>
      <c r="BH161" s="172">
        <f>BG161/AD161</f>
        <v>0.52293577981651373</v>
      </c>
      <c r="BI161" s="172">
        <v>47</v>
      </c>
      <c r="BJ161" s="172">
        <f>BI161/AD161</f>
        <v>0.43119266055045874</v>
      </c>
      <c r="CB161" s="172">
        <v>11.6</v>
      </c>
      <c r="CC161" s="172">
        <f t="shared" si="53"/>
        <v>0.60387999999999997</v>
      </c>
      <c r="CG161" s="172">
        <v>60</v>
      </c>
      <c r="CH161" s="172">
        <f t="shared" si="54"/>
        <v>0.53999999999999992</v>
      </c>
      <c r="CJ161" s="172">
        <v>60</v>
      </c>
      <c r="CL161" s="172">
        <f t="shared" si="42"/>
        <v>0.18</v>
      </c>
      <c r="CM161" s="172">
        <f t="shared" si="43"/>
        <v>0.61380000000000001</v>
      </c>
      <c r="CN161" s="172">
        <f t="shared" si="55"/>
        <v>0.2034</v>
      </c>
      <c r="CO161" s="172">
        <f t="shared" si="44"/>
        <v>0.79380000000000006</v>
      </c>
      <c r="CP161" s="172">
        <f t="shared" si="45"/>
        <v>0.81720000000000004</v>
      </c>
      <c r="CR161" s="172">
        <v>0.21</v>
      </c>
      <c r="CS161" s="172">
        <v>0.5</v>
      </c>
      <c r="CT161" s="172">
        <v>0.28000000000000003</v>
      </c>
      <c r="CU161" s="172">
        <f t="shared" si="46"/>
        <v>0.71</v>
      </c>
      <c r="CV161" s="172">
        <f t="shared" si="47"/>
        <v>0.78</v>
      </c>
    </row>
    <row r="162" spans="1:100" s="172" customFormat="1" x14ac:dyDescent="0.25">
      <c r="A162" s="172">
        <v>2015</v>
      </c>
      <c r="B162" s="172">
        <f t="shared" si="57"/>
        <v>117</v>
      </c>
      <c r="C162" s="191">
        <v>42121</v>
      </c>
      <c r="D162" s="172">
        <v>4.7</v>
      </c>
      <c r="G162" s="192">
        <v>81</v>
      </c>
      <c r="H162" s="193"/>
      <c r="P162" s="194"/>
      <c r="Q162" s="193"/>
      <c r="Y162" s="195"/>
      <c r="AA162" s="195"/>
      <c r="AB162" s="183">
        <f>((B162-B161)*G162)-((B162-B161)*(G162-G161)*0.5)</f>
        <v>1776.5</v>
      </c>
      <c r="AD162" s="172">
        <f>AD163</f>
        <v>109</v>
      </c>
      <c r="AE162" s="206"/>
      <c r="AF162" s="196"/>
      <c r="AG162" s="171">
        <f t="shared" si="59"/>
        <v>147.27272727272725</v>
      </c>
      <c r="AH162" s="174">
        <f t="shared" si="61"/>
        <v>0.55000000000000004</v>
      </c>
      <c r="AI162" s="174"/>
      <c r="AJ162" s="174">
        <f>((B162-B161)*AG162)-((B162-B161)*(AG162-AG161)*0.5)</f>
        <v>3230</v>
      </c>
      <c r="AK162" s="249"/>
      <c r="AL162" s="192">
        <f>MAX($G$159:$G$163)/AH162</f>
        <v>198.18181818181816</v>
      </c>
      <c r="AM162" s="206"/>
      <c r="AN162" s="174"/>
      <c r="AO162" s="286"/>
      <c r="AP162" s="303"/>
      <c r="AQ162" s="286"/>
      <c r="AR162" s="303"/>
      <c r="AS162" s="286"/>
      <c r="AT162" s="303"/>
      <c r="AU162" s="197">
        <f>G162/AW162</f>
        <v>81</v>
      </c>
      <c r="AV162" s="172">
        <f>B162/D162</f>
        <v>24.893617021276594</v>
      </c>
      <c r="AW162" s="172">
        <f>VLOOKUP(AV162,$CB$102:$CC$271,2)</f>
        <v>1</v>
      </c>
      <c r="AY162" s="183"/>
      <c r="AZ162" s="172">
        <f>((B162-B161)*AU162)-((B162-B161)*(AU162-AU161)*0.5)</f>
        <v>1992.2699929572334</v>
      </c>
      <c r="BA162" s="196"/>
      <c r="BB162" s="172">
        <f>B162</f>
        <v>117</v>
      </c>
      <c r="BC162" s="172">
        <f>G162/AD162</f>
        <v>0.74311926605504586</v>
      </c>
      <c r="BE162" s="172">
        <v>9</v>
      </c>
      <c r="BF162" s="172">
        <f>BE162/AD162</f>
        <v>8.2568807339449546E-2</v>
      </c>
      <c r="BG162" s="172">
        <v>44</v>
      </c>
      <c r="BH162" s="172">
        <f>BG162/AD162</f>
        <v>0.40366972477064222</v>
      </c>
      <c r="BI162" s="172">
        <v>28</v>
      </c>
      <c r="BJ162" s="172">
        <f>BI162/AD162</f>
        <v>0.25688073394495414</v>
      </c>
      <c r="CB162" s="172">
        <v>11.8</v>
      </c>
      <c r="CC162" s="172">
        <f t="shared" si="53"/>
        <v>0.61434</v>
      </c>
      <c r="CG162" s="172">
        <v>61</v>
      </c>
      <c r="CH162" s="172">
        <f t="shared" si="54"/>
        <v>0.54899999999999993</v>
      </c>
      <c r="CJ162" s="172">
        <v>61</v>
      </c>
      <c r="CL162" s="172">
        <f t="shared" si="42"/>
        <v>0.183</v>
      </c>
      <c r="CM162" s="172">
        <f t="shared" si="43"/>
        <v>0.6099</v>
      </c>
      <c r="CN162" s="172">
        <f t="shared" si="55"/>
        <v>0.20359999999999998</v>
      </c>
      <c r="CO162" s="172">
        <f t="shared" si="44"/>
        <v>0.79289999999999994</v>
      </c>
      <c r="CP162" s="172">
        <f t="shared" si="45"/>
        <v>0.8135</v>
      </c>
      <c r="CR162" s="172">
        <v>0.21</v>
      </c>
      <c r="CS162" s="172">
        <v>0.5</v>
      </c>
      <c r="CT162" s="172">
        <v>0.28000000000000003</v>
      </c>
      <c r="CU162" s="172">
        <f t="shared" si="46"/>
        <v>0.71</v>
      </c>
      <c r="CV162" s="172">
        <f t="shared" si="47"/>
        <v>0.78</v>
      </c>
    </row>
    <row r="163" spans="1:100" s="172" customFormat="1" x14ac:dyDescent="0.25">
      <c r="A163" s="172">
        <v>2015</v>
      </c>
      <c r="B163" s="172">
        <f t="shared" si="57"/>
        <v>151</v>
      </c>
      <c r="C163" s="191">
        <v>42155</v>
      </c>
      <c r="G163" s="192">
        <v>0</v>
      </c>
      <c r="H163" s="193"/>
      <c r="P163" s="194"/>
      <c r="Q163" s="193"/>
      <c r="Y163" s="195"/>
      <c r="AA163" s="195"/>
      <c r="AB163" s="183">
        <f>((B163-B162)*G163)-((B163-B162)*(G163-G162)*0.5)</f>
        <v>1377</v>
      </c>
      <c r="AC163" s="172">
        <f>AF163/$AF$1</f>
        <v>181.52</v>
      </c>
      <c r="AD163" s="172">
        <f>MAX(G159:G163)</f>
        <v>109</v>
      </c>
      <c r="AE163" s="206">
        <f>AC163/AD163</f>
        <v>1.6653211009174314</v>
      </c>
      <c r="AF163" s="280">
        <f>SUM(AB160:AB163)</f>
        <v>9076</v>
      </c>
      <c r="AG163" s="171">
        <f t="shared" si="59"/>
        <v>0</v>
      </c>
      <c r="AH163" s="174">
        <f t="shared" si="61"/>
        <v>0.55000000000000004</v>
      </c>
      <c r="AI163" s="174"/>
      <c r="AJ163" s="174">
        <f>0.5*(B163-B162)*AG162</f>
        <v>2503.6363636363631</v>
      </c>
      <c r="AK163" s="249">
        <f>AN163/$AN$1</f>
        <v>330.0363636363636</v>
      </c>
      <c r="AL163" s="192">
        <f>MAX($G$159:$G$163)/AH163</f>
        <v>198.18181818181816</v>
      </c>
      <c r="AM163" s="206">
        <f>AK163/AL163</f>
        <v>1.6653211009174311</v>
      </c>
      <c r="AN163" s="174">
        <f>SUM(AJ160:AJ163)</f>
        <v>16501.81818181818</v>
      </c>
      <c r="AO163" s="286">
        <v>196</v>
      </c>
      <c r="AP163" s="303">
        <v>1.79</v>
      </c>
      <c r="AQ163" s="290">
        <f>AO163</f>
        <v>196</v>
      </c>
      <c r="AR163" s="303">
        <v>196</v>
      </c>
      <c r="AS163" s="286">
        <v>1.8</v>
      </c>
      <c r="AT163" s="303">
        <f>AL163*$AS$188</f>
        <v>0</v>
      </c>
      <c r="AU163" s="197">
        <v>0</v>
      </c>
      <c r="AX163" s="172">
        <f>BA163/$BA$1</f>
        <v>319.37393761880992</v>
      </c>
      <c r="AY163" s="183">
        <f>AX163/AD163</f>
        <v>2.9300361249432103</v>
      </c>
      <c r="AZ163" s="172">
        <f>0.5*(B163-B162)*AU162</f>
        <v>1377</v>
      </c>
      <c r="BA163" s="196">
        <f>SUM(AZ160:AZ163)</f>
        <v>15968.696880940495</v>
      </c>
      <c r="CB163" s="172">
        <v>12</v>
      </c>
      <c r="CC163" s="172">
        <f t="shared" si="53"/>
        <v>0.62479999999999991</v>
      </c>
      <c r="CG163" s="172">
        <v>62</v>
      </c>
      <c r="CH163" s="172">
        <f t="shared" si="54"/>
        <v>0.55799999999999994</v>
      </c>
      <c r="CJ163" s="172">
        <v>62</v>
      </c>
      <c r="CL163" s="172">
        <f t="shared" si="42"/>
        <v>0.186</v>
      </c>
      <c r="CM163" s="172">
        <f t="shared" si="43"/>
        <v>0.60599999999999998</v>
      </c>
      <c r="CN163" s="172">
        <f t="shared" si="55"/>
        <v>0.20379999999999998</v>
      </c>
      <c r="CO163" s="172">
        <f t="shared" si="44"/>
        <v>0.79200000000000004</v>
      </c>
      <c r="CP163" s="172">
        <f t="shared" si="45"/>
        <v>0.80979999999999996</v>
      </c>
      <c r="CR163" s="172">
        <v>0.21</v>
      </c>
      <c r="CS163" s="172">
        <v>0.5</v>
      </c>
      <c r="CT163" s="172">
        <v>0.28000000000000003</v>
      </c>
      <c r="CU163" s="172">
        <f t="shared" si="46"/>
        <v>0.71</v>
      </c>
      <c r="CV163" s="172">
        <f t="shared" si="47"/>
        <v>0.78</v>
      </c>
    </row>
    <row r="164" spans="1:100" x14ac:dyDescent="0.25">
      <c r="A164">
        <v>2016</v>
      </c>
      <c r="B164">
        <f t="shared" si="57"/>
        <v>1</v>
      </c>
      <c r="C164" s="109">
        <v>42370</v>
      </c>
      <c r="G164" s="77">
        <v>0</v>
      </c>
      <c r="AD164">
        <f>AD165</f>
        <v>96</v>
      </c>
      <c r="AG164" s="171">
        <f t="shared" si="59"/>
        <v>0</v>
      </c>
      <c r="AH164" s="108">
        <f t="shared" si="61"/>
        <v>0.55000000000000004</v>
      </c>
      <c r="AI164" s="108"/>
      <c r="AJ164" s="108"/>
      <c r="AK164" s="249"/>
      <c r="AL164" s="77">
        <f>MAX($G$164:$G$168)/AH164</f>
        <v>174.54545454545453</v>
      </c>
      <c r="AM164" s="73"/>
      <c r="AN164" s="108"/>
      <c r="AO164" s="286"/>
      <c r="AP164" s="303"/>
      <c r="AQ164" s="286"/>
      <c r="AR164" s="303"/>
      <c r="AS164" s="286"/>
      <c r="AT164" s="303"/>
      <c r="AU164" s="79">
        <v>0</v>
      </c>
      <c r="CB164">
        <v>12.2</v>
      </c>
      <c r="CC164">
        <f t="shared" si="53"/>
        <v>0.63525999999999994</v>
      </c>
      <c r="CG164">
        <v>63</v>
      </c>
      <c r="CH164">
        <f t="shared" si="54"/>
        <v>0.56699999999999995</v>
      </c>
      <c r="CJ164">
        <v>63</v>
      </c>
      <c r="CL164">
        <f t="shared" si="42"/>
        <v>0.189</v>
      </c>
      <c r="CM164">
        <f t="shared" si="43"/>
        <v>0.60209999999999997</v>
      </c>
      <c r="CN164">
        <f t="shared" si="55"/>
        <v>0.20399999999999999</v>
      </c>
      <c r="CO164">
        <f t="shared" si="44"/>
        <v>0.79109999999999991</v>
      </c>
      <c r="CP164">
        <f t="shared" si="45"/>
        <v>0.80609999999999993</v>
      </c>
      <c r="CR164">
        <v>0.21</v>
      </c>
      <c r="CS164">
        <v>0.5</v>
      </c>
      <c r="CT164">
        <v>0.28000000000000003</v>
      </c>
      <c r="CU164">
        <f t="shared" si="46"/>
        <v>0.71</v>
      </c>
      <c r="CV164">
        <f t="shared" si="47"/>
        <v>0.78</v>
      </c>
    </row>
    <row r="165" spans="1:100" x14ac:dyDescent="0.25">
      <c r="A165">
        <v>2016</v>
      </c>
      <c r="B165">
        <f t="shared" si="57"/>
        <v>87</v>
      </c>
      <c r="C165" s="109">
        <v>42456</v>
      </c>
      <c r="D165">
        <v>9.83</v>
      </c>
      <c r="G165" s="77">
        <v>81</v>
      </c>
      <c r="AB165" s="61">
        <f>0.5*(B165-B164)*G165</f>
        <v>3483</v>
      </c>
      <c r="AD165">
        <f>AD166</f>
        <v>96</v>
      </c>
      <c r="AG165" s="171">
        <f t="shared" si="59"/>
        <v>147.27272727272725</v>
      </c>
      <c r="AH165" s="108">
        <f t="shared" si="61"/>
        <v>0.55000000000000004</v>
      </c>
      <c r="AI165" s="108"/>
      <c r="AJ165" s="108">
        <f>0.5*($B165-$B164)*$AG165</f>
        <v>6332.7272727272721</v>
      </c>
      <c r="AK165" s="249"/>
      <c r="AL165" s="77">
        <f>MAX($G$164:$G$168)/AH165</f>
        <v>174.54545454545453</v>
      </c>
      <c r="AM165" s="73"/>
      <c r="AN165" s="108"/>
      <c r="AO165" s="286"/>
      <c r="AP165" s="303"/>
      <c r="AQ165" s="286"/>
      <c r="AR165" s="303"/>
      <c r="AS165" s="286"/>
      <c r="AT165" s="303"/>
      <c r="AU165" s="79">
        <f>G165/AW165</f>
        <v>177.07240293809045</v>
      </c>
      <c r="AV165">
        <f>B165/D165</f>
        <v>8.8504577822990846</v>
      </c>
      <c r="AW165">
        <f>VLOOKUP(AV165,$CB$102:$CC$271,2)</f>
        <v>0.45743999999999946</v>
      </c>
      <c r="AZ165">
        <f>0.5*(B165-B164)*AU165</f>
        <v>7614.1133263378897</v>
      </c>
      <c r="BB165" s="117">
        <f>B165</f>
        <v>87</v>
      </c>
      <c r="BC165" s="117">
        <f>G165/AD165</f>
        <v>0.84375</v>
      </c>
      <c r="BD165" s="117">
        <v>0.84375</v>
      </c>
      <c r="BE165" s="112">
        <v>16</v>
      </c>
      <c r="BF165" s="112">
        <f>BE165/AD165</f>
        <v>0.16666666666666666</v>
      </c>
      <c r="BG165" s="112">
        <v>41</v>
      </c>
      <c r="BH165" s="112">
        <f>BG165/AD165</f>
        <v>0.42708333333333331</v>
      </c>
      <c r="BI165" s="112">
        <v>24</v>
      </c>
      <c r="BJ165" s="112">
        <f>BI165/AD165</f>
        <v>0.25</v>
      </c>
      <c r="CB165">
        <v>12.4</v>
      </c>
      <c r="CC165">
        <f t="shared" si="53"/>
        <v>0.64571999999999996</v>
      </c>
      <c r="CG165">
        <v>64</v>
      </c>
      <c r="CH165">
        <f t="shared" si="54"/>
        <v>0.57599999999999996</v>
      </c>
      <c r="CJ165">
        <v>64</v>
      </c>
      <c r="CL165">
        <f t="shared" si="42"/>
        <v>0.192</v>
      </c>
      <c r="CM165">
        <f t="shared" si="43"/>
        <v>0.59820000000000007</v>
      </c>
      <c r="CN165">
        <f t="shared" ref="CN165:CN200" si="62">(0.0002*CJ165)+0.1914</f>
        <v>0.20419999999999999</v>
      </c>
      <c r="CO165">
        <f t="shared" si="44"/>
        <v>0.79020000000000001</v>
      </c>
      <c r="CP165">
        <f t="shared" si="45"/>
        <v>0.8024</v>
      </c>
      <c r="CR165">
        <v>0.21</v>
      </c>
      <c r="CS165">
        <v>0.5</v>
      </c>
      <c r="CT165">
        <v>0.28000000000000003</v>
      </c>
      <c r="CU165">
        <f t="shared" si="46"/>
        <v>0.71</v>
      </c>
      <c r="CV165">
        <f t="shared" si="47"/>
        <v>0.78</v>
      </c>
    </row>
    <row r="166" spans="1:100" x14ac:dyDescent="0.25">
      <c r="A166">
        <v>2016</v>
      </c>
      <c r="B166">
        <f t="shared" si="57"/>
        <v>98</v>
      </c>
      <c r="C166" s="109">
        <v>42467</v>
      </c>
      <c r="D166">
        <v>11</v>
      </c>
      <c r="G166" s="77">
        <v>94</v>
      </c>
      <c r="AB166" s="61">
        <f>((B166-B165)*G166)-((B166-B165)*(G166-G165)*0.5)</f>
        <v>962.5</v>
      </c>
      <c r="AD166">
        <f>AD167</f>
        <v>96</v>
      </c>
      <c r="AG166" s="171">
        <f t="shared" si="59"/>
        <v>170.90909090909091</v>
      </c>
      <c r="AH166" s="108">
        <f t="shared" si="61"/>
        <v>0.55000000000000004</v>
      </c>
      <c r="AI166" s="108"/>
      <c r="AJ166" s="108">
        <f>((B166-B165)*AG166)-((B166-B165)*(AG166-AG165)*0.5)</f>
        <v>1750</v>
      </c>
      <c r="AK166" s="249"/>
      <c r="AL166" s="77">
        <f>MAX($G$164:$G$168)/AH166</f>
        <v>174.54545454545453</v>
      </c>
      <c r="AM166" s="73"/>
      <c r="AN166" s="108"/>
      <c r="AO166" s="286"/>
      <c r="AP166" s="303"/>
      <c r="AQ166" s="286"/>
      <c r="AR166" s="303"/>
      <c r="AS166" s="286"/>
      <c r="AT166" s="303"/>
      <c r="AU166" s="79">
        <f>G166/AW166</f>
        <v>205.49143057012967</v>
      </c>
      <c r="AV166">
        <f>B166/D166</f>
        <v>8.9090909090909083</v>
      </c>
      <c r="AW166">
        <f>VLOOKUP(AV166,$CB$102:$CC$271,2)</f>
        <v>0.45743999999999946</v>
      </c>
      <c r="AZ166">
        <f>((B166-B165)*AU166)-((B166-B165)*(AU166-AU165)*0.5)</f>
        <v>2104.1010842952105</v>
      </c>
      <c r="BB166" s="117">
        <f>B166</f>
        <v>98</v>
      </c>
      <c r="BC166" s="117">
        <f>G166/AD166</f>
        <v>0.97916666666666663</v>
      </c>
      <c r="BD166" s="117">
        <v>0.97916666666666663</v>
      </c>
      <c r="BE166" s="112">
        <v>16</v>
      </c>
      <c r="BF166" s="112">
        <f>BE166/AD166</f>
        <v>0.16666666666666666</v>
      </c>
      <c r="BG166" s="112">
        <v>40</v>
      </c>
      <c r="BH166" s="112">
        <f>BG166/AD166</f>
        <v>0.41666666666666669</v>
      </c>
      <c r="BI166" s="112">
        <v>38</v>
      </c>
      <c r="BJ166" s="112">
        <f>BI166/AD166</f>
        <v>0.39583333333333331</v>
      </c>
      <c r="CB166">
        <v>12.6</v>
      </c>
      <c r="CC166">
        <f t="shared" si="53"/>
        <v>0.65617999999999999</v>
      </c>
      <c r="CG166">
        <v>65</v>
      </c>
      <c r="CH166">
        <f t="shared" ref="CH166:CH200" si="63">CG166*0.009</f>
        <v>0.58499999999999996</v>
      </c>
      <c r="CJ166">
        <v>65</v>
      </c>
      <c r="CL166">
        <f t="shared" ref="CL166:CL234" si="64">((0.003)*CJ166)</f>
        <v>0.19500000000000001</v>
      </c>
      <c r="CM166">
        <f t="shared" ref="CM166:CM234" si="65">((-0.0039)*CJ166)+0.8478</f>
        <v>0.59430000000000005</v>
      </c>
      <c r="CN166">
        <f t="shared" si="62"/>
        <v>0.2044</v>
      </c>
      <c r="CO166">
        <f t="shared" ref="CO166:CP234" si="66">CL166+CM166</f>
        <v>0.78930000000000011</v>
      </c>
      <c r="CP166">
        <f t="shared" si="66"/>
        <v>0.79870000000000008</v>
      </c>
      <c r="CR166">
        <v>0.21</v>
      </c>
      <c r="CS166">
        <v>0.5</v>
      </c>
      <c r="CT166">
        <v>0.28000000000000003</v>
      </c>
      <c r="CU166">
        <f t="shared" ref="CU166:CU234" si="67">CR166+CS166</f>
        <v>0.71</v>
      </c>
      <c r="CV166">
        <f t="shared" ref="CV166:CV234" si="68">CS166+CT166</f>
        <v>0.78</v>
      </c>
    </row>
    <row r="167" spans="1:100" x14ac:dyDescent="0.25">
      <c r="A167">
        <v>2016</v>
      </c>
      <c r="B167">
        <f t="shared" si="57"/>
        <v>111</v>
      </c>
      <c r="C167" s="109">
        <v>42480</v>
      </c>
      <c r="D167">
        <v>11</v>
      </c>
      <c r="G167" s="77">
        <v>96</v>
      </c>
      <c r="AB167" s="61">
        <f>((B167-B166)*G167)-((B167-B166)*(G167-G166)*0.5)</f>
        <v>1235</v>
      </c>
      <c r="AD167">
        <f>AD168</f>
        <v>96</v>
      </c>
      <c r="AG167" s="171">
        <f t="shared" si="59"/>
        <v>174.54545454545453</v>
      </c>
      <c r="AH167" s="108">
        <f t="shared" si="61"/>
        <v>0.55000000000000004</v>
      </c>
      <c r="AI167" s="108"/>
      <c r="AJ167" s="108">
        <f>((B167-B166)*AG167)-((B167-B166)*(AG167-AG166)*0.5)</f>
        <v>2245.4545454545455</v>
      </c>
      <c r="AK167" s="249"/>
      <c r="AL167" s="77">
        <f>MAX($G$164:$G$168)/AH167</f>
        <v>174.54545454545453</v>
      </c>
      <c r="AM167" s="73"/>
      <c r="AN167" s="108"/>
      <c r="AO167" s="286"/>
      <c r="AP167" s="303"/>
      <c r="AQ167" s="286"/>
      <c r="AR167" s="303"/>
      <c r="AS167" s="286"/>
      <c r="AT167" s="303"/>
      <c r="AU167" s="79">
        <f>G167/AW167</f>
        <v>184.54440599769339</v>
      </c>
      <c r="AV167">
        <f>B167/D167</f>
        <v>10.090909090909092</v>
      </c>
      <c r="AW167">
        <f>VLOOKUP(AV167,$CB$102:$CC$271,2)</f>
        <v>0.52019999999999944</v>
      </c>
      <c r="AZ167">
        <f>((B167-B166)*AU167)-((B167-B166)*(AU167-AU166)*0.5)</f>
        <v>2535.2329376908501</v>
      </c>
      <c r="BB167" s="117">
        <f>B167</f>
        <v>111</v>
      </c>
      <c r="BC167" s="117">
        <f>G167/AD167</f>
        <v>1</v>
      </c>
      <c r="BD167" s="117">
        <v>1</v>
      </c>
      <c r="BE167" s="112">
        <v>30</v>
      </c>
      <c r="BF167" s="112">
        <f>BE167/AD167</f>
        <v>0.3125</v>
      </c>
      <c r="BG167" s="112">
        <v>32</v>
      </c>
      <c r="BH167" s="112">
        <f>BG167/AD167</f>
        <v>0.33333333333333331</v>
      </c>
      <c r="BI167" s="112">
        <v>34</v>
      </c>
      <c r="BJ167" s="112">
        <f>BI167/AD167</f>
        <v>0.35416666666666669</v>
      </c>
      <c r="CB167">
        <v>12.8</v>
      </c>
      <c r="CC167">
        <f t="shared" si="53"/>
        <v>0.66664000000000001</v>
      </c>
      <c r="CG167">
        <v>66</v>
      </c>
      <c r="CH167">
        <f t="shared" si="63"/>
        <v>0.59399999999999997</v>
      </c>
      <c r="CJ167">
        <v>66</v>
      </c>
      <c r="CL167">
        <f t="shared" si="64"/>
        <v>0.19800000000000001</v>
      </c>
      <c r="CM167">
        <f t="shared" si="65"/>
        <v>0.59040000000000004</v>
      </c>
      <c r="CN167">
        <f t="shared" si="62"/>
        <v>0.20459999999999998</v>
      </c>
      <c r="CO167">
        <f t="shared" si="66"/>
        <v>0.78839999999999999</v>
      </c>
      <c r="CP167">
        <f t="shared" si="66"/>
        <v>0.79500000000000004</v>
      </c>
      <c r="CR167">
        <v>0.21</v>
      </c>
      <c r="CS167">
        <v>0.5</v>
      </c>
      <c r="CT167">
        <v>0.28000000000000003</v>
      </c>
      <c r="CU167">
        <f t="shared" si="67"/>
        <v>0.71</v>
      </c>
      <c r="CV167">
        <f t="shared" si="68"/>
        <v>0.78</v>
      </c>
    </row>
    <row r="168" spans="1:100" x14ac:dyDescent="0.25">
      <c r="A168">
        <v>2016</v>
      </c>
      <c r="B168">
        <f t="shared" si="57"/>
        <v>152</v>
      </c>
      <c r="C168" s="109">
        <v>42521</v>
      </c>
      <c r="G168" s="77">
        <v>0</v>
      </c>
      <c r="AB168" s="61">
        <f>((B168-B167)*G168)-((B168-B167)*(G168-G167)*0.5)</f>
        <v>1968</v>
      </c>
      <c r="AC168">
        <f>AF168/$AF$1</f>
        <v>152.97</v>
      </c>
      <c r="AD168">
        <f>MAX(G164:G168)</f>
        <v>96</v>
      </c>
      <c r="AE168" s="73">
        <f>AC168/AD168</f>
        <v>1.5934375000000001</v>
      </c>
      <c r="AF168" s="279">
        <f>SUM(AB165:AB168)</f>
        <v>7648.5</v>
      </c>
      <c r="AG168" s="171">
        <f t="shared" si="59"/>
        <v>0</v>
      </c>
      <c r="AH168" s="108">
        <f t="shared" si="61"/>
        <v>0.55000000000000004</v>
      </c>
      <c r="AI168" s="108"/>
      <c r="AJ168" s="108">
        <f>0.5*(B168-B167)*AG167</f>
        <v>3578.181818181818</v>
      </c>
      <c r="AK168" s="248">
        <f>AN168/$AN$1</f>
        <v>278.12727272727273</v>
      </c>
      <c r="AL168" s="77">
        <f>MAX($G$164:$G$168)/AH168</f>
        <v>174.54545454545453</v>
      </c>
      <c r="AM168" s="73">
        <f>AK168/AL168</f>
        <v>1.5934375000000001</v>
      </c>
      <c r="AN168" s="108">
        <f>SUM(AJ165:AJ168)</f>
        <v>13906.363636363636</v>
      </c>
      <c r="AO168" s="286">
        <v>191</v>
      </c>
      <c r="AP168" s="303">
        <v>1.84</v>
      </c>
      <c r="AQ168" s="290">
        <f>AO168</f>
        <v>191</v>
      </c>
      <c r="AR168" s="303">
        <v>191</v>
      </c>
      <c r="AS168" s="286">
        <v>1.98</v>
      </c>
      <c r="AT168" s="303">
        <f>AL168*$AS$188</f>
        <v>0</v>
      </c>
      <c r="AU168" s="79">
        <v>0</v>
      </c>
      <c r="AX168">
        <f>BA168/$BA$1</f>
        <v>320.73215342553323</v>
      </c>
      <c r="AY168" s="61">
        <f>AX168/AD168</f>
        <v>3.3409599315159713</v>
      </c>
      <c r="AZ168">
        <f>0.5*(B168-B167)*AU167</f>
        <v>3783.1603229527145</v>
      </c>
      <c r="BA168" s="78">
        <f>SUM(AZ165:AZ168)</f>
        <v>16036.607671276663</v>
      </c>
      <c r="BC168" s="117">
        <f>G168/AD168</f>
        <v>0</v>
      </c>
      <c r="CB168">
        <v>13</v>
      </c>
      <c r="CC168">
        <f t="shared" si="53"/>
        <v>0.67709999999999992</v>
      </c>
      <c r="CG168">
        <v>67</v>
      </c>
      <c r="CH168">
        <f t="shared" si="63"/>
        <v>0.60299999999999998</v>
      </c>
      <c r="CJ168">
        <v>67</v>
      </c>
      <c r="CL168">
        <f t="shared" si="64"/>
        <v>0.20100000000000001</v>
      </c>
      <c r="CM168">
        <f t="shared" si="65"/>
        <v>0.58650000000000002</v>
      </c>
      <c r="CN168">
        <f t="shared" si="62"/>
        <v>0.20479999999999998</v>
      </c>
      <c r="CO168">
        <f t="shared" si="66"/>
        <v>0.78750000000000009</v>
      </c>
      <c r="CP168">
        <f t="shared" si="66"/>
        <v>0.7913</v>
      </c>
      <c r="CR168">
        <v>0.21</v>
      </c>
      <c r="CS168">
        <v>0.5</v>
      </c>
      <c r="CT168">
        <v>0.28000000000000003</v>
      </c>
      <c r="CU168">
        <f t="shared" si="67"/>
        <v>0.71</v>
      </c>
      <c r="CV168">
        <f t="shared" si="68"/>
        <v>0.78</v>
      </c>
    </row>
    <row r="169" spans="1:100" s="112" customFormat="1" x14ac:dyDescent="0.25">
      <c r="A169" s="112">
        <v>2017</v>
      </c>
      <c r="B169" s="112">
        <f t="shared" si="57"/>
        <v>1</v>
      </c>
      <c r="C169" s="292">
        <v>42736</v>
      </c>
      <c r="G169" s="293">
        <v>0</v>
      </c>
      <c r="H169" s="294"/>
      <c r="P169" s="295"/>
      <c r="Q169" s="294"/>
      <c r="Y169" s="296"/>
      <c r="AA169" s="296"/>
      <c r="AB169" s="297"/>
      <c r="AD169" s="112">
        <f>AD170</f>
        <v>41</v>
      </c>
      <c r="AE169" s="298"/>
      <c r="AF169" s="299"/>
      <c r="AG169" s="305">
        <f t="shared" ref="AG169:AG174" si="69">G169/AH169</f>
        <v>0</v>
      </c>
      <c r="AH169" s="114">
        <f t="shared" si="61"/>
        <v>0.55000000000000004</v>
      </c>
      <c r="AI169" s="114"/>
      <c r="AJ169" s="114"/>
      <c r="AK169" s="249"/>
      <c r="AL169" s="293">
        <f>MAX($G$169:$G$173)/AH169</f>
        <v>74.545454545454533</v>
      </c>
      <c r="AM169" s="298"/>
      <c r="AN169" s="114"/>
      <c r="AO169" s="286"/>
      <c r="AP169" s="114"/>
      <c r="AQ169" s="286"/>
      <c r="AR169" s="114"/>
      <c r="AS169" s="286"/>
      <c r="AT169" s="114"/>
      <c r="AU169" s="300">
        <v>1</v>
      </c>
      <c r="AY169" s="297"/>
      <c r="BA169" s="299"/>
      <c r="BL169" s="122"/>
      <c r="BM169" s="122"/>
      <c r="BN169" s="122"/>
      <c r="BO169" s="122"/>
      <c r="BP169" s="122"/>
      <c r="BQ169" s="122"/>
      <c r="BR169" s="122"/>
      <c r="BS169" s="122"/>
      <c r="BT169" s="122"/>
      <c r="BU169" s="122"/>
      <c r="CB169" s="112">
        <v>13.2</v>
      </c>
      <c r="CC169" s="112">
        <f t="shared" si="53"/>
        <v>0.68755999999999995</v>
      </c>
      <c r="CG169" s="112">
        <v>68</v>
      </c>
      <c r="CH169" s="112">
        <f t="shared" si="63"/>
        <v>0.61199999999999999</v>
      </c>
      <c r="CJ169" s="112">
        <v>68</v>
      </c>
      <c r="CL169" s="112">
        <f t="shared" si="64"/>
        <v>0.20400000000000001</v>
      </c>
      <c r="CM169" s="112">
        <f t="shared" si="65"/>
        <v>0.58260000000000001</v>
      </c>
      <c r="CN169" s="112">
        <f t="shared" si="62"/>
        <v>0.20499999999999999</v>
      </c>
      <c r="CO169" s="112">
        <f t="shared" si="66"/>
        <v>0.78659999999999997</v>
      </c>
      <c r="CP169" s="112">
        <f t="shared" si="66"/>
        <v>0.78759999999999997</v>
      </c>
      <c r="CR169" s="112">
        <v>0.21</v>
      </c>
      <c r="CS169" s="112">
        <v>0.5</v>
      </c>
      <c r="CT169" s="112">
        <v>0.28000000000000003</v>
      </c>
      <c r="CU169" s="112">
        <f t="shared" si="67"/>
        <v>0.71</v>
      </c>
      <c r="CV169" s="112">
        <f t="shared" si="68"/>
        <v>0.78</v>
      </c>
    </row>
    <row r="170" spans="1:100" s="112" customFormat="1" x14ac:dyDescent="0.25">
      <c r="A170" s="112">
        <v>2017</v>
      </c>
      <c r="B170" s="112">
        <f t="shared" si="57"/>
        <v>68</v>
      </c>
      <c r="C170" s="292">
        <v>42803</v>
      </c>
      <c r="G170" s="293">
        <v>41</v>
      </c>
      <c r="H170" s="294"/>
      <c r="P170" s="295"/>
      <c r="Q170" s="294"/>
      <c r="Y170" s="296"/>
      <c r="AA170" s="296"/>
      <c r="AB170" s="297">
        <f>0.5*(B170-B169)*G170</f>
        <v>1373.5</v>
      </c>
      <c r="AD170" s="112">
        <f>AD171</f>
        <v>41</v>
      </c>
      <c r="AE170" s="298"/>
      <c r="AF170" s="299"/>
      <c r="AG170" s="305">
        <f t="shared" si="69"/>
        <v>74.545454545454533</v>
      </c>
      <c r="AH170" s="114">
        <f t="shared" si="61"/>
        <v>0.55000000000000004</v>
      </c>
      <c r="AI170" s="114"/>
      <c r="AJ170" s="114">
        <f>0.5*($B170-$B169)*$AG170</f>
        <v>2497.272727272727</v>
      </c>
      <c r="AK170" s="249"/>
      <c r="AL170" s="293">
        <f>MAX($G$169:$G$173)/AH170</f>
        <v>74.545454545454533</v>
      </c>
      <c r="AM170" s="298"/>
      <c r="AN170" s="114"/>
      <c r="AO170" s="286"/>
      <c r="AP170" s="114"/>
      <c r="AQ170" s="286"/>
      <c r="AR170" s="114"/>
      <c r="AS170" s="286"/>
      <c r="AT170" s="114"/>
      <c r="AU170" s="300"/>
      <c r="AY170" s="297"/>
      <c r="BA170" s="299"/>
      <c r="BB170" s="112">
        <f>B170</f>
        <v>68</v>
      </c>
      <c r="BC170" s="112">
        <f>G170/AD170</f>
        <v>1</v>
      </c>
      <c r="BD170" s="112">
        <v>1.0972222222222201</v>
      </c>
      <c r="BE170" s="112">
        <v>34.6666666666667</v>
      </c>
      <c r="BF170" s="112">
        <f>BE170/AD170</f>
        <v>0.84552845528455367</v>
      </c>
      <c r="BG170" s="112">
        <v>28.6666666666667</v>
      </c>
      <c r="BH170" s="112">
        <f>BG170/AD170</f>
        <v>0.69918699186991951</v>
      </c>
      <c r="BI170" s="112">
        <v>42</v>
      </c>
      <c r="BJ170" s="112">
        <f>BI170/AD170</f>
        <v>1.024390243902439</v>
      </c>
      <c r="CB170" s="112">
        <v>13.4</v>
      </c>
      <c r="CC170" s="112">
        <f t="shared" si="53"/>
        <v>0.69801999999999997</v>
      </c>
      <c r="CG170" s="112">
        <v>69</v>
      </c>
      <c r="CH170" s="112">
        <f t="shared" si="63"/>
        <v>0.621</v>
      </c>
      <c r="CJ170" s="112">
        <v>69</v>
      </c>
      <c r="CL170" s="112">
        <f t="shared" si="64"/>
        <v>0.20700000000000002</v>
      </c>
      <c r="CM170" s="112">
        <f t="shared" si="65"/>
        <v>0.57869999999999999</v>
      </c>
      <c r="CN170" s="112">
        <f t="shared" si="62"/>
        <v>0.20519999999999999</v>
      </c>
      <c r="CO170" s="112">
        <f t="shared" si="66"/>
        <v>0.78570000000000007</v>
      </c>
      <c r="CP170" s="112">
        <f t="shared" si="66"/>
        <v>0.78390000000000004</v>
      </c>
      <c r="CR170" s="112">
        <v>0.21</v>
      </c>
      <c r="CS170" s="112">
        <v>0.5</v>
      </c>
      <c r="CT170" s="112">
        <v>0.28000000000000003</v>
      </c>
      <c r="CU170" s="112">
        <f t="shared" si="67"/>
        <v>0.71</v>
      </c>
      <c r="CV170" s="112">
        <f t="shared" si="68"/>
        <v>0.78</v>
      </c>
    </row>
    <row r="171" spans="1:100" s="112" customFormat="1" x14ac:dyDescent="0.25">
      <c r="A171" s="112">
        <v>2017</v>
      </c>
      <c r="B171" s="112">
        <f t="shared" si="57"/>
        <v>94</v>
      </c>
      <c r="C171" s="292">
        <v>42829</v>
      </c>
      <c r="G171" s="293">
        <v>34</v>
      </c>
      <c r="H171" s="294"/>
      <c r="P171" s="295"/>
      <c r="Q171" s="294"/>
      <c r="Y171" s="296"/>
      <c r="AA171" s="296"/>
      <c r="AB171" s="297">
        <f>((B171-B170)*G171)-((B171-B170)*(G171-G170)*0.5)</f>
        <v>975</v>
      </c>
      <c r="AD171" s="112">
        <f>AD172</f>
        <v>41</v>
      </c>
      <c r="AE171" s="298"/>
      <c r="AF171" s="299"/>
      <c r="AG171" s="305">
        <f t="shared" si="69"/>
        <v>61.818181818181813</v>
      </c>
      <c r="AH171" s="114">
        <f t="shared" si="61"/>
        <v>0.55000000000000004</v>
      </c>
      <c r="AI171" s="114"/>
      <c r="AJ171" s="114">
        <f>((B171-B170)*AG171)-((B171-B170)*(AG171-AG170)*0.5)</f>
        <v>1772.7272727272723</v>
      </c>
      <c r="AK171" s="249"/>
      <c r="AL171" s="293">
        <f>MAX($G$169:$G$173)/AH171</f>
        <v>74.545454545454533</v>
      </c>
      <c r="AM171" s="298"/>
      <c r="AN171" s="114"/>
      <c r="AO171" s="286"/>
      <c r="AP171" s="114"/>
      <c r="AQ171" s="286"/>
      <c r="AR171" s="114"/>
      <c r="AS171" s="286"/>
      <c r="AT171" s="114"/>
      <c r="AU171" s="300"/>
      <c r="AY171" s="297"/>
      <c r="BA171" s="299"/>
      <c r="BB171" s="112">
        <f>B171</f>
        <v>94</v>
      </c>
      <c r="BC171" s="112">
        <f>G171/AD171</f>
        <v>0.82926829268292679</v>
      </c>
      <c r="BD171" s="112">
        <v>1.1753472222222201</v>
      </c>
      <c r="BE171" s="112">
        <v>41.6666666666667</v>
      </c>
      <c r="BF171" s="112">
        <f>BE171/AD171</f>
        <v>1.0162601626016268</v>
      </c>
      <c r="BG171" s="112">
        <v>24.1666666666667</v>
      </c>
      <c r="BH171" s="112">
        <f>BG171/AD171</f>
        <v>0.58943089430894391</v>
      </c>
      <c r="BI171" s="112">
        <v>47</v>
      </c>
      <c r="BJ171" s="112">
        <f>BI171/AD171</f>
        <v>1.1463414634146341</v>
      </c>
      <c r="CB171" s="112">
        <v>13.6</v>
      </c>
      <c r="CC171" s="112">
        <f t="shared" si="53"/>
        <v>0.70848</v>
      </c>
      <c r="CG171" s="112">
        <v>70</v>
      </c>
      <c r="CH171" s="112">
        <f t="shared" si="63"/>
        <v>0.63</v>
      </c>
      <c r="CJ171" s="112">
        <v>70</v>
      </c>
      <c r="CL171" s="112">
        <f t="shared" si="64"/>
        <v>0.21</v>
      </c>
      <c r="CM171" s="112">
        <f t="shared" si="65"/>
        <v>0.57479999999999998</v>
      </c>
      <c r="CN171" s="112">
        <f t="shared" si="62"/>
        <v>0.2054</v>
      </c>
      <c r="CO171" s="112">
        <f t="shared" si="66"/>
        <v>0.78479999999999994</v>
      </c>
      <c r="CP171" s="112">
        <f t="shared" si="66"/>
        <v>0.7802</v>
      </c>
      <c r="CR171" s="112">
        <v>0.21</v>
      </c>
      <c r="CS171" s="112">
        <v>0.5</v>
      </c>
      <c r="CT171" s="112">
        <v>0.28000000000000003</v>
      </c>
      <c r="CU171" s="112">
        <f t="shared" si="67"/>
        <v>0.71</v>
      </c>
      <c r="CV171" s="112">
        <f t="shared" si="68"/>
        <v>0.78</v>
      </c>
    </row>
    <row r="172" spans="1:100" s="112" customFormat="1" x14ac:dyDescent="0.25">
      <c r="A172" s="112">
        <v>2017</v>
      </c>
      <c r="B172" s="112">
        <f t="shared" si="57"/>
        <v>121</v>
      </c>
      <c r="C172" s="292">
        <v>42856</v>
      </c>
      <c r="G172" s="293">
        <v>35</v>
      </c>
      <c r="H172" s="294"/>
      <c r="P172" s="295"/>
      <c r="Q172" s="294"/>
      <c r="Y172" s="296"/>
      <c r="AA172" s="296"/>
      <c r="AB172" s="297">
        <f>((B172-B171)*G172)-((B172-B171)*(G172-G171)*0.5)</f>
        <v>931.5</v>
      </c>
      <c r="AD172" s="112">
        <f>AD173</f>
        <v>41</v>
      </c>
      <c r="AE172" s="298"/>
      <c r="AF172" s="299"/>
      <c r="AG172" s="305">
        <f t="shared" si="69"/>
        <v>63.636363636363633</v>
      </c>
      <c r="AH172" s="114">
        <f t="shared" si="61"/>
        <v>0.55000000000000004</v>
      </c>
      <c r="AI172" s="114"/>
      <c r="AJ172" s="114">
        <f>((B172-B171)*AG172)-((B172-B171)*(AG172-AG171)*0.5)</f>
        <v>1693.6363636363635</v>
      </c>
      <c r="AK172" s="249"/>
      <c r="AL172" s="293">
        <f>MAX($G$169:$G$173)/AH172</f>
        <v>74.545454545454533</v>
      </c>
      <c r="AM172" s="298"/>
      <c r="AN172" s="114"/>
      <c r="AO172" s="286"/>
      <c r="AP172" s="114"/>
      <c r="AQ172" s="286"/>
      <c r="AR172" s="114"/>
      <c r="AS172" s="286"/>
      <c r="AT172" s="114"/>
      <c r="AU172" s="300"/>
      <c r="AY172" s="297"/>
      <c r="BA172" s="299"/>
      <c r="BB172" s="112">
        <f>B172</f>
        <v>121</v>
      </c>
      <c r="BC172" s="112">
        <f>G172/AD172</f>
        <v>0.85365853658536583</v>
      </c>
      <c r="BD172" s="112">
        <v>1.2534722222222201</v>
      </c>
      <c r="BE172" s="112">
        <v>48.6666666666667</v>
      </c>
      <c r="BF172" s="112">
        <f>BE172/AD172</f>
        <v>1.1869918699187001</v>
      </c>
      <c r="BG172" s="112">
        <v>19.6666666666667</v>
      </c>
      <c r="BH172" s="112">
        <f>BG172/AD172</f>
        <v>0.47967479674796831</v>
      </c>
      <c r="BI172" s="112">
        <v>52</v>
      </c>
      <c r="BJ172" s="112">
        <f>BI172/AD172</f>
        <v>1.2682926829268293</v>
      </c>
      <c r="CB172" s="112">
        <v>13.8</v>
      </c>
      <c r="CC172" s="112">
        <f t="shared" si="53"/>
        <v>0.71894000000000002</v>
      </c>
      <c r="CG172" s="112">
        <v>71</v>
      </c>
      <c r="CH172" s="112">
        <f t="shared" si="63"/>
        <v>0.6389999999999999</v>
      </c>
      <c r="CJ172" s="112">
        <v>71</v>
      </c>
      <c r="CL172" s="112">
        <f t="shared" si="64"/>
        <v>0.21299999999999999</v>
      </c>
      <c r="CM172" s="112">
        <f t="shared" si="65"/>
        <v>0.57089999999999996</v>
      </c>
      <c r="CN172" s="112">
        <f t="shared" si="62"/>
        <v>0.20559999999999998</v>
      </c>
      <c r="CO172" s="112">
        <f t="shared" si="66"/>
        <v>0.78389999999999993</v>
      </c>
      <c r="CP172" s="112">
        <f t="shared" si="66"/>
        <v>0.77649999999999997</v>
      </c>
      <c r="CR172" s="112">
        <v>0.21</v>
      </c>
      <c r="CS172" s="112">
        <v>0.5</v>
      </c>
      <c r="CT172" s="112">
        <v>0.28000000000000003</v>
      </c>
      <c r="CU172" s="112">
        <f t="shared" si="67"/>
        <v>0.71</v>
      </c>
      <c r="CV172" s="112">
        <f t="shared" si="68"/>
        <v>0.78</v>
      </c>
    </row>
    <row r="173" spans="1:100" s="112" customFormat="1" x14ac:dyDescent="0.25">
      <c r="A173" s="112">
        <v>2017</v>
      </c>
      <c r="B173" s="112">
        <f t="shared" si="57"/>
        <v>151</v>
      </c>
      <c r="C173" s="292">
        <v>42886</v>
      </c>
      <c r="G173" s="293">
        <v>0</v>
      </c>
      <c r="H173" s="294"/>
      <c r="P173" s="295"/>
      <c r="Q173" s="294"/>
      <c r="Y173" s="296"/>
      <c r="AA173" s="296"/>
      <c r="AB173" s="297">
        <f>((B173-B172)*G173)-((B173-B172)*(G173-G172)*0.5)</f>
        <v>525</v>
      </c>
      <c r="AC173" s="112">
        <f>AF173/$AF$1</f>
        <v>76.099999999999994</v>
      </c>
      <c r="AD173" s="112">
        <f>MAX(G169:G173)</f>
        <v>41</v>
      </c>
      <c r="AE173" s="298">
        <f>AC173/AD173</f>
        <v>1.8560975609756096</v>
      </c>
      <c r="AF173" s="306">
        <f>SUM(AB170:AB173)</f>
        <v>3805</v>
      </c>
      <c r="AG173" s="305">
        <f t="shared" si="69"/>
        <v>0</v>
      </c>
      <c r="AH173" s="114">
        <f t="shared" si="61"/>
        <v>0.55000000000000004</v>
      </c>
      <c r="AI173" s="114"/>
      <c r="AJ173" s="114">
        <f>0.5*(B173-B172)*AG172</f>
        <v>954.5454545454545</v>
      </c>
      <c r="AK173" s="248">
        <f>AN173/$AN$1</f>
        <v>138.36363636363632</v>
      </c>
      <c r="AL173" s="293">
        <f>MAX($G$169:$G$173)/AH173</f>
        <v>74.545454545454533</v>
      </c>
      <c r="AM173" s="298">
        <f>AK173/AL173</f>
        <v>1.8560975609756094</v>
      </c>
      <c r="AN173" s="114">
        <f>SUM(AJ170:AJ173)</f>
        <v>6918.1818181818162</v>
      </c>
      <c r="AO173" s="286"/>
      <c r="AP173" s="114"/>
      <c r="AQ173" s="290">
        <f>AL173*AP188</f>
        <v>0</v>
      </c>
      <c r="AR173" s="114"/>
      <c r="AS173" s="286"/>
      <c r="AT173" s="303">
        <f>AL173*$AS$188</f>
        <v>0</v>
      </c>
      <c r="AU173" s="300"/>
      <c r="AY173" s="297"/>
      <c r="BA173" s="299"/>
      <c r="BC173" s="112">
        <f>G173/AD173</f>
        <v>0</v>
      </c>
      <c r="CB173" s="112">
        <v>14</v>
      </c>
      <c r="CC173" s="112">
        <f t="shared" si="53"/>
        <v>0.72939999999999994</v>
      </c>
      <c r="CG173" s="112">
        <v>72</v>
      </c>
      <c r="CH173" s="112">
        <f t="shared" si="63"/>
        <v>0.64799999999999991</v>
      </c>
      <c r="CJ173" s="112">
        <v>72</v>
      </c>
      <c r="CL173" s="112">
        <f t="shared" si="64"/>
        <v>0.216</v>
      </c>
      <c r="CM173" s="112">
        <f t="shared" si="65"/>
        <v>0.56699999999999995</v>
      </c>
      <c r="CN173" s="112">
        <f t="shared" si="62"/>
        <v>0.20579999999999998</v>
      </c>
      <c r="CO173" s="112">
        <f t="shared" si="66"/>
        <v>0.78299999999999992</v>
      </c>
      <c r="CP173" s="112">
        <f t="shared" si="66"/>
        <v>0.77279999999999993</v>
      </c>
      <c r="CR173" s="112">
        <v>0.21</v>
      </c>
      <c r="CS173" s="112">
        <v>0.5</v>
      </c>
      <c r="CT173" s="112">
        <v>0.28000000000000003</v>
      </c>
      <c r="CU173" s="112">
        <f t="shared" si="67"/>
        <v>0.71</v>
      </c>
      <c r="CV173" s="112">
        <f t="shared" si="68"/>
        <v>0.78</v>
      </c>
    </row>
    <row r="174" spans="1:100" x14ac:dyDescent="0.25">
      <c r="A174">
        <v>2018</v>
      </c>
      <c r="B174">
        <f>C174-DATE(YEAR(C174),1,1)+1</f>
        <v>1</v>
      </c>
      <c r="C174" s="109">
        <v>43101</v>
      </c>
      <c r="G174" s="77">
        <v>0</v>
      </c>
      <c r="AD174">
        <v>27</v>
      </c>
      <c r="AG174" s="126">
        <f t="shared" si="69"/>
        <v>0</v>
      </c>
      <c r="AH174" s="108">
        <f t="shared" si="61"/>
        <v>0.55000000000000004</v>
      </c>
      <c r="AI174" s="108"/>
      <c r="AJ174" s="108"/>
      <c r="AK174" s="249"/>
      <c r="AL174" s="77">
        <f>MAX($G$174:$G$177)/AH174</f>
        <v>32.727272727272727</v>
      </c>
      <c r="AM174" s="73"/>
      <c r="AN174" s="108"/>
      <c r="AO174" s="286"/>
      <c r="AP174" s="108"/>
      <c r="AQ174" s="286"/>
      <c r="AR174" s="108"/>
      <c r="AS174" s="286"/>
      <c r="AT174" s="108"/>
      <c r="CB174">
        <v>14.2</v>
      </c>
      <c r="CC174">
        <f t="shared" si="53"/>
        <v>0.73985999999999996</v>
      </c>
      <c r="CG174">
        <v>73</v>
      </c>
      <c r="CH174">
        <f t="shared" si="63"/>
        <v>0.65699999999999992</v>
      </c>
      <c r="CJ174">
        <v>73</v>
      </c>
      <c r="CL174">
        <f t="shared" si="64"/>
        <v>0.219</v>
      </c>
      <c r="CM174">
        <f t="shared" si="65"/>
        <v>0.56309999999999993</v>
      </c>
      <c r="CN174">
        <f t="shared" si="62"/>
        <v>0.20599999999999999</v>
      </c>
      <c r="CO174">
        <f t="shared" si="66"/>
        <v>0.78209999999999991</v>
      </c>
      <c r="CP174">
        <f t="shared" si="66"/>
        <v>0.76909999999999989</v>
      </c>
      <c r="CR174">
        <v>0.21</v>
      </c>
      <c r="CS174">
        <v>0.5</v>
      </c>
      <c r="CT174">
        <v>0.28000000000000003</v>
      </c>
      <c r="CU174">
        <f t="shared" si="67"/>
        <v>0.71</v>
      </c>
      <c r="CV174">
        <f t="shared" si="68"/>
        <v>0.78</v>
      </c>
    </row>
    <row r="175" spans="1:100" x14ac:dyDescent="0.25">
      <c r="A175">
        <v>2018</v>
      </c>
      <c r="B175">
        <f>C175-DATE(YEAR(C175),1,1)+1</f>
        <v>75</v>
      </c>
      <c r="C175" s="109">
        <v>43175</v>
      </c>
      <c r="G175" s="77">
        <v>18</v>
      </c>
      <c r="AB175" s="61">
        <f>0.5*(B175-B174)*G175</f>
        <v>666</v>
      </c>
      <c r="AD175">
        <v>27</v>
      </c>
      <c r="AG175" s="126">
        <f t="shared" ref="AG175:AG189" si="70">G175/AH175</f>
        <v>32.727272727272727</v>
      </c>
      <c r="AH175" s="108">
        <f t="shared" si="61"/>
        <v>0.55000000000000004</v>
      </c>
      <c r="AI175" s="108"/>
      <c r="AJ175" s="108">
        <f>0.5*($B175-$B174)*$AG175</f>
        <v>1210.909090909091</v>
      </c>
      <c r="AK175" s="249"/>
      <c r="AL175" s="77">
        <f>MAX($G$174:$G$177)/AH175</f>
        <v>32.727272727272727</v>
      </c>
      <c r="AM175" s="73"/>
      <c r="AN175" s="108"/>
      <c r="AO175" s="286"/>
      <c r="AP175" s="108"/>
      <c r="AQ175" s="286"/>
      <c r="AR175" s="108"/>
      <c r="AS175" s="286"/>
      <c r="AT175" s="108"/>
      <c r="CB175">
        <v>14.4</v>
      </c>
      <c r="CC175">
        <f t="shared" si="53"/>
        <v>0.75031999999999999</v>
      </c>
      <c r="CG175">
        <v>74</v>
      </c>
      <c r="CH175">
        <f t="shared" si="63"/>
        <v>0.66599999999999993</v>
      </c>
      <c r="CJ175">
        <v>74</v>
      </c>
      <c r="CL175">
        <f t="shared" si="64"/>
        <v>0.222</v>
      </c>
      <c r="CM175">
        <f t="shared" si="65"/>
        <v>0.55920000000000003</v>
      </c>
      <c r="CN175">
        <f t="shared" si="62"/>
        <v>0.20619999999999999</v>
      </c>
      <c r="CO175">
        <f t="shared" si="66"/>
        <v>0.78120000000000001</v>
      </c>
      <c r="CP175">
        <f t="shared" si="66"/>
        <v>0.76540000000000008</v>
      </c>
      <c r="CR175">
        <v>0.21</v>
      </c>
      <c r="CS175">
        <v>0.5</v>
      </c>
      <c r="CT175">
        <v>0.28000000000000003</v>
      </c>
      <c r="CU175">
        <f t="shared" si="67"/>
        <v>0.71</v>
      </c>
      <c r="CV175">
        <f t="shared" si="68"/>
        <v>0.78</v>
      </c>
    </row>
    <row r="176" spans="1:100" x14ac:dyDescent="0.25">
      <c r="A176">
        <v>2018</v>
      </c>
      <c r="B176" s="311">
        <v>112</v>
      </c>
      <c r="C176" s="312">
        <v>43210</v>
      </c>
      <c r="D176" s="311"/>
      <c r="E176" s="311"/>
      <c r="F176" s="311"/>
      <c r="G176" s="313">
        <v>16</v>
      </c>
      <c r="AB176" s="61">
        <f>((B176-B175)*G176)-((B176-B175)*(G176-G175)*0.5)</f>
        <v>629</v>
      </c>
      <c r="AD176">
        <v>27</v>
      </c>
      <c r="AG176" s="126">
        <f t="shared" si="70"/>
        <v>29.09090909090909</v>
      </c>
      <c r="AH176" s="108">
        <f t="shared" si="61"/>
        <v>0.55000000000000004</v>
      </c>
      <c r="AI176" s="108"/>
      <c r="AJ176" s="108">
        <f>((B176-B175)*AG176)-((B176-B175)*(AG176-AG175)*0.5)</f>
        <v>1143.6363636363635</v>
      </c>
      <c r="AL176" s="77">
        <f>MAX($G$174:$G$177)/AH176</f>
        <v>32.727272727272727</v>
      </c>
      <c r="AM176" s="73"/>
      <c r="AN176" s="108"/>
      <c r="AO176" s="286"/>
      <c r="AP176" s="108"/>
      <c r="AQ176" s="286"/>
      <c r="AR176" s="108"/>
      <c r="AS176" s="286"/>
      <c r="AT176" s="108"/>
      <c r="CB176">
        <v>14.6</v>
      </c>
      <c r="CC176">
        <f t="shared" si="53"/>
        <v>0.7607799999999999</v>
      </c>
      <c r="CG176">
        <v>75</v>
      </c>
      <c r="CH176">
        <f t="shared" si="63"/>
        <v>0.67499999999999993</v>
      </c>
      <c r="CJ176">
        <v>75</v>
      </c>
      <c r="CL176">
        <f t="shared" si="64"/>
        <v>0.22500000000000001</v>
      </c>
      <c r="CM176">
        <f t="shared" si="65"/>
        <v>0.55530000000000002</v>
      </c>
      <c r="CN176">
        <f t="shared" si="62"/>
        <v>0.2064</v>
      </c>
      <c r="CO176">
        <f t="shared" si="66"/>
        <v>0.78029999999999999</v>
      </c>
      <c r="CP176">
        <f t="shared" si="66"/>
        <v>0.76170000000000004</v>
      </c>
      <c r="CR176">
        <v>0.21</v>
      </c>
      <c r="CS176">
        <v>0.5</v>
      </c>
      <c r="CT176">
        <v>0.28000000000000003</v>
      </c>
      <c r="CU176">
        <f t="shared" si="67"/>
        <v>0.71</v>
      </c>
      <c r="CV176">
        <f t="shared" si="68"/>
        <v>0.78</v>
      </c>
    </row>
    <row r="177" spans="1:100" x14ac:dyDescent="0.25">
      <c r="A177">
        <v>2018</v>
      </c>
      <c r="B177">
        <f t="shared" ref="B177:B190" si="71">C177-DATE(YEAR(C177),1,1)+1</f>
        <v>151</v>
      </c>
      <c r="C177" s="109">
        <v>42886</v>
      </c>
      <c r="G177" s="77">
        <v>0</v>
      </c>
      <c r="AB177" s="61">
        <f>((B177-B176)*G177)-((B177-B176)*(G177-G176)*0.5)</f>
        <v>312</v>
      </c>
      <c r="AC177">
        <f>AF177/$AF$1</f>
        <v>32.14</v>
      </c>
      <c r="AD177">
        <v>27</v>
      </c>
      <c r="AE177" s="73">
        <f>AC177/AD177</f>
        <v>1.1903703703703703</v>
      </c>
      <c r="AF177" s="279">
        <f>SUM(AB174:AB177)</f>
        <v>1607</v>
      </c>
      <c r="AG177" s="126">
        <f t="shared" si="70"/>
        <v>0</v>
      </c>
      <c r="AH177" s="108">
        <f t="shared" si="61"/>
        <v>0.55000000000000004</v>
      </c>
      <c r="AI177" s="108"/>
      <c r="AJ177" s="108">
        <f>0.5*(B177-B176)*AG176</f>
        <v>567.27272727272725</v>
      </c>
      <c r="AK177" s="248">
        <f>AN177/$AN$1</f>
        <v>58.436363636363637</v>
      </c>
      <c r="AL177" s="77">
        <f>MAX($G$174:$G$177)/AH177</f>
        <v>32.727272727272727</v>
      </c>
      <c r="AM177" s="73">
        <f>AK177/AL177</f>
        <v>1.7855555555555556</v>
      </c>
      <c r="AN177" s="108">
        <f>SUM(AJ174:AJ177)</f>
        <v>2921.818181818182</v>
      </c>
      <c r="AO177" s="286"/>
      <c r="AP177" s="108"/>
      <c r="AQ177" s="286">
        <f>AL176*AP188</f>
        <v>0</v>
      </c>
      <c r="AR177" s="108"/>
      <c r="AS177" s="286"/>
      <c r="AT177" s="108"/>
      <c r="CB177">
        <v>15</v>
      </c>
      <c r="CC177">
        <f t="shared" si="53"/>
        <v>0.78169999999999995</v>
      </c>
      <c r="CG177">
        <v>77</v>
      </c>
      <c r="CH177">
        <f t="shared" si="63"/>
        <v>0.69299999999999995</v>
      </c>
      <c r="CJ177">
        <v>77</v>
      </c>
      <c r="CL177">
        <f t="shared" si="64"/>
        <v>0.23100000000000001</v>
      </c>
      <c r="CM177">
        <f t="shared" si="65"/>
        <v>0.54749999999999999</v>
      </c>
      <c r="CN177">
        <f t="shared" si="62"/>
        <v>0.20679999999999998</v>
      </c>
      <c r="CO177">
        <f t="shared" si="66"/>
        <v>0.77849999999999997</v>
      </c>
      <c r="CP177">
        <f t="shared" si="66"/>
        <v>0.75429999999999997</v>
      </c>
      <c r="CR177">
        <v>0.21</v>
      </c>
      <c r="CS177">
        <v>0.5</v>
      </c>
      <c r="CT177">
        <v>0.28000000000000003</v>
      </c>
      <c r="CU177">
        <f t="shared" si="67"/>
        <v>0.71</v>
      </c>
      <c r="CV177">
        <f t="shared" si="68"/>
        <v>0.78</v>
      </c>
    </row>
    <row r="178" spans="1:100" s="112" customFormat="1" x14ac:dyDescent="0.25">
      <c r="A178" s="112">
        <v>2019</v>
      </c>
      <c r="B178" s="112">
        <f t="shared" si="71"/>
        <v>1</v>
      </c>
      <c r="C178" s="292">
        <v>43466</v>
      </c>
      <c r="G178" s="293">
        <v>0</v>
      </c>
      <c r="H178" s="294"/>
      <c r="P178" s="295"/>
      <c r="Q178" s="294"/>
      <c r="Y178" s="296"/>
      <c r="AA178" s="296"/>
      <c r="AB178" s="297"/>
      <c r="AD178" s="293">
        <f>MAX($G$178:$G$181)</f>
        <v>45</v>
      </c>
      <c r="AE178" s="298"/>
      <c r="AF178" s="299"/>
      <c r="AG178" s="305">
        <f t="shared" ref="AG178:AG184" si="72">G178/AH178</f>
        <v>0</v>
      </c>
      <c r="AH178" s="114">
        <f t="shared" si="61"/>
        <v>0.55000000000000004</v>
      </c>
      <c r="AI178" s="114"/>
      <c r="AJ178" s="114"/>
      <c r="AK178" s="250"/>
      <c r="AL178" s="293">
        <f>MAX($G$178:$G$181)/AH178</f>
        <v>81.818181818181813</v>
      </c>
      <c r="AM178" s="298"/>
      <c r="AO178" s="308"/>
      <c r="AP178" s="114"/>
      <c r="AQ178" s="309"/>
      <c r="AR178" s="114"/>
      <c r="AS178" s="308"/>
      <c r="AT178" s="114">
        <f>AL178*$AS$188</f>
        <v>0</v>
      </c>
      <c r="AU178" s="300"/>
      <c r="AY178" s="297"/>
      <c r="BA178" s="299"/>
      <c r="CB178" s="112">
        <v>15.2</v>
      </c>
      <c r="CC178" s="112">
        <f t="shared" si="53"/>
        <v>0.79215999999999998</v>
      </c>
      <c r="CG178" s="112">
        <v>78</v>
      </c>
      <c r="CH178" s="112">
        <f t="shared" si="63"/>
        <v>0.70199999999999996</v>
      </c>
      <c r="CJ178" s="112">
        <v>78</v>
      </c>
      <c r="CL178" s="112">
        <f t="shared" si="64"/>
        <v>0.23400000000000001</v>
      </c>
      <c r="CM178" s="112">
        <f t="shared" si="65"/>
        <v>0.54360000000000008</v>
      </c>
      <c r="CN178" s="112">
        <f t="shared" si="62"/>
        <v>0.20699999999999999</v>
      </c>
      <c r="CO178" s="112">
        <f t="shared" si="66"/>
        <v>0.77760000000000007</v>
      </c>
      <c r="CP178" s="112">
        <f t="shared" si="66"/>
        <v>0.75060000000000004</v>
      </c>
      <c r="CR178" s="112">
        <v>0.21</v>
      </c>
      <c r="CS178" s="112">
        <v>0.5</v>
      </c>
      <c r="CT178" s="112">
        <v>0.28000000000000003</v>
      </c>
      <c r="CU178" s="112">
        <f t="shared" si="67"/>
        <v>0.71</v>
      </c>
      <c r="CV178" s="112">
        <f t="shared" si="68"/>
        <v>0.78</v>
      </c>
    </row>
    <row r="179" spans="1:100" s="112" customFormat="1" x14ac:dyDescent="0.25">
      <c r="A179" s="112">
        <v>2019</v>
      </c>
      <c r="B179" s="112">
        <f t="shared" si="71"/>
        <v>92</v>
      </c>
      <c r="C179" s="292">
        <v>43557</v>
      </c>
      <c r="G179" s="293">
        <v>45</v>
      </c>
      <c r="H179" s="294"/>
      <c r="P179" s="295"/>
      <c r="Q179" s="294"/>
      <c r="Y179" s="296"/>
      <c r="AA179" s="296"/>
      <c r="AB179" s="297">
        <f>0.5*(B179-B178)*G179</f>
        <v>2047.5</v>
      </c>
      <c r="AD179" s="293">
        <f t="shared" ref="AD179:AD185" si="73">MAX($G$178:$G$181)</f>
        <v>45</v>
      </c>
      <c r="AE179" s="298"/>
      <c r="AF179" s="299"/>
      <c r="AG179" s="293">
        <f t="shared" si="72"/>
        <v>81.818181818181813</v>
      </c>
      <c r="AH179" s="114">
        <f t="shared" si="61"/>
        <v>0.55000000000000004</v>
      </c>
      <c r="AJ179" s="112">
        <f>0.5*($B179-$B178)*$AG179</f>
        <v>3722.7272727272725</v>
      </c>
      <c r="AK179" s="250"/>
      <c r="AL179" s="293">
        <f>MAX($G$178:$G$181)/AH179</f>
        <v>81.818181818181813</v>
      </c>
      <c r="AO179" s="307"/>
      <c r="AQ179" s="307"/>
      <c r="AS179" s="307"/>
      <c r="AU179" s="300"/>
      <c r="AY179" s="297"/>
      <c r="BA179" s="299"/>
      <c r="CB179" s="112">
        <v>15.4</v>
      </c>
      <c r="CC179" s="112">
        <f t="shared" si="53"/>
        <v>0.80262</v>
      </c>
      <c r="CG179" s="112">
        <v>79</v>
      </c>
      <c r="CH179" s="112">
        <f t="shared" si="63"/>
        <v>0.71099999999999997</v>
      </c>
      <c r="CJ179" s="112">
        <v>79</v>
      </c>
      <c r="CL179" s="112">
        <f t="shared" si="64"/>
        <v>0.23700000000000002</v>
      </c>
      <c r="CM179" s="112">
        <f t="shared" si="65"/>
        <v>0.53970000000000007</v>
      </c>
      <c r="CN179" s="112">
        <f t="shared" si="62"/>
        <v>0.2072</v>
      </c>
      <c r="CO179" s="112">
        <f t="shared" si="66"/>
        <v>0.77670000000000006</v>
      </c>
      <c r="CP179" s="112">
        <f t="shared" si="66"/>
        <v>0.74690000000000012</v>
      </c>
      <c r="CR179" s="112">
        <v>0.21</v>
      </c>
      <c r="CS179" s="112">
        <v>0.5</v>
      </c>
      <c r="CT179" s="112">
        <v>0.28000000000000003</v>
      </c>
      <c r="CU179" s="112">
        <f t="shared" si="67"/>
        <v>0.71</v>
      </c>
      <c r="CV179" s="112">
        <f t="shared" si="68"/>
        <v>0.78</v>
      </c>
    </row>
    <row r="180" spans="1:100" s="112" customFormat="1" x14ac:dyDescent="0.25">
      <c r="A180" s="112">
        <v>2019</v>
      </c>
      <c r="B180" s="112">
        <f t="shared" si="71"/>
        <v>116</v>
      </c>
      <c r="C180" s="292">
        <v>43581</v>
      </c>
      <c r="G180" s="293">
        <v>38</v>
      </c>
      <c r="H180" s="294"/>
      <c r="P180" s="295"/>
      <c r="Q180" s="294"/>
      <c r="Y180" s="296"/>
      <c r="AA180" s="296"/>
      <c r="AB180" s="297">
        <f>((B180-B179)*G180)-((B180-B179)*(G180-G179)*0.5)</f>
        <v>996</v>
      </c>
      <c r="AD180" s="293">
        <f t="shared" si="73"/>
        <v>45</v>
      </c>
      <c r="AE180" s="298"/>
      <c r="AF180" s="299"/>
      <c r="AG180" s="293">
        <f t="shared" si="72"/>
        <v>69.090909090909079</v>
      </c>
      <c r="AH180" s="114">
        <f t="shared" si="61"/>
        <v>0.55000000000000004</v>
      </c>
      <c r="AJ180" s="112">
        <f>((B180-B179)*AG180)-((B180-B179)*(AG180-AG179)*0.5)</f>
        <v>1810.9090909090908</v>
      </c>
      <c r="AK180" s="250"/>
      <c r="AL180" s="293">
        <f>MAX($G$178:$G$181)/AH180</f>
        <v>81.818181818181813</v>
      </c>
      <c r="AO180" s="307"/>
      <c r="AQ180" s="307"/>
      <c r="AS180" s="307"/>
      <c r="AU180" s="300"/>
      <c r="AY180" s="297"/>
      <c r="BA180" s="299"/>
      <c r="CB180" s="112">
        <v>15.6</v>
      </c>
      <c r="CC180" s="112">
        <f t="shared" si="53"/>
        <v>0.81307999999999991</v>
      </c>
      <c r="CG180" s="112">
        <v>80</v>
      </c>
      <c r="CH180" s="112">
        <f t="shared" si="63"/>
        <v>0.72</v>
      </c>
      <c r="CJ180" s="112">
        <v>80</v>
      </c>
      <c r="CL180" s="112">
        <f t="shared" si="64"/>
        <v>0.24</v>
      </c>
      <c r="CM180" s="112">
        <f t="shared" si="65"/>
        <v>0.53580000000000005</v>
      </c>
      <c r="CN180" s="112">
        <f t="shared" si="62"/>
        <v>0.20739999999999997</v>
      </c>
      <c r="CO180" s="112">
        <f t="shared" si="66"/>
        <v>0.77580000000000005</v>
      </c>
      <c r="CP180" s="112">
        <f t="shared" si="66"/>
        <v>0.74320000000000008</v>
      </c>
      <c r="CR180" s="112">
        <v>0.21</v>
      </c>
      <c r="CS180" s="112">
        <v>0.5</v>
      </c>
      <c r="CT180" s="112">
        <v>0.28000000000000003</v>
      </c>
      <c r="CU180" s="112">
        <f t="shared" si="67"/>
        <v>0.71</v>
      </c>
      <c r="CV180" s="112">
        <f t="shared" si="68"/>
        <v>0.78</v>
      </c>
    </row>
    <row r="181" spans="1:100" s="112" customFormat="1" x14ac:dyDescent="0.25">
      <c r="A181" s="112">
        <v>2019</v>
      </c>
      <c r="B181" s="112">
        <f t="shared" si="71"/>
        <v>151</v>
      </c>
      <c r="C181" s="292">
        <v>43616</v>
      </c>
      <c r="G181" s="293">
        <v>0</v>
      </c>
      <c r="H181" s="294"/>
      <c r="P181" s="295"/>
      <c r="Q181" s="294"/>
      <c r="Y181" s="296"/>
      <c r="AA181" s="296"/>
      <c r="AB181" s="297">
        <f>((B181-B180)*G181)-((B181-B180)*(G181-G180)*0.5)</f>
        <v>665</v>
      </c>
      <c r="AC181" s="112">
        <f>AF181/$AF$1</f>
        <v>74.17</v>
      </c>
      <c r="AD181" s="293">
        <f t="shared" si="73"/>
        <v>45</v>
      </c>
      <c r="AE181" s="298">
        <f>AC181/AD181</f>
        <v>1.6482222222222223</v>
      </c>
      <c r="AF181" s="306">
        <f>SUM(AB178:AB181)</f>
        <v>3708.5</v>
      </c>
      <c r="AG181" s="293">
        <f t="shared" si="72"/>
        <v>0</v>
      </c>
      <c r="AH181" s="114">
        <f t="shared" si="61"/>
        <v>0.55000000000000004</v>
      </c>
      <c r="AJ181" s="112">
        <f>0.5*(B181-B180)*AG180</f>
        <v>1209.0909090909088</v>
      </c>
      <c r="AK181" s="249">
        <f>AN181/$AN$1</f>
        <v>134.85454545454544</v>
      </c>
      <c r="AL181" s="293">
        <f>MAX($G$178:$G$181)/AH181</f>
        <v>81.818181818181813</v>
      </c>
      <c r="AM181" s="298">
        <f>AK181/AL181</f>
        <v>1.6482222222222223</v>
      </c>
      <c r="AN181" s="298">
        <f>SUM(AJ178:AJ181)</f>
        <v>6742.7272727272721</v>
      </c>
      <c r="AO181" s="307"/>
      <c r="AQ181" s="307">
        <f>AL181*AP188</f>
        <v>0</v>
      </c>
      <c r="AS181" s="307"/>
      <c r="AU181" s="300"/>
      <c r="AY181" s="297"/>
      <c r="BA181" s="299"/>
      <c r="CB181" s="112">
        <v>15.8</v>
      </c>
      <c r="CC181" s="112">
        <f t="shared" si="53"/>
        <v>0.82354000000000005</v>
      </c>
      <c r="CG181" s="112">
        <v>81</v>
      </c>
      <c r="CH181" s="112">
        <f t="shared" si="63"/>
        <v>0.72899999999999998</v>
      </c>
      <c r="CJ181" s="112">
        <v>81</v>
      </c>
      <c r="CL181" s="112">
        <f t="shared" si="64"/>
        <v>0.24299999999999999</v>
      </c>
      <c r="CM181" s="112">
        <f t="shared" si="65"/>
        <v>0.53190000000000004</v>
      </c>
      <c r="CN181" s="112">
        <f t="shared" si="62"/>
        <v>0.20759999999999998</v>
      </c>
      <c r="CO181" s="112">
        <f t="shared" si="66"/>
        <v>0.77490000000000003</v>
      </c>
      <c r="CP181" s="112">
        <f t="shared" si="66"/>
        <v>0.73950000000000005</v>
      </c>
      <c r="CR181" s="112">
        <v>0.21</v>
      </c>
      <c r="CS181" s="112">
        <v>0.5</v>
      </c>
      <c r="CT181" s="112">
        <v>0.28000000000000003</v>
      </c>
      <c r="CU181" s="112">
        <f t="shared" si="67"/>
        <v>0.71</v>
      </c>
      <c r="CV181" s="112">
        <f t="shared" si="68"/>
        <v>0.78</v>
      </c>
    </row>
    <row r="182" spans="1:100" x14ac:dyDescent="0.25">
      <c r="A182">
        <v>2020</v>
      </c>
      <c r="B182">
        <f t="shared" si="71"/>
        <v>1</v>
      </c>
      <c r="C182" s="109">
        <v>43466</v>
      </c>
      <c r="G182" s="77">
        <v>0</v>
      </c>
      <c r="AD182" s="77">
        <f>MAX($G$178:$G$181)</f>
        <v>45</v>
      </c>
      <c r="AG182" s="126">
        <f t="shared" si="72"/>
        <v>0</v>
      </c>
      <c r="AH182" s="108">
        <f t="shared" si="61"/>
        <v>0.55000000000000004</v>
      </c>
      <c r="AI182" s="108"/>
      <c r="AJ182" s="108"/>
      <c r="AL182" s="77">
        <f>MAX($G$182:$G$185)/AH182</f>
        <v>50.909090909090907</v>
      </c>
      <c r="AM182" s="73"/>
      <c r="AO182" s="108"/>
      <c r="AP182" s="108"/>
      <c r="AQ182" s="310"/>
      <c r="AR182" s="108"/>
      <c r="AS182" s="108"/>
      <c r="AT182" s="108">
        <f>AL182*$AS$188</f>
        <v>0</v>
      </c>
      <c r="BB182"/>
      <c r="BC182"/>
      <c r="BD182"/>
      <c r="BE182"/>
      <c r="BF182"/>
      <c r="BG182"/>
      <c r="BH182"/>
      <c r="BI182"/>
      <c r="BJ182"/>
      <c r="BK182"/>
      <c r="CB182">
        <v>15.2</v>
      </c>
      <c r="CC182">
        <f t="shared" ref="CC182:CC190" si="74">(($CB$89)*CB182)-($CC$89)</f>
        <v>0.79215999999999998</v>
      </c>
      <c r="CG182">
        <v>78</v>
      </c>
      <c r="CH182">
        <f t="shared" ref="CH182:CH190" si="75">CG182*0.009</f>
        <v>0.70199999999999996</v>
      </c>
      <c r="CJ182">
        <v>78</v>
      </c>
      <c r="CL182">
        <f t="shared" ref="CL182:CL190" si="76">((0.003)*CJ182)</f>
        <v>0.23400000000000001</v>
      </c>
      <c r="CM182">
        <f t="shared" ref="CM182:CM190" si="77">((-0.0039)*CJ182)+0.8478</f>
        <v>0.54360000000000008</v>
      </c>
      <c r="CN182">
        <f t="shared" ref="CN182:CN190" si="78">(0.0002*CJ182)+0.1914</f>
        <v>0.20699999999999999</v>
      </c>
      <c r="CO182">
        <f>CL182+CM182</f>
        <v>0.77760000000000007</v>
      </c>
      <c r="CP182">
        <f t="shared" si="66"/>
        <v>0.75060000000000004</v>
      </c>
      <c r="CR182">
        <v>0.21</v>
      </c>
      <c r="CS182">
        <v>0.5</v>
      </c>
      <c r="CT182">
        <v>0.28000000000000003</v>
      </c>
      <c r="CU182">
        <f t="shared" ref="CU182:CU190" si="79">CR182+CS182</f>
        <v>0.71</v>
      </c>
      <c r="CV182">
        <f t="shared" si="68"/>
        <v>0.78</v>
      </c>
    </row>
    <row r="183" spans="1:100" x14ac:dyDescent="0.25">
      <c r="A183">
        <v>2020</v>
      </c>
      <c r="B183">
        <f t="shared" si="71"/>
        <v>65</v>
      </c>
      <c r="C183" s="109">
        <v>43895</v>
      </c>
      <c r="G183" s="77">
        <v>7</v>
      </c>
      <c r="AB183" s="61">
        <f>0.5*(B183-B182)*G183</f>
        <v>224</v>
      </c>
      <c r="AD183" s="77">
        <f t="shared" si="73"/>
        <v>45</v>
      </c>
      <c r="AG183" s="77">
        <f t="shared" si="72"/>
        <v>12.727272727272727</v>
      </c>
      <c r="AH183" s="108">
        <f t="shared" si="61"/>
        <v>0.55000000000000004</v>
      </c>
      <c r="AJ183">
        <f>0.5*($B183-$B182)*$AG183</f>
        <v>407.27272727272725</v>
      </c>
      <c r="AL183" s="77">
        <f>MAX($G$182:$G$185)/AH183</f>
        <v>50.909090909090907</v>
      </c>
      <c r="AO183"/>
      <c r="AP183"/>
      <c r="AQ183"/>
      <c r="AR183"/>
      <c r="AS183"/>
      <c r="AT183"/>
      <c r="BB183"/>
      <c r="BC183"/>
      <c r="BD183"/>
      <c r="BE183"/>
      <c r="BF183"/>
      <c r="BG183"/>
      <c r="BH183"/>
      <c r="BI183"/>
      <c r="BJ183"/>
      <c r="BK183"/>
      <c r="CB183">
        <v>15.4</v>
      </c>
      <c r="CC183">
        <f t="shared" si="74"/>
        <v>0.80262</v>
      </c>
      <c r="CG183">
        <v>79</v>
      </c>
      <c r="CH183">
        <f t="shared" si="75"/>
        <v>0.71099999999999997</v>
      </c>
      <c r="CJ183">
        <v>79</v>
      </c>
      <c r="CL183">
        <f t="shared" si="76"/>
        <v>0.23700000000000002</v>
      </c>
      <c r="CM183">
        <f t="shared" si="77"/>
        <v>0.53970000000000007</v>
      </c>
      <c r="CN183">
        <f t="shared" si="78"/>
        <v>0.2072</v>
      </c>
      <c r="CO183">
        <f t="shared" si="66"/>
        <v>0.77670000000000006</v>
      </c>
      <c r="CP183">
        <f t="shared" si="66"/>
        <v>0.74690000000000012</v>
      </c>
      <c r="CR183">
        <v>0.21</v>
      </c>
      <c r="CS183">
        <v>0.5</v>
      </c>
      <c r="CT183">
        <v>0.28000000000000003</v>
      </c>
      <c r="CU183">
        <f t="shared" si="79"/>
        <v>0.71</v>
      </c>
      <c r="CV183">
        <f t="shared" si="68"/>
        <v>0.78</v>
      </c>
    </row>
    <row r="184" spans="1:100" x14ac:dyDescent="0.25">
      <c r="A184">
        <v>2020</v>
      </c>
      <c r="B184">
        <f t="shared" si="71"/>
        <v>98</v>
      </c>
      <c r="C184" s="109">
        <v>43928</v>
      </c>
      <c r="G184" s="77">
        <v>28</v>
      </c>
      <c r="AB184" s="61">
        <f>((B184-B183)*G184)-((B184-B183)*(G184-G183)*0.5)</f>
        <v>577.5</v>
      </c>
      <c r="AD184" s="77">
        <f t="shared" si="73"/>
        <v>45</v>
      </c>
      <c r="AG184" s="77">
        <f t="shared" si="72"/>
        <v>50.909090909090907</v>
      </c>
      <c r="AH184" s="108">
        <f t="shared" si="61"/>
        <v>0.55000000000000004</v>
      </c>
      <c r="AJ184">
        <f>((B184-B183)*AG184)-((B184-B183)*(AG184-AG183)*0.5)</f>
        <v>1050</v>
      </c>
      <c r="AL184" s="77">
        <f>MAX($G$182:$G$185)/AH184</f>
        <v>50.909090909090907</v>
      </c>
      <c r="AO184"/>
      <c r="AP184"/>
      <c r="AQ184"/>
      <c r="AR184"/>
      <c r="AS184"/>
      <c r="AT184"/>
      <c r="BB184"/>
      <c r="BC184"/>
      <c r="BD184"/>
      <c r="BE184"/>
      <c r="BF184"/>
      <c r="BG184"/>
      <c r="BH184"/>
      <c r="BI184"/>
      <c r="BJ184"/>
      <c r="BK184"/>
      <c r="CB184">
        <v>15.6</v>
      </c>
      <c r="CC184">
        <f t="shared" si="74"/>
        <v>0.81307999999999991</v>
      </c>
      <c r="CG184">
        <v>80</v>
      </c>
      <c r="CH184">
        <f t="shared" si="75"/>
        <v>0.72</v>
      </c>
      <c r="CJ184">
        <v>80</v>
      </c>
      <c r="CL184">
        <f t="shared" si="76"/>
        <v>0.24</v>
      </c>
      <c r="CM184">
        <f t="shared" si="77"/>
        <v>0.53580000000000005</v>
      </c>
      <c r="CN184">
        <f t="shared" si="78"/>
        <v>0.20739999999999997</v>
      </c>
      <c r="CO184">
        <f t="shared" si="66"/>
        <v>0.77580000000000005</v>
      </c>
      <c r="CP184">
        <f t="shared" si="66"/>
        <v>0.74320000000000008</v>
      </c>
      <c r="CR184">
        <v>0.21</v>
      </c>
      <c r="CS184">
        <v>0.5</v>
      </c>
      <c r="CT184">
        <v>0.28000000000000003</v>
      </c>
      <c r="CU184">
        <f t="shared" si="79"/>
        <v>0.71</v>
      </c>
      <c r="CV184">
        <f t="shared" si="68"/>
        <v>0.78</v>
      </c>
    </row>
    <row r="185" spans="1:100" x14ac:dyDescent="0.25">
      <c r="A185">
        <v>2020</v>
      </c>
      <c r="B185">
        <f t="shared" si="71"/>
        <v>151</v>
      </c>
      <c r="C185" s="109">
        <v>43616</v>
      </c>
      <c r="G185" s="77">
        <v>0</v>
      </c>
      <c r="AB185" s="61">
        <f>((B185-B184)*G185)-((B185-B184)*(G185-G184)*0.5)</f>
        <v>742</v>
      </c>
      <c r="AC185">
        <f>AF185/$AF$1</f>
        <v>30.87</v>
      </c>
      <c r="AD185" s="77">
        <f t="shared" si="73"/>
        <v>45</v>
      </c>
      <c r="AE185" s="73">
        <f>AC185/AD185</f>
        <v>0.68600000000000005</v>
      </c>
      <c r="AF185" s="279">
        <f>SUM(AB182:AB185)</f>
        <v>1543.5</v>
      </c>
      <c r="AG185" s="77">
        <f t="shared" si="70"/>
        <v>0</v>
      </c>
      <c r="AH185" s="108">
        <f t="shared" si="61"/>
        <v>0.55000000000000004</v>
      </c>
      <c r="AJ185">
        <f>0.5*(B185-B184)*AG184</f>
        <v>1349.090909090909</v>
      </c>
      <c r="AK185" s="249">
        <f>AN185/$AN$1</f>
        <v>56.127272727272718</v>
      </c>
      <c r="AL185" s="77">
        <f>MAX($G$182:$G$185)/AH185</f>
        <v>50.909090909090907</v>
      </c>
      <c r="AM185" s="73">
        <f>AK185/AL185</f>
        <v>1.1024999999999998</v>
      </c>
      <c r="AN185" s="73">
        <f>SUM(AJ182:AJ185)</f>
        <v>2806.363636363636</v>
      </c>
      <c r="AO185"/>
      <c r="AP185"/>
      <c r="AQ185">
        <f>AL185*AP192</f>
        <v>0</v>
      </c>
      <c r="AR185"/>
      <c r="AS185"/>
      <c r="AT185"/>
      <c r="BB185"/>
      <c r="BC185"/>
      <c r="BD185"/>
      <c r="BE185"/>
      <c r="BF185"/>
      <c r="BG185"/>
      <c r="BH185"/>
      <c r="BI185"/>
      <c r="BJ185"/>
      <c r="BK185"/>
      <c r="CB185">
        <v>15.8</v>
      </c>
      <c r="CC185">
        <f t="shared" si="74"/>
        <v>0.82354000000000005</v>
      </c>
      <c r="CG185">
        <v>81</v>
      </c>
      <c r="CH185">
        <f t="shared" si="75"/>
        <v>0.72899999999999998</v>
      </c>
      <c r="CJ185">
        <v>81</v>
      </c>
      <c r="CL185">
        <f t="shared" si="76"/>
        <v>0.24299999999999999</v>
      </c>
      <c r="CM185">
        <f t="shared" si="77"/>
        <v>0.53190000000000004</v>
      </c>
      <c r="CN185">
        <f t="shared" si="78"/>
        <v>0.20759999999999998</v>
      </c>
      <c r="CO185">
        <f t="shared" si="66"/>
        <v>0.77490000000000003</v>
      </c>
      <c r="CP185">
        <f t="shared" si="66"/>
        <v>0.73950000000000005</v>
      </c>
      <c r="CR185">
        <v>0.21</v>
      </c>
      <c r="CS185">
        <v>0.5</v>
      </c>
      <c r="CT185">
        <v>0.28000000000000003</v>
      </c>
      <c r="CU185">
        <f t="shared" si="79"/>
        <v>0.71</v>
      </c>
      <c r="CV185">
        <f t="shared" si="68"/>
        <v>0.78</v>
      </c>
    </row>
    <row r="186" spans="1:100" s="112" customFormat="1" x14ac:dyDescent="0.25">
      <c r="A186" s="112">
        <v>2021</v>
      </c>
      <c r="B186" s="112">
        <f t="shared" si="71"/>
        <v>1</v>
      </c>
      <c r="C186" s="292">
        <v>44197</v>
      </c>
      <c r="G186" s="293">
        <v>0</v>
      </c>
      <c r="H186" s="294"/>
      <c r="P186" s="295"/>
      <c r="Q186" s="294"/>
      <c r="Y186" s="296"/>
      <c r="AA186" s="296"/>
      <c r="AB186" s="297"/>
      <c r="AD186" s="293">
        <f t="shared" ref="AD186:AD206" si="80">MAX($G$186:$G$190)</f>
        <v>20</v>
      </c>
      <c r="AE186" s="298"/>
      <c r="AF186" s="299"/>
      <c r="AG186" s="305">
        <f t="shared" si="70"/>
        <v>0</v>
      </c>
      <c r="AH186" s="114">
        <f t="shared" si="61"/>
        <v>0.55000000000000004</v>
      </c>
      <c r="AI186" s="114"/>
      <c r="AJ186" s="114"/>
      <c r="AK186" s="250"/>
      <c r="AL186" s="293">
        <f>MAX($G$186:$G$189)/AH186</f>
        <v>36.36363636363636</v>
      </c>
      <c r="AM186" s="298"/>
      <c r="AO186" s="114"/>
      <c r="AP186" s="114"/>
      <c r="AQ186" s="315"/>
      <c r="AR186" s="114"/>
      <c r="AS186" s="114"/>
      <c r="AT186" s="114">
        <f>AL186*$AS$188</f>
        <v>0</v>
      </c>
      <c r="AU186" s="300"/>
      <c r="AY186" s="297"/>
      <c r="BA186" s="299"/>
      <c r="CB186" s="112">
        <v>15.2</v>
      </c>
      <c r="CC186" s="112">
        <f t="shared" si="74"/>
        <v>0.79215999999999998</v>
      </c>
      <c r="CG186" s="112">
        <v>78</v>
      </c>
      <c r="CH186" s="112">
        <f t="shared" si="75"/>
        <v>0.70199999999999996</v>
      </c>
      <c r="CJ186" s="112">
        <v>78</v>
      </c>
      <c r="CL186" s="112">
        <f t="shared" si="76"/>
        <v>0.23400000000000001</v>
      </c>
      <c r="CM186" s="112">
        <f t="shared" si="77"/>
        <v>0.54360000000000008</v>
      </c>
      <c r="CN186" s="112">
        <f t="shared" si="78"/>
        <v>0.20699999999999999</v>
      </c>
      <c r="CO186" s="112">
        <f t="shared" si="66"/>
        <v>0.77760000000000007</v>
      </c>
      <c r="CP186" s="112">
        <f t="shared" si="66"/>
        <v>0.75060000000000004</v>
      </c>
      <c r="CR186" s="112">
        <v>0.21</v>
      </c>
      <c r="CS186" s="112">
        <v>0.5</v>
      </c>
      <c r="CT186" s="112">
        <v>0.28000000000000003</v>
      </c>
      <c r="CU186" s="112">
        <f t="shared" si="79"/>
        <v>0.71</v>
      </c>
      <c r="CV186" s="112">
        <f t="shared" si="68"/>
        <v>0.78</v>
      </c>
    </row>
    <row r="187" spans="1:100" s="112" customFormat="1" x14ac:dyDescent="0.25">
      <c r="A187" s="112">
        <v>2021</v>
      </c>
      <c r="B187" s="112">
        <f t="shared" si="71"/>
        <v>69</v>
      </c>
      <c r="C187" s="292">
        <v>44265</v>
      </c>
      <c r="G187" s="293">
        <v>20</v>
      </c>
      <c r="H187" s="294"/>
      <c r="P187" s="295"/>
      <c r="Q187" s="294"/>
      <c r="Y187" s="296"/>
      <c r="AA187" s="296"/>
      <c r="AB187" s="297"/>
      <c r="AD187" s="293">
        <f t="shared" si="80"/>
        <v>20</v>
      </c>
      <c r="AE187" s="298"/>
      <c r="AF187" s="299"/>
      <c r="AG187" s="305">
        <f>G187/AH187</f>
        <v>36.36363636363636</v>
      </c>
      <c r="AH187" s="114">
        <f t="shared" si="61"/>
        <v>0.55000000000000004</v>
      </c>
      <c r="AI187" s="114"/>
      <c r="AJ187" s="112">
        <f>0.5*($B187-$B186)*$AG187</f>
        <v>1236.3636363636363</v>
      </c>
      <c r="AK187" s="250"/>
      <c r="AL187" s="293">
        <f>MAX($G$186:$G$189)/AH187</f>
        <v>36.36363636363636</v>
      </c>
      <c r="AM187" s="298"/>
      <c r="AO187" s="114"/>
      <c r="AP187" s="114"/>
      <c r="AQ187" s="315"/>
      <c r="AR187" s="114"/>
      <c r="AS187" s="114"/>
      <c r="AT187" s="114">
        <f>AL187*$AS$188</f>
        <v>0</v>
      </c>
      <c r="AU187" s="300"/>
      <c r="AY187" s="297"/>
      <c r="BA187" s="299"/>
      <c r="CB187" s="112">
        <v>16.2</v>
      </c>
      <c r="CC187" s="112">
        <f t="shared" si="74"/>
        <v>0.84445999999999988</v>
      </c>
      <c r="CG187" s="112">
        <v>79</v>
      </c>
      <c r="CH187" s="112">
        <f t="shared" si="75"/>
        <v>0.71099999999999997</v>
      </c>
      <c r="CJ187" s="112">
        <v>79</v>
      </c>
      <c r="CL187" s="112">
        <f t="shared" si="76"/>
        <v>0.23700000000000002</v>
      </c>
      <c r="CM187" s="112">
        <f t="shared" si="77"/>
        <v>0.53970000000000007</v>
      </c>
      <c r="CN187" s="112">
        <f t="shared" si="78"/>
        <v>0.2072</v>
      </c>
      <c r="CO187" s="112">
        <f t="shared" si="66"/>
        <v>0.77670000000000006</v>
      </c>
      <c r="CP187" s="112">
        <f t="shared" si="66"/>
        <v>0.74690000000000012</v>
      </c>
      <c r="CR187" s="112">
        <v>0.21</v>
      </c>
      <c r="CS187" s="112">
        <v>0.5</v>
      </c>
      <c r="CT187" s="112">
        <v>0.28000000000000003</v>
      </c>
      <c r="CU187" s="112">
        <f t="shared" si="79"/>
        <v>0.71</v>
      </c>
      <c r="CV187" s="112">
        <f t="shared" si="68"/>
        <v>0.78</v>
      </c>
    </row>
    <row r="188" spans="1:100" s="112" customFormat="1" x14ac:dyDescent="0.25">
      <c r="A188" s="112">
        <v>2021</v>
      </c>
      <c r="B188" s="112">
        <f t="shared" si="71"/>
        <v>90</v>
      </c>
      <c r="C188" s="292">
        <v>44286</v>
      </c>
      <c r="G188" s="293">
        <v>20</v>
      </c>
      <c r="H188" s="294"/>
      <c r="P188" s="295"/>
      <c r="Q188" s="294"/>
      <c r="Y188" s="296"/>
      <c r="AA188" s="296"/>
      <c r="AB188" s="297">
        <f>0.5*(B188-B186)*G188</f>
        <v>890</v>
      </c>
      <c r="AD188" s="293">
        <f t="shared" si="80"/>
        <v>20</v>
      </c>
      <c r="AE188" s="298"/>
      <c r="AF188" s="299"/>
      <c r="AG188" s="293">
        <f t="shared" si="70"/>
        <v>36.36363636363636</v>
      </c>
      <c r="AH188" s="114">
        <f t="shared" si="61"/>
        <v>0.55000000000000004</v>
      </c>
      <c r="AJ188" s="112">
        <f>((B188-B187)*AG188)-((B188-B187)*(AG188-AG187)*0.5)</f>
        <v>763.63636363636351</v>
      </c>
      <c r="AK188" s="250"/>
      <c r="AL188" s="293">
        <f>MAX($G$186:$G$189)/AH188</f>
        <v>36.36363636363636</v>
      </c>
      <c r="AU188" s="300"/>
      <c r="AY188" s="297"/>
      <c r="BA188" s="299"/>
      <c r="CB188" s="112">
        <v>15.4</v>
      </c>
      <c r="CC188" s="112">
        <f t="shared" si="74"/>
        <v>0.80262</v>
      </c>
      <c r="CG188" s="112">
        <v>79</v>
      </c>
      <c r="CH188" s="112">
        <f t="shared" si="75"/>
        <v>0.71099999999999997</v>
      </c>
      <c r="CJ188" s="112">
        <v>79</v>
      </c>
      <c r="CL188" s="112">
        <f t="shared" si="76"/>
        <v>0.23700000000000002</v>
      </c>
      <c r="CM188" s="112">
        <f t="shared" si="77"/>
        <v>0.53970000000000007</v>
      </c>
      <c r="CN188" s="112">
        <f t="shared" si="78"/>
        <v>0.2072</v>
      </c>
      <c r="CO188" s="112">
        <f t="shared" si="66"/>
        <v>0.77670000000000006</v>
      </c>
      <c r="CP188" s="112">
        <f t="shared" si="66"/>
        <v>0.74690000000000012</v>
      </c>
      <c r="CR188" s="112">
        <v>0.21</v>
      </c>
      <c r="CS188" s="112">
        <v>0.5</v>
      </c>
      <c r="CT188" s="112">
        <v>0.28000000000000003</v>
      </c>
      <c r="CU188" s="112">
        <f t="shared" si="79"/>
        <v>0.71</v>
      </c>
      <c r="CV188" s="112">
        <f t="shared" si="68"/>
        <v>0.78</v>
      </c>
    </row>
    <row r="189" spans="1:100" s="112" customFormat="1" x14ac:dyDescent="0.25">
      <c r="A189" s="112">
        <v>2021</v>
      </c>
      <c r="B189" s="112">
        <f t="shared" si="71"/>
        <v>127</v>
      </c>
      <c r="C189" s="292">
        <v>44323</v>
      </c>
      <c r="G189" s="293">
        <v>7</v>
      </c>
      <c r="H189" s="294"/>
      <c r="P189" s="295"/>
      <c r="Q189" s="294"/>
      <c r="Y189" s="296"/>
      <c r="AA189" s="296"/>
      <c r="AB189" s="297">
        <f>((B189-B188)*G189)-((B189-B188)*(G189-G188)*0.5)</f>
        <v>499.5</v>
      </c>
      <c r="AD189" s="293">
        <f t="shared" si="80"/>
        <v>20</v>
      </c>
      <c r="AE189" s="298"/>
      <c r="AF189" s="299"/>
      <c r="AG189" s="293">
        <f t="shared" si="70"/>
        <v>12.727272727272727</v>
      </c>
      <c r="AH189" s="114">
        <f t="shared" si="61"/>
        <v>0.55000000000000004</v>
      </c>
      <c r="AJ189" s="112">
        <f>((B189-B188)*AG189)-((B189-B188)*(AG189-AG188)*0.5)</f>
        <v>908.18181818181802</v>
      </c>
      <c r="AK189" s="250"/>
      <c r="AL189" s="293">
        <f>MAX($G$186:$G$189)/AH189</f>
        <v>36.36363636363636</v>
      </c>
      <c r="AU189" s="300"/>
      <c r="AY189" s="297"/>
      <c r="BA189" s="299"/>
      <c r="CB189" s="112">
        <v>15.6</v>
      </c>
      <c r="CC189" s="112">
        <f t="shared" si="74"/>
        <v>0.81307999999999991</v>
      </c>
      <c r="CG189" s="112">
        <v>80</v>
      </c>
      <c r="CH189" s="112">
        <f t="shared" si="75"/>
        <v>0.72</v>
      </c>
      <c r="CJ189" s="112">
        <v>80</v>
      </c>
      <c r="CL189" s="112">
        <f t="shared" si="76"/>
        <v>0.24</v>
      </c>
      <c r="CM189" s="112">
        <f t="shared" si="77"/>
        <v>0.53580000000000005</v>
      </c>
      <c r="CN189" s="112">
        <f t="shared" si="78"/>
        <v>0.20739999999999997</v>
      </c>
      <c r="CO189" s="112">
        <f t="shared" si="66"/>
        <v>0.77580000000000005</v>
      </c>
      <c r="CP189" s="112">
        <f t="shared" si="66"/>
        <v>0.74320000000000008</v>
      </c>
      <c r="CR189" s="112">
        <v>0.21</v>
      </c>
      <c r="CS189" s="112">
        <v>0.5</v>
      </c>
      <c r="CT189" s="112">
        <v>0.28000000000000003</v>
      </c>
      <c r="CU189" s="112">
        <f t="shared" si="79"/>
        <v>0.71</v>
      </c>
      <c r="CV189" s="112">
        <f t="shared" si="68"/>
        <v>0.78</v>
      </c>
    </row>
    <row r="190" spans="1:100" s="112" customFormat="1" x14ac:dyDescent="0.25">
      <c r="A190" s="112">
        <v>2021</v>
      </c>
      <c r="B190" s="112">
        <f t="shared" si="71"/>
        <v>151</v>
      </c>
      <c r="C190" s="292">
        <v>44347</v>
      </c>
      <c r="G190" s="293">
        <v>0</v>
      </c>
      <c r="H190" s="294"/>
      <c r="P190" s="295"/>
      <c r="Q190" s="294"/>
      <c r="Y190" s="296"/>
      <c r="AA190" s="296"/>
      <c r="AB190" s="297">
        <f>((B190-B189)*G190)-((B190-B189)*(G190-G189)*0.5)</f>
        <v>84</v>
      </c>
      <c r="AC190" s="112">
        <f>AF190/$AF$1</f>
        <v>29.47</v>
      </c>
      <c r="AD190" s="293">
        <f t="shared" si="80"/>
        <v>20</v>
      </c>
      <c r="AE190" s="298">
        <f>AC190/AD190</f>
        <v>1.4735</v>
      </c>
      <c r="AF190" s="306">
        <f>SUM(AB186:AB190)</f>
        <v>1473.5</v>
      </c>
      <c r="AG190" s="293">
        <f t="shared" ref="AG190:AG206" si="81">G190/AH190</f>
        <v>0</v>
      </c>
      <c r="AH190" s="114">
        <f t="shared" si="61"/>
        <v>0.55000000000000004</v>
      </c>
      <c r="AJ190" s="112">
        <f>0.5*(B190-B189)*AG189</f>
        <v>152.72727272727272</v>
      </c>
      <c r="AK190" s="249">
        <f>AN190/$AN$1</f>
        <v>61.218181818181812</v>
      </c>
      <c r="AL190" s="293">
        <f>MAX($G$186:$G$189)/AH190</f>
        <v>36.36363636363636</v>
      </c>
      <c r="AM190" s="298">
        <f>AK190/AL190</f>
        <v>1.6835</v>
      </c>
      <c r="AN190" s="298">
        <f>SUM(AJ186:AJ190)</f>
        <v>3060.9090909090905</v>
      </c>
      <c r="AQ190" s="112">
        <f>AL190*AP196</f>
        <v>0</v>
      </c>
      <c r="AU190" s="300"/>
      <c r="AY190" s="297"/>
      <c r="BA190" s="299"/>
      <c r="CB190" s="112">
        <v>15.8</v>
      </c>
      <c r="CC190" s="112">
        <f t="shared" si="74"/>
        <v>0.82354000000000005</v>
      </c>
      <c r="CG190" s="112">
        <v>81</v>
      </c>
      <c r="CH190" s="112">
        <f t="shared" si="75"/>
        <v>0.72899999999999998</v>
      </c>
      <c r="CJ190" s="112">
        <v>81</v>
      </c>
      <c r="CL190" s="112">
        <f t="shared" si="76"/>
        <v>0.24299999999999999</v>
      </c>
      <c r="CM190" s="112">
        <f t="shared" si="77"/>
        <v>0.53190000000000004</v>
      </c>
      <c r="CN190" s="112">
        <f t="shared" si="78"/>
        <v>0.20759999999999998</v>
      </c>
      <c r="CO190" s="112">
        <f t="shared" si="66"/>
        <v>0.77490000000000003</v>
      </c>
      <c r="CP190" s="112">
        <f t="shared" si="66"/>
        <v>0.73950000000000005</v>
      </c>
      <c r="CR190" s="112">
        <v>0.21</v>
      </c>
      <c r="CS190" s="112">
        <v>0.5</v>
      </c>
      <c r="CT190" s="112">
        <v>0.28000000000000003</v>
      </c>
      <c r="CU190" s="112">
        <f t="shared" si="79"/>
        <v>0.71</v>
      </c>
      <c r="CV190" s="112">
        <f t="shared" si="68"/>
        <v>0.78</v>
      </c>
    </row>
    <row r="191" spans="1:100" x14ac:dyDescent="0.25">
      <c r="A191">
        <v>2022</v>
      </c>
      <c r="B191">
        <f t="shared" ref="B191:B200" si="82">C191-DATE(YEAR(C191),1,1)+1</f>
        <v>1</v>
      </c>
      <c r="C191" s="109">
        <v>44562</v>
      </c>
      <c r="G191" s="77">
        <v>0</v>
      </c>
      <c r="AD191" s="77">
        <f t="shared" si="80"/>
        <v>20</v>
      </c>
      <c r="AG191" s="126">
        <f t="shared" si="81"/>
        <v>0</v>
      </c>
      <c r="AH191" s="108">
        <f t="shared" si="61"/>
        <v>0.55000000000000004</v>
      </c>
      <c r="AI191" s="108"/>
      <c r="AJ191" s="108"/>
      <c r="AL191" s="77">
        <f>MAX($G$191:$P$195)/AH191</f>
        <v>27.27272727272727</v>
      </c>
      <c r="AM191" s="73"/>
      <c r="AO191" s="108"/>
      <c r="AP191" s="108"/>
      <c r="AQ191" s="310"/>
      <c r="AR191" s="108"/>
      <c r="AS191" s="108"/>
      <c r="AT191" s="108">
        <f>AL191*$AS$188</f>
        <v>0</v>
      </c>
      <c r="BB191"/>
      <c r="BC191"/>
      <c r="BD191"/>
      <c r="BE191"/>
      <c r="BF191"/>
      <c r="BG191"/>
      <c r="BH191"/>
      <c r="BI191"/>
      <c r="BJ191"/>
      <c r="BK191"/>
      <c r="CB191">
        <v>15.2</v>
      </c>
      <c r="CC191">
        <f t="shared" ref="CC191:CC200" si="83">(($CB$89)*CB191)-($CC$89)</f>
        <v>0.79215999999999998</v>
      </c>
      <c r="CG191">
        <v>78</v>
      </c>
      <c r="CH191">
        <f>CG191*0.009</f>
        <v>0.70199999999999996</v>
      </c>
      <c r="CJ191">
        <v>78</v>
      </c>
      <c r="CL191">
        <f>((0.003)*CJ191)</f>
        <v>0.23400000000000001</v>
      </c>
      <c r="CM191">
        <f>((-0.0039)*CJ191)+0.8478</f>
        <v>0.54360000000000008</v>
      </c>
      <c r="CN191">
        <f>(0.0002*CJ191)+0.1914</f>
        <v>0.20699999999999999</v>
      </c>
      <c r="CO191">
        <f t="shared" ref="CO191:CP195" si="84">CL191+CM191</f>
        <v>0.77760000000000007</v>
      </c>
      <c r="CP191">
        <f t="shared" si="84"/>
        <v>0.75060000000000004</v>
      </c>
      <c r="CR191">
        <v>0.21</v>
      </c>
      <c r="CS191">
        <v>0.5</v>
      </c>
      <c r="CT191">
        <v>0.28000000000000003</v>
      </c>
      <c r="CU191">
        <f t="shared" ref="CU191:CV195" si="85">CR191+CS191</f>
        <v>0.71</v>
      </c>
      <c r="CV191">
        <f t="shared" si="85"/>
        <v>0.78</v>
      </c>
    </row>
    <row r="192" spans="1:100" x14ac:dyDescent="0.25">
      <c r="A192">
        <v>2022</v>
      </c>
      <c r="B192">
        <f t="shared" si="82"/>
        <v>67</v>
      </c>
      <c r="C192" s="109">
        <v>44628</v>
      </c>
      <c r="G192" s="77">
        <v>15</v>
      </c>
      <c r="AD192" s="77">
        <f t="shared" si="80"/>
        <v>20</v>
      </c>
      <c r="AG192" s="126">
        <f>G192/AH192</f>
        <v>27.27272727272727</v>
      </c>
      <c r="AH192" s="108">
        <f t="shared" si="61"/>
        <v>0.55000000000000004</v>
      </c>
      <c r="AI192" s="108"/>
      <c r="AJ192">
        <f>0.5*($B192-$B191)*$AG192</f>
        <v>899.99999999999989</v>
      </c>
      <c r="AL192" s="77">
        <f>MAX($G$191:$P$195)/AH192</f>
        <v>27.27272727272727</v>
      </c>
      <c r="AM192" s="73"/>
      <c r="AO192" s="108"/>
      <c r="AP192" s="108"/>
      <c r="AQ192" s="310"/>
      <c r="AR192" s="108"/>
      <c r="AS192" s="108"/>
      <c r="AT192" s="108">
        <f>AL192*$AS$188</f>
        <v>0</v>
      </c>
      <c r="BB192"/>
      <c r="BC192"/>
      <c r="BD192"/>
      <c r="BE192"/>
      <c r="BF192"/>
      <c r="BG192"/>
      <c r="BH192"/>
      <c r="BI192"/>
      <c r="BJ192"/>
      <c r="BK192"/>
      <c r="CB192">
        <v>16.2</v>
      </c>
      <c r="CC192">
        <f t="shared" si="83"/>
        <v>0.84445999999999988</v>
      </c>
      <c r="CG192">
        <v>79</v>
      </c>
      <c r="CH192">
        <f>CG192*0.009</f>
        <v>0.71099999999999997</v>
      </c>
      <c r="CJ192">
        <v>79</v>
      </c>
      <c r="CL192">
        <f>((0.003)*CJ192)</f>
        <v>0.23700000000000002</v>
      </c>
      <c r="CM192">
        <f>((-0.0039)*CJ192)+0.8478</f>
        <v>0.53970000000000007</v>
      </c>
      <c r="CN192">
        <f>(0.0002*CJ192)+0.1914</f>
        <v>0.2072</v>
      </c>
      <c r="CO192">
        <f t="shared" si="84"/>
        <v>0.77670000000000006</v>
      </c>
      <c r="CP192">
        <f t="shared" si="84"/>
        <v>0.74690000000000012</v>
      </c>
      <c r="CR192">
        <v>0.21</v>
      </c>
      <c r="CS192">
        <v>0.5</v>
      </c>
      <c r="CT192">
        <v>0.28000000000000003</v>
      </c>
      <c r="CU192">
        <f t="shared" si="85"/>
        <v>0.71</v>
      </c>
      <c r="CV192">
        <f t="shared" si="85"/>
        <v>0.78</v>
      </c>
    </row>
    <row r="193" spans="1:100" x14ac:dyDescent="0.25">
      <c r="A193">
        <v>2022</v>
      </c>
      <c r="B193">
        <f t="shared" si="82"/>
        <v>90</v>
      </c>
      <c r="C193" s="109">
        <v>44651</v>
      </c>
      <c r="G193" s="77">
        <v>15</v>
      </c>
      <c r="AB193" s="61">
        <f>0.5*(B193-B191)*G193</f>
        <v>667.5</v>
      </c>
      <c r="AD193" s="77">
        <f t="shared" si="80"/>
        <v>20</v>
      </c>
      <c r="AG193" s="77">
        <f t="shared" si="81"/>
        <v>27.27272727272727</v>
      </c>
      <c r="AH193" s="108">
        <f t="shared" si="61"/>
        <v>0.55000000000000004</v>
      </c>
      <c r="AJ193">
        <f>((B193-B192)*AG193)-((B193-B192)*(AG193-AG192)*0.5)</f>
        <v>627.27272727272725</v>
      </c>
      <c r="AL193" s="77">
        <f>MAX($G$191:$P$195)/AH193</f>
        <v>27.27272727272727</v>
      </c>
      <c r="AO193"/>
      <c r="AP193"/>
      <c r="AQ193"/>
      <c r="AR193"/>
      <c r="AS193"/>
      <c r="AT193"/>
      <c r="BB193"/>
      <c r="BC193"/>
      <c r="BD193"/>
      <c r="BE193"/>
      <c r="BF193"/>
      <c r="BG193"/>
      <c r="BH193"/>
      <c r="BI193"/>
      <c r="BJ193"/>
      <c r="BK193"/>
      <c r="CB193">
        <v>15.4</v>
      </c>
      <c r="CC193">
        <f t="shared" si="83"/>
        <v>0.80262</v>
      </c>
      <c r="CG193">
        <v>79</v>
      </c>
      <c r="CH193">
        <f>CG193*0.009</f>
        <v>0.71099999999999997</v>
      </c>
      <c r="CJ193">
        <v>79</v>
      </c>
      <c r="CL193">
        <f>((0.003)*CJ193)</f>
        <v>0.23700000000000002</v>
      </c>
      <c r="CM193">
        <f>((-0.0039)*CJ193)+0.8478</f>
        <v>0.53970000000000007</v>
      </c>
      <c r="CN193">
        <f>(0.0002*CJ193)+0.1914</f>
        <v>0.2072</v>
      </c>
      <c r="CO193">
        <f t="shared" si="84"/>
        <v>0.77670000000000006</v>
      </c>
      <c r="CP193">
        <f t="shared" si="84"/>
        <v>0.74690000000000012</v>
      </c>
      <c r="CR193">
        <v>0.21</v>
      </c>
      <c r="CS193">
        <v>0.5</v>
      </c>
      <c r="CT193">
        <v>0.28000000000000003</v>
      </c>
      <c r="CU193">
        <f t="shared" si="85"/>
        <v>0.71</v>
      </c>
      <c r="CV193">
        <f t="shared" si="85"/>
        <v>0.78</v>
      </c>
    </row>
    <row r="194" spans="1:100" x14ac:dyDescent="0.25">
      <c r="A194">
        <v>2022</v>
      </c>
      <c r="B194">
        <f t="shared" si="82"/>
        <v>116</v>
      </c>
      <c r="C194" s="109">
        <v>44677</v>
      </c>
      <c r="G194" s="77">
        <v>15</v>
      </c>
      <c r="AB194" s="61">
        <f>((B194-B193)*G194)-((B194-B193)*(G194-G193)*0.5)</f>
        <v>390</v>
      </c>
      <c r="AD194" s="77">
        <f t="shared" si="80"/>
        <v>20</v>
      </c>
      <c r="AG194" s="77">
        <f t="shared" si="81"/>
        <v>27.27272727272727</v>
      </c>
      <c r="AH194" s="108">
        <f t="shared" si="61"/>
        <v>0.55000000000000004</v>
      </c>
      <c r="AJ194">
        <f>((B194-B193)*AG194)-((B194-B193)*(AG194-AG193)*0.5)</f>
        <v>709.09090909090901</v>
      </c>
      <c r="AL194" s="77">
        <f>MAX($G$191:$P$195)/AH194</f>
        <v>27.27272727272727</v>
      </c>
      <c r="AO194"/>
      <c r="AP194"/>
      <c r="AQ194"/>
      <c r="AR194"/>
      <c r="AS194"/>
      <c r="AT194"/>
      <c r="BB194"/>
      <c r="BC194"/>
      <c r="BD194"/>
      <c r="BE194"/>
      <c r="BF194"/>
      <c r="BG194"/>
      <c r="BH194"/>
      <c r="BI194"/>
      <c r="BJ194"/>
      <c r="BK194"/>
      <c r="CB194">
        <v>15.6</v>
      </c>
      <c r="CC194">
        <f t="shared" si="83"/>
        <v>0.81307999999999991</v>
      </c>
      <c r="CG194">
        <v>80</v>
      </c>
      <c r="CH194">
        <f>CG194*0.009</f>
        <v>0.72</v>
      </c>
      <c r="CJ194">
        <v>80</v>
      </c>
      <c r="CL194">
        <f>((0.003)*CJ194)</f>
        <v>0.24</v>
      </c>
      <c r="CM194">
        <f>((-0.0039)*CJ194)+0.8478</f>
        <v>0.53580000000000005</v>
      </c>
      <c r="CN194">
        <f>(0.0002*CJ194)+0.1914</f>
        <v>0.20739999999999997</v>
      </c>
      <c r="CO194">
        <f t="shared" si="84"/>
        <v>0.77580000000000005</v>
      </c>
      <c r="CP194">
        <f t="shared" si="84"/>
        <v>0.74320000000000008</v>
      </c>
      <c r="CR194">
        <v>0.21</v>
      </c>
      <c r="CS194">
        <v>0.5</v>
      </c>
      <c r="CT194">
        <v>0.28000000000000003</v>
      </c>
      <c r="CU194">
        <f t="shared" si="85"/>
        <v>0.71</v>
      </c>
      <c r="CV194">
        <f t="shared" si="85"/>
        <v>0.78</v>
      </c>
    </row>
    <row r="195" spans="1:100" x14ac:dyDescent="0.25">
      <c r="A195">
        <v>2022</v>
      </c>
      <c r="B195">
        <f t="shared" si="82"/>
        <v>151</v>
      </c>
      <c r="C195" s="109">
        <v>44712</v>
      </c>
      <c r="G195" s="77">
        <v>0</v>
      </c>
      <c r="AB195" s="61">
        <f>((B195-B194)*G195)-((B195-B194)*(G195-G194)*0.5)</f>
        <v>262.5</v>
      </c>
      <c r="AC195">
        <f>AF195/$AF$1</f>
        <v>26.4</v>
      </c>
      <c r="AD195" s="77">
        <f t="shared" si="80"/>
        <v>20</v>
      </c>
      <c r="AE195" s="73">
        <f>AC195/AD195</f>
        <v>1.3199999999999998</v>
      </c>
      <c r="AF195" s="279">
        <f>SUM(AB191:AB195)</f>
        <v>1320</v>
      </c>
      <c r="AG195" s="77">
        <f t="shared" si="81"/>
        <v>0</v>
      </c>
      <c r="AH195" s="108">
        <f t="shared" si="61"/>
        <v>0.55000000000000004</v>
      </c>
      <c r="AJ195">
        <f>0.5*(B195-B194)*AG194</f>
        <v>477.2727272727272</v>
      </c>
      <c r="AK195" s="249">
        <f>AN195/$AN$1</f>
        <v>54.272727272727259</v>
      </c>
      <c r="AL195" s="77">
        <f>MAX($G$191:$P$195)/AH195</f>
        <v>27.27272727272727</v>
      </c>
      <c r="AM195" s="73">
        <f>AK195/AL195</f>
        <v>1.9899999999999998</v>
      </c>
      <c r="AN195" s="73">
        <f>SUM(AJ191:AJ195)</f>
        <v>2713.6363636363631</v>
      </c>
      <c r="AO195"/>
      <c r="AP195"/>
      <c r="AQ195">
        <f>AL195*AP201</f>
        <v>0</v>
      </c>
      <c r="AR195"/>
      <c r="AS195"/>
      <c r="AT195"/>
      <c r="BB195"/>
      <c r="BC195"/>
      <c r="BD195"/>
      <c r="BE195"/>
      <c r="BF195"/>
      <c r="BG195"/>
      <c r="BH195"/>
      <c r="BI195"/>
      <c r="BJ195"/>
      <c r="BK195"/>
      <c r="CB195">
        <v>15.8</v>
      </c>
      <c r="CC195">
        <f t="shared" si="83"/>
        <v>0.82354000000000005</v>
      </c>
      <c r="CG195">
        <v>81</v>
      </c>
      <c r="CH195">
        <f>CG195*0.009</f>
        <v>0.72899999999999998</v>
      </c>
      <c r="CJ195">
        <v>81</v>
      </c>
      <c r="CL195">
        <f>((0.003)*CJ195)</f>
        <v>0.24299999999999999</v>
      </c>
      <c r="CM195">
        <f>((-0.0039)*CJ195)+0.8478</f>
        <v>0.53190000000000004</v>
      </c>
      <c r="CN195">
        <f>(0.0002*CJ195)+0.1914</f>
        <v>0.20759999999999998</v>
      </c>
      <c r="CO195">
        <f t="shared" si="84"/>
        <v>0.77490000000000003</v>
      </c>
      <c r="CP195">
        <f t="shared" si="84"/>
        <v>0.73950000000000005</v>
      </c>
      <c r="CR195">
        <v>0.21</v>
      </c>
      <c r="CS195">
        <v>0.5</v>
      </c>
      <c r="CT195">
        <v>0.28000000000000003</v>
      </c>
      <c r="CU195">
        <f t="shared" si="85"/>
        <v>0.71</v>
      </c>
      <c r="CV195">
        <f t="shared" si="85"/>
        <v>0.78</v>
      </c>
    </row>
    <row r="196" spans="1:100" x14ac:dyDescent="0.25">
      <c r="A196">
        <v>2023</v>
      </c>
      <c r="B196">
        <f t="shared" si="82"/>
        <v>1</v>
      </c>
      <c r="C196" s="109">
        <v>44562</v>
      </c>
      <c r="G196" s="77">
        <v>0</v>
      </c>
      <c r="AD196">
        <f t="shared" si="80"/>
        <v>20</v>
      </c>
      <c r="AG196" s="77">
        <f t="shared" si="81"/>
        <v>0</v>
      </c>
      <c r="AH196">
        <f t="shared" si="61"/>
        <v>0.55000000000000004</v>
      </c>
      <c r="AL196">
        <f>MAX($G$196:$P$200)/AH197</f>
        <v>59.999999999999993</v>
      </c>
      <c r="CB196">
        <v>17.8</v>
      </c>
      <c r="CC196">
        <f t="shared" si="83"/>
        <v>0.92813999999999997</v>
      </c>
      <c r="CG196">
        <v>91</v>
      </c>
      <c r="CH196">
        <f t="shared" si="63"/>
        <v>0.81899999999999995</v>
      </c>
      <c r="CJ196">
        <v>91</v>
      </c>
      <c r="CL196">
        <f t="shared" si="64"/>
        <v>0.27300000000000002</v>
      </c>
      <c r="CM196">
        <f t="shared" si="65"/>
        <v>0.4929</v>
      </c>
      <c r="CN196">
        <f t="shared" si="62"/>
        <v>0.20959999999999998</v>
      </c>
      <c r="CO196">
        <f t="shared" si="66"/>
        <v>0.76590000000000003</v>
      </c>
      <c r="CP196">
        <f t="shared" si="66"/>
        <v>0.70250000000000001</v>
      </c>
      <c r="CR196">
        <v>0.21</v>
      </c>
      <c r="CS196">
        <v>0.5</v>
      </c>
      <c r="CT196">
        <v>0.28000000000000003</v>
      </c>
      <c r="CU196">
        <f t="shared" si="67"/>
        <v>0.71</v>
      </c>
      <c r="CV196">
        <f t="shared" si="68"/>
        <v>0.78</v>
      </c>
    </row>
    <row r="197" spans="1:100" s="112" customFormat="1" x14ac:dyDescent="0.25">
      <c r="A197" s="112">
        <v>2023</v>
      </c>
      <c r="B197" s="112">
        <f t="shared" si="82"/>
        <v>62</v>
      </c>
      <c r="C197" s="292">
        <v>44988</v>
      </c>
      <c r="G197" s="293">
        <v>14</v>
      </c>
      <c r="H197" s="294"/>
      <c r="P197" s="295"/>
      <c r="Q197" s="294"/>
      <c r="Y197" s="296"/>
      <c r="AA197" s="296"/>
      <c r="AB197" s="297"/>
      <c r="AD197" s="112">
        <f t="shared" si="80"/>
        <v>20</v>
      </c>
      <c r="AE197" s="298"/>
      <c r="AF197" s="299"/>
      <c r="AG197" s="293">
        <f t="shared" si="81"/>
        <v>25.454545454545453</v>
      </c>
      <c r="AH197" s="112">
        <f t="shared" si="61"/>
        <v>0.55000000000000004</v>
      </c>
      <c r="AJ197" s="112">
        <f>0.5*($B197-$B196)*$AG197</f>
        <v>776.36363636363637</v>
      </c>
      <c r="AL197" s="293">
        <f>MAX($G$191:$P$195)/AH197</f>
        <v>27.27272727272727</v>
      </c>
      <c r="AU197" s="300"/>
      <c r="AY197" s="297"/>
      <c r="BA197" s="299"/>
      <c r="CB197" s="112">
        <v>18</v>
      </c>
      <c r="CC197" s="112">
        <f t="shared" si="83"/>
        <v>0.93859999999999999</v>
      </c>
      <c r="CG197" s="112">
        <v>92</v>
      </c>
      <c r="CH197" s="112">
        <f t="shared" si="63"/>
        <v>0.82799999999999996</v>
      </c>
      <c r="CJ197" s="112">
        <v>92</v>
      </c>
      <c r="CL197" s="112">
        <f t="shared" si="64"/>
        <v>0.27600000000000002</v>
      </c>
      <c r="CM197" s="112">
        <f t="shared" si="65"/>
        <v>0.48899999999999999</v>
      </c>
      <c r="CN197" s="112">
        <f t="shared" si="62"/>
        <v>0.20979999999999999</v>
      </c>
      <c r="CO197" s="112">
        <f t="shared" si="66"/>
        <v>0.76500000000000001</v>
      </c>
      <c r="CP197" s="112">
        <f t="shared" si="66"/>
        <v>0.69879999999999998</v>
      </c>
      <c r="CR197" s="112">
        <v>0.21</v>
      </c>
      <c r="CS197" s="112">
        <v>0.5</v>
      </c>
      <c r="CT197" s="112">
        <v>0.28000000000000003</v>
      </c>
      <c r="CU197" s="112">
        <f t="shared" si="67"/>
        <v>0.71</v>
      </c>
      <c r="CV197" s="112">
        <f t="shared" si="68"/>
        <v>0.78</v>
      </c>
    </row>
    <row r="198" spans="1:100" s="112" customFormat="1" x14ac:dyDescent="0.25">
      <c r="A198" s="112">
        <v>2023</v>
      </c>
      <c r="B198" s="112">
        <f t="shared" si="82"/>
        <v>104</v>
      </c>
      <c r="C198" s="292">
        <v>45030</v>
      </c>
      <c r="G198" s="293">
        <v>28</v>
      </c>
      <c r="H198" s="294"/>
      <c r="P198" s="295"/>
      <c r="Q198" s="294"/>
      <c r="Y198" s="296"/>
      <c r="AA198" s="296"/>
      <c r="AB198" s="297">
        <f>0.5*(B198-B196)*G198</f>
        <v>1442</v>
      </c>
      <c r="AD198" s="112">
        <f t="shared" si="80"/>
        <v>20</v>
      </c>
      <c r="AE198" s="298"/>
      <c r="AF198" s="299"/>
      <c r="AG198" s="293">
        <f t="shared" si="81"/>
        <v>50.909090909090907</v>
      </c>
      <c r="AH198" s="112">
        <f t="shared" si="61"/>
        <v>0.55000000000000004</v>
      </c>
      <c r="AJ198" s="112">
        <f>((B198-B197)*AG198)-((B198-B197)*(AG198-AG197)*0.5)</f>
        <v>1603.6363636363635</v>
      </c>
      <c r="AL198" s="293">
        <f>MAX($G$191:$P$195)/AH198</f>
        <v>27.27272727272727</v>
      </c>
      <c r="AU198" s="300"/>
      <c r="AY198" s="297"/>
      <c r="BA198" s="299"/>
      <c r="CB198" s="112">
        <v>18.2</v>
      </c>
      <c r="CC198" s="112">
        <f t="shared" si="83"/>
        <v>0.9490599999999999</v>
      </c>
      <c r="CG198" s="112">
        <v>93</v>
      </c>
      <c r="CH198" s="112">
        <f t="shared" si="63"/>
        <v>0.83699999999999997</v>
      </c>
      <c r="CJ198" s="112">
        <v>93</v>
      </c>
      <c r="CL198" s="112">
        <f t="shared" si="64"/>
        <v>0.27900000000000003</v>
      </c>
      <c r="CM198" s="112">
        <f t="shared" si="65"/>
        <v>0.48510000000000003</v>
      </c>
      <c r="CN198" s="112">
        <f t="shared" si="62"/>
        <v>0.21</v>
      </c>
      <c r="CO198" s="112">
        <f t="shared" si="66"/>
        <v>0.7641</v>
      </c>
      <c r="CP198" s="112">
        <f t="shared" si="66"/>
        <v>0.69510000000000005</v>
      </c>
      <c r="CR198" s="112">
        <v>0.21</v>
      </c>
      <c r="CS198" s="112">
        <v>0.5</v>
      </c>
      <c r="CT198" s="112">
        <v>0.28000000000000003</v>
      </c>
      <c r="CU198" s="112">
        <f t="shared" si="67"/>
        <v>0.71</v>
      </c>
      <c r="CV198" s="112">
        <f t="shared" si="68"/>
        <v>0.78</v>
      </c>
    </row>
    <row r="199" spans="1:100" s="112" customFormat="1" x14ac:dyDescent="0.25">
      <c r="A199" s="112">
        <v>2023</v>
      </c>
      <c r="B199" s="112">
        <f t="shared" si="82"/>
        <v>118</v>
      </c>
      <c r="C199" s="292">
        <v>45044</v>
      </c>
      <c r="G199" s="293">
        <v>33</v>
      </c>
      <c r="H199" s="294"/>
      <c r="P199" s="295"/>
      <c r="Q199" s="294"/>
      <c r="Y199" s="296"/>
      <c r="AA199" s="296"/>
      <c r="AB199" s="297">
        <f>((B199-B198)*G199)-((B199-B198)*(G199-G198)*0.5)</f>
        <v>427</v>
      </c>
      <c r="AD199" s="112">
        <f t="shared" si="80"/>
        <v>20</v>
      </c>
      <c r="AE199" s="298"/>
      <c r="AF199" s="299"/>
      <c r="AG199" s="293">
        <f t="shared" si="81"/>
        <v>59.999999999999993</v>
      </c>
      <c r="AH199" s="112">
        <f t="shared" si="61"/>
        <v>0.55000000000000004</v>
      </c>
      <c r="AJ199" s="112">
        <f>((B199-B198)*AG199)-((B199-B198)*(AG199-AG198)*0.5)</f>
        <v>776.36363636363626</v>
      </c>
      <c r="AL199" s="293">
        <f>MAX($G$191:$P$195)/AH199</f>
        <v>27.27272727272727</v>
      </c>
      <c r="AU199" s="300"/>
      <c r="AY199" s="297"/>
      <c r="BA199" s="299"/>
      <c r="CB199" s="112">
        <v>18.399999999999999</v>
      </c>
      <c r="CC199" s="112">
        <f t="shared" si="83"/>
        <v>0.95951999999999993</v>
      </c>
      <c r="CG199" s="112">
        <v>94</v>
      </c>
      <c r="CH199" s="112">
        <f t="shared" si="63"/>
        <v>0.84599999999999997</v>
      </c>
      <c r="CJ199" s="112">
        <v>94</v>
      </c>
      <c r="CL199" s="112">
        <f t="shared" si="64"/>
        <v>0.28200000000000003</v>
      </c>
      <c r="CM199" s="112">
        <f t="shared" si="65"/>
        <v>0.48120000000000002</v>
      </c>
      <c r="CN199" s="112">
        <f t="shared" si="62"/>
        <v>0.2102</v>
      </c>
      <c r="CO199" s="112">
        <f t="shared" si="66"/>
        <v>0.7632000000000001</v>
      </c>
      <c r="CP199" s="112">
        <f t="shared" si="66"/>
        <v>0.69140000000000001</v>
      </c>
      <c r="CR199" s="112">
        <v>0.21</v>
      </c>
      <c r="CS199" s="112">
        <v>0.5</v>
      </c>
      <c r="CT199" s="112">
        <v>0.28000000000000003</v>
      </c>
      <c r="CU199" s="112">
        <f t="shared" si="67"/>
        <v>0.71</v>
      </c>
      <c r="CV199" s="112">
        <f t="shared" si="68"/>
        <v>0.78</v>
      </c>
    </row>
    <row r="200" spans="1:100" s="112" customFormat="1" x14ac:dyDescent="0.25">
      <c r="A200" s="112">
        <v>2023</v>
      </c>
      <c r="B200" s="112">
        <f t="shared" si="82"/>
        <v>151</v>
      </c>
      <c r="C200" s="292">
        <v>45077</v>
      </c>
      <c r="G200" s="293">
        <v>0</v>
      </c>
      <c r="H200" s="294"/>
      <c r="P200" s="295"/>
      <c r="Q200" s="294"/>
      <c r="Y200" s="296"/>
      <c r="AA200" s="296"/>
      <c r="AB200" s="297">
        <f>((B200-B199)*G200)-((B200-B199)*(G200-G199)*0.5)</f>
        <v>544.5</v>
      </c>
      <c r="AC200" s="112">
        <f>AF200/$AF$1</f>
        <v>48.27</v>
      </c>
      <c r="AD200" s="112">
        <f t="shared" si="80"/>
        <v>20</v>
      </c>
      <c r="AE200" s="298">
        <f>AC200/AD200</f>
        <v>2.4135</v>
      </c>
      <c r="AF200" s="299">
        <f>SUM(AB196:AB200)</f>
        <v>2413.5</v>
      </c>
      <c r="AG200" s="293">
        <f t="shared" si="81"/>
        <v>0</v>
      </c>
      <c r="AH200" s="112">
        <f t="shared" si="61"/>
        <v>0.55000000000000004</v>
      </c>
      <c r="AJ200" s="112">
        <f>0.5*(B200-B199)*AG199</f>
        <v>989.99999999999989</v>
      </c>
      <c r="AK200" s="293">
        <f>AN200/$AN$1</f>
        <v>82.927272727272722</v>
      </c>
      <c r="AL200" s="293">
        <f>MAX($G$191:$P$195)/AH200</f>
        <v>27.27272727272727</v>
      </c>
      <c r="AM200" s="298">
        <f>AK200/AL200</f>
        <v>3.0406666666666666</v>
      </c>
      <c r="AN200" s="298">
        <f>SUM(AJ196:AJ200)</f>
        <v>4146.363636363636</v>
      </c>
      <c r="AU200" s="300"/>
      <c r="AY200" s="297"/>
      <c r="BA200" s="299"/>
      <c r="CB200" s="112">
        <v>18.600000000000001</v>
      </c>
      <c r="CC200" s="112">
        <f t="shared" si="83"/>
        <v>0.96998000000000006</v>
      </c>
      <c r="CG200" s="112">
        <v>95</v>
      </c>
      <c r="CH200" s="112">
        <f t="shared" si="63"/>
        <v>0.85499999999999998</v>
      </c>
      <c r="CJ200" s="112">
        <v>95</v>
      </c>
      <c r="CL200" s="112">
        <f t="shared" si="64"/>
        <v>0.28500000000000003</v>
      </c>
      <c r="CM200" s="112">
        <f t="shared" si="65"/>
        <v>0.4773</v>
      </c>
      <c r="CN200" s="112">
        <f t="shared" si="62"/>
        <v>0.21039999999999998</v>
      </c>
      <c r="CO200" s="112">
        <f t="shared" si="66"/>
        <v>0.76229999999999998</v>
      </c>
      <c r="CP200" s="112">
        <f t="shared" si="66"/>
        <v>0.68769999999999998</v>
      </c>
      <c r="CR200" s="112">
        <v>0.21</v>
      </c>
      <c r="CS200" s="112">
        <v>0.5</v>
      </c>
      <c r="CT200" s="112">
        <v>0.28000000000000003</v>
      </c>
      <c r="CU200" s="112">
        <f t="shared" si="67"/>
        <v>0.71</v>
      </c>
      <c r="CV200" s="112">
        <f t="shared" si="68"/>
        <v>0.78</v>
      </c>
    </row>
    <row r="201" spans="1:100" x14ac:dyDescent="0.25">
      <c r="A201">
        <v>2024</v>
      </c>
      <c r="B201">
        <f t="shared" ref="B201:B206" si="86">C201-DATE(YEAR(C201),1,1)+1</f>
        <v>1</v>
      </c>
      <c r="C201" s="109">
        <v>45292</v>
      </c>
      <c r="G201" s="77">
        <v>0</v>
      </c>
      <c r="AD201">
        <f t="shared" si="80"/>
        <v>20</v>
      </c>
      <c r="AG201" s="77">
        <f t="shared" si="81"/>
        <v>0</v>
      </c>
      <c r="AH201">
        <f t="shared" si="61"/>
        <v>0.55000000000000004</v>
      </c>
      <c r="AL201" s="77">
        <f t="shared" ref="AL201:AL206" si="87">MAX($G$201:$P$206)/AH201</f>
        <v>154.54545454545453</v>
      </c>
      <c r="CB201">
        <v>17.8</v>
      </c>
      <c r="CC201">
        <f t="shared" ref="CC201:CC206" si="88">(($CB$89)*CB201)-($CC$89)</f>
        <v>0.92813999999999997</v>
      </c>
      <c r="CG201">
        <v>91</v>
      </c>
      <c r="CH201">
        <f t="shared" ref="CH201:CH206" si="89">CG201*0.009</f>
        <v>0.81899999999999995</v>
      </c>
      <c r="CJ201">
        <v>91</v>
      </c>
      <c r="CL201">
        <f t="shared" ref="CL201:CL206" si="90">((0.003)*CJ201)</f>
        <v>0.27300000000000002</v>
      </c>
      <c r="CM201">
        <f t="shared" ref="CM201:CM206" si="91">((-0.0039)*CJ201)+0.8478</f>
        <v>0.4929</v>
      </c>
      <c r="CN201">
        <f t="shared" ref="CN201:CN206" si="92">(0.0002*CJ201)+0.1914</f>
        <v>0.20959999999999998</v>
      </c>
      <c r="CO201">
        <f t="shared" ref="CO201:CO206" si="93">CL201+CM201</f>
        <v>0.76590000000000003</v>
      </c>
      <c r="CP201">
        <f t="shared" ref="CP201:CP206" si="94">CM201+CN201</f>
        <v>0.70250000000000001</v>
      </c>
      <c r="CR201">
        <v>0.21</v>
      </c>
      <c r="CS201">
        <v>0.5</v>
      </c>
      <c r="CT201">
        <v>0.28000000000000003</v>
      </c>
      <c r="CU201">
        <f t="shared" ref="CU201:CU206" si="95">CR201+CS201</f>
        <v>0.71</v>
      </c>
      <c r="CV201">
        <f t="shared" ref="CV201:CV206" si="96">CS201+CT201</f>
        <v>0.78</v>
      </c>
    </row>
    <row r="202" spans="1:100" x14ac:dyDescent="0.25">
      <c r="A202">
        <v>2024</v>
      </c>
      <c r="B202">
        <f t="shared" si="86"/>
        <v>44</v>
      </c>
      <c r="C202" s="109">
        <v>44970</v>
      </c>
      <c r="G202" s="77">
        <v>21</v>
      </c>
      <c r="AD202">
        <f t="shared" si="80"/>
        <v>20</v>
      </c>
      <c r="AG202" s="77">
        <f t="shared" si="81"/>
        <v>38.18181818181818</v>
      </c>
      <c r="AH202">
        <f t="shared" si="61"/>
        <v>0.55000000000000004</v>
      </c>
      <c r="AJ202">
        <f>0.5*($B202-$B201)*$AG202</f>
        <v>820.90909090909088</v>
      </c>
      <c r="AL202" s="77">
        <f t="shared" si="87"/>
        <v>154.54545454545453</v>
      </c>
      <c r="CB202">
        <v>18</v>
      </c>
      <c r="CC202">
        <f t="shared" si="88"/>
        <v>0.93859999999999999</v>
      </c>
      <c r="CG202">
        <v>92</v>
      </c>
      <c r="CH202">
        <f t="shared" si="89"/>
        <v>0.82799999999999996</v>
      </c>
      <c r="CJ202">
        <v>92</v>
      </c>
      <c r="CL202">
        <f t="shared" si="90"/>
        <v>0.27600000000000002</v>
      </c>
      <c r="CM202">
        <f t="shared" si="91"/>
        <v>0.48899999999999999</v>
      </c>
      <c r="CN202">
        <f t="shared" si="92"/>
        <v>0.20979999999999999</v>
      </c>
      <c r="CO202">
        <f t="shared" si="93"/>
        <v>0.76500000000000001</v>
      </c>
      <c r="CP202">
        <f t="shared" si="94"/>
        <v>0.69879999999999998</v>
      </c>
      <c r="CR202">
        <v>0.21</v>
      </c>
      <c r="CS202">
        <v>0.5</v>
      </c>
      <c r="CT202">
        <v>0.28000000000000003</v>
      </c>
      <c r="CU202">
        <f t="shared" si="95"/>
        <v>0.71</v>
      </c>
      <c r="CV202">
        <f t="shared" si="96"/>
        <v>0.78</v>
      </c>
    </row>
    <row r="203" spans="1:100" x14ac:dyDescent="0.25">
      <c r="A203">
        <v>2024</v>
      </c>
      <c r="B203">
        <f t="shared" si="86"/>
        <v>93</v>
      </c>
      <c r="C203" s="109">
        <v>45384</v>
      </c>
      <c r="G203" s="77">
        <v>69</v>
      </c>
      <c r="AB203" s="61">
        <f>0.5*(B203-B201)*G203</f>
        <v>3174</v>
      </c>
      <c r="AD203">
        <f t="shared" si="80"/>
        <v>20</v>
      </c>
      <c r="AG203" s="77">
        <f t="shared" si="81"/>
        <v>125.45454545454544</v>
      </c>
      <c r="AH203">
        <f t="shared" si="61"/>
        <v>0.55000000000000004</v>
      </c>
      <c r="AJ203">
        <f>((B203-B202)*AG203)-((B203-B202)*(AG203-AG202)*0.5)</f>
        <v>4009.0909090909086</v>
      </c>
      <c r="AL203" s="77">
        <f t="shared" si="87"/>
        <v>154.54545454545453</v>
      </c>
      <c r="CB203">
        <v>18.2</v>
      </c>
      <c r="CC203">
        <f t="shared" si="88"/>
        <v>0.9490599999999999</v>
      </c>
      <c r="CG203">
        <v>93</v>
      </c>
      <c r="CH203">
        <f t="shared" si="89"/>
        <v>0.83699999999999997</v>
      </c>
      <c r="CJ203">
        <v>93</v>
      </c>
      <c r="CL203">
        <f t="shared" si="90"/>
        <v>0.27900000000000003</v>
      </c>
      <c r="CM203">
        <f t="shared" si="91"/>
        <v>0.48510000000000003</v>
      </c>
      <c r="CN203">
        <f t="shared" si="92"/>
        <v>0.21</v>
      </c>
      <c r="CO203">
        <f t="shared" si="93"/>
        <v>0.7641</v>
      </c>
      <c r="CP203">
        <f t="shared" si="94"/>
        <v>0.69510000000000005</v>
      </c>
      <c r="CR203">
        <v>0.21</v>
      </c>
      <c r="CS203">
        <v>0.5</v>
      </c>
      <c r="CT203">
        <v>0.28000000000000003</v>
      </c>
      <c r="CU203">
        <f t="shared" si="95"/>
        <v>0.71</v>
      </c>
      <c r="CV203">
        <f t="shared" si="96"/>
        <v>0.78</v>
      </c>
    </row>
    <row r="204" spans="1:100" x14ac:dyDescent="0.25">
      <c r="A204">
        <v>2024</v>
      </c>
      <c r="B204">
        <f t="shared" si="86"/>
        <v>104</v>
      </c>
      <c r="C204" s="109">
        <v>45395</v>
      </c>
      <c r="G204" s="77">
        <v>85</v>
      </c>
      <c r="AG204" s="77">
        <f t="shared" si="81"/>
        <v>154.54545454545453</v>
      </c>
      <c r="AH204">
        <f t="shared" si="61"/>
        <v>0.55000000000000004</v>
      </c>
      <c r="AJ204">
        <f>((B204-B203)*AG204)-((B204-B203)*(AG204-AG203)*0.5)</f>
        <v>1539.9999999999998</v>
      </c>
      <c r="AL204" s="77">
        <f t="shared" si="87"/>
        <v>154.54545454545453</v>
      </c>
    </row>
    <row r="205" spans="1:100" x14ac:dyDescent="0.25">
      <c r="A205">
        <v>2024</v>
      </c>
      <c r="B205">
        <f t="shared" si="86"/>
        <v>114</v>
      </c>
      <c r="C205" s="109">
        <v>45405</v>
      </c>
      <c r="G205" s="77">
        <v>84</v>
      </c>
      <c r="AB205" s="61">
        <f>((B205-B203)*G205)-((B205-B203)*(G205-G203)*0.5)</f>
        <v>1606.5</v>
      </c>
      <c r="AD205">
        <f t="shared" si="80"/>
        <v>20</v>
      </c>
      <c r="AG205" s="77">
        <f t="shared" si="81"/>
        <v>152.72727272727272</v>
      </c>
      <c r="AH205">
        <f t="shared" si="61"/>
        <v>0.55000000000000004</v>
      </c>
      <c r="AJ205">
        <f>((B205-B203)*AG205)-((B205-B203)*(AG205-AG203)*0.5)</f>
        <v>2920.9090909090905</v>
      </c>
      <c r="AL205" s="77">
        <f t="shared" si="87"/>
        <v>154.54545454545453</v>
      </c>
      <c r="CB205">
        <v>18.399999999999999</v>
      </c>
      <c r="CC205">
        <f t="shared" si="88"/>
        <v>0.95951999999999993</v>
      </c>
      <c r="CG205">
        <v>94</v>
      </c>
      <c r="CH205">
        <f t="shared" si="89"/>
        <v>0.84599999999999997</v>
      </c>
      <c r="CJ205">
        <v>94</v>
      </c>
      <c r="CL205">
        <f t="shared" si="90"/>
        <v>0.28200000000000003</v>
      </c>
      <c r="CM205">
        <f t="shared" si="91"/>
        <v>0.48120000000000002</v>
      </c>
      <c r="CN205">
        <f t="shared" si="92"/>
        <v>0.2102</v>
      </c>
      <c r="CO205">
        <f t="shared" si="93"/>
        <v>0.7632000000000001</v>
      </c>
      <c r="CP205">
        <f t="shared" si="94"/>
        <v>0.69140000000000001</v>
      </c>
      <c r="CR205">
        <v>0.21</v>
      </c>
      <c r="CS205">
        <v>0.5</v>
      </c>
      <c r="CT205">
        <v>0.28000000000000003</v>
      </c>
      <c r="CU205">
        <f t="shared" si="95"/>
        <v>0.71</v>
      </c>
      <c r="CV205">
        <f t="shared" si="96"/>
        <v>0.78</v>
      </c>
    </row>
    <row r="206" spans="1:100" x14ac:dyDescent="0.25">
      <c r="A206">
        <v>2024</v>
      </c>
      <c r="B206">
        <f t="shared" si="86"/>
        <v>151</v>
      </c>
      <c r="C206" s="109">
        <v>44712</v>
      </c>
      <c r="G206" s="77">
        <v>0</v>
      </c>
      <c r="AB206" s="61">
        <f>((B206-B205)*G206)-((B206-B205)*(G206-G205)*0.5)</f>
        <v>1554</v>
      </c>
      <c r="AC206">
        <f>AF206/$AF$1</f>
        <v>126.69</v>
      </c>
      <c r="AD206">
        <f t="shared" si="80"/>
        <v>20</v>
      </c>
      <c r="AE206" s="73">
        <f>AC206/AD206</f>
        <v>6.3345000000000002</v>
      </c>
      <c r="AF206" s="78">
        <f>SUM(AB201:AB206)</f>
        <v>6334.5</v>
      </c>
      <c r="AG206" s="77">
        <f t="shared" si="81"/>
        <v>0</v>
      </c>
      <c r="AH206">
        <f t="shared" si="61"/>
        <v>0.55000000000000004</v>
      </c>
      <c r="AJ206">
        <f>0.5*(B206-B205)*AG205</f>
        <v>2825.4545454545455</v>
      </c>
      <c r="AK206" s="249">
        <f>AN206/$AN$1</f>
        <v>242.32727272727271</v>
      </c>
      <c r="AL206" s="77">
        <f t="shared" si="87"/>
        <v>154.54545454545453</v>
      </c>
      <c r="AM206" s="73">
        <f>AK206/AL206</f>
        <v>1.5680000000000001</v>
      </c>
      <c r="AN206" s="73">
        <f>SUM(AJ201:AJ206)</f>
        <v>12116.363636363636</v>
      </c>
      <c r="CB206">
        <v>18.600000000000001</v>
      </c>
      <c r="CC206">
        <f t="shared" si="88"/>
        <v>0.96998000000000006</v>
      </c>
      <c r="CG206">
        <v>95</v>
      </c>
      <c r="CH206">
        <f t="shared" si="89"/>
        <v>0.85499999999999998</v>
      </c>
      <c r="CJ206">
        <v>95</v>
      </c>
      <c r="CL206">
        <f t="shared" si="90"/>
        <v>0.28500000000000003</v>
      </c>
      <c r="CM206">
        <f t="shared" si="91"/>
        <v>0.4773</v>
      </c>
      <c r="CN206">
        <f t="shared" si="92"/>
        <v>0.21039999999999998</v>
      </c>
      <c r="CO206">
        <f t="shared" si="93"/>
        <v>0.76229999999999998</v>
      </c>
      <c r="CP206">
        <f t="shared" si="94"/>
        <v>0.68769999999999998</v>
      </c>
      <c r="CR206">
        <v>0.21</v>
      </c>
      <c r="CS206">
        <v>0.5</v>
      </c>
      <c r="CT206">
        <v>0.28000000000000003</v>
      </c>
      <c r="CU206">
        <f t="shared" si="95"/>
        <v>0.71</v>
      </c>
      <c r="CV206">
        <f t="shared" si="96"/>
        <v>0.78</v>
      </c>
    </row>
    <row r="207" spans="1:100" x14ac:dyDescent="0.25">
      <c r="A207">
        <v>2025</v>
      </c>
      <c r="B207">
        <f t="shared" ref="B207" si="97">C207-DATE(YEAR(C207),1,1)+1</f>
        <v>43</v>
      </c>
      <c r="C207" s="109">
        <v>45700</v>
      </c>
      <c r="CB207">
        <v>19.8</v>
      </c>
      <c r="CC207">
        <v>1</v>
      </c>
      <c r="CG207">
        <v>101</v>
      </c>
      <c r="CH207">
        <f t="shared" ref="CH207:CH217" si="98">CG207*0.009</f>
        <v>0.90899999999999992</v>
      </c>
      <c r="CJ207">
        <v>101</v>
      </c>
      <c r="CL207">
        <f t="shared" si="64"/>
        <v>0.30299999999999999</v>
      </c>
      <c r="CM207">
        <f t="shared" si="65"/>
        <v>0.45390000000000003</v>
      </c>
      <c r="CN207">
        <f t="shared" ref="CN207:CN233" si="99">(0.0002*CJ207)+0.1914</f>
        <v>0.21159999999999998</v>
      </c>
      <c r="CO207">
        <f t="shared" si="66"/>
        <v>0.75690000000000002</v>
      </c>
      <c r="CP207">
        <f t="shared" si="66"/>
        <v>0.66549999999999998</v>
      </c>
      <c r="CR207">
        <v>0.21</v>
      </c>
      <c r="CS207">
        <v>0.5</v>
      </c>
      <c r="CT207">
        <v>0.28000000000000003</v>
      </c>
      <c r="CU207">
        <f t="shared" si="67"/>
        <v>0.71</v>
      </c>
      <c r="CV207">
        <f t="shared" si="68"/>
        <v>0.78</v>
      </c>
    </row>
    <row r="208" spans="1:100" x14ac:dyDescent="0.25">
      <c r="CB208">
        <v>20</v>
      </c>
      <c r="CC208">
        <v>1</v>
      </c>
      <c r="CG208">
        <v>102</v>
      </c>
      <c r="CH208">
        <f t="shared" si="98"/>
        <v>0.91799999999999993</v>
      </c>
      <c r="CJ208">
        <v>102</v>
      </c>
      <c r="CL208">
        <f t="shared" si="64"/>
        <v>0.30599999999999999</v>
      </c>
      <c r="CM208">
        <f t="shared" si="65"/>
        <v>0.45</v>
      </c>
      <c r="CN208">
        <f t="shared" si="99"/>
        <v>0.21179999999999999</v>
      </c>
      <c r="CO208">
        <f t="shared" si="66"/>
        <v>0.75600000000000001</v>
      </c>
      <c r="CP208">
        <f t="shared" si="66"/>
        <v>0.66179999999999994</v>
      </c>
      <c r="CR208">
        <v>0.21</v>
      </c>
      <c r="CS208">
        <v>0.5</v>
      </c>
      <c r="CT208">
        <v>0.28000000000000003</v>
      </c>
      <c r="CU208">
        <f t="shared" si="67"/>
        <v>0.71</v>
      </c>
      <c r="CV208">
        <f t="shared" si="68"/>
        <v>0.78</v>
      </c>
    </row>
    <row r="209" spans="22:100" x14ac:dyDescent="0.25">
      <c r="V209">
        <v>20</v>
      </c>
      <c r="W209">
        <f>V209*V210</f>
        <v>1240</v>
      </c>
      <c r="CB209">
        <v>20.2</v>
      </c>
      <c r="CC209">
        <v>1</v>
      </c>
      <c r="CG209">
        <v>103</v>
      </c>
      <c r="CH209">
        <f t="shared" si="98"/>
        <v>0.92699999999999994</v>
      </c>
      <c r="CJ209">
        <v>103</v>
      </c>
      <c r="CL209">
        <f t="shared" si="64"/>
        <v>0.309</v>
      </c>
      <c r="CM209">
        <f t="shared" si="65"/>
        <v>0.4461</v>
      </c>
      <c r="CN209">
        <f t="shared" si="99"/>
        <v>0.21199999999999999</v>
      </c>
      <c r="CO209">
        <f t="shared" si="66"/>
        <v>0.75509999999999999</v>
      </c>
      <c r="CP209">
        <f t="shared" si="66"/>
        <v>0.65810000000000002</v>
      </c>
      <c r="CR209">
        <v>0.21</v>
      </c>
      <c r="CS209">
        <v>0.5</v>
      </c>
      <c r="CT209">
        <v>0.28000000000000003</v>
      </c>
      <c r="CU209">
        <f t="shared" si="67"/>
        <v>0.71</v>
      </c>
      <c r="CV209">
        <f t="shared" si="68"/>
        <v>0.78</v>
      </c>
    </row>
    <row r="210" spans="22:100" x14ac:dyDescent="0.25">
      <c r="V210">
        <v>62</v>
      </c>
      <c r="W210">
        <v>100</v>
      </c>
      <c r="CB210">
        <v>20.399999999999999</v>
      </c>
      <c r="CC210">
        <v>1</v>
      </c>
      <c r="CG210">
        <v>104</v>
      </c>
      <c r="CH210">
        <f t="shared" si="98"/>
        <v>0.93599999999999994</v>
      </c>
      <c r="CJ210">
        <v>104</v>
      </c>
      <c r="CL210">
        <f t="shared" si="64"/>
        <v>0.312</v>
      </c>
      <c r="CM210">
        <f t="shared" si="65"/>
        <v>0.44220000000000004</v>
      </c>
      <c r="CN210">
        <f t="shared" si="99"/>
        <v>0.2122</v>
      </c>
      <c r="CO210">
        <f t="shared" si="66"/>
        <v>0.75419999999999998</v>
      </c>
      <c r="CP210">
        <f t="shared" si="66"/>
        <v>0.65440000000000009</v>
      </c>
      <c r="CR210">
        <v>0.21</v>
      </c>
      <c r="CS210">
        <v>0.5</v>
      </c>
      <c r="CT210">
        <v>0.28000000000000003</v>
      </c>
      <c r="CU210">
        <f t="shared" si="67"/>
        <v>0.71</v>
      </c>
      <c r="CV210">
        <f t="shared" si="68"/>
        <v>0.78</v>
      </c>
    </row>
    <row r="211" spans="22:100" x14ac:dyDescent="0.25">
      <c r="CB211">
        <v>20.6</v>
      </c>
      <c r="CC211">
        <v>1</v>
      </c>
      <c r="CG211">
        <v>105</v>
      </c>
      <c r="CH211">
        <f t="shared" si="98"/>
        <v>0.94499999999999995</v>
      </c>
      <c r="CJ211">
        <v>105</v>
      </c>
      <c r="CL211">
        <f t="shared" si="64"/>
        <v>0.315</v>
      </c>
      <c r="CM211">
        <f t="shared" si="65"/>
        <v>0.43830000000000002</v>
      </c>
      <c r="CN211">
        <f t="shared" si="99"/>
        <v>0.21239999999999998</v>
      </c>
      <c r="CO211">
        <f t="shared" si="66"/>
        <v>0.75330000000000008</v>
      </c>
      <c r="CP211">
        <f t="shared" si="66"/>
        <v>0.65070000000000006</v>
      </c>
      <c r="CR211">
        <v>0.21</v>
      </c>
      <c r="CS211">
        <v>0.5</v>
      </c>
      <c r="CT211">
        <v>0.28000000000000003</v>
      </c>
      <c r="CU211">
        <f t="shared" si="67"/>
        <v>0.71</v>
      </c>
      <c r="CV211">
        <f t="shared" si="68"/>
        <v>0.78</v>
      </c>
    </row>
    <row r="212" spans="22:100" x14ac:dyDescent="0.25">
      <c r="W212">
        <f>(20*100)/62</f>
        <v>32.258064516129032</v>
      </c>
      <c r="CB212">
        <v>20.8</v>
      </c>
      <c r="CC212">
        <v>1</v>
      </c>
      <c r="CG212">
        <v>106</v>
      </c>
      <c r="CH212">
        <f t="shared" si="98"/>
        <v>0.95399999999999996</v>
      </c>
      <c r="CJ212">
        <v>106</v>
      </c>
      <c r="CL212">
        <f t="shared" si="64"/>
        <v>0.318</v>
      </c>
      <c r="CM212">
        <f t="shared" si="65"/>
        <v>0.43440000000000001</v>
      </c>
      <c r="CN212">
        <f t="shared" si="99"/>
        <v>0.21259999999999998</v>
      </c>
      <c r="CO212">
        <f t="shared" si="66"/>
        <v>0.75239999999999996</v>
      </c>
      <c r="CP212">
        <f t="shared" si="66"/>
        <v>0.64700000000000002</v>
      </c>
      <c r="CR212">
        <v>0.21</v>
      </c>
      <c r="CS212">
        <v>0.5</v>
      </c>
      <c r="CT212">
        <v>0.28000000000000003</v>
      </c>
      <c r="CU212">
        <f t="shared" si="67"/>
        <v>0.71</v>
      </c>
      <c r="CV212">
        <f t="shared" si="68"/>
        <v>0.78</v>
      </c>
    </row>
    <row r="213" spans="22:100" x14ac:dyDescent="0.25">
      <c r="CB213">
        <v>21</v>
      </c>
      <c r="CC213">
        <v>1</v>
      </c>
      <c r="CG213">
        <v>107</v>
      </c>
      <c r="CH213">
        <f t="shared" si="98"/>
        <v>0.96299999999999997</v>
      </c>
      <c r="CJ213">
        <v>107</v>
      </c>
      <c r="CL213">
        <f t="shared" si="64"/>
        <v>0.32100000000000001</v>
      </c>
      <c r="CM213">
        <f t="shared" si="65"/>
        <v>0.43049999999999999</v>
      </c>
      <c r="CN213">
        <f t="shared" si="99"/>
        <v>0.21279999999999999</v>
      </c>
      <c r="CO213">
        <f t="shared" si="66"/>
        <v>0.75150000000000006</v>
      </c>
      <c r="CP213">
        <f t="shared" si="66"/>
        <v>0.64329999999999998</v>
      </c>
      <c r="CR213">
        <v>0.21</v>
      </c>
      <c r="CS213">
        <v>0.5</v>
      </c>
      <c r="CT213">
        <v>0.28000000000000003</v>
      </c>
      <c r="CU213">
        <f t="shared" si="67"/>
        <v>0.71</v>
      </c>
      <c r="CV213">
        <f t="shared" si="68"/>
        <v>0.78</v>
      </c>
    </row>
    <row r="214" spans="22:100" x14ac:dyDescent="0.25">
      <c r="CB214">
        <v>21.2</v>
      </c>
      <c r="CC214">
        <v>1</v>
      </c>
      <c r="CG214">
        <v>108</v>
      </c>
      <c r="CH214">
        <f t="shared" si="98"/>
        <v>0.97199999999999998</v>
      </c>
      <c r="CJ214">
        <v>108</v>
      </c>
      <c r="CL214">
        <f t="shared" si="64"/>
        <v>0.32400000000000001</v>
      </c>
      <c r="CM214">
        <f t="shared" si="65"/>
        <v>0.42660000000000003</v>
      </c>
      <c r="CN214">
        <f t="shared" si="99"/>
        <v>0.21299999999999999</v>
      </c>
      <c r="CO214">
        <f t="shared" si="66"/>
        <v>0.75060000000000004</v>
      </c>
      <c r="CP214">
        <f t="shared" si="66"/>
        <v>0.63960000000000006</v>
      </c>
      <c r="CR214">
        <v>0.21</v>
      </c>
      <c r="CS214">
        <v>0.5</v>
      </c>
      <c r="CT214">
        <v>0.28000000000000003</v>
      </c>
      <c r="CU214">
        <f t="shared" si="67"/>
        <v>0.71</v>
      </c>
      <c r="CV214">
        <f t="shared" si="68"/>
        <v>0.78</v>
      </c>
    </row>
    <row r="215" spans="22:100" x14ac:dyDescent="0.25">
      <c r="CB215">
        <v>21.4</v>
      </c>
      <c r="CC215">
        <v>1</v>
      </c>
      <c r="CG215">
        <v>109</v>
      </c>
      <c r="CH215">
        <f t="shared" si="98"/>
        <v>0.98099999999999987</v>
      </c>
      <c r="CJ215">
        <v>109</v>
      </c>
      <c r="CL215">
        <f t="shared" si="64"/>
        <v>0.32700000000000001</v>
      </c>
      <c r="CM215">
        <f t="shared" si="65"/>
        <v>0.42270000000000002</v>
      </c>
      <c r="CN215">
        <f t="shared" si="99"/>
        <v>0.2132</v>
      </c>
      <c r="CO215">
        <f t="shared" si="66"/>
        <v>0.74970000000000003</v>
      </c>
      <c r="CP215">
        <f t="shared" si="66"/>
        <v>0.63590000000000002</v>
      </c>
      <c r="CR215">
        <v>0.21</v>
      </c>
      <c r="CS215">
        <v>0.5</v>
      </c>
      <c r="CT215">
        <v>0.28000000000000003</v>
      </c>
      <c r="CU215">
        <f t="shared" si="67"/>
        <v>0.71</v>
      </c>
      <c r="CV215">
        <f t="shared" si="68"/>
        <v>0.78</v>
      </c>
    </row>
    <row r="216" spans="22:100" x14ac:dyDescent="0.25">
      <c r="CB216">
        <v>21.6</v>
      </c>
      <c r="CC216">
        <v>1</v>
      </c>
      <c r="CG216">
        <v>110</v>
      </c>
      <c r="CH216">
        <f t="shared" si="98"/>
        <v>0.98999999999999988</v>
      </c>
      <c r="CJ216">
        <v>110</v>
      </c>
      <c r="CL216">
        <f t="shared" si="64"/>
        <v>0.33</v>
      </c>
      <c r="CM216">
        <f t="shared" si="65"/>
        <v>0.41880000000000001</v>
      </c>
      <c r="CN216">
        <f t="shared" si="99"/>
        <v>0.21339999999999998</v>
      </c>
      <c r="CO216">
        <f t="shared" si="66"/>
        <v>0.74880000000000002</v>
      </c>
      <c r="CP216">
        <f t="shared" si="66"/>
        <v>0.63219999999999998</v>
      </c>
      <c r="CR216">
        <v>0.21</v>
      </c>
      <c r="CS216">
        <v>0.5</v>
      </c>
      <c r="CT216">
        <v>0.28000000000000003</v>
      </c>
      <c r="CU216">
        <f t="shared" si="67"/>
        <v>0.71</v>
      </c>
      <c r="CV216">
        <f t="shared" si="68"/>
        <v>0.78</v>
      </c>
    </row>
    <row r="217" spans="22:100" x14ac:dyDescent="0.25">
      <c r="CB217">
        <v>21.8</v>
      </c>
      <c r="CC217">
        <v>1</v>
      </c>
      <c r="CG217">
        <v>111</v>
      </c>
      <c r="CH217">
        <f t="shared" si="98"/>
        <v>0.99899999999999989</v>
      </c>
      <c r="CJ217">
        <v>111</v>
      </c>
      <c r="CL217">
        <f t="shared" si="64"/>
        <v>0.33300000000000002</v>
      </c>
      <c r="CM217">
        <f t="shared" si="65"/>
        <v>0.41489999999999999</v>
      </c>
      <c r="CN217">
        <f t="shared" si="99"/>
        <v>0.21359999999999998</v>
      </c>
      <c r="CO217">
        <f t="shared" si="66"/>
        <v>0.74790000000000001</v>
      </c>
      <c r="CP217">
        <f t="shared" si="66"/>
        <v>0.62849999999999995</v>
      </c>
      <c r="CR217">
        <v>0.21</v>
      </c>
      <c r="CS217">
        <v>0.5</v>
      </c>
      <c r="CT217">
        <v>0.28000000000000003</v>
      </c>
      <c r="CU217">
        <f t="shared" si="67"/>
        <v>0.71</v>
      </c>
      <c r="CV217">
        <f t="shared" si="68"/>
        <v>0.78</v>
      </c>
    </row>
    <row r="218" spans="22:100" x14ac:dyDescent="0.25">
      <c r="CB218">
        <v>22</v>
      </c>
      <c r="CC218">
        <v>1</v>
      </c>
      <c r="CG218">
        <v>112</v>
      </c>
      <c r="CH218">
        <v>1</v>
      </c>
      <c r="CJ218">
        <v>112</v>
      </c>
      <c r="CL218">
        <f t="shared" si="64"/>
        <v>0.33600000000000002</v>
      </c>
      <c r="CM218">
        <f t="shared" si="65"/>
        <v>0.41100000000000003</v>
      </c>
      <c r="CN218">
        <f t="shared" si="99"/>
        <v>0.21379999999999999</v>
      </c>
      <c r="CO218">
        <f t="shared" si="66"/>
        <v>0.74700000000000011</v>
      </c>
      <c r="CP218">
        <f t="shared" si="66"/>
        <v>0.62480000000000002</v>
      </c>
      <c r="CR218">
        <v>0.21</v>
      </c>
      <c r="CS218">
        <v>0.5</v>
      </c>
      <c r="CT218">
        <v>0.28000000000000003</v>
      </c>
      <c r="CU218">
        <f t="shared" si="67"/>
        <v>0.71</v>
      </c>
      <c r="CV218">
        <f t="shared" si="68"/>
        <v>0.78</v>
      </c>
    </row>
    <row r="219" spans="22:100" x14ac:dyDescent="0.25">
      <c r="CB219">
        <v>22.2</v>
      </c>
      <c r="CC219">
        <v>1</v>
      </c>
      <c r="CG219">
        <v>113</v>
      </c>
      <c r="CH219">
        <v>1</v>
      </c>
      <c r="CJ219">
        <v>113</v>
      </c>
      <c r="CL219">
        <f t="shared" si="64"/>
        <v>0.33900000000000002</v>
      </c>
      <c r="CM219">
        <f t="shared" si="65"/>
        <v>0.40710000000000002</v>
      </c>
      <c r="CN219">
        <f t="shared" si="99"/>
        <v>0.214</v>
      </c>
      <c r="CO219">
        <f t="shared" si="66"/>
        <v>0.74609999999999999</v>
      </c>
      <c r="CP219">
        <f t="shared" si="66"/>
        <v>0.62109999999999999</v>
      </c>
      <c r="CR219">
        <v>0.21</v>
      </c>
      <c r="CS219">
        <v>0.5</v>
      </c>
      <c r="CT219">
        <v>0.28000000000000003</v>
      </c>
      <c r="CU219">
        <f t="shared" si="67"/>
        <v>0.71</v>
      </c>
      <c r="CV219">
        <f t="shared" si="68"/>
        <v>0.78</v>
      </c>
    </row>
    <row r="220" spans="22:100" x14ac:dyDescent="0.25">
      <c r="CB220">
        <v>22.4</v>
      </c>
      <c r="CC220">
        <v>1</v>
      </c>
      <c r="CG220">
        <v>114</v>
      </c>
      <c r="CH220">
        <v>1</v>
      </c>
      <c r="CJ220">
        <v>114</v>
      </c>
      <c r="CL220">
        <f t="shared" si="64"/>
        <v>0.34200000000000003</v>
      </c>
      <c r="CM220">
        <f t="shared" si="65"/>
        <v>0.4032</v>
      </c>
      <c r="CN220">
        <f t="shared" si="99"/>
        <v>0.2142</v>
      </c>
      <c r="CO220">
        <f t="shared" si="66"/>
        <v>0.74520000000000008</v>
      </c>
      <c r="CP220">
        <f t="shared" si="66"/>
        <v>0.61739999999999995</v>
      </c>
      <c r="CR220">
        <v>0.21</v>
      </c>
      <c r="CS220">
        <v>0.5</v>
      </c>
      <c r="CT220">
        <v>0.28000000000000003</v>
      </c>
      <c r="CU220">
        <f t="shared" si="67"/>
        <v>0.71</v>
      </c>
      <c r="CV220">
        <f t="shared" si="68"/>
        <v>0.78</v>
      </c>
    </row>
    <row r="221" spans="22:100" x14ac:dyDescent="0.25">
      <c r="CB221">
        <v>22.6</v>
      </c>
      <c r="CC221">
        <v>1</v>
      </c>
      <c r="CG221">
        <v>115</v>
      </c>
      <c r="CH221">
        <v>1</v>
      </c>
      <c r="CJ221">
        <v>115</v>
      </c>
      <c r="CL221">
        <f t="shared" si="64"/>
        <v>0.34500000000000003</v>
      </c>
      <c r="CM221">
        <f t="shared" si="65"/>
        <v>0.39930000000000004</v>
      </c>
      <c r="CN221">
        <f t="shared" si="99"/>
        <v>0.21439999999999998</v>
      </c>
      <c r="CO221">
        <f t="shared" si="66"/>
        <v>0.74430000000000007</v>
      </c>
      <c r="CP221">
        <f t="shared" si="66"/>
        <v>0.61370000000000002</v>
      </c>
      <c r="CR221">
        <v>0.21</v>
      </c>
      <c r="CS221">
        <v>0.5</v>
      </c>
      <c r="CT221">
        <v>0.28000000000000003</v>
      </c>
      <c r="CU221">
        <f t="shared" si="67"/>
        <v>0.71</v>
      </c>
      <c r="CV221">
        <f t="shared" si="68"/>
        <v>0.78</v>
      </c>
    </row>
    <row r="222" spans="22:100" x14ac:dyDescent="0.25">
      <c r="CB222">
        <v>22.8</v>
      </c>
      <c r="CC222">
        <v>1</v>
      </c>
      <c r="CG222">
        <v>116</v>
      </c>
      <c r="CH222">
        <v>1</v>
      </c>
      <c r="CJ222">
        <v>116</v>
      </c>
      <c r="CL222">
        <f t="shared" si="64"/>
        <v>0.34800000000000003</v>
      </c>
      <c r="CM222">
        <f t="shared" si="65"/>
        <v>0.39540000000000003</v>
      </c>
      <c r="CN222">
        <f t="shared" si="99"/>
        <v>0.21459999999999999</v>
      </c>
      <c r="CO222">
        <f t="shared" si="66"/>
        <v>0.74340000000000006</v>
      </c>
      <c r="CP222">
        <f t="shared" si="66"/>
        <v>0.61</v>
      </c>
      <c r="CR222">
        <v>0.21</v>
      </c>
      <c r="CS222">
        <v>0.5</v>
      </c>
      <c r="CT222">
        <v>0.28000000000000003</v>
      </c>
      <c r="CU222">
        <f t="shared" si="67"/>
        <v>0.71</v>
      </c>
      <c r="CV222">
        <f t="shared" si="68"/>
        <v>0.78</v>
      </c>
    </row>
    <row r="223" spans="22:100" x14ac:dyDescent="0.25">
      <c r="CB223">
        <v>23</v>
      </c>
      <c r="CC223">
        <v>1</v>
      </c>
      <c r="CG223">
        <v>117</v>
      </c>
      <c r="CH223">
        <v>1</v>
      </c>
      <c r="CJ223">
        <v>117</v>
      </c>
      <c r="CL223">
        <f t="shared" si="64"/>
        <v>0.35100000000000003</v>
      </c>
      <c r="CM223">
        <f t="shared" si="65"/>
        <v>0.39150000000000001</v>
      </c>
      <c r="CN223">
        <f t="shared" si="99"/>
        <v>0.21479999999999999</v>
      </c>
      <c r="CO223">
        <f t="shared" si="66"/>
        <v>0.74250000000000005</v>
      </c>
      <c r="CP223">
        <f t="shared" si="66"/>
        <v>0.60630000000000006</v>
      </c>
      <c r="CR223">
        <v>0.21</v>
      </c>
      <c r="CS223">
        <v>0.5</v>
      </c>
      <c r="CT223">
        <v>0.28000000000000003</v>
      </c>
      <c r="CU223">
        <f t="shared" si="67"/>
        <v>0.71</v>
      </c>
      <c r="CV223">
        <f t="shared" si="68"/>
        <v>0.78</v>
      </c>
    </row>
    <row r="224" spans="22:100" x14ac:dyDescent="0.25">
      <c r="CB224">
        <v>23.2</v>
      </c>
      <c r="CC224">
        <v>1</v>
      </c>
      <c r="CG224">
        <v>118</v>
      </c>
      <c r="CH224">
        <v>1</v>
      </c>
      <c r="CJ224">
        <v>118</v>
      </c>
      <c r="CL224">
        <f t="shared" si="64"/>
        <v>0.35399999999999998</v>
      </c>
      <c r="CM224">
        <f t="shared" si="65"/>
        <v>0.3876</v>
      </c>
      <c r="CN224">
        <f t="shared" si="99"/>
        <v>0.215</v>
      </c>
      <c r="CO224">
        <f t="shared" si="66"/>
        <v>0.74160000000000004</v>
      </c>
      <c r="CP224">
        <f t="shared" si="66"/>
        <v>0.60260000000000002</v>
      </c>
      <c r="CR224">
        <v>0.21</v>
      </c>
      <c r="CS224">
        <v>0.5</v>
      </c>
      <c r="CT224">
        <v>0.28000000000000003</v>
      </c>
      <c r="CU224">
        <f t="shared" si="67"/>
        <v>0.71</v>
      </c>
      <c r="CV224">
        <f t="shared" si="68"/>
        <v>0.78</v>
      </c>
    </row>
    <row r="225" spans="80:100" x14ac:dyDescent="0.25">
      <c r="CB225">
        <v>23.4</v>
      </c>
      <c r="CC225">
        <v>1</v>
      </c>
      <c r="CG225">
        <v>119</v>
      </c>
      <c r="CH225">
        <v>1</v>
      </c>
      <c r="CJ225">
        <v>119</v>
      </c>
      <c r="CL225">
        <f t="shared" si="64"/>
        <v>0.35699999999999998</v>
      </c>
      <c r="CM225">
        <f t="shared" si="65"/>
        <v>0.38370000000000004</v>
      </c>
      <c r="CN225">
        <f t="shared" si="99"/>
        <v>0.2152</v>
      </c>
      <c r="CO225">
        <f t="shared" si="66"/>
        <v>0.74070000000000003</v>
      </c>
      <c r="CP225">
        <f t="shared" si="66"/>
        <v>0.59889999999999999</v>
      </c>
      <c r="CR225">
        <v>0.21</v>
      </c>
      <c r="CS225">
        <v>0.5</v>
      </c>
      <c r="CT225">
        <v>0.28000000000000003</v>
      </c>
      <c r="CU225">
        <f t="shared" si="67"/>
        <v>0.71</v>
      </c>
      <c r="CV225">
        <f t="shared" si="68"/>
        <v>0.78</v>
      </c>
    </row>
    <row r="226" spans="80:100" x14ac:dyDescent="0.25">
      <c r="CB226">
        <v>23.6</v>
      </c>
      <c r="CC226">
        <v>1</v>
      </c>
      <c r="CG226">
        <v>120</v>
      </c>
      <c r="CH226">
        <v>1</v>
      </c>
      <c r="CJ226">
        <v>120</v>
      </c>
      <c r="CL226">
        <f t="shared" si="64"/>
        <v>0.36</v>
      </c>
      <c r="CM226">
        <f t="shared" si="65"/>
        <v>0.37980000000000003</v>
      </c>
      <c r="CN226">
        <f t="shared" si="99"/>
        <v>0.21539999999999998</v>
      </c>
      <c r="CO226">
        <f t="shared" si="66"/>
        <v>0.73980000000000001</v>
      </c>
      <c r="CP226">
        <f t="shared" si="66"/>
        <v>0.59519999999999995</v>
      </c>
      <c r="CR226">
        <v>0.21</v>
      </c>
      <c r="CS226">
        <v>0.5</v>
      </c>
      <c r="CT226">
        <v>0.28000000000000003</v>
      </c>
      <c r="CU226">
        <f t="shared" si="67"/>
        <v>0.71</v>
      </c>
      <c r="CV226">
        <f t="shared" si="68"/>
        <v>0.78</v>
      </c>
    </row>
    <row r="227" spans="80:100" x14ac:dyDescent="0.25">
      <c r="CB227">
        <v>23.8</v>
      </c>
      <c r="CC227">
        <v>1</v>
      </c>
      <c r="CG227">
        <v>121</v>
      </c>
      <c r="CH227">
        <v>1</v>
      </c>
      <c r="CJ227">
        <v>121</v>
      </c>
      <c r="CL227">
        <f t="shared" si="64"/>
        <v>0.36299999999999999</v>
      </c>
      <c r="CM227">
        <f t="shared" si="65"/>
        <v>0.37590000000000001</v>
      </c>
      <c r="CN227">
        <f t="shared" si="99"/>
        <v>0.21559999999999999</v>
      </c>
      <c r="CO227">
        <f t="shared" si="66"/>
        <v>0.7389</v>
      </c>
      <c r="CP227">
        <f t="shared" si="66"/>
        <v>0.59150000000000003</v>
      </c>
      <c r="CR227">
        <v>0.21</v>
      </c>
      <c r="CS227">
        <v>0.5</v>
      </c>
      <c r="CT227">
        <v>0.28000000000000003</v>
      </c>
      <c r="CU227">
        <f t="shared" si="67"/>
        <v>0.71</v>
      </c>
      <c r="CV227">
        <f t="shared" si="68"/>
        <v>0.78</v>
      </c>
    </row>
    <row r="228" spans="80:100" x14ac:dyDescent="0.25">
      <c r="CB228">
        <v>24</v>
      </c>
      <c r="CC228">
        <v>1</v>
      </c>
      <c r="CG228">
        <v>122</v>
      </c>
      <c r="CH228">
        <v>1</v>
      </c>
      <c r="CJ228">
        <v>122</v>
      </c>
      <c r="CL228">
        <f t="shared" si="64"/>
        <v>0.36599999999999999</v>
      </c>
      <c r="CM228">
        <f t="shared" si="65"/>
        <v>0.372</v>
      </c>
      <c r="CN228">
        <f t="shared" si="99"/>
        <v>0.21579999999999999</v>
      </c>
      <c r="CO228">
        <f t="shared" si="66"/>
        <v>0.73799999999999999</v>
      </c>
      <c r="CP228">
        <f t="shared" si="66"/>
        <v>0.58779999999999999</v>
      </c>
      <c r="CR228">
        <v>0.21</v>
      </c>
      <c r="CS228">
        <v>0.5</v>
      </c>
      <c r="CT228">
        <v>0.28000000000000003</v>
      </c>
      <c r="CU228">
        <f t="shared" si="67"/>
        <v>0.71</v>
      </c>
      <c r="CV228">
        <f t="shared" si="68"/>
        <v>0.78</v>
      </c>
    </row>
    <row r="229" spans="80:100" x14ac:dyDescent="0.25">
      <c r="CB229">
        <v>24.2</v>
      </c>
      <c r="CC229">
        <v>1</v>
      </c>
      <c r="CG229">
        <v>123</v>
      </c>
      <c r="CH229">
        <v>1</v>
      </c>
      <c r="CJ229">
        <v>123</v>
      </c>
      <c r="CL229">
        <f t="shared" si="64"/>
        <v>0.36899999999999999</v>
      </c>
      <c r="CM229">
        <f t="shared" si="65"/>
        <v>0.36810000000000004</v>
      </c>
      <c r="CN229">
        <f t="shared" si="99"/>
        <v>0.216</v>
      </c>
      <c r="CO229">
        <f t="shared" si="66"/>
        <v>0.73710000000000009</v>
      </c>
      <c r="CP229">
        <f t="shared" si="66"/>
        <v>0.58410000000000006</v>
      </c>
      <c r="CR229">
        <v>0.21</v>
      </c>
      <c r="CS229">
        <v>0.5</v>
      </c>
      <c r="CT229">
        <v>0.28000000000000003</v>
      </c>
      <c r="CU229">
        <f t="shared" si="67"/>
        <v>0.71</v>
      </c>
      <c r="CV229">
        <f t="shared" si="68"/>
        <v>0.78</v>
      </c>
    </row>
    <row r="230" spans="80:100" x14ac:dyDescent="0.25">
      <c r="CB230">
        <v>24.4</v>
      </c>
      <c r="CC230">
        <v>1</v>
      </c>
      <c r="CG230">
        <v>124</v>
      </c>
      <c r="CJ230">
        <v>124</v>
      </c>
      <c r="CL230">
        <f t="shared" si="64"/>
        <v>0.372</v>
      </c>
      <c r="CM230">
        <f t="shared" si="65"/>
        <v>0.36420000000000002</v>
      </c>
      <c r="CN230">
        <f t="shared" si="99"/>
        <v>0.2162</v>
      </c>
      <c r="CO230">
        <f t="shared" si="66"/>
        <v>0.73619999999999997</v>
      </c>
      <c r="CP230">
        <f t="shared" si="66"/>
        <v>0.58040000000000003</v>
      </c>
      <c r="CR230">
        <v>0.21</v>
      </c>
      <c r="CS230">
        <v>0.5</v>
      </c>
      <c r="CT230">
        <v>0.28000000000000003</v>
      </c>
      <c r="CU230">
        <f t="shared" si="67"/>
        <v>0.71</v>
      </c>
      <c r="CV230">
        <f t="shared" si="68"/>
        <v>0.78</v>
      </c>
    </row>
    <row r="231" spans="80:100" x14ac:dyDescent="0.25">
      <c r="CB231">
        <v>24.6</v>
      </c>
      <c r="CC231">
        <v>1</v>
      </c>
      <c r="CG231">
        <v>125</v>
      </c>
      <c r="CJ231">
        <v>125</v>
      </c>
      <c r="CL231">
        <f t="shared" si="64"/>
        <v>0.375</v>
      </c>
      <c r="CM231">
        <f t="shared" si="65"/>
        <v>0.36030000000000001</v>
      </c>
      <c r="CN231">
        <f t="shared" si="99"/>
        <v>0.21639999999999998</v>
      </c>
      <c r="CO231">
        <f t="shared" si="66"/>
        <v>0.73530000000000006</v>
      </c>
      <c r="CP231">
        <f t="shared" si="66"/>
        <v>0.57669999999999999</v>
      </c>
      <c r="CR231">
        <v>0.21</v>
      </c>
      <c r="CS231">
        <v>0.5</v>
      </c>
      <c r="CT231">
        <v>0.28000000000000003</v>
      </c>
      <c r="CU231">
        <f t="shared" si="67"/>
        <v>0.71</v>
      </c>
      <c r="CV231">
        <f t="shared" si="68"/>
        <v>0.78</v>
      </c>
    </row>
    <row r="232" spans="80:100" x14ac:dyDescent="0.25">
      <c r="CB232">
        <v>24.8</v>
      </c>
      <c r="CC232">
        <v>1</v>
      </c>
      <c r="CG232">
        <v>126</v>
      </c>
      <c r="CJ232">
        <v>126</v>
      </c>
      <c r="CL232">
        <f t="shared" si="64"/>
        <v>0.378</v>
      </c>
      <c r="CM232">
        <f t="shared" si="65"/>
        <v>0.35639999999999999</v>
      </c>
      <c r="CN232">
        <f t="shared" si="99"/>
        <v>0.21659999999999999</v>
      </c>
      <c r="CO232">
        <f t="shared" si="66"/>
        <v>0.73439999999999994</v>
      </c>
      <c r="CP232">
        <f t="shared" si="66"/>
        <v>0.57299999999999995</v>
      </c>
      <c r="CR232">
        <v>0.21</v>
      </c>
      <c r="CS232">
        <v>0.5</v>
      </c>
      <c r="CT232">
        <v>0.28000000000000003</v>
      </c>
      <c r="CU232">
        <f t="shared" si="67"/>
        <v>0.71</v>
      </c>
      <c r="CV232">
        <f t="shared" si="68"/>
        <v>0.78</v>
      </c>
    </row>
    <row r="233" spans="80:100" x14ac:dyDescent="0.25">
      <c r="CB233">
        <v>25</v>
      </c>
      <c r="CC233">
        <v>1</v>
      </c>
      <c r="CG233">
        <v>127</v>
      </c>
      <c r="CJ233">
        <v>127</v>
      </c>
      <c r="CL233">
        <f t="shared" si="64"/>
        <v>0.38100000000000001</v>
      </c>
      <c r="CM233">
        <f t="shared" si="65"/>
        <v>0.35250000000000004</v>
      </c>
      <c r="CN233">
        <f t="shared" si="99"/>
        <v>0.21679999999999999</v>
      </c>
      <c r="CO233">
        <f t="shared" si="66"/>
        <v>0.73350000000000004</v>
      </c>
      <c r="CP233">
        <f t="shared" si="66"/>
        <v>0.56930000000000003</v>
      </c>
      <c r="CR233">
        <v>0.21</v>
      </c>
      <c r="CS233">
        <v>0.5</v>
      </c>
      <c r="CT233">
        <v>0.28000000000000003</v>
      </c>
      <c r="CU233">
        <f t="shared" si="67"/>
        <v>0.71</v>
      </c>
      <c r="CV233">
        <f t="shared" si="68"/>
        <v>0.78</v>
      </c>
    </row>
    <row r="234" spans="80:100" x14ac:dyDescent="0.25">
      <c r="CB234">
        <v>25.2</v>
      </c>
      <c r="CC234">
        <v>1</v>
      </c>
      <c r="CG234">
        <v>128</v>
      </c>
      <c r="CJ234">
        <v>128</v>
      </c>
      <c r="CL234">
        <f t="shared" si="64"/>
        <v>0.38400000000000001</v>
      </c>
      <c r="CM234">
        <f t="shared" si="65"/>
        <v>0.34860000000000002</v>
      </c>
      <c r="CN234">
        <f t="shared" ref="CN234:CN257" si="100">(0.0002*CJ234)+0.1914</f>
        <v>0.217</v>
      </c>
      <c r="CO234">
        <f t="shared" si="66"/>
        <v>0.73260000000000003</v>
      </c>
      <c r="CP234">
        <f t="shared" si="66"/>
        <v>0.56559999999999999</v>
      </c>
      <c r="CR234">
        <v>0.21</v>
      </c>
      <c r="CS234">
        <v>0.5</v>
      </c>
      <c r="CT234">
        <v>0.28000000000000003</v>
      </c>
      <c r="CU234">
        <f t="shared" si="67"/>
        <v>0.71</v>
      </c>
      <c r="CV234">
        <f t="shared" si="68"/>
        <v>0.78</v>
      </c>
    </row>
    <row r="235" spans="80:100" x14ac:dyDescent="0.25">
      <c r="CB235">
        <v>25.4</v>
      </c>
      <c r="CC235">
        <v>1</v>
      </c>
      <c r="CG235">
        <v>129</v>
      </c>
      <c r="CJ235">
        <v>129</v>
      </c>
      <c r="CL235">
        <f t="shared" ref="CL235:CL257" si="101">((0.003)*CJ235)</f>
        <v>0.38700000000000001</v>
      </c>
      <c r="CM235">
        <f t="shared" ref="CM235:CM257" si="102">((-0.0039)*CJ235)+0.8478</f>
        <v>0.34470000000000001</v>
      </c>
      <c r="CN235">
        <f t="shared" si="100"/>
        <v>0.21719999999999998</v>
      </c>
      <c r="CO235">
        <f t="shared" ref="CO235:CP257" si="103">CL235+CM235</f>
        <v>0.73170000000000002</v>
      </c>
      <c r="CP235">
        <f t="shared" si="103"/>
        <v>0.56189999999999996</v>
      </c>
      <c r="CR235">
        <v>0.21</v>
      </c>
      <c r="CS235">
        <v>0.5</v>
      </c>
      <c r="CT235">
        <v>0.28000000000000003</v>
      </c>
      <c r="CU235">
        <f t="shared" ref="CU235:CU257" si="104">CR235+CS235</f>
        <v>0.71</v>
      </c>
      <c r="CV235">
        <f t="shared" ref="CV235:CV257" si="105">CS235+CT235</f>
        <v>0.78</v>
      </c>
    </row>
    <row r="236" spans="80:100" x14ac:dyDescent="0.25">
      <c r="CB236">
        <v>25.6</v>
      </c>
      <c r="CC236">
        <v>1</v>
      </c>
      <c r="CG236">
        <v>130</v>
      </c>
      <c r="CJ236">
        <v>130</v>
      </c>
      <c r="CL236">
        <f t="shared" si="101"/>
        <v>0.39</v>
      </c>
      <c r="CM236">
        <f t="shared" si="102"/>
        <v>0.34079999999999999</v>
      </c>
      <c r="CN236">
        <f t="shared" si="100"/>
        <v>0.21739999999999998</v>
      </c>
      <c r="CO236">
        <f t="shared" si="103"/>
        <v>0.73080000000000001</v>
      </c>
      <c r="CP236">
        <f t="shared" si="103"/>
        <v>0.55820000000000003</v>
      </c>
      <c r="CR236">
        <v>0.21</v>
      </c>
      <c r="CS236">
        <v>0.5</v>
      </c>
      <c r="CT236">
        <v>0.28000000000000003</v>
      </c>
      <c r="CU236">
        <f t="shared" si="104"/>
        <v>0.71</v>
      </c>
      <c r="CV236">
        <f t="shared" si="105"/>
        <v>0.78</v>
      </c>
    </row>
    <row r="237" spans="80:100" x14ac:dyDescent="0.25">
      <c r="CB237">
        <v>25.8</v>
      </c>
      <c r="CC237">
        <v>1</v>
      </c>
      <c r="CG237">
        <v>131</v>
      </c>
      <c r="CJ237">
        <v>131</v>
      </c>
      <c r="CL237">
        <f t="shared" si="101"/>
        <v>0.39300000000000002</v>
      </c>
      <c r="CM237">
        <f t="shared" si="102"/>
        <v>0.33689999999999998</v>
      </c>
      <c r="CN237">
        <f t="shared" si="100"/>
        <v>0.21759999999999999</v>
      </c>
      <c r="CO237">
        <f t="shared" si="103"/>
        <v>0.72989999999999999</v>
      </c>
      <c r="CP237">
        <f t="shared" si="103"/>
        <v>0.55449999999999999</v>
      </c>
      <c r="CR237">
        <v>0.21</v>
      </c>
      <c r="CS237">
        <v>0.5</v>
      </c>
      <c r="CT237">
        <v>0.28000000000000003</v>
      </c>
      <c r="CU237">
        <f t="shared" si="104"/>
        <v>0.71</v>
      </c>
      <c r="CV237">
        <f t="shared" si="105"/>
        <v>0.78</v>
      </c>
    </row>
    <row r="238" spans="80:100" x14ac:dyDescent="0.25">
      <c r="CB238">
        <v>26</v>
      </c>
      <c r="CC238">
        <v>1</v>
      </c>
      <c r="CG238">
        <v>132</v>
      </c>
      <c r="CJ238">
        <v>132</v>
      </c>
      <c r="CL238">
        <f t="shared" si="101"/>
        <v>0.39600000000000002</v>
      </c>
      <c r="CM238">
        <f t="shared" si="102"/>
        <v>0.33300000000000007</v>
      </c>
      <c r="CN238">
        <f t="shared" si="100"/>
        <v>0.21779999999999999</v>
      </c>
      <c r="CO238">
        <f t="shared" si="103"/>
        <v>0.72900000000000009</v>
      </c>
      <c r="CP238">
        <f t="shared" si="103"/>
        <v>0.55080000000000007</v>
      </c>
      <c r="CR238">
        <v>0.21</v>
      </c>
      <c r="CS238">
        <v>0.5</v>
      </c>
      <c r="CT238">
        <v>0.28000000000000003</v>
      </c>
      <c r="CU238">
        <f t="shared" si="104"/>
        <v>0.71</v>
      </c>
      <c r="CV238">
        <f t="shared" si="105"/>
        <v>0.78</v>
      </c>
    </row>
    <row r="239" spans="80:100" x14ac:dyDescent="0.25">
      <c r="CB239">
        <v>26.2</v>
      </c>
      <c r="CC239">
        <v>1</v>
      </c>
      <c r="CG239">
        <v>133</v>
      </c>
      <c r="CJ239">
        <v>133</v>
      </c>
      <c r="CL239">
        <f t="shared" si="101"/>
        <v>0.39900000000000002</v>
      </c>
      <c r="CM239">
        <f t="shared" si="102"/>
        <v>0.32910000000000006</v>
      </c>
      <c r="CN239">
        <f t="shared" si="100"/>
        <v>0.218</v>
      </c>
      <c r="CO239">
        <f t="shared" si="103"/>
        <v>0.72810000000000008</v>
      </c>
      <c r="CP239">
        <f t="shared" si="103"/>
        <v>0.54710000000000003</v>
      </c>
      <c r="CR239">
        <v>0.21</v>
      </c>
      <c r="CS239">
        <v>0.5</v>
      </c>
      <c r="CT239">
        <v>0.28000000000000003</v>
      </c>
      <c r="CU239">
        <f t="shared" si="104"/>
        <v>0.71</v>
      </c>
      <c r="CV239">
        <f t="shared" si="105"/>
        <v>0.78</v>
      </c>
    </row>
    <row r="240" spans="80:100" x14ac:dyDescent="0.25">
      <c r="CB240">
        <v>26.4</v>
      </c>
      <c r="CC240">
        <v>1</v>
      </c>
      <c r="CG240">
        <v>134</v>
      </c>
      <c r="CJ240">
        <v>134</v>
      </c>
      <c r="CL240">
        <f t="shared" si="101"/>
        <v>0.40200000000000002</v>
      </c>
      <c r="CM240">
        <f t="shared" si="102"/>
        <v>0.32520000000000004</v>
      </c>
      <c r="CN240">
        <f t="shared" si="100"/>
        <v>0.21819999999999998</v>
      </c>
      <c r="CO240">
        <f t="shared" si="103"/>
        <v>0.72720000000000007</v>
      </c>
      <c r="CP240">
        <f t="shared" si="103"/>
        <v>0.54339999999999999</v>
      </c>
      <c r="CR240">
        <v>0.21</v>
      </c>
      <c r="CS240">
        <v>0.5</v>
      </c>
      <c r="CT240">
        <v>0.28000000000000003</v>
      </c>
      <c r="CU240">
        <f t="shared" si="104"/>
        <v>0.71</v>
      </c>
      <c r="CV240">
        <f t="shared" si="105"/>
        <v>0.78</v>
      </c>
    </row>
    <row r="241" spans="80:100" x14ac:dyDescent="0.25">
      <c r="CB241">
        <v>26.6</v>
      </c>
      <c r="CC241">
        <v>1</v>
      </c>
      <c r="CG241">
        <v>135</v>
      </c>
      <c r="CJ241">
        <v>135</v>
      </c>
      <c r="CL241">
        <f t="shared" si="101"/>
        <v>0.40500000000000003</v>
      </c>
      <c r="CM241">
        <f t="shared" si="102"/>
        <v>0.32130000000000003</v>
      </c>
      <c r="CN241">
        <f t="shared" si="100"/>
        <v>0.21839999999999998</v>
      </c>
      <c r="CO241">
        <f t="shared" si="103"/>
        <v>0.72630000000000006</v>
      </c>
      <c r="CP241">
        <f t="shared" si="103"/>
        <v>0.53970000000000007</v>
      </c>
      <c r="CR241">
        <v>0.21</v>
      </c>
      <c r="CS241">
        <v>0.5</v>
      </c>
      <c r="CT241">
        <v>0.28000000000000003</v>
      </c>
      <c r="CU241">
        <f t="shared" si="104"/>
        <v>0.71</v>
      </c>
      <c r="CV241">
        <f t="shared" si="105"/>
        <v>0.78</v>
      </c>
    </row>
    <row r="242" spans="80:100" x14ac:dyDescent="0.25">
      <c r="CB242">
        <v>26.8</v>
      </c>
      <c r="CC242">
        <v>1</v>
      </c>
      <c r="CG242">
        <v>136</v>
      </c>
      <c r="CJ242">
        <v>136</v>
      </c>
      <c r="CL242">
        <f t="shared" si="101"/>
        <v>0.40800000000000003</v>
      </c>
      <c r="CM242">
        <f t="shared" si="102"/>
        <v>0.31740000000000002</v>
      </c>
      <c r="CN242">
        <f t="shared" si="100"/>
        <v>0.21859999999999999</v>
      </c>
      <c r="CO242">
        <f t="shared" si="103"/>
        <v>0.72540000000000004</v>
      </c>
      <c r="CP242">
        <f t="shared" si="103"/>
        <v>0.53600000000000003</v>
      </c>
      <c r="CR242">
        <v>0.21</v>
      </c>
      <c r="CS242">
        <v>0.5</v>
      </c>
      <c r="CT242">
        <v>0.28000000000000003</v>
      </c>
      <c r="CU242">
        <f t="shared" si="104"/>
        <v>0.71</v>
      </c>
      <c r="CV242">
        <f t="shared" si="105"/>
        <v>0.78</v>
      </c>
    </row>
    <row r="243" spans="80:100" x14ac:dyDescent="0.25">
      <c r="CB243">
        <v>27</v>
      </c>
      <c r="CC243">
        <v>1</v>
      </c>
      <c r="CG243">
        <v>137</v>
      </c>
      <c r="CJ243">
        <v>137</v>
      </c>
      <c r="CL243">
        <f t="shared" si="101"/>
        <v>0.41100000000000003</v>
      </c>
      <c r="CM243">
        <f t="shared" si="102"/>
        <v>0.3135</v>
      </c>
      <c r="CN243">
        <f t="shared" si="100"/>
        <v>0.21879999999999999</v>
      </c>
      <c r="CO243">
        <f t="shared" si="103"/>
        <v>0.72450000000000003</v>
      </c>
      <c r="CP243">
        <f t="shared" si="103"/>
        <v>0.5323</v>
      </c>
      <c r="CR243">
        <v>0.21</v>
      </c>
      <c r="CS243">
        <v>0.5</v>
      </c>
      <c r="CT243">
        <v>0.28000000000000003</v>
      </c>
      <c r="CU243">
        <f t="shared" si="104"/>
        <v>0.71</v>
      </c>
      <c r="CV243">
        <f t="shared" si="105"/>
        <v>0.78</v>
      </c>
    </row>
    <row r="244" spans="80:100" x14ac:dyDescent="0.25">
      <c r="CB244">
        <v>27.2</v>
      </c>
      <c r="CC244">
        <v>1</v>
      </c>
      <c r="CG244">
        <v>138</v>
      </c>
      <c r="CJ244">
        <v>138</v>
      </c>
      <c r="CL244">
        <f t="shared" si="101"/>
        <v>0.41400000000000003</v>
      </c>
      <c r="CM244">
        <f t="shared" si="102"/>
        <v>0.30959999999999999</v>
      </c>
      <c r="CN244">
        <f t="shared" si="100"/>
        <v>0.219</v>
      </c>
      <c r="CO244">
        <f t="shared" si="103"/>
        <v>0.72360000000000002</v>
      </c>
      <c r="CP244">
        <f t="shared" si="103"/>
        <v>0.52859999999999996</v>
      </c>
      <c r="CR244">
        <v>0.21</v>
      </c>
      <c r="CS244">
        <v>0.5</v>
      </c>
      <c r="CT244">
        <v>0.28000000000000003</v>
      </c>
      <c r="CU244">
        <f t="shared" si="104"/>
        <v>0.71</v>
      </c>
      <c r="CV244">
        <f t="shared" si="105"/>
        <v>0.78</v>
      </c>
    </row>
    <row r="245" spans="80:100" x14ac:dyDescent="0.25">
      <c r="CB245">
        <v>27.4</v>
      </c>
      <c r="CC245">
        <v>1</v>
      </c>
      <c r="CG245">
        <v>139</v>
      </c>
      <c r="CJ245">
        <v>139</v>
      </c>
      <c r="CL245">
        <f t="shared" si="101"/>
        <v>0.41699999999999998</v>
      </c>
      <c r="CM245">
        <f t="shared" si="102"/>
        <v>0.30569999999999997</v>
      </c>
      <c r="CN245">
        <f t="shared" si="100"/>
        <v>0.21919999999999998</v>
      </c>
      <c r="CO245">
        <f t="shared" si="103"/>
        <v>0.7226999999999999</v>
      </c>
      <c r="CP245">
        <f t="shared" si="103"/>
        <v>0.52489999999999992</v>
      </c>
      <c r="CR245">
        <v>0.21</v>
      </c>
      <c r="CS245">
        <v>0.5</v>
      </c>
      <c r="CT245">
        <v>0.28000000000000003</v>
      </c>
      <c r="CU245">
        <f t="shared" si="104"/>
        <v>0.71</v>
      </c>
      <c r="CV245">
        <f t="shared" si="105"/>
        <v>0.78</v>
      </c>
    </row>
    <row r="246" spans="80:100" x14ac:dyDescent="0.25">
      <c r="CB246">
        <v>27.6</v>
      </c>
      <c r="CC246">
        <v>1</v>
      </c>
      <c r="CG246">
        <v>140</v>
      </c>
      <c r="CJ246">
        <v>140</v>
      </c>
      <c r="CL246">
        <f t="shared" si="101"/>
        <v>0.42</v>
      </c>
      <c r="CM246">
        <f t="shared" si="102"/>
        <v>0.30180000000000007</v>
      </c>
      <c r="CN246">
        <f t="shared" si="100"/>
        <v>0.21939999999999998</v>
      </c>
      <c r="CO246">
        <f t="shared" si="103"/>
        <v>0.7218</v>
      </c>
      <c r="CP246">
        <f t="shared" si="103"/>
        <v>0.52120000000000011</v>
      </c>
      <c r="CR246">
        <v>0.21</v>
      </c>
      <c r="CS246">
        <v>0.5</v>
      </c>
      <c r="CT246">
        <v>0.28000000000000003</v>
      </c>
      <c r="CU246">
        <f t="shared" si="104"/>
        <v>0.71</v>
      </c>
      <c r="CV246">
        <f t="shared" si="105"/>
        <v>0.78</v>
      </c>
    </row>
    <row r="247" spans="80:100" x14ac:dyDescent="0.25">
      <c r="CB247">
        <v>27.8</v>
      </c>
      <c r="CC247">
        <v>1</v>
      </c>
      <c r="CG247">
        <v>141</v>
      </c>
      <c r="CJ247">
        <v>141</v>
      </c>
      <c r="CL247">
        <f t="shared" si="101"/>
        <v>0.42299999999999999</v>
      </c>
      <c r="CM247">
        <f t="shared" si="102"/>
        <v>0.29790000000000005</v>
      </c>
      <c r="CN247">
        <f t="shared" si="100"/>
        <v>0.21959999999999999</v>
      </c>
      <c r="CO247">
        <f t="shared" si="103"/>
        <v>0.7209000000000001</v>
      </c>
      <c r="CP247">
        <f t="shared" si="103"/>
        <v>0.51750000000000007</v>
      </c>
      <c r="CR247">
        <v>0.21</v>
      </c>
      <c r="CS247">
        <v>0.5</v>
      </c>
      <c r="CT247">
        <v>0.28000000000000003</v>
      </c>
      <c r="CU247">
        <f t="shared" si="104"/>
        <v>0.71</v>
      </c>
      <c r="CV247">
        <f t="shared" si="105"/>
        <v>0.78</v>
      </c>
    </row>
    <row r="248" spans="80:100" x14ac:dyDescent="0.25">
      <c r="CB248">
        <v>28</v>
      </c>
      <c r="CC248">
        <v>1</v>
      </c>
      <c r="CG248">
        <v>142</v>
      </c>
      <c r="CJ248">
        <v>142</v>
      </c>
      <c r="CL248">
        <f t="shared" si="101"/>
        <v>0.42599999999999999</v>
      </c>
      <c r="CM248">
        <f t="shared" si="102"/>
        <v>0.29400000000000004</v>
      </c>
      <c r="CN248">
        <f t="shared" si="100"/>
        <v>0.2198</v>
      </c>
      <c r="CO248">
        <f t="shared" si="103"/>
        <v>0.72</v>
      </c>
      <c r="CP248">
        <f t="shared" si="103"/>
        <v>0.51380000000000003</v>
      </c>
      <c r="CR248">
        <v>0.21</v>
      </c>
      <c r="CS248">
        <v>0.5</v>
      </c>
      <c r="CT248">
        <v>0.28000000000000003</v>
      </c>
      <c r="CU248">
        <f t="shared" si="104"/>
        <v>0.71</v>
      </c>
      <c r="CV248">
        <f t="shared" si="105"/>
        <v>0.78</v>
      </c>
    </row>
    <row r="249" spans="80:100" x14ac:dyDescent="0.25">
      <c r="CB249">
        <v>28.2</v>
      </c>
      <c r="CC249">
        <v>1</v>
      </c>
      <c r="CG249">
        <v>143</v>
      </c>
      <c r="CJ249">
        <v>143</v>
      </c>
      <c r="CL249">
        <f t="shared" si="101"/>
        <v>0.42899999999999999</v>
      </c>
      <c r="CM249">
        <f t="shared" si="102"/>
        <v>0.29010000000000002</v>
      </c>
      <c r="CN249">
        <f t="shared" si="100"/>
        <v>0.21999999999999997</v>
      </c>
      <c r="CO249">
        <f t="shared" si="103"/>
        <v>0.71910000000000007</v>
      </c>
      <c r="CP249">
        <f t="shared" si="103"/>
        <v>0.5101</v>
      </c>
      <c r="CR249">
        <v>0.21</v>
      </c>
      <c r="CS249">
        <v>0.5</v>
      </c>
      <c r="CT249">
        <v>0.28000000000000003</v>
      </c>
      <c r="CU249">
        <f t="shared" si="104"/>
        <v>0.71</v>
      </c>
      <c r="CV249">
        <f t="shared" si="105"/>
        <v>0.78</v>
      </c>
    </row>
    <row r="250" spans="80:100" x14ac:dyDescent="0.25">
      <c r="CB250">
        <v>28.4</v>
      </c>
      <c r="CC250">
        <v>1</v>
      </c>
      <c r="CG250">
        <v>144</v>
      </c>
      <c r="CJ250">
        <v>144</v>
      </c>
      <c r="CL250">
        <f t="shared" si="101"/>
        <v>0.432</v>
      </c>
      <c r="CM250">
        <f t="shared" si="102"/>
        <v>0.28620000000000001</v>
      </c>
      <c r="CN250">
        <f t="shared" si="100"/>
        <v>0.22019999999999998</v>
      </c>
      <c r="CO250">
        <f t="shared" si="103"/>
        <v>0.71819999999999995</v>
      </c>
      <c r="CP250">
        <f t="shared" si="103"/>
        <v>0.50639999999999996</v>
      </c>
      <c r="CR250">
        <v>0.21</v>
      </c>
      <c r="CS250">
        <v>0.5</v>
      </c>
      <c r="CT250">
        <v>0.28000000000000003</v>
      </c>
      <c r="CU250">
        <f t="shared" si="104"/>
        <v>0.71</v>
      </c>
      <c r="CV250">
        <f t="shared" si="105"/>
        <v>0.78</v>
      </c>
    </row>
    <row r="251" spans="80:100" x14ac:dyDescent="0.25">
      <c r="CB251">
        <v>28.6</v>
      </c>
      <c r="CC251">
        <v>1</v>
      </c>
      <c r="CG251">
        <v>145</v>
      </c>
      <c r="CJ251">
        <v>145</v>
      </c>
      <c r="CL251">
        <f t="shared" si="101"/>
        <v>0.435</v>
      </c>
      <c r="CM251">
        <f t="shared" si="102"/>
        <v>0.2823</v>
      </c>
      <c r="CN251">
        <f t="shared" si="100"/>
        <v>0.22039999999999998</v>
      </c>
      <c r="CO251">
        <f t="shared" si="103"/>
        <v>0.71730000000000005</v>
      </c>
      <c r="CP251">
        <f t="shared" si="103"/>
        <v>0.50269999999999992</v>
      </c>
      <c r="CR251">
        <v>0.21</v>
      </c>
      <c r="CS251">
        <v>0.5</v>
      </c>
      <c r="CT251">
        <v>0.28000000000000003</v>
      </c>
      <c r="CU251">
        <f t="shared" si="104"/>
        <v>0.71</v>
      </c>
      <c r="CV251">
        <f t="shared" si="105"/>
        <v>0.78</v>
      </c>
    </row>
    <row r="252" spans="80:100" x14ac:dyDescent="0.25">
      <c r="CB252">
        <v>28.8</v>
      </c>
      <c r="CC252">
        <v>1</v>
      </c>
      <c r="CG252">
        <v>146</v>
      </c>
      <c r="CJ252">
        <v>146</v>
      </c>
      <c r="CL252">
        <f t="shared" si="101"/>
        <v>0.438</v>
      </c>
      <c r="CM252">
        <f t="shared" si="102"/>
        <v>0.27839999999999998</v>
      </c>
      <c r="CN252">
        <f t="shared" si="100"/>
        <v>0.22059999999999999</v>
      </c>
      <c r="CO252">
        <f t="shared" si="103"/>
        <v>0.71639999999999993</v>
      </c>
      <c r="CP252">
        <f t="shared" si="103"/>
        <v>0.499</v>
      </c>
      <c r="CR252">
        <v>0.21</v>
      </c>
      <c r="CS252">
        <v>0.5</v>
      </c>
      <c r="CT252">
        <v>0.28000000000000003</v>
      </c>
      <c r="CU252">
        <f t="shared" si="104"/>
        <v>0.71</v>
      </c>
      <c r="CV252">
        <f t="shared" si="105"/>
        <v>0.78</v>
      </c>
    </row>
    <row r="253" spans="80:100" x14ac:dyDescent="0.25">
      <c r="CB253">
        <v>29</v>
      </c>
      <c r="CC253">
        <v>1</v>
      </c>
      <c r="CG253">
        <v>147</v>
      </c>
      <c r="CJ253">
        <v>147</v>
      </c>
      <c r="CL253">
        <f t="shared" si="101"/>
        <v>0.441</v>
      </c>
      <c r="CM253">
        <f t="shared" si="102"/>
        <v>0.27450000000000008</v>
      </c>
      <c r="CN253">
        <f t="shared" si="100"/>
        <v>0.2208</v>
      </c>
      <c r="CO253">
        <f t="shared" si="103"/>
        <v>0.71550000000000002</v>
      </c>
      <c r="CP253">
        <f t="shared" si="103"/>
        <v>0.49530000000000007</v>
      </c>
      <c r="CR253">
        <v>0.21</v>
      </c>
      <c r="CS253">
        <v>0.5</v>
      </c>
      <c r="CT253">
        <v>0.28000000000000003</v>
      </c>
      <c r="CU253">
        <f t="shared" si="104"/>
        <v>0.71</v>
      </c>
      <c r="CV253">
        <f t="shared" si="105"/>
        <v>0.78</v>
      </c>
    </row>
    <row r="254" spans="80:100" x14ac:dyDescent="0.25">
      <c r="CB254">
        <v>29.2</v>
      </c>
      <c r="CC254">
        <v>1</v>
      </c>
      <c r="CG254">
        <v>148</v>
      </c>
      <c r="CJ254">
        <v>148</v>
      </c>
      <c r="CL254">
        <f t="shared" si="101"/>
        <v>0.44400000000000001</v>
      </c>
      <c r="CM254">
        <f t="shared" si="102"/>
        <v>0.27060000000000006</v>
      </c>
      <c r="CN254">
        <f t="shared" si="100"/>
        <v>0.22099999999999997</v>
      </c>
      <c r="CO254">
        <f t="shared" si="103"/>
        <v>0.71460000000000012</v>
      </c>
      <c r="CP254">
        <f t="shared" si="103"/>
        <v>0.49160000000000004</v>
      </c>
      <c r="CR254">
        <v>0.21</v>
      </c>
      <c r="CS254">
        <v>0.5</v>
      </c>
      <c r="CT254">
        <v>0.28000000000000003</v>
      </c>
      <c r="CU254">
        <f t="shared" si="104"/>
        <v>0.71</v>
      </c>
      <c r="CV254">
        <f t="shared" si="105"/>
        <v>0.78</v>
      </c>
    </row>
    <row r="255" spans="80:100" x14ac:dyDescent="0.25">
      <c r="CB255">
        <v>29.4</v>
      </c>
      <c r="CC255">
        <v>1</v>
      </c>
      <c r="CG255">
        <v>149</v>
      </c>
      <c r="CJ255">
        <v>149</v>
      </c>
      <c r="CL255">
        <f t="shared" si="101"/>
        <v>0.44700000000000001</v>
      </c>
      <c r="CM255">
        <f t="shared" si="102"/>
        <v>0.26670000000000005</v>
      </c>
      <c r="CN255">
        <f t="shared" si="100"/>
        <v>0.22119999999999998</v>
      </c>
      <c r="CO255">
        <f t="shared" si="103"/>
        <v>0.7137</v>
      </c>
      <c r="CP255">
        <f t="shared" si="103"/>
        <v>0.4879</v>
      </c>
      <c r="CR255">
        <v>0.21</v>
      </c>
      <c r="CS255">
        <v>0.5</v>
      </c>
      <c r="CT255">
        <v>0.28000000000000003</v>
      </c>
      <c r="CU255">
        <f t="shared" si="104"/>
        <v>0.71</v>
      </c>
      <c r="CV255">
        <f t="shared" si="105"/>
        <v>0.78</v>
      </c>
    </row>
    <row r="256" spans="80:100" x14ac:dyDescent="0.25">
      <c r="CB256">
        <v>29.6</v>
      </c>
      <c r="CC256">
        <v>1</v>
      </c>
      <c r="CG256">
        <v>150</v>
      </c>
      <c r="CJ256">
        <v>150</v>
      </c>
      <c r="CL256">
        <f t="shared" si="101"/>
        <v>0.45</v>
      </c>
      <c r="CM256">
        <f t="shared" si="102"/>
        <v>0.26280000000000003</v>
      </c>
      <c r="CN256">
        <f t="shared" si="100"/>
        <v>0.22139999999999999</v>
      </c>
      <c r="CO256">
        <f t="shared" si="103"/>
        <v>0.7128000000000001</v>
      </c>
      <c r="CP256">
        <f t="shared" si="103"/>
        <v>0.48420000000000002</v>
      </c>
      <c r="CR256">
        <v>0.21</v>
      </c>
      <c r="CS256">
        <v>0.5</v>
      </c>
      <c r="CT256">
        <v>0.28000000000000003</v>
      </c>
      <c r="CU256">
        <f t="shared" si="104"/>
        <v>0.71</v>
      </c>
      <c r="CV256">
        <f t="shared" si="105"/>
        <v>0.78</v>
      </c>
    </row>
    <row r="257" spans="80:100" x14ac:dyDescent="0.25">
      <c r="CB257">
        <v>29.8</v>
      </c>
      <c r="CC257">
        <v>1</v>
      </c>
      <c r="CG257">
        <v>151</v>
      </c>
      <c r="CJ257">
        <v>151</v>
      </c>
      <c r="CL257">
        <f t="shared" si="101"/>
        <v>0.45300000000000001</v>
      </c>
      <c r="CM257">
        <f t="shared" si="102"/>
        <v>0.25890000000000002</v>
      </c>
      <c r="CN257">
        <f t="shared" si="100"/>
        <v>0.22159999999999999</v>
      </c>
      <c r="CO257">
        <f t="shared" si="103"/>
        <v>0.71189999999999998</v>
      </c>
      <c r="CP257">
        <f t="shared" si="103"/>
        <v>0.48050000000000004</v>
      </c>
      <c r="CR257">
        <v>0.21</v>
      </c>
      <c r="CS257">
        <v>0.5</v>
      </c>
      <c r="CT257">
        <v>0.28000000000000003</v>
      </c>
      <c r="CU257">
        <f t="shared" si="104"/>
        <v>0.71</v>
      </c>
      <c r="CV257">
        <f t="shared" si="105"/>
        <v>0.78</v>
      </c>
    </row>
    <row r="258" spans="80:100" x14ac:dyDescent="0.25">
      <c r="CB258">
        <v>30</v>
      </c>
      <c r="CC258">
        <v>1</v>
      </c>
    </row>
    <row r="259" spans="80:100" x14ac:dyDescent="0.25">
      <c r="CB259">
        <v>30.2</v>
      </c>
      <c r="CC259">
        <v>1</v>
      </c>
    </row>
    <row r="260" spans="80:100" x14ac:dyDescent="0.25">
      <c r="CB260">
        <v>30.4</v>
      </c>
      <c r="CC260">
        <v>1</v>
      </c>
    </row>
    <row r="261" spans="80:100" x14ac:dyDescent="0.25">
      <c r="CB261">
        <v>30.6</v>
      </c>
      <c r="CC261">
        <v>1</v>
      </c>
    </row>
    <row r="262" spans="80:100" x14ac:dyDescent="0.25">
      <c r="CB262">
        <v>30.8</v>
      </c>
      <c r="CC262">
        <v>1</v>
      </c>
    </row>
    <row r="263" spans="80:100" x14ac:dyDescent="0.25">
      <c r="CB263">
        <v>31</v>
      </c>
      <c r="CC263">
        <v>1</v>
      </c>
    </row>
    <row r="264" spans="80:100" x14ac:dyDescent="0.25">
      <c r="CB264">
        <v>31.2</v>
      </c>
      <c r="CC264">
        <v>1</v>
      </c>
    </row>
    <row r="265" spans="80:100" x14ac:dyDescent="0.25">
      <c r="CB265">
        <v>31.4</v>
      </c>
      <c r="CC265">
        <v>1</v>
      </c>
    </row>
    <row r="266" spans="80:100" x14ac:dyDescent="0.25">
      <c r="CB266">
        <v>31.6</v>
      </c>
      <c r="CC266">
        <v>1</v>
      </c>
    </row>
    <row r="267" spans="80:100" x14ac:dyDescent="0.25">
      <c r="CB267">
        <v>31.8</v>
      </c>
      <c r="CC267">
        <v>1</v>
      </c>
    </row>
    <row r="268" spans="80:100" x14ac:dyDescent="0.25">
      <c r="CB268">
        <v>32</v>
      </c>
      <c r="CC268">
        <v>1</v>
      </c>
    </row>
    <row r="269" spans="80:100" x14ac:dyDescent="0.25">
      <c r="CB269">
        <v>32.200000000000003</v>
      </c>
      <c r="CC269">
        <v>1</v>
      </c>
    </row>
    <row r="270" spans="80:100" x14ac:dyDescent="0.25">
      <c r="CB270">
        <v>32.4</v>
      </c>
      <c r="CC270">
        <v>1</v>
      </c>
    </row>
    <row r="271" spans="80:100" x14ac:dyDescent="0.25">
      <c r="CB271">
        <v>32.6</v>
      </c>
      <c r="CC271">
        <v>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8"/>
  <sheetViews>
    <sheetView topLeftCell="D6" zoomScale="136" workbookViewId="0">
      <selection activeCell="F18" sqref="F18"/>
    </sheetView>
  </sheetViews>
  <sheetFormatPr defaultColWidth="8.6640625" defaultRowHeight="13.2" x14ac:dyDescent="0.25"/>
  <cols>
    <col min="2" max="2" width="12.6640625" style="61" bestFit="1" customWidth="1"/>
    <col min="3" max="3" width="10.6640625" style="60" customWidth="1"/>
    <col min="4" max="4" width="31.109375" bestFit="1" customWidth="1"/>
  </cols>
  <sheetData>
    <row r="1" spans="1:16" s="63" customFormat="1" ht="15.6" x14ac:dyDescent="0.3">
      <c r="A1" s="66" t="s">
        <v>104</v>
      </c>
      <c r="B1" s="64"/>
      <c r="C1" s="70"/>
    </row>
    <row r="2" spans="1:16" x14ac:dyDescent="0.25">
      <c r="A2" s="67" t="s">
        <v>112</v>
      </c>
    </row>
    <row r="3" spans="1:16" x14ac:dyDescent="0.25">
      <c r="A3" s="62"/>
    </row>
    <row r="4" spans="1:16" s="59" customFormat="1" x14ac:dyDescent="0.25">
      <c r="A4" s="68" t="s">
        <v>74</v>
      </c>
      <c r="B4" s="65" t="s">
        <v>99</v>
      </c>
      <c r="C4" s="59" t="s">
        <v>0</v>
      </c>
      <c r="D4" s="59" t="s">
        <v>98</v>
      </c>
    </row>
    <row r="5" spans="1:16" x14ac:dyDescent="0.25">
      <c r="A5" s="69" t="s">
        <v>75</v>
      </c>
      <c r="B5" s="61">
        <v>13.04</v>
      </c>
      <c r="C5" s="60">
        <v>30063</v>
      </c>
      <c r="D5" t="s">
        <v>100</v>
      </c>
    </row>
    <row r="6" spans="1:16" x14ac:dyDescent="0.25">
      <c r="A6" s="69" t="s">
        <v>76</v>
      </c>
      <c r="B6" s="61">
        <v>19.71</v>
      </c>
      <c r="C6" s="60">
        <v>30419</v>
      </c>
      <c r="D6" t="s">
        <v>100</v>
      </c>
    </row>
    <row r="7" spans="1:16" x14ac:dyDescent="0.25">
      <c r="A7" s="69" t="s">
        <v>77</v>
      </c>
      <c r="B7" s="61">
        <v>20.92</v>
      </c>
      <c r="C7" s="60">
        <v>30774</v>
      </c>
      <c r="D7" t="s">
        <v>101</v>
      </c>
    </row>
    <row r="8" spans="1:16" x14ac:dyDescent="0.25">
      <c r="A8" s="69" t="s">
        <v>78</v>
      </c>
      <c r="B8" s="61">
        <v>31.4</v>
      </c>
      <c r="C8" s="60">
        <v>31124</v>
      </c>
      <c r="D8" t="s">
        <v>102</v>
      </c>
    </row>
    <row r="9" spans="1:16" x14ac:dyDescent="0.25">
      <c r="A9" s="69" t="s">
        <v>79</v>
      </c>
      <c r="B9" s="61">
        <v>8.6</v>
      </c>
      <c r="C9" s="60">
        <v>31452</v>
      </c>
      <c r="D9" t="s">
        <v>103</v>
      </c>
    </row>
    <row r="10" spans="1:16" x14ac:dyDescent="0.25">
      <c r="A10" s="69" t="s">
        <v>80</v>
      </c>
      <c r="B10" s="61">
        <v>43.39</v>
      </c>
      <c r="C10" s="60">
        <v>31863</v>
      </c>
      <c r="D10" t="s">
        <v>105</v>
      </c>
    </row>
    <row r="11" spans="1:16" x14ac:dyDescent="0.25">
      <c r="A11" s="69" t="s">
        <v>81</v>
      </c>
      <c r="B11" s="61">
        <v>36.549999999999997</v>
      </c>
      <c r="C11" s="60">
        <v>32197</v>
      </c>
      <c r="D11" t="s">
        <v>106</v>
      </c>
    </row>
    <row r="12" spans="1:16" x14ac:dyDescent="0.25">
      <c r="A12" s="69" t="s">
        <v>82</v>
      </c>
      <c r="B12" s="61">
        <v>9.3000000000000007</v>
      </c>
      <c r="C12" s="60">
        <v>32548</v>
      </c>
      <c r="D12" t="s">
        <v>107</v>
      </c>
    </row>
    <row r="13" spans="1:16" x14ac:dyDescent="0.25">
      <c r="A13" s="69" t="s">
        <v>83</v>
      </c>
      <c r="B13" s="61">
        <v>11.96</v>
      </c>
      <c r="C13" s="60">
        <v>32923</v>
      </c>
      <c r="D13" t="s">
        <v>108</v>
      </c>
      <c r="P13" t="s">
        <v>122</v>
      </c>
    </row>
    <row r="14" spans="1:16" x14ac:dyDescent="0.25">
      <c r="A14" s="69" t="s">
        <v>84</v>
      </c>
      <c r="B14" s="61">
        <v>5.0999999999999996</v>
      </c>
      <c r="C14" s="60">
        <v>33323</v>
      </c>
      <c r="D14" t="s">
        <v>109</v>
      </c>
    </row>
    <row r="15" spans="1:16" x14ac:dyDescent="0.25">
      <c r="A15" s="69" t="s">
        <v>85</v>
      </c>
      <c r="B15" s="61">
        <v>17.88</v>
      </c>
      <c r="C15" s="60">
        <v>33705</v>
      </c>
      <c r="D15" t="s">
        <v>109</v>
      </c>
    </row>
    <row r="16" spans="1:16" x14ac:dyDescent="0.25">
      <c r="A16" s="69" t="s">
        <v>86</v>
      </c>
      <c r="B16" s="61">
        <v>8.8000000000000007</v>
      </c>
      <c r="C16" s="60">
        <v>34025</v>
      </c>
      <c r="D16" t="s">
        <v>109</v>
      </c>
    </row>
    <row r="17" spans="1:4" x14ac:dyDescent="0.25">
      <c r="A17" s="69" t="s">
        <v>87</v>
      </c>
      <c r="B17" s="61">
        <v>2.0699999999999998</v>
      </c>
      <c r="C17" s="60">
        <v>34421</v>
      </c>
      <c r="D17" t="s">
        <v>109</v>
      </c>
    </row>
    <row r="18" spans="1:4" x14ac:dyDescent="0.25">
      <c r="A18" s="69" t="s">
        <v>88</v>
      </c>
      <c r="B18" s="61">
        <v>4.38</v>
      </c>
      <c r="C18" s="60">
        <v>34759</v>
      </c>
      <c r="D18" t="s">
        <v>109</v>
      </c>
    </row>
    <row r="19" spans="1:4" x14ac:dyDescent="0.25">
      <c r="A19" s="69" t="s">
        <v>89</v>
      </c>
      <c r="B19" s="61">
        <v>3.65</v>
      </c>
      <c r="C19" s="60">
        <v>35152</v>
      </c>
      <c r="D19" t="s">
        <v>109</v>
      </c>
    </row>
    <row r="20" spans="1:4" x14ac:dyDescent="0.25">
      <c r="A20" s="69" t="s">
        <v>90</v>
      </c>
      <c r="B20" s="61">
        <v>2.5</v>
      </c>
      <c r="C20" s="71" t="s">
        <v>110</v>
      </c>
      <c r="D20" s="72" t="s">
        <v>110</v>
      </c>
    </row>
    <row r="21" spans="1:4" x14ac:dyDescent="0.25">
      <c r="A21" s="69" t="s">
        <v>91</v>
      </c>
      <c r="B21" s="61">
        <v>3.77</v>
      </c>
      <c r="C21" s="60">
        <v>35913</v>
      </c>
      <c r="D21" t="s">
        <v>109</v>
      </c>
    </row>
    <row r="22" spans="1:4" x14ac:dyDescent="0.25">
      <c r="A22" s="69" t="s">
        <v>92</v>
      </c>
      <c r="B22" s="61">
        <v>9.31</v>
      </c>
      <c r="C22" s="60">
        <v>36258</v>
      </c>
      <c r="D22" t="s">
        <v>111</v>
      </c>
    </row>
    <row r="23" spans="1:4" x14ac:dyDescent="0.25">
      <c r="A23" s="69" t="s">
        <v>93</v>
      </c>
      <c r="B23" s="61">
        <v>1.8</v>
      </c>
      <c r="C23" s="60">
        <v>36628</v>
      </c>
      <c r="D23" t="s">
        <v>109</v>
      </c>
    </row>
    <row r="24" spans="1:4" x14ac:dyDescent="0.25">
      <c r="A24" s="69" t="s">
        <v>94</v>
      </c>
      <c r="B24" s="61">
        <v>8.0299999999999994</v>
      </c>
      <c r="C24" s="60">
        <v>36963</v>
      </c>
      <c r="D24" t="s">
        <v>109</v>
      </c>
    </row>
    <row r="25" spans="1:4" x14ac:dyDescent="0.25">
      <c r="A25" s="69" t="s">
        <v>95</v>
      </c>
      <c r="B25" s="61">
        <v>4.54</v>
      </c>
      <c r="C25" s="56">
        <v>37372</v>
      </c>
      <c r="D25" t="s">
        <v>113</v>
      </c>
    </row>
    <row r="26" spans="1:4" x14ac:dyDescent="0.25">
      <c r="A26" s="69" t="s">
        <v>96</v>
      </c>
      <c r="B26" s="61">
        <v>3.1</v>
      </c>
      <c r="C26" s="56">
        <v>37734</v>
      </c>
      <c r="D26" t="s">
        <v>113</v>
      </c>
    </row>
    <row r="27" spans="1:4" x14ac:dyDescent="0.25">
      <c r="A27" s="69" t="s">
        <v>97</v>
      </c>
      <c r="B27" s="61">
        <v>3.6</v>
      </c>
      <c r="C27" s="56">
        <v>38091</v>
      </c>
      <c r="D27" t="s">
        <v>113</v>
      </c>
    </row>
    <row r="28" spans="1:4" x14ac:dyDescent="0.25">
      <c r="A28" s="62">
        <v>2005</v>
      </c>
      <c r="B28" s="61">
        <v>4.5</v>
      </c>
      <c r="C28" s="56">
        <v>38457</v>
      </c>
      <c r="D28" t="s">
        <v>113</v>
      </c>
    </row>
    <row r="29" spans="1:4" x14ac:dyDescent="0.25">
      <c r="A29" s="62">
        <v>2006</v>
      </c>
      <c r="B29" s="61">
        <f>62/15</f>
        <v>4.1333333333333337</v>
      </c>
      <c r="C29" s="56">
        <v>38820</v>
      </c>
      <c r="D29" t="s">
        <v>113</v>
      </c>
    </row>
    <row r="30" spans="1:4" x14ac:dyDescent="0.25">
      <c r="A30" s="62">
        <v>2007</v>
      </c>
      <c r="B30" s="61">
        <f>60/15</f>
        <v>4</v>
      </c>
      <c r="C30" s="56">
        <v>39192</v>
      </c>
      <c r="D30" t="s">
        <v>113</v>
      </c>
    </row>
    <row r="31" spans="1:4" x14ac:dyDescent="0.25">
      <c r="A31" s="62">
        <v>2008</v>
      </c>
      <c r="B31" s="61">
        <f>18/15</f>
        <v>1.2</v>
      </c>
      <c r="C31" s="60">
        <v>39515</v>
      </c>
      <c r="D31" t="s">
        <v>113</v>
      </c>
    </row>
    <row r="32" spans="1:4" x14ac:dyDescent="0.25">
      <c r="A32" s="62">
        <v>2009</v>
      </c>
      <c r="B32" s="61">
        <f>38/15</f>
        <v>2.5333333333333332</v>
      </c>
      <c r="C32" s="60">
        <v>39930</v>
      </c>
      <c r="D32" t="s">
        <v>113</v>
      </c>
    </row>
    <row r="33" spans="1:4" x14ac:dyDescent="0.25">
      <c r="A33" s="62">
        <v>2010</v>
      </c>
      <c r="B33" s="61">
        <v>3.6</v>
      </c>
      <c r="C33" s="60">
        <v>40283</v>
      </c>
      <c r="D33" t="s">
        <v>113</v>
      </c>
    </row>
    <row r="34" spans="1:4" x14ac:dyDescent="0.25">
      <c r="A34" s="62">
        <v>2011</v>
      </c>
      <c r="B34" s="61">
        <f>103/15</f>
        <v>6.8666666666666663</v>
      </c>
    </row>
    <row r="35" spans="1:4" x14ac:dyDescent="0.25">
      <c r="A35" s="62">
        <v>2012</v>
      </c>
      <c r="B35" s="61">
        <f>42/15</f>
        <v>2.8</v>
      </c>
    </row>
    <row r="36" spans="1:4" x14ac:dyDescent="0.25">
      <c r="A36" s="62">
        <v>2013</v>
      </c>
      <c r="B36" s="61">
        <f>93/15</f>
        <v>6.2</v>
      </c>
    </row>
    <row r="37" spans="1:4" x14ac:dyDescent="0.25">
      <c r="A37" s="62">
        <v>2014</v>
      </c>
      <c r="B37" s="61">
        <v>4.5</v>
      </c>
    </row>
    <row r="38" spans="1:4" x14ac:dyDescent="0.25">
      <c r="A38" s="62">
        <v>2015</v>
      </c>
      <c r="B38" s="61">
        <f>109/15</f>
        <v>7.2666666666666666</v>
      </c>
    </row>
  </sheetData>
  <phoneticPr fontId="2" type="noConversion"/>
  <pageMargins left="0.74803149606299213" right="0.74803149606299213" top="0.98425196850393704" bottom="0.98425196850393704" header="0.51181102362204722" footer="0.51181102362204722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5"/>
  <sheetViews>
    <sheetView topLeftCell="AL38" zoomScaleNormal="70" workbookViewId="0">
      <selection activeCell="AS5" sqref="AS5"/>
    </sheetView>
  </sheetViews>
  <sheetFormatPr defaultColWidth="8.6640625" defaultRowHeight="13.2" x14ac:dyDescent="0.25"/>
  <cols>
    <col min="1" max="1" width="9.109375" style="1"/>
    <col min="2" max="2" width="18.109375" customWidth="1"/>
    <col min="6" max="6" width="11.44140625" customWidth="1"/>
    <col min="12" max="12" width="11.33203125" customWidth="1"/>
    <col min="14" max="14" width="9.6640625" bestFit="1" customWidth="1"/>
    <col min="18" max="18" width="9.6640625" bestFit="1" customWidth="1"/>
    <col min="19" max="19" width="12" customWidth="1"/>
    <col min="22" max="22" width="9.33203125" bestFit="1" customWidth="1"/>
    <col min="26" max="26" width="10.44140625" customWidth="1"/>
    <col min="30" max="30" width="9.33203125" bestFit="1" customWidth="1"/>
    <col min="34" max="34" width="9.33203125" bestFit="1" customWidth="1"/>
    <col min="37" max="37" width="11.6640625" customWidth="1"/>
    <col min="38" max="38" width="9.6640625" bestFit="1" customWidth="1"/>
    <col min="42" max="42" width="9.6640625" bestFit="1" customWidth="1"/>
    <col min="46" max="46" width="9.6640625" bestFit="1" customWidth="1"/>
    <col min="50" max="50" width="10.6640625" customWidth="1"/>
    <col min="54" max="54" width="11" customWidth="1"/>
    <col min="58" max="58" width="10.33203125" style="74" bestFit="1" customWidth="1"/>
  </cols>
  <sheetData>
    <row r="1" spans="1:60" x14ac:dyDescent="0.25">
      <c r="A1" s="1">
        <v>2002</v>
      </c>
      <c r="E1" s="1">
        <v>2003</v>
      </c>
      <c r="I1">
        <v>2004</v>
      </c>
      <c r="M1">
        <v>2005</v>
      </c>
      <c r="Q1">
        <v>2006</v>
      </c>
      <c r="U1">
        <v>2007</v>
      </c>
      <c r="Y1">
        <v>2008</v>
      </c>
      <c r="AC1">
        <v>2009</v>
      </c>
      <c r="AG1">
        <v>2010</v>
      </c>
      <c r="AK1">
        <v>2011</v>
      </c>
      <c r="AO1">
        <v>2012</v>
      </c>
      <c r="AS1">
        <v>2013</v>
      </c>
      <c r="AW1">
        <v>2014</v>
      </c>
      <c r="BA1">
        <v>2015</v>
      </c>
      <c r="BE1">
        <v>2016</v>
      </c>
    </row>
    <row r="2" spans="1:60" x14ac:dyDescent="0.25">
      <c r="A2" s="1" t="s">
        <v>1</v>
      </c>
      <c r="B2" t="s">
        <v>0</v>
      </c>
      <c r="C2" t="s">
        <v>2</v>
      </c>
      <c r="E2" s="1" t="s">
        <v>1</v>
      </c>
      <c r="F2" t="s">
        <v>0</v>
      </c>
      <c r="G2" t="s">
        <v>2</v>
      </c>
      <c r="I2" s="1" t="s">
        <v>66</v>
      </c>
      <c r="J2" t="s">
        <v>0</v>
      </c>
      <c r="K2" t="s">
        <v>67</v>
      </c>
      <c r="M2" t="s">
        <v>66</v>
      </c>
      <c r="N2" t="s">
        <v>0</v>
      </c>
      <c r="O2" t="s">
        <v>68</v>
      </c>
      <c r="Q2" t="s">
        <v>66</v>
      </c>
      <c r="R2" t="s">
        <v>0</v>
      </c>
      <c r="S2" t="s">
        <v>68</v>
      </c>
      <c r="U2" t="s">
        <v>66</v>
      </c>
      <c r="V2" t="s">
        <v>0</v>
      </c>
      <c r="W2" t="s">
        <v>68</v>
      </c>
      <c r="Y2" t="s">
        <v>66</v>
      </c>
      <c r="Z2" t="s">
        <v>0</v>
      </c>
      <c r="AA2" t="s">
        <v>68</v>
      </c>
      <c r="AC2" t="s">
        <v>66</v>
      </c>
      <c r="AD2" t="s">
        <v>0</v>
      </c>
      <c r="AE2" t="s">
        <v>68</v>
      </c>
      <c r="AG2" t="s">
        <v>66</v>
      </c>
      <c r="AH2" t="s">
        <v>0</v>
      </c>
      <c r="AI2" t="s">
        <v>68</v>
      </c>
      <c r="AK2" t="s">
        <v>66</v>
      </c>
      <c r="AL2" t="s">
        <v>0</v>
      </c>
      <c r="AM2" t="s">
        <v>68</v>
      </c>
      <c r="AO2" s="75" t="s">
        <v>66</v>
      </c>
      <c r="AP2" s="75" t="s">
        <v>0</v>
      </c>
      <c r="AQ2" s="75" t="s">
        <v>121</v>
      </c>
      <c r="AS2" s="75" t="s">
        <v>66</v>
      </c>
      <c r="AT2" s="75" t="s">
        <v>0</v>
      </c>
      <c r="AU2" s="75" t="s">
        <v>121</v>
      </c>
      <c r="AW2" s="75" t="s">
        <v>66</v>
      </c>
      <c r="AX2" s="75" t="s">
        <v>0</v>
      </c>
      <c r="AY2" s="75" t="s">
        <v>121</v>
      </c>
      <c r="BA2" s="75" t="s">
        <v>66</v>
      </c>
      <c r="BB2" s="75" t="s">
        <v>0</v>
      </c>
      <c r="BC2" s="75" t="s">
        <v>121</v>
      </c>
      <c r="BE2" t="s">
        <v>66</v>
      </c>
      <c r="BF2" s="74" t="s">
        <v>0</v>
      </c>
      <c r="BG2" t="s">
        <v>121</v>
      </c>
    </row>
    <row r="3" spans="1:60" x14ac:dyDescent="0.25">
      <c r="A3" s="1">
        <v>0</v>
      </c>
      <c r="B3" s="2">
        <v>37987</v>
      </c>
      <c r="C3">
        <v>0</v>
      </c>
      <c r="E3" s="1">
        <v>0</v>
      </c>
      <c r="F3" s="2">
        <v>37987</v>
      </c>
      <c r="G3">
        <v>0</v>
      </c>
      <c r="I3" s="1">
        <v>0</v>
      </c>
      <c r="J3" s="2">
        <v>37987</v>
      </c>
      <c r="K3" s="1">
        <v>0</v>
      </c>
      <c r="M3">
        <v>0</v>
      </c>
      <c r="N3" s="55">
        <v>38353</v>
      </c>
      <c r="O3">
        <v>0</v>
      </c>
      <c r="Q3">
        <v>0</v>
      </c>
      <c r="R3" s="55">
        <v>38353</v>
      </c>
      <c r="S3">
        <v>0</v>
      </c>
      <c r="U3">
        <v>0</v>
      </c>
      <c r="V3" s="55">
        <v>39083</v>
      </c>
      <c r="W3">
        <v>0</v>
      </c>
      <c r="Y3">
        <v>0</v>
      </c>
      <c r="Z3" s="55">
        <v>39083</v>
      </c>
      <c r="AA3">
        <v>0</v>
      </c>
      <c r="AC3">
        <v>0</v>
      </c>
      <c r="AD3" s="55">
        <v>39814</v>
      </c>
      <c r="AE3">
        <v>0</v>
      </c>
      <c r="AG3">
        <v>0</v>
      </c>
      <c r="AH3" s="55">
        <v>40179</v>
      </c>
      <c r="AI3">
        <v>0</v>
      </c>
      <c r="AK3">
        <v>0</v>
      </c>
      <c r="AL3" s="55">
        <v>40179</v>
      </c>
      <c r="AM3">
        <v>0</v>
      </c>
      <c r="AO3">
        <v>0</v>
      </c>
      <c r="AP3" s="55">
        <v>40179</v>
      </c>
      <c r="AQ3">
        <v>0</v>
      </c>
      <c r="AS3">
        <v>0</v>
      </c>
      <c r="AT3" s="55">
        <v>41275</v>
      </c>
      <c r="AU3">
        <v>0</v>
      </c>
      <c r="AW3">
        <v>0</v>
      </c>
      <c r="AX3" s="55">
        <v>41275</v>
      </c>
      <c r="AY3">
        <v>0</v>
      </c>
      <c r="BA3">
        <v>0</v>
      </c>
      <c r="BB3" s="55">
        <v>41275</v>
      </c>
      <c r="BC3">
        <v>0</v>
      </c>
      <c r="BE3">
        <v>0</v>
      </c>
      <c r="BF3" s="74">
        <v>42370</v>
      </c>
      <c r="BG3">
        <v>0</v>
      </c>
    </row>
    <row r="4" spans="1:60" x14ac:dyDescent="0.25">
      <c r="A4" s="1">
        <v>17</v>
      </c>
      <c r="B4" s="2">
        <v>38004</v>
      </c>
      <c r="C4">
        <v>17</v>
      </c>
      <c r="D4">
        <f>0.5*(A4-A3)*C4</f>
        <v>144.5</v>
      </c>
      <c r="E4" s="1">
        <v>20</v>
      </c>
      <c r="F4" s="2">
        <v>38006</v>
      </c>
      <c r="G4">
        <v>5</v>
      </c>
      <c r="H4">
        <f>0.5*(E4-E3)*G4</f>
        <v>50</v>
      </c>
      <c r="I4" s="1">
        <v>35</v>
      </c>
      <c r="J4" t="s">
        <v>3</v>
      </c>
      <c r="K4" s="1">
        <v>6</v>
      </c>
      <c r="L4">
        <f>0.5*(I4-I3)*K4</f>
        <v>105</v>
      </c>
      <c r="M4">
        <v>41</v>
      </c>
      <c r="N4" s="56">
        <v>38394</v>
      </c>
      <c r="O4">
        <v>9</v>
      </c>
      <c r="P4">
        <f>0.5*(M4-M3)*O4</f>
        <v>184.5</v>
      </c>
      <c r="Q4">
        <v>45</v>
      </c>
      <c r="R4" s="56">
        <v>38763</v>
      </c>
      <c r="S4">
        <v>32</v>
      </c>
      <c r="T4">
        <f>0.5*(Q4-Q3)*S4</f>
        <v>720</v>
      </c>
      <c r="U4">
        <f>31+22</f>
        <v>53</v>
      </c>
      <c r="V4" s="56">
        <v>39136</v>
      </c>
      <c r="W4">
        <v>18</v>
      </c>
      <c r="X4">
        <f>0.5*(U4-U3)*W4</f>
        <v>477</v>
      </c>
      <c r="Y4">
        <v>66</v>
      </c>
      <c r="Z4" s="56">
        <v>39515</v>
      </c>
      <c r="AA4">
        <v>18</v>
      </c>
      <c r="AB4">
        <f>0.5*(Y4-Y3)*AA4</f>
        <v>594</v>
      </c>
      <c r="AC4">
        <v>84</v>
      </c>
      <c r="AD4" s="56">
        <v>39898</v>
      </c>
      <c r="AE4">
        <v>24</v>
      </c>
      <c r="AF4">
        <f>0.5*(AC4-AC3)*AE4</f>
        <v>1008</v>
      </c>
      <c r="AG4">
        <v>68</v>
      </c>
      <c r="AH4" s="56">
        <v>40247</v>
      </c>
      <c r="AI4">
        <v>42</v>
      </c>
      <c r="AJ4">
        <f>0.5*(AG4-AG3)*AI4</f>
        <v>1428</v>
      </c>
      <c r="AK4">
        <v>86</v>
      </c>
      <c r="AL4" s="56">
        <v>40630</v>
      </c>
      <c r="AM4">
        <v>68</v>
      </c>
      <c r="AN4">
        <f>0.5*(AK4-AK3)*AM4</f>
        <v>2924</v>
      </c>
      <c r="AO4">
        <v>82</v>
      </c>
      <c r="AP4" s="56">
        <v>40991</v>
      </c>
      <c r="AQ4">
        <v>33</v>
      </c>
      <c r="AR4">
        <f>0.5*(AO4-AO3)*AQ4</f>
        <v>1353</v>
      </c>
      <c r="AS4">
        <v>85</v>
      </c>
      <c r="AT4" s="76">
        <v>41359</v>
      </c>
      <c r="AU4">
        <v>84</v>
      </c>
      <c r="AV4">
        <f>0.5*(AS4-AS3)*AU4</f>
        <v>3570</v>
      </c>
      <c r="AW4">
        <v>84</v>
      </c>
      <c r="AX4" s="76">
        <v>41723</v>
      </c>
      <c r="AY4">
        <v>32</v>
      </c>
      <c r="AZ4">
        <f>0.5*(AW4-AW3)*AY4</f>
        <v>1344</v>
      </c>
      <c r="BA4">
        <v>86</v>
      </c>
      <c r="BB4" s="76" t="s">
        <v>123</v>
      </c>
      <c r="BC4">
        <v>109</v>
      </c>
      <c r="BD4">
        <f>0.5*(BA4-BA3)*BC4</f>
        <v>4687</v>
      </c>
      <c r="BE4">
        <v>90</v>
      </c>
      <c r="BF4" s="74">
        <v>42456</v>
      </c>
      <c r="BG4">
        <v>81</v>
      </c>
      <c r="BH4">
        <f>0.5*(BE4-BE3)*BG4</f>
        <v>3645</v>
      </c>
    </row>
    <row r="5" spans="1:60" x14ac:dyDescent="0.25">
      <c r="A5" s="1">
        <v>43</v>
      </c>
      <c r="B5" s="2">
        <v>38030</v>
      </c>
      <c r="C5">
        <v>16</v>
      </c>
      <c r="D5">
        <f>((A5-A4)*C5)-((A5-A4)*(C5-C4)*0.5)</f>
        <v>429</v>
      </c>
      <c r="E5" s="1">
        <v>42</v>
      </c>
      <c r="F5" s="2">
        <v>38029</v>
      </c>
      <c r="G5">
        <v>19</v>
      </c>
      <c r="H5">
        <f>((E5-E4)*G5)-((E5-E4)*(G5-G4)*0.5)</f>
        <v>264</v>
      </c>
      <c r="I5" s="1">
        <v>61</v>
      </c>
      <c r="J5" t="s">
        <v>4</v>
      </c>
      <c r="K5" s="1">
        <v>21</v>
      </c>
      <c r="L5">
        <f>((I5-I4)*K5)-((I5-I4)*(K5-K4)*0.5)</f>
        <v>351</v>
      </c>
      <c r="M5">
        <v>66</v>
      </c>
      <c r="N5" s="56">
        <v>38419</v>
      </c>
      <c r="O5">
        <v>32</v>
      </c>
      <c r="P5">
        <f>((M5-M4)*O5)-((M5-M4)*(O5-O4)*0.5)</f>
        <v>512.5</v>
      </c>
      <c r="Q5">
        <v>79</v>
      </c>
      <c r="R5" s="56">
        <v>38797</v>
      </c>
      <c r="S5">
        <v>59</v>
      </c>
      <c r="T5">
        <f>((Q5-Q4)*S5)-((Q5-Q4)*(S5-S4)*0.5)</f>
        <v>1547</v>
      </c>
      <c r="U5">
        <v>87</v>
      </c>
      <c r="V5" s="56">
        <v>39170</v>
      </c>
      <c r="W5">
        <v>50</v>
      </c>
      <c r="X5">
        <f>((U5-U4)*W5)-((U5-U4)*(W5-W4)*0.5)</f>
        <v>1156</v>
      </c>
      <c r="Y5">
        <v>108</v>
      </c>
      <c r="Z5" s="56">
        <v>39555</v>
      </c>
      <c r="AA5">
        <v>17</v>
      </c>
      <c r="AB5">
        <f>((Y5-Y4)*AA5)-((Y5-Y4)*(AA5-AA4)*0.5)</f>
        <v>735</v>
      </c>
      <c r="AC5">
        <v>116</v>
      </c>
      <c r="AD5" s="56">
        <v>39930</v>
      </c>
      <c r="AE5">
        <v>38</v>
      </c>
      <c r="AF5">
        <f>((AC5-AC4)*AE5)-((AC5-AC4)*(AE5-AE4)*0.5)</f>
        <v>992</v>
      </c>
      <c r="AG5">
        <v>110</v>
      </c>
      <c r="AH5" s="56">
        <v>40283</v>
      </c>
      <c r="AI5">
        <v>54</v>
      </c>
      <c r="AJ5">
        <f>((AG5-AG4)*AI5)-((AG5-AG4)*(AI5-AI4)*0.5)</f>
        <v>2016</v>
      </c>
      <c r="AK5">
        <v>110</v>
      </c>
      <c r="AL5" s="76">
        <v>40652</v>
      </c>
      <c r="AM5">
        <v>103</v>
      </c>
      <c r="AN5">
        <f>((AK5-AK4)*AM5)-((AK5-AK4)*(AM5-AM4)*0.5)</f>
        <v>2052</v>
      </c>
      <c r="AO5">
        <v>115</v>
      </c>
      <c r="AP5" s="76">
        <v>41024</v>
      </c>
      <c r="AQ5">
        <v>38</v>
      </c>
      <c r="AR5">
        <f>((AO5-AO4)*AQ5)-((AO5-AO4)*(AQ5-AQ4)*0.5)</f>
        <v>1171.5</v>
      </c>
      <c r="AS5">
        <v>86</v>
      </c>
      <c r="AT5" s="76">
        <v>41360</v>
      </c>
      <c r="AU5">
        <v>87</v>
      </c>
      <c r="AV5">
        <f>((AS5-AS4)*AU5)-((AS5-AS4)*(AU5-AU4)*0.5)</f>
        <v>85.5</v>
      </c>
      <c r="AW5">
        <v>101</v>
      </c>
      <c r="AX5" s="76">
        <v>41740</v>
      </c>
      <c r="AY5">
        <v>68</v>
      </c>
      <c r="AZ5">
        <f>((AW5-AW4)*AY5)-((AW5-AW4)*(AY5-AY4)*0.5)</f>
        <v>850</v>
      </c>
      <c r="BA5">
        <v>98</v>
      </c>
      <c r="BB5" s="76">
        <v>42102</v>
      </c>
      <c r="BC5">
        <v>106</v>
      </c>
      <c r="BD5">
        <f>((BA5-BA4)*BC5)-((BA5-BA4)*(BC5-BC4)*0.5)</f>
        <v>1290</v>
      </c>
      <c r="BE5">
        <v>98</v>
      </c>
      <c r="BF5" s="74">
        <v>42102</v>
      </c>
      <c r="BG5">
        <v>94</v>
      </c>
      <c r="BH5">
        <f>((BE5-BE4)*BG5)-((BE5-BE4)*(BG5-BG4)*0.5)</f>
        <v>700</v>
      </c>
    </row>
    <row r="6" spans="1:60" x14ac:dyDescent="0.25">
      <c r="A6" s="1">
        <v>67</v>
      </c>
      <c r="B6" s="2">
        <v>38055</v>
      </c>
      <c r="C6">
        <v>46</v>
      </c>
      <c r="D6">
        <f>((A6-A5)*C6)-((A6-A5)*(C6-C5)*0.5)</f>
        <v>744</v>
      </c>
      <c r="E6" s="1">
        <v>65</v>
      </c>
      <c r="F6" s="2">
        <v>38053</v>
      </c>
      <c r="G6">
        <v>21</v>
      </c>
      <c r="H6">
        <f>((E6-E5)*G6)-((E6-E5)*(G6-G5)*0.5)</f>
        <v>460</v>
      </c>
      <c r="I6" s="1">
        <v>82</v>
      </c>
      <c r="J6" t="s">
        <v>5</v>
      </c>
      <c r="K6" s="1">
        <v>24</v>
      </c>
      <c r="L6">
        <f>((I6-I5)*K6)-((I6-I5)*(K6-K5)*0.5)</f>
        <v>472.5</v>
      </c>
      <c r="M6">
        <v>104</v>
      </c>
      <c r="N6" s="56">
        <v>38457</v>
      </c>
      <c r="O6">
        <v>61</v>
      </c>
      <c r="P6">
        <f>((M6-M5)*O6)-((M6-M5)*(O6-O5)*0.5)</f>
        <v>1767</v>
      </c>
      <c r="Q6">
        <v>102</v>
      </c>
      <c r="R6" s="56">
        <v>38820</v>
      </c>
      <c r="S6">
        <v>62</v>
      </c>
      <c r="T6">
        <f>((Q6-Q5)*S6)-((Q6-Q5)*(S6-S5)*0.5)</f>
        <v>1391.5</v>
      </c>
      <c r="U6">
        <v>109</v>
      </c>
      <c r="V6" s="60">
        <v>39192</v>
      </c>
      <c r="W6">
        <v>60</v>
      </c>
      <c r="X6">
        <f>((U6-U5)*W6)-((U6-U5)*(W6-W5)*0.5)</f>
        <v>1210</v>
      </c>
      <c r="Y6">
        <v>151</v>
      </c>
      <c r="Z6" s="55">
        <v>39233</v>
      </c>
      <c r="AA6">
        <v>0</v>
      </c>
      <c r="AB6">
        <f>0.5*(Y6-Y5)*AA5</f>
        <v>365.5</v>
      </c>
      <c r="AC6">
        <v>151</v>
      </c>
      <c r="AD6" s="55">
        <v>39233</v>
      </c>
      <c r="AE6">
        <v>0</v>
      </c>
      <c r="AF6">
        <f>0.5*(AC6-AC5)*AE5</f>
        <v>665</v>
      </c>
      <c r="AG6">
        <v>151</v>
      </c>
      <c r="AH6" s="55">
        <v>40329</v>
      </c>
      <c r="AI6">
        <v>0</v>
      </c>
      <c r="AJ6">
        <f>0.5*(AG6-AG5)*AI5</f>
        <v>1107</v>
      </c>
      <c r="AK6">
        <v>151</v>
      </c>
      <c r="AL6" s="76">
        <v>40694</v>
      </c>
      <c r="AM6">
        <v>0</v>
      </c>
      <c r="AN6">
        <f>0.5*(AK6-AK5)*AM5</f>
        <v>2111.5</v>
      </c>
      <c r="AO6">
        <v>127</v>
      </c>
      <c r="AP6" s="76">
        <v>41036</v>
      </c>
      <c r="AQ6">
        <v>42</v>
      </c>
      <c r="AR6">
        <f>0.5*(AO6-AO5)*AQ5</f>
        <v>228</v>
      </c>
      <c r="AS6">
        <v>107</v>
      </c>
      <c r="AT6" s="76">
        <v>41381</v>
      </c>
      <c r="AU6">
        <v>89</v>
      </c>
      <c r="AV6">
        <f>((AS6-AS5)*AU6)-((AS6-AS5)*(AU6-AU5)*0.5)</f>
        <v>1848</v>
      </c>
      <c r="AW6">
        <v>114</v>
      </c>
      <c r="AX6" s="76">
        <v>41753</v>
      </c>
      <c r="AY6">
        <v>62</v>
      </c>
      <c r="AZ6">
        <f>((AW6-AW5)*AY6)-((AW6-AW5)*(AY6-AY5)*0.5)</f>
        <v>845</v>
      </c>
      <c r="BA6">
        <v>117</v>
      </c>
      <c r="BB6" s="76">
        <v>42121</v>
      </c>
      <c r="BC6">
        <v>81</v>
      </c>
      <c r="BD6">
        <f>((BA6-BA5)*BC6)-((BA6-BA5)*(BC6-BC5)*0.5)</f>
        <v>1776.5</v>
      </c>
      <c r="BE6">
        <v>111</v>
      </c>
      <c r="BF6" s="74">
        <v>42121</v>
      </c>
      <c r="BG6">
        <v>96</v>
      </c>
      <c r="BH6">
        <f>((BE6-BE5)*BG6)-((BE6-BE5)*(BG6-BG5)*0.5)</f>
        <v>1235</v>
      </c>
    </row>
    <row r="7" spans="1:60" x14ac:dyDescent="0.25">
      <c r="A7" s="1">
        <v>80</v>
      </c>
      <c r="B7" s="2">
        <v>38068</v>
      </c>
      <c r="C7">
        <v>50</v>
      </c>
      <c r="D7">
        <f>((A7-A6)*C7)-((A7-A6)*(C7-C6)*0.5)</f>
        <v>624</v>
      </c>
      <c r="E7" s="1">
        <v>96</v>
      </c>
      <c r="F7" s="2">
        <v>38084</v>
      </c>
      <c r="G7">
        <v>46</v>
      </c>
      <c r="H7">
        <f>((E7-E6)*G7)-((E7-E6)*(G7-G6)*0.5)</f>
        <v>1038.5</v>
      </c>
      <c r="I7" s="1">
        <v>104</v>
      </c>
      <c r="J7" t="s">
        <v>6</v>
      </c>
      <c r="K7" s="1">
        <v>45</v>
      </c>
      <c r="L7">
        <f>((I7-I6)*K7)-((I7-I6)*(K7-K6)*0.5)</f>
        <v>759</v>
      </c>
      <c r="M7">
        <v>118</v>
      </c>
      <c r="N7" s="56">
        <v>38471</v>
      </c>
      <c r="O7">
        <v>47</v>
      </c>
      <c r="P7">
        <f>((M7-M6)*O7)-((M7-M6)*(O7-O6)*0.5)</f>
        <v>756</v>
      </c>
      <c r="Q7">
        <v>125</v>
      </c>
      <c r="R7" s="56">
        <v>38842</v>
      </c>
      <c r="S7">
        <v>62</v>
      </c>
      <c r="T7">
        <f>((Q7-Q6)*S7)-((Q7-Q6)*(S7-S6)*0.5)</f>
        <v>1426</v>
      </c>
      <c r="U7">
        <v>151</v>
      </c>
      <c r="V7" s="55">
        <v>39233</v>
      </c>
      <c r="W7">
        <v>0</v>
      </c>
      <c r="X7">
        <f>0.5*(U7-U6)*W6</f>
        <v>1260</v>
      </c>
      <c r="Z7" s="55"/>
      <c r="AG7" s="55"/>
      <c r="AK7">
        <v>206</v>
      </c>
      <c r="AL7" s="55"/>
      <c r="AO7">
        <v>151</v>
      </c>
      <c r="AP7" s="76">
        <v>41060</v>
      </c>
      <c r="AQ7">
        <v>0</v>
      </c>
      <c r="AS7">
        <v>115</v>
      </c>
      <c r="AT7" s="76">
        <v>41389</v>
      </c>
      <c r="AU7">
        <v>89</v>
      </c>
      <c r="AV7">
        <f>((AS7-AS6)*AU7)-((AS7-AS6)*(AU7-AU6)*0.5)</f>
        <v>712</v>
      </c>
      <c r="AW7">
        <v>151</v>
      </c>
      <c r="AX7" s="76">
        <v>41790</v>
      </c>
      <c r="AY7">
        <v>0</v>
      </c>
      <c r="AZ7">
        <f>((AW7-AW6)*AY7)-((AW7-AW6)*(AY7-AY6)*0.5)</f>
        <v>1147</v>
      </c>
      <c r="BA7">
        <v>151</v>
      </c>
      <c r="BB7" s="76">
        <v>41790</v>
      </c>
      <c r="BC7">
        <v>0</v>
      </c>
      <c r="BD7">
        <f>((BA7-BA6)*BC7)-((BA7-BA6)*(BC7-BC6)*0.5)</f>
        <v>1377</v>
      </c>
      <c r="BE7">
        <v>151</v>
      </c>
      <c r="BF7" s="74">
        <v>41790</v>
      </c>
      <c r="BG7">
        <v>0</v>
      </c>
      <c r="BH7">
        <f>((BE7-BE6)*BG7)-((BE7-BE6)*(BG7-BG6)*0.5)</f>
        <v>1920</v>
      </c>
    </row>
    <row r="8" spans="1:60" x14ac:dyDescent="0.25">
      <c r="A8" s="1">
        <v>115</v>
      </c>
      <c r="B8" s="2">
        <v>38103</v>
      </c>
      <c r="C8">
        <v>73</v>
      </c>
      <c r="D8">
        <f>((A8-A7)*C8)-((A8-A7)*(C8-C7)*0.5)</f>
        <v>2152.5</v>
      </c>
      <c r="E8" s="1">
        <v>112</v>
      </c>
      <c r="F8" s="2">
        <v>38100</v>
      </c>
      <c r="G8">
        <v>50</v>
      </c>
      <c r="H8">
        <f>((E8-E7)*G8)-((E8-E7)*(G8-G7)*0.5)</f>
        <v>768</v>
      </c>
      <c r="I8" s="1">
        <v>119</v>
      </c>
      <c r="J8" t="s">
        <v>7</v>
      </c>
      <c r="K8" s="1">
        <v>41</v>
      </c>
      <c r="L8">
        <f>((I8-I7)*K8)-((I8-I7)*(K8-K7)*0.5)</f>
        <v>645</v>
      </c>
      <c r="M8">
        <v>151</v>
      </c>
      <c r="N8" s="56">
        <v>38868</v>
      </c>
      <c r="O8">
        <v>0</v>
      </c>
      <c r="P8">
        <f>0.5*(M8-M7)*O7</f>
        <v>775.5</v>
      </c>
      <c r="Q8" s="1">
        <v>151</v>
      </c>
      <c r="R8" s="2">
        <v>38868</v>
      </c>
      <c r="S8" s="1">
        <v>0</v>
      </c>
      <c r="T8">
        <f>0.5*(Q8-Q7)*S7</f>
        <v>806</v>
      </c>
      <c r="AG8" s="73"/>
      <c r="AS8">
        <v>123</v>
      </c>
      <c r="AT8" s="76">
        <v>41397</v>
      </c>
      <c r="AU8">
        <v>89</v>
      </c>
      <c r="AV8">
        <f>0.5*(AS9-AS8)*AU8</f>
        <v>1246</v>
      </c>
      <c r="AX8" s="76"/>
      <c r="BB8" s="76"/>
    </row>
    <row r="9" spans="1:60" x14ac:dyDescent="0.25">
      <c r="A9" s="1">
        <v>133</v>
      </c>
      <c r="B9" s="2">
        <v>38121</v>
      </c>
      <c r="C9">
        <v>29</v>
      </c>
      <c r="D9">
        <f>((A9-A8)*C9)-((A9-A8)*(C9-C8)*0.5)</f>
        <v>918</v>
      </c>
      <c r="E9" s="1">
        <v>133</v>
      </c>
      <c r="F9" s="2">
        <v>38121</v>
      </c>
      <c r="G9">
        <v>20</v>
      </c>
      <c r="H9">
        <f>((E9-E8)*G9)-((E9-E8)*(G9-G8)*0.5)</f>
        <v>735</v>
      </c>
      <c r="I9" s="1">
        <v>134</v>
      </c>
      <c r="J9" t="s">
        <v>8</v>
      </c>
      <c r="K9" s="1">
        <v>26</v>
      </c>
      <c r="L9">
        <f>((I9-I8)*K9)-((I9-I8)*(K9-K8)*0.5)</f>
        <v>502.5</v>
      </c>
      <c r="P9">
        <f>SUM(P2:P8)</f>
        <v>3995.5</v>
      </c>
      <c r="T9">
        <f>SUM(T2:T8)</f>
        <v>5890.5</v>
      </c>
      <c r="X9">
        <f>SUM(X2:X8)</f>
        <v>4103</v>
      </c>
      <c r="AB9">
        <f>SUM(AB2:AB8)</f>
        <v>1694.5</v>
      </c>
      <c r="AF9">
        <f>SUM(AF2:AF8)</f>
        <v>2665</v>
      </c>
      <c r="AG9" s="73"/>
      <c r="AJ9">
        <f>SUM(AJ4:AJ6)</f>
        <v>4551</v>
      </c>
      <c r="AN9">
        <f>SUM(AN4:AN6)</f>
        <v>7087.5</v>
      </c>
      <c r="AS9">
        <v>151</v>
      </c>
      <c r="AT9" s="76">
        <v>41425</v>
      </c>
      <c r="AU9">
        <v>0</v>
      </c>
      <c r="AX9" s="76"/>
      <c r="BB9" s="76"/>
    </row>
    <row r="10" spans="1:60" x14ac:dyDescent="0.25">
      <c r="A10" s="1">
        <v>150</v>
      </c>
      <c r="B10" s="2">
        <v>38168</v>
      </c>
      <c r="C10">
        <v>0</v>
      </c>
      <c r="D10">
        <f>0.5*(A10-A9)*C9</f>
        <v>246.5</v>
      </c>
      <c r="E10" s="1">
        <v>150</v>
      </c>
      <c r="F10" s="2">
        <v>38138</v>
      </c>
      <c r="G10">
        <v>0</v>
      </c>
      <c r="H10">
        <f>0.5*(E10-E9)*G9</f>
        <v>170</v>
      </c>
      <c r="I10" s="1">
        <v>151</v>
      </c>
      <c r="J10" s="2">
        <v>38138</v>
      </c>
      <c r="K10" s="1">
        <v>0</v>
      </c>
      <c r="L10">
        <f>0.5*(I10-I9)*K9</f>
        <v>221</v>
      </c>
      <c r="AG10" s="74"/>
    </row>
    <row r="11" spans="1:60" x14ac:dyDescent="0.25">
      <c r="D11">
        <f>SUM(D4:D10)</f>
        <v>5258.5</v>
      </c>
      <c r="H11">
        <f>SUM(H4:H10)</f>
        <v>3485.5</v>
      </c>
      <c r="L11">
        <f>SUM(L4:L10)</f>
        <v>3056</v>
      </c>
      <c r="AR11">
        <f>SUM(AR4:AR6)</f>
        <v>2752.5</v>
      </c>
      <c r="AV11">
        <f>SUM(AV4:AV8)</f>
        <v>7461.5</v>
      </c>
      <c r="AZ11">
        <f>SUM(AZ4:AZ7)</f>
        <v>4186</v>
      </c>
      <c r="BD11">
        <f>SUM(BD4:BD7)</f>
        <v>9130.5</v>
      </c>
      <c r="BH11">
        <f>SUM(BH4:BH7)</f>
        <v>7500</v>
      </c>
    </row>
    <row r="13" spans="1:60" x14ac:dyDescent="0.25">
      <c r="J13">
        <v>73</v>
      </c>
      <c r="K13" s="1">
        <v>6</v>
      </c>
      <c r="L13">
        <f t="shared" ref="L13:L18" si="0">J13-K13</f>
        <v>67</v>
      </c>
      <c r="M13">
        <f t="shared" ref="M13:M18" si="1">L13/15</f>
        <v>4.4666666666666668</v>
      </c>
    </row>
    <row r="14" spans="1:60" x14ac:dyDescent="0.25">
      <c r="J14">
        <v>50</v>
      </c>
      <c r="K14" s="1">
        <v>4</v>
      </c>
      <c r="L14">
        <f t="shared" si="0"/>
        <v>46</v>
      </c>
      <c r="M14">
        <f t="shared" si="1"/>
        <v>3.0666666666666669</v>
      </c>
    </row>
    <row r="15" spans="1:60" x14ac:dyDescent="0.25">
      <c r="J15">
        <v>41</v>
      </c>
      <c r="K15" s="1">
        <v>1</v>
      </c>
      <c r="L15">
        <f t="shared" si="0"/>
        <v>40</v>
      </c>
      <c r="M15">
        <f t="shared" si="1"/>
        <v>2.6666666666666665</v>
      </c>
    </row>
    <row r="16" spans="1:60" x14ac:dyDescent="0.25">
      <c r="J16">
        <v>61</v>
      </c>
      <c r="K16" s="1">
        <v>2</v>
      </c>
      <c r="L16">
        <f t="shared" si="0"/>
        <v>59</v>
      </c>
      <c r="M16">
        <f t="shared" si="1"/>
        <v>3.9333333333333331</v>
      </c>
      <c r="R16" s="2">
        <v>38055</v>
      </c>
      <c r="S16">
        <v>46</v>
      </c>
    </row>
    <row r="17" spans="1:37" customFormat="1" x14ac:dyDescent="0.25">
      <c r="A17" s="1"/>
      <c r="B17">
        <f>AVERAGE(C8,G8,K7,O6,S6,W6,AA4)</f>
        <v>52.714285714285715</v>
      </c>
      <c r="J17">
        <v>62</v>
      </c>
      <c r="L17">
        <f t="shared" si="0"/>
        <v>62</v>
      </c>
      <c r="M17">
        <f t="shared" si="1"/>
        <v>4.1333333333333337</v>
      </c>
      <c r="R17" s="2">
        <v>38068</v>
      </c>
      <c r="S17">
        <v>50</v>
      </c>
    </row>
    <row r="18" spans="1:37" customFormat="1" x14ac:dyDescent="0.25">
      <c r="A18" s="1"/>
      <c r="J18">
        <v>60</v>
      </c>
      <c r="L18">
        <f t="shared" si="0"/>
        <v>60</v>
      </c>
      <c r="M18">
        <f t="shared" si="1"/>
        <v>4</v>
      </c>
      <c r="R18" s="2">
        <v>38103</v>
      </c>
      <c r="S18">
        <v>73</v>
      </c>
    </row>
    <row r="19" spans="1:37" customFormat="1" x14ac:dyDescent="0.25">
      <c r="A19" s="1"/>
      <c r="R19" s="2">
        <v>38121</v>
      </c>
      <c r="S19">
        <v>29</v>
      </c>
    </row>
    <row r="22" spans="1:37" customFormat="1" x14ac:dyDescent="0.25">
      <c r="A22" s="1"/>
      <c r="F22" s="56"/>
    </row>
    <row r="23" spans="1:37" customFormat="1" x14ac:dyDescent="0.25">
      <c r="A23" s="1"/>
      <c r="F23" s="76"/>
    </row>
    <row r="24" spans="1:37" customFormat="1" x14ac:dyDescent="0.25">
      <c r="A24" s="1"/>
      <c r="F24" s="56"/>
    </row>
    <row r="25" spans="1:37" customFormat="1" x14ac:dyDescent="0.25">
      <c r="A25" s="1"/>
      <c r="F25" s="91"/>
      <c r="G25" s="56"/>
    </row>
    <row r="26" spans="1:37" customFormat="1" x14ac:dyDescent="0.25">
      <c r="A26" s="98"/>
      <c r="B26" s="81"/>
      <c r="C26" s="82"/>
      <c r="D26" s="80" t="s">
        <v>124</v>
      </c>
      <c r="E26" s="81"/>
      <c r="F26" s="81"/>
      <c r="G26" s="82"/>
      <c r="H26" s="80" t="s">
        <v>126</v>
      </c>
      <c r="I26" s="81"/>
      <c r="J26" s="81"/>
      <c r="K26" s="82"/>
      <c r="L26" s="103" t="s">
        <v>126</v>
      </c>
      <c r="M26" s="81"/>
      <c r="N26" s="81" t="s">
        <v>127</v>
      </c>
      <c r="O26" s="82"/>
      <c r="P26" s="104" t="s">
        <v>126</v>
      </c>
      <c r="Q26" s="105"/>
      <c r="R26" s="105" t="s">
        <v>127</v>
      </c>
      <c r="S26" s="106"/>
    </row>
    <row r="27" spans="1:37" customFormat="1" x14ac:dyDescent="0.25">
      <c r="A27" s="99"/>
      <c r="C27" s="84"/>
      <c r="D27" s="83" t="s">
        <v>125</v>
      </c>
      <c r="G27" s="92"/>
      <c r="H27" s="83" t="s">
        <v>127</v>
      </c>
      <c r="K27" s="84"/>
      <c r="L27" s="85">
        <v>0.7</v>
      </c>
      <c r="M27" s="75" t="s">
        <v>128</v>
      </c>
      <c r="O27" s="84"/>
      <c r="P27" s="86">
        <v>0.6</v>
      </c>
      <c r="Q27" s="61" t="s">
        <v>128</v>
      </c>
      <c r="R27" s="61"/>
      <c r="S27" s="87"/>
    </row>
    <row r="28" spans="1:37" customFormat="1" x14ac:dyDescent="0.25">
      <c r="A28" s="95"/>
      <c r="B28" s="96" t="s">
        <v>116</v>
      </c>
      <c r="C28" s="97" t="s">
        <v>117</v>
      </c>
      <c r="D28" s="101">
        <v>40</v>
      </c>
      <c r="E28" s="101">
        <v>50</v>
      </c>
      <c r="F28" s="101">
        <v>60</v>
      </c>
      <c r="G28" s="102">
        <v>70</v>
      </c>
      <c r="H28" s="101">
        <v>40</v>
      </c>
      <c r="I28" s="101">
        <v>50</v>
      </c>
      <c r="J28" s="101">
        <v>60</v>
      </c>
      <c r="K28" s="101">
        <v>70</v>
      </c>
      <c r="L28" s="101">
        <v>40</v>
      </c>
      <c r="M28" s="101">
        <v>50</v>
      </c>
      <c r="N28" s="101">
        <v>60</v>
      </c>
      <c r="O28" s="101">
        <v>70</v>
      </c>
      <c r="P28" s="107">
        <v>40</v>
      </c>
      <c r="Q28" s="107">
        <v>50</v>
      </c>
      <c r="R28" s="107">
        <v>60</v>
      </c>
      <c r="S28" s="107">
        <v>70</v>
      </c>
    </row>
    <row r="29" spans="1:37" customFormat="1" x14ac:dyDescent="0.25">
      <c r="A29" s="85">
        <v>2002</v>
      </c>
      <c r="B29">
        <f>D11</f>
        <v>5258.5</v>
      </c>
      <c r="C29" s="84">
        <v>73</v>
      </c>
      <c r="D29" s="93">
        <f>$B$29/D28</f>
        <v>131.46250000000001</v>
      </c>
      <c r="E29" s="77">
        <f>$B$29/E28</f>
        <v>105.17</v>
      </c>
      <c r="F29" s="77">
        <f>$B$29/F28</f>
        <v>87.641666666666666</v>
      </c>
      <c r="G29" s="94">
        <f>$B$29/G28</f>
        <v>75.121428571428567</v>
      </c>
      <c r="H29" s="86">
        <f t="shared" ref="H29:H43" si="2">D29/$C29</f>
        <v>1.8008561643835617</v>
      </c>
      <c r="I29" s="61">
        <f t="shared" ref="I29:I43" si="3">E29/$C29</f>
        <v>1.4406849315068493</v>
      </c>
      <c r="J29" s="61">
        <f t="shared" ref="J29:J43" si="4">F29/$C29</f>
        <v>1.2005707762557078</v>
      </c>
      <c r="K29" s="87">
        <f t="shared" ref="K29:K43" si="5">G29/$C29</f>
        <v>1.0290606653620351</v>
      </c>
      <c r="L29" s="104">
        <f>(($B29/$L$27)/$L$28)/C29</f>
        <v>2.5726516634050882</v>
      </c>
      <c r="M29" s="105">
        <f>(($B29/$L$27)/$M$28)/C29</f>
        <v>2.0581213307240707</v>
      </c>
      <c r="N29" s="105">
        <f>(($B29/$L$27)/$N$28)/C29</f>
        <v>1.7151011089367256</v>
      </c>
      <c r="O29" s="106">
        <f>(($B29/$L$27)/$O$28)/C29</f>
        <v>1.4700866648029076</v>
      </c>
      <c r="P29" s="86">
        <f>(($B29/$P$27)/$P$28)/C29</f>
        <v>3.0014269406392695</v>
      </c>
      <c r="Q29" s="61">
        <f>(($B29/$P$27)/$Q$28)/C29</f>
        <v>2.4011415525114157</v>
      </c>
      <c r="R29" s="61">
        <f>(($B29/$P$27)/$R$28)/C29</f>
        <v>2.0009512937595133</v>
      </c>
      <c r="S29" s="87">
        <f>(($B29/$P$27)/$S$28)/C29</f>
        <v>1.7151011089367256</v>
      </c>
      <c r="AK29">
        <f>AJ33*AI33</f>
        <v>100</v>
      </c>
    </row>
    <row r="30" spans="1:37" customFormat="1" x14ac:dyDescent="0.25">
      <c r="A30" s="85">
        <v>2003</v>
      </c>
      <c r="B30">
        <f>H11</f>
        <v>3485.5</v>
      </c>
      <c r="C30" s="84">
        <v>50</v>
      </c>
      <c r="D30" s="93">
        <f>$B$30/D28</f>
        <v>87.137500000000003</v>
      </c>
      <c r="E30" s="77">
        <f>$B$30/E28</f>
        <v>69.709999999999994</v>
      </c>
      <c r="F30" s="77">
        <f>$B$30/F28</f>
        <v>58.091666666666669</v>
      </c>
      <c r="G30" s="94">
        <f>$B$30/G28</f>
        <v>49.792857142857144</v>
      </c>
      <c r="H30" s="86">
        <f t="shared" si="2"/>
        <v>1.74275</v>
      </c>
      <c r="I30" s="61">
        <f t="shared" si="3"/>
        <v>1.3941999999999999</v>
      </c>
      <c r="J30" s="61">
        <f t="shared" si="4"/>
        <v>1.1618333333333333</v>
      </c>
      <c r="K30" s="87">
        <f t="shared" si="5"/>
        <v>0.99585714285714289</v>
      </c>
      <c r="L30" s="86">
        <f t="shared" ref="L30:L43" si="6">(($B30/$L$27)/$L$28)/C30</f>
        <v>2.489642857142857</v>
      </c>
      <c r="M30" s="61">
        <f t="shared" ref="M30:M43" si="7">(($B30/$L$27)/$M$28)/C30</f>
        <v>1.9917142857142858</v>
      </c>
      <c r="N30" s="61">
        <f t="shared" ref="N30:N43" si="8">(($B30/$L$27)/$N$28)/C30</f>
        <v>1.6597619047619048</v>
      </c>
      <c r="O30" s="87">
        <f t="shared" ref="O30:O43" si="9">(($B30/$L$27)/$O$28)/C30</f>
        <v>1.4226530612244901</v>
      </c>
      <c r="P30" s="86">
        <f t="shared" ref="P30:P43" si="10">(($B30/$P$27)/$P$28)/C30</f>
        <v>2.9045833333333335</v>
      </c>
      <c r="Q30" s="61">
        <f t="shared" ref="Q30:Q43" si="11">(($B30/$P$27)/$Q$28)/C30</f>
        <v>2.3236666666666665</v>
      </c>
      <c r="R30" s="61">
        <f t="shared" ref="R30:R43" si="12">(($B30/$L$27)/$N$28)/G30</f>
        <v>1.6666666666666667</v>
      </c>
      <c r="S30" s="87">
        <f t="shared" ref="S30:S43" si="13">(($B30/$P$27)/$S$28)/C30</f>
        <v>1.6597619047619048</v>
      </c>
    </row>
    <row r="31" spans="1:37" customFormat="1" x14ac:dyDescent="0.25">
      <c r="A31" s="85">
        <v>2004</v>
      </c>
      <c r="B31">
        <f>L11</f>
        <v>3056</v>
      </c>
      <c r="C31" s="84">
        <v>45</v>
      </c>
      <c r="D31" s="93">
        <f>$B$31/D28</f>
        <v>76.400000000000006</v>
      </c>
      <c r="E31" s="77">
        <f>$B$31/E28</f>
        <v>61.12</v>
      </c>
      <c r="F31" s="77">
        <f>$B$31/F28</f>
        <v>50.93333333333333</v>
      </c>
      <c r="G31" s="94">
        <f>$B$31/G28</f>
        <v>43.657142857142858</v>
      </c>
      <c r="H31" s="86">
        <f t="shared" si="2"/>
        <v>1.6977777777777778</v>
      </c>
      <c r="I31" s="61">
        <f t="shared" si="3"/>
        <v>1.3582222222222222</v>
      </c>
      <c r="J31" s="61">
        <f t="shared" si="4"/>
        <v>1.1318518518518519</v>
      </c>
      <c r="K31" s="87">
        <f t="shared" si="5"/>
        <v>0.97015873015873022</v>
      </c>
      <c r="L31" s="86">
        <f t="shared" si="6"/>
        <v>2.4253968253968257</v>
      </c>
      <c r="M31" s="61">
        <f t="shared" si="7"/>
        <v>1.9403174603174607</v>
      </c>
      <c r="N31" s="61">
        <f t="shared" si="8"/>
        <v>1.6169312169312171</v>
      </c>
      <c r="O31" s="87">
        <f t="shared" si="9"/>
        <v>1.3859410430839003</v>
      </c>
      <c r="P31" s="86">
        <f t="shared" si="10"/>
        <v>2.8296296296296299</v>
      </c>
      <c r="Q31" s="61">
        <f t="shared" si="11"/>
        <v>2.2637037037037038</v>
      </c>
      <c r="R31" s="61">
        <f t="shared" si="12"/>
        <v>1.666666666666667</v>
      </c>
      <c r="S31" s="87">
        <f t="shared" si="13"/>
        <v>1.6169312169312171</v>
      </c>
    </row>
    <row r="32" spans="1:37" customFormat="1" x14ac:dyDescent="0.25">
      <c r="A32" s="85">
        <v>2005</v>
      </c>
      <c r="B32">
        <f>P9</f>
        <v>3995.5</v>
      </c>
      <c r="C32" s="84">
        <v>61</v>
      </c>
      <c r="D32" s="93">
        <f>$B$32/D28</f>
        <v>99.887500000000003</v>
      </c>
      <c r="E32" s="77">
        <f>$B$32/E28</f>
        <v>79.91</v>
      </c>
      <c r="F32" s="77">
        <f>$B$32/F28</f>
        <v>66.591666666666669</v>
      </c>
      <c r="G32" s="94">
        <f>$B$32/G28</f>
        <v>57.078571428571429</v>
      </c>
      <c r="H32" s="86">
        <f t="shared" si="2"/>
        <v>1.6375</v>
      </c>
      <c r="I32" s="61">
        <f t="shared" si="3"/>
        <v>1.31</v>
      </c>
      <c r="J32" s="61">
        <f t="shared" si="4"/>
        <v>1.0916666666666668</v>
      </c>
      <c r="K32" s="87">
        <f t="shared" si="5"/>
        <v>0.93571428571428572</v>
      </c>
      <c r="L32" s="86">
        <f t="shared" si="6"/>
        <v>2.3392857142857144</v>
      </c>
      <c r="M32" s="61">
        <f t="shared" si="7"/>
        <v>1.8714285714285714</v>
      </c>
      <c r="N32" s="61">
        <f t="shared" si="8"/>
        <v>1.5595238095238095</v>
      </c>
      <c r="O32" s="87">
        <f t="shared" si="9"/>
        <v>1.3367346938775511</v>
      </c>
      <c r="P32" s="86">
        <f t="shared" si="10"/>
        <v>2.729166666666667</v>
      </c>
      <c r="Q32" s="61">
        <f t="shared" si="11"/>
        <v>2.1833333333333336</v>
      </c>
      <c r="R32" s="61">
        <f t="shared" si="12"/>
        <v>1.6666666666666665</v>
      </c>
      <c r="S32" s="87">
        <f t="shared" si="13"/>
        <v>1.5595238095238095</v>
      </c>
    </row>
    <row r="33" spans="1:37" customFormat="1" x14ac:dyDescent="0.25">
      <c r="A33" s="85">
        <v>2006</v>
      </c>
      <c r="B33">
        <f>T9</f>
        <v>5890.5</v>
      </c>
      <c r="C33" s="84">
        <v>62</v>
      </c>
      <c r="D33" s="93">
        <f>$B$33/D28</f>
        <v>147.26249999999999</v>
      </c>
      <c r="E33" s="77">
        <f>$B$33/E28</f>
        <v>117.81</v>
      </c>
      <c r="F33" s="77">
        <f>$B$33/F28</f>
        <v>98.174999999999997</v>
      </c>
      <c r="G33" s="94">
        <f>$B$33/G28</f>
        <v>84.15</v>
      </c>
      <c r="H33" s="86">
        <f t="shared" si="2"/>
        <v>2.3752016129032256</v>
      </c>
      <c r="I33" s="61">
        <f t="shared" si="3"/>
        <v>1.9001612903225806</v>
      </c>
      <c r="J33" s="61">
        <f t="shared" si="4"/>
        <v>1.5834677419354839</v>
      </c>
      <c r="K33" s="87">
        <f t="shared" si="5"/>
        <v>1.3572580645161292</v>
      </c>
      <c r="L33" s="86">
        <f t="shared" si="6"/>
        <v>3.3931451612903225</v>
      </c>
      <c r="M33" s="61">
        <f t="shared" si="7"/>
        <v>2.7145161290322584</v>
      </c>
      <c r="N33" s="61">
        <f t="shared" si="8"/>
        <v>2.2620967741935485</v>
      </c>
      <c r="O33" s="87">
        <f t="shared" si="9"/>
        <v>1.9389400921658986</v>
      </c>
      <c r="P33" s="86">
        <f t="shared" si="10"/>
        <v>3.9586693548387095</v>
      </c>
      <c r="Q33" s="61">
        <f t="shared" si="11"/>
        <v>3.1669354838709678</v>
      </c>
      <c r="R33" s="61">
        <f t="shared" si="12"/>
        <v>1.6666666666666665</v>
      </c>
      <c r="S33" s="87">
        <f t="shared" si="13"/>
        <v>2.2620967741935485</v>
      </c>
      <c r="AG33">
        <v>108</v>
      </c>
      <c r="AH33">
        <v>100</v>
      </c>
      <c r="AI33">
        <v>0.7</v>
      </c>
      <c r="AJ33">
        <f>AH33/AI33</f>
        <v>142.85714285714286</v>
      </c>
    </row>
    <row r="34" spans="1:37" customFormat="1" x14ac:dyDescent="0.25">
      <c r="A34" s="85">
        <v>2007</v>
      </c>
      <c r="B34">
        <f>X9</f>
        <v>4103</v>
      </c>
      <c r="C34" s="84">
        <v>60</v>
      </c>
      <c r="D34" s="93">
        <f>$B$34/D28</f>
        <v>102.575</v>
      </c>
      <c r="E34" s="77">
        <f>$B$34/E28</f>
        <v>82.06</v>
      </c>
      <c r="F34" s="77">
        <f>$B$34/F28</f>
        <v>68.38333333333334</v>
      </c>
      <c r="G34" s="94">
        <f>$B$34/G28</f>
        <v>58.614285714285714</v>
      </c>
      <c r="H34" s="86">
        <f t="shared" si="2"/>
        <v>1.7095833333333335</v>
      </c>
      <c r="I34" s="61">
        <f t="shared" si="3"/>
        <v>1.3676666666666668</v>
      </c>
      <c r="J34" s="61">
        <f t="shared" si="4"/>
        <v>1.1397222222222223</v>
      </c>
      <c r="K34" s="87">
        <f t="shared" si="5"/>
        <v>0.97690476190476194</v>
      </c>
      <c r="L34" s="86">
        <f t="shared" si="6"/>
        <v>2.4422619047619047</v>
      </c>
      <c r="M34" s="61">
        <f t="shared" si="7"/>
        <v>1.9538095238095239</v>
      </c>
      <c r="N34" s="61">
        <f t="shared" si="8"/>
        <v>1.6281746031746032</v>
      </c>
      <c r="O34" s="87">
        <f t="shared" si="9"/>
        <v>1.3955782312925171</v>
      </c>
      <c r="P34" s="86">
        <f t="shared" si="10"/>
        <v>2.8493055555555555</v>
      </c>
      <c r="Q34" s="61">
        <f t="shared" si="11"/>
        <v>2.2794444444444446</v>
      </c>
      <c r="R34" s="61">
        <f t="shared" si="12"/>
        <v>1.6666666666666667</v>
      </c>
      <c r="S34" s="87">
        <f t="shared" si="13"/>
        <v>1.6281746031746034</v>
      </c>
      <c r="AE34" t="s">
        <v>118</v>
      </c>
    </row>
    <row r="35" spans="1:37" customFormat="1" x14ac:dyDescent="0.25">
      <c r="A35" s="85">
        <v>2008</v>
      </c>
      <c r="B35">
        <f>AB9</f>
        <v>1694.5</v>
      </c>
      <c r="C35" s="84">
        <v>18</v>
      </c>
      <c r="D35" s="93">
        <f>$B$35/D28</f>
        <v>42.362499999999997</v>
      </c>
      <c r="E35" s="77">
        <f>$B$35/E28</f>
        <v>33.89</v>
      </c>
      <c r="F35" s="77">
        <f>$B$35/F28</f>
        <v>28.241666666666667</v>
      </c>
      <c r="G35" s="94">
        <f>$B$35/G28</f>
        <v>24.207142857142856</v>
      </c>
      <c r="H35" s="86">
        <f t="shared" si="2"/>
        <v>2.353472222222222</v>
      </c>
      <c r="I35" s="61">
        <f t="shared" si="3"/>
        <v>1.8827777777777779</v>
      </c>
      <c r="J35" s="61">
        <f t="shared" si="4"/>
        <v>1.5689814814814815</v>
      </c>
      <c r="K35" s="87">
        <f t="shared" si="5"/>
        <v>1.3448412698412697</v>
      </c>
      <c r="L35" s="86">
        <f t="shared" si="6"/>
        <v>3.3621031746031749</v>
      </c>
      <c r="M35" s="61">
        <f t="shared" si="7"/>
        <v>2.6896825396825399</v>
      </c>
      <c r="N35" s="61">
        <f t="shared" si="8"/>
        <v>2.2414021164021163</v>
      </c>
      <c r="O35" s="87">
        <f t="shared" si="9"/>
        <v>1.9212018140589571</v>
      </c>
      <c r="P35" s="86">
        <f t="shared" si="10"/>
        <v>3.9224537037037042</v>
      </c>
      <c r="Q35" s="61">
        <f t="shared" si="11"/>
        <v>3.1379629629629635</v>
      </c>
      <c r="R35" s="61">
        <f t="shared" si="12"/>
        <v>1.6666666666666667</v>
      </c>
      <c r="S35" s="87">
        <f t="shared" si="13"/>
        <v>2.2414021164021167</v>
      </c>
      <c r="AC35">
        <v>4551</v>
      </c>
      <c r="AE35">
        <v>0.75</v>
      </c>
    </row>
    <row r="36" spans="1:37" customFormat="1" x14ac:dyDescent="0.25">
      <c r="A36" s="85">
        <v>2009</v>
      </c>
      <c r="B36">
        <f>AF9</f>
        <v>2665</v>
      </c>
      <c r="C36" s="84">
        <v>38</v>
      </c>
      <c r="D36" s="93">
        <f>$B$36/D28</f>
        <v>66.625</v>
      </c>
      <c r="E36" s="77">
        <f>$B$36/E28</f>
        <v>53.3</v>
      </c>
      <c r="F36" s="77">
        <f>$B$36/F28</f>
        <v>44.416666666666664</v>
      </c>
      <c r="G36" s="94">
        <f>$B$36/G28</f>
        <v>38.071428571428569</v>
      </c>
      <c r="H36" s="86">
        <f t="shared" si="2"/>
        <v>1.7532894736842106</v>
      </c>
      <c r="I36" s="61">
        <f t="shared" si="3"/>
        <v>1.4026315789473685</v>
      </c>
      <c r="J36" s="61">
        <f t="shared" si="4"/>
        <v>1.1688596491228069</v>
      </c>
      <c r="K36" s="87">
        <f t="shared" si="5"/>
        <v>1.0018796992481203</v>
      </c>
      <c r="L36" s="86">
        <f t="shared" si="6"/>
        <v>2.5046992481203008</v>
      </c>
      <c r="M36" s="61">
        <f t="shared" si="7"/>
        <v>2.003759398496241</v>
      </c>
      <c r="N36" s="61">
        <f t="shared" si="8"/>
        <v>1.6697994987468672</v>
      </c>
      <c r="O36" s="87">
        <f t="shared" si="9"/>
        <v>1.4312567132116005</v>
      </c>
      <c r="P36" s="86">
        <f t="shared" si="10"/>
        <v>2.9221491228070176</v>
      </c>
      <c r="Q36" s="61">
        <f t="shared" si="11"/>
        <v>2.3377192982456143</v>
      </c>
      <c r="R36" s="61">
        <f t="shared" si="12"/>
        <v>1.666666666666667</v>
      </c>
      <c r="S36" s="87">
        <f t="shared" si="13"/>
        <v>1.6697994987468672</v>
      </c>
      <c r="AC36">
        <v>40</v>
      </c>
      <c r="AD36">
        <f t="shared" ref="AD36:AD41" si="14">$AC$35/AC36</f>
        <v>113.77500000000001</v>
      </c>
      <c r="AE36">
        <f t="shared" ref="AE36:AE41" si="15">AD36/$AE$35</f>
        <v>151.70000000000002</v>
      </c>
    </row>
    <row r="37" spans="1:37" customFormat="1" x14ac:dyDescent="0.25">
      <c r="A37" s="85">
        <v>2010</v>
      </c>
      <c r="B37">
        <f>AJ9</f>
        <v>4551</v>
      </c>
      <c r="C37" s="84">
        <v>54</v>
      </c>
      <c r="D37" s="93">
        <f>$B$37/D28</f>
        <v>113.77500000000001</v>
      </c>
      <c r="E37" s="77">
        <f>$B$37/E28</f>
        <v>91.02</v>
      </c>
      <c r="F37" s="77">
        <f>$B$37/F28</f>
        <v>75.849999999999994</v>
      </c>
      <c r="G37" s="94">
        <f>$B$37/G28</f>
        <v>65.01428571428572</v>
      </c>
      <c r="H37" s="86">
        <f t="shared" si="2"/>
        <v>2.1069444444444447</v>
      </c>
      <c r="I37" s="61">
        <f t="shared" si="3"/>
        <v>1.6855555555555555</v>
      </c>
      <c r="J37" s="61">
        <f t="shared" si="4"/>
        <v>1.4046296296296295</v>
      </c>
      <c r="K37" s="87">
        <f t="shared" si="5"/>
        <v>1.2039682539682541</v>
      </c>
      <c r="L37" s="86">
        <f t="shared" si="6"/>
        <v>3.0099206349206349</v>
      </c>
      <c r="M37" s="61">
        <f t="shared" si="7"/>
        <v>2.4079365079365083</v>
      </c>
      <c r="N37" s="61">
        <f t="shared" si="8"/>
        <v>2.0066137566137567</v>
      </c>
      <c r="O37" s="87">
        <f t="shared" si="9"/>
        <v>1.719954648526077</v>
      </c>
      <c r="P37" s="86">
        <f t="shared" si="10"/>
        <v>3.511574074074074</v>
      </c>
      <c r="Q37" s="61">
        <f t="shared" si="11"/>
        <v>2.8092592592592589</v>
      </c>
      <c r="R37" s="61">
        <f t="shared" si="12"/>
        <v>1.6666666666666665</v>
      </c>
      <c r="S37" s="87">
        <f t="shared" si="13"/>
        <v>2.0066137566137567</v>
      </c>
      <c r="AC37">
        <v>45</v>
      </c>
      <c r="AD37">
        <f t="shared" si="14"/>
        <v>101.13333333333334</v>
      </c>
      <c r="AE37">
        <f t="shared" si="15"/>
        <v>134.84444444444446</v>
      </c>
    </row>
    <row r="38" spans="1:37" customFormat="1" x14ac:dyDescent="0.25">
      <c r="A38" s="85">
        <v>2011</v>
      </c>
      <c r="B38">
        <v>7088</v>
      </c>
      <c r="C38" s="84">
        <v>103</v>
      </c>
      <c r="D38" s="93">
        <f>$B$38/D28</f>
        <v>177.2</v>
      </c>
      <c r="E38" s="77">
        <f>$B$38/E28</f>
        <v>141.76</v>
      </c>
      <c r="F38" s="77">
        <f>$B$38/F28</f>
        <v>118.13333333333334</v>
      </c>
      <c r="G38" s="94">
        <f>$B$38/G28</f>
        <v>101.25714285714285</v>
      </c>
      <c r="H38" s="86">
        <f t="shared" si="2"/>
        <v>1.7203883495145631</v>
      </c>
      <c r="I38" s="61">
        <f t="shared" si="3"/>
        <v>1.3763106796116504</v>
      </c>
      <c r="J38" s="61">
        <f t="shared" si="4"/>
        <v>1.1469255663430422</v>
      </c>
      <c r="K38" s="87">
        <f t="shared" si="5"/>
        <v>0.9830790568654646</v>
      </c>
      <c r="L38" s="86">
        <f t="shared" si="6"/>
        <v>2.4576976421636618</v>
      </c>
      <c r="M38" s="61">
        <f t="shared" si="7"/>
        <v>1.9661581137309294</v>
      </c>
      <c r="N38" s="61">
        <f t="shared" si="8"/>
        <v>1.6384650947757744</v>
      </c>
      <c r="O38" s="87">
        <f t="shared" si="9"/>
        <v>1.4043986526649495</v>
      </c>
      <c r="P38" s="86">
        <f t="shared" si="10"/>
        <v>2.8673139158576055</v>
      </c>
      <c r="Q38" s="61">
        <f t="shared" si="11"/>
        <v>2.2938511326860844</v>
      </c>
      <c r="R38" s="61">
        <f t="shared" si="12"/>
        <v>1.6666666666666667</v>
      </c>
      <c r="S38" s="87">
        <f t="shared" si="13"/>
        <v>1.6384650947757744</v>
      </c>
      <c r="AC38">
        <v>50</v>
      </c>
      <c r="AD38">
        <f t="shared" si="14"/>
        <v>91.02</v>
      </c>
      <c r="AE38">
        <f t="shared" si="15"/>
        <v>121.36</v>
      </c>
    </row>
    <row r="39" spans="1:37" customFormat="1" x14ac:dyDescent="0.25">
      <c r="A39" s="85">
        <v>2012</v>
      </c>
      <c r="B39">
        <f>AR11</f>
        <v>2752.5</v>
      </c>
      <c r="C39" s="84">
        <f>MAX(AQ3:AQ7)</f>
        <v>42</v>
      </c>
      <c r="D39" s="93">
        <f>$B$39/D28</f>
        <v>68.8125</v>
      </c>
      <c r="E39" s="77">
        <f>$B$39/E28</f>
        <v>55.05</v>
      </c>
      <c r="F39" s="77">
        <f>$B$39/F28</f>
        <v>45.875</v>
      </c>
      <c r="G39" s="94">
        <f>$B$39/G28</f>
        <v>39.321428571428569</v>
      </c>
      <c r="H39" s="86">
        <f t="shared" si="2"/>
        <v>1.6383928571428572</v>
      </c>
      <c r="I39" s="61">
        <f t="shared" si="3"/>
        <v>1.3107142857142857</v>
      </c>
      <c r="J39" s="61">
        <f t="shared" si="4"/>
        <v>1.0922619047619047</v>
      </c>
      <c r="K39" s="87">
        <f t="shared" si="5"/>
        <v>0.93622448979591832</v>
      </c>
      <c r="L39" s="86">
        <f t="shared" si="6"/>
        <v>2.3405612244897958</v>
      </c>
      <c r="M39" s="61">
        <f t="shared" si="7"/>
        <v>1.8724489795918369</v>
      </c>
      <c r="N39" s="61">
        <f t="shared" si="8"/>
        <v>1.560374149659864</v>
      </c>
      <c r="O39" s="87">
        <f t="shared" si="9"/>
        <v>1.337463556851312</v>
      </c>
      <c r="P39" s="86">
        <f t="shared" si="10"/>
        <v>2.7306547619047619</v>
      </c>
      <c r="Q39" s="61">
        <f t="shared" si="11"/>
        <v>2.1845238095238093</v>
      </c>
      <c r="R39" s="61">
        <f t="shared" si="12"/>
        <v>1.666666666666667</v>
      </c>
      <c r="S39" s="87">
        <f t="shared" si="13"/>
        <v>1.560374149659864</v>
      </c>
      <c r="AC39">
        <v>55</v>
      </c>
      <c r="AD39">
        <f t="shared" si="14"/>
        <v>82.74545454545455</v>
      </c>
      <c r="AE39">
        <f t="shared" si="15"/>
        <v>110.32727272727273</v>
      </c>
      <c r="AH39">
        <f>110/2</f>
        <v>55</v>
      </c>
      <c r="AI39">
        <v>4000</v>
      </c>
      <c r="AJ39">
        <f>AI39*AH39</f>
        <v>220000</v>
      </c>
      <c r="AK39">
        <f>AJ39*0.01</f>
        <v>2200</v>
      </c>
    </row>
    <row r="40" spans="1:37" customFormat="1" x14ac:dyDescent="0.25">
      <c r="A40" s="85">
        <v>2013</v>
      </c>
      <c r="B40">
        <f>AV11</f>
        <v>7461.5</v>
      </c>
      <c r="C40" s="84">
        <f>MAX(AU4:AU8)</f>
        <v>89</v>
      </c>
      <c r="D40" s="93">
        <f>$B$40/D28</f>
        <v>186.53749999999999</v>
      </c>
      <c r="E40" s="77">
        <f>$B$40/E28</f>
        <v>149.22999999999999</v>
      </c>
      <c r="F40" s="77">
        <f>$B$40/F28</f>
        <v>124.35833333333333</v>
      </c>
      <c r="G40" s="94">
        <f>$B$40/G28</f>
        <v>106.59285714285714</v>
      </c>
      <c r="H40" s="86">
        <f t="shared" si="2"/>
        <v>2.0959269662921347</v>
      </c>
      <c r="I40" s="61">
        <f t="shared" si="3"/>
        <v>1.6767415730337079</v>
      </c>
      <c r="J40" s="61">
        <f t="shared" si="4"/>
        <v>1.3972846441947566</v>
      </c>
      <c r="K40" s="87">
        <f t="shared" si="5"/>
        <v>1.1976725521669342</v>
      </c>
      <c r="L40" s="86">
        <f t="shared" si="6"/>
        <v>2.9941813804173361</v>
      </c>
      <c r="M40" s="61">
        <f t="shared" si="7"/>
        <v>2.3953451043338685</v>
      </c>
      <c r="N40" s="61">
        <f t="shared" si="8"/>
        <v>1.996120920278224</v>
      </c>
      <c r="O40" s="87">
        <f t="shared" si="9"/>
        <v>1.7109607888099063</v>
      </c>
      <c r="P40" s="86">
        <f t="shared" si="10"/>
        <v>3.4932116104868918</v>
      </c>
      <c r="Q40" s="61">
        <f t="shared" si="11"/>
        <v>2.7945692883895132</v>
      </c>
      <c r="R40" s="61">
        <f t="shared" si="12"/>
        <v>1.666666666666667</v>
      </c>
      <c r="S40" s="87">
        <f t="shared" si="13"/>
        <v>1.996120920278224</v>
      </c>
      <c r="AC40">
        <v>60</v>
      </c>
      <c r="AD40">
        <f t="shared" si="14"/>
        <v>75.849999999999994</v>
      </c>
      <c r="AE40">
        <f t="shared" si="15"/>
        <v>101.13333333333333</v>
      </c>
    </row>
    <row r="41" spans="1:37" customFormat="1" x14ac:dyDescent="0.25">
      <c r="A41" s="85">
        <v>2014</v>
      </c>
      <c r="B41">
        <f>AZ11</f>
        <v>4186</v>
      </c>
      <c r="C41" s="84">
        <f>MAX(AY3:AY7)</f>
        <v>68</v>
      </c>
      <c r="D41" s="93">
        <f>$B$41/D28</f>
        <v>104.65</v>
      </c>
      <c r="E41" s="77">
        <f>$B$41/E28</f>
        <v>83.72</v>
      </c>
      <c r="F41" s="77">
        <f>$B$41/F28</f>
        <v>69.766666666666666</v>
      </c>
      <c r="G41" s="94">
        <f>$B$41/G28</f>
        <v>59.8</v>
      </c>
      <c r="H41" s="86">
        <f t="shared" si="2"/>
        <v>1.5389705882352942</v>
      </c>
      <c r="I41" s="61">
        <f t="shared" si="3"/>
        <v>1.2311764705882353</v>
      </c>
      <c r="J41" s="61">
        <f t="shared" si="4"/>
        <v>1.0259803921568627</v>
      </c>
      <c r="K41" s="87">
        <f t="shared" si="5"/>
        <v>0.87941176470588234</v>
      </c>
      <c r="L41" s="86">
        <f t="shared" si="6"/>
        <v>2.1985294117647061</v>
      </c>
      <c r="M41" s="61">
        <f t="shared" si="7"/>
        <v>1.7588235294117647</v>
      </c>
      <c r="N41" s="61">
        <f t="shared" si="8"/>
        <v>1.465686274509804</v>
      </c>
      <c r="O41" s="87">
        <f t="shared" si="9"/>
        <v>1.2563025210084033</v>
      </c>
      <c r="P41" s="86">
        <f t="shared" si="10"/>
        <v>2.5649509803921573</v>
      </c>
      <c r="Q41" s="61">
        <f t="shared" si="11"/>
        <v>2.0519607843137253</v>
      </c>
      <c r="R41" s="61">
        <f t="shared" si="12"/>
        <v>1.6666666666666667</v>
      </c>
      <c r="S41" s="87">
        <f t="shared" si="13"/>
        <v>1.465686274509804</v>
      </c>
      <c r="AC41">
        <v>65</v>
      </c>
      <c r="AD41">
        <f t="shared" si="14"/>
        <v>70.015384615384619</v>
      </c>
      <c r="AE41">
        <f t="shared" si="15"/>
        <v>93.353846153846163</v>
      </c>
    </row>
    <row r="42" spans="1:37" customFormat="1" x14ac:dyDescent="0.25">
      <c r="A42" s="85">
        <v>2015</v>
      </c>
      <c r="B42">
        <f>BD11</f>
        <v>9130.5</v>
      </c>
      <c r="C42" s="84">
        <v>109</v>
      </c>
      <c r="D42" s="93">
        <f>$B$42/D28</f>
        <v>228.26249999999999</v>
      </c>
      <c r="E42" s="77">
        <f>$B$42/E28</f>
        <v>182.61</v>
      </c>
      <c r="F42" s="77">
        <f>$B$42/F28</f>
        <v>152.17500000000001</v>
      </c>
      <c r="G42" s="94">
        <f>$B$42/G28</f>
        <v>130.43571428571428</v>
      </c>
      <c r="H42" s="86">
        <f t="shared" si="2"/>
        <v>2.0941513761467889</v>
      </c>
      <c r="I42" s="61">
        <f t="shared" si="3"/>
        <v>1.6753211009174314</v>
      </c>
      <c r="J42" s="61">
        <f t="shared" si="4"/>
        <v>1.3961009174311927</v>
      </c>
      <c r="K42" s="87">
        <f t="shared" si="5"/>
        <v>1.1966579292267365</v>
      </c>
      <c r="L42" s="86">
        <f t="shared" si="6"/>
        <v>2.9916448230668413</v>
      </c>
      <c r="M42" s="61">
        <f t="shared" si="7"/>
        <v>2.3933158584534731</v>
      </c>
      <c r="N42" s="61">
        <f t="shared" si="8"/>
        <v>1.9944298820445612</v>
      </c>
      <c r="O42" s="87">
        <f t="shared" si="9"/>
        <v>1.7095113274667666</v>
      </c>
      <c r="P42" s="86">
        <f t="shared" si="10"/>
        <v>3.4902522935779818</v>
      </c>
      <c r="Q42" s="61">
        <f t="shared" si="11"/>
        <v>2.7922018348623854</v>
      </c>
      <c r="R42" s="61">
        <f t="shared" si="12"/>
        <v>1.666666666666667</v>
      </c>
      <c r="S42" s="87">
        <f t="shared" si="13"/>
        <v>1.994429882044561</v>
      </c>
      <c r="AK42">
        <f>AK39*0.06</f>
        <v>132</v>
      </c>
    </row>
    <row r="43" spans="1:37" customFormat="1" x14ac:dyDescent="0.25">
      <c r="A43" s="85">
        <v>2016</v>
      </c>
      <c r="B43">
        <f>BH11</f>
        <v>7500</v>
      </c>
      <c r="C43" s="84">
        <f>BG6</f>
        <v>96</v>
      </c>
      <c r="D43" s="93">
        <f>$B$43/D28</f>
        <v>187.5</v>
      </c>
      <c r="E43" s="77">
        <f>$B$43/E28</f>
        <v>150</v>
      </c>
      <c r="F43" s="77">
        <f>$B$43/F28</f>
        <v>125</v>
      </c>
      <c r="G43" s="94">
        <f>$B$43/G28</f>
        <v>107.14285714285714</v>
      </c>
      <c r="H43" s="86">
        <f t="shared" si="2"/>
        <v>1.953125</v>
      </c>
      <c r="I43" s="61">
        <f t="shared" si="3"/>
        <v>1.5625</v>
      </c>
      <c r="J43" s="61">
        <f t="shared" si="4"/>
        <v>1.3020833333333333</v>
      </c>
      <c r="K43" s="87">
        <f t="shared" si="5"/>
        <v>1.1160714285714286</v>
      </c>
      <c r="L43" s="86">
        <f t="shared" si="6"/>
        <v>2.7901785714285716</v>
      </c>
      <c r="M43" s="61">
        <f t="shared" si="7"/>
        <v>2.2321428571428572</v>
      </c>
      <c r="N43" s="61">
        <f t="shared" si="8"/>
        <v>1.8601190476190477</v>
      </c>
      <c r="O43" s="87">
        <f t="shared" si="9"/>
        <v>1.5943877551020409</v>
      </c>
      <c r="P43" s="86">
        <f t="shared" si="10"/>
        <v>3.2552083333333335</v>
      </c>
      <c r="Q43" s="61">
        <f t="shared" si="11"/>
        <v>2.6041666666666665</v>
      </c>
      <c r="R43" s="61">
        <f t="shared" si="12"/>
        <v>1.6666666666666667</v>
      </c>
      <c r="S43" s="87">
        <f t="shared" si="13"/>
        <v>1.8601190476190477</v>
      </c>
    </row>
    <row r="44" spans="1:37" customFormat="1" x14ac:dyDescent="0.25">
      <c r="A44" s="85"/>
      <c r="C44" s="84"/>
      <c r="D44" s="85"/>
      <c r="G44" s="84"/>
      <c r="H44" s="85"/>
      <c r="I44" s="61"/>
      <c r="J44" s="61"/>
      <c r="K44" s="87"/>
      <c r="L44" s="86"/>
      <c r="M44" s="61"/>
      <c r="N44" s="61"/>
      <c r="O44" s="87"/>
      <c r="P44" s="86"/>
      <c r="Q44" s="61"/>
      <c r="R44" s="61"/>
      <c r="S44" s="87"/>
    </row>
    <row r="45" spans="1:37" customFormat="1" x14ac:dyDescent="0.25">
      <c r="A45" s="100"/>
      <c r="B45" s="96"/>
      <c r="C45" s="97"/>
      <c r="D45" s="95"/>
      <c r="E45" s="96"/>
      <c r="F45" s="96"/>
      <c r="G45" s="97"/>
      <c r="H45" s="88">
        <f t="shared" ref="H45:S45" si="16">AVERAGE(H29:H43)</f>
        <v>1.8812220110720281</v>
      </c>
      <c r="I45" s="89">
        <f t="shared" si="16"/>
        <v>1.5049776088576223</v>
      </c>
      <c r="J45" s="89">
        <f t="shared" si="16"/>
        <v>1.2541480073813516</v>
      </c>
      <c r="K45" s="90">
        <f t="shared" si="16"/>
        <v>1.074984006326873</v>
      </c>
      <c r="L45" s="88">
        <f t="shared" si="16"/>
        <v>2.687460015817182</v>
      </c>
      <c r="M45" s="89">
        <f t="shared" si="16"/>
        <v>2.1499680126537459</v>
      </c>
      <c r="N45" s="89">
        <f t="shared" si="16"/>
        <v>1.7916400105447883</v>
      </c>
      <c r="O45" s="90">
        <f t="shared" si="16"/>
        <v>1.5356914376098187</v>
      </c>
      <c r="P45" s="88">
        <f t="shared" si="16"/>
        <v>3.1353700184533793</v>
      </c>
      <c r="Q45" s="89">
        <f t="shared" si="16"/>
        <v>2.5082960147627031</v>
      </c>
      <c r="R45" s="89">
        <f t="shared" si="16"/>
        <v>1.6889523084728566</v>
      </c>
      <c r="S45" s="90">
        <f t="shared" si="16"/>
        <v>1.7916400105447883</v>
      </c>
    </row>
  </sheetData>
  <phoneticPr fontId="2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57"/>
  <sheetViews>
    <sheetView topLeftCell="F20" zoomScale="75" workbookViewId="0">
      <selection activeCell="N32" sqref="N32"/>
    </sheetView>
  </sheetViews>
  <sheetFormatPr defaultColWidth="8.6640625" defaultRowHeight="13.2" x14ac:dyDescent="0.25"/>
  <cols>
    <col min="1" max="1" width="29.109375" bestFit="1" customWidth="1"/>
    <col min="2" max="2" width="15.6640625" customWidth="1"/>
    <col min="3" max="4" width="15.109375" customWidth="1"/>
    <col min="5" max="5" width="22.33203125" customWidth="1"/>
    <col min="6" max="6" width="11.6640625" customWidth="1"/>
    <col min="7" max="7" width="7.109375" bestFit="1" customWidth="1"/>
    <col min="8" max="8" width="64.44140625" customWidth="1"/>
    <col min="9" max="9" width="10.6640625" bestFit="1" customWidth="1"/>
    <col min="10" max="10" width="16" hidden="1" customWidth="1"/>
    <col min="11" max="11" width="2.6640625" customWidth="1"/>
    <col min="15" max="15" width="12.33203125" bestFit="1" customWidth="1"/>
  </cols>
  <sheetData>
    <row r="2" spans="1:24" ht="15" x14ac:dyDescent="0.25">
      <c r="Q2" s="7" t="s">
        <v>12</v>
      </c>
    </row>
    <row r="3" spans="1:24" ht="16.2" thickBot="1" x14ac:dyDescent="0.35">
      <c r="A3" s="3" t="s">
        <v>9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  <c r="M3" t="s">
        <v>10</v>
      </c>
      <c r="N3" t="s">
        <v>11</v>
      </c>
      <c r="O3" t="s">
        <v>115</v>
      </c>
      <c r="P3" t="s">
        <v>114</v>
      </c>
      <c r="Q3" t="s">
        <v>69</v>
      </c>
      <c r="R3" t="s">
        <v>70</v>
      </c>
      <c r="S3" t="s">
        <v>71</v>
      </c>
      <c r="T3" t="s">
        <v>72</v>
      </c>
      <c r="V3" t="s">
        <v>73</v>
      </c>
      <c r="X3" s="57"/>
    </row>
    <row r="4" spans="1:24" ht="16.8" thickTop="1" thickBot="1" x14ac:dyDescent="0.35">
      <c r="A4" s="8" t="s">
        <v>13</v>
      </c>
      <c r="B4" s="9" t="s">
        <v>14</v>
      </c>
      <c r="C4" s="10" t="s">
        <v>15</v>
      </c>
      <c r="D4" s="9" t="s">
        <v>16</v>
      </c>
      <c r="E4" s="10" t="s">
        <v>17</v>
      </c>
      <c r="F4" s="9" t="s">
        <v>18</v>
      </c>
      <c r="G4" s="420" t="s">
        <v>19</v>
      </c>
      <c r="H4" s="421"/>
      <c r="I4" s="11" t="s">
        <v>20</v>
      </c>
      <c r="J4" s="12" t="s">
        <v>21</v>
      </c>
      <c r="K4" s="13"/>
      <c r="L4" s="6"/>
      <c r="M4">
        <v>1985</v>
      </c>
      <c r="N4">
        <v>31.4</v>
      </c>
      <c r="Q4" s="57">
        <v>25.298098614244278</v>
      </c>
      <c r="R4">
        <f>15*N4</f>
        <v>471</v>
      </c>
      <c r="S4">
        <f>R4/0.75</f>
        <v>628</v>
      </c>
      <c r="T4">
        <f t="shared" ref="T4:T11" si="0">S4/U4</f>
        <v>2482.4</v>
      </c>
      <c r="U4">
        <f t="shared" ref="U4:U15" si="1">Q4/100</f>
        <v>0.2529809861424428</v>
      </c>
      <c r="V4">
        <f>2600*U4</f>
        <v>657.75056397035132</v>
      </c>
      <c r="X4" s="57"/>
    </row>
    <row r="5" spans="1:24" ht="15.6" x14ac:dyDescent="0.3">
      <c r="A5" s="14">
        <v>38797</v>
      </c>
      <c r="B5" s="15"/>
      <c r="C5" s="4">
        <v>32</v>
      </c>
      <c r="D5" s="15">
        <v>17</v>
      </c>
      <c r="E5" s="4"/>
      <c r="F5" s="15">
        <v>59</v>
      </c>
      <c r="G5" s="16">
        <v>8.8000000000000007</v>
      </c>
      <c r="H5" s="7" t="s">
        <v>12</v>
      </c>
      <c r="I5" s="17">
        <f>(C5+D5)/8.8</f>
        <v>5.5681818181818175</v>
      </c>
      <c r="J5" s="18"/>
      <c r="K5" s="13"/>
      <c r="L5" s="6"/>
      <c r="M5">
        <v>1991</v>
      </c>
      <c r="N5">
        <f>42/8.2</f>
        <v>5.1219512195121952</v>
      </c>
      <c r="Q5" s="57">
        <v>3.5526859423163701</v>
      </c>
      <c r="R5">
        <f>8.2*N5/0.58</f>
        <v>72.413793103448285</v>
      </c>
      <c r="S5">
        <f t="shared" ref="S5:S19" si="2">R5/0.75</f>
        <v>96.551724137931046</v>
      </c>
      <c r="T5">
        <f t="shared" si="0"/>
        <v>2717.7106478198525</v>
      </c>
      <c r="U5">
        <f t="shared" si="1"/>
        <v>3.5526859423163699E-2</v>
      </c>
      <c r="V5">
        <f t="shared" ref="V5:V16" si="3">2600*U5</f>
        <v>92.369834500225622</v>
      </c>
      <c r="X5" s="57"/>
    </row>
    <row r="6" spans="1:24" ht="15.6" x14ac:dyDescent="0.3">
      <c r="A6" s="14">
        <v>38796</v>
      </c>
      <c r="B6" s="15">
        <v>10</v>
      </c>
      <c r="C6" s="4"/>
      <c r="D6" s="15"/>
      <c r="E6" s="4"/>
      <c r="F6" s="15"/>
      <c r="G6" s="16">
        <v>6.2</v>
      </c>
      <c r="H6" s="7" t="s">
        <v>22</v>
      </c>
      <c r="I6" s="17">
        <f>B6/6.2</f>
        <v>1.6129032258064515</v>
      </c>
      <c r="J6" s="18"/>
      <c r="K6" s="13"/>
      <c r="L6" s="6"/>
      <c r="M6">
        <v>1992</v>
      </c>
      <c r="N6">
        <f>83/8.2</f>
        <v>10.121951219512196</v>
      </c>
      <c r="Q6" s="57">
        <v>3.0109653043693219</v>
      </c>
      <c r="R6">
        <f t="shared" ref="R6:R11" si="4">8.2*N6/0.58</f>
        <v>143.10344827586209</v>
      </c>
      <c r="S6">
        <f t="shared" si="2"/>
        <v>190.80459770114945</v>
      </c>
      <c r="T6">
        <f t="shared" si="0"/>
        <v>6336.9909119931044</v>
      </c>
      <c r="U6">
        <f t="shared" si="1"/>
        <v>3.0109653043693219E-2</v>
      </c>
      <c r="V6">
        <f t="shared" si="3"/>
        <v>78.285097913602371</v>
      </c>
      <c r="X6" s="57"/>
    </row>
    <row r="7" spans="1:24" ht="15.6" x14ac:dyDescent="0.3">
      <c r="A7" s="14">
        <v>38419</v>
      </c>
      <c r="B7" s="15"/>
      <c r="C7" s="4">
        <v>18</v>
      </c>
      <c r="D7" s="15">
        <v>3</v>
      </c>
      <c r="E7" s="4"/>
      <c r="F7" s="15">
        <v>32</v>
      </c>
      <c r="G7" s="16">
        <v>8.8000000000000007</v>
      </c>
      <c r="H7" s="7" t="s">
        <v>12</v>
      </c>
      <c r="I7" s="19">
        <f>(C7+D7)/8.8</f>
        <v>2.3863636363636362</v>
      </c>
      <c r="J7" s="18"/>
      <c r="K7" s="13"/>
      <c r="L7" s="6"/>
      <c r="M7">
        <v>1994</v>
      </c>
      <c r="N7">
        <f>17/8.2</f>
        <v>2.0731707317073171</v>
      </c>
      <c r="Q7" s="57">
        <v>2.6400704018773831</v>
      </c>
      <c r="R7">
        <f t="shared" si="4"/>
        <v>29.31034482758621</v>
      </c>
      <c r="S7">
        <f t="shared" si="2"/>
        <v>39.080459770114949</v>
      </c>
      <c r="T7">
        <f t="shared" si="0"/>
        <v>1480.2809706257988</v>
      </c>
      <c r="U7">
        <f t="shared" si="1"/>
        <v>2.640070401877383E-2</v>
      </c>
      <c r="V7">
        <f t="shared" si="3"/>
        <v>68.641830448811959</v>
      </c>
      <c r="X7" s="57"/>
    </row>
    <row r="8" spans="1:24" ht="15.6" x14ac:dyDescent="0.3">
      <c r="A8" s="14">
        <v>38418</v>
      </c>
      <c r="B8" s="15">
        <v>10</v>
      </c>
      <c r="C8" s="4"/>
      <c r="D8" s="15"/>
      <c r="E8" s="4"/>
      <c r="F8" s="15"/>
      <c r="G8" s="16">
        <v>6.2</v>
      </c>
      <c r="H8" s="7" t="s">
        <v>22</v>
      </c>
      <c r="I8" s="19">
        <f>B8/6.2</f>
        <v>1.6129032258064515</v>
      </c>
      <c r="J8" s="18"/>
      <c r="K8" s="13"/>
      <c r="L8" s="6"/>
      <c r="M8">
        <v>1995</v>
      </c>
      <c r="N8">
        <f>36/8.2</f>
        <v>4.3902439024390247</v>
      </c>
      <c r="Q8" s="57">
        <v>3.990450204638472</v>
      </c>
      <c r="R8">
        <f t="shared" si="4"/>
        <v>62.068965517241381</v>
      </c>
      <c r="S8">
        <f t="shared" si="2"/>
        <v>82.758620689655174</v>
      </c>
      <c r="T8">
        <f t="shared" si="0"/>
        <v>2073.9168877099914</v>
      </c>
      <c r="U8">
        <f t="shared" si="1"/>
        <v>3.9904502046384717E-2</v>
      </c>
      <c r="V8">
        <f t="shared" si="3"/>
        <v>103.75170532060027</v>
      </c>
      <c r="X8" s="57"/>
    </row>
    <row r="9" spans="1:24" ht="15.6" x14ac:dyDescent="0.3">
      <c r="A9" s="14">
        <v>38069</v>
      </c>
      <c r="B9" s="15"/>
      <c r="C9" s="4">
        <v>20</v>
      </c>
      <c r="D9" s="15">
        <v>1</v>
      </c>
      <c r="E9" s="4"/>
      <c r="F9" s="15">
        <v>24</v>
      </c>
      <c r="G9" s="16">
        <v>8.8000000000000007</v>
      </c>
      <c r="H9" s="7" t="s">
        <v>12</v>
      </c>
      <c r="I9" s="17">
        <f>(C9+D9)/8.8</f>
        <v>2.3863636363636362</v>
      </c>
      <c r="J9" s="18"/>
      <c r="K9" s="13"/>
      <c r="L9" s="6"/>
      <c r="M9">
        <v>1996</v>
      </c>
      <c r="N9">
        <f>30/8.2</f>
        <v>3.6585365853658538</v>
      </c>
      <c r="Q9" s="57">
        <v>2.3684210526315788</v>
      </c>
      <c r="R9">
        <f t="shared" si="4"/>
        <v>51.724137931034484</v>
      </c>
      <c r="S9">
        <f t="shared" si="2"/>
        <v>68.965517241379317</v>
      </c>
      <c r="T9">
        <f t="shared" si="0"/>
        <v>2911.8773946360161</v>
      </c>
      <c r="U9">
        <f t="shared" si="1"/>
        <v>2.3684210526315787E-2</v>
      </c>
      <c r="V9">
        <f t="shared" si="3"/>
        <v>61.578947368421048</v>
      </c>
      <c r="X9" s="57"/>
    </row>
    <row r="10" spans="1:24" ht="15.6" x14ac:dyDescent="0.3">
      <c r="A10" s="14">
        <v>38068</v>
      </c>
      <c r="B10" s="15">
        <v>0</v>
      </c>
      <c r="C10" s="4"/>
      <c r="D10" s="15"/>
      <c r="E10" s="4"/>
      <c r="F10" s="15"/>
      <c r="G10" s="16">
        <v>6.2</v>
      </c>
      <c r="H10" s="7" t="s">
        <v>22</v>
      </c>
      <c r="I10" s="17">
        <f>B10/6.2</f>
        <v>0</v>
      </c>
      <c r="J10" s="18"/>
      <c r="K10" s="13"/>
      <c r="L10" s="6"/>
      <c r="M10">
        <v>1999</v>
      </c>
      <c r="N10">
        <f>17/8.2</f>
        <v>2.0731707317073171</v>
      </c>
      <c r="Q10" s="57">
        <v>4.5211473018959651</v>
      </c>
      <c r="R10">
        <f t="shared" si="4"/>
        <v>29.31034482758621</v>
      </c>
      <c r="S10">
        <f t="shared" si="2"/>
        <v>39.080459770114949</v>
      </c>
      <c r="T10">
        <f t="shared" si="0"/>
        <v>864.39253491533816</v>
      </c>
      <c r="U10">
        <f t="shared" si="1"/>
        <v>4.5211473018959648E-2</v>
      </c>
      <c r="V10">
        <f t="shared" si="3"/>
        <v>117.54982984929508</v>
      </c>
      <c r="X10" s="57"/>
    </row>
    <row r="11" spans="1:24" ht="15.6" x14ac:dyDescent="0.3">
      <c r="A11" s="14">
        <v>37687</v>
      </c>
      <c r="B11" s="15"/>
      <c r="C11" s="4">
        <v>13</v>
      </c>
      <c r="D11" s="15">
        <v>6</v>
      </c>
      <c r="E11" s="4"/>
      <c r="F11" s="15">
        <v>21</v>
      </c>
      <c r="G11" s="16">
        <v>8.8000000000000007</v>
      </c>
      <c r="H11" s="7" t="s">
        <v>12</v>
      </c>
      <c r="I11" s="19">
        <f>(C11+D11)/8.8</f>
        <v>2.1590909090909087</v>
      </c>
      <c r="J11" s="18"/>
      <c r="K11" s="13"/>
      <c r="L11" s="6"/>
      <c r="M11">
        <v>2001</v>
      </c>
      <c r="N11">
        <f>66/8.2</f>
        <v>8.0487804878048781</v>
      </c>
      <c r="Q11" s="58">
        <v>2.2388059701492535</v>
      </c>
      <c r="R11">
        <f t="shared" si="4"/>
        <v>113.79310344827587</v>
      </c>
      <c r="S11">
        <f t="shared" si="2"/>
        <v>151.72413793103451</v>
      </c>
      <c r="T11">
        <f t="shared" si="0"/>
        <v>6777.0114942528753</v>
      </c>
      <c r="U11">
        <f t="shared" si="1"/>
        <v>2.2388059701492536E-2</v>
      </c>
      <c r="V11">
        <f t="shared" si="3"/>
        <v>58.208955223880594</v>
      </c>
    </row>
    <row r="12" spans="1:24" ht="15.6" x14ac:dyDescent="0.3">
      <c r="A12" s="14">
        <v>37686</v>
      </c>
      <c r="B12" s="15">
        <v>2</v>
      </c>
      <c r="C12" s="4"/>
      <c r="D12" s="15"/>
      <c r="E12" s="4">
        <v>0</v>
      </c>
      <c r="F12" s="15"/>
      <c r="G12" s="16">
        <v>6.2</v>
      </c>
      <c r="H12" s="7" t="s">
        <v>22</v>
      </c>
      <c r="I12" s="19">
        <f>B12/6.2</f>
        <v>0.32258064516129031</v>
      </c>
      <c r="J12" s="18"/>
      <c r="K12" s="13"/>
      <c r="L12" s="6"/>
      <c r="M12">
        <v>2002</v>
      </c>
      <c r="N12">
        <f>39/8.8</f>
        <v>4.4318181818181817</v>
      </c>
      <c r="O12">
        <v>50</v>
      </c>
      <c r="P12">
        <v>73</v>
      </c>
      <c r="R12">
        <f t="shared" ref="R12:R19" si="5">8.8*N12/0.58</f>
        <v>67.241379310344826</v>
      </c>
      <c r="S12">
        <f t="shared" si="2"/>
        <v>89.655172413793096</v>
      </c>
      <c r="T12" t="e">
        <f>S12/U12</f>
        <v>#DIV/0!</v>
      </c>
      <c r="U12">
        <f t="shared" si="1"/>
        <v>0</v>
      </c>
      <c r="V12">
        <f t="shared" si="3"/>
        <v>0</v>
      </c>
      <c r="X12" s="57"/>
    </row>
    <row r="13" spans="1:24" ht="15" x14ac:dyDescent="0.25">
      <c r="A13" s="20" t="s">
        <v>23</v>
      </c>
      <c r="B13" s="21"/>
      <c r="C13" s="22"/>
      <c r="D13" s="21"/>
      <c r="E13" s="22">
        <v>0</v>
      </c>
      <c r="F13" s="21">
        <f t="shared" ref="F13:F44" si="6">SUM(B13:E13)</f>
        <v>0</v>
      </c>
      <c r="G13" s="23">
        <v>4.5</v>
      </c>
      <c r="H13" s="24" t="s">
        <v>24</v>
      </c>
      <c r="I13" s="25">
        <f t="shared" ref="I13:I44" si="7">F13/G13</f>
        <v>0</v>
      </c>
      <c r="J13" s="26">
        <v>5</v>
      </c>
      <c r="K13" s="6"/>
      <c r="L13" s="6"/>
      <c r="M13">
        <v>2003</v>
      </c>
      <c r="N13">
        <v>2.16</v>
      </c>
      <c r="O13">
        <v>21</v>
      </c>
      <c r="P13">
        <v>50</v>
      </c>
      <c r="R13">
        <f t="shared" si="5"/>
        <v>32.772413793103453</v>
      </c>
      <c r="S13">
        <f t="shared" si="2"/>
        <v>43.69655172413794</v>
      </c>
      <c r="T13" t="e">
        <f>S13/U13</f>
        <v>#DIV/0!</v>
      </c>
      <c r="U13">
        <f t="shared" si="1"/>
        <v>0</v>
      </c>
      <c r="V13">
        <f t="shared" si="3"/>
        <v>0</v>
      </c>
      <c r="X13" s="57"/>
    </row>
    <row r="14" spans="1:24" ht="15" x14ac:dyDescent="0.25">
      <c r="A14" s="20" t="s">
        <v>25</v>
      </c>
      <c r="B14" s="21"/>
      <c r="C14" s="22"/>
      <c r="D14" s="21">
        <v>9</v>
      </c>
      <c r="E14" s="22"/>
      <c r="F14" s="21">
        <f t="shared" si="6"/>
        <v>9</v>
      </c>
      <c r="G14" s="23">
        <v>4.2</v>
      </c>
      <c r="H14" s="24" t="s">
        <v>26</v>
      </c>
      <c r="I14" s="25">
        <f t="shared" si="7"/>
        <v>2.1428571428571428</v>
      </c>
      <c r="J14" s="26">
        <v>3</v>
      </c>
      <c r="K14" s="6"/>
      <c r="L14" s="6"/>
      <c r="M14">
        <v>2004</v>
      </c>
      <c r="N14">
        <v>2.39</v>
      </c>
      <c r="O14">
        <v>24</v>
      </c>
      <c r="P14">
        <v>45</v>
      </c>
      <c r="R14">
        <f t="shared" si="5"/>
        <v>36.262068965517251</v>
      </c>
      <c r="S14">
        <f t="shared" si="2"/>
        <v>48.349425287356333</v>
      </c>
      <c r="T14" t="e">
        <f>S14/U14</f>
        <v>#DIV/0!</v>
      </c>
      <c r="U14">
        <f t="shared" si="1"/>
        <v>0</v>
      </c>
      <c r="V14">
        <f t="shared" si="3"/>
        <v>0</v>
      </c>
      <c r="X14" s="57"/>
    </row>
    <row r="15" spans="1:24" ht="15" x14ac:dyDescent="0.25">
      <c r="A15" s="27" t="s">
        <v>27</v>
      </c>
      <c r="B15" s="15"/>
      <c r="C15" s="4">
        <v>30</v>
      </c>
      <c r="D15" s="15"/>
      <c r="E15" s="4"/>
      <c r="F15" s="15">
        <f t="shared" si="6"/>
        <v>30</v>
      </c>
      <c r="G15" s="16">
        <v>4.5999999999999996</v>
      </c>
      <c r="H15" s="7" t="s">
        <v>28</v>
      </c>
      <c r="I15" s="19">
        <f t="shared" si="7"/>
        <v>6.5217391304347831</v>
      </c>
      <c r="J15" s="28">
        <v>3</v>
      </c>
      <c r="K15" s="6"/>
      <c r="L15" s="6"/>
      <c r="M15">
        <v>2005</v>
      </c>
      <c r="N15">
        <v>2.39</v>
      </c>
      <c r="O15">
        <v>32</v>
      </c>
      <c r="P15">
        <v>61</v>
      </c>
      <c r="R15">
        <f t="shared" si="5"/>
        <v>36.262068965517251</v>
      </c>
      <c r="S15">
        <f t="shared" si="2"/>
        <v>48.349425287356333</v>
      </c>
      <c r="T15" t="e">
        <f>S15/U15</f>
        <v>#DIV/0!</v>
      </c>
      <c r="U15">
        <f t="shared" si="1"/>
        <v>0</v>
      </c>
      <c r="V15">
        <f t="shared" si="3"/>
        <v>0</v>
      </c>
      <c r="X15" s="57"/>
    </row>
    <row r="16" spans="1:24" ht="15" x14ac:dyDescent="0.25">
      <c r="A16" s="27" t="s">
        <v>27</v>
      </c>
      <c r="B16" s="15">
        <v>11</v>
      </c>
      <c r="C16" s="4"/>
      <c r="D16" s="15"/>
      <c r="E16" s="4"/>
      <c r="F16" s="15">
        <f t="shared" si="6"/>
        <v>11</v>
      </c>
      <c r="G16" s="16">
        <v>6.2</v>
      </c>
      <c r="H16" s="7" t="s">
        <v>22</v>
      </c>
      <c r="I16" s="19">
        <f t="shared" si="7"/>
        <v>1.7741935483870968</v>
      </c>
      <c r="J16" s="28">
        <v>8</v>
      </c>
      <c r="K16" s="6"/>
      <c r="L16" s="6"/>
      <c r="M16">
        <v>2006</v>
      </c>
      <c r="N16">
        <v>5.57</v>
      </c>
      <c r="O16">
        <v>59</v>
      </c>
      <c r="P16">
        <v>62</v>
      </c>
      <c r="R16">
        <f t="shared" si="5"/>
        <v>84.510344827586223</v>
      </c>
      <c r="S16">
        <f t="shared" si="2"/>
        <v>112.68045977011496</v>
      </c>
      <c r="T16">
        <f>S16/U16</f>
        <v>1878.0076628352494</v>
      </c>
      <c r="U16">
        <v>0.06</v>
      </c>
      <c r="V16">
        <f t="shared" si="3"/>
        <v>156</v>
      </c>
      <c r="X16" s="57"/>
    </row>
    <row r="17" spans="1:24" ht="15" x14ac:dyDescent="0.25">
      <c r="A17" s="20" t="s">
        <v>29</v>
      </c>
      <c r="B17" s="21"/>
      <c r="C17" s="22"/>
      <c r="D17" s="21"/>
      <c r="E17" s="22">
        <v>0</v>
      </c>
      <c r="F17" s="21">
        <f t="shared" si="6"/>
        <v>0</v>
      </c>
      <c r="G17" s="23">
        <v>4.5</v>
      </c>
      <c r="H17" s="24" t="s">
        <v>24</v>
      </c>
      <c r="I17" s="25">
        <f t="shared" si="7"/>
        <v>0</v>
      </c>
      <c r="J17" s="26">
        <v>5</v>
      </c>
      <c r="K17" s="6"/>
      <c r="L17" s="6"/>
      <c r="M17">
        <v>2007</v>
      </c>
      <c r="N17">
        <f>35/8.2</f>
        <v>4.2682926829268295</v>
      </c>
      <c r="O17">
        <v>50</v>
      </c>
      <c r="P17">
        <v>60</v>
      </c>
      <c r="R17">
        <f t="shared" si="5"/>
        <v>64.760302775441573</v>
      </c>
      <c r="S17">
        <f t="shared" si="2"/>
        <v>86.347070367255427</v>
      </c>
    </row>
    <row r="18" spans="1:24" ht="15" x14ac:dyDescent="0.25">
      <c r="A18" s="20" t="s">
        <v>30</v>
      </c>
      <c r="B18" s="21"/>
      <c r="C18" s="22"/>
      <c r="D18" s="21">
        <v>11</v>
      </c>
      <c r="E18" s="22"/>
      <c r="F18" s="21">
        <f t="shared" si="6"/>
        <v>11</v>
      </c>
      <c r="G18" s="23">
        <v>4.2</v>
      </c>
      <c r="H18" s="24" t="s">
        <v>26</v>
      </c>
      <c r="I18" s="25">
        <f t="shared" si="7"/>
        <v>2.6190476190476191</v>
      </c>
      <c r="J18" s="26">
        <v>4</v>
      </c>
      <c r="K18" s="6"/>
      <c r="L18" s="6"/>
      <c r="M18">
        <v>2008</v>
      </c>
      <c r="N18">
        <f>17/8.2</f>
        <v>2.0731707317073171</v>
      </c>
      <c r="O18">
        <v>18</v>
      </c>
      <c r="P18">
        <v>18</v>
      </c>
      <c r="R18">
        <f t="shared" si="5"/>
        <v>31.455004205214472</v>
      </c>
      <c r="S18">
        <f t="shared" si="2"/>
        <v>41.940005606952631</v>
      </c>
    </row>
    <row r="19" spans="1:24" ht="15" x14ac:dyDescent="0.25">
      <c r="A19" s="27" t="s">
        <v>30</v>
      </c>
      <c r="B19" s="15"/>
      <c r="C19" s="4">
        <v>29</v>
      </c>
      <c r="D19" s="15"/>
      <c r="E19" s="4"/>
      <c r="F19" s="15">
        <f t="shared" si="6"/>
        <v>29</v>
      </c>
      <c r="G19" s="16">
        <v>4.5999999999999996</v>
      </c>
      <c r="H19" s="7" t="s">
        <v>28</v>
      </c>
      <c r="I19" s="19">
        <f t="shared" si="7"/>
        <v>6.304347826086957</v>
      </c>
      <c r="J19" s="28">
        <v>4</v>
      </c>
      <c r="K19" s="6"/>
      <c r="L19" s="6"/>
      <c r="M19">
        <v>2009</v>
      </c>
      <c r="N19">
        <f>19/8.2</f>
        <v>2.3170731707317076</v>
      </c>
      <c r="O19">
        <v>24</v>
      </c>
      <c r="R19">
        <f t="shared" si="5"/>
        <v>35.155592935239703</v>
      </c>
      <c r="S19">
        <f t="shared" si="2"/>
        <v>46.874123913652937</v>
      </c>
      <c r="X19" s="57"/>
    </row>
    <row r="20" spans="1:24" ht="15" x14ac:dyDescent="0.25">
      <c r="A20" s="27" t="s">
        <v>31</v>
      </c>
      <c r="B20" s="15">
        <v>6</v>
      </c>
      <c r="C20" s="4"/>
      <c r="D20" s="15"/>
      <c r="E20" s="4"/>
      <c r="F20" s="15">
        <f t="shared" si="6"/>
        <v>6</v>
      </c>
      <c r="G20" s="16">
        <v>6.2</v>
      </c>
      <c r="H20" s="7" t="s">
        <v>22</v>
      </c>
      <c r="I20" s="19">
        <f t="shared" si="7"/>
        <v>0.96774193548387089</v>
      </c>
      <c r="J20" s="28">
        <v>8</v>
      </c>
      <c r="K20" s="6"/>
      <c r="L20" s="6"/>
    </row>
    <row r="21" spans="1:24" ht="15.6" thickBot="1" x14ac:dyDescent="0.3">
      <c r="A21" s="20" t="s">
        <v>32</v>
      </c>
      <c r="B21" s="21"/>
      <c r="C21" s="22">
        <v>12</v>
      </c>
      <c r="D21" s="21"/>
      <c r="E21" s="22"/>
      <c r="F21" s="21">
        <f t="shared" si="6"/>
        <v>12</v>
      </c>
      <c r="G21" s="23">
        <v>3.22</v>
      </c>
      <c r="H21" s="24" t="s">
        <v>33</v>
      </c>
      <c r="I21" s="25">
        <f t="shared" si="7"/>
        <v>3.7267080745341614</v>
      </c>
      <c r="J21" s="26">
        <v>5</v>
      </c>
      <c r="K21" s="6"/>
      <c r="L21" s="6"/>
    </row>
    <row r="22" spans="1:24" ht="15.6" thickBot="1" x14ac:dyDescent="0.3">
      <c r="A22" s="20" t="s">
        <v>32</v>
      </c>
      <c r="B22" s="21"/>
      <c r="C22" s="400">
        <v>54</v>
      </c>
      <c r="D22" s="401"/>
      <c r="E22" s="22"/>
      <c r="F22" s="21">
        <f t="shared" si="6"/>
        <v>54</v>
      </c>
      <c r="G22" s="23">
        <v>5</v>
      </c>
      <c r="H22" s="24" t="s">
        <v>34</v>
      </c>
      <c r="I22" s="25">
        <f t="shared" si="7"/>
        <v>10.8</v>
      </c>
      <c r="J22" s="26">
        <v>5</v>
      </c>
      <c r="K22" s="6"/>
      <c r="L22" s="6"/>
    </row>
    <row r="23" spans="1:24" ht="15.6" thickBot="1" x14ac:dyDescent="0.3">
      <c r="A23" s="27" t="s">
        <v>35</v>
      </c>
      <c r="B23" s="15"/>
      <c r="C23" s="402">
        <v>7</v>
      </c>
      <c r="D23" s="404"/>
      <c r="E23" s="4"/>
      <c r="F23" s="15">
        <f t="shared" si="6"/>
        <v>7</v>
      </c>
      <c r="G23" s="16">
        <v>4.18</v>
      </c>
      <c r="H23" s="7" t="s">
        <v>36</v>
      </c>
      <c r="I23" s="19">
        <f t="shared" si="7"/>
        <v>1.6746411483253589</v>
      </c>
      <c r="J23" s="28">
        <v>3.5</v>
      </c>
      <c r="K23" s="6"/>
      <c r="L23" s="6"/>
      <c r="X23" s="57"/>
    </row>
    <row r="24" spans="1:24" ht="15" x14ac:dyDescent="0.25">
      <c r="A24" s="27" t="s">
        <v>37</v>
      </c>
      <c r="B24" s="31"/>
      <c r="C24" s="32">
        <v>7</v>
      </c>
      <c r="D24" s="32"/>
      <c r="E24" s="4"/>
      <c r="F24" s="15">
        <f t="shared" si="6"/>
        <v>7</v>
      </c>
      <c r="G24" s="16">
        <v>4</v>
      </c>
      <c r="H24" s="7" t="s">
        <v>38</v>
      </c>
      <c r="I24" s="19">
        <f t="shared" si="7"/>
        <v>1.75</v>
      </c>
      <c r="J24" s="28">
        <v>3</v>
      </c>
      <c r="K24" s="6"/>
      <c r="L24" s="6"/>
      <c r="M24" t="s">
        <v>75</v>
      </c>
      <c r="N24">
        <v>13.04</v>
      </c>
      <c r="O24" s="74">
        <v>30063</v>
      </c>
      <c r="P24" t="s">
        <v>100</v>
      </c>
      <c r="S24">
        <v>11.57</v>
      </c>
      <c r="T24">
        <f>N24*S24</f>
        <v>150.87279999999998</v>
      </c>
      <c r="X24" s="57"/>
    </row>
    <row r="25" spans="1:24" ht="15.6" thickBot="1" x14ac:dyDescent="0.3">
      <c r="A25" s="20" t="s">
        <v>37</v>
      </c>
      <c r="B25" s="33"/>
      <c r="C25" s="34"/>
      <c r="D25" s="34">
        <v>10</v>
      </c>
      <c r="E25" s="22"/>
      <c r="F25" s="21">
        <f t="shared" si="6"/>
        <v>10</v>
      </c>
      <c r="G25" s="23">
        <v>4.2</v>
      </c>
      <c r="H25" s="24" t="s">
        <v>39</v>
      </c>
      <c r="I25" s="25">
        <f t="shared" si="7"/>
        <v>2.3809523809523809</v>
      </c>
      <c r="J25" s="26"/>
      <c r="K25" s="6"/>
      <c r="L25" s="6"/>
      <c r="M25" t="s">
        <v>76</v>
      </c>
      <c r="N25">
        <v>19.71</v>
      </c>
      <c r="O25" s="74">
        <v>30419</v>
      </c>
      <c r="P25" t="s">
        <v>100</v>
      </c>
      <c r="S25">
        <v>11.57</v>
      </c>
      <c r="T25">
        <f>N25*S25</f>
        <v>228.04470000000001</v>
      </c>
    </row>
    <row r="26" spans="1:24" ht="15.6" thickBot="1" x14ac:dyDescent="0.3">
      <c r="A26" s="20" t="s">
        <v>40</v>
      </c>
      <c r="B26" s="21"/>
      <c r="C26" s="33">
        <v>4</v>
      </c>
      <c r="D26" s="21"/>
      <c r="E26" s="22"/>
      <c r="F26" s="21">
        <f t="shared" si="6"/>
        <v>4</v>
      </c>
      <c r="G26" s="23">
        <v>3.22</v>
      </c>
      <c r="H26" s="24" t="s">
        <v>33</v>
      </c>
      <c r="I26" s="25">
        <f t="shared" si="7"/>
        <v>1.2422360248447204</v>
      </c>
      <c r="J26" s="26">
        <v>4</v>
      </c>
      <c r="K26" s="6"/>
      <c r="L26" s="6"/>
      <c r="M26" t="s">
        <v>77</v>
      </c>
      <c r="N26">
        <v>20.92</v>
      </c>
      <c r="O26" s="74">
        <v>30774</v>
      </c>
      <c r="P26" t="s">
        <v>101</v>
      </c>
      <c r="X26" s="57"/>
    </row>
    <row r="27" spans="1:24" ht="15.6" thickBot="1" x14ac:dyDescent="0.3">
      <c r="A27" s="27" t="s">
        <v>40</v>
      </c>
      <c r="B27" s="15"/>
      <c r="C27" s="402">
        <v>26</v>
      </c>
      <c r="D27" s="404"/>
      <c r="E27" s="4"/>
      <c r="F27" s="15">
        <f t="shared" si="6"/>
        <v>26</v>
      </c>
      <c r="G27" s="16">
        <v>5</v>
      </c>
      <c r="H27" s="7" t="s">
        <v>34</v>
      </c>
      <c r="I27" s="19">
        <f t="shared" si="7"/>
        <v>5.2</v>
      </c>
      <c r="J27" s="28">
        <v>4</v>
      </c>
      <c r="K27" s="6"/>
      <c r="L27" s="6"/>
      <c r="M27" t="s">
        <v>78</v>
      </c>
      <c r="N27">
        <v>31.4</v>
      </c>
      <c r="O27" s="74">
        <v>31124</v>
      </c>
      <c r="P27" t="s">
        <v>102</v>
      </c>
    </row>
    <row r="28" spans="1:24" ht="15.6" thickBot="1" x14ac:dyDescent="0.3">
      <c r="A28" s="27" t="s">
        <v>41</v>
      </c>
      <c r="B28" s="15"/>
      <c r="C28" s="4">
        <v>19</v>
      </c>
      <c r="D28" s="35"/>
      <c r="E28" s="4"/>
      <c r="F28" s="15">
        <f t="shared" si="6"/>
        <v>19</v>
      </c>
      <c r="G28" s="16">
        <v>3.22</v>
      </c>
      <c r="H28" s="7" t="s">
        <v>33</v>
      </c>
      <c r="I28" s="19">
        <f t="shared" si="7"/>
        <v>5.9006211180124222</v>
      </c>
      <c r="J28" s="28">
        <v>3.5</v>
      </c>
      <c r="K28" s="6"/>
      <c r="L28" s="6"/>
      <c r="M28" t="s">
        <v>79</v>
      </c>
      <c r="N28">
        <v>8.6</v>
      </c>
      <c r="O28" s="74">
        <v>31452</v>
      </c>
      <c r="P28" t="s">
        <v>103</v>
      </c>
    </row>
    <row r="29" spans="1:24" ht="15.6" thickBot="1" x14ac:dyDescent="0.3">
      <c r="A29" s="20" t="s">
        <v>41</v>
      </c>
      <c r="B29" s="21"/>
      <c r="C29" s="400">
        <v>17</v>
      </c>
      <c r="D29" s="401"/>
      <c r="E29" s="22"/>
      <c r="F29" s="21">
        <f t="shared" si="6"/>
        <v>17</v>
      </c>
      <c r="G29" s="23">
        <v>5</v>
      </c>
      <c r="H29" s="24" t="s">
        <v>34</v>
      </c>
      <c r="I29" s="25">
        <f t="shared" si="7"/>
        <v>3.4</v>
      </c>
      <c r="J29" s="26">
        <v>3.5</v>
      </c>
      <c r="K29" s="6"/>
      <c r="L29" s="6"/>
      <c r="M29" t="s">
        <v>80</v>
      </c>
      <c r="N29">
        <v>43.39</v>
      </c>
      <c r="O29" s="74">
        <v>31863</v>
      </c>
      <c r="P29" t="s">
        <v>105</v>
      </c>
    </row>
    <row r="30" spans="1:24" ht="15.6" thickBot="1" x14ac:dyDescent="0.3">
      <c r="A30" s="20" t="s">
        <v>42</v>
      </c>
      <c r="B30" s="21"/>
      <c r="C30" s="22">
        <v>5</v>
      </c>
      <c r="D30" s="36"/>
      <c r="E30" s="22"/>
      <c r="F30" s="21">
        <f t="shared" si="6"/>
        <v>5</v>
      </c>
      <c r="G30" s="23">
        <v>3.22</v>
      </c>
      <c r="H30" s="24" t="s">
        <v>33</v>
      </c>
      <c r="I30" s="25">
        <f t="shared" si="7"/>
        <v>1.5527950310559004</v>
      </c>
      <c r="J30" s="26">
        <v>3.5</v>
      </c>
      <c r="K30" s="6"/>
      <c r="L30" s="6"/>
      <c r="M30" t="s">
        <v>81</v>
      </c>
      <c r="N30">
        <v>36.549999999999997</v>
      </c>
      <c r="O30" s="74">
        <v>32197</v>
      </c>
      <c r="P30" t="s">
        <v>106</v>
      </c>
    </row>
    <row r="31" spans="1:24" ht="15.6" thickBot="1" x14ac:dyDescent="0.3">
      <c r="A31" s="27" t="s">
        <v>42</v>
      </c>
      <c r="B31" s="15"/>
      <c r="C31" s="402">
        <v>12</v>
      </c>
      <c r="D31" s="404"/>
      <c r="E31" s="4"/>
      <c r="F31" s="15">
        <f t="shared" si="6"/>
        <v>12</v>
      </c>
      <c r="G31" s="16">
        <v>5</v>
      </c>
      <c r="H31" s="7" t="s">
        <v>34</v>
      </c>
      <c r="I31" s="19">
        <f t="shared" si="7"/>
        <v>2.4</v>
      </c>
      <c r="J31" s="28">
        <v>3.5</v>
      </c>
      <c r="K31" s="6"/>
      <c r="L31" s="6"/>
      <c r="M31" t="s">
        <v>82</v>
      </c>
      <c r="N31">
        <v>9.3000000000000007</v>
      </c>
      <c r="O31" s="74">
        <v>32548</v>
      </c>
      <c r="P31" t="s">
        <v>107</v>
      </c>
    </row>
    <row r="32" spans="1:24" ht="15.6" thickBot="1" x14ac:dyDescent="0.3">
      <c r="A32" s="27" t="s">
        <v>43</v>
      </c>
      <c r="B32" s="15"/>
      <c r="C32" s="30">
        <v>44</v>
      </c>
      <c r="D32" s="15"/>
      <c r="E32" s="4"/>
      <c r="F32" s="15">
        <f t="shared" si="6"/>
        <v>44</v>
      </c>
      <c r="G32" s="16">
        <v>3.22</v>
      </c>
      <c r="H32" s="7" t="s">
        <v>33</v>
      </c>
      <c r="I32" s="19">
        <f t="shared" si="7"/>
        <v>13.664596273291925</v>
      </c>
      <c r="J32" s="28">
        <v>3.5</v>
      </c>
      <c r="K32" s="6"/>
      <c r="L32" s="6"/>
      <c r="M32" t="s">
        <v>83</v>
      </c>
      <c r="N32">
        <v>11.96</v>
      </c>
      <c r="O32" s="74">
        <v>32923</v>
      </c>
      <c r="P32" t="s">
        <v>108</v>
      </c>
    </row>
    <row r="33" spans="1:16" ht="15.6" thickBot="1" x14ac:dyDescent="0.3">
      <c r="A33" s="20" t="s">
        <v>43</v>
      </c>
      <c r="B33" s="21"/>
      <c r="C33" s="400">
        <v>39</v>
      </c>
      <c r="D33" s="401"/>
      <c r="E33" s="22"/>
      <c r="F33" s="21">
        <f t="shared" si="6"/>
        <v>39</v>
      </c>
      <c r="G33" s="23">
        <v>5</v>
      </c>
      <c r="H33" s="24" t="s">
        <v>34</v>
      </c>
      <c r="I33" s="25">
        <f t="shared" si="7"/>
        <v>7.8</v>
      </c>
      <c r="J33" s="26"/>
      <c r="K33" s="6"/>
      <c r="L33" s="6"/>
      <c r="M33" t="s">
        <v>84</v>
      </c>
      <c r="N33">
        <v>5.0999999999999996</v>
      </c>
      <c r="O33" s="74">
        <v>33323</v>
      </c>
      <c r="P33" t="s">
        <v>109</v>
      </c>
    </row>
    <row r="34" spans="1:16" ht="15.6" thickBot="1" x14ac:dyDescent="0.3">
      <c r="A34" s="20" t="s">
        <v>44</v>
      </c>
      <c r="B34" s="21"/>
      <c r="C34" s="29">
        <v>19</v>
      </c>
      <c r="D34" s="36"/>
      <c r="E34" s="22"/>
      <c r="F34" s="21">
        <f t="shared" si="6"/>
        <v>19</v>
      </c>
      <c r="G34" s="23">
        <v>3.22</v>
      </c>
      <c r="H34" s="24" t="s">
        <v>33</v>
      </c>
      <c r="I34" s="25">
        <f t="shared" si="7"/>
        <v>5.9006211180124222</v>
      </c>
      <c r="J34" s="26">
        <v>7</v>
      </c>
      <c r="K34" s="6"/>
      <c r="L34" s="6"/>
      <c r="M34" t="s">
        <v>85</v>
      </c>
      <c r="N34">
        <v>17.88</v>
      </c>
      <c r="O34" s="74">
        <v>33705</v>
      </c>
      <c r="P34" t="s">
        <v>109</v>
      </c>
    </row>
    <row r="35" spans="1:16" ht="15.6" thickBot="1" x14ac:dyDescent="0.3">
      <c r="A35" s="27" t="s">
        <v>44</v>
      </c>
      <c r="B35" s="15"/>
      <c r="C35" s="402">
        <v>23</v>
      </c>
      <c r="D35" s="404"/>
      <c r="E35" s="4"/>
      <c r="F35" s="15">
        <f t="shared" si="6"/>
        <v>23</v>
      </c>
      <c r="G35" s="16">
        <v>5</v>
      </c>
      <c r="H35" s="7" t="s">
        <v>34</v>
      </c>
      <c r="I35" s="19">
        <f t="shared" si="7"/>
        <v>4.5999999999999996</v>
      </c>
      <c r="J35" s="28">
        <v>7</v>
      </c>
      <c r="K35" s="6"/>
      <c r="L35" s="6"/>
      <c r="M35" t="s">
        <v>86</v>
      </c>
      <c r="N35">
        <v>8.8000000000000007</v>
      </c>
      <c r="O35" s="74">
        <v>34025</v>
      </c>
      <c r="P35" t="s">
        <v>109</v>
      </c>
    </row>
    <row r="36" spans="1:16" ht="15.6" thickBot="1" x14ac:dyDescent="0.3">
      <c r="A36" s="27" t="s">
        <v>45</v>
      </c>
      <c r="B36" s="15"/>
      <c r="C36" s="402">
        <v>13</v>
      </c>
      <c r="D36" s="404"/>
      <c r="E36" s="4"/>
      <c r="F36" s="15">
        <f t="shared" si="6"/>
        <v>13</v>
      </c>
      <c r="G36" s="16">
        <v>4.87</v>
      </c>
      <c r="H36" s="7" t="s">
        <v>46</v>
      </c>
      <c r="I36" s="19">
        <f t="shared" si="7"/>
        <v>2.6694045174537986</v>
      </c>
      <c r="J36" s="28">
        <v>5</v>
      </c>
      <c r="K36" s="6"/>
      <c r="L36" s="6"/>
      <c r="M36" t="s">
        <v>87</v>
      </c>
      <c r="N36">
        <v>2.0699999999999998</v>
      </c>
      <c r="O36" s="74">
        <v>34421</v>
      </c>
      <c r="P36" t="s">
        <v>109</v>
      </c>
    </row>
    <row r="37" spans="1:16" ht="15.6" thickBot="1" x14ac:dyDescent="0.3">
      <c r="A37" s="20" t="s">
        <v>47</v>
      </c>
      <c r="B37" s="21"/>
      <c r="C37" s="400">
        <v>22</v>
      </c>
      <c r="D37" s="401"/>
      <c r="E37" s="22"/>
      <c r="F37" s="21">
        <f t="shared" si="6"/>
        <v>22</v>
      </c>
      <c r="G37" s="23">
        <v>2.7</v>
      </c>
      <c r="H37" s="24" t="s">
        <v>48</v>
      </c>
      <c r="I37" s="25">
        <f t="shared" si="7"/>
        <v>8.148148148148147</v>
      </c>
      <c r="J37" s="26">
        <v>2</v>
      </c>
      <c r="K37" s="6"/>
      <c r="L37" s="6"/>
      <c r="M37" t="s">
        <v>88</v>
      </c>
      <c r="N37">
        <v>4.38</v>
      </c>
      <c r="O37" s="74">
        <v>34759</v>
      </c>
      <c r="P37" t="s">
        <v>109</v>
      </c>
    </row>
    <row r="38" spans="1:16" ht="15.6" thickBot="1" x14ac:dyDescent="0.3">
      <c r="A38" s="20" t="s">
        <v>49</v>
      </c>
      <c r="B38" s="21"/>
      <c r="C38" s="400">
        <v>164</v>
      </c>
      <c r="D38" s="401"/>
      <c r="E38" s="22"/>
      <c r="F38" s="21">
        <f t="shared" si="6"/>
        <v>164</v>
      </c>
      <c r="G38" s="23">
        <v>3.78</v>
      </c>
      <c r="H38" s="24" t="s">
        <v>50</v>
      </c>
      <c r="I38" s="25">
        <f t="shared" si="7"/>
        <v>43.386243386243386</v>
      </c>
      <c r="J38" s="26">
        <v>5</v>
      </c>
      <c r="K38" s="5"/>
      <c r="L38" s="6"/>
      <c r="M38" t="s">
        <v>89</v>
      </c>
      <c r="N38">
        <v>3.65</v>
      </c>
      <c r="O38" s="74">
        <v>35152</v>
      </c>
      <c r="P38" t="s">
        <v>109</v>
      </c>
    </row>
    <row r="39" spans="1:16" ht="15.6" thickBot="1" x14ac:dyDescent="0.3">
      <c r="A39" s="27" t="s">
        <v>51</v>
      </c>
      <c r="B39" s="402">
        <v>239</v>
      </c>
      <c r="C39" s="403"/>
      <c r="D39" s="404"/>
      <c r="E39" s="4"/>
      <c r="F39" s="15">
        <f t="shared" si="6"/>
        <v>239</v>
      </c>
      <c r="G39" s="16">
        <v>11.57</v>
      </c>
      <c r="H39" s="7" t="s">
        <v>52</v>
      </c>
      <c r="I39" s="19">
        <f t="shared" si="7"/>
        <v>20.656871218668972</v>
      </c>
      <c r="J39" s="28">
        <v>5</v>
      </c>
      <c r="K39" s="5"/>
      <c r="L39" s="6"/>
      <c r="M39" t="s">
        <v>90</v>
      </c>
      <c r="N39">
        <v>2.5</v>
      </c>
      <c r="O39" s="74" t="s">
        <v>110</v>
      </c>
      <c r="P39" t="s">
        <v>110</v>
      </c>
    </row>
    <row r="40" spans="1:16" ht="15.6" thickBot="1" x14ac:dyDescent="0.3">
      <c r="A40" s="27" t="s">
        <v>51</v>
      </c>
      <c r="B40" s="37"/>
      <c r="C40" s="35"/>
      <c r="D40" s="38">
        <v>232</v>
      </c>
      <c r="E40" s="4"/>
      <c r="F40" s="15">
        <f t="shared" si="6"/>
        <v>232</v>
      </c>
      <c r="G40" s="16">
        <v>4.33</v>
      </c>
      <c r="H40" s="7" t="s">
        <v>53</v>
      </c>
      <c r="I40" s="19">
        <f t="shared" si="7"/>
        <v>53.579676674364897</v>
      </c>
      <c r="J40" s="28">
        <v>5</v>
      </c>
      <c r="K40" s="5"/>
      <c r="L40" s="6"/>
      <c r="M40" t="s">
        <v>91</v>
      </c>
      <c r="N40">
        <v>3.77</v>
      </c>
      <c r="O40" s="74">
        <v>35913</v>
      </c>
      <c r="P40" t="s">
        <v>109</v>
      </c>
    </row>
    <row r="41" spans="1:16" ht="15.6" thickBot="1" x14ac:dyDescent="0.3">
      <c r="A41" s="20" t="s">
        <v>54</v>
      </c>
      <c r="B41" s="21"/>
      <c r="C41" s="400">
        <v>212</v>
      </c>
      <c r="D41" s="401"/>
      <c r="E41" s="22"/>
      <c r="F41" s="21">
        <f t="shared" si="6"/>
        <v>212</v>
      </c>
      <c r="G41" s="23">
        <v>4.3899999999999997</v>
      </c>
      <c r="H41" s="24" t="s">
        <v>55</v>
      </c>
      <c r="I41" s="25">
        <f t="shared" si="7"/>
        <v>48.291571753986339</v>
      </c>
      <c r="J41" s="26">
        <v>5</v>
      </c>
      <c r="K41" s="5"/>
      <c r="L41" s="6"/>
      <c r="M41" t="s">
        <v>92</v>
      </c>
      <c r="N41">
        <v>9.31</v>
      </c>
      <c r="O41" s="74">
        <v>36258</v>
      </c>
      <c r="P41" t="s">
        <v>111</v>
      </c>
    </row>
    <row r="42" spans="1:16" ht="15.6" thickBot="1" x14ac:dyDescent="0.3">
      <c r="A42" s="20" t="s">
        <v>56</v>
      </c>
      <c r="B42" s="400">
        <v>151</v>
      </c>
      <c r="C42" s="411"/>
      <c r="D42" s="401"/>
      <c r="E42" s="22"/>
      <c r="F42" s="21">
        <f t="shared" si="6"/>
        <v>151</v>
      </c>
      <c r="G42" s="23">
        <v>11.57</v>
      </c>
      <c r="H42" s="24" t="s">
        <v>52</v>
      </c>
      <c r="I42" s="25">
        <f t="shared" si="7"/>
        <v>13.050993949870355</v>
      </c>
      <c r="J42" s="26">
        <v>5</v>
      </c>
      <c r="K42" s="6"/>
      <c r="L42" s="6"/>
      <c r="M42" t="s">
        <v>93</v>
      </c>
      <c r="N42">
        <v>1.8</v>
      </c>
      <c r="O42" s="74">
        <v>36628</v>
      </c>
      <c r="P42" t="s">
        <v>109</v>
      </c>
    </row>
    <row r="43" spans="1:16" ht="15.6" thickBot="1" x14ac:dyDescent="0.3">
      <c r="A43" s="39" t="s">
        <v>57</v>
      </c>
      <c r="B43" s="32"/>
      <c r="C43" s="412">
        <v>48</v>
      </c>
      <c r="D43" s="413"/>
      <c r="E43" s="38"/>
      <c r="F43" s="15">
        <f t="shared" si="6"/>
        <v>48</v>
      </c>
      <c r="G43" s="16">
        <v>3.68</v>
      </c>
      <c r="H43" s="7" t="s">
        <v>58</v>
      </c>
      <c r="I43" s="19">
        <f>F43/G43</f>
        <v>13.043478260869565</v>
      </c>
      <c r="J43" s="28">
        <v>3</v>
      </c>
      <c r="M43" t="s">
        <v>94</v>
      </c>
      <c r="N43">
        <v>8.0299999999999994</v>
      </c>
      <c r="O43" s="74">
        <v>36963</v>
      </c>
      <c r="P43" t="s">
        <v>109</v>
      </c>
    </row>
    <row r="44" spans="1:16" ht="15.6" thickBot="1" x14ac:dyDescent="0.3">
      <c r="A44" s="27" t="s">
        <v>59</v>
      </c>
      <c r="B44" s="414">
        <v>96</v>
      </c>
      <c r="C44" s="415"/>
      <c r="D44" s="416"/>
      <c r="E44" s="4"/>
      <c r="F44" s="15">
        <f t="shared" si="6"/>
        <v>96</v>
      </c>
      <c r="G44" s="40">
        <v>11.57</v>
      </c>
      <c r="H44" s="41" t="s">
        <v>52</v>
      </c>
      <c r="I44" s="42">
        <f t="shared" si="7"/>
        <v>8.2973206568712179</v>
      </c>
      <c r="J44" s="43">
        <v>5</v>
      </c>
      <c r="M44" t="s">
        <v>95</v>
      </c>
      <c r="N44">
        <v>4.54</v>
      </c>
      <c r="O44" s="74">
        <v>37372</v>
      </c>
      <c r="P44" t="s">
        <v>113</v>
      </c>
    </row>
    <row r="45" spans="1:16" ht="16.2" thickTop="1" thickBot="1" x14ac:dyDescent="0.3">
      <c r="A45" s="44"/>
      <c r="B45" s="45"/>
      <c r="C45" s="45"/>
      <c r="D45" s="45"/>
      <c r="E45" s="45"/>
      <c r="F45" s="46"/>
      <c r="G45" s="19"/>
      <c r="H45" s="4"/>
      <c r="I45" s="47"/>
      <c r="J45" s="48"/>
      <c r="M45" t="s">
        <v>96</v>
      </c>
      <c r="N45">
        <v>3.1</v>
      </c>
      <c r="O45" s="74">
        <v>37734</v>
      </c>
      <c r="P45" t="s">
        <v>113</v>
      </c>
    </row>
    <row r="46" spans="1:16" ht="16.2" thickTop="1" x14ac:dyDescent="0.3">
      <c r="A46" s="49" t="s">
        <v>60</v>
      </c>
      <c r="B46" s="50"/>
      <c r="C46" s="50"/>
      <c r="D46" s="50"/>
      <c r="E46" s="50"/>
      <c r="F46" s="4"/>
      <c r="G46" s="417" t="s">
        <v>61</v>
      </c>
      <c r="H46" s="418"/>
      <c r="I46" s="418"/>
      <c r="J46" s="419"/>
      <c r="M46" t="s">
        <v>97</v>
      </c>
      <c r="N46">
        <v>3.6</v>
      </c>
      <c r="O46" s="74">
        <v>38091</v>
      </c>
      <c r="P46" t="s">
        <v>113</v>
      </c>
    </row>
    <row r="47" spans="1:16" ht="15" x14ac:dyDescent="0.25">
      <c r="A47" s="51" t="s">
        <v>62</v>
      </c>
      <c r="B47" s="5"/>
      <c r="C47" s="5"/>
      <c r="D47" s="5"/>
      <c r="E47" s="5"/>
      <c r="F47" s="4"/>
      <c r="G47" s="405" t="s">
        <v>63</v>
      </c>
      <c r="H47" s="406"/>
      <c r="I47" s="406"/>
      <c r="J47" s="407"/>
      <c r="M47">
        <v>2005</v>
      </c>
      <c r="N47">
        <v>4.5</v>
      </c>
      <c r="O47" s="74">
        <v>38457</v>
      </c>
      <c r="P47" t="s">
        <v>113</v>
      </c>
    </row>
    <row r="48" spans="1:16" ht="15" x14ac:dyDescent="0.25">
      <c r="A48" s="51"/>
      <c r="B48" s="5"/>
      <c r="C48" s="5"/>
      <c r="D48" s="5"/>
      <c r="E48" s="5"/>
      <c r="F48" s="4"/>
      <c r="G48" s="405" t="s">
        <v>64</v>
      </c>
      <c r="H48" s="406"/>
      <c r="I48" s="406"/>
      <c r="J48" s="407"/>
      <c r="M48">
        <v>2006</v>
      </c>
      <c r="N48">
        <v>4.1333333333333337</v>
      </c>
      <c r="O48" s="74">
        <v>38820</v>
      </c>
      <c r="P48" t="s">
        <v>113</v>
      </c>
    </row>
    <row r="49" spans="1:16" ht="15.6" thickBot="1" x14ac:dyDescent="0.3">
      <c r="A49" s="52"/>
      <c r="B49" s="53"/>
      <c r="C49" s="53"/>
      <c r="D49" s="53"/>
      <c r="E49" s="53"/>
      <c r="F49" s="53"/>
      <c r="G49" s="408" t="s">
        <v>65</v>
      </c>
      <c r="H49" s="409"/>
      <c r="I49" s="409"/>
      <c r="J49" s="410"/>
      <c r="M49">
        <v>2007</v>
      </c>
      <c r="N49">
        <v>4</v>
      </c>
      <c r="O49" s="74">
        <v>39192</v>
      </c>
      <c r="P49" t="s">
        <v>113</v>
      </c>
    </row>
    <row r="50" spans="1:16" ht="15.6" thickTop="1" x14ac:dyDescent="0.25">
      <c r="A50" s="4"/>
      <c r="B50" s="4"/>
      <c r="C50" s="4"/>
      <c r="D50" s="4"/>
      <c r="E50" s="4"/>
      <c r="F50" s="4"/>
      <c r="G50" s="19"/>
      <c r="H50" s="6"/>
      <c r="I50" s="47"/>
      <c r="J50" s="54"/>
      <c r="M50">
        <v>2008</v>
      </c>
      <c r="N50">
        <v>1.2</v>
      </c>
      <c r="O50" s="74">
        <v>39515</v>
      </c>
      <c r="P50" t="s">
        <v>113</v>
      </c>
    </row>
    <row r="51" spans="1:16" x14ac:dyDescent="0.25">
      <c r="M51">
        <v>2009</v>
      </c>
      <c r="N51">
        <v>2.5333333333333332</v>
      </c>
      <c r="O51" s="74">
        <v>39930</v>
      </c>
      <c r="P51" t="s">
        <v>113</v>
      </c>
    </row>
    <row r="52" spans="1:16" x14ac:dyDescent="0.25">
      <c r="M52">
        <v>2010</v>
      </c>
      <c r="N52">
        <v>3.6</v>
      </c>
      <c r="O52" s="74">
        <v>40283</v>
      </c>
      <c r="P52" t="s">
        <v>113</v>
      </c>
    </row>
    <row r="53" spans="1:16" x14ac:dyDescent="0.25">
      <c r="M53">
        <v>2011</v>
      </c>
      <c r="N53">
        <v>6.8666666666666663</v>
      </c>
      <c r="O53" s="74"/>
    </row>
    <row r="54" spans="1:16" x14ac:dyDescent="0.25">
      <c r="M54">
        <v>2012</v>
      </c>
      <c r="N54">
        <v>2.8</v>
      </c>
      <c r="O54" s="74"/>
    </row>
    <row r="55" spans="1:16" x14ac:dyDescent="0.25">
      <c r="M55">
        <v>2013</v>
      </c>
      <c r="N55">
        <v>6.2</v>
      </c>
      <c r="O55" s="74"/>
    </row>
    <row r="56" spans="1:16" x14ac:dyDescent="0.25">
      <c r="M56">
        <v>2014</v>
      </c>
      <c r="N56">
        <v>4.5</v>
      </c>
      <c r="O56" s="74"/>
    </row>
    <row r="57" spans="1:16" x14ac:dyDescent="0.25">
      <c r="M57">
        <v>2015</v>
      </c>
      <c r="N57">
        <v>7.2666666666666666</v>
      </c>
      <c r="O57" s="74"/>
    </row>
  </sheetData>
  <mergeCells count="20">
    <mergeCell ref="G4:H4"/>
    <mergeCell ref="C22:D22"/>
    <mergeCell ref="C23:D23"/>
    <mergeCell ref="C27:D27"/>
    <mergeCell ref="C29:D29"/>
    <mergeCell ref="C31:D31"/>
    <mergeCell ref="C33:D33"/>
    <mergeCell ref="C35:D35"/>
    <mergeCell ref="C36:D36"/>
    <mergeCell ref="C37:D37"/>
    <mergeCell ref="C38:D38"/>
    <mergeCell ref="B39:D39"/>
    <mergeCell ref="G48:J48"/>
    <mergeCell ref="G49:J49"/>
    <mergeCell ref="C41:D41"/>
    <mergeCell ref="B42:D42"/>
    <mergeCell ref="C43:D43"/>
    <mergeCell ref="B44:D44"/>
    <mergeCell ref="G46:J46"/>
    <mergeCell ref="G47:J47"/>
  </mergeCells>
  <phoneticPr fontId="2" type="noConversion"/>
  <pageMargins left="0.74803149606299213" right="0.74803149606299213" top="0.98425196850393704" bottom="0.98425196850393704" header="0.51181102362204722" footer="0.51181102362204722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E51"/>
  <sheetViews>
    <sheetView topLeftCell="A22" workbookViewId="0">
      <selection activeCell="X44" sqref="X44"/>
    </sheetView>
  </sheetViews>
  <sheetFormatPr defaultColWidth="8.6640625" defaultRowHeight="13.2" x14ac:dyDescent="0.25"/>
  <cols>
    <col min="1" max="1" width="10.44140625" customWidth="1"/>
    <col min="2" max="2" width="3" customWidth="1"/>
    <col min="3" max="3" width="6.44140625" customWidth="1"/>
    <col min="23" max="23" width="13.6640625" customWidth="1"/>
  </cols>
  <sheetData>
    <row r="3" spans="1:31" ht="16.5" customHeight="1" x14ac:dyDescent="0.25">
      <c r="A3" t="s">
        <v>192</v>
      </c>
      <c r="D3" t="s">
        <v>186</v>
      </c>
    </row>
    <row r="4" spans="1:31" ht="18.75" customHeight="1" thickBot="1" x14ac:dyDescent="0.45">
      <c r="C4" s="75" t="s">
        <v>205</v>
      </c>
      <c r="D4" t="s">
        <v>187</v>
      </c>
      <c r="E4" t="s">
        <v>188</v>
      </c>
      <c r="F4" t="s">
        <v>189</v>
      </c>
      <c r="G4" t="s">
        <v>190</v>
      </c>
      <c r="H4" t="s">
        <v>191</v>
      </c>
      <c r="K4" s="207">
        <v>2012</v>
      </c>
      <c r="L4" s="207"/>
      <c r="N4" s="77"/>
      <c r="O4" s="77"/>
    </row>
    <row r="5" spans="1:31" ht="14.25" customHeight="1" thickTop="1" thickBot="1" x14ac:dyDescent="0.3">
      <c r="A5">
        <v>1982</v>
      </c>
      <c r="C5" s="243">
        <v>0</v>
      </c>
      <c r="D5" s="243">
        <v>0.27804076619033136</v>
      </c>
      <c r="E5" s="243">
        <v>0.41019124353906966</v>
      </c>
      <c r="F5" s="243">
        <v>0.28359407722712071</v>
      </c>
      <c r="G5" s="243">
        <v>2.8173913043478261E-2</v>
      </c>
      <c r="H5" s="243">
        <v>0</v>
      </c>
      <c r="K5" s="426" t="s">
        <v>193</v>
      </c>
      <c r="L5" s="427" t="s">
        <v>194</v>
      </c>
      <c r="M5" s="428"/>
      <c r="N5" s="429"/>
      <c r="O5" s="208"/>
      <c r="P5" s="427" t="s">
        <v>195</v>
      </c>
      <c r="Q5" s="428"/>
      <c r="R5" s="428"/>
      <c r="S5" s="428"/>
      <c r="T5" s="429"/>
      <c r="U5" s="430" t="s">
        <v>196</v>
      </c>
      <c r="W5" s="432" t="s">
        <v>197</v>
      </c>
      <c r="Y5" s="75"/>
    </row>
    <row r="6" spans="1:31" ht="14.4" thickTop="1" thickBot="1" x14ac:dyDescent="0.3">
      <c r="A6">
        <v>1983</v>
      </c>
      <c r="C6" s="243">
        <v>0</v>
      </c>
      <c r="D6" s="243">
        <v>0.27804076619033136</v>
      </c>
      <c r="E6" s="243">
        <v>0.41019124353906966</v>
      </c>
      <c r="F6" s="243">
        <v>0.28359407722712071</v>
      </c>
      <c r="G6" s="243">
        <v>2.8173913043478261E-2</v>
      </c>
      <c r="H6" s="243">
        <v>0</v>
      </c>
      <c r="K6" s="424"/>
      <c r="L6" s="209">
        <v>2</v>
      </c>
      <c r="M6" s="210">
        <v>3</v>
      </c>
      <c r="N6" s="211" t="s">
        <v>198</v>
      </c>
      <c r="O6" s="212"/>
      <c r="P6" s="209">
        <v>1</v>
      </c>
      <c r="Q6" s="210">
        <v>2</v>
      </c>
      <c r="R6" s="213">
        <v>3</v>
      </c>
      <c r="S6" s="210">
        <v>4</v>
      </c>
      <c r="T6" s="214" t="s">
        <v>199</v>
      </c>
      <c r="U6" s="436"/>
      <c r="W6" s="432"/>
    </row>
    <row r="7" spans="1:31" ht="14.4" thickTop="1" thickBot="1" x14ac:dyDescent="0.3">
      <c r="A7">
        <v>1984</v>
      </c>
      <c r="C7" s="243">
        <v>0</v>
      </c>
      <c r="D7" s="243">
        <v>0.27804076619033136</v>
      </c>
      <c r="E7" s="243">
        <v>0.41019124353906966</v>
      </c>
      <c r="F7" s="243">
        <v>0.28359407722712071</v>
      </c>
      <c r="G7" s="243">
        <v>2.8173913043478261E-2</v>
      </c>
      <c r="H7" s="243">
        <v>0</v>
      </c>
      <c r="K7" s="215" t="s">
        <v>200</v>
      </c>
      <c r="L7" s="215">
        <v>5</v>
      </c>
      <c r="M7" s="216">
        <v>1</v>
      </c>
      <c r="N7" s="217">
        <f>L7+M7</f>
        <v>6</v>
      </c>
      <c r="O7" s="212"/>
      <c r="P7" s="218"/>
      <c r="Q7" s="216">
        <v>6</v>
      </c>
      <c r="R7" s="219">
        <v>4</v>
      </c>
      <c r="S7" s="216"/>
      <c r="T7" s="220">
        <v>2</v>
      </c>
      <c r="U7" s="221">
        <f>S7+R7+Q7+T7</f>
        <v>12</v>
      </c>
      <c r="W7" s="422">
        <f>L10*L6+M10*M6+Q10*Q6+R10*R6+T10*S6</f>
        <v>4.75</v>
      </c>
      <c r="Y7" s="75"/>
    </row>
    <row r="8" spans="1:31" ht="14.4" thickTop="1" thickBot="1" x14ac:dyDescent="0.3">
      <c r="A8">
        <v>1985</v>
      </c>
      <c r="C8" s="243">
        <v>0</v>
      </c>
      <c r="D8" s="243">
        <v>0.27804076619033136</v>
      </c>
      <c r="E8" s="243">
        <v>0.41019124353906966</v>
      </c>
      <c r="F8" s="243">
        <v>0.28359407722712071</v>
      </c>
      <c r="G8" s="243">
        <v>2.8173913043478261E-2</v>
      </c>
      <c r="H8" s="243">
        <v>0</v>
      </c>
      <c r="K8" s="222" t="s">
        <v>201</v>
      </c>
      <c r="L8" s="222">
        <v>4</v>
      </c>
      <c r="M8" s="223">
        <v>2</v>
      </c>
      <c r="N8" s="224">
        <f>L8+M8</f>
        <v>6</v>
      </c>
      <c r="O8" s="212"/>
      <c r="P8" s="225"/>
      <c r="Q8" s="223">
        <v>8</v>
      </c>
      <c r="R8" s="208">
        <v>4</v>
      </c>
      <c r="S8" s="223"/>
      <c r="T8" s="226"/>
      <c r="U8" s="226">
        <f>S8+R8+Q8+T8</f>
        <v>12</v>
      </c>
      <c r="W8" s="422"/>
    </row>
    <row r="9" spans="1:31" ht="14.4" thickTop="1" thickBot="1" x14ac:dyDescent="0.3">
      <c r="A9">
        <v>1986</v>
      </c>
      <c r="C9" s="243">
        <v>0</v>
      </c>
      <c r="D9" s="243">
        <v>0.27804076619033136</v>
      </c>
      <c r="E9" s="243">
        <v>0.41019124353906966</v>
      </c>
      <c r="F9" s="243">
        <v>0.28359407722712071</v>
      </c>
      <c r="G9" s="243">
        <v>2.8173913043478261E-2</v>
      </c>
      <c r="H9" s="243">
        <v>0</v>
      </c>
      <c r="K9" s="227" t="s">
        <v>202</v>
      </c>
      <c r="L9" s="228">
        <f>SUM(L7:L8)</f>
        <v>9</v>
      </c>
      <c r="M9" s="229">
        <f>SUM(M7:M8)</f>
        <v>3</v>
      </c>
      <c r="N9" s="423">
        <f>L9+M9</f>
        <v>12</v>
      </c>
      <c r="O9" s="230"/>
      <c r="P9" s="228"/>
      <c r="Q9" s="231">
        <f>Q7+Q8</f>
        <v>14</v>
      </c>
      <c r="R9" s="232">
        <f>R7+R8</f>
        <v>8</v>
      </c>
      <c r="S9" s="231"/>
      <c r="T9" s="233">
        <f>T7+T8</f>
        <v>2</v>
      </c>
      <c r="U9" s="425">
        <f>S9+R9+Q9+T9</f>
        <v>24</v>
      </c>
      <c r="W9" s="422"/>
      <c r="Y9" s="75"/>
      <c r="AE9" s="75"/>
    </row>
    <row r="10" spans="1:31" ht="14.4" thickTop="1" thickBot="1" x14ac:dyDescent="0.3">
      <c r="A10">
        <v>1987</v>
      </c>
      <c r="C10" s="243">
        <v>0</v>
      </c>
      <c r="D10" s="243">
        <v>0.27804076619033136</v>
      </c>
      <c r="E10" s="243">
        <v>0.41019124353906966</v>
      </c>
      <c r="F10" s="243">
        <v>0.28359407722712071</v>
      </c>
      <c r="G10" s="243">
        <v>2.8173913043478261E-2</v>
      </c>
      <c r="H10" s="243">
        <v>0</v>
      </c>
      <c r="K10" s="234" t="s">
        <v>203</v>
      </c>
      <c r="L10" s="235">
        <f>L9/N9</f>
        <v>0.75</v>
      </c>
      <c r="M10" s="236">
        <f>M9/N9</f>
        <v>0.25</v>
      </c>
      <c r="N10" s="424"/>
      <c r="O10" s="222"/>
      <c r="P10" s="234"/>
      <c r="Q10" s="237">
        <f>Q9/U9</f>
        <v>0.58333333333333337</v>
      </c>
      <c r="R10" s="238">
        <f>R9/U9</f>
        <v>0.33333333333333331</v>
      </c>
      <c r="S10" s="237"/>
      <c r="T10" s="239">
        <f>T9/U9</f>
        <v>8.3333333333333329E-2</v>
      </c>
      <c r="U10" s="424"/>
      <c r="V10" s="245">
        <f>(((L10*L6)+(M10*M6)))+((Q10*Q6)+(R10*R6)+(T10*R6))</f>
        <v>4.666666666666667</v>
      </c>
      <c r="W10" s="422"/>
      <c r="Y10" s="75"/>
    </row>
    <row r="11" spans="1:31" ht="13.8" thickTop="1" x14ac:dyDescent="0.25">
      <c r="A11">
        <v>1988</v>
      </c>
      <c r="C11" s="243">
        <v>0</v>
      </c>
      <c r="D11" s="243">
        <v>0.27804076619033136</v>
      </c>
      <c r="E11" s="243">
        <v>0.41019124353906966</v>
      </c>
      <c r="F11" s="243">
        <v>0.28359407722712071</v>
      </c>
      <c r="G11" s="243">
        <v>2.8173913043478261E-2</v>
      </c>
      <c r="H11" s="243">
        <v>0</v>
      </c>
      <c r="V11" s="245"/>
    </row>
    <row r="12" spans="1:31" ht="21.6" thickBot="1" x14ac:dyDescent="0.45">
      <c r="A12">
        <v>1989</v>
      </c>
      <c r="C12" s="243">
        <v>0</v>
      </c>
      <c r="D12" s="243">
        <v>0.27804076619033136</v>
      </c>
      <c r="E12" s="243">
        <v>0.41019124353906966</v>
      </c>
      <c r="F12" s="243">
        <v>0.28359407722712071</v>
      </c>
      <c r="G12" s="243">
        <v>2.8173913043478261E-2</v>
      </c>
      <c r="H12" s="243">
        <v>0</v>
      </c>
      <c r="K12" s="207">
        <v>2013</v>
      </c>
      <c r="L12" s="207"/>
      <c r="N12" s="77"/>
      <c r="O12" s="77"/>
      <c r="V12" s="245"/>
    </row>
    <row r="13" spans="1:31" ht="14.4" thickTop="1" thickBot="1" x14ac:dyDescent="0.3">
      <c r="A13">
        <v>1990</v>
      </c>
      <c r="C13" s="243">
        <v>0</v>
      </c>
      <c r="D13" s="243">
        <v>0.27804076619033136</v>
      </c>
      <c r="E13" s="243">
        <v>0.41019124353906966</v>
      </c>
      <c r="F13" s="243">
        <v>0.28359407722712071</v>
      </c>
      <c r="G13" s="243">
        <v>2.8173913043478261E-2</v>
      </c>
      <c r="H13" s="243">
        <v>0</v>
      </c>
      <c r="K13" s="426" t="s">
        <v>193</v>
      </c>
      <c r="L13" s="427" t="s">
        <v>194</v>
      </c>
      <c r="M13" s="428"/>
      <c r="N13" s="429"/>
      <c r="O13" s="208"/>
      <c r="P13" s="427" t="s">
        <v>195</v>
      </c>
      <c r="Q13" s="428"/>
      <c r="R13" s="428"/>
      <c r="S13" s="428"/>
      <c r="T13" s="429"/>
      <c r="U13" s="430" t="s">
        <v>196</v>
      </c>
      <c r="V13" s="245"/>
      <c r="W13" s="432" t="s">
        <v>197</v>
      </c>
    </row>
    <row r="14" spans="1:31" ht="14.4" thickTop="1" thickBot="1" x14ac:dyDescent="0.3">
      <c r="A14">
        <v>1991</v>
      </c>
      <c r="C14" s="243">
        <v>0</v>
      </c>
      <c r="D14" s="243">
        <v>0.27804076619033136</v>
      </c>
      <c r="E14" s="243">
        <v>0.41019124353906966</v>
      </c>
      <c r="F14" s="243">
        <v>0.28359407722712071</v>
      </c>
      <c r="G14" s="243">
        <v>2.8173913043478261E-2</v>
      </c>
      <c r="H14" s="243">
        <v>0</v>
      </c>
      <c r="K14" s="424"/>
      <c r="L14" s="209">
        <v>2</v>
      </c>
      <c r="M14" s="210">
        <v>3</v>
      </c>
      <c r="N14" s="211" t="s">
        <v>198</v>
      </c>
      <c r="O14" s="212"/>
      <c r="P14" s="209">
        <v>1</v>
      </c>
      <c r="Q14" s="210">
        <v>2</v>
      </c>
      <c r="R14" s="213">
        <v>3</v>
      </c>
      <c r="S14" s="210">
        <v>4</v>
      </c>
      <c r="T14" s="214" t="s">
        <v>199</v>
      </c>
      <c r="U14" s="436"/>
      <c r="V14" s="245"/>
      <c r="W14" s="432"/>
    </row>
    <row r="15" spans="1:31" ht="14.4" thickTop="1" thickBot="1" x14ac:dyDescent="0.3">
      <c r="A15">
        <v>1992</v>
      </c>
      <c r="C15" s="243">
        <v>0</v>
      </c>
      <c r="D15" s="243">
        <v>0.27804076619033136</v>
      </c>
      <c r="E15" s="243">
        <v>0.41019124353906966</v>
      </c>
      <c r="F15" s="243">
        <v>0.28359407722712071</v>
      </c>
      <c r="G15" s="243">
        <v>2.8173913043478261E-2</v>
      </c>
      <c r="H15" s="243">
        <v>0</v>
      </c>
      <c r="K15" s="215" t="s">
        <v>200</v>
      </c>
      <c r="L15" s="215">
        <v>2</v>
      </c>
      <c r="M15" s="216">
        <v>5</v>
      </c>
      <c r="N15" s="217">
        <f>L15+M15</f>
        <v>7</v>
      </c>
      <c r="O15" s="212"/>
      <c r="P15" s="218"/>
      <c r="Q15" s="216">
        <v>3</v>
      </c>
      <c r="R15" s="219">
        <v>11</v>
      </c>
      <c r="S15" s="216"/>
      <c r="T15" s="220">
        <v>4</v>
      </c>
      <c r="U15" s="221">
        <f>S15+R15+Q15+T15</f>
        <v>18</v>
      </c>
      <c r="V15" s="245"/>
      <c r="W15" s="422">
        <f>L18*L14+M18*M14+Q18*Q14+R18*R14+T18*S14</f>
        <v>5.7</v>
      </c>
    </row>
    <row r="16" spans="1:31" ht="14.4" thickTop="1" thickBot="1" x14ac:dyDescent="0.3">
      <c r="A16">
        <v>1993</v>
      </c>
      <c r="C16" s="243">
        <v>0</v>
      </c>
      <c r="D16" s="243">
        <v>0.27804076619033136</v>
      </c>
      <c r="E16" s="243">
        <v>0.41019124353906966</v>
      </c>
      <c r="F16" s="243">
        <v>0.28359407722712071</v>
      </c>
      <c r="G16" s="243">
        <v>2.8173913043478261E-2</v>
      </c>
      <c r="H16" s="243">
        <v>0</v>
      </c>
      <c r="K16" s="222" t="s">
        <v>201</v>
      </c>
      <c r="L16" s="222">
        <v>1</v>
      </c>
      <c r="M16" s="223">
        <v>2</v>
      </c>
      <c r="N16" s="224">
        <f>L16+M16</f>
        <v>3</v>
      </c>
      <c r="O16" s="212"/>
      <c r="P16" s="225"/>
      <c r="Q16" s="223">
        <v>1</v>
      </c>
      <c r="R16" s="208">
        <v>14</v>
      </c>
      <c r="S16" s="223">
        <v>1</v>
      </c>
      <c r="T16" s="226">
        <v>3</v>
      </c>
      <c r="U16" s="226">
        <f>S16+R16+Q16+T16</f>
        <v>19</v>
      </c>
      <c r="V16" s="245"/>
      <c r="W16" s="422"/>
    </row>
    <row r="17" spans="1:23" ht="14.4" thickTop="1" thickBot="1" x14ac:dyDescent="0.3">
      <c r="A17">
        <v>1994</v>
      </c>
      <c r="C17" s="243">
        <v>0</v>
      </c>
      <c r="D17" s="243">
        <v>0.27804076619033136</v>
      </c>
      <c r="E17" s="243">
        <v>0.41019124353906966</v>
      </c>
      <c r="F17" s="243">
        <v>0.28359407722712071</v>
      </c>
      <c r="G17" s="243">
        <v>2.8173913043478261E-2</v>
      </c>
      <c r="H17" s="243">
        <v>0</v>
      </c>
      <c r="K17" s="227" t="s">
        <v>202</v>
      </c>
      <c r="L17" s="228">
        <f>SUM(L15:L16)</f>
        <v>3</v>
      </c>
      <c r="M17" s="229">
        <f>SUM(M15:M16)</f>
        <v>7</v>
      </c>
      <c r="N17" s="423">
        <f>L17+M17</f>
        <v>10</v>
      </c>
      <c r="O17" s="230"/>
      <c r="P17" s="228"/>
      <c r="Q17" s="231">
        <f>Q15+Q16</f>
        <v>4</v>
      </c>
      <c r="R17" s="232">
        <f>R15+R16</f>
        <v>25</v>
      </c>
      <c r="S17" s="231">
        <v>1</v>
      </c>
      <c r="T17" s="233">
        <f>T15+T16</f>
        <v>7</v>
      </c>
      <c r="U17" s="425">
        <f>S17+R17+Q17+T17</f>
        <v>37</v>
      </c>
      <c r="V17" s="245"/>
      <c r="W17" s="422"/>
    </row>
    <row r="18" spans="1:23" ht="14.4" thickTop="1" thickBot="1" x14ac:dyDescent="0.3">
      <c r="A18">
        <v>1995</v>
      </c>
      <c r="C18" s="243">
        <v>0</v>
      </c>
      <c r="D18" s="243">
        <v>0.27804076619033136</v>
      </c>
      <c r="E18" s="243">
        <v>0.41019124353906966</v>
      </c>
      <c r="F18" s="243">
        <v>0.28359407722712071</v>
      </c>
      <c r="G18" s="243">
        <v>2.8173913043478261E-2</v>
      </c>
      <c r="H18" s="243">
        <v>0</v>
      </c>
      <c r="K18" s="234" t="s">
        <v>203</v>
      </c>
      <c r="L18" s="235">
        <f>L17/N17</f>
        <v>0.3</v>
      </c>
      <c r="M18" s="236">
        <f>M17/N17</f>
        <v>0.7</v>
      </c>
      <c r="N18" s="424"/>
      <c r="O18" s="222"/>
      <c r="P18" s="234"/>
      <c r="Q18" s="237">
        <f>Q17/U17</f>
        <v>0.10810810810810811</v>
      </c>
      <c r="R18" s="238">
        <f>R17/U17</f>
        <v>0.67567567567567566</v>
      </c>
      <c r="S18" s="240">
        <f>S17/U17</f>
        <v>2.7027027027027029E-2</v>
      </c>
      <c r="T18" s="239">
        <f>T17/U17</f>
        <v>0.1891891891891892</v>
      </c>
      <c r="U18" s="424"/>
      <c r="V18" s="245">
        <f>(((L18*L14)+(M18*M14)))+((Q18*Q14)+(R18*R14)+(T18*R14)+S18*S14)</f>
        <v>5.6189189189189186</v>
      </c>
      <c r="W18" s="422"/>
    </row>
    <row r="19" spans="1:23" ht="13.8" thickTop="1" x14ac:dyDescent="0.25">
      <c r="A19">
        <v>1996</v>
      </c>
      <c r="C19" s="243">
        <v>0</v>
      </c>
      <c r="D19" s="243">
        <v>0.27804076619033136</v>
      </c>
      <c r="E19" s="243">
        <v>0.41019124353906966</v>
      </c>
      <c r="F19" s="243">
        <v>0.28359407722712071</v>
      </c>
      <c r="G19" s="243">
        <v>2.8173913043478261E-2</v>
      </c>
      <c r="H19" s="243">
        <v>0</v>
      </c>
      <c r="V19" s="245"/>
    </row>
    <row r="20" spans="1:23" ht="21.6" thickBot="1" x14ac:dyDescent="0.45">
      <c r="A20">
        <v>1997</v>
      </c>
      <c r="C20" s="243">
        <v>0</v>
      </c>
      <c r="D20" s="243">
        <v>0.27804076619033136</v>
      </c>
      <c r="E20" s="243">
        <v>0.41019124353906966</v>
      </c>
      <c r="F20" s="243">
        <v>0.28359407722712071</v>
      </c>
      <c r="G20" s="243">
        <v>2.8173913043478261E-2</v>
      </c>
      <c r="H20" s="243">
        <v>0</v>
      </c>
      <c r="K20" s="207">
        <v>2014</v>
      </c>
      <c r="L20" s="207"/>
      <c r="N20" s="77"/>
      <c r="O20" s="77"/>
      <c r="V20" s="245"/>
    </row>
    <row r="21" spans="1:23" ht="14.4" thickTop="1" thickBot="1" x14ac:dyDescent="0.3">
      <c r="A21">
        <v>1998</v>
      </c>
      <c r="C21" s="243">
        <v>0</v>
      </c>
      <c r="D21" s="243">
        <v>0.27804076619033136</v>
      </c>
      <c r="E21" s="243">
        <v>0.41019124353906966</v>
      </c>
      <c r="F21" s="243">
        <v>0.28359407722712071</v>
      </c>
      <c r="G21" s="243">
        <v>2.8173913043478261E-2</v>
      </c>
      <c r="H21" s="243">
        <v>0</v>
      </c>
      <c r="K21" s="426" t="s">
        <v>193</v>
      </c>
      <c r="L21" s="427" t="s">
        <v>194</v>
      </c>
      <c r="M21" s="428"/>
      <c r="N21" s="429"/>
      <c r="O21" s="208"/>
      <c r="P21" s="427" t="s">
        <v>195</v>
      </c>
      <c r="Q21" s="428"/>
      <c r="R21" s="428"/>
      <c r="S21" s="428"/>
      <c r="T21" s="429"/>
      <c r="U21" s="430" t="s">
        <v>196</v>
      </c>
      <c r="V21" s="245"/>
      <c r="W21" s="432" t="s">
        <v>197</v>
      </c>
    </row>
    <row r="22" spans="1:23" ht="14.4" thickTop="1" thickBot="1" x14ac:dyDescent="0.3">
      <c r="A22">
        <v>1999</v>
      </c>
      <c r="C22" s="243">
        <v>0</v>
      </c>
      <c r="D22" s="243">
        <v>0.27804076619033136</v>
      </c>
      <c r="E22" s="243">
        <v>0.41019124353906966</v>
      </c>
      <c r="F22" s="243">
        <v>0.28359407722712071</v>
      </c>
      <c r="G22" s="243">
        <v>2.8173913043478261E-2</v>
      </c>
      <c r="H22" s="243">
        <v>0</v>
      </c>
      <c r="K22" s="424"/>
      <c r="L22" s="209">
        <v>2</v>
      </c>
      <c r="M22" s="210">
        <v>3</v>
      </c>
      <c r="N22" s="211" t="s">
        <v>198</v>
      </c>
      <c r="O22" s="212"/>
      <c r="P22" s="209">
        <v>1</v>
      </c>
      <c r="Q22" s="210">
        <v>2</v>
      </c>
      <c r="R22" s="213">
        <v>3</v>
      </c>
      <c r="S22" s="210">
        <v>4</v>
      </c>
      <c r="T22" s="214" t="s">
        <v>199</v>
      </c>
      <c r="U22" s="431"/>
      <c r="V22" s="245"/>
      <c r="W22" s="432"/>
    </row>
    <row r="23" spans="1:23" ht="14.4" thickTop="1" thickBot="1" x14ac:dyDescent="0.3">
      <c r="A23">
        <v>2000</v>
      </c>
      <c r="C23" s="243">
        <v>0</v>
      </c>
      <c r="D23" s="243">
        <v>0.27804076619033136</v>
      </c>
      <c r="E23" s="243">
        <v>0.41019124353906966</v>
      </c>
      <c r="F23" s="243">
        <v>0.28359407722712071</v>
      </c>
      <c r="G23" s="243">
        <v>2.8173913043478261E-2</v>
      </c>
      <c r="H23" s="243">
        <v>0</v>
      </c>
      <c r="K23" s="215" t="s">
        <v>200</v>
      </c>
      <c r="L23" s="215">
        <v>7</v>
      </c>
      <c r="M23" s="216">
        <v>5</v>
      </c>
      <c r="N23" s="217">
        <f>L23+M23</f>
        <v>12</v>
      </c>
      <c r="O23" s="212"/>
      <c r="P23" s="218"/>
      <c r="Q23" s="216">
        <v>11</v>
      </c>
      <c r="R23" s="219">
        <v>5</v>
      </c>
      <c r="S23" s="216"/>
      <c r="T23" s="220">
        <v>3</v>
      </c>
      <c r="U23" s="220">
        <f>S23+R23+Q23+T23</f>
        <v>19</v>
      </c>
      <c r="V23" s="245"/>
      <c r="W23" s="422">
        <f>L26*L22+M26*M22+Q26*Q22+R26*R22+T26*S22</f>
        <v>4.9610389610389607</v>
      </c>
    </row>
    <row r="24" spans="1:23" ht="14.4" thickTop="1" thickBot="1" x14ac:dyDescent="0.3">
      <c r="A24">
        <v>2001</v>
      </c>
      <c r="C24" s="243">
        <v>0</v>
      </c>
      <c r="D24" s="243">
        <v>0.27804076619033136</v>
      </c>
      <c r="E24" s="243">
        <v>0.41019124353906966</v>
      </c>
      <c r="F24" s="243">
        <v>0.28359407722712071</v>
      </c>
      <c r="G24" s="243">
        <v>2.8173913043478261E-2</v>
      </c>
      <c r="H24" s="243">
        <v>0</v>
      </c>
      <c r="K24" s="222" t="s">
        <v>201</v>
      </c>
      <c r="L24" s="222">
        <v>4</v>
      </c>
      <c r="M24" s="223">
        <v>5</v>
      </c>
      <c r="N24" s="224">
        <f>L24+M24</f>
        <v>9</v>
      </c>
      <c r="O24" s="212"/>
      <c r="P24" s="225"/>
      <c r="Q24" s="223">
        <v>10</v>
      </c>
      <c r="R24" s="208">
        <v>3</v>
      </c>
      <c r="S24" s="223"/>
      <c r="T24" s="226">
        <v>1</v>
      </c>
      <c r="U24" s="226">
        <f>S24+R24+Q24+T24</f>
        <v>14</v>
      </c>
      <c r="V24" s="245"/>
      <c r="W24" s="422"/>
    </row>
    <row r="25" spans="1:23" ht="14.4" thickTop="1" thickBot="1" x14ac:dyDescent="0.3">
      <c r="A25">
        <v>2002</v>
      </c>
      <c r="C25" s="243">
        <v>0</v>
      </c>
      <c r="D25" s="243">
        <v>0.27804076619033136</v>
      </c>
      <c r="E25" s="243">
        <v>0.41019124353906966</v>
      </c>
      <c r="F25" s="243">
        <v>0.28359407722712071</v>
      </c>
      <c r="G25" s="243">
        <v>2.8173913043478261E-2</v>
      </c>
      <c r="H25" s="243">
        <v>0</v>
      </c>
      <c r="K25" s="227" t="s">
        <v>202</v>
      </c>
      <c r="L25" s="228">
        <f>SUM(L23:L24)</f>
        <v>11</v>
      </c>
      <c r="M25" s="229">
        <f>SUM(M23:M24)</f>
        <v>10</v>
      </c>
      <c r="N25" s="423">
        <f>L25+M25</f>
        <v>21</v>
      </c>
      <c r="O25" s="230"/>
      <c r="P25" s="228"/>
      <c r="Q25" s="231">
        <f>Q23+Q24</f>
        <v>21</v>
      </c>
      <c r="R25" s="232">
        <f>R23+R24</f>
        <v>8</v>
      </c>
      <c r="S25" s="231"/>
      <c r="T25" s="233">
        <f>T23+T24</f>
        <v>4</v>
      </c>
      <c r="U25" s="425">
        <f>S25+R25+Q25+T25</f>
        <v>33</v>
      </c>
      <c r="V25" s="245"/>
      <c r="W25" s="422"/>
    </row>
    <row r="26" spans="1:23" ht="14.4" thickTop="1" thickBot="1" x14ac:dyDescent="0.3">
      <c r="A26">
        <v>2003</v>
      </c>
      <c r="C26" s="243">
        <v>0</v>
      </c>
      <c r="D26" s="243">
        <v>0.27804076619033136</v>
      </c>
      <c r="E26" s="243">
        <v>0.41019124353906966</v>
      </c>
      <c r="F26" s="243">
        <v>0.28359407722712071</v>
      </c>
      <c r="G26" s="243">
        <v>2.8173913043478261E-2</v>
      </c>
      <c r="H26" s="243">
        <v>0</v>
      </c>
      <c r="K26" s="234" t="s">
        <v>203</v>
      </c>
      <c r="L26" s="235">
        <f>L25/N25</f>
        <v>0.52380952380952384</v>
      </c>
      <c r="M26" s="236">
        <f>M25/N25</f>
        <v>0.47619047619047616</v>
      </c>
      <c r="N26" s="424"/>
      <c r="O26" s="222"/>
      <c r="P26" s="234"/>
      <c r="Q26" s="237">
        <f>Q25/U25</f>
        <v>0.63636363636363635</v>
      </c>
      <c r="R26" s="238">
        <f>R25/U25</f>
        <v>0.24242424242424243</v>
      </c>
      <c r="S26" s="237"/>
      <c r="T26" s="239">
        <f>T25/U25</f>
        <v>0.12121212121212122</v>
      </c>
      <c r="U26" s="424"/>
      <c r="V26" s="245">
        <f>(((L26*L22)+(M26*M22)))+((Q26*Q22)+(R26*R22)+(T26*R22))</f>
        <v>4.8398268398268396</v>
      </c>
      <c r="W26" s="422"/>
    </row>
    <row r="27" spans="1:23" ht="13.8" thickTop="1" x14ac:dyDescent="0.25">
      <c r="A27">
        <v>2004</v>
      </c>
      <c r="C27" s="243">
        <v>0</v>
      </c>
      <c r="D27" s="243">
        <v>0.27804076619033136</v>
      </c>
      <c r="E27" s="243">
        <v>0.41019124353906966</v>
      </c>
      <c r="F27" s="243">
        <v>0.28359407722712071</v>
      </c>
      <c r="G27" s="243">
        <v>2.8173913043478261E-2</v>
      </c>
      <c r="H27" s="243">
        <v>0</v>
      </c>
      <c r="V27" s="245"/>
    </row>
    <row r="28" spans="1:23" ht="21.6" thickBot="1" x14ac:dyDescent="0.45">
      <c r="A28">
        <v>2005</v>
      </c>
      <c r="C28" s="243">
        <v>0</v>
      </c>
      <c r="D28" s="243">
        <v>0.27804076619033136</v>
      </c>
      <c r="E28" s="243">
        <v>0.41019124353906966</v>
      </c>
      <c r="F28" s="243">
        <v>0.28359407722712071</v>
      </c>
      <c r="G28" s="243">
        <v>2.8173913043478261E-2</v>
      </c>
      <c r="H28" s="243">
        <v>0</v>
      </c>
      <c r="K28" s="207">
        <v>2015</v>
      </c>
      <c r="L28" s="207"/>
      <c r="N28" s="77"/>
      <c r="O28" s="77"/>
      <c r="V28" s="245"/>
    </row>
    <row r="29" spans="1:23" ht="14.4" thickTop="1" thickBot="1" x14ac:dyDescent="0.3">
      <c r="A29">
        <v>2006</v>
      </c>
      <c r="C29" s="243">
        <v>0</v>
      </c>
      <c r="D29" s="243">
        <v>0.27804076619033136</v>
      </c>
      <c r="E29" s="243">
        <v>0.41019124353906966</v>
      </c>
      <c r="F29" s="243">
        <v>0.28359407722712071</v>
      </c>
      <c r="G29" s="243">
        <v>2.8173913043478261E-2</v>
      </c>
      <c r="H29" s="243">
        <v>0</v>
      </c>
      <c r="K29" s="426" t="s">
        <v>193</v>
      </c>
      <c r="L29" s="427" t="s">
        <v>194</v>
      </c>
      <c r="M29" s="428"/>
      <c r="N29" s="429"/>
      <c r="O29" s="208"/>
      <c r="P29" s="427" t="s">
        <v>195</v>
      </c>
      <c r="Q29" s="428"/>
      <c r="R29" s="428"/>
      <c r="S29" s="428"/>
      <c r="T29" s="429"/>
      <c r="U29" s="430" t="s">
        <v>196</v>
      </c>
      <c r="V29" s="245"/>
      <c r="W29" s="432" t="s">
        <v>197</v>
      </c>
    </row>
    <row r="30" spans="1:23" ht="14.4" thickTop="1" thickBot="1" x14ac:dyDescent="0.3">
      <c r="A30">
        <v>2007</v>
      </c>
      <c r="C30" s="243">
        <v>0</v>
      </c>
      <c r="D30" s="243">
        <v>0.27804076619033136</v>
      </c>
      <c r="E30" s="243">
        <v>0.41019124353906966</v>
      </c>
      <c r="F30" s="243">
        <v>0.28359407722712071</v>
      </c>
      <c r="G30" s="243">
        <v>2.8173913043478261E-2</v>
      </c>
      <c r="H30" s="243">
        <v>0</v>
      </c>
      <c r="K30" s="424"/>
      <c r="L30" s="209">
        <v>2</v>
      </c>
      <c r="M30" s="210">
        <v>3</v>
      </c>
      <c r="N30" s="211" t="s">
        <v>198</v>
      </c>
      <c r="O30" s="212"/>
      <c r="P30" s="209">
        <v>1</v>
      </c>
      <c r="Q30" s="210">
        <v>2</v>
      </c>
      <c r="R30" s="213">
        <v>3</v>
      </c>
      <c r="S30" s="210">
        <v>4</v>
      </c>
      <c r="T30" s="214" t="s">
        <v>199</v>
      </c>
      <c r="U30" s="431"/>
      <c r="V30" s="245"/>
      <c r="W30" s="432"/>
    </row>
    <row r="31" spans="1:23" ht="13.8" thickTop="1" x14ac:dyDescent="0.25">
      <c r="A31">
        <v>2008</v>
      </c>
      <c r="C31" s="243">
        <v>0</v>
      </c>
      <c r="D31" s="243">
        <v>0.27804076619033136</v>
      </c>
      <c r="E31" s="243">
        <v>0.41019124353906966</v>
      </c>
      <c r="F31" s="243">
        <v>0.28359407722712071</v>
      </c>
      <c r="G31" s="243">
        <v>2.8173913043478261E-2</v>
      </c>
      <c r="H31" s="243">
        <v>0</v>
      </c>
      <c r="K31" s="215" t="s">
        <v>200</v>
      </c>
      <c r="L31" s="215">
        <v>11</v>
      </c>
      <c r="M31" s="216">
        <v>2</v>
      </c>
      <c r="N31" s="217">
        <f>L31+M31</f>
        <v>13</v>
      </c>
      <c r="O31" s="212"/>
      <c r="P31" s="218"/>
      <c r="Q31" s="216">
        <v>8</v>
      </c>
      <c r="R31" s="219">
        <v>8</v>
      </c>
      <c r="S31" s="216"/>
      <c r="T31" s="220">
        <v>1</v>
      </c>
      <c r="U31" s="220">
        <f>S31+R31+Q31+T31</f>
        <v>17</v>
      </c>
      <c r="V31" s="245"/>
      <c r="W31" s="433">
        <f>L34*L30+M34*M30+Q34*Q30+R34*R30+T34*S30</f>
        <v>4.7335423197492155</v>
      </c>
    </row>
    <row r="32" spans="1:23" ht="13.8" thickBot="1" x14ac:dyDescent="0.3">
      <c r="A32">
        <v>2009</v>
      </c>
      <c r="C32" s="243">
        <v>0</v>
      </c>
      <c r="D32" s="243">
        <v>0.27804076619033136</v>
      </c>
      <c r="E32" s="243">
        <v>0.41019124353906966</v>
      </c>
      <c r="F32" s="243">
        <v>0.28359407722712071</v>
      </c>
      <c r="G32" s="243">
        <v>2.8173913043478261E-2</v>
      </c>
      <c r="H32" s="243">
        <v>0</v>
      </c>
      <c r="K32" s="222" t="s">
        <v>201</v>
      </c>
      <c r="L32" s="222">
        <v>7</v>
      </c>
      <c r="M32" s="223">
        <v>2</v>
      </c>
      <c r="N32" s="224">
        <f>L32+M32</f>
        <v>9</v>
      </c>
      <c r="O32" s="212"/>
      <c r="P32" s="225"/>
      <c r="Q32" s="223">
        <v>7</v>
      </c>
      <c r="R32" s="208">
        <v>4</v>
      </c>
      <c r="S32" s="223"/>
      <c r="T32" s="226">
        <v>1</v>
      </c>
      <c r="U32" s="226">
        <f>S32+R32+Q32+T32</f>
        <v>12</v>
      </c>
      <c r="V32" s="245"/>
      <c r="W32" s="434"/>
    </row>
    <row r="33" spans="1:23" ht="14.4" thickTop="1" thickBot="1" x14ac:dyDescent="0.3">
      <c r="A33">
        <v>2010</v>
      </c>
      <c r="C33" s="243">
        <v>0</v>
      </c>
      <c r="D33" s="243">
        <v>0.27804076619033136</v>
      </c>
      <c r="E33" s="243">
        <v>0.41019124353906966</v>
      </c>
      <c r="F33" s="243">
        <v>0.28359407722712071</v>
      </c>
      <c r="G33" s="243">
        <v>2.8173913043478261E-2</v>
      </c>
      <c r="H33" s="243">
        <v>0</v>
      </c>
      <c r="K33" s="227" t="s">
        <v>202</v>
      </c>
      <c r="L33" s="228">
        <f>SUM(L31:L32)</f>
        <v>18</v>
      </c>
      <c r="M33" s="229">
        <f>SUM(M31:M32)</f>
        <v>4</v>
      </c>
      <c r="N33" s="423">
        <f>L33+M33</f>
        <v>22</v>
      </c>
      <c r="O33" s="230"/>
      <c r="P33" s="228"/>
      <c r="Q33" s="231">
        <f>Q31+Q32</f>
        <v>15</v>
      </c>
      <c r="R33" s="232">
        <f>R31+R32</f>
        <v>12</v>
      </c>
      <c r="S33" s="231"/>
      <c r="T33" s="233">
        <f>T31+T32</f>
        <v>2</v>
      </c>
      <c r="U33" s="425">
        <f>S33+R33+Q33+T33</f>
        <v>29</v>
      </c>
      <c r="V33" s="245"/>
      <c r="W33" s="434"/>
    </row>
    <row r="34" spans="1:23" ht="14.4" thickTop="1" thickBot="1" x14ac:dyDescent="0.3">
      <c r="A34">
        <v>2011</v>
      </c>
      <c r="C34" s="243">
        <v>0</v>
      </c>
      <c r="D34" s="243">
        <v>0.27804076619033136</v>
      </c>
      <c r="E34" s="243">
        <v>0.41019124353906966</v>
      </c>
      <c r="F34" s="243">
        <v>0.28359407722712071</v>
      </c>
      <c r="G34" s="243">
        <v>2.8173913043478261E-2</v>
      </c>
      <c r="H34" s="243">
        <v>0</v>
      </c>
      <c r="K34" s="234" t="s">
        <v>203</v>
      </c>
      <c r="L34" s="235">
        <f>L33/N33</f>
        <v>0.81818181818181823</v>
      </c>
      <c r="M34" s="236">
        <f>M33/N33</f>
        <v>0.18181818181818182</v>
      </c>
      <c r="N34" s="424"/>
      <c r="O34" s="222"/>
      <c r="P34" s="234"/>
      <c r="Q34" s="237">
        <f>Q33/U33</f>
        <v>0.51724137931034486</v>
      </c>
      <c r="R34" s="238">
        <f>R33/U33</f>
        <v>0.41379310344827586</v>
      </c>
      <c r="S34" s="237"/>
      <c r="T34" s="239">
        <f>T33/U33</f>
        <v>6.8965517241379309E-2</v>
      </c>
      <c r="U34" s="424"/>
      <c r="V34" s="245">
        <f>(((L34*L30)+(M34*M30)))+((Q34*Q30)+(R34*R30)+(T34*R30))</f>
        <v>4.6645768025078365</v>
      </c>
      <c r="W34" s="435"/>
    </row>
    <row r="35" spans="1:23" ht="13.8" thickTop="1" x14ac:dyDescent="0.25">
      <c r="A35">
        <v>2012</v>
      </c>
      <c r="C35" s="242">
        <v>0</v>
      </c>
      <c r="D35" s="242">
        <f>7/13</f>
        <v>0.53846153846153844</v>
      </c>
      <c r="E35" s="242">
        <f>4.5/13</f>
        <v>0.34615384615384615</v>
      </c>
      <c r="F35" s="242">
        <f>1.5/13</f>
        <v>0.11538461538461539</v>
      </c>
      <c r="G35" s="242">
        <v>0</v>
      </c>
      <c r="H35" s="242">
        <v>0</v>
      </c>
      <c r="V35" s="245"/>
    </row>
    <row r="36" spans="1:23" ht="21.6" thickBot="1" x14ac:dyDescent="0.45">
      <c r="A36">
        <v>2013</v>
      </c>
      <c r="C36" s="242">
        <v>0</v>
      </c>
      <c r="D36" s="242">
        <v>0</v>
      </c>
      <c r="E36" s="242">
        <v>0.13</v>
      </c>
      <c r="F36" s="242">
        <v>0.75</v>
      </c>
      <c r="G36" s="242">
        <v>0.12</v>
      </c>
      <c r="H36" s="242">
        <v>0</v>
      </c>
      <c r="K36" s="207">
        <v>2016</v>
      </c>
      <c r="L36" s="207"/>
      <c r="N36" s="77"/>
      <c r="O36" s="77"/>
      <c r="V36" s="245"/>
    </row>
    <row r="37" spans="1:23" ht="14.4" thickTop="1" thickBot="1" x14ac:dyDescent="0.3">
      <c r="A37">
        <v>2014</v>
      </c>
      <c r="C37" s="242">
        <v>0</v>
      </c>
      <c r="D37" s="242">
        <f>6/23</f>
        <v>0.2608695652173913</v>
      </c>
      <c r="E37" s="242">
        <f>12.52/23</f>
        <v>0.54434782608695653</v>
      </c>
      <c r="F37" s="242">
        <f>4/23</f>
        <v>0.17391304347826086</v>
      </c>
      <c r="G37" s="242">
        <f>0.48/23</f>
        <v>2.0869565217391303E-2</v>
      </c>
      <c r="H37" s="242">
        <v>0</v>
      </c>
      <c r="K37" s="426" t="s">
        <v>193</v>
      </c>
      <c r="L37" s="427" t="s">
        <v>194</v>
      </c>
      <c r="M37" s="428"/>
      <c r="N37" s="429"/>
      <c r="O37" s="208"/>
      <c r="P37" s="427" t="s">
        <v>195</v>
      </c>
      <c r="Q37" s="428"/>
      <c r="R37" s="428"/>
      <c r="S37" s="428"/>
      <c r="T37" s="429"/>
      <c r="U37" s="430" t="s">
        <v>196</v>
      </c>
      <c r="V37" s="245"/>
      <c r="W37" s="432" t="s">
        <v>197</v>
      </c>
    </row>
    <row r="38" spans="1:23" ht="14.4" thickTop="1" thickBot="1" x14ac:dyDescent="0.3">
      <c r="A38">
        <v>2015</v>
      </c>
      <c r="C38" s="242">
        <v>0</v>
      </c>
      <c r="D38" s="242">
        <v>0.36359999999999998</v>
      </c>
      <c r="E38" s="242">
        <v>0.5</v>
      </c>
      <c r="F38" s="242">
        <v>0.13639999999999999</v>
      </c>
      <c r="G38" s="242">
        <v>0</v>
      </c>
      <c r="H38" s="242">
        <v>0</v>
      </c>
      <c r="K38" s="424"/>
      <c r="L38" s="209">
        <v>2</v>
      </c>
      <c r="M38" s="210">
        <v>3</v>
      </c>
      <c r="N38" s="211" t="s">
        <v>198</v>
      </c>
      <c r="O38" s="212"/>
      <c r="P38" s="209">
        <v>1</v>
      </c>
      <c r="Q38" s="210">
        <v>2</v>
      </c>
      <c r="R38" s="213">
        <v>3</v>
      </c>
      <c r="S38" s="210">
        <v>4</v>
      </c>
      <c r="T38" s="214" t="s">
        <v>199</v>
      </c>
      <c r="U38" s="431"/>
      <c r="V38" s="245"/>
      <c r="W38" s="432"/>
    </row>
    <row r="39" spans="1:23" ht="14.4" thickTop="1" thickBot="1" x14ac:dyDescent="0.3">
      <c r="A39">
        <v>2016</v>
      </c>
      <c r="C39" s="242">
        <v>0</v>
      </c>
      <c r="D39" s="242">
        <f>5/22</f>
        <v>0.22727272727272727</v>
      </c>
      <c r="E39" s="242">
        <f>11.67/22</f>
        <v>0.5304545454545454</v>
      </c>
      <c r="F39" s="242">
        <f>5.33/22</f>
        <v>0.24227272727272728</v>
      </c>
      <c r="G39" s="242">
        <v>0</v>
      </c>
      <c r="H39" s="242">
        <v>0</v>
      </c>
      <c r="K39" s="215" t="s">
        <v>200</v>
      </c>
      <c r="L39" s="215">
        <v>6</v>
      </c>
      <c r="M39" s="216">
        <v>5</v>
      </c>
      <c r="N39" s="217">
        <f>L39+M39</f>
        <v>11</v>
      </c>
      <c r="O39" s="212"/>
      <c r="P39" s="218"/>
      <c r="Q39" s="216">
        <v>5</v>
      </c>
      <c r="R39" s="219">
        <v>6</v>
      </c>
      <c r="S39" s="216"/>
      <c r="T39" s="220">
        <v>4</v>
      </c>
      <c r="U39" s="220">
        <f>S39+R39+Q39+T39</f>
        <v>15</v>
      </c>
      <c r="V39" s="245"/>
      <c r="W39" s="422">
        <f>L42*L38+M42*M38+Q42*Q38+R42*R38+T42*S38</f>
        <v>5.0740740740740735</v>
      </c>
    </row>
    <row r="40" spans="1:23" ht="14.4" thickTop="1" thickBot="1" x14ac:dyDescent="0.3">
      <c r="C40" s="244"/>
      <c r="D40" s="244"/>
      <c r="E40" s="244"/>
      <c r="F40" s="244"/>
      <c r="G40" s="244"/>
      <c r="H40" s="244"/>
      <c r="K40" s="222" t="s">
        <v>201</v>
      </c>
      <c r="L40" s="222">
        <v>8</v>
      </c>
      <c r="M40" s="223">
        <v>2</v>
      </c>
      <c r="N40" s="224">
        <f>L40+M40</f>
        <v>10</v>
      </c>
      <c r="O40" s="212"/>
      <c r="P40" s="225"/>
      <c r="Q40" s="223">
        <v>6</v>
      </c>
      <c r="R40" s="208">
        <v>6</v>
      </c>
      <c r="S40" s="223"/>
      <c r="T40" s="226">
        <v>0</v>
      </c>
      <c r="U40" s="226">
        <f>S40+R40+Q40+T40</f>
        <v>12</v>
      </c>
      <c r="V40" s="245"/>
      <c r="W40" s="422"/>
    </row>
    <row r="41" spans="1:23" ht="14.4" thickTop="1" thickBot="1" x14ac:dyDescent="0.3">
      <c r="C41" s="125" t="s">
        <v>206</v>
      </c>
      <c r="D41" s="125"/>
      <c r="E41" s="125"/>
      <c r="F41" s="125"/>
      <c r="G41" s="125"/>
      <c r="H41" s="125"/>
      <c r="K41" s="227" t="s">
        <v>202</v>
      </c>
      <c r="L41" s="228">
        <f>SUM(L39:L40)</f>
        <v>14</v>
      </c>
      <c r="M41" s="229">
        <f>SUM(M39:M40)</f>
        <v>7</v>
      </c>
      <c r="N41" s="423">
        <f>L41+M41</f>
        <v>21</v>
      </c>
      <c r="O41" s="230"/>
      <c r="P41" s="228"/>
      <c r="Q41" s="231">
        <f>Q39+Q40</f>
        <v>11</v>
      </c>
      <c r="R41" s="232">
        <f>R39+R40</f>
        <v>12</v>
      </c>
      <c r="S41" s="231"/>
      <c r="T41" s="233">
        <f>T39+T40</f>
        <v>4</v>
      </c>
      <c r="U41" s="425">
        <f>S41+R41+Q41+T41</f>
        <v>27</v>
      </c>
      <c r="V41" s="245"/>
      <c r="W41" s="422"/>
    </row>
    <row r="42" spans="1:23" ht="14.4" thickTop="1" thickBot="1" x14ac:dyDescent="0.3">
      <c r="C42" s="75" t="s">
        <v>207</v>
      </c>
      <c r="K42" s="234" t="s">
        <v>203</v>
      </c>
      <c r="L42" s="235">
        <f>L41/N41</f>
        <v>0.66666666666666663</v>
      </c>
      <c r="M42" s="236">
        <f>M41/N41</f>
        <v>0.33333333333333331</v>
      </c>
      <c r="N42" s="424"/>
      <c r="O42" s="222"/>
      <c r="P42" s="234"/>
      <c r="Q42" s="237">
        <f>Q41/U41</f>
        <v>0.40740740740740738</v>
      </c>
      <c r="R42" s="238">
        <f>R41/U41</f>
        <v>0.44444444444444442</v>
      </c>
      <c r="S42" s="237"/>
      <c r="T42" s="239">
        <f>T41/U41</f>
        <v>0.14814814814814814</v>
      </c>
      <c r="U42" s="424"/>
      <c r="V42" s="245">
        <f>(((L42*L38)+(M42*M38)))+((Q42*Q38)+(R42*R38)+(T42*R38))</f>
        <v>4.9259259259259256</v>
      </c>
      <c r="W42" s="422"/>
    </row>
    <row r="43" spans="1:23" ht="13.8" thickTop="1" x14ac:dyDescent="0.25">
      <c r="C43" s="75" t="s">
        <v>208</v>
      </c>
      <c r="V43" s="61"/>
    </row>
    <row r="44" spans="1:23" ht="21.6" thickBot="1" x14ac:dyDescent="0.3">
      <c r="K44" s="241" t="s">
        <v>204</v>
      </c>
      <c r="V44" s="61"/>
    </row>
    <row r="45" spans="1:23" ht="14.4" thickTop="1" thickBot="1" x14ac:dyDescent="0.3">
      <c r="K45" s="426" t="s">
        <v>193</v>
      </c>
      <c r="L45" s="427" t="s">
        <v>194</v>
      </c>
      <c r="M45" s="428"/>
      <c r="N45" s="429"/>
      <c r="O45" s="208"/>
      <c r="P45" s="427" t="s">
        <v>195</v>
      </c>
      <c r="Q45" s="428"/>
      <c r="R45" s="428"/>
      <c r="S45" s="428"/>
      <c r="T45" s="429"/>
      <c r="U45" s="430" t="s">
        <v>196</v>
      </c>
      <c r="V45" s="61"/>
      <c r="W45" s="432" t="s">
        <v>197</v>
      </c>
    </row>
    <row r="46" spans="1:23" ht="14.4" thickTop="1" thickBot="1" x14ac:dyDescent="0.3">
      <c r="K46" s="424"/>
      <c r="L46" s="209">
        <v>2</v>
      </c>
      <c r="M46" s="210">
        <v>3</v>
      </c>
      <c r="N46" s="211" t="s">
        <v>198</v>
      </c>
      <c r="O46" s="212"/>
      <c r="P46" s="209">
        <v>1</v>
      </c>
      <c r="Q46" s="210">
        <v>2</v>
      </c>
      <c r="R46" s="213">
        <v>3</v>
      </c>
      <c r="S46" s="210">
        <v>4</v>
      </c>
      <c r="T46" s="214" t="s">
        <v>199</v>
      </c>
      <c r="U46" s="431"/>
      <c r="V46" s="61"/>
      <c r="W46" s="432"/>
    </row>
    <row r="47" spans="1:23" ht="14.4" thickTop="1" thickBot="1" x14ac:dyDescent="0.3">
      <c r="K47" s="215" t="s">
        <v>200</v>
      </c>
      <c r="L47" s="215">
        <f>SUM(L7,L23,L15,L7)</f>
        <v>19</v>
      </c>
      <c r="M47" s="216">
        <f>SUM(M7,M23,M15,M7)</f>
        <v>12</v>
      </c>
      <c r="N47" s="217">
        <f>SUM(N7,N23,N15,N7)</f>
        <v>31</v>
      </c>
      <c r="O47" s="212"/>
      <c r="P47" s="218"/>
      <c r="Q47" s="216">
        <f>SUM(Q7,Q23,Q15,Q7)</f>
        <v>26</v>
      </c>
      <c r="R47" s="219">
        <f>SUM(R7,R23,R15,R7)</f>
        <v>24</v>
      </c>
      <c r="S47" s="216"/>
      <c r="T47" s="220">
        <f>SUM(T7,T23,T15,T7)</f>
        <v>11</v>
      </c>
      <c r="U47" s="220">
        <f>U39+U31+U23+U15+U7</f>
        <v>81</v>
      </c>
      <c r="V47" s="61"/>
      <c r="W47" s="422">
        <f>L50*L46+M50*M46+Q50*Q46+R50*R46+T50*S46</f>
        <v>5.0337984496124033</v>
      </c>
    </row>
    <row r="48" spans="1:23" ht="14.4" thickTop="1" thickBot="1" x14ac:dyDescent="0.3">
      <c r="K48" s="222" t="s">
        <v>201</v>
      </c>
      <c r="L48" s="222">
        <f>SUM(L24,L16,L8)</f>
        <v>9</v>
      </c>
      <c r="M48" s="223">
        <f>SUM(M24,M16,M8)</f>
        <v>9</v>
      </c>
      <c r="N48" s="224">
        <f>SUM(N24,N16,N8)</f>
        <v>18</v>
      </c>
      <c r="O48" s="212"/>
      <c r="P48" s="225"/>
      <c r="Q48" s="223">
        <f>SUM(Q24,Q16,Q8)</f>
        <v>19</v>
      </c>
      <c r="R48" s="208">
        <f>SUM(R24,R16,R8)</f>
        <v>21</v>
      </c>
      <c r="S48" s="223">
        <f>SUM(S24,S16,S8)</f>
        <v>1</v>
      </c>
      <c r="T48" s="226">
        <f>SUM(T24,T16,T8)</f>
        <v>4</v>
      </c>
      <c r="U48" s="226">
        <f>U40+U32+U24+U16+U8</f>
        <v>69</v>
      </c>
      <c r="V48" s="61"/>
      <c r="W48" s="422"/>
    </row>
    <row r="49" spans="11:23" ht="14.4" thickTop="1" thickBot="1" x14ac:dyDescent="0.3">
      <c r="K49" s="227" t="s">
        <v>202</v>
      </c>
      <c r="L49" s="228">
        <f>L41+L33+L25+L17+L9</f>
        <v>55</v>
      </c>
      <c r="M49" s="229">
        <f>M41+M33+M25+M17+M9</f>
        <v>31</v>
      </c>
      <c r="N49" s="423">
        <f>SUM(N25,N17,N9,N33,N41)</f>
        <v>86</v>
      </c>
      <c r="O49" s="230"/>
      <c r="P49" s="228"/>
      <c r="Q49" s="231">
        <f>SUM(Q25,Q17,Q9,Q33,Q41)</f>
        <v>65</v>
      </c>
      <c r="R49" s="232">
        <f>SUM(R25,R17,R9,R33,R41)</f>
        <v>65</v>
      </c>
      <c r="S49" s="231">
        <f>SUM(S25,S17,S9)</f>
        <v>1</v>
      </c>
      <c r="T49" s="233">
        <f>SUM(T25,T17,T9,T33,T41)</f>
        <v>19</v>
      </c>
      <c r="U49" s="425">
        <f>S49+R49+Q49+T49</f>
        <v>150</v>
      </c>
      <c r="V49" s="61"/>
      <c r="W49" s="422"/>
    </row>
    <row r="50" spans="11:23" ht="14.4" thickTop="1" thickBot="1" x14ac:dyDescent="0.3">
      <c r="K50" s="234" t="s">
        <v>203</v>
      </c>
      <c r="L50" s="235">
        <f>L49/N49</f>
        <v>0.63953488372093026</v>
      </c>
      <c r="M50" s="236">
        <f>M49/N49</f>
        <v>0.36046511627906974</v>
      </c>
      <c r="N50" s="424"/>
      <c r="O50" s="222"/>
      <c r="P50" s="234"/>
      <c r="Q50" s="237">
        <f>Q49/U49</f>
        <v>0.43333333333333335</v>
      </c>
      <c r="R50" s="238">
        <f>R49/U49</f>
        <v>0.43333333333333335</v>
      </c>
      <c r="S50" s="237">
        <f>S49/U49</f>
        <v>6.6666666666666671E-3</v>
      </c>
      <c r="T50" s="239">
        <f>T49/U49</f>
        <v>0.12666666666666668</v>
      </c>
      <c r="U50" s="424"/>
      <c r="V50" s="61">
        <f>(((L50*L46)+(M50*M46)))+((Q50*Q46)+(R50*R46)+(T50*R46)+S46*S50)</f>
        <v>4.9337984496124037</v>
      </c>
      <c r="W50" s="422"/>
    </row>
    <row r="51" spans="11:23" ht="13.8" thickTop="1" x14ac:dyDescent="0.25"/>
  </sheetData>
  <mergeCells count="48">
    <mergeCell ref="W15:W18"/>
    <mergeCell ref="N17:N18"/>
    <mergeCell ref="U17:U18"/>
    <mergeCell ref="K5:K6"/>
    <mergeCell ref="L5:N5"/>
    <mergeCell ref="P5:T5"/>
    <mergeCell ref="U5:U6"/>
    <mergeCell ref="W5:W6"/>
    <mergeCell ref="W7:W10"/>
    <mergeCell ref="N9:N10"/>
    <mergeCell ref="U9:U10"/>
    <mergeCell ref="K13:K14"/>
    <mergeCell ref="L13:N13"/>
    <mergeCell ref="P13:T13"/>
    <mergeCell ref="U13:U14"/>
    <mergeCell ref="W13:W14"/>
    <mergeCell ref="W31:W34"/>
    <mergeCell ref="N33:N34"/>
    <mergeCell ref="U33:U34"/>
    <mergeCell ref="K21:K22"/>
    <mergeCell ref="L21:N21"/>
    <mergeCell ref="P21:T21"/>
    <mergeCell ref="U21:U22"/>
    <mergeCell ref="W21:W22"/>
    <mergeCell ref="W23:W26"/>
    <mergeCell ref="N25:N26"/>
    <mergeCell ref="U25:U26"/>
    <mergeCell ref="K29:K30"/>
    <mergeCell ref="L29:N29"/>
    <mergeCell ref="P29:T29"/>
    <mergeCell ref="U29:U30"/>
    <mergeCell ref="W29:W30"/>
    <mergeCell ref="W47:W50"/>
    <mergeCell ref="N49:N50"/>
    <mergeCell ref="U49:U50"/>
    <mergeCell ref="K37:K38"/>
    <mergeCell ref="L37:N37"/>
    <mergeCell ref="P37:T37"/>
    <mergeCell ref="U37:U38"/>
    <mergeCell ref="W37:W38"/>
    <mergeCell ref="W39:W42"/>
    <mergeCell ref="N41:N42"/>
    <mergeCell ref="U41:U42"/>
    <mergeCell ref="K45:K46"/>
    <mergeCell ref="L45:N45"/>
    <mergeCell ref="P45:T45"/>
    <mergeCell ref="U45:U46"/>
    <mergeCell ref="W45:W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EDA7B-D8B7-0C4C-89D0-81729E04E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Data</vt:lpstr>
      <vt:lpstr>Summary Charts</vt:lpstr>
      <vt:lpstr>Solving Unknown Survey Sections</vt:lpstr>
      <vt:lpstr>Percent of Run</vt:lpstr>
      <vt:lpstr>Time and Area Standardization</vt:lpstr>
      <vt:lpstr>Peak Historic</vt:lpstr>
      <vt:lpstr>raw 2002-2016 Comparison</vt:lpstr>
      <vt:lpstr>March 82-06</vt:lpstr>
      <vt:lpstr>Age Structure</vt:lpstr>
    </vt:vector>
  </TitlesOfParts>
  <Company>BC Conservation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</dc:creator>
  <cp:lastModifiedBy>McCulloch, Mike WLRS:EX</cp:lastModifiedBy>
  <cp:lastPrinted>2019-04-26T19:05:47Z</cp:lastPrinted>
  <dcterms:created xsi:type="dcterms:W3CDTF">2006-02-22T22:21:31Z</dcterms:created>
  <dcterms:modified xsi:type="dcterms:W3CDTF">2026-06-24T23:10:47Z</dcterms:modified>
</cp:coreProperties>
</file>
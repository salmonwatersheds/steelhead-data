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18.xml" ContentType="application/vnd.openxmlformats-officedocument.drawingml.chart+xml"/>
  <Override PartName="/xl/theme/themeOverride4.xml" ContentType="application/vnd.openxmlformats-officedocument.themeOverride+xml"/>
  <Override PartName="/xl/charts/chart19.xml" ContentType="application/vnd.openxmlformats-officedocument.drawingml.chart+xml"/>
  <Override PartName="/xl/theme/themeOverride5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drawings/drawing8.xml" ContentType="application/vnd.openxmlformats-officedocument.drawingml.chartshapes+xml"/>
  <Override PartName="/xl/charts/chart21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22.xml" ContentType="application/vnd.openxmlformats-officedocument.drawingml.chart+xml"/>
  <Override PartName="/xl/drawings/drawing11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drawings/drawing1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Environmental Stewardship\Fish, Wild, Habitat\Fisheries\River Specific Information\Englishman River\Englishman River Steelhead Assessments\"/>
    </mc:Choice>
  </mc:AlternateContent>
  <xr:revisionPtr revIDLastSave="0" documentId="13_ncr:1_{F428A92E-5B5F-47BC-BE79-EE8BE7203D62}" xr6:coauthVersionLast="47" xr6:coauthVersionMax="47" xr10:uidLastSave="{00000000-0000-0000-0000-000000000000}"/>
  <bookViews>
    <workbookView xWindow="-25740" yWindow="210" windowWidth="23760" windowHeight="14145" activeTab="1" xr2:uid="{00000000-000D-0000-FFFF-FFFF00000000}"/>
  </bookViews>
  <sheets>
    <sheet name="Summary Data" sheetId="16" r:id="rId1"/>
    <sheet name="Summary Charts" sheetId="17" r:id="rId2"/>
    <sheet name="Solving Unknown Survey Sections" sheetId="18" r:id="rId3"/>
    <sheet name="Percent of Run" sheetId="19" r:id="rId4"/>
    <sheet name="Time and Area Standardization" sheetId="14" r:id="rId5"/>
    <sheet name="Historic Daily flows" sheetId="13" r:id="rId6"/>
    <sheet name="Peak Historic" sheetId="5" r:id="rId7"/>
    <sheet name="raw 2002-2016 Comparison" sheetId="3" r:id="rId8"/>
    <sheet name="March 82-06" sheetId="2" r:id="rId9"/>
    <sheet name="Age Structure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25" i="16" l="1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43" i="16"/>
  <c r="AT44" i="16"/>
  <c r="AT45" i="16"/>
  <c r="AT46" i="16"/>
  <c r="AT47" i="16"/>
  <c r="AT48" i="16"/>
  <c r="AT49" i="16"/>
  <c r="AT50" i="16"/>
  <c r="AT51" i="16"/>
  <c r="AR25" i="16"/>
  <c r="AR26" i="16"/>
  <c r="AR27" i="16"/>
  <c r="AR28" i="16"/>
  <c r="AR29" i="16"/>
  <c r="AR30" i="16"/>
  <c r="AR31" i="16"/>
  <c r="AR32" i="16"/>
  <c r="AR33" i="16"/>
  <c r="AR34" i="16"/>
  <c r="AR35" i="16"/>
  <c r="AR36" i="16"/>
  <c r="AR37" i="16"/>
  <c r="AR38" i="16"/>
  <c r="AR39" i="16"/>
  <c r="AR40" i="16"/>
  <c r="AR41" i="16"/>
  <c r="AR42" i="16"/>
  <c r="AR43" i="16"/>
  <c r="AR44" i="16"/>
  <c r="AR45" i="16"/>
  <c r="AU45" i="16" s="1"/>
  <c r="AR46" i="16"/>
  <c r="AU46" i="16" s="1"/>
  <c r="AR47" i="16"/>
  <c r="AU47" i="16" s="1"/>
  <c r="AR48" i="16"/>
  <c r="AU48" i="16" s="1"/>
  <c r="AR49" i="16"/>
  <c r="AU49" i="16" s="1"/>
  <c r="AR50" i="16"/>
  <c r="AU50" i="16" s="1"/>
  <c r="AR51" i="16"/>
  <c r="AU51" i="16" s="1"/>
  <c r="AP45" i="16"/>
  <c r="AP47" i="16"/>
  <c r="AO45" i="16"/>
  <c r="AO46" i="16"/>
  <c r="AO47" i="16"/>
  <c r="AO48" i="16"/>
  <c r="AO49" i="16"/>
  <c r="AO50" i="16"/>
  <c r="AO51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M46" i="16"/>
  <c r="AP46" i="16" s="1"/>
  <c r="AM47" i="16"/>
  <c r="AM48" i="16"/>
  <c r="AM49" i="16"/>
  <c r="AP49" i="16" s="1"/>
  <c r="AM50" i="16"/>
  <c r="AM51" i="16"/>
  <c r="AP51" i="16" s="1"/>
  <c r="AK48" i="16"/>
  <c r="AJ45" i="16"/>
  <c r="AJ46" i="16"/>
  <c r="AJ47" i="16"/>
  <c r="AJ48" i="16"/>
  <c r="AJ49" i="16"/>
  <c r="AK49" i="16" s="1"/>
  <c r="AJ50" i="16"/>
  <c r="AJ51" i="16"/>
  <c r="AH45" i="16"/>
  <c r="AH46" i="16"/>
  <c r="AH47" i="16"/>
  <c r="AK47" i="16" s="1"/>
  <c r="AH48" i="16"/>
  <c r="AP48" i="16" s="1"/>
  <c r="AH49" i="16"/>
  <c r="AH50" i="16"/>
  <c r="AK50" i="16" s="1"/>
  <c r="AH51" i="16"/>
  <c r="AK51" i="16" s="1"/>
  <c r="AE45" i="16"/>
  <c r="AE46" i="16"/>
  <c r="AE47" i="16"/>
  <c r="AE48" i="16"/>
  <c r="AE49" i="16"/>
  <c r="AE50" i="16"/>
  <c r="AE51" i="16"/>
  <c r="AC45" i="16"/>
  <c r="AC46" i="16"/>
  <c r="AF46" i="16" s="1"/>
  <c r="AC47" i="16"/>
  <c r="AF47" i="16" s="1"/>
  <c r="AC48" i="16"/>
  <c r="AF48" i="16" s="1"/>
  <c r="AC49" i="16"/>
  <c r="AF49" i="16" s="1"/>
  <c r="AC50" i="16"/>
  <c r="AC51" i="16"/>
  <c r="AF51" i="16" s="1"/>
  <c r="AA48" i="16"/>
  <c r="Z45" i="16"/>
  <c r="Z46" i="16"/>
  <c r="Z47" i="16"/>
  <c r="Z48" i="16"/>
  <c r="Z49" i="16"/>
  <c r="AA49" i="16" s="1"/>
  <c r="Z50" i="16"/>
  <c r="Z51" i="16"/>
  <c r="X45" i="16"/>
  <c r="X46" i="16"/>
  <c r="X47" i="16"/>
  <c r="AA47" i="16" s="1"/>
  <c r="X48" i="16"/>
  <c r="X49" i="16"/>
  <c r="X50" i="16"/>
  <c r="AA50" i="16" s="1"/>
  <c r="X51" i="16"/>
  <c r="AA51" i="16" s="1"/>
  <c r="U45" i="16"/>
  <c r="U46" i="16"/>
  <c r="U47" i="16"/>
  <c r="U48" i="16"/>
  <c r="U49" i="16"/>
  <c r="U50" i="16"/>
  <c r="U51" i="16"/>
  <c r="S45" i="16"/>
  <c r="S46" i="16"/>
  <c r="V46" i="16" s="1"/>
  <c r="S47" i="16"/>
  <c r="V47" i="16" s="1"/>
  <c r="S48" i="16"/>
  <c r="V48" i="16" s="1"/>
  <c r="S49" i="16"/>
  <c r="V49" i="16" s="1"/>
  <c r="S50" i="16"/>
  <c r="S51" i="16"/>
  <c r="V51" i="16" s="1"/>
  <c r="Q46" i="16"/>
  <c r="Q48" i="16"/>
  <c r="P45" i="16"/>
  <c r="P46" i="16"/>
  <c r="P47" i="16"/>
  <c r="P48" i="16"/>
  <c r="P49" i="16"/>
  <c r="Q49" i="16" s="1"/>
  <c r="P50" i="16"/>
  <c r="P51" i="16"/>
  <c r="N45" i="16"/>
  <c r="N46" i="16"/>
  <c r="N47" i="16"/>
  <c r="Q47" i="16" s="1"/>
  <c r="N48" i="16"/>
  <c r="N49" i="16"/>
  <c r="N50" i="16"/>
  <c r="Q50" i="16" s="1"/>
  <c r="N51" i="16"/>
  <c r="F51" i="16" s="1"/>
  <c r="L45" i="16"/>
  <c r="L46" i="16"/>
  <c r="L47" i="16"/>
  <c r="L48" i="16"/>
  <c r="L49" i="16"/>
  <c r="L50" i="16"/>
  <c r="L51" i="16"/>
  <c r="J45" i="16"/>
  <c r="F45" i="16" s="1"/>
  <c r="J46" i="16"/>
  <c r="J47" i="16"/>
  <c r="J48" i="16"/>
  <c r="J49" i="16"/>
  <c r="J50" i="16"/>
  <c r="J51" i="16"/>
  <c r="F46" i="16"/>
  <c r="F47" i="16"/>
  <c r="G47" i="16" l="1"/>
  <c r="E47" i="16" s="1"/>
  <c r="H47" i="16" s="1"/>
  <c r="G46" i="16"/>
  <c r="E46" i="16" s="1"/>
  <c r="H46" i="16" s="1"/>
  <c r="G48" i="16"/>
  <c r="E48" i="16" s="1"/>
  <c r="V50" i="16"/>
  <c r="AA46" i="16"/>
  <c r="AF50" i="16"/>
  <c r="AK46" i="16"/>
  <c r="Q51" i="16"/>
  <c r="G51" i="16" s="1"/>
  <c r="E51" i="16" s="1"/>
  <c r="H51" i="16" s="1"/>
  <c r="AP50" i="16"/>
  <c r="G50" i="16" s="1"/>
  <c r="E50" i="16" s="1"/>
  <c r="H50" i="16" s="1"/>
  <c r="AF45" i="16"/>
  <c r="AK45" i="16"/>
  <c r="AA45" i="16"/>
  <c r="V45" i="16"/>
  <c r="Q45" i="16"/>
  <c r="G49" i="16"/>
  <c r="E49" i="16" s="1"/>
  <c r="F50" i="16"/>
  <c r="F48" i="16"/>
  <c r="H48" i="16" s="1"/>
  <c r="F49" i="16"/>
  <c r="H49" i="16" s="1"/>
  <c r="AE44" i="16"/>
  <c r="L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3" i="16"/>
  <c r="AJ38" i="14"/>
  <c r="AJ39" i="14"/>
  <c r="AJ87" i="14"/>
  <c r="AJ71" i="14"/>
  <c r="AJ172" i="14"/>
  <c r="AJ170" i="14"/>
  <c r="AJ193" i="14"/>
  <c r="AG192" i="14"/>
  <c r="AJ202" i="14"/>
  <c r="G45" i="16" l="1"/>
  <c r="E45" i="16" s="1"/>
  <c r="H45" i="16" s="1"/>
  <c r="AB86" i="14" l="1"/>
  <c r="AB89" i="14"/>
  <c r="AB90" i="14"/>
  <c r="AB91" i="14"/>
  <c r="AB85" i="14"/>
  <c r="AB59" i="14"/>
  <c r="AB52" i="14"/>
  <c r="AB44" i="14"/>
  <c r="AB42" i="14"/>
  <c r="AB33" i="14"/>
  <c r="AB29" i="14"/>
  <c r="AB25" i="14"/>
  <c r="AJ25" i="14"/>
  <c r="AB203" i="14"/>
  <c r="AJ206" i="14"/>
  <c r="AJ203" i="14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AB13" i="14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N79" i="18"/>
  <c r="M79" i="18"/>
  <c r="N78" i="18"/>
  <c r="M78" i="18"/>
  <c r="N77" i="18"/>
  <c r="M77" i="18"/>
  <c r="N76" i="18"/>
  <c r="M76" i="18"/>
  <c r="N75" i="18"/>
  <c r="M75" i="18"/>
  <c r="N74" i="18"/>
  <c r="M74" i="18"/>
  <c r="N73" i="18"/>
  <c r="M73" i="18"/>
  <c r="N72" i="18"/>
  <c r="M72" i="18"/>
  <c r="N71" i="18"/>
  <c r="M71" i="18"/>
  <c r="N70" i="18"/>
  <c r="M70" i="18"/>
  <c r="N69" i="18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N62" i="18"/>
  <c r="M62" i="18"/>
  <c r="N61" i="18"/>
  <c r="M61" i="18"/>
  <c r="N60" i="18"/>
  <c r="M60" i="18"/>
  <c r="N59" i="18"/>
  <c r="M59" i="18"/>
  <c r="N58" i="18"/>
  <c r="M58" i="18"/>
  <c r="N57" i="18"/>
  <c r="M57" i="18"/>
  <c r="N56" i="18"/>
  <c r="M56" i="18"/>
  <c r="N55" i="18"/>
  <c r="M55" i="18"/>
  <c r="N54" i="18"/>
  <c r="M54" i="18"/>
  <c r="N53" i="18"/>
  <c r="M53" i="18"/>
  <c r="N52" i="18"/>
  <c r="M52" i="18"/>
  <c r="N51" i="18"/>
  <c r="M51" i="18"/>
  <c r="N50" i="18"/>
  <c r="M50" i="18"/>
  <c r="N49" i="18"/>
  <c r="M49" i="18"/>
  <c r="N48" i="18"/>
  <c r="M48" i="18"/>
  <c r="N47" i="18"/>
  <c r="M47" i="18"/>
  <c r="N46" i="18"/>
  <c r="M46" i="18"/>
  <c r="N45" i="18"/>
  <c r="M45" i="18"/>
  <c r="N44" i="18"/>
  <c r="M44" i="18"/>
  <c r="N43" i="18"/>
  <c r="M43" i="18"/>
  <c r="N42" i="18"/>
  <c r="M42" i="18"/>
  <c r="N41" i="18"/>
  <c r="M41" i="18"/>
  <c r="N40" i="18"/>
  <c r="M40" i="18"/>
  <c r="N39" i="18"/>
  <c r="M39" i="18"/>
  <c r="N38" i="18"/>
  <c r="M38" i="18"/>
  <c r="N37" i="18"/>
  <c r="M37" i="18"/>
  <c r="N36" i="18"/>
  <c r="M36" i="18"/>
  <c r="N35" i="18"/>
  <c r="M35" i="18"/>
  <c r="N34" i="18"/>
  <c r="M34" i="18"/>
  <c r="N33" i="18"/>
  <c r="M33" i="18"/>
  <c r="N32" i="18"/>
  <c r="M32" i="18"/>
  <c r="N31" i="18"/>
  <c r="M31" i="18"/>
  <c r="N30" i="18"/>
  <c r="M30" i="18"/>
  <c r="N29" i="18"/>
  <c r="M29" i="18"/>
  <c r="N28" i="18"/>
  <c r="M28" i="18"/>
  <c r="N27" i="18"/>
  <c r="M27" i="18"/>
  <c r="N26" i="18"/>
  <c r="M26" i="18"/>
  <c r="N25" i="18"/>
  <c r="M25" i="18"/>
  <c r="N24" i="18"/>
  <c r="M24" i="18"/>
  <c r="N23" i="18"/>
  <c r="M23" i="18"/>
  <c r="N22" i="18"/>
  <c r="M22" i="18"/>
  <c r="N21" i="18"/>
  <c r="M21" i="18"/>
  <c r="N20" i="18"/>
  <c r="M20" i="18"/>
  <c r="N19" i="18"/>
  <c r="M19" i="18"/>
  <c r="N18" i="18"/>
  <c r="M18" i="18"/>
  <c r="N17" i="18"/>
  <c r="M17" i="18"/>
  <c r="N16" i="18"/>
  <c r="M16" i="18"/>
  <c r="N15" i="18"/>
  <c r="M15" i="18"/>
  <c r="N14" i="18"/>
  <c r="M14" i="18"/>
  <c r="N13" i="18"/>
  <c r="M13" i="18"/>
  <c r="N12" i="18"/>
  <c r="M12" i="18"/>
  <c r="N11" i="18"/>
  <c r="M11" i="18"/>
  <c r="N10" i="18"/>
  <c r="M10" i="18"/>
  <c r="N9" i="18"/>
  <c r="M9" i="18"/>
  <c r="E165" i="18"/>
  <c r="D165" i="18"/>
  <c r="G165" i="18" s="1"/>
  <c r="C165" i="18"/>
  <c r="E164" i="18"/>
  <c r="D164" i="18"/>
  <c r="G164" i="18" s="1"/>
  <c r="C164" i="18"/>
  <c r="E163" i="18"/>
  <c r="D163" i="18"/>
  <c r="C163" i="18"/>
  <c r="E162" i="18"/>
  <c r="D162" i="18"/>
  <c r="G162" i="18" s="1"/>
  <c r="C162" i="18"/>
  <c r="F162" i="18" s="1"/>
  <c r="E161" i="18"/>
  <c r="D161" i="18"/>
  <c r="G161" i="18" s="1"/>
  <c r="C161" i="18"/>
  <c r="E160" i="18"/>
  <c r="D160" i="18"/>
  <c r="G160" i="18" s="1"/>
  <c r="C160" i="18"/>
  <c r="E159" i="18"/>
  <c r="D159" i="18"/>
  <c r="C159" i="18"/>
  <c r="F159" i="18" s="1"/>
  <c r="E158" i="18"/>
  <c r="D158" i="18"/>
  <c r="C158" i="18"/>
  <c r="E157" i="18"/>
  <c r="D157" i="18"/>
  <c r="G157" i="18" s="1"/>
  <c r="C157" i="18"/>
  <c r="F157" i="18" s="1"/>
  <c r="E156" i="18"/>
  <c r="D156" i="18"/>
  <c r="C156" i="18"/>
  <c r="E155" i="18"/>
  <c r="D155" i="18"/>
  <c r="C155" i="18"/>
  <c r="E154" i="18"/>
  <c r="D154" i="18"/>
  <c r="C154" i="18"/>
  <c r="F154" i="18" s="1"/>
  <c r="G153" i="18"/>
  <c r="F153" i="18"/>
  <c r="E153" i="18"/>
  <c r="D153" i="18"/>
  <c r="C153" i="18"/>
  <c r="E152" i="18"/>
  <c r="D152" i="18"/>
  <c r="C152" i="18"/>
  <c r="F152" i="18" s="1"/>
  <c r="F151" i="18"/>
  <c r="E151" i="18"/>
  <c r="G151" i="18" s="1"/>
  <c r="D151" i="18"/>
  <c r="C151" i="18"/>
  <c r="E150" i="18"/>
  <c r="D150" i="18"/>
  <c r="C150" i="18"/>
  <c r="F150" i="18" s="1"/>
  <c r="E149" i="18"/>
  <c r="D149" i="18"/>
  <c r="G149" i="18" s="1"/>
  <c r="C149" i="18"/>
  <c r="E148" i="18"/>
  <c r="D148" i="18"/>
  <c r="C148" i="18"/>
  <c r="E147" i="18"/>
  <c r="D147" i="18"/>
  <c r="C147" i="18"/>
  <c r="E146" i="18"/>
  <c r="D146" i="18"/>
  <c r="G146" i="18" s="1"/>
  <c r="C146" i="18"/>
  <c r="E145" i="18"/>
  <c r="D145" i="18"/>
  <c r="G145" i="18" s="1"/>
  <c r="C145" i="18"/>
  <c r="E144" i="18"/>
  <c r="D144" i="18"/>
  <c r="G144" i="18" s="1"/>
  <c r="C144" i="18"/>
  <c r="F144" i="18" s="1"/>
  <c r="E143" i="18"/>
  <c r="D143" i="18"/>
  <c r="C143" i="18"/>
  <c r="E142" i="18"/>
  <c r="D142" i="18"/>
  <c r="C142" i="18"/>
  <c r="F142" i="18" s="1"/>
  <c r="E141" i="18"/>
  <c r="D141" i="18"/>
  <c r="G141" i="18" s="1"/>
  <c r="C141" i="18"/>
  <c r="F141" i="18" s="1"/>
  <c r="G140" i="18"/>
  <c r="E140" i="18"/>
  <c r="D140" i="18"/>
  <c r="C140" i="18"/>
  <c r="E139" i="18"/>
  <c r="D139" i="18"/>
  <c r="C139" i="18"/>
  <c r="E138" i="18"/>
  <c r="G138" i="18" s="1"/>
  <c r="D138" i="18"/>
  <c r="C138" i="18"/>
  <c r="E137" i="18"/>
  <c r="D137" i="18"/>
  <c r="G137" i="18" s="1"/>
  <c r="C137" i="18"/>
  <c r="F137" i="18" s="1"/>
  <c r="E136" i="18"/>
  <c r="D136" i="18"/>
  <c r="C136" i="18"/>
  <c r="F136" i="18" s="1"/>
  <c r="E135" i="18"/>
  <c r="G135" i="18" s="1"/>
  <c r="D135" i="18"/>
  <c r="C135" i="18"/>
  <c r="E134" i="18"/>
  <c r="D134" i="18"/>
  <c r="C134" i="18"/>
  <c r="F134" i="18" s="1"/>
  <c r="E133" i="18"/>
  <c r="D133" i="18"/>
  <c r="C133" i="18"/>
  <c r="E132" i="18"/>
  <c r="D132" i="18"/>
  <c r="C132" i="18"/>
  <c r="E131" i="18"/>
  <c r="D131" i="18"/>
  <c r="C131" i="18"/>
  <c r="E130" i="18"/>
  <c r="D130" i="18"/>
  <c r="C130" i="18"/>
  <c r="F130" i="18" s="1"/>
  <c r="E129" i="18"/>
  <c r="D129" i="18"/>
  <c r="G129" i="18" s="1"/>
  <c r="C129" i="18"/>
  <c r="E128" i="18"/>
  <c r="D128" i="18"/>
  <c r="G128" i="18" s="1"/>
  <c r="C128" i="18"/>
  <c r="E127" i="18"/>
  <c r="D127" i="18"/>
  <c r="C127" i="18"/>
  <c r="E126" i="18"/>
  <c r="D126" i="18"/>
  <c r="C126" i="18"/>
  <c r="F126" i="18" s="1"/>
  <c r="E125" i="18"/>
  <c r="D125" i="18"/>
  <c r="C125" i="18"/>
  <c r="E124" i="18"/>
  <c r="D124" i="18"/>
  <c r="C124" i="18"/>
  <c r="E123" i="18"/>
  <c r="D123" i="18"/>
  <c r="C123" i="18"/>
  <c r="E122" i="18"/>
  <c r="G122" i="18" s="1"/>
  <c r="D122" i="18"/>
  <c r="C122" i="18"/>
  <c r="E121" i="18"/>
  <c r="D121" i="18"/>
  <c r="G121" i="18" s="1"/>
  <c r="C121" i="18"/>
  <c r="F121" i="18" s="1"/>
  <c r="E120" i="18"/>
  <c r="D120" i="18"/>
  <c r="C120" i="18"/>
  <c r="F120" i="18" s="1"/>
  <c r="E119" i="18"/>
  <c r="D119" i="18"/>
  <c r="C119" i="18"/>
  <c r="F119" i="18" s="1"/>
  <c r="E118" i="18"/>
  <c r="G118" i="18" s="1"/>
  <c r="D118" i="18"/>
  <c r="C118" i="18"/>
  <c r="E117" i="18"/>
  <c r="D117" i="18"/>
  <c r="C117" i="18"/>
  <c r="E116" i="18"/>
  <c r="D116" i="18"/>
  <c r="C116" i="18"/>
  <c r="E115" i="18"/>
  <c r="D115" i="18"/>
  <c r="C115" i="18"/>
  <c r="E114" i="18"/>
  <c r="D114" i="18"/>
  <c r="G114" i="18" s="1"/>
  <c r="C114" i="18"/>
  <c r="F114" i="18" s="1"/>
  <c r="E113" i="18"/>
  <c r="D113" i="18"/>
  <c r="G113" i="18" s="1"/>
  <c r="C113" i="18"/>
  <c r="E111" i="18"/>
  <c r="D111" i="18"/>
  <c r="C111" i="18"/>
  <c r="F111" i="18" s="1"/>
  <c r="E110" i="18"/>
  <c r="D110" i="18"/>
  <c r="C110" i="18"/>
  <c r="F110" i="18" s="1"/>
  <c r="E109" i="18"/>
  <c r="D109" i="18"/>
  <c r="C109" i="18"/>
  <c r="E108" i="18"/>
  <c r="D108" i="18"/>
  <c r="G108" i="18" s="1"/>
  <c r="C108" i="18"/>
  <c r="F108" i="18" s="1"/>
  <c r="E107" i="18"/>
  <c r="D107" i="18"/>
  <c r="G107" i="18" s="1"/>
  <c r="C107" i="18"/>
  <c r="E106" i="18"/>
  <c r="D106" i="18"/>
  <c r="C106" i="18"/>
  <c r="E105" i="18"/>
  <c r="D105" i="18"/>
  <c r="C105" i="18"/>
  <c r="F105" i="18" s="1"/>
  <c r="E104" i="18"/>
  <c r="D104" i="18"/>
  <c r="C104" i="18"/>
  <c r="F104" i="18" s="1"/>
  <c r="E103" i="18"/>
  <c r="D103" i="18"/>
  <c r="C103" i="18"/>
  <c r="F103" i="18" s="1"/>
  <c r="E102" i="18"/>
  <c r="D102" i="18"/>
  <c r="C102" i="18"/>
  <c r="F102" i="18" s="1"/>
  <c r="E101" i="18"/>
  <c r="G101" i="18" s="1"/>
  <c r="D101" i="18"/>
  <c r="C101" i="18"/>
  <c r="F101" i="18" s="1"/>
  <c r="E100" i="18"/>
  <c r="D100" i="18"/>
  <c r="G100" i="18" s="1"/>
  <c r="C100" i="18"/>
  <c r="E99" i="18"/>
  <c r="D99" i="18"/>
  <c r="F99" i="18" s="1"/>
  <c r="C99" i="18"/>
  <c r="E98" i="18"/>
  <c r="D98" i="18"/>
  <c r="C98" i="18"/>
  <c r="E97" i="18"/>
  <c r="D97" i="18"/>
  <c r="G97" i="18" s="1"/>
  <c r="C97" i="18"/>
  <c r="F97" i="18" s="1"/>
  <c r="E96" i="18"/>
  <c r="D96" i="18"/>
  <c r="C96" i="18"/>
  <c r="E95" i="18"/>
  <c r="D95" i="18"/>
  <c r="G95" i="18" s="1"/>
  <c r="C95" i="18"/>
  <c r="F95" i="18" s="1"/>
  <c r="E94" i="18"/>
  <c r="D94" i="18"/>
  <c r="C94" i="18"/>
  <c r="E93" i="18"/>
  <c r="D93" i="18"/>
  <c r="C93" i="18"/>
  <c r="F93" i="18" s="1"/>
  <c r="E92" i="18"/>
  <c r="D92" i="18"/>
  <c r="G92" i="18" s="1"/>
  <c r="C92" i="18"/>
  <c r="F92" i="18" s="1"/>
  <c r="E91" i="18"/>
  <c r="D91" i="18"/>
  <c r="C91" i="18"/>
  <c r="E90" i="18"/>
  <c r="D90" i="18"/>
  <c r="C90" i="18"/>
  <c r="E89" i="18"/>
  <c r="D89" i="18"/>
  <c r="C89" i="18"/>
  <c r="F89" i="18" s="1"/>
  <c r="E88" i="18"/>
  <c r="D88" i="18"/>
  <c r="G88" i="18" s="1"/>
  <c r="C88" i="18"/>
  <c r="F88" i="18" s="1"/>
  <c r="E87" i="18"/>
  <c r="D87" i="18"/>
  <c r="C87" i="18"/>
  <c r="F87" i="18" s="1"/>
  <c r="E86" i="18"/>
  <c r="G86" i="18" s="1"/>
  <c r="D86" i="18"/>
  <c r="C86" i="18"/>
  <c r="F86" i="18" s="1"/>
  <c r="E85" i="18"/>
  <c r="D85" i="18"/>
  <c r="C85" i="18"/>
  <c r="F85" i="18" s="1"/>
  <c r="E84" i="18"/>
  <c r="D84" i="18"/>
  <c r="C84" i="18"/>
  <c r="E83" i="18"/>
  <c r="D83" i="18"/>
  <c r="C83" i="18"/>
  <c r="E82" i="18"/>
  <c r="D82" i="18"/>
  <c r="C82" i="18"/>
  <c r="E81" i="18"/>
  <c r="D81" i="18"/>
  <c r="G81" i="18" s="1"/>
  <c r="C81" i="18"/>
  <c r="E80" i="18"/>
  <c r="D80" i="18"/>
  <c r="G80" i="18" s="1"/>
  <c r="C80" i="18"/>
  <c r="E79" i="18"/>
  <c r="D79" i="18"/>
  <c r="G79" i="18" s="1"/>
  <c r="C79" i="18"/>
  <c r="E78" i="18"/>
  <c r="D78" i="18"/>
  <c r="C78" i="18"/>
  <c r="F78" i="18" s="1"/>
  <c r="E77" i="18"/>
  <c r="D77" i="18"/>
  <c r="C77" i="18"/>
  <c r="F77" i="18" s="1"/>
  <c r="E76" i="18"/>
  <c r="D76" i="18"/>
  <c r="C76" i="18"/>
  <c r="E75" i="18"/>
  <c r="D75" i="18"/>
  <c r="G75" i="18" s="1"/>
  <c r="C75" i="18"/>
  <c r="E74" i="18"/>
  <c r="D74" i="18"/>
  <c r="C74" i="18"/>
  <c r="E73" i="18"/>
  <c r="G73" i="18" s="1"/>
  <c r="D73" i="18"/>
  <c r="C73" i="18"/>
  <c r="F73" i="18" s="1"/>
  <c r="E72" i="18"/>
  <c r="D72" i="18"/>
  <c r="G72" i="18" s="1"/>
  <c r="C72" i="18"/>
  <c r="F72" i="18" s="1"/>
  <c r="E71" i="18"/>
  <c r="D71" i="18"/>
  <c r="C71" i="18"/>
  <c r="F71" i="18" s="1"/>
  <c r="E70" i="18"/>
  <c r="D70" i="18"/>
  <c r="C70" i="18"/>
  <c r="F70" i="18" s="1"/>
  <c r="E69" i="18"/>
  <c r="D69" i="18"/>
  <c r="F69" i="18" s="1"/>
  <c r="C69" i="18"/>
  <c r="E68" i="18"/>
  <c r="D68" i="18"/>
  <c r="C68" i="18"/>
  <c r="E67" i="18"/>
  <c r="D67" i="18"/>
  <c r="C67" i="18"/>
  <c r="E66" i="18"/>
  <c r="D66" i="18"/>
  <c r="C66" i="18"/>
  <c r="E65" i="18"/>
  <c r="D65" i="18"/>
  <c r="G65" i="18" s="1"/>
  <c r="C65" i="18"/>
  <c r="F65" i="18" s="1"/>
  <c r="E64" i="18"/>
  <c r="D64" i="18"/>
  <c r="G64" i="18" s="1"/>
  <c r="C64" i="18"/>
  <c r="E63" i="18"/>
  <c r="D63" i="18"/>
  <c r="G63" i="18" s="1"/>
  <c r="C63" i="18"/>
  <c r="E62" i="18"/>
  <c r="D62" i="18"/>
  <c r="C62" i="18"/>
  <c r="F62" i="18" s="1"/>
  <c r="E61" i="18"/>
  <c r="D61" i="18"/>
  <c r="C61" i="18"/>
  <c r="E60" i="18"/>
  <c r="D60" i="18"/>
  <c r="C60" i="18"/>
  <c r="F60" i="18" s="1"/>
  <c r="E59" i="18"/>
  <c r="D59" i="18"/>
  <c r="C59" i="18"/>
  <c r="E58" i="18"/>
  <c r="D58" i="18"/>
  <c r="C58" i="18"/>
  <c r="E57" i="18"/>
  <c r="D57" i="18"/>
  <c r="C57" i="18"/>
  <c r="F57" i="18" s="1"/>
  <c r="F56" i="18"/>
  <c r="E56" i="18"/>
  <c r="G56" i="18" s="1"/>
  <c r="D56" i="18"/>
  <c r="C56" i="18"/>
  <c r="E55" i="18"/>
  <c r="D55" i="18"/>
  <c r="C55" i="18"/>
  <c r="F55" i="18" s="1"/>
  <c r="E54" i="18"/>
  <c r="D54" i="18"/>
  <c r="F54" i="18" s="1"/>
  <c r="C54" i="18"/>
  <c r="E53" i="18"/>
  <c r="G53" i="18" s="1"/>
  <c r="D53" i="18"/>
  <c r="C53" i="18"/>
  <c r="F53" i="18" s="1"/>
  <c r="E52" i="18"/>
  <c r="D52" i="18"/>
  <c r="G52" i="18" s="1"/>
  <c r="C52" i="18"/>
  <c r="E51" i="18"/>
  <c r="D51" i="18"/>
  <c r="C51" i="18"/>
  <c r="E50" i="18"/>
  <c r="D50" i="18"/>
  <c r="C50" i="18"/>
  <c r="E49" i="18"/>
  <c r="D49" i="18"/>
  <c r="G49" i="18" s="1"/>
  <c r="C49" i="18"/>
  <c r="F49" i="18" s="1"/>
  <c r="E48" i="18"/>
  <c r="D48" i="18"/>
  <c r="G48" i="18" s="1"/>
  <c r="C48" i="18"/>
  <c r="E47" i="18"/>
  <c r="D47" i="18"/>
  <c r="G47" i="18" s="1"/>
  <c r="C47" i="18"/>
  <c r="F47" i="18" s="1"/>
  <c r="E46" i="18"/>
  <c r="D46" i="18"/>
  <c r="C46" i="18"/>
  <c r="E45" i="18"/>
  <c r="D45" i="18"/>
  <c r="C45" i="18"/>
  <c r="F45" i="18" s="1"/>
  <c r="E44" i="18"/>
  <c r="D44" i="18"/>
  <c r="G44" i="18" s="1"/>
  <c r="C44" i="18"/>
  <c r="F44" i="18" s="1"/>
  <c r="G43" i="18"/>
  <c r="E43" i="18"/>
  <c r="D43" i="18"/>
  <c r="C43" i="18"/>
  <c r="E42" i="18"/>
  <c r="D42" i="18"/>
  <c r="C42" i="18"/>
  <c r="E41" i="18"/>
  <c r="D41" i="18"/>
  <c r="C41" i="18"/>
  <c r="E40" i="18"/>
  <c r="D40" i="18"/>
  <c r="C40" i="18"/>
  <c r="F40" i="18" s="1"/>
  <c r="E39" i="18"/>
  <c r="D39" i="18"/>
  <c r="C39" i="18"/>
  <c r="F39" i="18" s="1"/>
  <c r="E38" i="18"/>
  <c r="G38" i="18" s="1"/>
  <c r="D38" i="18"/>
  <c r="C38" i="18"/>
  <c r="F38" i="18" s="1"/>
  <c r="E37" i="18"/>
  <c r="D37" i="18"/>
  <c r="C37" i="18"/>
  <c r="F37" i="18" s="1"/>
  <c r="E36" i="18"/>
  <c r="D36" i="18"/>
  <c r="G36" i="18" s="1"/>
  <c r="C36" i="18"/>
  <c r="E35" i="18"/>
  <c r="D35" i="18"/>
  <c r="C35" i="18"/>
  <c r="E34" i="18"/>
  <c r="D34" i="18"/>
  <c r="C34" i="18"/>
  <c r="E33" i="18"/>
  <c r="D33" i="18"/>
  <c r="C33" i="18"/>
  <c r="F33" i="18" s="1"/>
  <c r="E32" i="18"/>
  <c r="D32" i="18"/>
  <c r="G32" i="18" s="1"/>
  <c r="C32" i="18"/>
  <c r="E31" i="18"/>
  <c r="D31" i="18"/>
  <c r="G31" i="18" s="1"/>
  <c r="C31" i="18"/>
  <c r="F31" i="18" s="1"/>
  <c r="E30" i="18"/>
  <c r="D30" i="18"/>
  <c r="C30" i="18"/>
  <c r="E29" i="18"/>
  <c r="D29" i="18"/>
  <c r="C29" i="18"/>
  <c r="F29" i="18" s="1"/>
  <c r="E28" i="18"/>
  <c r="D28" i="18"/>
  <c r="G28" i="18" s="1"/>
  <c r="C28" i="18"/>
  <c r="E27" i="18"/>
  <c r="D27" i="18"/>
  <c r="C27" i="18"/>
  <c r="E26" i="18"/>
  <c r="D26" i="18"/>
  <c r="C26" i="18"/>
  <c r="E25" i="18"/>
  <c r="G25" i="18" s="1"/>
  <c r="D25" i="18"/>
  <c r="C25" i="18"/>
  <c r="E24" i="18"/>
  <c r="D24" i="18"/>
  <c r="G24" i="18" s="1"/>
  <c r="C24" i="18"/>
  <c r="F24" i="18" s="1"/>
  <c r="E23" i="18"/>
  <c r="D23" i="18"/>
  <c r="C23" i="18"/>
  <c r="F23" i="18" s="1"/>
  <c r="E22" i="18"/>
  <c r="D22" i="18"/>
  <c r="C22" i="18"/>
  <c r="F22" i="18" s="1"/>
  <c r="E21" i="18"/>
  <c r="D21" i="18"/>
  <c r="C21" i="18"/>
  <c r="E20" i="18"/>
  <c r="D20" i="18"/>
  <c r="C20" i="18"/>
  <c r="E19" i="18"/>
  <c r="D19" i="18"/>
  <c r="C19" i="18"/>
  <c r="F19" i="18" s="1"/>
  <c r="E18" i="18"/>
  <c r="D18" i="18"/>
  <c r="C18" i="18"/>
  <c r="E17" i="18"/>
  <c r="D17" i="18"/>
  <c r="G17" i="18" s="1"/>
  <c r="C17" i="18"/>
  <c r="E16" i="18"/>
  <c r="D16" i="18"/>
  <c r="G16" i="18" s="1"/>
  <c r="C16" i="18"/>
  <c r="E15" i="18"/>
  <c r="D15" i="18"/>
  <c r="G15" i="18" s="1"/>
  <c r="C15" i="18"/>
  <c r="E14" i="18"/>
  <c r="D14" i="18"/>
  <c r="C14" i="18"/>
  <c r="E13" i="18"/>
  <c r="D13" i="18"/>
  <c r="C13" i="18"/>
  <c r="E12" i="18"/>
  <c r="D12" i="18"/>
  <c r="C12" i="18"/>
  <c r="E11" i="18"/>
  <c r="D11" i="18"/>
  <c r="C11" i="18"/>
  <c r="F11" i="18" s="1"/>
  <c r="E10" i="18"/>
  <c r="D10" i="18"/>
  <c r="F10" i="18" s="1"/>
  <c r="C10" i="18"/>
  <c r="E9" i="18"/>
  <c r="D9" i="18"/>
  <c r="G9" i="18" s="1"/>
  <c r="C9" i="18"/>
  <c r="AB15" i="14"/>
  <c r="AB14" i="14"/>
  <c r="AO44" i="16"/>
  <c r="AU44" i="16" s="1"/>
  <c r="AB156" i="14"/>
  <c r="AB18" i="14"/>
  <c r="AB17" i="14"/>
  <c r="AB19" i="14"/>
  <c r="AB23" i="14"/>
  <c r="AB21" i="14"/>
  <c r="AB22" i="14"/>
  <c r="G5" i="14"/>
  <c r="AB5" i="14"/>
  <c r="AB8" i="14"/>
  <c r="AT23" i="16"/>
  <c r="AT24" i="16"/>
  <c r="AT22" i="16"/>
  <c r="AO23" i="16"/>
  <c r="AO24" i="16"/>
  <c r="AO33" i="16"/>
  <c r="AO22" i="16"/>
  <c r="AJ23" i="16"/>
  <c r="AJ24" i="16"/>
  <c r="AJ25" i="16"/>
  <c r="AJ26" i="16"/>
  <c r="AJ32" i="16"/>
  <c r="AJ33" i="16"/>
  <c r="AJ44" i="16"/>
  <c r="AJ22" i="16"/>
  <c r="AE10" i="16"/>
  <c r="AE12" i="16"/>
  <c r="AE19" i="16"/>
  <c r="AE20" i="16"/>
  <c r="AE21" i="16"/>
  <c r="AE22" i="16"/>
  <c r="AE23" i="16"/>
  <c r="AE24" i="16"/>
  <c r="AE25" i="16"/>
  <c r="AE26" i="16"/>
  <c r="AE27" i="16"/>
  <c r="AE32" i="16"/>
  <c r="AE33" i="16"/>
  <c r="AE34" i="16"/>
  <c r="AE35" i="16"/>
  <c r="AE36" i="16"/>
  <c r="AE37" i="16"/>
  <c r="AE41" i="16"/>
  <c r="AE42" i="16"/>
  <c r="AE43" i="16"/>
  <c r="AE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F67" i="18" l="1"/>
  <c r="G11" i="18"/>
  <c r="G85" i="18"/>
  <c r="G105" i="18"/>
  <c r="F13" i="18"/>
  <c r="F18" i="18"/>
  <c r="F21" i="18"/>
  <c r="F28" i="18"/>
  <c r="G33" i="18"/>
  <c r="F41" i="18"/>
  <c r="F46" i="18"/>
  <c r="F51" i="18"/>
  <c r="F61" i="18"/>
  <c r="G76" i="18"/>
  <c r="F79" i="18"/>
  <c r="G84" i="18"/>
  <c r="F94" i="18"/>
  <c r="G104" i="18"/>
  <c r="G125" i="18"/>
  <c r="F128" i="18"/>
  <c r="G133" i="18"/>
  <c r="F146" i="18"/>
  <c r="F161" i="18"/>
  <c r="G89" i="18"/>
  <c r="G19" i="18"/>
  <c r="G22" i="18"/>
  <c r="G37" i="18"/>
  <c r="F83" i="18"/>
  <c r="G117" i="18"/>
  <c r="F127" i="18"/>
  <c r="F132" i="18"/>
  <c r="G154" i="18"/>
  <c r="F160" i="18"/>
  <c r="G54" i="18"/>
  <c r="G69" i="18"/>
  <c r="G102" i="18"/>
  <c r="G119" i="18"/>
  <c r="G134" i="18"/>
  <c r="G12" i="18"/>
  <c r="G20" i="18"/>
  <c r="F30" i="18"/>
  <c r="F35" i="18"/>
  <c r="G40" i="18"/>
  <c r="G57" i="18"/>
  <c r="G60" i="18"/>
  <c r="F63" i="18"/>
  <c r="G68" i="18"/>
  <c r="G70" i="18"/>
  <c r="F81" i="18"/>
  <c r="G111" i="18"/>
  <c r="F122" i="18"/>
  <c r="F135" i="18"/>
  <c r="G150" i="18"/>
  <c r="G13" i="18"/>
  <c r="G21" i="18"/>
  <c r="G41" i="18"/>
  <c r="F116" i="18"/>
  <c r="F14" i="18"/>
  <c r="F25" i="18"/>
  <c r="F76" i="18"/>
  <c r="G96" i="18"/>
  <c r="F109" i="18"/>
  <c r="F118" i="18"/>
  <c r="F125" i="18"/>
  <c r="G130" i="18"/>
  <c r="F138" i="18"/>
  <c r="F143" i="18"/>
  <c r="F148" i="18"/>
  <c r="F158" i="18"/>
  <c r="F16" i="18"/>
  <c r="G30" i="18"/>
  <c r="F32" i="18"/>
  <c r="F43" i="18"/>
  <c r="G45" i="18"/>
  <c r="G51" i="18"/>
  <c r="G62" i="18"/>
  <c r="F64" i="18"/>
  <c r="F75" i="18"/>
  <c r="G77" i="18"/>
  <c r="G83" i="18"/>
  <c r="G94" i="18"/>
  <c r="F96" i="18"/>
  <c r="F107" i="18"/>
  <c r="G109" i="18"/>
  <c r="G116" i="18"/>
  <c r="G127" i="18"/>
  <c r="F129" i="18"/>
  <c r="F140" i="18"/>
  <c r="G142" i="18"/>
  <c r="G148" i="18"/>
  <c r="G159" i="18"/>
  <c r="F12" i="18"/>
  <c r="F20" i="18"/>
  <c r="F26" i="18"/>
  <c r="G39" i="18"/>
  <c r="F52" i="18"/>
  <c r="G58" i="18"/>
  <c r="G71" i="18"/>
  <c r="F84" i="18"/>
  <c r="G90" i="18"/>
  <c r="G103" i="18"/>
  <c r="F117" i="18"/>
  <c r="F123" i="18"/>
  <c r="G136" i="18"/>
  <c r="F149" i="18"/>
  <c r="F155" i="18"/>
  <c r="F164" i="18"/>
  <c r="F50" i="18"/>
  <c r="F82" i="18"/>
  <c r="F115" i="18"/>
  <c r="F147" i="18"/>
  <c r="F27" i="18"/>
  <c r="G29" i="18"/>
  <c r="G46" i="18"/>
  <c r="F48" i="18"/>
  <c r="F59" i="18"/>
  <c r="G61" i="18"/>
  <c r="G67" i="18"/>
  <c r="G78" i="18"/>
  <c r="F80" i="18"/>
  <c r="F91" i="18"/>
  <c r="G93" i="18"/>
  <c r="G99" i="18"/>
  <c r="G110" i="18"/>
  <c r="F113" i="18"/>
  <c r="F124" i="18"/>
  <c r="G126" i="18"/>
  <c r="G132" i="18"/>
  <c r="G143" i="18"/>
  <c r="F145" i="18"/>
  <c r="F156" i="18"/>
  <c r="G158" i="18"/>
  <c r="F9" i="18"/>
  <c r="F15" i="18"/>
  <c r="F17" i="18"/>
  <c r="G23" i="18"/>
  <c r="F36" i="18"/>
  <c r="F42" i="18"/>
  <c r="G55" i="18"/>
  <c r="F68" i="18"/>
  <c r="F74" i="18"/>
  <c r="G87" i="18"/>
  <c r="F100" i="18"/>
  <c r="F106" i="18"/>
  <c r="G120" i="18"/>
  <c r="F133" i="18"/>
  <c r="F139" i="18"/>
  <c r="G152" i="18"/>
  <c r="F165" i="18"/>
  <c r="G14" i="18"/>
  <c r="G35" i="18"/>
  <c r="G27" i="18"/>
  <c r="G91" i="18"/>
  <c r="G124" i="18"/>
  <c r="G156" i="18"/>
  <c r="G59" i="18"/>
  <c r="F34" i="18"/>
  <c r="F66" i="18"/>
  <c r="F98" i="18"/>
  <c r="F131" i="18"/>
  <c r="F163" i="18"/>
  <c r="F58" i="18"/>
  <c r="F90" i="18"/>
  <c r="G10" i="18"/>
  <c r="G18" i="18"/>
  <c r="G26" i="18"/>
  <c r="G34" i="18"/>
  <c r="G42" i="18"/>
  <c r="G50" i="18"/>
  <c r="G66" i="18"/>
  <c r="G74" i="18"/>
  <c r="G82" i="18"/>
  <c r="G98" i="18"/>
  <c r="G106" i="18"/>
  <c r="G115" i="18"/>
  <c r="G123" i="18"/>
  <c r="G131" i="18"/>
  <c r="G139" i="18"/>
  <c r="G147" i="18"/>
  <c r="G155" i="18"/>
  <c r="G163" i="18"/>
  <c r="B8" i="14" l="1"/>
  <c r="U3" i="16"/>
  <c r="P3" i="16"/>
  <c r="B5" i="14"/>
  <c r="B4" i="14"/>
  <c r="AR23" i="16" l="1"/>
  <c r="AR24" i="16"/>
  <c r="AR22" i="16"/>
  <c r="AM23" i="16"/>
  <c r="AM24" i="16"/>
  <c r="AP24" i="16" s="1"/>
  <c r="AM33" i="16"/>
  <c r="AM22" i="16"/>
  <c r="AH23" i="16"/>
  <c r="AK23" i="16" s="1"/>
  <c r="AH24" i="16"/>
  <c r="AH25" i="16"/>
  <c r="AH26" i="16"/>
  <c r="AH32" i="16"/>
  <c r="AK32" i="16" s="1"/>
  <c r="AH33" i="16"/>
  <c r="AK33" i="16" s="1"/>
  <c r="AH44" i="16"/>
  <c r="AH22" i="16"/>
  <c r="AK22" i="16" s="1"/>
  <c r="AC10" i="16"/>
  <c r="AF10" i="16" s="1"/>
  <c r="AC12" i="16"/>
  <c r="AC19" i="16"/>
  <c r="AC21" i="16"/>
  <c r="AC22" i="16"/>
  <c r="AC23" i="16"/>
  <c r="AC24" i="16"/>
  <c r="AC25" i="16"/>
  <c r="AF25" i="16" s="1"/>
  <c r="AC26" i="16"/>
  <c r="AF26" i="16" s="1"/>
  <c r="AC27" i="16"/>
  <c r="AC32" i="16"/>
  <c r="AC33" i="16"/>
  <c r="AC34" i="16"/>
  <c r="AC35" i="16"/>
  <c r="AF35" i="16" s="1"/>
  <c r="AC36" i="16"/>
  <c r="AC37" i="16"/>
  <c r="AC41" i="16"/>
  <c r="AF41" i="16" s="1"/>
  <c r="AC42" i="16"/>
  <c r="AC43" i="16"/>
  <c r="AC44" i="16"/>
  <c r="AC4" i="16"/>
  <c r="X5" i="16"/>
  <c r="X6" i="16"/>
  <c r="X7" i="16"/>
  <c r="X8" i="16"/>
  <c r="AA8" i="16" s="1"/>
  <c r="X9" i="16"/>
  <c r="X10" i="16"/>
  <c r="X11" i="16"/>
  <c r="X12" i="16"/>
  <c r="X13" i="16"/>
  <c r="X14" i="16"/>
  <c r="X15" i="16"/>
  <c r="X16" i="16"/>
  <c r="AA16" i="16" s="1"/>
  <c r="X17" i="16"/>
  <c r="X18" i="16"/>
  <c r="X19" i="16"/>
  <c r="X20" i="16"/>
  <c r="X21" i="16"/>
  <c r="X22" i="16"/>
  <c r="X23" i="16"/>
  <c r="X24" i="16"/>
  <c r="AA24" i="16" s="1"/>
  <c r="X25" i="16"/>
  <c r="X26" i="16"/>
  <c r="X27" i="16"/>
  <c r="X28" i="16"/>
  <c r="X29" i="16"/>
  <c r="X30" i="16"/>
  <c r="X31" i="16"/>
  <c r="X32" i="16"/>
  <c r="AA32" i="16" s="1"/>
  <c r="X33" i="16"/>
  <c r="X34" i="16"/>
  <c r="X35" i="16"/>
  <c r="X36" i="16"/>
  <c r="X37" i="16"/>
  <c r="X38" i="16"/>
  <c r="X39" i="16"/>
  <c r="X40" i="16"/>
  <c r="AA40" i="16" s="1"/>
  <c r="X41" i="16"/>
  <c r="X42" i="16"/>
  <c r="X43" i="16"/>
  <c r="X44" i="16"/>
  <c r="X4" i="16"/>
  <c r="S5" i="16"/>
  <c r="S6" i="16"/>
  <c r="V6" i="16" s="1"/>
  <c r="S7" i="16"/>
  <c r="V7" i="16" s="1"/>
  <c r="S8" i="16"/>
  <c r="S9" i="16"/>
  <c r="S10" i="16"/>
  <c r="S11" i="16"/>
  <c r="S12" i="16"/>
  <c r="S13" i="16"/>
  <c r="S14" i="16"/>
  <c r="V14" i="16" s="1"/>
  <c r="S15" i="16"/>
  <c r="V15" i="16" s="1"/>
  <c r="S16" i="16"/>
  <c r="S17" i="16"/>
  <c r="S18" i="16"/>
  <c r="S19" i="16"/>
  <c r="S20" i="16"/>
  <c r="S21" i="16"/>
  <c r="S22" i="16"/>
  <c r="V22" i="16" s="1"/>
  <c r="S23" i="16"/>
  <c r="V23" i="16" s="1"/>
  <c r="S24" i="16"/>
  <c r="S25" i="16"/>
  <c r="S26" i="16"/>
  <c r="S27" i="16"/>
  <c r="S28" i="16"/>
  <c r="S29" i="16"/>
  <c r="S30" i="16"/>
  <c r="V30" i="16" s="1"/>
  <c r="S31" i="16"/>
  <c r="V31" i="16" s="1"/>
  <c r="S32" i="16"/>
  <c r="S33" i="16"/>
  <c r="S34" i="16"/>
  <c r="S35" i="16"/>
  <c r="S36" i="16"/>
  <c r="S37" i="16"/>
  <c r="S38" i="16"/>
  <c r="V38" i="16" s="1"/>
  <c r="S39" i="16"/>
  <c r="V39" i="16" s="1"/>
  <c r="S40" i="16"/>
  <c r="S41" i="16"/>
  <c r="S42" i="16"/>
  <c r="S43" i="16"/>
  <c r="S44" i="16"/>
  <c r="S4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3" i="16"/>
  <c r="F3" i="16" l="1"/>
  <c r="V3" i="16"/>
  <c r="G3" i="16" s="1"/>
  <c r="E3" i="16" s="1"/>
  <c r="H3" i="16" s="1"/>
  <c r="Q13" i="16"/>
  <c r="F13" i="16"/>
  <c r="Q36" i="16"/>
  <c r="F36" i="16"/>
  <c r="Q4" i="16"/>
  <c r="F4" i="16"/>
  <c r="AA39" i="16"/>
  <c r="AA31" i="16"/>
  <c r="AA23" i="16"/>
  <c r="AA15" i="16"/>
  <c r="AA7" i="16"/>
  <c r="AF37" i="16"/>
  <c r="AP22" i="16"/>
  <c r="Q21" i="16"/>
  <c r="G21" i="16" s="1"/>
  <c r="E21" i="16" s="1"/>
  <c r="H21" i="16" s="1"/>
  <c r="F21" i="16"/>
  <c r="Q43" i="16"/>
  <c r="F43" i="16"/>
  <c r="Q35" i="16"/>
  <c r="G35" i="16" s="1"/>
  <c r="E35" i="16" s="1"/>
  <c r="H35" i="16" s="1"/>
  <c r="F35" i="16"/>
  <c r="Q27" i="16"/>
  <c r="F27" i="16"/>
  <c r="Q19" i="16"/>
  <c r="F19" i="16"/>
  <c r="Q11" i="16"/>
  <c r="F11" i="16"/>
  <c r="V4" i="16"/>
  <c r="V37" i="16"/>
  <c r="V29" i="16"/>
  <c r="V21" i="16"/>
  <c r="V13" i="16"/>
  <c r="V5" i="16"/>
  <c r="AA38" i="16"/>
  <c r="AA30" i="16"/>
  <c r="AA22" i="16"/>
  <c r="AA14" i="16"/>
  <c r="AA6" i="16"/>
  <c r="AF36" i="16"/>
  <c r="AF24" i="16"/>
  <c r="AK44" i="16"/>
  <c r="AP44" i="16"/>
  <c r="AP33" i="16"/>
  <c r="F18" i="16"/>
  <c r="Q18" i="16"/>
  <c r="V20" i="16"/>
  <c r="V12" i="16"/>
  <c r="AA4" i="16"/>
  <c r="AA37" i="16"/>
  <c r="AA29" i="16"/>
  <c r="AA21" i="16"/>
  <c r="AA13" i="16"/>
  <c r="AA5" i="16"/>
  <c r="AF23" i="16"/>
  <c r="Q37" i="16"/>
  <c r="G37" i="16" s="1"/>
  <c r="E37" i="16" s="1"/>
  <c r="F37" i="16"/>
  <c r="Q5" i="16"/>
  <c r="F5" i="16"/>
  <c r="Q44" i="16"/>
  <c r="F44" i="16"/>
  <c r="Q12" i="16"/>
  <c r="F12" i="16"/>
  <c r="V44" i="16"/>
  <c r="F9" i="16"/>
  <c r="Q9" i="16"/>
  <c r="V27" i="16"/>
  <c r="V19" i="16"/>
  <c r="V11" i="16"/>
  <c r="AA44" i="16"/>
  <c r="AA36" i="16"/>
  <c r="AA28" i="16"/>
  <c r="AA20" i="16"/>
  <c r="AA12" i="16"/>
  <c r="AF4" i="16"/>
  <c r="AF34" i="16"/>
  <c r="AF22" i="16"/>
  <c r="AP23" i="16"/>
  <c r="Q28" i="16"/>
  <c r="F28" i="16"/>
  <c r="Q42" i="16"/>
  <c r="G42" i="16" s="1"/>
  <c r="E42" i="16" s="1"/>
  <c r="H42" i="16" s="1"/>
  <c r="F42" i="16"/>
  <c r="V28" i="16"/>
  <c r="Q33" i="16"/>
  <c r="F33" i="16"/>
  <c r="F17" i="16"/>
  <c r="Q17" i="16"/>
  <c r="Q40" i="16"/>
  <c r="F40" i="16"/>
  <c r="Q32" i="16"/>
  <c r="F32" i="16"/>
  <c r="F24" i="16"/>
  <c r="Q24" i="16"/>
  <c r="Q16" i="16"/>
  <c r="F16" i="16"/>
  <c r="F8" i="16"/>
  <c r="Q8" i="16"/>
  <c r="V42" i="16"/>
  <c r="V34" i="16"/>
  <c r="V26" i="16"/>
  <c r="V18" i="16"/>
  <c r="V10" i="16"/>
  <c r="AA43" i="16"/>
  <c r="AA35" i="16"/>
  <c r="AA27" i="16"/>
  <c r="AA19" i="16"/>
  <c r="AA11" i="16"/>
  <c r="AF44" i="16"/>
  <c r="AF33" i="16"/>
  <c r="AF21" i="16"/>
  <c r="AK26" i="16"/>
  <c r="AU22" i="16"/>
  <c r="Q20" i="16"/>
  <c r="G20" i="16" s="1"/>
  <c r="E20" i="16" s="1"/>
  <c r="H20" i="16" s="1"/>
  <c r="F20" i="16"/>
  <c r="Q34" i="16"/>
  <c r="F34" i="16"/>
  <c r="V36" i="16"/>
  <c r="Q25" i="16"/>
  <c r="F25" i="16"/>
  <c r="V35" i="16"/>
  <c r="Q31" i="16"/>
  <c r="G31" i="16" s="1"/>
  <c r="E31" i="16" s="1"/>
  <c r="H31" i="16" s="1"/>
  <c r="F31" i="16"/>
  <c r="F15" i="16"/>
  <c r="Q15" i="16"/>
  <c r="F7" i="16"/>
  <c r="Q7" i="16"/>
  <c r="G7" i="16" s="1"/>
  <c r="E7" i="16" s="1"/>
  <c r="V41" i="16"/>
  <c r="V33" i="16"/>
  <c r="V25" i="16"/>
  <c r="V17" i="16"/>
  <c r="V9" i="16"/>
  <c r="AA42" i="16"/>
  <c r="AA34" i="16"/>
  <c r="AA26" i="16"/>
  <c r="AA18" i="16"/>
  <c r="AA10" i="16"/>
  <c r="AF43" i="16"/>
  <c r="AF32" i="16"/>
  <c r="AF19" i="16"/>
  <c r="AK25" i="16"/>
  <c r="AU24" i="16"/>
  <c r="Q29" i="16"/>
  <c r="G29" i="16" s="1"/>
  <c r="E29" i="16" s="1"/>
  <c r="H29" i="16" s="1"/>
  <c r="F29" i="16"/>
  <c r="F26" i="16"/>
  <c r="Q26" i="16"/>
  <c r="G26" i="16" s="1"/>
  <c r="E26" i="16" s="1"/>
  <c r="H26" i="16" s="1"/>
  <c r="F10" i="16"/>
  <c r="Q10" i="16"/>
  <c r="G10" i="16" s="1"/>
  <c r="E10" i="16" s="1"/>
  <c r="H10" i="16" s="1"/>
  <c r="F41" i="16"/>
  <c r="Q41" i="16"/>
  <c r="G41" i="16" s="1"/>
  <c r="E41" i="16" s="1"/>
  <c r="H41" i="16" s="1"/>
  <c r="V43" i="16"/>
  <c r="Q39" i="16"/>
  <c r="G39" i="16" s="1"/>
  <c r="E39" i="16" s="1"/>
  <c r="F39" i="16"/>
  <c r="F23" i="16"/>
  <c r="Q23" i="16"/>
  <c r="Q38" i="16"/>
  <c r="G38" i="16" s="1"/>
  <c r="E38" i="16" s="1"/>
  <c r="H38" i="16" s="1"/>
  <c r="F38" i="16"/>
  <c r="Q30" i="16"/>
  <c r="G30" i="16" s="1"/>
  <c r="E30" i="16" s="1"/>
  <c r="H30" i="16" s="1"/>
  <c r="F30" i="16"/>
  <c r="Q22" i="16"/>
  <c r="F22" i="16"/>
  <c r="Q14" i="16"/>
  <c r="G14" i="16" s="1"/>
  <c r="E14" i="16" s="1"/>
  <c r="H14" i="16" s="1"/>
  <c r="F14" i="16"/>
  <c r="Q6" i="16"/>
  <c r="G6" i="16" s="1"/>
  <c r="E6" i="16" s="1"/>
  <c r="H6" i="16" s="1"/>
  <c r="F6" i="16"/>
  <c r="V40" i="16"/>
  <c r="V32" i="16"/>
  <c r="V24" i="16"/>
  <c r="V16" i="16"/>
  <c r="V8" i="16"/>
  <c r="AA41" i="16"/>
  <c r="AA33" i="16"/>
  <c r="AA25" i="16"/>
  <c r="AA17" i="16"/>
  <c r="AA9" i="16"/>
  <c r="AF42" i="16"/>
  <c r="AF27" i="16"/>
  <c r="AF12" i="16"/>
  <c r="AK24" i="16"/>
  <c r="AU23" i="16"/>
  <c r="AL201" i="14"/>
  <c r="AL203" i="14"/>
  <c r="AL204" i="14"/>
  <c r="AL205" i="14"/>
  <c r="AL206" i="14"/>
  <c r="AL202" i="14"/>
  <c r="AJ204" i="14"/>
  <c r="AH204" i="14"/>
  <c r="AG204" i="14" s="1"/>
  <c r="B204" i="14"/>
  <c r="CV206" i="14"/>
  <c r="CU206" i="14"/>
  <c r="CN206" i="14"/>
  <c r="CM206" i="14"/>
  <c r="CP206" i="14" s="1"/>
  <c r="CL206" i="14"/>
  <c r="CH206" i="14"/>
  <c r="CC206" i="14"/>
  <c r="AH206" i="14"/>
  <c r="AG206" i="14" s="1"/>
  <c r="AD206" i="14"/>
  <c r="B206" i="14"/>
  <c r="CV205" i="14"/>
  <c r="CU205" i="14"/>
  <c r="CN205" i="14"/>
  <c r="CM205" i="14"/>
  <c r="CP205" i="14" s="1"/>
  <c r="CL205" i="14"/>
  <c r="CH205" i="14"/>
  <c r="CC205" i="14"/>
  <c r="AH205" i="14"/>
  <c r="AD205" i="14"/>
  <c r="B205" i="14"/>
  <c r="CV203" i="14"/>
  <c r="CU203" i="14"/>
  <c r="CN203" i="14"/>
  <c r="CM203" i="14"/>
  <c r="CP203" i="14" s="1"/>
  <c r="CL203" i="14"/>
  <c r="CO203" i="14" s="1"/>
  <c r="CH203" i="14"/>
  <c r="CC203" i="14"/>
  <c r="AH203" i="14"/>
  <c r="AG203" i="14"/>
  <c r="AD203" i="14"/>
  <c r="B203" i="14"/>
  <c r="CV202" i="14"/>
  <c r="CU202" i="14"/>
  <c r="CN202" i="14"/>
  <c r="CM202" i="14"/>
  <c r="CP202" i="14" s="1"/>
  <c r="CL202" i="14"/>
  <c r="CH202" i="14"/>
  <c r="CC202" i="14"/>
  <c r="AH202" i="14"/>
  <c r="AD202" i="14"/>
  <c r="B202" i="14"/>
  <c r="CV201" i="14"/>
  <c r="CU201" i="14"/>
  <c r="CN201" i="14"/>
  <c r="CM201" i="14"/>
  <c r="CL201" i="14"/>
  <c r="CO201" i="14" s="1"/>
  <c r="CH201" i="14"/>
  <c r="CC201" i="14"/>
  <c r="AH201" i="14"/>
  <c r="AG201" i="14" s="1"/>
  <c r="AD201" i="14"/>
  <c r="B201" i="14"/>
  <c r="AH200" i="14"/>
  <c r="AL200" i="14" s="1"/>
  <c r="AG200" i="14"/>
  <c r="AD200" i="14"/>
  <c r="B200" i="14"/>
  <c r="AH199" i="14"/>
  <c r="AG199" i="14" s="1"/>
  <c r="AD199" i="14"/>
  <c r="B199" i="14"/>
  <c r="AH198" i="14"/>
  <c r="AL198" i="14" s="1"/>
  <c r="AD198" i="14"/>
  <c r="B198" i="14"/>
  <c r="AL197" i="14"/>
  <c r="AH197" i="14"/>
  <c r="AL196" i="14" s="1"/>
  <c r="AG197" i="14"/>
  <c r="AD197" i="14"/>
  <c r="B197" i="14"/>
  <c r="AH196" i="14"/>
  <c r="AG196" i="14" s="1"/>
  <c r="AD196" i="14"/>
  <c r="B196" i="14"/>
  <c r="AL194" i="14"/>
  <c r="AL191" i="14"/>
  <c r="CV195" i="14"/>
  <c r="CU195" i="14"/>
  <c r="CN195" i="14"/>
  <c r="CM195" i="14"/>
  <c r="CP195" i="14" s="1"/>
  <c r="CL195" i="14"/>
  <c r="CH195" i="14"/>
  <c r="CC195" i="14"/>
  <c r="AH195" i="14"/>
  <c r="AG195" i="14" s="1"/>
  <c r="AD195" i="14"/>
  <c r="B195" i="14"/>
  <c r="CV194" i="14"/>
  <c r="CU194" i="14"/>
  <c r="CN194" i="14"/>
  <c r="CM194" i="14"/>
  <c r="CP194" i="14" s="1"/>
  <c r="CL194" i="14"/>
  <c r="CH194" i="14"/>
  <c r="CC194" i="14"/>
  <c r="AH194" i="14"/>
  <c r="AG194" i="14" s="1"/>
  <c r="AD194" i="14"/>
  <c r="B194" i="14"/>
  <c r="CV193" i="14"/>
  <c r="CU193" i="14"/>
  <c r="CN193" i="14"/>
  <c r="CM193" i="14"/>
  <c r="CL193" i="14"/>
  <c r="CH193" i="14"/>
  <c r="CC193" i="14"/>
  <c r="AH193" i="14"/>
  <c r="AL193" i="14" s="1"/>
  <c r="AG193" i="14"/>
  <c r="AD193" i="14"/>
  <c r="B193" i="14"/>
  <c r="CV192" i="14"/>
  <c r="CU192" i="14"/>
  <c r="CN192" i="14"/>
  <c r="CM192" i="14"/>
  <c r="CP192" i="14" s="1"/>
  <c r="CL192" i="14"/>
  <c r="CO192" i="14" s="1"/>
  <c r="CH192" i="14"/>
  <c r="CC192" i="14"/>
  <c r="AH192" i="14"/>
  <c r="AD192" i="14"/>
  <c r="B192" i="14"/>
  <c r="CV191" i="14"/>
  <c r="CU191" i="14"/>
  <c r="CN191" i="14"/>
  <c r="CM191" i="14"/>
  <c r="CP191" i="14" s="1"/>
  <c r="CL191" i="14"/>
  <c r="CH191" i="14"/>
  <c r="CC191" i="14"/>
  <c r="AH191" i="14"/>
  <c r="AG191" i="14" s="1"/>
  <c r="AD191" i="14"/>
  <c r="B191" i="14"/>
  <c r="G8" i="16" l="1"/>
  <c r="E8" i="16" s="1"/>
  <c r="H8" i="16" s="1"/>
  <c r="G19" i="16"/>
  <c r="E19" i="16" s="1"/>
  <c r="H19" i="16" s="1"/>
  <c r="G40" i="16"/>
  <c r="E40" i="16" s="1"/>
  <c r="H40" i="16" s="1"/>
  <c r="H37" i="16"/>
  <c r="G4" i="16"/>
  <c r="G22" i="16"/>
  <c r="E22" i="16" s="1"/>
  <c r="H22" i="16" s="1"/>
  <c r="H39" i="16"/>
  <c r="G17" i="16"/>
  <c r="E17" i="16" s="1"/>
  <c r="H17" i="16" s="1"/>
  <c r="G28" i="16"/>
  <c r="E28" i="16" s="1"/>
  <c r="H28" i="16" s="1"/>
  <c r="G27" i="16"/>
  <c r="E27" i="16" s="1"/>
  <c r="H27" i="16" s="1"/>
  <c r="H7" i="16"/>
  <c r="G25" i="16"/>
  <c r="E25" i="16" s="1"/>
  <c r="H25" i="16" s="1"/>
  <c r="G16" i="16"/>
  <c r="E16" i="16" s="1"/>
  <c r="H16" i="16" s="1"/>
  <c r="G12" i="16"/>
  <c r="E12" i="16" s="1"/>
  <c r="H12" i="16" s="1"/>
  <c r="G18" i="16"/>
  <c r="E18" i="16" s="1"/>
  <c r="H18" i="16" s="1"/>
  <c r="G36" i="16"/>
  <c r="E36" i="16" s="1"/>
  <c r="H36" i="16" s="1"/>
  <c r="G24" i="16"/>
  <c r="E24" i="16" s="1"/>
  <c r="H24" i="16" s="1"/>
  <c r="G15" i="16"/>
  <c r="E15" i="16" s="1"/>
  <c r="H15" i="16" s="1"/>
  <c r="G33" i="16"/>
  <c r="E33" i="16" s="1"/>
  <c r="H33" i="16" s="1"/>
  <c r="G44" i="16"/>
  <c r="E44" i="16" s="1"/>
  <c r="H44" i="16" s="1"/>
  <c r="G13" i="16"/>
  <c r="E13" i="16" s="1"/>
  <c r="H13" i="16" s="1"/>
  <c r="G34" i="16"/>
  <c r="E34" i="16" s="1"/>
  <c r="H34" i="16" s="1"/>
  <c r="G11" i="16"/>
  <c r="E11" i="16" s="1"/>
  <c r="H11" i="16" s="1"/>
  <c r="G43" i="16"/>
  <c r="E43" i="16" s="1"/>
  <c r="H43" i="16" s="1"/>
  <c r="G23" i="16"/>
  <c r="E23" i="16" s="1"/>
  <c r="H23" i="16" s="1"/>
  <c r="G32" i="16"/>
  <c r="E32" i="16" s="1"/>
  <c r="H32" i="16" s="1"/>
  <c r="G9" i="16"/>
  <c r="E9" i="16" s="1"/>
  <c r="H9" i="16" s="1"/>
  <c r="G5" i="16"/>
  <c r="E5" i="16" s="1"/>
  <c r="H5" i="16" s="1"/>
  <c r="AB206" i="14"/>
  <c r="AL195" i="14"/>
  <c r="AQ195" i="14" s="1"/>
  <c r="CO202" i="14"/>
  <c r="CO195" i="14"/>
  <c r="AG205" i="14"/>
  <c r="AJ205" i="14" s="1"/>
  <c r="AG198" i="14"/>
  <c r="AJ198" i="14" s="1"/>
  <c r="AG202" i="14"/>
  <c r="AJ197" i="14"/>
  <c r="CP193" i="14"/>
  <c r="CP201" i="14"/>
  <c r="CO205" i="14"/>
  <c r="AB205" i="14"/>
  <c r="CO206" i="14"/>
  <c r="CO193" i="14"/>
  <c r="AL192" i="14"/>
  <c r="AB198" i="14"/>
  <c r="CO191" i="14"/>
  <c r="CO194" i="14"/>
  <c r="AB200" i="14"/>
  <c r="AB199" i="14"/>
  <c r="AJ199" i="14"/>
  <c r="AL199" i="14"/>
  <c r="AJ200" i="14"/>
  <c r="AJ195" i="14"/>
  <c r="AT192" i="14"/>
  <c r="AT191" i="14"/>
  <c r="AJ194" i="14"/>
  <c r="AJ192" i="14"/>
  <c r="AB195" i="14"/>
  <c r="AB193" i="14"/>
  <c r="AB194" i="14"/>
  <c r="AN206" i="14" l="1"/>
  <c r="AK206" i="14" s="1"/>
  <c r="AM206" i="14" s="1"/>
  <c r="AF200" i="14"/>
  <c r="AC200" i="14" s="1"/>
  <c r="AE200" i="14" s="1"/>
  <c r="AF206" i="14"/>
  <c r="AC206" i="14" s="1"/>
  <c r="AE206" i="14" s="1"/>
  <c r="AN200" i="14"/>
  <c r="AK200" i="14" s="1"/>
  <c r="AM200" i="14" s="1"/>
  <c r="AN195" i="14"/>
  <c r="AK195" i="14" s="1"/>
  <c r="AM195" i="14" s="1"/>
  <c r="AF195" i="14"/>
  <c r="AC195" i="14" s="1"/>
  <c r="AE195" i="14" s="1"/>
  <c r="W212" i="14" l="1"/>
  <c r="W209" i="14"/>
  <c r="AD187" i="14"/>
  <c r="AD188" i="14"/>
  <c r="AD189" i="14"/>
  <c r="AD190" i="14"/>
  <c r="AD186" i="14"/>
  <c r="B187" i="14"/>
  <c r="AH187" i="14"/>
  <c r="CC187" i="14"/>
  <c r="CH187" i="14"/>
  <c r="CL187" i="14"/>
  <c r="CM187" i="14"/>
  <c r="CN187" i="14"/>
  <c r="CO187" i="14"/>
  <c r="CU187" i="14"/>
  <c r="CV187" i="14"/>
  <c r="CV190" i="14"/>
  <c r="CU190" i="14"/>
  <c r="CN190" i="14"/>
  <c r="CM190" i="14"/>
  <c r="CP190" i="14" s="1"/>
  <c r="CL190" i="14"/>
  <c r="CH190" i="14"/>
  <c r="CC190" i="14"/>
  <c r="AH190" i="14"/>
  <c r="B190" i="14"/>
  <c r="CV189" i="14"/>
  <c r="CU189" i="14"/>
  <c r="CN189" i="14"/>
  <c r="CM189" i="14"/>
  <c r="CL189" i="14"/>
  <c r="CH189" i="14"/>
  <c r="CC189" i="14"/>
  <c r="AH189" i="14"/>
  <c r="AL189" i="14" s="1"/>
  <c r="B189" i="14"/>
  <c r="CV188" i="14"/>
  <c r="CU188" i="14"/>
  <c r="CN188" i="14"/>
  <c r="CM188" i="14"/>
  <c r="CL188" i="14"/>
  <c r="CH188" i="14"/>
  <c r="CC188" i="14"/>
  <c r="AH188" i="14"/>
  <c r="B188" i="14"/>
  <c r="CV186" i="14"/>
  <c r="CU186" i="14"/>
  <c r="CN186" i="14"/>
  <c r="CM186" i="14"/>
  <c r="CL186" i="14"/>
  <c r="CH186" i="14"/>
  <c r="CC186" i="14"/>
  <c r="AH186" i="14"/>
  <c r="AL186" i="14" s="1"/>
  <c r="AG186" i="14"/>
  <c r="B186" i="14"/>
  <c r="CP189" i="14" l="1"/>
  <c r="CP187" i="14"/>
  <c r="AB188" i="14"/>
  <c r="AG188" i="14"/>
  <c r="AL188" i="14"/>
  <c r="AB189" i="14"/>
  <c r="AJ189" i="14"/>
  <c r="AJ190" i="14"/>
  <c r="AB190" i="14"/>
  <c r="AG190" i="14"/>
  <c r="AL190" i="14"/>
  <c r="AL187" i="14"/>
  <c r="AT187" i="14" s="1"/>
  <c r="CP186" i="14"/>
  <c r="CP188" i="14"/>
  <c r="CO189" i="14"/>
  <c r="AJ187" i="14"/>
  <c r="AT186" i="14"/>
  <c r="AG187" i="14"/>
  <c r="CO188" i="14"/>
  <c r="AG189" i="14"/>
  <c r="CO190" i="14"/>
  <c r="CO186" i="14"/>
  <c r="AQ190" i="14"/>
  <c r="AJ188" i="14" l="1"/>
  <c r="AN190" i="14" s="1"/>
  <c r="AK190" i="14" s="1"/>
  <c r="AM190" i="14" s="1"/>
  <c r="AF190" i="14"/>
  <c r="AC190" i="14" s="1"/>
  <c r="AE190" i="14" s="1"/>
  <c r="CV185" i="14"/>
  <c r="CU185" i="14"/>
  <c r="CN185" i="14"/>
  <c r="CM185" i="14"/>
  <c r="CL185" i="14"/>
  <c r="CH185" i="14"/>
  <c r="CC185" i="14"/>
  <c r="AH185" i="14"/>
  <c r="AL185" i="14" s="1"/>
  <c r="AD185" i="14"/>
  <c r="CV184" i="14"/>
  <c r="CU184" i="14"/>
  <c r="CN184" i="14"/>
  <c r="CM184" i="14"/>
  <c r="CL184" i="14"/>
  <c r="CH184" i="14"/>
  <c r="CC184" i="14"/>
  <c r="AH184" i="14"/>
  <c r="AL184" i="14" s="1"/>
  <c r="AD184" i="14"/>
  <c r="CV183" i="14"/>
  <c r="CU183" i="14"/>
  <c r="CN183" i="14"/>
  <c r="CM183" i="14"/>
  <c r="CL183" i="14"/>
  <c r="CH183" i="14"/>
  <c r="CC183" i="14"/>
  <c r="AH183" i="14"/>
  <c r="AL183" i="14" s="1"/>
  <c r="AD183" i="14"/>
  <c r="CV182" i="14"/>
  <c r="CU182" i="14"/>
  <c r="CN182" i="14"/>
  <c r="CM182" i="14"/>
  <c r="CL182" i="14"/>
  <c r="CH182" i="14"/>
  <c r="CC182" i="14"/>
  <c r="AH182" i="14"/>
  <c r="AL182" i="14" s="1"/>
  <c r="AD182" i="14"/>
  <c r="B185" i="14"/>
  <c r="B184" i="14"/>
  <c r="B183" i="14"/>
  <c r="B182" i="14"/>
  <c r="AG184" i="14" l="1"/>
  <c r="AJ185" i="14" s="1"/>
  <c r="AQ185" i="14"/>
  <c r="AB183" i="14"/>
  <c r="AG183" i="14"/>
  <c r="AJ183" i="14" s="1"/>
  <c r="AB184" i="14"/>
  <c r="AG182" i="14"/>
  <c r="AG185" i="14"/>
  <c r="AB185" i="14"/>
  <c r="CO184" i="14"/>
  <c r="CO182" i="14"/>
  <c r="CO183" i="14"/>
  <c r="CO185" i="14"/>
  <c r="CP185" i="14"/>
  <c r="CP183" i="14"/>
  <c r="CP182" i="14"/>
  <c r="CP184" i="14"/>
  <c r="AH178" i="14"/>
  <c r="AL178" i="14" s="1"/>
  <c r="AH179" i="14"/>
  <c r="AH180" i="14"/>
  <c r="AH181" i="14"/>
  <c r="AD179" i="14"/>
  <c r="AD180" i="14"/>
  <c r="AD181" i="14"/>
  <c r="AD178" i="14"/>
  <c r="AJ184" i="14" l="1"/>
  <c r="AN185" i="14" s="1"/>
  <c r="AK185" i="14" s="1"/>
  <c r="AM185" i="14" s="1"/>
  <c r="AF185" i="14"/>
  <c r="AC185" i="14" s="1"/>
  <c r="AE185" i="14" s="1"/>
  <c r="AL181" i="14"/>
  <c r="AG181" i="14"/>
  <c r="AL180" i="14"/>
  <c r="AG180" i="14"/>
  <c r="AL179" i="14"/>
  <c r="AG179" i="14"/>
  <c r="AG178" i="14"/>
  <c r="B180" i="14"/>
  <c r="B178" i="14"/>
  <c r="B179" i="14"/>
  <c r="B181" i="14"/>
  <c r="AJ181" i="14" s="1"/>
  <c r="AJ179" i="14" l="1"/>
  <c r="AB180" i="14"/>
  <c r="AB179" i="14"/>
  <c r="AJ180" i="14"/>
  <c r="AB181" i="14"/>
  <c r="AN181" i="14" l="1"/>
  <c r="AK181" i="14" s="1"/>
  <c r="AM181" i="14" s="1"/>
  <c r="AF181" i="14"/>
  <c r="AC181" i="14" s="1"/>
  <c r="AE181" i="14" s="1"/>
  <c r="AQ181" i="14"/>
  <c r="AH176" i="14"/>
  <c r="AG176" i="14" s="1"/>
  <c r="CC176" i="14"/>
  <c r="CH176" i="14"/>
  <c r="CL176" i="14"/>
  <c r="CM176" i="14"/>
  <c r="CN176" i="14"/>
  <c r="CU176" i="14"/>
  <c r="CV176" i="14"/>
  <c r="AH177" i="14"/>
  <c r="AG177" i="14" s="1"/>
  <c r="AH175" i="14"/>
  <c r="AG175" i="14" s="1"/>
  <c r="AH174" i="14"/>
  <c r="AL174" i="14" s="1"/>
  <c r="AH169" i="14"/>
  <c r="AL169" i="14" s="1"/>
  <c r="AH170" i="14"/>
  <c r="AL170" i="14" s="1"/>
  <c r="AH171" i="14"/>
  <c r="AG171" i="14" s="1"/>
  <c r="AH172" i="14"/>
  <c r="AL172" i="14" s="1"/>
  <c r="AD173" i="14"/>
  <c r="AD172" i="14" s="1"/>
  <c r="AH173" i="14"/>
  <c r="AG173" i="14" s="1"/>
  <c r="AT178" i="14" l="1"/>
  <c r="AT182" i="14"/>
  <c r="AG174" i="14"/>
  <c r="AL177" i="14"/>
  <c r="AL171" i="14"/>
  <c r="CP176" i="14"/>
  <c r="AL176" i="14"/>
  <c r="AQ177" i="14" s="1"/>
  <c r="CO176" i="14"/>
  <c r="AL175" i="14"/>
  <c r="BC173" i="14"/>
  <c r="AG170" i="14"/>
  <c r="AL173" i="14"/>
  <c r="BH172" i="14"/>
  <c r="AD171" i="14"/>
  <c r="BJ172" i="14"/>
  <c r="BC172" i="14"/>
  <c r="BF172" i="14"/>
  <c r="AG169" i="14"/>
  <c r="AG172" i="14"/>
  <c r="AQ173" i="14" l="1"/>
  <c r="AT173" i="14"/>
  <c r="BC171" i="14"/>
  <c r="BF171" i="14"/>
  <c r="BH171" i="14"/>
  <c r="AD170" i="14"/>
  <c r="BJ171" i="14"/>
  <c r="AD169" i="14" l="1"/>
  <c r="BJ170" i="14"/>
  <c r="BC170" i="14"/>
  <c r="BF170" i="14"/>
  <c r="BH170" i="14"/>
  <c r="B174" i="14" l="1"/>
  <c r="B175" i="14"/>
  <c r="B177" i="14"/>
  <c r="AJ177" i="14" s="1"/>
  <c r="AB177" i="14" l="1"/>
  <c r="AB176" i="14"/>
  <c r="AJ175" i="14"/>
  <c r="AB175" i="14"/>
  <c r="AJ176" i="14"/>
  <c r="B173" i="14"/>
  <c r="B172" i="14"/>
  <c r="B171" i="14"/>
  <c r="AN177" i="14" l="1"/>
  <c r="AJ173" i="14"/>
  <c r="AK177" i="14"/>
  <c r="AM177" i="14" s="1"/>
  <c r="AF177" i="14"/>
  <c r="AC177" i="14" s="1"/>
  <c r="AE177" i="14" s="1"/>
  <c r="BB171" i="14"/>
  <c r="AB172" i="14"/>
  <c r="BB172" i="14"/>
  <c r="AB173" i="14"/>
  <c r="AQ99" i="14"/>
  <c r="AQ107" i="14"/>
  <c r="AQ113" i="14"/>
  <c r="AQ146" i="14"/>
  <c r="AQ153" i="14"/>
  <c r="AQ158" i="14"/>
  <c r="AQ163" i="14"/>
  <c r="AQ168" i="14"/>
  <c r="AQ124" i="14"/>
  <c r="AQ136" i="14"/>
  <c r="AQ140" i="14"/>
  <c r="AQ91" i="14"/>
  <c r="B170" i="14" l="1"/>
  <c r="B169" i="14"/>
  <c r="AB170" i="14" l="1"/>
  <c r="BB170" i="14"/>
  <c r="AJ171" i="14"/>
  <c r="AB171" i="14"/>
  <c r="AH16" i="14"/>
  <c r="AG16" i="14" s="1"/>
  <c r="AH17" i="14"/>
  <c r="AG17" i="14" s="1"/>
  <c r="AH18" i="14"/>
  <c r="AN18" i="14" s="1"/>
  <c r="AH19" i="14"/>
  <c r="AN19" i="14" s="1"/>
  <c r="AH20" i="14"/>
  <c r="AH21" i="14"/>
  <c r="AH22" i="14"/>
  <c r="AH23" i="14"/>
  <c r="AN23" i="14" s="1"/>
  <c r="AH24" i="14"/>
  <c r="AG24" i="14" s="1"/>
  <c r="AH25" i="14"/>
  <c r="AH26" i="14"/>
  <c r="AH27" i="14"/>
  <c r="AN27" i="14" s="1"/>
  <c r="AH28" i="14"/>
  <c r="AH29" i="14"/>
  <c r="AH30" i="14"/>
  <c r="AH31" i="14"/>
  <c r="AL31" i="14" s="1"/>
  <c r="AH32" i="14"/>
  <c r="AG32" i="14" s="1"/>
  <c r="AH33" i="14"/>
  <c r="AH34" i="14"/>
  <c r="AH35" i="14"/>
  <c r="AL35" i="14" s="1"/>
  <c r="AH36" i="14"/>
  <c r="AG36" i="14" s="1"/>
  <c r="AH37" i="14"/>
  <c r="AJ37" i="14" s="1"/>
  <c r="AH38" i="14"/>
  <c r="AH39" i="14"/>
  <c r="AL39" i="14" s="1"/>
  <c r="AH40" i="14"/>
  <c r="AH41" i="14"/>
  <c r="AG41" i="14" s="1"/>
  <c r="AH42" i="14"/>
  <c r="AH43" i="14"/>
  <c r="AL43" i="14" s="1"/>
  <c r="AH44" i="14"/>
  <c r="AH45" i="14"/>
  <c r="AN45" i="14" s="1"/>
  <c r="AH46" i="14"/>
  <c r="AH47" i="14"/>
  <c r="AH48" i="14"/>
  <c r="AH49" i="14"/>
  <c r="AH50" i="14"/>
  <c r="AG50" i="14" s="1"/>
  <c r="AH51" i="14"/>
  <c r="AH52" i="14"/>
  <c r="AH53" i="14"/>
  <c r="AH54" i="14"/>
  <c r="AH55" i="14"/>
  <c r="AH56" i="14"/>
  <c r="AH57" i="14"/>
  <c r="AH58" i="14"/>
  <c r="AG58" i="14" s="1"/>
  <c r="AH59" i="14"/>
  <c r="AH60" i="14"/>
  <c r="AH61" i="14"/>
  <c r="AH62" i="14"/>
  <c r="AH63" i="14"/>
  <c r="AH64" i="14"/>
  <c r="AH65" i="14"/>
  <c r="AH66" i="14"/>
  <c r="AG66" i="14" s="1"/>
  <c r="AH67" i="14"/>
  <c r="AH68" i="14"/>
  <c r="AH69" i="14"/>
  <c r="AH70" i="14"/>
  <c r="AG70" i="14" s="1"/>
  <c r="AH71" i="14"/>
  <c r="AH72" i="14"/>
  <c r="AH73" i="14"/>
  <c r="AH74" i="14"/>
  <c r="AG74" i="14" s="1"/>
  <c r="AH75" i="14"/>
  <c r="AL75" i="14" s="1"/>
  <c r="AH76" i="14"/>
  <c r="AH77" i="14"/>
  <c r="AH78" i="14"/>
  <c r="AG78" i="14" s="1"/>
  <c r="AH79" i="14"/>
  <c r="AL79" i="14" s="1"/>
  <c r="AH80" i="14"/>
  <c r="AH81" i="14"/>
  <c r="AH82" i="14"/>
  <c r="AH9" i="14"/>
  <c r="AH10" i="14"/>
  <c r="AL10" i="14" s="1"/>
  <c r="AH11" i="14"/>
  <c r="AG11" i="14" s="1"/>
  <c r="AH12" i="14"/>
  <c r="AH13" i="14"/>
  <c r="AH14" i="14"/>
  <c r="AL14" i="14" s="1"/>
  <c r="AH15" i="14"/>
  <c r="AG7" i="14"/>
  <c r="B82" i="14"/>
  <c r="E82" i="14"/>
  <c r="B77" i="14"/>
  <c r="E77" i="14"/>
  <c r="B73" i="14"/>
  <c r="E73" i="14"/>
  <c r="B68" i="14"/>
  <c r="E68" i="14"/>
  <c r="B64" i="14"/>
  <c r="E64" i="14"/>
  <c r="E60" i="14"/>
  <c r="B60" i="14"/>
  <c r="B56" i="14"/>
  <c r="E56" i="14"/>
  <c r="B48" i="14"/>
  <c r="E48" i="14"/>
  <c r="E44" i="14"/>
  <c r="B44" i="14"/>
  <c r="E39" i="14"/>
  <c r="B39" i="14"/>
  <c r="E35" i="14"/>
  <c r="B35" i="14"/>
  <c r="E30" i="14"/>
  <c r="B30" i="14"/>
  <c r="E26" i="14"/>
  <c r="B26" i="14"/>
  <c r="E22" i="14"/>
  <c r="F22" i="14"/>
  <c r="B22" i="14"/>
  <c r="B18" i="14"/>
  <c r="E18" i="14"/>
  <c r="E14" i="14"/>
  <c r="B14" i="14"/>
  <c r="B10" i="14"/>
  <c r="E10" i="14"/>
  <c r="AN173" i="14" l="1"/>
  <c r="AF173" i="14"/>
  <c r="AC173" i="14" s="1"/>
  <c r="AE173" i="14" s="1"/>
  <c r="AG79" i="14"/>
  <c r="AJ79" i="14"/>
  <c r="AN79" i="14"/>
  <c r="AN31" i="14"/>
  <c r="AN11" i="14"/>
  <c r="AJ66" i="14"/>
  <c r="AJ50" i="14"/>
  <c r="AN34" i="14"/>
  <c r="AJ58" i="14"/>
  <c r="AN26" i="14"/>
  <c r="AN42" i="14"/>
  <c r="AN39" i="14"/>
  <c r="AL23" i="14"/>
  <c r="AJ32" i="14"/>
  <c r="AJ28" i="14"/>
  <c r="AJ24" i="14"/>
  <c r="AJ20" i="14"/>
  <c r="AN9" i="14"/>
  <c r="AN30" i="14"/>
  <c r="AN22" i="14"/>
  <c r="AN35" i="14"/>
  <c r="AN48" i="14"/>
  <c r="AN44" i="14"/>
  <c r="AN81" i="14"/>
  <c r="AN77" i="14"/>
  <c r="AN73" i="14"/>
  <c r="AN69" i="14"/>
  <c r="AN65" i="14"/>
  <c r="AN61" i="14"/>
  <c r="AN57" i="14"/>
  <c r="AN53" i="14"/>
  <c r="AN49" i="14"/>
  <c r="AL9" i="14"/>
  <c r="AL82" i="14"/>
  <c r="AL78" i="14"/>
  <c r="AL74" i="14"/>
  <c r="AL70" i="14"/>
  <c r="AL66" i="14"/>
  <c r="AL62" i="14"/>
  <c r="AL58" i="14"/>
  <c r="AL54" i="14"/>
  <c r="AL50" i="14"/>
  <c r="AL46" i="14"/>
  <c r="AL42" i="14"/>
  <c r="AL34" i="14"/>
  <c r="AJ12" i="14"/>
  <c r="AJ75" i="14"/>
  <c r="AN12" i="14"/>
  <c r="AN43" i="14"/>
  <c r="AN72" i="14"/>
  <c r="AN68" i="14"/>
  <c r="AN64" i="14"/>
  <c r="AN60" i="14"/>
  <c r="AN56" i="14"/>
  <c r="AN52" i="14"/>
  <c r="AL28" i="14"/>
  <c r="AL24" i="14"/>
  <c r="AL20" i="14"/>
  <c r="AL16" i="14"/>
  <c r="AL12" i="14"/>
  <c r="AL81" i="14"/>
  <c r="AL77" i="14"/>
  <c r="AL73" i="14"/>
  <c r="AL69" i="14"/>
  <c r="AL65" i="14"/>
  <c r="AL61" i="14"/>
  <c r="AL57" i="14"/>
  <c r="AL53" i="14"/>
  <c r="AL49" i="14"/>
  <c r="AL45" i="14"/>
  <c r="AL37" i="14"/>
  <c r="AG75" i="14"/>
  <c r="AG27" i="14"/>
  <c r="AG19" i="14"/>
  <c r="AJ16" i="14"/>
  <c r="AJ70" i="14"/>
  <c r="AJ62" i="14"/>
  <c r="AJ54" i="14"/>
  <c r="AJ46" i="14"/>
  <c r="AN28" i="14"/>
  <c r="AN24" i="14"/>
  <c r="AN20" i="14"/>
  <c r="AN16" i="14"/>
  <c r="AN37" i="14"/>
  <c r="AN46" i="14"/>
  <c r="AN75" i="14"/>
  <c r="AL27" i="14"/>
  <c r="AL19" i="14"/>
  <c r="AL15" i="14"/>
  <c r="AL11" i="14"/>
  <c r="AL72" i="14"/>
  <c r="AL68" i="14"/>
  <c r="AL64" i="14"/>
  <c r="AL60" i="14"/>
  <c r="AL56" i="14"/>
  <c r="AL52" i="14"/>
  <c r="AL48" i="14"/>
  <c r="AL44" i="14"/>
  <c r="AL40" i="14"/>
  <c r="AL36" i="14"/>
  <c r="AL32" i="14"/>
  <c r="AG69" i="14"/>
  <c r="AG61" i="14"/>
  <c r="AG53" i="14"/>
  <c r="AG45" i="14"/>
  <c r="AN14" i="14"/>
  <c r="AN10" i="14"/>
  <c r="AN15" i="14"/>
  <c r="AN32" i="14"/>
  <c r="AN40" i="14"/>
  <c r="AN36" i="14"/>
  <c r="AN82" i="14"/>
  <c r="AN78" i="14"/>
  <c r="AN74" i="14"/>
  <c r="AN70" i="14"/>
  <c r="AN66" i="14"/>
  <c r="AN62" i="14"/>
  <c r="AN58" i="14"/>
  <c r="AN54" i="14"/>
  <c r="AN50" i="14"/>
  <c r="AL30" i="14"/>
  <c r="AL26" i="14"/>
  <c r="AL22" i="14"/>
  <c r="AL18" i="14"/>
  <c r="G65" i="14"/>
  <c r="AG65" i="14" s="1"/>
  <c r="G62" i="14"/>
  <c r="AG62" i="14" s="1"/>
  <c r="G57" i="14"/>
  <c r="AG57" i="14" s="1"/>
  <c r="G54" i="14"/>
  <c r="AG54" i="14" s="1"/>
  <c r="G49" i="14"/>
  <c r="AG49" i="14" s="1"/>
  <c r="G46" i="14"/>
  <c r="AG46" i="14" s="1"/>
  <c r="G40" i="14"/>
  <c r="AG40" i="14" s="1"/>
  <c r="G37" i="14"/>
  <c r="AG37" i="14" s="1"/>
  <c r="G31" i="14"/>
  <c r="AG31" i="14" s="1"/>
  <c r="G28" i="14"/>
  <c r="AG28" i="14" s="1"/>
  <c r="G23" i="14"/>
  <c r="AG23" i="14" s="1"/>
  <c r="G20" i="14"/>
  <c r="AG20" i="14" s="1"/>
  <c r="G15" i="14"/>
  <c r="AG15" i="14" s="1"/>
  <c r="G12" i="14"/>
  <c r="AG12" i="14" s="1"/>
  <c r="G6" i="14"/>
  <c r="B52" i="14"/>
  <c r="E52" i="14"/>
  <c r="AH168" i="14"/>
  <c r="AL168" i="14" s="1"/>
  <c r="AT168" i="14" s="1"/>
  <c r="AH167" i="14"/>
  <c r="AL167" i="14" s="1"/>
  <c r="AH166" i="14"/>
  <c r="AL166" i="14" s="1"/>
  <c r="AH165" i="14"/>
  <c r="AL165" i="14" s="1"/>
  <c r="AH164" i="14"/>
  <c r="AL164" i="14" s="1"/>
  <c r="AH163" i="14"/>
  <c r="AL163" i="14" s="1"/>
  <c r="AT163" i="14" s="1"/>
  <c r="AH162" i="14"/>
  <c r="AL162" i="14" s="1"/>
  <c r="AH161" i="14"/>
  <c r="AL161" i="14" s="1"/>
  <c r="AH160" i="14"/>
  <c r="AL160" i="14" s="1"/>
  <c r="AH159" i="14"/>
  <c r="AL159" i="14" s="1"/>
  <c r="AH158" i="14"/>
  <c r="AL158" i="14" s="1"/>
  <c r="AT158" i="14" s="1"/>
  <c r="AH157" i="14"/>
  <c r="AL157" i="14" s="1"/>
  <c r="AH156" i="14"/>
  <c r="AL156" i="14" s="1"/>
  <c r="AH155" i="14"/>
  <c r="AL155" i="14" s="1"/>
  <c r="AH154" i="14"/>
  <c r="AL154" i="14" s="1"/>
  <c r="AH153" i="14"/>
  <c r="AL153" i="14" s="1"/>
  <c r="AT153" i="14" s="1"/>
  <c r="AH152" i="14"/>
  <c r="AL152" i="14" s="1"/>
  <c r="AH151" i="14"/>
  <c r="AL151" i="14" s="1"/>
  <c r="AH150" i="14"/>
  <c r="AL150" i="14" s="1"/>
  <c r="AH149" i="14"/>
  <c r="AL149" i="14" s="1"/>
  <c r="AH148" i="14"/>
  <c r="AL148" i="14" s="1"/>
  <c r="AH147" i="14"/>
  <c r="AL147" i="14" s="1"/>
  <c r="AH146" i="14"/>
  <c r="AL146" i="14" s="1"/>
  <c r="AT146" i="14" s="1"/>
  <c r="AH145" i="14"/>
  <c r="AL145" i="14" s="1"/>
  <c r="AH144" i="14"/>
  <c r="AL144" i="14" s="1"/>
  <c r="AH143" i="14"/>
  <c r="AL143" i="14" s="1"/>
  <c r="AH142" i="14"/>
  <c r="AL142" i="14" s="1"/>
  <c r="AH141" i="14"/>
  <c r="AL141" i="14" s="1"/>
  <c r="AH140" i="14"/>
  <c r="AL140" i="14" s="1"/>
  <c r="AT140" i="14" s="1"/>
  <c r="AH139" i="14"/>
  <c r="AL139" i="14" s="1"/>
  <c r="AH138" i="14"/>
  <c r="AL138" i="14" s="1"/>
  <c r="AH137" i="14"/>
  <c r="AL137" i="14" s="1"/>
  <c r="AH136" i="14"/>
  <c r="AH135" i="14"/>
  <c r="AH134" i="14"/>
  <c r="AH133" i="14"/>
  <c r="AH132" i="14"/>
  <c r="AL132" i="14" s="1"/>
  <c r="AH131" i="14"/>
  <c r="AL131" i="14" s="1"/>
  <c r="AH130" i="14"/>
  <c r="AL130" i="14" s="1"/>
  <c r="AH129" i="14"/>
  <c r="AL129" i="14" s="1"/>
  <c r="AH128" i="14"/>
  <c r="AL128" i="14" s="1"/>
  <c r="AQ128" i="14" s="1"/>
  <c r="AH127" i="14"/>
  <c r="AL127" i="14" s="1"/>
  <c r="AH126" i="14"/>
  <c r="AL126" i="14" s="1"/>
  <c r="AH125" i="14"/>
  <c r="AL125" i="14" s="1"/>
  <c r="AH124" i="14"/>
  <c r="AL124" i="14" s="1"/>
  <c r="AT124" i="14" s="1"/>
  <c r="AH123" i="14"/>
  <c r="AL123" i="14" s="1"/>
  <c r="AH122" i="14"/>
  <c r="AL122" i="14" s="1"/>
  <c r="AH121" i="14"/>
  <c r="AL121" i="14" s="1"/>
  <c r="AH120" i="14"/>
  <c r="AL120" i="14" s="1"/>
  <c r="AH119" i="14"/>
  <c r="AL119" i="14" s="1"/>
  <c r="AH118" i="14"/>
  <c r="AL118" i="14" s="1"/>
  <c r="AH117" i="14"/>
  <c r="AL117" i="14" s="1"/>
  <c r="AH116" i="14"/>
  <c r="AL116" i="14" s="1"/>
  <c r="AH115" i="14"/>
  <c r="AL115" i="14" s="1"/>
  <c r="AH114" i="14"/>
  <c r="AL114" i="14" s="1"/>
  <c r="AH113" i="14"/>
  <c r="AL113" i="14" s="1"/>
  <c r="AT113" i="14" s="1"/>
  <c r="AH112" i="14"/>
  <c r="AL112" i="14" s="1"/>
  <c r="AH111" i="14"/>
  <c r="AL111" i="14" s="1"/>
  <c r="AH110" i="14"/>
  <c r="AL110" i="14" s="1"/>
  <c r="AH109" i="14"/>
  <c r="AL109" i="14" s="1"/>
  <c r="AH108" i="14"/>
  <c r="AL108" i="14" s="1"/>
  <c r="AH107" i="14"/>
  <c r="AL107" i="14" s="1"/>
  <c r="AT107" i="14" s="1"/>
  <c r="AH106" i="14"/>
  <c r="AL106" i="14" s="1"/>
  <c r="AH105" i="14"/>
  <c r="AL105" i="14" s="1"/>
  <c r="AH104" i="14"/>
  <c r="AL104" i="14" s="1"/>
  <c r="AH103" i="14"/>
  <c r="AL103" i="14" s="1"/>
  <c r="AH102" i="14"/>
  <c r="AL102" i="14" s="1"/>
  <c r="AH101" i="14"/>
  <c r="AL101" i="14" s="1"/>
  <c r="AH100" i="14"/>
  <c r="AL100" i="14" s="1"/>
  <c r="AH99" i="14"/>
  <c r="AL99" i="14" s="1"/>
  <c r="AT99" i="14" s="1"/>
  <c r="AH98" i="14"/>
  <c r="AL98" i="14" s="1"/>
  <c r="AH97" i="14"/>
  <c r="AL97" i="14" s="1"/>
  <c r="AH96" i="14"/>
  <c r="AL96" i="14" s="1"/>
  <c r="AH95" i="14"/>
  <c r="AL95" i="14" s="1"/>
  <c r="AH94" i="14"/>
  <c r="AL94" i="14" s="1"/>
  <c r="AH93" i="14"/>
  <c r="AL93" i="14" s="1"/>
  <c r="AH92" i="14"/>
  <c r="AL92" i="14" s="1"/>
  <c r="AH91" i="14"/>
  <c r="AL91" i="14" s="1"/>
  <c r="AT91" i="14" s="1"/>
  <c r="AH90" i="14"/>
  <c r="AL90" i="14" s="1"/>
  <c r="AH89" i="14"/>
  <c r="AH88" i="14"/>
  <c r="AL88" i="14" s="1"/>
  <c r="AH87" i="14"/>
  <c r="AL87" i="14" s="1"/>
  <c r="AH86" i="14"/>
  <c r="AL86" i="14" s="1"/>
  <c r="AH85" i="14"/>
  <c r="AL85" i="14" s="1"/>
  <c r="AH84" i="14"/>
  <c r="AL84" i="14" s="1"/>
  <c r="AT84" i="14" s="1"/>
  <c r="AH83" i="14"/>
  <c r="AH8" i="14"/>
  <c r="AH7" i="14"/>
  <c r="AH6" i="14"/>
  <c r="AH5" i="14"/>
  <c r="E39" i="15"/>
  <c r="F39" i="15"/>
  <c r="D39" i="15"/>
  <c r="F35" i="15"/>
  <c r="E35" i="15"/>
  <c r="D35" i="15"/>
  <c r="G37" i="15"/>
  <c r="F37" i="15"/>
  <c r="E37" i="15"/>
  <c r="D37" i="15"/>
  <c r="S49" i="15"/>
  <c r="T48" i="15"/>
  <c r="S48" i="15"/>
  <c r="R48" i="15"/>
  <c r="Q48" i="15"/>
  <c r="M48" i="15"/>
  <c r="L48" i="15"/>
  <c r="T47" i="15"/>
  <c r="R47" i="15"/>
  <c r="Q47" i="15"/>
  <c r="M47" i="15"/>
  <c r="L47" i="15"/>
  <c r="T41" i="15"/>
  <c r="R41" i="15"/>
  <c r="Q41" i="15"/>
  <c r="M41" i="15"/>
  <c r="L41" i="15"/>
  <c r="U40" i="15"/>
  <c r="N40" i="15"/>
  <c r="U39" i="15"/>
  <c r="N39" i="15"/>
  <c r="T33" i="15"/>
  <c r="R33" i="15"/>
  <c r="Q33" i="15"/>
  <c r="M33" i="15"/>
  <c r="L33" i="15"/>
  <c r="U32" i="15"/>
  <c r="N32" i="15"/>
  <c r="U31" i="15"/>
  <c r="N31" i="15"/>
  <c r="T25" i="15"/>
  <c r="R25" i="15"/>
  <c r="Q25" i="15"/>
  <c r="M25" i="15"/>
  <c r="L25" i="15"/>
  <c r="U24" i="15"/>
  <c r="N24" i="15"/>
  <c r="U23" i="15"/>
  <c r="N23" i="15"/>
  <c r="T17" i="15"/>
  <c r="R17" i="15"/>
  <c r="Q17" i="15"/>
  <c r="M17" i="15"/>
  <c r="L17" i="15"/>
  <c r="U16" i="15"/>
  <c r="N16" i="15"/>
  <c r="U15" i="15"/>
  <c r="N15" i="15"/>
  <c r="T9" i="15"/>
  <c r="R9" i="15"/>
  <c r="Q9" i="15"/>
  <c r="M9" i="15"/>
  <c r="L9" i="15"/>
  <c r="U8" i="15"/>
  <c r="N8" i="15"/>
  <c r="U7" i="15"/>
  <c r="N7" i="15"/>
  <c r="AK173" i="14" l="1"/>
  <c r="AM173" i="14" s="1"/>
  <c r="N47" i="15"/>
  <c r="U41" i="15"/>
  <c r="T42" i="15" s="1"/>
  <c r="N9" i="15"/>
  <c r="M10" i="15" s="1"/>
  <c r="N25" i="15"/>
  <c r="L26" i="15" s="1"/>
  <c r="R49" i="15"/>
  <c r="U48" i="15"/>
  <c r="U25" i="15"/>
  <c r="T26" i="15" s="1"/>
  <c r="U47" i="15"/>
  <c r="L49" i="15"/>
  <c r="N48" i="15"/>
  <c r="N41" i="15"/>
  <c r="L42" i="15" s="1"/>
  <c r="AQ132" i="14"/>
  <c r="AT132" i="14"/>
  <c r="AL89" i="14"/>
  <c r="AG89" i="14"/>
  <c r="AQ119" i="14"/>
  <c r="AT119" i="14"/>
  <c r="AT128" i="14"/>
  <c r="U52" i="14"/>
  <c r="V52" i="14" s="1"/>
  <c r="AG6" i="14"/>
  <c r="AL6" i="14"/>
  <c r="AN6" i="14"/>
  <c r="AJ6" i="14"/>
  <c r="AL7" i="14"/>
  <c r="AN7" i="14"/>
  <c r="AJ7" i="14"/>
  <c r="AL83" i="14"/>
  <c r="AN83" i="14"/>
  <c r="N17" i="15"/>
  <c r="M18" i="15" s="1"/>
  <c r="N33" i="15"/>
  <c r="M34" i="15" s="1"/>
  <c r="U33" i="15"/>
  <c r="Q34" i="15" s="1"/>
  <c r="Q49" i="15"/>
  <c r="M49" i="15"/>
  <c r="U17" i="15"/>
  <c r="T49" i="15"/>
  <c r="U9" i="15"/>
  <c r="T10" i="15" s="1"/>
  <c r="L10" i="15" l="1"/>
  <c r="Q42" i="15"/>
  <c r="M26" i="15"/>
  <c r="R26" i="15"/>
  <c r="R42" i="15"/>
  <c r="Q26" i="15"/>
  <c r="R10" i="15"/>
  <c r="Q10" i="15"/>
  <c r="L34" i="15"/>
  <c r="M42" i="15"/>
  <c r="L18" i="15"/>
  <c r="T34" i="15"/>
  <c r="N49" i="15"/>
  <c r="L50" i="15" s="1"/>
  <c r="U49" i="15"/>
  <c r="T50" i="15" s="1"/>
  <c r="S18" i="15"/>
  <c r="R18" i="15"/>
  <c r="Q18" i="15"/>
  <c r="T18" i="15"/>
  <c r="R34" i="15"/>
  <c r="AG85" i="14"/>
  <c r="AL134" i="14"/>
  <c r="AL135" i="14"/>
  <c r="AL136" i="14"/>
  <c r="AT136" i="14" s="1"/>
  <c r="AL133" i="14"/>
  <c r="AG83" i="14"/>
  <c r="AG84" i="14"/>
  <c r="AG86" i="14"/>
  <c r="AG87" i="14"/>
  <c r="AG88" i="14"/>
  <c r="AG90" i="14"/>
  <c r="AG91" i="14"/>
  <c r="AG92" i="14"/>
  <c r="AG93" i="14"/>
  <c r="AG94" i="14"/>
  <c r="AG95" i="14"/>
  <c r="AG96" i="14"/>
  <c r="AG97" i="14"/>
  <c r="AG98" i="14"/>
  <c r="AG99" i="14"/>
  <c r="AG100" i="14"/>
  <c r="AG101" i="14"/>
  <c r="AG102" i="14"/>
  <c r="AG103" i="14"/>
  <c r="AG104" i="14"/>
  <c r="AG105" i="14"/>
  <c r="AG106" i="14"/>
  <c r="AG107" i="14"/>
  <c r="AG108" i="14"/>
  <c r="AG109" i="14"/>
  <c r="AG110" i="14"/>
  <c r="AG111" i="14"/>
  <c r="AG112" i="14"/>
  <c r="AG113" i="14"/>
  <c r="AG114" i="14"/>
  <c r="AG115" i="14"/>
  <c r="AG116" i="14"/>
  <c r="AG117" i="14"/>
  <c r="AG118" i="14"/>
  <c r="AG119" i="14"/>
  <c r="AG120" i="14"/>
  <c r="AG121" i="14"/>
  <c r="AG122" i="14"/>
  <c r="AG123" i="14"/>
  <c r="AG124" i="14"/>
  <c r="AG125" i="14"/>
  <c r="AG126" i="14"/>
  <c r="AG127" i="14"/>
  <c r="AG128" i="14"/>
  <c r="AG129" i="14"/>
  <c r="AG130" i="14"/>
  <c r="AG131" i="14"/>
  <c r="AG132" i="14"/>
  <c r="AG133" i="14"/>
  <c r="AG134" i="14"/>
  <c r="AG135" i="14"/>
  <c r="AG136" i="14"/>
  <c r="AG137" i="14"/>
  <c r="AG138" i="14"/>
  <c r="AG139" i="14"/>
  <c r="AG140" i="14"/>
  <c r="AG141" i="14"/>
  <c r="AG142" i="14"/>
  <c r="AG143" i="14"/>
  <c r="AG144" i="14"/>
  <c r="AG145" i="14"/>
  <c r="AG146" i="14"/>
  <c r="AG147" i="14"/>
  <c r="AG148" i="14"/>
  <c r="AG149" i="14"/>
  <c r="AG150" i="14"/>
  <c r="AG151" i="14"/>
  <c r="AG152" i="14"/>
  <c r="AG153" i="14"/>
  <c r="AG154" i="14"/>
  <c r="AG155" i="14"/>
  <c r="AG156" i="14"/>
  <c r="AG157" i="14"/>
  <c r="AG158" i="14"/>
  <c r="AG159" i="14"/>
  <c r="AG160" i="14"/>
  <c r="AG161" i="14"/>
  <c r="AG162" i="14"/>
  <c r="AG163" i="14"/>
  <c r="AG164" i="14"/>
  <c r="AG165" i="14"/>
  <c r="AG166" i="14"/>
  <c r="AG167" i="14"/>
  <c r="AG168" i="14"/>
  <c r="E81" i="14"/>
  <c r="B81" i="14"/>
  <c r="E72" i="14"/>
  <c r="B72" i="14"/>
  <c r="E66" i="14"/>
  <c r="E67" i="14"/>
  <c r="E69" i="14"/>
  <c r="B66" i="14"/>
  <c r="B67" i="14"/>
  <c r="B69" i="14"/>
  <c r="B53" i="14"/>
  <c r="E51" i="14"/>
  <c r="B51" i="14"/>
  <c r="B50" i="14"/>
  <c r="E50" i="14"/>
  <c r="E53" i="14"/>
  <c r="F33" i="14"/>
  <c r="B42" i="14"/>
  <c r="E42" i="14"/>
  <c r="E37" i="14"/>
  <c r="E38" i="14"/>
  <c r="E40" i="14"/>
  <c r="B37" i="14"/>
  <c r="B38" i="14"/>
  <c r="B40" i="14"/>
  <c r="E32" i="14"/>
  <c r="E33" i="14"/>
  <c r="E34" i="14"/>
  <c r="E36" i="14"/>
  <c r="B32" i="14"/>
  <c r="B33" i="14"/>
  <c r="B34" i="14"/>
  <c r="B36" i="14"/>
  <c r="F21" i="14"/>
  <c r="E20" i="14"/>
  <c r="E21" i="14"/>
  <c r="E23" i="14"/>
  <c r="B20" i="14"/>
  <c r="B21" i="14"/>
  <c r="B23" i="14"/>
  <c r="S13" i="14"/>
  <c r="G13" i="14" s="1"/>
  <c r="AG13" i="14" s="1"/>
  <c r="E28" i="14"/>
  <c r="E29" i="14"/>
  <c r="E31" i="14"/>
  <c r="B28" i="14"/>
  <c r="B29" i="14"/>
  <c r="B31" i="14"/>
  <c r="J13" i="14"/>
  <c r="E12" i="14"/>
  <c r="E13" i="14"/>
  <c r="E15" i="14"/>
  <c r="B12" i="14"/>
  <c r="B13" i="14"/>
  <c r="B15" i="14"/>
  <c r="B9" i="14"/>
  <c r="E9" i="14"/>
  <c r="E25" i="14"/>
  <c r="T25" i="2"/>
  <c r="T24" i="2"/>
  <c r="E4" i="14"/>
  <c r="E5" i="14"/>
  <c r="E6" i="14"/>
  <c r="Z5" i="14"/>
  <c r="B6" i="14"/>
  <c r="E7" i="14"/>
  <c r="E8" i="14"/>
  <c r="E11" i="14"/>
  <c r="B7" i="14"/>
  <c r="B11" i="14"/>
  <c r="B16" i="14"/>
  <c r="B17" i="14"/>
  <c r="B19" i="14"/>
  <c r="E16" i="14"/>
  <c r="E17" i="14"/>
  <c r="E19" i="14"/>
  <c r="E24" i="14"/>
  <c r="E27" i="14"/>
  <c r="B24" i="14"/>
  <c r="B25" i="14"/>
  <c r="B27" i="14"/>
  <c r="E41" i="14"/>
  <c r="E43" i="14"/>
  <c r="E45" i="14"/>
  <c r="B41" i="14"/>
  <c r="B43" i="14"/>
  <c r="B45" i="14"/>
  <c r="E46" i="14"/>
  <c r="E47" i="14"/>
  <c r="E49" i="14"/>
  <c r="B46" i="14"/>
  <c r="B47" i="14"/>
  <c r="B49" i="14"/>
  <c r="E54" i="14"/>
  <c r="E55" i="14"/>
  <c r="E57" i="14"/>
  <c r="B54" i="14"/>
  <c r="B55" i="14"/>
  <c r="B57" i="14"/>
  <c r="E58" i="14"/>
  <c r="E59" i="14"/>
  <c r="E61" i="14"/>
  <c r="B63" i="14"/>
  <c r="B58" i="14"/>
  <c r="B59" i="14"/>
  <c r="B61" i="14"/>
  <c r="B62" i="14"/>
  <c r="B65" i="14"/>
  <c r="B70" i="14"/>
  <c r="B71" i="14"/>
  <c r="E70" i="14"/>
  <c r="E62" i="14"/>
  <c r="E63" i="14"/>
  <c r="E65" i="14"/>
  <c r="E71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75" i="14"/>
  <c r="E76" i="14"/>
  <c r="E78" i="14"/>
  <c r="E79" i="14"/>
  <c r="E80" i="14"/>
  <c r="E83" i="14"/>
  <c r="E84" i="14"/>
  <c r="E85" i="14"/>
  <c r="E74" i="14"/>
  <c r="W23" i="15" l="1"/>
  <c r="W7" i="15"/>
  <c r="V10" i="15"/>
  <c r="V42" i="15"/>
  <c r="V26" i="15"/>
  <c r="Q50" i="15"/>
  <c r="V18" i="15"/>
  <c r="W15" i="15"/>
  <c r="W31" i="15"/>
  <c r="W39" i="15"/>
  <c r="U25" i="14"/>
  <c r="V25" i="14" s="1"/>
  <c r="G25" i="14" s="1"/>
  <c r="AG25" i="14" s="1"/>
  <c r="U38" i="14"/>
  <c r="V38" i="14" s="1"/>
  <c r="U72" i="14"/>
  <c r="V72" i="14" s="1"/>
  <c r="G72" i="14" s="1"/>
  <c r="AG72" i="14" s="1"/>
  <c r="M50" i="15"/>
  <c r="V34" i="15"/>
  <c r="R50" i="15"/>
  <c r="S50" i="15"/>
  <c r="AB41" i="14"/>
  <c r="U42" i="14"/>
  <c r="V42" i="14" s="1"/>
  <c r="G42" i="14" s="1"/>
  <c r="AG42" i="14" s="1"/>
  <c r="U33" i="14"/>
  <c r="V33" i="14" s="1"/>
  <c r="G33" i="14" s="1"/>
  <c r="AG33" i="14" s="1"/>
  <c r="U34" i="14"/>
  <c r="V34" i="14" s="1"/>
  <c r="B74" i="14"/>
  <c r="B75" i="14"/>
  <c r="B76" i="14"/>
  <c r="B78" i="14"/>
  <c r="B83" i="14"/>
  <c r="B85" i="14"/>
  <c r="B79" i="14"/>
  <c r="B80" i="14"/>
  <c r="B84" i="14"/>
  <c r="B154" i="14"/>
  <c r="B155" i="14"/>
  <c r="B156" i="14"/>
  <c r="B157" i="14"/>
  <c r="B158" i="14"/>
  <c r="B159" i="14"/>
  <c r="B160" i="14"/>
  <c r="B161" i="14"/>
  <c r="B162" i="14"/>
  <c r="B163" i="14"/>
  <c r="AJ163" i="14" s="1"/>
  <c r="B164" i="14"/>
  <c r="B165" i="14"/>
  <c r="B166" i="14"/>
  <c r="B167" i="14"/>
  <c r="B168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04" i="14"/>
  <c r="B105" i="14"/>
  <c r="B106" i="14"/>
  <c r="B107" i="14"/>
  <c r="B108" i="14"/>
  <c r="B109" i="14"/>
  <c r="B94" i="14"/>
  <c r="B95" i="14"/>
  <c r="B96" i="14"/>
  <c r="B97" i="14"/>
  <c r="B98" i="14"/>
  <c r="B99" i="14"/>
  <c r="B100" i="14"/>
  <c r="B101" i="14"/>
  <c r="B102" i="14"/>
  <c r="B103" i="14"/>
  <c r="B88" i="14"/>
  <c r="B89" i="14"/>
  <c r="B90" i="14"/>
  <c r="B91" i="14"/>
  <c r="B92" i="14"/>
  <c r="B93" i="14"/>
  <c r="B86" i="14"/>
  <c r="B87" i="14"/>
  <c r="CU101" i="14"/>
  <c r="CU102" i="14"/>
  <c r="CV102" i="14"/>
  <c r="CU103" i="14"/>
  <c r="CV103" i="14"/>
  <c r="CU104" i="14"/>
  <c r="CV104" i="14"/>
  <c r="CU105" i="14"/>
  <c r="CV105" i="14"/>
  <c r="CU106" i="14"/>
  <c r="CV106" i="14"/>
  <c r="CU107" i="14"/>
  <c r="CV107" i="14"/>
  <c r="CU108" i="14"/>
  <c r="CV108" i="14"/>
  <c r="CU109" i="14"/>
  <c r="CV109" i="14"/>
  <c r="CU110" i="14"/>
  <c r="CV110" i="14"/>
  <c r="CU111" i="14"/>
  <c r="CV111" i="14"/>
  <c r="CU112" i="14"/>
  <c r="CV112" i="14"/>
  <c r="CU113" i="14"/>
  <c r="CV113" i="14"/>
  <c r="CU114" i="14"/>
  <c r="CV114" i="14"/>
  <c r="CU115" i="14"/>
  <c r="CV115" i="14"/>
  <c r="CU116" i="14"/>
  <c r="CV116" i="14"/>
  <c r="CU117" i="14"/>
  <c r="CV117" i="14"/>
  <c r="CU118" i="14"/>
  <c r="CV118" i="14"/>
  <c r="CU119" i="14"/>
  <c r="CV119" i="14"/>
  <c r="CU120" i="14"/>
  <c r="CV120" i="14"/>
  <c r="CU121" i="14"/>
  <c r="CV121" i="14"/>
  <c r="CU122" i="14"/>
  <c r="CV122" i="14"/>
  <c r="CU123" i="14"/>
  <c r="CV123" i="14"/>
  <c r="CU124" i="14"/>
  <c r="CV124" i="14"/>
  <c r="CU125" i="14"/>
  <c r="CV125" i="14"/>
  <c r="CU126" i="14"/>
  <c r="CV126" i="14"/>
  <c r="CU127" i="14"/>
  <c r="CV127" i="14"/>
  <c r="CU128" i="14"/>
  <c r="CV128" i="14"/>
  <c r="CU129" i="14"/>
  <c r="CV129" i="14"/>
  <c r="CU130" i="14"/>
  <c r="CV130" i="14"/>
  <c r="CU131" i="14"/>
  <c r="CV131" i="14"/>
  <c r="CU132" i="14"/>
  <c r="CV132" i="14"/>
  <c r="CU133" i="14"/>
  <c r="CV133" i="14"/>
  <c r="CU134" i="14"/>
  <c r="CV134" i="14"/>
  <c r="CU135" i="14"/>
  <c r="CV135" i="14"/>
  <c r="CU136" i="14"/>
  <c r="CV136" i="14"/>
  <c r="CU137" i="14"/>
  <c r="CV137" i="14"/>
  <c r="CU138" i="14"/>
  <c r="CV138" i="14"/>
  <c r="CU139" i="14"/>
  <c r="CV139" i="14"/>
  <c r="CU140" i="14"/>
  <c r="R21" i="14" s="1"/>
  <c r="S21" i="14" s="1"/>
  <c r="G21" i="14" s="1"/>
  <c r="AG21" i="14" s="1"/>
  <c r="CV140" i="14"/>
  <c r="CU141" i="14"/>
  <c r="CV141" i="14"/>
  <c r="CU142" i="14"/>
  <c r="CV142" i="14"/>
  <c r="CU143" i="14"/>
  <c r="CV143" i="14"/>
  <c r="CU144" i="14"/>
  <c r="CV144" i="14"/>
  <c r="CU145" i="14"/>
  <c r="CV145" i="14"/>
  <c r="CU146" i="14"/>
  <c r="CV146" i="14"/>
  <c r="CU147" i="14"/>
  <c r="CV147" i="14"/>
  <c r="CU148" i="14"/>
  <c r="CV148" i="14"/>
  <c r="CU149" i="14"/>
  <c r="CV149" i="14"/>
  <c r="CU150" i="14"/>
  <c r="CV150" i="14"/>
  <c r="CU151" i="14"/>
  <c r="CV151" i="14"/>
  <c r="CU152" i="14"/>
  <c r="CV152" i="14"/>
  <c r="CU153" i="14"/>
  <c r="CV153" i="14"/>
  <c r="CU154" i="14"/>
  <c r="CV154" i="14"/>
  <c r="CU155" i="14"/>
  <c r="CV155" i="14"/>
  <c r="CU156" i="14"/>
  <c r="R29" i="14" s="1"/>
  <c r="S29" i="14" s="1"/>
  <c r="G29" i="14" s="1"/>
  <c r="AG29" i="14" s="1"/>
  <c r="CV156" i="14"/>
  <c r="CU157" i="14"/>
  <c r="R51" i="14" s="1"/>
  <c r="S51" i="14" s="1"/>
  <c r="G51" i="14" s="1"/>
  <c r="CV157" i="14"/>
  <c r="CU158" i="14"/>
  <c r="CV158" i="14"/>
  <c r="CU159" i="14"/>
  <c r="CV159" i="14"/>
  <c r="CU160" i="14"/>
  <c r="CV160" i="14"/>
  <c r="CU161" i="14"/>
  <c r="R59" i="14" s="1"/>
  <c r="S59" i="14" s="1"/>
  <c r="G59" i="14" s="1"/>
  <c r="AG59" i="14" s="1"/>
  <c r="CV161" i="14"/>
  <c r="CU162" i="14"/>
  <c r="CV162" i="14"/>
  <c r="CU163" i="14"/>
  <c r="CV163" i="14"/>
  <c r="CU164" i="14"/>
  <c r="R67" i="14" s="1"/>
  <c r="S67" i="14" s="1"/>
  <c r="G67" i="14" s="1"/>
  <c r="AG67" i="14" s="1"/>
  <c r="CV164" i="14"/>
  <c r="CU165" i="14"/>
  <c r="CV165" i="14"/>
  <c r="CU166" i="14"/>
  <c r="CV166" i="14"/>
  <c r="CU167" i="14"/>
  <c r="CV167" i="14"/>
  <c r="CU168" i="14"/>
  <c r="R71" i="14" s="1"/>
  <c r="S71" i="14" s="1"/>
  <c r="CV168" i="14"/>
  <c r="CU169" i="14"/>
  <c r="CV169" i="14"/>
  <c r="CU170" i="14"/>
  <c r="CV170" i="14"/>
  <c r="CU171" i="14"/>
  <c r="CV171" i="14"/>
  <c r="CU172" i="14"/>
  <c r="CV172" i="14"/>
  <c r="CU173" i="14"/>
  <c r="CV173" i="14"/>
  <c r="CU174" i="14"/>
  <c r="CV174" i="14"/>
  <c r="CU175" i="14"/>
  <c r="CV175" i="14"/>
  <c r="CU177" i="14"/>
  <c r="CV177" i="14"/>
  <c r="CU178" i="14"/>
  <c r="CV178" i="14"/>
  <c r="CU179" i="14"/>
  <c r="CV179" i="14"/>
  <c r="CU180" i="14"/>
  <c r="CV180" i="14"/>
  <c r="CU181" i="14"/>
  <c r="CV181" i="14"/>
  <c r="R8" i="14"/>
  <c r="S8" i="14" s="1"/>
  <c r="R43" i="14"/>
  <c r="S43" i="14" s="1"/>
  <c r="G43" i="14" s="1"/>
  <c r="AG43" i="14" s="1"/>
  <c r="R55" i="14"/>
  <c r="S55" i="14" s="1"/>
  <c r="G55" i="14" s="1"/>
  <c r="AG55" i="14" s="1"/>
  <c r="CU196" i="14"/>
  <c r="CV196" i="14"/>
  <c r="CU197" i="14"/>
  <c r="CV197" i="14"/>
  <c r="CU198" i="14"/>
  <c r="CV198" i="14"/>
  <c r="CU199" i="14"/>
  <c r="CV199" i="14"/>
  <c r="CU200" i="14"/>
  <c r="CV200" i="14"/>
  <c r="R81" i="14"/>
  <c r="S81" i="14" s="1"/>
  <c r="G81" i="14" s="1"/>
  <c r="AG81" i="14" s="1"/>
  <c r="CU207" i="14"/>
  <c r="CV207" i="14"/>
  <c r="CU208" i="14"/>
  <c r="CV208" i="14"/>
  <c r="CU209" i="14"/>
  <c r="CV209" i="14"/>
  <c r="X9" i="14" s="1"/>
  <c r="Y9" i="14" s="1"/>
  <c r="CU210" i="14"/>
  <c r="CV210" i="14"/>
  <c r="CU211" i="14"/>
  <c r="CV211" i="14"/>
  <c r="CU212" i="14"/>
  <c r="CV212" i="14"/>
  <c r="CU213" i="14"/>
  <c r="CV213" i="14"/>
  <c r="CU214" i="14"/>
  <c r="CV214" i="14"/>
  <c r="CU215" i="14"/>
  <c r="CV215" i="14"/>
  <c r="CU216" i="14"/>
  <c r="CV216" i="14"/>
  <c r="CU217" i="14"/>
  <c r="CV217" i="14"/>
  <c r="CU218" i="14"/>
  <c r="CV218" i="14"/>
  <c r="X5" i="14" s="1"/>
  <c r="Y5" i="14" s="1"/>
  <c r="CU219" i="14"/>
  <c r="CV219" i="14"/>
  <c r="CU220" i="14"/>
  <c r="CV220" i="14"/>
  <c r="CU221" i="14"/>
  <c r="CV221" i="14"/>
  <c r="CU222" i="14"/>
  <c r="CV222" i="14"/>
  <c r="CU223" i="14"/>
  <c r="CV223" i="14"/>
  <c r="CU224" i="14"/>
  <c r="CV224" i="14"/>
  <c r="CU225" i="14"/>
  <c r="CV225" i="14"/>
  <c r="CU226" i="14"/>
  <c r="CV226" i="14"/>
  <c r="CU227" i="14"/>
  <c r="CV227" i="14"/>
  <c r="CU228" i="14"/>
  <c r="CV228" i="14"/>
  <c r="CU229" i="14"/>
  <c r="CV229" i="14"/>
  <c r="CU230" i="14"/>
  <c r="CV230" i="14"/>
  <c r="CU231" i="14"/>
  <c r="CV231" i="14"/>
  <c r="CU232" i="14"/>
  <c r="CV232" i="14"/>
  <c r="CU233" i="14"/>
  <c r="CV233" i="14"/>
  <c r="CU234" i="14"/>
  <c r="CV234" i="14"/>
  <c r="CU235" i="14"/>
  <c r="CV235" i="14"/>
  <c r="CU236" i="14"/>
  <c r="CV236" i="14"/>
  <c r="CU237" i="14"/>
  <c r="CV237" i="14"/>
  <c r="CU238" i="14"/>
  <c r="CV238" i="14"/>
  <c r="CU239" i="14"/>
  <c r="CV239" i="14"/>
  <c r="CU240" i="14"/>
  <c r="CV240" i="14"/>
  <c r="CU241" i="14"/>
  <c r="CV241" i="14"/>
  <c r="CU242" i="14"/>
  <c r="CV242" i="14"/>
  <c r="CU243" i="14"/>
  <c r="CV243" i="14"/>
  <c r="CU244" i="14"/>
  <c r="CV244" i="14"/>
  <c r="CU245" i="14"/>
  <c r="CV245" i="14"/>
  <c r="CU246" i="14"/>
  <c r="CV246" i="14"/>
  <c r="CU247" i="14"/>
  <c r="CV247" i="14"/>
  <c r="CU248" i="14"/>
  <c r="CV248" i="14"/>
  <c r="CU249" i="14"/>
  <c r="CV249" i="14"/>
  <c r="CU250" i="14"/>
  <c r="CV250" i="14"/>
  <c r="CU251" i="14"/>
  <c r="CV251" i="14"/>
  <c r="CU252" i="14"/>
  <c r="CV252" i="14"/>
  <c r="CU253" i="14"/>
  <c r="CV253" i="14"/>
  <c r="CU254" i="14"/>
  <c r="CV254" i="14"/>
  <c r="CU255" i="14"/>
  <c r="CV255" i="14"/>
  <c r="CU256" i="14"/>
  <c r="CV256" i="14"/>
  <c r="CU257" i="14"/>
  <c r="CV257" i="14"/>
  <c r="CV101" i="14"/>
  <c r="CL113" i="14"/>
  <c r="CL114" i="14"/>
  <c r="CL115" i="14"/>
  <c r="CL116" i="14"/>
  <c r="CL117" i="14"/>
  <c r="CL118" i="14"/>
  <c r="CL119" i="14"/>
  <c r="CL120" i="14"/>
  <c r="CL121" i="14"/>
  <c r="CL122" i="14"/>
  <c r="CL123" i="14"/>
  <c r="CL124" i="14"/>
  <c r="CL125" i="14"/>
  <c r="CL126" i="14"/>
  <c r="CL127" i="14"/>
  <c r="CL128" i="14"/>
  <c r="CL129" i="14"/>
  <c r="CL130" i="14"/>
  <c r="CL131" i="14"/>
  <c r="CL132" i="14"/>
  <c r="CL133" i="14"/>
  <c r="CL134" i="14"/>
  <c r="CL135" i="14"/>
  <c r="CL136" i="14"/>
  <c r="CL137" i="14"/>
  <c r="CL138" i="14"/>
  <c r="CL139" i="14"/>
  <c r="CL140" i="14"/>
  <c r="CL141" i="14"/>
  <c r="CL142" i="14"/>
  <c r="CL143" i="14"/>
  <c r="CL144" i="14"/>
  <c r="CL145" i="14"/>
  <c r="CL146" i="14"/>
  <c r="CL147" i="14"/>
  <c r="CL148" i="14"/>
  <c r="CL149" i="14"/>
  <c r="CL150" i="14"/>
  <c r="CL151" i="14"/>
  <c r="CL152" i="14"/>
  <c r="CL153" i="14"/>
  <c r="CL154" i="14"/>
  <c r="CL155" i="14"/>
  <c r="CL156" i="14"/>
  <c r="CL157" i="14"/>
  <c r="CL158" i="14"/>
  <c r="CL159" i="14"/>
  <c r="CL160" i="14"/>
  <c r="CL161" i="14"/>
  <c r="CL162" i="14"/>
  <c r="CL163" i="14"/>
  <c r="CL164" i="14"/>
  <c r="CL165" i="14"/>
  <c r="CL166" i="14"/>
  <c r="CL167" i="14"/>
  <c r="CL168" i="14"/>
  <c r="CL169" i="14"/>
  <c r="CL170" i="14"/>
  <c r="CL171" i="14"/>
  <c r="CL172" i="14"/>
  <c r="CL173" i="14"/>
  <c r="CL174" i="14"/>
  <c r="CL175" i="14"/>
  <c r="CL177" i="14"/>
  <c r="CL178" i="14"/>
  <c r="CL179" i="14"/>
  <c r="CL180" i="14"/>
  <c r="CL181" i="14"/>
  <c r="CL196" i="14"/>
  <c r="CL197" i="14"/>
  <c r="CL198" i="14"/>
  <c r="CL199" i="14"/>
  <c r="CL200" i="14"/>
  <c r="CL207" i="14"/>
  <c r="CL208" i="14"/>
  <c r="CL209" i="14"/>
  <c r="CL210" i="14"/>
  <c r="CL211" i="14"/>
  <c r="CL212" i="14"/>
  <c r="CL213" i="14"/>
  <c r="CL214" i="14"/>
  <c r="CL215" i="14"/>
  <c r="CL216" i="14"/>
  <c r="CL217" i="14"/>
  <c r="CL218" i="14"/>
  <c r="CL219" i="14"/>
  <c r="CL220" i="14"/>
  <c r="CL221" i="14"/>
  <c r="CL222" i="14"/>
  <c r="CL223" i="14"/>
  <c r="CL224" i="14"/>
  <c r="CL225" i="14"/>
  <c r="CL226" i="14"/>
  <c r="CL227" i="14"/>
  <c r="CL228" i="14"/>
  <c r="CL229" i="14"/>
  <c r="CL230" i="14"/>
  <c r="CL231" i="14"/>
  <c r="CL232" i="14"/>
  <c r="CL233" i="14"/>
  <c r="CL234" i="14"/>
  <c r="CL235" i="14"/>
  <c r="CL236" i="14"/>
  <c r="CL237" i="14"/>
  <c r="CL238" i="14"/>
  <c r="CL239" i="14"/>
  <c r="CL240" i="14"/>
  <c r="CL241" i="14"/>
  <c r="CL242" i="14"/>
  <c r="CL243" i="14"/>
  <c r="CL244" i="14"/>
  <c r="CL245" i="14"/>
  <c r="CL246" i="14"/>
  <c r="CL247" i="14"/>
  <c r="CL248" i="14"/>
  <c r="CL249" i="14"/>
  <c r="CL250" i="14"/>
  <c r="CL251" i="14"/>
  <c r="CL252" i="14"/>
  <c r="CL253" i="14"/>
  <c r="CL254" i="14"/>
  <c r="CL255" i="14"/>
  <c r="CL256" i="14"/>
  <c r="CL257" i="14"/>
  <c r="CL102" i="14"/>
  <c r="CL103" i="14"/>
  <c r="CL104" i="14"/>
  <c r="CL105" i="14"/>
  <c r="CL106" i="14"/>
  <c r="CL107" i="14"/>
  <c r="CL108" i="14"/>
  <c r="CL109" i="14"/>
  <c r="CL110" i="14"/>
  <c r="CL111" i="14"/>
  <c r="CL112" i="14"/>
  <c r="CL101" i="14"/>
  <c r="BJ86" i="14"/>
  <c r="BJ102" i="14"/>
  <c r="CM135" i="14"/>
  <c r="CM136" i="14"/>
  <c r="CM137" i="14"/>
  <c r="CM138" i="14"/>
  <c r="CM139" i="14"/>
  <c r="CM140" i="14"/>
  <c r="L33" i="14" s="1"/>
  <c r="M33" i="14" s="1"/>
  <c r="CM141" i="14"/>
  <c r="CM142" i="14"/>
  <c r="CM143" i="14"/>
  <c r="CM144" i="14"/>
  <c r="CM145" i="14"/>
  <c r="CM146" i="14"/>
  <c r="CM147" i="14"/>
  <c r="CM148" i="14"/>
  <c r="CM149" i="14"/>
  <c r="CM150" i="14"/>
  <c r="CM151" i="14"/>
  <c r="L38" i="14" s="1"/>
  <c r="M38" i="14" s="1"/>
  <c r="CM152" i="14"/>
  <c r="CM153" i="14"/>
  <c r="CM154" i="14"/>
  <c r="CM155" i="14"/>
  <c r="CM156" i="14"/>
  <c r="CM157" i="14"/>
  <c r="CM158" i="14"/>
  <c r="CM159" i="14"/>
  <c r="CM160" i="14"/>
  <c r="CM161" i="14"/>
  <c r="L34" i="14" s="1"/>
  <c r="M34" i="14" s="1"/>
  <c r="CM162" i="14"/>
  <c r="CM163" i="14"/>
  <c r="CM164" i="14"/>
  <c r="CM165" i="14"/>
  <c r="CM166" i="14"/>
  <c r="CM167" i="14"/>
  <c r="CM168" i="14"/>
  <c r="CM169" i="14"/>
  <c r="CM170" i="14"/>
  <c r="CM171" i="14"/>
  <c r="CM172" i="14"/>
  <c r="CM173" i="14"/>
  <c r="CM174" i="14"/>
  <c r="CM175" i="14"/>
  <c r="CM177" i="14"/>
  <c r="CM178" i="14"/>
  <c r="CM179" i="14"/>
  <c r="CM180" i="14"/>
  <c r="CM181" i="14"/>
  <c r="CM196" i="14"/>
  <c r="CM197" i="14"/>
  <c r="CM198" i="14"/>
  <c r="CM199" i="14"/>
  <c r="CM200" i="14"/>
  <c r="L72" i="14"/>
  <c r="M72" i="14" s="1"/>
  <c r="CM207" i="14"/>
  <c r="CM208" i="14"/>
  <c r="CM209" i="14"/>
  <c r="CM210" i="14"/>
  <c r="CM211" i="14"/>
  <c r="CM212" i="14"/>
  <c r="CM213" i="14"/>
  <c r="CM214" i="14"/>
  <c r="CM215" i="14"/>
  <c r="CM216" i="14"/>
  <c r="L52" i="14" s="1"/>
  <c r="M52" i="14" s="1"/>
  <c r="CM217" i="14"/>
  <c r="CM218" i="14"/>
  <c r="CM219" i="14"/>
  <c r="CM220" i="14"/>
  <c r="CM221" i="14"/>
  <c r="CM222" i="14"/>
  <c r="CM223" i="14"/>
  <c r="CM224" i="14"/>
  <c r="CM225" i="14"/>
  <c r="CM226" i="14"/>
  <c r="CM227" i="14"/>
  <c r="CM228" i="14"/>
  <c r="CM229" i="14"/>
  <c r="CM230" i="14"/>
  <c r="CM231" i="14"/>
  <c r="CM232" i="14"/>
  <c r="CM233" i="14"/>
  <c r="CM234" i="14"/>
  <c r="CM235" i="14"/>
  <c r="CM236" i="14"/>
  <c r="CM237" i="14"/>
  <c r="CM238" i="14"/>
  <c r="CM239" i="14"/>
  <c r="CM240" i="14"/>
  <c r="CM241" i="14"/>
  <c r="CM242" i="14"/>
  <c r="CM243" i="14"/>
  <c r="CM244" i="14"/>
  <c r="CM245" i="14"/>
  <c r="CM246" i="14"/>
  <c r="CM247" i="14"/>
  <c r="CM248" i="14"/>
  <c r="CM249" i="14"/>
  <c r="CM250" i="14"/>
  <c r="CM251" i="14"/>
  <c r="CM252" i="14"/>
  <c r="CM253" i="14"/>
  <c r="CM254" i="14"/>
  <c r="CM255" i="14"/>
  <c r="CM256" i="14"/>
  <c r="CM257" i="14"/>
  <c r="CM113" i="14"/>
  <c r="CM114" i="14"/>
  <c r="CM115" i="14"/>
  <c r="CM116" i="14"/>
  <c r="CM117" i="14"/>
  <c r="CM118" i="14"/>
  <c r="CM119" i="14"/>
  <c r="CM120" i="14"/>
  <c r="CM121" i="14"/>
  <c r="CM122" i="14"/>
  <c r="CM123" i="14"/>
  <c r="CM124" i="14"/>
  <c r="CM125" i="14"/>
  <c r="CM126" i="14"/>
  <c r="CM127" i="14"/>
  <c r="CM128" i="14"/>
  <c r="CM129" i="14"/>
  <c r="L42" i="14" s="1"/>
  <c r="M42" i="14" s="1"/>
  <c r="CM130" i="14"/>
  <c r="CM131" i="14"/>
  <c r="CM132" i="14"/>
  <c r="CM133" i="14"/>
  <c r="CM134" i="14"/>
  <c r="CM102" i="14"/>
  <c r="CM103" i="14"/>
  <c r="CM104" i="14"/>
  <c r="CM105" i="14"/>
  <c r="CM106" i="14"/>
  <c r="CM107" i="14"/>
  <c r="CM108" i="14"/>
  <c r="CM109" i="14"/>
  <c r="CM110" i="14"/>
  <c r="CM111" i="14"/>
  <c r="CM112" i="14"/>
  <c r="CM101" i="14"/>
  <c r="CN104" i="14"/>
  <c r="CN102" i="14"/>
  <c r="CN103" i="14"/>
  <c r="CN105" i="14"/>
  <c r="CN106" i="14"/>
  <c r="CN107" i="14"/>
  <c r="CN108" i="14"/>
  <c r="CN109" i="14"/>
  <c r="CN110" i="14"/>
  <c r="CN111" i="14"/>
  <c r="CN112" i="14"/>
  <c r="CN113" i="14"/>
  <c r="CN114" i="14"/>
  <c r="CN115" i="14"/>
  <c r="CN116" i="14"/>
  <c r="CN117" i="14"/>
  <c r="CN118" i="14"/>
  <c r="CN119" i="14"/>
  <c r="CN120" i="14"/>
  <c r="CN121" i="14"/>
  <c r="CN122" i="14"/>
  <c r="CN123" i="14"/>
  <c r="CN124" i="14"/>
  <c r="CN125" i="14"/>
  <c r="CN126" i="14"/>
  <c r="CN127" i="14"/>
  <c r="CN128" i="14"/>
  <c r="CN129" i="14"/>
  <c r="CN130" i="14"/>
  <c r="CN131" i="14"/>
  <c r="CN132" i="14"/>
  <c r="CN133" i="14"/>
  <c r="CN134" i="14"/>
  <c r="CN135" i="14"/>
  <c r="CN136" i="14"/>
  <c r="CN137" i="14"/>
  <c r="CN138" i="14"/>
  <c r="CN139" i="14"/>
  <c r="CN140" i="14"/>
  <c r="CN141" i="14"/>
  <c r="CN142" i="14"/>
  <c r="CN143" i="14"/>
  <c r="CN144" i="14"/>
  <c r="CN145" i="14"/>
  <c r="CN146" i="14"/>
  <c r="CN147" i="14"/>
  <c r="CN148" i="14"/>
  <c r="CN149" i="14"/>
  <c r="CN150" i="14"/>
  <c r="CN151" i="14"/>
  <c r="CN152" i="14"/>
  <c r="CN153" i="14"/>
  <c r="CN154" i="14"/>
  <c r="CN155" i="14"/>
  <c r="CN156" i="14"/>
  <c r="CN157" i="14"/>
  <c r="CN158" i="14"/>
  <c r="CN159" i="14"/>
  <c r="CN160" i="14"/>
  <c r="CN161" i="14"/>
  <c r="CN162" i="14"/>
  <c r="CN163" i="14"/>
  <c r="CN164" i="14"/>
  <c r="CN165" i="14"/>
  <c r="CN166" i="14"/>
  <c r="CN167" i="14"/>
  <c r="CN168" i="14"/>
  <c r="CN169" i="14"/>
  <c r="CN170" i="14"/>
  <c r="CN171" i="14"/>
  <c r="CN172" i="14"/>
  <c r="CN173" i="14"/>
  <c r="CN174" i="14"/>
  <c r="CN175" i="14"/>
  <c r="CN177" i="14"/>
  <c r="CN178" i="14"/>
  <c r="CN179" i="14"/>
  <c r="CN180" i="14"/>
  <c r="CN181" i="14"/>
  <c r="CN196" i="14"/>
  <c r="CN197" i="14"/>
  <c r="CN198" i="14"/>
  <c r="CN199" i="14"/>
  <c r="CN200" i="14"/>
  <c r="CN207" i="14"/>
  <c r="CN208" i="14"/>
  <c r="CN209" i="14"/>
  <c r="CN210" i="14"/>
  <c r="CN211" i="14"/>
  <c r="CN212" i="14"/>
  <c r="CN213" i="14"/>
  <c r="CN214" i="14"/>
  <c r="CN215" i="14"/>
  <c r="CN216" i="14"/>
  <c r="CN217" i="14"/>
  <c r="CN218" i="14"/>
  <c r="CN219" i="14"/>
  <c r="CN220" i="14"/>
  <c r="CN221" i="14"/>
  <c r="CN222" i="14"/>
  <c r="CN223" i="14"/>
  <c r="CN224" i="14"/>
  <c r="CN225" i="14"/>
  <c r="CN226" i="14"/>
  <c r="CN227" i="14"/>
  <c r="CN228" i="14"/>
  <c r="CN229" i="14"/>
  <c r="CN230" i="14"/>
  <c r="CN231" i="14"/>
  <c r="CN232" i="14"/>
  <c r="CN233" i="14"/>
  <c r="CN234" i="14"/>
  <c r="CN235" i="14"/>
  <c r="CN236" i="14"/>
  <c r="CN237" i="14"/>
  <c r="CN238" i="14"/>
  <c r="CN239" i="14"/>
  <c r="CN240" i="14"/>
  <c r="CN241" i="14"/>
  <c r="CN242" i="14"/>
  <c r="CN243" i="14"/>
  <c r="CN244" i="14"/>
  <c r="CN245" i="14"/>
  <c r="CN246" i="14"/>
  <c r="CN247" i="14"/>
  <c r="CN248" i="14"/>
  <c r="CN249" i="14"/>
  <c r="CN250" i="14"/>
  <c r="CN251" i="14"/>
  <c r="CN252" i="14"/>
  <c r="CN253" i="14"/>
  <c r="CN254" i="14"/>
  <c r="CN255" i="14"/>
  <c r="CN256" i="14"/>
  <c r="CN257" i="14"/>
  <c r="CN101" i="14"/>
  <c r="BJ145" i="14"/>
  <c r="BH145" i="14"/>
  <c r="BF145" i="14"/>
  <c r="AJ168" i="14" l="1"/>
  <c r="G34" i="14"/>
  <c r="AG34" i="14" s="1"/>
  <c r="AJ157" i="14"/>
  <c r="AJ156" i="14"/>
  <c r="G38" i="14"/>
  <c r="AG38" i="14" s="1"/>
  <c r="CO127" i="14"/>
  <c r="CO256" i="14"/>
  <c r="CO240" i="14"/>
  <c r="CO224" i="14"/>
  <c r="CO208" i="14"/>
  <c r="AJ86" i="14"/>
  <c r="AB144" i="14"/>
  <c r="W47" i="15"/>
  <c r="CO171" i="14"/>
  <c r="CO159" i="14"/>
  <c r="CO155" i="14"/>
  <c r="CO139" i="14"/>
  <c r="AB145" i="14"/>
  <c r="AB99" i="14"/>
  <c r="AB107" i="14"/>
  <c r="AB43" i="14"/>
  <c r="AJ43" i="14" s="1"/>
  <c r="AJ42" i="14"/>
  <c r="AD51" i="14"/>
  <c r="AL51" i="14" s="1"/>
  <c r="AQ51" i="14" s="1"/>
  <c r="AG51" i="14"/>
  <c r="AB55" i="14"/>
  <c r="AJ41" i="14"/>
  <c r="R63" i="14"/>
  <c r="S63" i="14" s="1"/>
  <c r="G63" i="14" s="1"/>
  <c r="AG63" i="14" s="1"/>
  <c r="G8" i="14"/>
  <c r="AJ93" i="14"/>
  <c r="AJ89" i="14"/>
  <c r="AJ101" i="14"/>
  <c r="AJ97" i="14"/>
  <c r="AJ105" i="14"/>
  <c r="AJ121" i="14"/>
  <c r="AJ117" i="14"/>
  <c r="AJ113" i="14"/>
  <c r="AJ151" i="14"/>
  <c r="AJ143" i="14"/>
  <c r="AJ166" i="14"/>
  <c r="AJ162" i="14"/>
  <c r="AJ158" i="14"/>
  <c r="G9" i="14"/>
  <c r="AJ103" i="14"/>
  <c r="AJ99" i="14"/>
  <c r="AJ95" i="14"/>
  <c r="AJ107" i="14"/>
  <c r="AJ123" i="14"/>
  <c r="AJ119" i="14"/>
  <c r="AJ115" i="14"/>
  <c r="AJ111" i="14"/>
  <c r="AJ139" i="14"/>
  <c r="AJ135" i="14"/>
  <c r="AJ131" i="14"/>
  <c r="AJ127" i="14"/>
  <c r="AJ153" i="14"/>
  <c r="AJ149" i="14"/>
  <c r="AJ145" i="14"/>
  <c r="AJ160" i="14"/>
  <c r="AJ90" i="14"/>
  <c r="AJ102" i="14"/>
  <c r="AJ98" i="14"/>
  <c r="AJ94" i="14"/>
  <c r="AJ106" i="14"/>
  <c r="AJ118" i="14"/>
  <c r="AJ138" i="14"/>
  <c r="AJ134" i="14"/>
  <c r="AJ130" i="14"/>
  <c r="AJ126" i="14"/>
  <c r="AJ152" i="14"/>
  <c r="AJ148" i="14"/>
  <c r="AJ144" i="14"/>
  <c r="AJ167" i="14"/>
  <c r="AJ155" i="14"/>
  <c r="AJ88" i="14"/>
  <c r="AJ96" i="14"/>
  <c r="AJ104" i="14"/>
  <c r="AJ116" i="14"/>
  <c r="AJ112" i="14"/>
  <c r="AJ140" i="14"/>
  <c r="AJ136" i="14"/>
  <c r="AJ132" i="14"/>
  <c r="AJ128" i="14"/>
  <c r="AJ124" i="14"/>
  <c r="AJ150" i="14"/>
  <c r="AJ146" i="14"/>
  <c r="AJ142" i="14"/>
  <c r="AJ165" i="14"/>
  <c r="AJ161" i="14"/>
  <c r="AJ110" i="14"/>
  <c r="AJ85" i="14"/>
  <c r="AJ91" i="14"/>
  <c r="V50" i="15"/>
  <c r="AV80" i="14"/>
  <c r="R47" i="14"/>
  <c r="S47" i="14" s="1"/>
  <c r="G47" i="14" s="1"/>
  <c r="AG47" i="14" s="1"/>
  <c r="L25" i="14"/>
  <c r="M25" i="14" s="1"/>
  <c r="L76" i="14"/>
  <c r="M76" i="14" s="1"/>
  <c r="U76" i="14"/>
  <c r="V76" i="14" s="1"/>
  <c r="G76" i="14" s="1"/>
  <c r="AG76" i="14" s="1"/>
  <c r="AA5" i="14"/>
  <c r="AG5" i="14" s="1"/>
  <c r="AV76" i="14"/>
  <c r="CO111" i="14"/>
  <c r="CO107" i="14"/>
  <c r="CO103" i="14"/>
  <c r="R80" i="14"/>
  <c r="S80" i="14" s="1"/>
  <c r="G80" i="14" s="1"/>
  <c r="CP110" i="14"/>
  <c r="CO248" i="14"/>
  <c r="CO244" i="14"/>
  <c r="CO232" i="14"/>
  <c r="CO228" i="14"/>
  <c r="CO216" i="14"/>
  <c r="CO212" i="14"/>
  <c r="CO199" i="14"/>
  <c r="CO178" i="14"/>
  <c r="CO175" i="14"/>
  <c r="CO163" i="14"/>
  <c r="CO147" i="14"/>
  <c r="CO143" i="14"/>
  <c r="CO131" i="14"/>
  <c r="CO115" i="14"/>
  <c r="CP134" i="14"/>
  <c r="CP130" i="14"/>
  <c r="CP126" i="14"/>
  <c r="CP122" i="14"/>
  <c r="CP118" i="14"/>
  <c r="CP114" i="14"/>
  <c r="CP106" i="14"/>
  <c r="CO252" i="14"/>
  <c r="CO236" i="14"/>
  <c r="CO220" i="14"/>
  <c r="CO167" i="14"/>
  <c r="CO151" i="14"/>
  <c r="CO135" i="14"/>
  <c r="CO119" i="14"/>
  <c r="CP255" i="14"/>
  <c r="CP251" i="14"/>
  <c r="CP247" i="14"/>
  <c r="CP243" i="14"/>
  <c r="CP239" i="14"/>
  <c r="CP235" i="14"/>
  <c r="CP231" i="14"/>
  <c r="CP227" i="14"/>
  <c r="CP223" i="14"/>
  <c r="CP219" i="14"/>
  <c r="CP215" i="14"/>
  <c r="CP211" i="14"/>
  <c r="CP207" i="14"/>
  <c r="CP198" i="14"/>
  <c r="CP181" i="14"/>
  <c r="CP177" i="14"/>
  <c r="CP174" i="14"/>
  <c r="CP170" i="14"/>
  <c r="CP166" i="14"/>
  <c r="CP162" i="14"/>
  <c r="CP158" i="14"/>
  <c r="CP154" i="14"/>
  <c r="CP150" i="14"/>
  <c r="CP146" i="14"/>
  <c r="CP142" i="14"/>
  <c r="CP138" i="14"/>
  <c r="CP104" i="14"/>
  <c r="CO110" i="14"/>
  <c r="CO102" i="14"/>
  <c r="CO106" i="14"/>
  <c r="CP102" i="14"/>
  <c r="CP107" i="14"/>
  <c r="CP131" i="14"/>
  <c r="CP127" i="14"/>
  <c r="CP123" i="14"/>
  <c r="CP119" i="14"/>
  <c r="CP115" i="14"/>
  <c r="CP135" i="14"/>
  <c r="CP105" i="14"/>
  <c r="CP111" i="14"/>
  <c r="CO257" i="14"/>
  <c r="CO253" i="14"/>
  <c r="CO249" i="14"/>
  <c r="CO245" i="14"/>
  <c r="CO241" i="14"/>
  <c r="CO237" i="14"/>
  <c r="CO233" i="14"/>
  <c r="CO229" i="14"/>
  <c r="CO225" i="14"/>
  <c r="CO221" i="14"/>
  <c r="CO217" i="14"/>
  <c r="CO213" i="14"/>
  <c r="CO209" i="14"/>
  <c r="CO200" i="14"/>
  <c r="CO196" i="14"/>
  <c r="I55" i="14"/>
  <c r="J55" i="14" s="1"/>
  <c r="I8" i="14"/>
  <c r="J8" i="14" s="1"/>
  <c r="CO179" i="14"/>
  <c r="CO172" i="14"/>
  <c r="CO168" i="14"/>
  <c r="I71" i="14" s="1"/>
  <c r="J71" i="14" s="1"/>
  <c r="CO164" i="14"/>
  <c r="CO160" i="14"/>
  <c r="CO156" i="14"/>
  <c r="I29" i="14" s="1"/>
  <c r="J29" i="14" s="1"/>
  <c r="CO152" i="14"/>
  <c r="CO148" i="14"/>
  <c r="CO144" i="14"/>
  <c r="CO140" i="14"/>
  <c r="I21" i="14" s="1"/>
  <c r="J21" i="14" s="1"/>
  <c r="CO136" i="14"/>
  <c r="CO132" i="14"/>
  <c r="CO128" i="14"/>
  <c r="CO124" i="14"/>
  <c r="CO120" i="14"/>
  <c r="CO116" i="14"/>
  <c r="CO123" i="14"/>
  <c r="CP112" i="14"/>
  <c r="CP133" i="14"/>
  <c r="CP125" i="14"/>
  <c r="CP113" i="14"/>
  <c r="CP250" i="14"/>
  <c r="CP238" i="14"/>
  <c r="CP226" i="14"/>
  <c r="CP214" i="14"/>
  <c r="CP180" i="14"/>
  <c r="CP169" i="14"/>
  <c r="CP161" i="14"/>
  <c r="CP149" i="14"/>
  <c r="CP137" i="14"/>
  <c r="CO246" i="14"/>
  <c r="CP103" i="14"/>
  <c r="CP128" i="14"/>
  <c r="CP124" i="14"/>
  <c r="CP120" i="14"/>
  <c r="CP257" i="14"/>
  <c r="CP253" i="14"/>
  <c r="CP245" i="14"/>
  <c r="CP241" i="14"/>
  <c r="CP233" i="14"/>
  <c r="CP229" i="14"/>
  <c r="CP221" i="14"/>
  <c r="CP217" i="14"/>
  <c r="CP209" i="14"/>
  <c r="O9" i="14" s="1"/>
  <c r="P9" i="14" s="1"/>
  <c r="CP196" i="14"/>
  <c r="CP179" i="14"/>
  <c r="CP168" i="14"/>
  <c r="CP164" i="14"/>
  <c r="CP160" i="14"/>
  <c r="CP156" i="14"/>
  <c r="CP152" i="14"/>
  <c r="CP148" i="14"/>
  <c r="CP144" i="14"/>
  <c r="CP140" i="14"/>
  <c r="CP136" i="14"/>
  <c r="CO109" i="14"/>
  <c r="CO105" i="14"/>
  <c r="CP256" i="14"/>
  <c r="CP252" i="14"/>
  <c r="CP248" i="14"/>
  <c r="CP244" i="14"/>
  <c r="CP240" i="14"/>
  <c r="CP236" i="14"/>
  <c r="CP232" i="14"/>
  <c r="CP228" i="14"/>
  <c r="CP224" i="14"/>
  <c r="CP220" i="14"/>
  <c r="CP216" i="14"/>
  <c r="CP212" i="14"/>
  <c r="CP208" i="14"/>
  <c r="CP199" i="14"/>
  <c r="CP178" i="14"/>
  <c r="CP175" i="14"/>
  <c r="CP171" i="14"/>
  <c r="CP167" i="14"/>
  <c r="CP163" i="14"/>
  <c r="CP159" i="14"/>
  <c r="CP155" i="14"/>
  <c r="CP151" i="14"/>
  <c r="CP147" i="14"/>
  <c r="CP143" i="14"/>
  <c r="CP139" i="14"/>
  <c r="CO112" i="14"/>
  <c r="CO108" i="14"/>
  <c r="CO104" i="14"/>
  <c r="CP109" i="14"/>
  <c r="CO255" i="14"/>
  <c r="CO251" i="14"/>
  <c r="CO247" i="14"/>
  <c r="CO243" i="14"/>
  <c r="CO239" i="14"/>
  <c r="CO235" i="14"/>
  <c r="CO231" i="14"/>
  <c r="CO227" i="14"/>
  <c r="CO223" i="14"/>
  <c r="CO219" i="14"/>
  <c r="CO215" i="14"/>
  <c r="CO211" i="14"/>
  <c r="CO207" i="14"/>
  <c r="CO198" i="14"/>
  <c r="I43" i="14"/>
  <c r="J43" i="14" s="1"/>
  <c r="CO181" i="14"/>
  <c r="CO177" i="14"/>
  <c r="CO174" i="14"/>
  <c r="CO170" i="14"/>
  <c r="CO166" i="14"/>
  <c r="CO162" i="14"/>
  <c r="CO158" i="14"/>
  <c r="CO154" i="14"/>
  <c r="CO150" i="14"/>
  <c r="CO146" i="14"/>
  <c r="CO142" i="14"/>
  <c r="CO138" i="14"/>
  <c r="CO134" i="14"/>
  <c r="CO130" i="14"/>
  <c r="CO126" i="14"/>
  <c r="CO122" i="14"/>
  <c r="CO118" i="14"/>
  <c r="CO114" i="14"/>
  <c r="CP121" i="14"/>
  <c r="CP254" i="14"/>
  <c r="CP242" i="14"/>
  <c r="CP230" i="14"/>
  <c r="CP218" i="14"/>
  <c r="CP165" i="14"/>
  <c r="CP157" i="14"/>
  <c r="CP153" i="14"/>
  <c r="CP141" i="14"/>
  <c r="CO250" i="14"/>
  <c r="CO242" i="14"/>
  <c r="CO238" i="14"/>
  <c r="CO234" i="14"/>
  <c r="CO230" i="14"/>
  <c r="CO226" i="14"/>
  <c r="CO222" i="14"/>
  <c r="CO218" i="14"/>
  <c r="CO214" i="14"/>
  <c r="CO210" i="14"/>
  <c r="I81" i="14"/>
  <c r="J81" i="14" s="1"/>
  <c r="CO197" i="14"/>
  <c r="CO180" i="14"/>
  <c r="CO173" i="14"/>
  <c r="CO169" i="14"/>
  <c r="CO165" i="14"/>
  <c r="CO161" i="14"/>
  <c r="I59" i="14" s="1"/>
  <c r="J59" i="14" s="1"/>
  <c r="CO157" i="14"/>
  <c r="I51" i="14" s="1"/>
  <c r="J51" i="14" s="1"/>
  <c r="CO153" i="14"/>
  <c r="CO149" i="14"/>
  <c r="CO145" i="14"/>
  <c r="CO141" i="14"/>
  <c r="CO137" i="14"/>
  <c r="CO133" i="14"/>
  <c r="CO129" i="14"/>
  <c r="CO125" i="14"/>
  <c r="CO121" i="14"/>
  <c r="CO117" i="14"/>
  <c r="CO113" i="14"/>
  <c r="CP101" i="14"/>
  <c r="CP108" i="14"/>
  <c r="CP129" i="14"/>
  <c r="CP117" i="14"/>
  <c r="CP246" i="14"/>
  <c r="CP234" i="14"/>
  <c r="CP222" i="14"/>
  <c r="CP210" i="14"/>
  <c r="CP197" i="14"/>
  <c r="CP173" i="14"/>
  <c r="CP145" i="14"/>
  <c r="CO254" i="14"/>
  <c r="CP132" i="14"/>
  <c r="CP116" i="14"/>
  <c r="CP249" i="14"/>
  <c r="CP237" i="14"/>
  <c r="CP225" i="14"/>
  <c r="CP213" i="14"/>
  <c r="CP200" i="14"/>
  <c r="CP172" i="14"/>
  <c r="CO101" i="14"/>
  <c r="BJ123" i="14"/>
  <c r="BH123" i="14"/>
  <c r="BF123" i="14"/>
  <c r="BJ122" i="14"/>
  <c r="BH122" i="14"/>
  <c r="BF122" i="14"/>
  <c r="BJ121" i="14"/>
  <c r="BH121" i="14"/>
  <c r="BF121" i="14"/>
  <c r="BJ118" i="14"/>
  <c r="BH118" i="14"/>
  <c r="BF118" i="14"/>
  <c r="BJ117" i="14"/>
  <c r="BH117" i="14"/>
  <c r="BF117" i="14"/>
  <c r="BJ116" i="14"/>
  <c r="BH116" i="14"/>
  <c r="BF116" i="14"/>
  <c r="BJ115" i="14"/>
  <c r="BH115" i="14"/>
  <c r="BF115" i="14"/>
  <c r="BJ112" i="14"/>
  <c r="BH112" i="14"/>
  <c r="BF112" i="14"/>
  <c r="BJ111" i="14"/>
  <c r="BH111" i="14"/>
  <c r="BF111" i="14"/>
  <c r="BJ110" i="14"/>
  <c r="BH110" i="14"/>
  <c r="BF110" i="14"/>
  <c r="BJ109" i="14"/>
  <c r="BH109" i="14"/>
  <c r="BF109" i="14"/>
  <c r="BJ105" i="14"/>
  <c r="BH105" i="14"/>
  <c r="BF105" i="14"/>
  <c r="BJ106" i="14"/>
  <c r="BH106" i="14"/>
  <c r="BF106" i="14"/>
  <c r="BJ104" i="14"/>
  <c r="BH104" i="14"/>
  <c r="BF104" i="14"/>
  <c r="BJ103" i="14"/>
  <c r="BH103" i="14"/>
  <c r="BF103" i="14"/>
  <c r="BF102" i="14"/>
  <c r="BH102" i="14"/>
  <c r="BJ101" i="14"/>
  <c r="BH101" i="14"/>
  <c r="BF101" i="14"/>
  <c r="BK98" i="14"/>
  <c r="BJ98" i="14"/>
  <c r="BH98" i="14"/>
  <c r="BF98" i="14"/>
  <c r="BJ97" i="14"/>
  <c r="BH97" i="14"/>
  <c r="BF97" i="14"/>
  <c r="BK97" i="14"/>
  <c r="BK96" i="14"/>
  <c r="BJ96" i="14"/>
  <c r="BH96" i="14"/>
  <c r="BF96" i="14"/>
  <c r="BH88" i="14"/>
  <c r="BF95" i="14"/>
  <c r="BK95" i="14"/>
  <c r="BJ95" i="14"/>
  <c r="BH95" i="14"/>
  <c r="BJ94" i="14"/>
  <c r="BH94" i="14"/>
  <c r="BF94" i="14"/>
  <c r="BJ88" i="14"/>
  <c r="BF88" i="14"/>
  <c r="BJ89" i="14"/>
  <c r="BH89" i="14"/>
  <c r="BF89" i="14"/>
  <c r="BJ90" i="14"/>
  <c r="BH90" i="14"/>
  <c r="BF90" i="14"/>
  <c r="BK88" i="14"/>
  <c r="BK86" i="14"/>
  <c r="BJ87" i="14"/>
  <c r="BH87" i="14"/>
  <c r="BF87" i="14"/>
  <c r="BH86" i="14"/>
  <c r="BF86" i="14"/>
  <c r="BK85" i="14"/>
  <c r="BJ85" i="14"/>
  <c r="BH85" i="14"/>
  <c r="BF85" i="14"/>
  <c r="AB34" i="14" l="1"/>
  <c r="AJ34" i="14" s="1"/>
  <c r="AB38" i="14"/>
  <c r="AT51" i="14"/>
  <c r="AG8" i="14"/>
  <c r="AJ8" i="14"/>
  <c r="AJ33" i="14"/>
  <c r="AD80" i="14"/>
  <c r="AL80" i="14" s="1"/>
  <c r="AQ80" i="14" s="1"/>
  <c r="AG80" i="14"/>
  <c r="AG9" i="14"/>
  <c r="AB9" i="14"/>
  <c r="AJ9" i="14" s="1"/>
  <c r="AJ55" i="14"/>
  <c r="AJ5" i="14"/>
  <c r="AD5" i="14"/>
  <c r="AL5" i="14" s="1"/>
  <c r="AQ5" i="14" s="1"/>
  <c r="AN140" i="14"/>
  <c r="AK140" i="14" s="1"/>
  <c r="AM140" i="14" s="1"/>
  <c r="AN163" i="14"/>
  <c r="AK163" i="14" s="1"/>
  <c r="AM163" i="14" s="1"/>
  <c r="AN113" i="14"/>
  <c r="AK113" i="14" s="1"/>
  <c r="AM113" i="14" s="1"/>
  <c r="AN146" i="14"/>
  <c r="AK146" i="14" s="1"/>
  <c r="AM146" i="14" s="1"/>
  <c r="AN132" i="14"/>
  <c r="AK132" i="14" s="1"/>
  <c r="AM132" i="14" s="1"/>
  <c r="AN168" i="14"/>
  <c r="AK168" i="14" s="1"/>
  <c r="AM168" i="14" s="1"/>
  <c r="AN124" i="14"/>
  <c r="AK124" i="14" s="1"/>
  <c r="AM124" i="14" s="1"/>
  <c r="AN128" i="14"/>
  <c r="AK128" i="14" s="1"/>
  <c r="AM128" i="14" s="1"/>
  <c r="AN158" i="14"/>
  <c r="AK158" i="14" s="1"/>
  <c r="AM158" i="14" s="1"/>
  <c r="AN107" i="14"/>
  <c r="AK107" i="14" s="1"/>
  <c r="AM107" i="14" s="1"/>
  <c r="AN153" i="14"/>
  <c r="AN136" i="14"/>
  <c r="AK136" i="14" s="1"/>
  <c r="AM136" i="14" s="1"/>
  <c r="AN99" i="14"/>
  <c r="AK99" i="14" s="1"/>
  <c r="AM99" i="14" s="1"/>
  <c r="AN119" i="14"/>
  <c r="AK119" i="14" s="1"/>
  <c r="AM119" i="14" s="1"/>
  <c r="AN91" i="14"/>
  <c r="AK91" i="14" s="1"/>
  <c r="AM91" i="14" s="1"/>
  <c r="I63" i="14"/>
  <c r="J63" i="14" s="1"/>
  <c r="O5" i="14"/>
  <c r="P5" i="14" s="1"/>
  <c r="I80" i="14"/>
  <c r="J80" i="14" s="1"/>
  <c r="I47" i="14"/>
  <c r="J47" i="14" s="1"/>
  <c r="CH146" i="14"/>
  <c r="CH147" i="14"/>
  <c r="CH148" i="14"/>
  <c r="CH149" i="14"/>
  <c r="CH150" i="14"/>
  <c r="CH151" i="14"/>
  <c r="CH152" i="14"/>
  <c r="CH153" i="14"/>
  <c r="CH154" i="14"/>
  <c r="CH155" i="14"/>
  <c r="CH156" i="14"/>
  <c r="CH157" i="14"/>
  <c r="Z51" i="14" s="1"/>
  <c r="AA51" i="14" s="1"/>
  <c r="CH158" i="14"/>
  <c r="CH159" i="14"/>
  <c r="CH160" i="14"/>
  <c r="CH161" i="14"/>
  <c r="CH162" i="14"/>
  <c r="CH163" i="14"/>
  <c r="CH164" i="14"/>
  <c r="Z67" i="14" s="1"/>
  <c r="AA67" i="14" s="1"/>
  <c r="G68" i="14" s="1"/>
  <c r="CH165" i="14"/>
  <c r="CH166" i="14"/>
  <c r="CH167" i="14"/>
  <c r="CH168" i="14"/>
  <c r="Z71" i="14" s="1"/>
  <c r="CH169" i="14"/>
  <c r="CH170" i="14"/>
  <c r="CH171" i="14"/>
  <c r="CH172" i="14"/>
  <c r="CH173" i="14"/>
  <c r="CH174" i="14"/>
  <c r="CH175" i="14"/>
  <c r="CH177" i="14"/>
  <c r="CH178" i="14"/>
  <c r="CH179" i="14"/>
  <c r="CH180" i="14"/>
  <c r="CH181" i="14"/>
  <c r="Z8" i="14"/>
  <c r="AA8" i="14" s="1"/>
  <c r="Z43" i="14"/>
  <c r="AA43" i="14" s="1"/>
  <c r="G44" i="14" s="1"/>
  <c r="Z25" i="14"/>
  <c r="Z55" i="14"/>
  <c r="AA55" i="14" s="1"/>
  <c r="G56" i="14" s="1"/>
  <c r="CH196" i="14"/>
  <c r="CH197" i="14"/>
  <c r="CH198" i="14"/>
  <c r="Z13" i="14" s="1"/>
  <c r="AA13" i="14" s="1"/>
  <c r="G14" i="14" s="1"/>
  <c r="AG14" i="14" s="1"/>
  <c r="CH199" i="14"/>
  <c r="CH200" i="14"/>
  <c r="Z81" i="14"/>
  <c r="AA81" i="14" s="1"/>
  <c r="G82" i="14" s="1"/>
  <c r="Z72" i="14"/>
  <c r="AA72" i="14" s="1"/>
  <c r="G73" i="14" s="1"/>
  <c r="CH207" i="14"/>
  <c r="Z17" i="14" s="1"/>
  <c r="AA17" i="14" s="1"/>
  <c r="G18" i="14" s="1"/>
  <c r="CH208" i="14"/>
  <c r="CH209" i="14"/>
  <c r="Z9" i="14" s="1"/>
  <c r="CH210" i="14"/>
  <c r="CH211" i="14"/>
  <c r="CH212" i="14"/>
  <c r="CH213" i="14"/>
  <c r="CH214" i="14"/>
  <c r="CH215" i="14"/>
  <c r="CH216" i="14"/>
  <c r="Z52" i="14" s="1"/>
  <c r="AA52" i="14" s="1"/>
  <c r="G52" i="14" s="1"/>
  <c r="CH217" i="14"/>
  <c r="CH105" i="14"/>
  <c r="CH106" i="14"/>
  <c r="CH107" i="14"/>
  <c r="CH108" i="14"/>
  <c r="CH109" i="14"/>
  <c r="CH110" i="14"/>
  <c r="CH111" i="14"/>
  <c r="CH112" i="14"/>
  <c r="CH113" i="14"/>
  <c r="CH114" i="14"/>
  <c r="CH115" i="14"/>
  <c r="CH116" i="14"/>
  <c r="CH117" i="14"/>
  <c r="CH118" i="14"/>
  <c r="CH119" i="14"/>
  <c r="CH120" i="14"/>
  <c r="CH121" i="14"/>
  <c r="CH122" i="14"/>
  <c r="CH123" i="14"/>
  <c r="CH124" i="14"/>
  <c r="CH125" i="14"/>
  <c r="CH126" i="14"/>
  <c r="CH127" i="14"/>
  <c r="CH128" i="14"/>
  <c r="CH129" i="14"/>
  <c r="Z42" i="14" s="1"/>
  <c r="AA42" i="14" s="1"/>
  <c r="CH130" i="14"/>
  <c r="CH131" i="14"/>
  <c r="CH132" i="14"/>
  <c r="CH133" i="14"/>
  <c r="CH134" i="14"/>
  <c r="CH135" i="14"/>
  <c r="CH136" i="14"/>
  <c r="CH137" i="14"/>
  <c r="CH138" i="14"/>
  <c r="CH139" i="14"/>
  <c r="CH140" i="14"/>
  <c r="CH141" i="14"/>
  <c r="CH142" i="14"/>
  <c r="CH143" i="14"/>
  <c r="CH144" i="14"/>
  <c r="CH102" i="14"/>
  <c r="CH103" i="14"/>
  <c r="CH104" i="14"/>
  <c r="CH101" i="14"/>
  <c r="BB165" i="14"/>
  <c r="BB118" i="14"/>
  <c r="BB122" i="14"/>
  <c r="BB123" i="14"/>
  <c r="BB126" i="14"/>
  <c r="BB127" i="14"/>
  <c r="BB130" i="14"/>
  <c r="BB131" i="14"/>
  <c r="BB134" i="14"/>
  <c r="BB135" i="14"/>
  <c r="BB138" i="14"/>
  <c r="BB139" i="14"/>
  <c r="BB142" i="14"/>
  <c r="BB143" i="14"/>
  <c r="BB144" i="14"/>
  <c r="BB148" i="14"/>
  <c r="BB149" i="14"/>
  <c r="BB150" i="14"/>
  <c r="BB151" i="14"/>
  <c r="BB152" i="14"/>
  <c r="BB155" i="14"/>
  <c r="BB156" i="14"/>
  <c r="BB157" i="14"/>
  <c r="BB160" i="14"/>
  <c r="BB161" i="14"/>
  <c r="BB162" i="14"/>
  <c r="BB166" i="14"/>
  <c r="BB167" i="14"/>
  <c r="BB115" i="14"/>
  <c r="BB116" i="14"/>
  <c r="BB117" i="14"/>
  <c r="BB102" i="14"/>
  <c r="BB103" i="14"/>
  <c r="BB104" i="14"/>
  <c r="BB105" i="14"/>
  <c r="BB106" i="14"/>
  <c r="BB109" i="14"/>
  <c r="BB110" i="14"/>
  <c r="BB111" i="14"/>
  <c r="BB112" i="14"/>
  <c r="BB86" i="14"/>
  <c r="BB87" i="14"/>
  <c r="BB88" i="14"/>
  <c r="BB89" i="14"/>
  <c r="BB90" i="14"/>
  <c r="BB93" i="14"/>
  <c r="BB94" i="14"/>
  <c r="BB95" i="14"/>
  <c r="BB96" i="14"/>
  <c r="BB97" i="14"/>
  <c r="BB98" i="14"/>
  <c r="BB101" i="14"/>
  <c r="BB85" i="14"/>
  <c r="AW76" i="14"/>
  <c r="CC200" i="14"/>
  <c r="CC199" i="14"/>
  <c r="CC198" i="14"/>
  <c r="CC197" i="14"/>
  <c r="CC196" i="14"/>
  <c r="CC181" i="14"/>
  <c r="CC180" i="14"/>
  <c r="CC179" i="14"/>
  <c r="CC178" i="14"/>
  <c r="AW80" i="14" s="1"/>
  <c r="AU80" i="14" s="1"/>
  <c r="AZ80" i="14" s="1"/>
  <c r="CC177" i="14"/>
  <c r="CC175" i="14"/>
  <c r="CC174" i="14"/>
  <c r="CC173" i="14"/>
  <c r="CC172" i="14"/>
  <c r="CC171" i="14"/>
  <c r="CC170" i="14"/>
  <c r="CC169" i="14"/>
  <c r="CC168" i="14"/>
  <c r="AD168" i="14"/>
  <c r="BC168" i="14" s="1"/>
  <c r="AB168" i="14"/>
  <c r="CC167" i="14"/>
  <c r="AV167" i="14"/>
  <c r="AB167" i="14"/>
  <c r="CC166" i="14"/>
  <c r="AV166" i="14"/>
  <c r="AB166" i="14"/>
  <c r="CC165" i="14"/>
  <c r="AV165" i="14"/>
  <c r="AB165" i="14"/>
  <c r="CC164" i="14"/>
  <c r="CC163" i="14"/>
  <c r="AD163" i="14"/>
  <c r="AD162" i="14" s="1"/>
  <c r="AB163" i="14"/>
  <c r="CC162" i="14"/>
  <c r="AV162" i="14"/>
  <c r="AW162" i="14" s="1"/>
  <c r="AU162" i="14" s="1"/>
  <c r="AB162" i="14"/>
  <c r="CC161" i="14"/>
  <c r="AV161" i="14"/>
  <c r="AB161" i="14"/>
  <c r="CC160" i="14"/>
  <c r="AV160" i="14"/>
  <c r="AB160" i="14"/>
  <c r="CC159" i="14"/>
  <c r="CC158" i="14"/>
  <c r="AD158" i="14"/>
  <c r="AD157" i="14" s="1"/>
  <c r="AB158" i="14"/>
  <c r="CC157" i="14"/>
  <c r="AV157" i="14"/>
  <c r="AB157" i="14"/>
  <c r="CC156" i="14"/>
  <c r="AV156" i="14"/>
  <c r="CC155" i="14"/>
  <c r="AV155" i="14"/>
  <c r="AB155" i="14"/>
  <c r="CC154" i="14"/>
  <c r="CC153" i="14"/>
  <c r="AX153" i="14"/>
  <c r="AD153" i="14"/>
  <c r="CC152" i="14"/>
  <c r="AV152" i="14"/>
  <c r="AW152" i="14" s="1"/>
  <c r="AU152" i="14" s="1"/>
  <c r="AB152" i="14"/>
  <c r="CC151" i="14"/>
  <c r="AV151" i="14"/>
  <c r="AB151" i="14"/>
  <c r="CC150" i="14"/>
  <c r="AV150" i="14"/>
  <c r="AB150" i="14"/>
  <c r="CC149" i="14"/>
  <c r="AV149" i="14"/>
  <c r="AB149" i="14"/>
  <c r="CC148" i="14"/>
  <c r="AV148" i="14"/>
  <c r="AB148" i="14"/>
  <c r="CC147" i="14"/>
  <c r="CC146" i="14"/>
  <c r="AD146" i="14"/>
  <c r="AD144" i="14" s="1"/>
  <c r="CC144" i="14"/>
  <c r="AV144" i="14"/>
  <c r="CC143" i="14"/>
  <c r="AV143" i="14"/>
  <c r="AB143" i="14"/>
  <c r="CC142" i="14"/>
  <c r="AV142" i="14"/>
  <c r="AB142" i="14"/>
  <c r="CC141" i="14"/>
  <c r="CC140" i="14"/>
  <c r="AD140" i="14"/>
  <c r="AD139" i="14" s="1"/>
  <c r="AB140" i="14"/>
  <c r="CC139" i="14"/>
  <c r="AV139" i="14"/>
  <c r="AW139" i="14" s="1"/>
  <c r="AU139" i="14" s="1"/>
  <c r="AB139" i="14"/>
  <c r="CC138" i="14"/>
  <c r="AV138" i="14"/>
  <c r="AB138" i="14"/>
  <c r="CC137" i="14"/>
  <c r="CC136" i="14"/>
  <c r="AD136" i="14"/>
  <c r="AD135" i="14" s="1"/>
  <c r="AB136" i="14"/>
  <c r="CC135" i="14"/>
  <c r="AV135" i="14"/>
  <c r="AB135" i="14"/>
  <c r="CC134" i="14"/>
  <c r="AV134" i="14"/>
  <c r="AB134" i="14"/>
  <c r="CC133" i="14"/>
  <c r="CC132" i="14"/>
  <c r="AD132" i="14"/>
  <c r="AD131" i="14" s="1"/>
  <c r="AB132" i="14"/>
  <c r="CC131" i="14"/>
  <c r="AV131" i="14"/>
  <c r="AB131" i="14"/>
  <c r="CC130" i="14"/>
  <c r="AV130" i="14"/>
  <c r="AB130" i="14"/>
  <c r="CC129" i="14"/>
  <c r="CC128" i="14"/>
  <c r="AD128" i="14"/>
  <c r="AD127" i="14" s="1"/>
  <c r="AB128" i="14"/>
  <c r="CC127" i="14"/>
  <c r="AV127" i="14"/>
  <c r="AB127" i="14"/>
  <c r="AV126" i="14"/>
  <c r="AB126" i="14"/>
  <c r="AD124" i="14"/>
  <c r="AD123" i="14" s="1"/>
  <c r="AB124" i="14"/>
  <c r="AV123" i="14"/>
  <c r="AB123" i="14"/>
  <c r="AV122" i="14"/>
  <c r="BB121" i="14"/>
  <c r="AD119" i="14"/>
  <c r="AD118" i="14" s="1"/>
  <c r="AB119" i="14"/>
  <c r="AV118" i="14"/>
  <c r="AB118" i="14"/>
  <c r="AV117" i="14"/>
  <c r="AB117" i="14"/>
  <c r="AV116" i="14"/>
  <c r="AB116" i="14"/>
  <c r="AV115" i="14"/>
  <c r="AB115" i="14"/>
  <c r="AW114" i="14"/>
  <c r="AU114" i="14" s="1"/>
  <c r="AW113" i="14"/>
  <c r="AU113" i="14" s="1"/>
  <c r="AD113" i="14"/>
  <c r="AD112" i="14" s="1"/>
  <c r="AB113" i="14"/>
  <c r="AV112" i="14"/>
  <c r="AB112" i="14"/>
  <c r="AV111" i="14"/>
  <c r="AB111" i="14"/>
  <c r="AV110" i="14"/>
  <c r="AB110" i="14"/>
  <c r="AV109" i="14"/>
  <c r="AW109" i="14" s="1"/>
  <c r="AU109" i="14" s="1"/>
  <c r="AZ109" i="14" s="1"/>
  <c r="AB109" i="14"/>
  <c r="AD107" i="14"/>
  <c r="AD106" i="14" s="1"/>
  <c r="AV106" i="14"/>
  <c r="AW106" i="14" s="1"/>
  <c r="AU106" i="14" s="1"/>
  <c r="AB106" i="14"/>
  <c r="AV105" i="14"/>
  <c r="AB105" i="14"/>
  <c r="AV104" i="14"/>
  <c r="AB104" i="14"/>
  <c r="AV103" i="14"/>
  <c r="AB103" i="14"/>
  <c r="AV102" i="14"/>
  <c r="AB102" i="14"/>
  <c r="AV101" i="14"/>
  <c r="AW101" i="14" s="1"/>
  <c r="AU101" i="14" s="1"/>
  <c r="AZ101" i="14" s="1"/>
  <c r="AB101" i="14"/>
  <c r="AD99" i="14"/>
  <c r="AD98" i="14" s="1"/>
  <c r="AV98" i="14"/>
  <c r="AW98" i="14" s="1"/>
  <c r="AU98" i="14" s="1"/>
  <c r="AB98" i="14"/>
  <c r="AV97" i="14"/>
  <c r="AB97" i="14"/>
  <c r="AV96" i="14"/>
  <c r="AB96" i="14"/>
  <c r="AV95" i="14"/>
  <c r="AB95" i="14"/>
  <c r="AV94" i="14"/>
  <c r="AB94" i="14"/>
  <c r="AV93" i="14"/>
  <c r="AW93" i="14" s="1"/>
  <c r="AU93" i="14" s="1"/>
  <c r="AZ93" i="14" s="1"/>
  <c r="AB93" i="14"/>
  <c r="AD91" i="14"/>
  <c r="AD90" i="14" s="1"/>
  <c r="AV90" i="14"/>
  <c r="AV89" i="14"/>
  <c r="AV88" i="14"/>
  <c r="AB88" i="14"/>
  <c r="AV87" i="14"/>
  <c r="AB87" i="14"/>
  <c r="AV86" i="14"/>
  <c r="AW86" i="14" s="1"/>
  <c r="AU86" i="14" s="1"/>
  <c r="AC91" i="14"/>
  <c r="AV85" i="14"/>
  <c r="AW85" i="14" s="1"/>
  <c r="Z38" i="14" l="1"/>
  <c r="AA38" i="14" s="1"/>
  <c r="G39" i="14" s="1"/>
  <c r="AW156" i="14"/>
  <c r="AU156" i="14" s="1"/>
  <c r="AW112" i="14"/>
  <c r="AU112" i="14" s="1"/>
  <c r="AZ113" i="14" s="1"/>
  <c r="AW155" i="14"/>
  <c r="AU155" i="14" s="1"/>
  <c r="AZ155" i="14" s="1"/>
  <c r="AW94" i="14"/>
  <c r="AU94" i="14" s="1"/>
  <c r="AZ94" i="14" s="1"/>
  <c r="AK153" i="14"/>
  <c r="AM153" i="14" s="1"/>
  <c r="Z76" i="14"/>
  <c r="AA76" i="14" s="1"/>
  <c r="G77" i="14" s="1"/>
  <c r="AD76" i="14" s="1"/>
  <c r="AL76" i="14" s="1"/>
  <c r="AQ76" i="14" s="1"/>
  <c r="AT80" i="14"/>
  <c r="AT5" i="14"/>
  <c r="AF113" i="14"/>
  <c r="AF119" i="14"/>
  <c r="AF146" i="14"/>
  <c r="AD41" i="14"/>
  <c r="AL41" i="14" s="1"/>
  <c r="AQ41" i="14" s="1"/>
  <c r="AG44" i="14"/>
  <c r="AB45" i="14"/>
  <c r="AJ45" i="14" s="1"/>
  <c r="AW123" i="14"/>
  <c r="AU123" i="14" s="1"/>
  <c r="AZ124" i="14" s="1"/>
  <c r="AF158" i="14"/>
  <c r="AG82" i="14"/>
  <c r="AB82" i="14"/>
  <c r="AJ82" i="14" s="1"/>
  <c r="AB83" i="14"/>
  <c r="AJ83" i="14" s="1"/>
  <c r="AD13" i="14"/>
  <c r="AL13" i="14" s="1"/>
  <c r="AQ13" i="14" s="1"/>
  <c r="AJ15" i="14"/>
  <c r="AJ14" i="14"/>
  <c r="AF99" i="14"/>
  <c r="AW104" i="14"/>
  <c r="AU104" i="14" s="1"/>
  <c r="AF153" i="14"/>
  <c r="AF163" i="14"/>
  <c r="AD55" i="14"/>
  <c r="AL55" i="14" s="1"/>
  <c r="AQ55" i="14" s="1"/>
  <c r="AG56" i="14"/>
  <c r="AB57" i="14"/>
  <c r="AJ57" i="14" s="1"/>
  <c r="AB56" i="14"/>
  <c r="AD67" i="14"/>
  <c r="AL67" i="14" s="1"/>
  <c r="AQ67" i="14" s="1"/>
  <c r="AG68" i="14"/>
  <c r="AB69" i="14"/>
  <c r="AJ69" i="14" s="1"/>
  <c r="AB68" i="14"/>
  <c r="AJ68" i="14" s="1"/>
  <c r="AF5" i="14"/>
  <c r="AD17" i="14"/>
  <c r="AL17" i="14" s="1"/>
  <c r="AQ17" i="14" s="1"/>
  <c r="AG18" i="14"/>
  <c r="AJ18" i="14"/>
  <c r="AJ19" i="14"/>
  <c r="AF107" i="14"/>
  <c r="AF136" i="14"/>
  <c r="AF168" i="14"/>
  <c r="AC168" i="14" s="1"/>
  <c r="AG52" i="14"/>
  <c r="AJ52" i="14"/>
  <c r="AB53" i="14"/>
  <c r="AJ53" i="14" s="1"/>
  <c r="AD71" i="14"/>
  <c r="AL71" i="14" s="1"/>
  <c r="AQ71" i="14" s="1"/>
  <c r="AG73" i="14"/>
  <c r="AB73" i="14"/>
  <c r="AJ73" i="14" s="1"/>
  <c r="AB74" i="14"/>
  <c r="AJ74" i="14" s="1"/>
  <c r="AW89" i="14"/>
  <c r="AU89" i="14" s="1"/>
  <c r="AW95" i="14"/>
  <c r="AU95" i="14" s="1"/>
  <c r="AW131" i="14"/>
  <c r="AU131" i="14" s="1"/>
  <c r="AZ132" i="14" s="1"/>
  <c r="AW90" i="14"/>
  <c r="AU90" i="14" s="1"/>
  <c r="AZ91" i="14" s="1"/>
  <c r="Z63" i="14"/>
  <c r="AA63" i="14" s="1"/>
  <c r="G64" i="14" s="1"/>
  <c r="AB51" i="14"/>
  <c r="AW105" i="14"/>
  <c r="AU105" i="14" s="1"/>
  <c r="AZ106" i="14" s="1"/>
  <c r="AW116" i="14"/>
  <c r="AZ116" i="14" s="1"/>
  <c r="AW96" i="14"/>
  <c r="AU96" i="14" s="1"/>
  <c r="AW103" i="14"/>
  <c r="AU103" i="14" s="1"/>
  <c r="AW110" i="14"/>
  <c r="AU110" i="14" s="1"/>
  <c r="AW118" i="14"/>
  <c r="AZ118" i="14" s="1"/>
  <c r="AW122" i="14"/>
  <c r="AU122" i="14" s="1"/>
  <c r="AW127" i="14"/>
  <c r="AU127" i="14" s="1"/>
  <c r="AZ128" i="14" s="1"/>
  <c r="AW135" i="14"/>
  <c r="AU135" i="14" s="1"/>
  <c r="AZ136" i="14" s="1"/>
  <c r="AW88" i="14"/>
  <c r="AU88" i="14" s="1"/>
  <c r="Z59" i="14"/>
  <c r="AA59" i="14" s="1"/>
  <c r="G60" i="14" s="1"/>
  <c r="Z34" i="14"/>
  <c r="Z21" i="14"/>
  <c r="AA21" i="14" s="1"/>
  <c r="G22" i="14" s="1"/>
  <c r="Z33" i="14"/>
  <c r="AA33" i="14" s="1"/>
  <c r="Z29" i="14"/>
  <c r="AA9" i="14"/>
  <c r="G10" i="14" s="1"/>
  <c r="AW97" i="14"/>
  <c r="AU97" i="14" s="1"/>
  <c r="AA25" i="14"/>
  <c r="G26" i="14" s="1"/>
  <c r="AW117" i="14"/>
  <c r="AZ117" i="14" s="1"/>
  <c r="AW87" i="14"/>
  <c r="AU87" i="14" s="1"/>
  <c r="AZ87" i="14" s="1"/>
  <c r="AW111" i="14"/>
  <c r="AU111" i="14" s="1"/>
  <c r="AW144" i="14"/>
  <c r="AU144" i="14" s="1"/>
  <c r="AZ146" i="14" s="1"/>
  <c r="AW150" i="14"/>
  <c r="AU150" i="14" s="1"/>
  <c r="Z80" i="14"/>
  <c r="AA80" i="14" s="1"/>
  <c r="Z47" i="14"/>
  <c r="AA47" i="14" s="1"/>
  <c r="G48" i="14" s="1"/>
  <c r="AA71" i="14"/>
  <c r="AW115" i="14"/>
  <c r="AU115" i="14" s="1"/>
  <c r="AZ115" i="14" s="1"/>
  <c r="AW134" i="14"/>
  <c r="AU134" i="14" s="1"/>
  <c r="AZ134" i="14" s="1"/>
  <c r="AB76" i="14"/>
  <c r="BA80" i="14"/>
  <c r="AX80" i="14"/>
  <c r="AY80" i="14" s="1"/>
  <c r="AW149" i="14"/>
  <c r="AU149" i="14" s="1"/>
  <c r="AU85" i="14"/>
  <c r="AZ85" i="14" s="1"/>
  <c r="AW151" i="14"/>
  <c r="AU151" i="14" s="1"/>
  <c r="AZ152" i="14" s="1"/>
  <c r="AW102" i="14"/>
  <c r="AU102" i="14" s="1"/>
  <c r="AZ102" i="14" s="1"/>
  <c r="AW130" i="14"/>
  <c r="AU130" i="14" s="1"/>
  <c r="AZ130" i="14" s="1"/>
  <c r="AW142" i="14"/>
  <c r="AU142" i="14" s="1"/>
  <c r="AZ142" i="14" s="1"/>
  <c r="AW138" i="14"/>
  <c r="AU138" i="14" s="1"/>
  <c r="AZ138" i="14" s="1"/>
  <c r="AY153" i="14"/>
  <c r="AF128" i="14"/>
  <c r="AF140" i="14"/>
  <c r="AW161" i="14"/>
  <c r="AU161" i="14" s="1"/>
  <c r="AZ162" i="14" s="1"/>
  <c r="BC118" i="14"/>
  <c r="AD117" i="14"/>
  <c r="BH135" i="14"/>
  <c r="BJ135" i="14"/>
  <c r="BF135" i="14"/>
  <c r="BC135" i="14"/>
  <c r="AD134" i="14"/>
  <c r="AD133" i="14" s="1"/>
  <c r="BC90" i="14"/>
  <c r="AD89" i="14"/>
  <c r="BC89" i="14" s="1"/>
  <c r="AD111" i="14"/>
  <c r="BC111" i="14" s="1"/>
  <c r="BC112" i="14"/>
  <c r="BC123" i="14"/>
  <c r="AD122" i="14"/>
  <c r="AD121" i="14" s="1"/>
  <c r="AD120" i="14" s="1"/>
  <c r="BJ131" i="14"/>
  <c r="BF131" i="14"/>
  <c r="BH131" i="14"/>
  <c r="BC131" i="14"/>
  <c r="AD130" i="14"/>
  <c r="BC130" i="14" s="1"/>
  <c r="BJ162" i="14"/>
  <c r="BF162" i="14"/>
  <c r="BH162" i="14"/>
  <c r="AD161" i="14"/>
  <c r="BC162" i="14"/>
  <c r="BC98" i="14"/>
  <c r="AD97" i="14"/>
  <c r="BJ139" i="14"/>
  <c r="BH139" i="14"/>
  <c r="BF139" i="14"/>
  <c r="BC139" i="14"/>
  <c r="AD138" i="14"/>
  <c r="BC138" i="14" s="1"/>
  <c r="BF127" i="14"/>
  <c r="BJ127" i="14"/>
  <c r="BH127" i="14"/>
  <c r="AD126" i="14"/>
  <c r="BF126" i="14" s="1"/>
  <c r="BC127" i="14"/>
  <c r="BC106" i="14"/>
  <c r="AD105" i="14"/>
  <c r="AD104" i="14" s="1"/>
  <c r="AD103" i="14" s="1"/>
  <c r="BC103" i="14" s="1"/>
  <c r="AD167" i="14"/>
  <c r="AW126" i="14"/>
  <c r="AU126" i="14" s="1"/>
  <c r="AZ126" i="14" s="1"/>
  <c r="AF132" i="14"/>
  <c r="BJ157" i="14"/>
  <c r="BF157" i="14"/>
  <c r="BH157" i="14"/>
  <c r="AD152" i="14"/>
  <c r="AW157" i="14"/>
  <c r="AU157" i="14" s="1"/>
  <c r="BH144" i="14"/>
  <c r="BF144" i="14"/>
  <c r="BJ144" i="14"/>
  <c r="BC157" i="14"/>
  <c r="AD156" i="14"/>
  <c r="AW148" i="14"/>
  <c r="AU148" i="14" s="1"/>
  <c r="AZ148" i="14" s="1"/>
  <c r="AW160" i="14"/>
  <c r="AU160" i="14" s="1"/>
  <c r="AZ160" i="14" s="1"/>
  <c r="AW167" i="14"/>
  <c r="AU167" i="14" s="1"/>
  <c r="AZ168" i="14" s="1"/>
  <c r="AW143" i="14"/>
  <c r="AU143" i="14" s="1"/>
  <c r="AW166" i="14"/>
  <c r="AU166" i="14" s="1"/>
  <c r="AW165" i="14"/>
  <c r="AU165" i="14" s="1"/>
  <c r="AZ165" i="14" s="1"/>
  <c r="AD143" i="14"/>
  <c r="BC144" i="14"/>
  <c r="AZ99" i="14"/>
  <c r="AZ140" i="14"/>
  <c r="AZ153" i="14"/>
  <c r="AZ163" i="14"/>
  <c r="AZ107" i="14"/>
  <c r="AV121" i="14"/>
  <c r="AW121" i="14" s="1"/>
  <c r="AU121" i="14" s="1"/>
  <c r="AZ121" i="14" s="1"/>
  <c r="AB122" i="14"/>
  <c r="AB121" i="14"/>
  <c r="R4" i="2"/>
  <c r="T6" i="3"/>
  <c r="T5" i="3"/>
  <c r="T4" i="3"/>
  <c r="AB39" i="14" l="1"/>
  <c r="AB40" i="14"/>
  <c r="AJ40" i="14" s="1"/>
  <c r="AD38" i="14"/>
  <c r="AL38" i="14" s="1"/>
  <c r="AQ38" i="14" s="1"/>
  <c r="AG39" i="14"/>
  <c r="AA34" i="14"/>
  <c r="G35" i="14" s="1"/>
  <c r="AZ157" i="14"/>
  <c r="AZ156" i="14"/>
  <c r="AZ112" i="14"/>
  <c r="AZ104" i="14"/>
  <c r="AZ105" i="14"/>
  <c r="AZ123" i="14"/>
  <c r="AB78" i="14"/>
  <c r="AJ78" i="14" s="1"/>
  <c r="AZ95" i="14"/>
  <c r="AG77" i="14"/>
  <c r="AT76" i="14"/>
  <c r="AF124" i="14"/>
  <c r="AB77" i="14"/>
  <c r="AJ77" i="14" s="1"/>
  <c r="AT41" i="14"/>
  <c r="AT17" i="14"/>
  <c r="AT38" i="14"/>
  <c r="AT13" i="14"/>
  <c r="AT71" i="14"/>
  <c r="AT67" i="14"/>
  <c r="AT55" i="14"/>
  <c r="AU76" i="14"/>
  <c r="AZ76" i="14" s="1"/>
  <c r="AX76" i="14" s="1"/>
  <c r="AY76" i="14" s="1"/>
  <c r="AD8" i="14"/>
  <c r="AL8" i="14" s="1"/>
  <c r="AQ8" i="14" s="1"/>
  <c r="AG10" i="14"/>
  <c r="AB11" i="14"/>
  <c r="AJ11" i="14" s="1"/>
  <c r="AB10" i="14"/>
  <c r="AJ56" i="14"/>
  <c r="AF55" i="14"/>
  <c r="AN55" i="14" s="1"/>
  <c r="AK55" i="14" s="1"/>
  <c r="AJ44" i="14"/>
  <c r="AF41" i="14"/>
  <c r="AN41" i="14" s="1"/>
  <c r="AK42" i="14" s="1"/>
  <c r="AM41" i="14" s="1"/>
  <c r="AD21" i="14"/>
  <c r="AL21" i="14" s="1"/>
  <c r="AQ21" i="14" s="1"/>
  <c r="AG22" i="14"/>
  <c r="AJ22" i="14"/>
  <c r="AJ23" i="14"/>
  <c r="AD63" i="14"/>
  <c r="AL63" i="14" s="1"/>
  <c r="AQ63" i="14" s="1"/>
  <c r="AG64" i="14"/>
  <c r="AB64" i="14"/>
  <c r="AJ64" i="14" s="1"/>
  <c r="AB65" i="14"/>
  <c r="AJ65" i="14" s="1"/>
  <c r="AJ76" i="14"/>
  <c r="AD59" i="14"/>
  <c r="AL59" i="14" s="1"/>
  <c r="AQ59" i="14" s="1"/>
  <c r="AG60" i="14"/>
  <c r="AB60" i="14"/>
  <c r="AJ60" i="14" s="1"/>
  <c r="AB61" i="14"/>
  <c r="AJ61" i="14" s="1"/>
  <c r="AF51" i="14"/>
  <c r="AN51" i="14" s="1"/>
  <c r="AJ51" i="14"/>
  <c r="AF13" i="14"/>
  <c r="AJ13" i="14"/>
  <c r="AD47" i="14"/>
  <c r="AL47" i="14" s="1"/>
  <c r="AQ47" i="14" s="1"/>
  <c r="AG48" i="14"/>
  <c r="AB49" i="14"/>
  <c r="AJ49" i="14" s="1"/>
  <c r="AB48" i="14"/>
  <c r="AJ48" i="14" s="1"/>
  <c r="AD25" i="14"/>
  <c r="AL25" i="14" s="1"/>
  <c r="AQ25" i="14" s="1"/>
  <c r="AG26" i="14"/>
  <c r="AB26" i="14"/>
  <c r="AJ26" i="14" s="1"/>
  <c r="AB27" i="14"/>
  <c r="AJ27" i="14" s="1"/>
  <c r="AC5" i="14"/>
  <c r="AE5" i="14" s="1"/>
  <c r="AN5" i="14"/>
  <c r="AK5" i="14" s="1"/>
  <c r="AM5" i="14" s="1"/>
  <c r="AZ90" i="14"/>
  <c r="AZ96" i="14"/>
  <c r="AZ89" i="14"/>
  <c r="AB67" i="14"/>
  <c r="G71" i="14"/>
  <c r="AB71" i="14" s="1"/>
  <c r="AU116" i="14"/>
  <c r="AZ150" i="14"/>
  <c r="AC146" i="14"/>
  <c r="AE146" i="14" s="1"/>
  <c r="AE168" i="14"/>
  <c r="AC158" i="14"/>
  <c r="AE158" i="14" s="1"/>
  <c r="AC132" i="14"/>
  <c r="AE132" i="14" s="1"/>
  <c r="AC128" i="14"/>
  <c r="AE128" i="14" s="1"/>
  <c r="AC107" i="14"/>
  <c r="AE107" i="14" s="1"/>
  <c r="AU118" i="14"/>
  <c r="AZ119" i="14" s="1"/>
  <c r="BA119" i="14" s="1"/>
  <c r="AX119" i="14" s="1"/>
  <c r="AY119" i="14" s="1"/>
  <c r="AC119" i="14"/>
  <c r="AE119" i="14" s="1"/>
  <c r="AC113" i="14"/>
  <c r="AE113" i="14" s="1"/>
  <c r="AC153" i="14"/>
  <c r="AE153" i="14" s="1"/>
  <c r="AC140" i="14"/>
  <c r="AE140" i="14" s="1"/>
  <c r="AZ88" i="14"/>
  <c r="AC136" i="14"/>
  <c r="AE136" i="14" s="1"/>
  <c r="AC99" i="14"/>
  <c r="AE99" i="14" s="1"/>
  <c r="AC163" i="14"/>
  <c r="AE163" i="14" s="1"/>
  <c r="AE91" i="14"/>
  <c r="AU117" i="14"/>
  <c r="AB80" i="14"/>
  <c r="AB81" i="14"/>
  <c r="AJ81" i="14" s="1"/>
  <c r="AZ97" i="14"/>
  <c r="AZ111" i="14"/>
  <c r="AZ110" i="14"/>
  <c r="AZ98" i="14"/>
  <c r="AZ144" i="14"/>
  <c r="AA29" i="14"/>
  <c r="G30" i="14" s="1"/>
  <c r="AZ151" i="14"/>
  <c r="AB47" i="14"/>
  <c r="AZ135" i="14"/>
  <c r="BA136" i="14" s="1"/>
  <c r="AX136" i="14" s="1"/>
  <c r="AY136" i="14" s="1"/>
  <c r="AD88" i="14"/>
  <c r="AD87" i="14" s="1"/>
  <c r="AZ86" i="14"/>
  <c r="BC126" i="14"/>
  <c r="AZ103" i="14"/>
  <c r="BH126" i="14"/>
  <c r="AD125" i="14"/>
  <c r="AZ131" i="14"/>
  <c r="BA132" i="14" s="1"/>
  <c r="AX132" i="14" s="1"/>
  <c r="AY132" i="14" s="1"/>
  <c r="AZ127" i="14"/>
  <c r="BA128" i="14" s="1"/>
  <c r="AX128" i="14" s="1"/>
  <c r="AY128" i="14" s="1"/>
  <c r="AZ161" i="14"/>
  <c r="BA163" i="14" s="1"/>
  <c r="AX163" i="14" s="1"/>
  <c r="AY163" i="14" s="1"/>
  <c r="AD102" i="14"/>
  <c r="AD101" i="14" s="1"/>
  <c r="AZ158" i="14"/>
  <c r="AZ139" i="14"/>
  <c r="BA140" i="14" s="1"/>
  <c r="AX140" i="14" s="1"/>
  <c r="AY140" i="14" s="1"/>
  <c r="BC121" i="14"/>
  <c r="AZ143" i="14"/>
  <c r="BJ126" i="14"/>
  <c r="AZ122" i="14"/>
  <c r="AZ167" i="14"/>
  <c r="BC105" i="14"/>
  <c r="AD151" i="14"/>
  <c r="BJ152" i="14"/>
  <c r="BH152" i="14"/>
  <c r="BF152" i="14"/>
  <c r="AZ149" i="14"/>
  <c r="BC134" i="14"/>
  <c r="BC104" i="14"/>
  <c r="BC122" i="14"/>
  <c r="AD110" i="14"/>
  <c r="AD109" i="14" s="1"/>
  <c r="BC152" i="14"/>
  <c r="BH156" i="14"/>
  <c r="BF156" i="14"/>
  <c r="BJ156" i="14"/>
  <c r="AD137" i="14"/>
  <c r="BJ138" i="14"/>
  <c r="BH138" i="14"/>
  <c r="BF138" i="14"/>
  <c r="AD160" i="14"/>
  <c r="BF161" i="14"/>
  <c r="BH161" i="14"/>
  <c r="BJ161" i="14"/>
  <c r="BC161" i="14"/>
  <c r="BH143" i="14"/>
  <c r="BF143" i="14"/>
  <c r="BJ143" i="14"/>
  <c r="AD96" i="14"/>
  <c r="BC97" i="14"/>
  <c r="BJ167" i="14"/>
  <c r="BF167" i="14"/>
  <c r="BH167" i="14"/>
  <c r="BC167" i="14"/>
  <c r="AD166" i="14"/>
  <c r="AD129" i="14"/>
  <c r="BJ130" i="14"/>
  <c r="BF130" i="14"/>
  <c r="BH130" i="14"/>
  <c r="BC117" i="14"/>
  <c r="AD116" i="14"/>
  <c r="AD155" i="14"/>
  <c r="BC156" i="14"/>
  <c r="AZ166" i="14"/>
  <c r="AD142" i="14"/>
  <c r="BC143" i="14"/>
  <c r="AF38" i="14" l="1"/>
  <c r="AN38" i="14" s="1"/>
  <c r="AK38" i="14" s="1"/>
  <c r="AM38" i="14" s="1"/>
  <c r="AD33" i="14"/>
  <c r="AL33" i="14" s="1"/>
  <c r="AQ33" i="14" s="1"/>
  <c r="AG35" i="14"/>
  <c r="AB36" i="14"/>
  <c r="AJ36" i="14" s="1"/>
  <c r="AB35" i="14"/>
  <c r="BA158" i="14"/>
  <c r="AX158" i="14" s="1"/>
  <c r="AY158" i="14" s="1"/>
  <c r="BA107" i="14"/>
  <c r="AX107" i="14" s="1"/>
  <c r="AY107" i="14" s="1"/>
  <c r="BA76" i="14"/>
  <c r="BA124" i="14"/>
  <c r="AX124" i="14" s="1"/>
  <c r="AY124" i="14" s="1"/>
  <c r="AC55" i="14"/>
  <c r="AE55" i="14" s="1"/>
  <c r="AF76" i="14"/>
  <c r="AN76" i="14" s="1"/>
  <c r="AK76" i="14" s="1"/>
  <c r="AM76" i="14" s="1"/>
  <c r="BA91" i="14"/>
  <c r="AX91" i="14" s="1"/>
  <c r="AY91" i="14" s="1"/>
  <c r="AT47" i="14"/>
  <c r="AT63" i="14"/>
  <c r="AT21" i="14"/>
  <c r="AT25" i="14"/>
  <c r="AT59" i="14"/>
  <c r="AT8" i="14"/>
  <c r="AC51" i="14"/>
  <c r="AE51" i="14" s="1"/>
  <c r="AC38" i="14"/>
  <c r="AE38" i="14" s="1"/>
  <c r="AJ17" i="14"/>
  <c r="AF17" i="14"/>
  <c r="AG71" i="14"/>
  <c r="AB72" i="14"/>
  <c r="AJ72" i="14" s="1"/>
  <c r="AF25" i="14"/>
  <c r="AN25" i="14" s="1"/>
  <c r="AK25" i="14" s="1"/>
  <c r="AM25" i="14" s="1"/>
  <c r="AF67" i="14"/>
  <c r="AN67" i="14" s="1"/>
  <c r="AK67" i="14" s="1"/>
  <c r="AM67" i="14" s="1"/>
  <c r="AJ67" i="14"/>
  <c r="AJ10" i="14"/>
  <c r="AF8" i="14"/>
  <c r="AF21" i="14"/>
  <c r="AJ21" i="14"/>
  <c r="AF80" i="14"/>
  <c r="AN80" i="14" s="1"/>
  <c r="AK80" i="14" s="1"/>
  <c r="AM80" i="14" s="1"/>
  <c r="AJ80" i="14"/>
  <c r="AC13" i="14"/>
  <c r="AE13" i="14" s="1"/>
  <c r="AN13" i="14"/>
  <c r="AK13" i="14" s="1"/>
  <c r="AM13" i="14" s="1"/>
  <c r="AF47" i="14"/>
  <c r="AN47" i="14" s="1"/>
  <c r="AK47" i="14" s="1"/>
  <c r="AM47" i="14" s="1"/>
  <c r="AJ47" i="14"/>
  <c r="AD29" i="14"/>
  <c r="AL29" i="14" s="1"/>
  <c r="AQ29" i="14" s="1"/>
  <c r="AG30" i="14"/>
  <c r="AB31" i="14"/>
  <c r="AJ31" i="14" s="1"/>
  <c r="AB30" i="14"/>
  <c r="AJ30" i="14" s="1"/>
  <c r="AJ35" i="14"/>
  <c r="AM55" i="14"/>
  <c r="AB63" i="14"/>
  <c r="AK51" i="14"/>
  <c r="AM51" i="14" s="1"/>
  <c r="BA99" i="14"/>
  <c r="AX99" i="14" s="1"/>
  <c r="AY99" i="14" s="1"/>
  <c r="BA146" i="14"/>
  <c r="AX146" i="14" s="1"/>
  <c r="AY146" i="14" s="1"/>
  <c r="AC124" i="14"/>
  <c r="AE124" i="14" s="1"/>
  <c r="AC41" i="14"/>
  <c r="AE41" i="14" s="1"/>
  <c r="BA113" i="14"/>
  <c r="AX113" i="14" s="1"/>
  <c r="AY113" i="14" s="1"/>
  <c r="BC88" i="14"/>
  <c r="BC102" i="14"/>
  <c r="BA168" i="14"/>
  <c r="AX168" i="14" s="1"/>
  <c r="AY168" i="14" s="1"/>
  <c r="BC110" i="14"/>
  <c r="BJ142" i="14"/>
  <c r="BH142" i="14"/>
  <c r="BF142" i="14"/>
  <c r="AD115" i="14"/>
  <c r="BC116" i="14"/>
  <c r="AD95" i="14"/>
  <c r="BC96" i="14"/>
  <c r="AD159" i="14"/>
  <c r="BC160" i="14"/>
  <c r="BJ151" i="14"/>
  <c r="BH151" i="14"/>
  <c r="BF151" i="14"/>
  <c r="AD150" i="14"/>
  <c r="BC151" i="14"/>
  <c r="BH155" i="14"/>
  <c r="BF155" i="14"/>
  <c r="BJ155" i="14"/>
  <c r="AD165" i="14"/>
  <c r="BJ166" i="14"/>
  <c r="BH166" i="14"/>
  <c r="BF166" i="14"/>
  <c r="BC166" i="14"/>
  <c r="AD154" i="14"/>
  <c r="BC155" i="14"/>
  <c r="AD100" i="14"/>
  <c r="BC101" i="14"/>
  <c r="AD108" i="14"/>
  <c r="BC109" i="14"/>
  <c r="AD86" i="14"/>
  <c r="BC87" i="14"/>
  <c r="AD141" i="14"/>
  <c r="BC142" i="14"/>
  <c r="AF33" i="14" l="1"/>
  <c r="AN33" i="14" s="1"/>
  <c r="AK33" i="14" s="1"/>
  <c r="AM33" i="14" s="1"/>
  <c r="AT33" i="14"/>
  <c r="AC76" i="14"/>
  <c r="AE76" i="14" s="1"/>
  <c r="AC47" i="14"/>
  <c r="AE47" i="14" s="1"/>
  <c r="AT29" i="14"/>
  <c r="AC80" i="14"/>
  <c r="AE80" i="14" s="1"/>
  <c r="AC67" i="14"/>
  <c r="AE67" i="14" s="1"/>
  <c r="AC8" i="14"/>
  <c r="AE8" i="14" s="1"/>
  <c r="AN8" i="14"/>
  <c r="AC25" i="14"/>
  <c r="AE25" i="14" s="1"/>
  <c r="AC17" i="14"/>
  <c r="AE17" i="14" s="1"/>
  <c r="AN17" i="14"/>
  <c r="AK17" i="14" s="1"/>
  <c r="AM17" i="14" s="1"/>
  <c r="AF29" i="14"/>
  <c r="AN29" i="14" s="1"/>
  <c r="AK29" i="14" s="1"/>
  <c r="AM29" i="14" s="1"/>
  <c r="AJ29" i="14"/>
  <c r="AF59" i="14"/>
  <c r="AN59" i="14" s="1"/>
  <c r="AK59" i="14" s="1"/>
  <c r="AJ59" i="14"/>
  <c r="AF63" i="14"/>
  <c r="AN63" i="14" s="1"/>
  <c r="AK63" i="14" s="1"/>
  <c r="AM63" i="14" s="1"/>
  <c r="AJ63" i="14"/>
  <c r="AC21" i="14"/>
  <c r="AE21" i="14" s="1"/>
  <c r="AN21" i="14"/>
  <c r="AK21" i="14" s="1"/>
  <c r="AM21" i="14" s="1"/>
  <c r="AF71" i="14"/>
  <c r="BJ150" i="14"/>
  <c r="BH150" i="14"/>
  <c r="BF150" i="14"/>
  <c r="AD149" i="14"/>
  <c r="BC150" i="14"/>
  <c r="AD114" i="14"/>
  <c r="BC115" i="14"/>
  <c r="AD164" i="14"/>
  <c r="BJ165" i="14"/>
  <c r="BH165" i="14"/>
  <c r="BF165" i="14"/>
  <c r="BC165" i="14"/>
  <c r="AD94" i="14"/>
  <c r="BC95" i="14"/>
  <c r="AD85" i="14"/>
  <c r="BC86" i="14"/>
  <c r="S38" i="3"/>
  <c r="Q38" i="3"/>
  <c r="P38" i="3"/>
  <c r="O38" i="3"/>
  <c r="N38" i="3"/>
  <c r="M38" i="3"/>
  <c r="L38" i="3"/>
  <c r="D38" i="3"/>
  <c r="H38" i="3" s="1"/>
  <c r="F38" i="3"/>
  <c r="J38" i="3" s="1"/>
  <c r="G38" i="3"/>
  <c r="R38" i="3" s="1"/>
  <c r="E38" i="3"/>
  <c r="I38" i="3" s="1"/>
  <c r="C43" i="3"/>
  <c r="BH6" i="3"/>
  <c r="BH5" i="3"/>
  <c r="BH4" i="3"/>
  <c r="BH7" i="3"/>
  <c r="AC33" i="14" l="1"/>
  <c r="AE33" i="14" s="1"/>
  <c r="K38" i="3"/>
  <c r="AC63" i="14"/>
  <c r="AE63" i="14" s="1"/>
  <c r="AK8" i="14"/>
  <c r="AM8" i="14" s="1"/>
  <c r="AC29" i="14"/>
  <c r="AE29" i="14" s="1"/>
  <c r="AN71" i="14"/>
  <c r="AK71" i="14" s="1"/>
  <c r="AM71" i="14" s="1"/>
  <c r="AC71" i="14"/>
  <c r="AE71" i="14" s="1"/>
  <c r="AC59" i="14"/>
  <c r="AE59" i="14" s="1"/>
  <c r="AM59" i="14"/>
  <c r="BH149" i="14"/>
  <c r="BF149" i="14"/>
  <c r="BJ149" i="14"/>
  <c r="BC149" i="14"/>
  <c r="AD148" i="14"/>
  <c r="AD93" i="14"/>
  <c r="BC94" i="14"/>
  <c r="AD84" i="14"/>
  <c r="BC85" i="14"/>
  <c r="BH11" i="3"/>
  <c r="B43" i="3" s="1"/>
  <c r="B38" i="5"/>
  <c r="BD7" i="3"/>
  <c r="BD6" i="3"/>
  <c r="BD5" i="3"/>
  <c r="BD4" i="3"/>
  <c r="P43" i="3" l="1"/>
  <c r="M43" i="3"/>
  <c r="D43" i="3"/>
  <c r="H43" i="3" s="1"/>
  <c r="L43" i="3"/>
  <c r="S43" i="3"/>
  <c r="Q43" i="3"/>
  <c r="N43" i="3"/>
  <c r="G43" i="3"/>
  <c r="K43" i="3" s="1"/>
  <c r="O43" i="3"/>
  <c r="E43" i="3"/>
  <c r="I43" i="3" s="1"/>
  <c r="F43" i="3"/>
  <c r="J43" i="3" s="1"/>
  <c r="AD92" i="14"/>
  <c r="BC93" i="14"/>
  <c r="BF148" i="14"/>
  <c r="BJ148" i="14"/>
  <c r="BH148" i="14"/>
  <c r="AD147" i="14"/>
  <c r="BC148" i="14"/>
  <c r="BD11" i="3"/>
  <c r="B42" i="3" s="1"/>
  <c r="AZ7" i="3"/>
  <c r="S42" i="3" l="1"/>
  <c r="Q42" i="3"/>
  <c r="N42" i="3"/>
  <c r="F42" i="3"/>
  <c r="J42" i="3" s="1"/>
  <c r="D42" i="3"/>
  <c r="H42" i="3" s="1"/>
  <c r="O42" i="3"/>
  <c r="G42" i="3"/>
  <c r="K42" i="3" s="1"/>
  <c r="E42" i="3"/>
  <c r="I42" i="3" s="1"/>
  <c r="L42" i="3"/>
  <c r="M42" i="3"/>
  <c r="P42" i="3"/>
  <c r="R43" i="3"/>
  <c r="C41" i="3"/>
  <c r="C40" i="3"/>
  <c r="C39" i="3"/>
  <c r="AV8" i="3"/>
  <c r="AR5" i="3"/>
  <c r="X7" i="3"/>
  <c r="AZ6" i="3"/>
  <c r="AZ5" i="3"/>
  <c r="AZ4" i="3"/>
  <c r="AV6" i="3"/>
  <c r="AV7" i="3"/>
  <c r="R42" i="3" l="1"/>
  <c r="AZ11" i="3"/>
  <c r="B41" i="3" s="1"/>
  <c r="B36" i="5"/>
  <c r="B35" i="5"/>
  <c r="B34" i="5"/>
  <c r="AV5" i="3"/>
  <c r="AV4" i="3"/>
  <c r="AR6" i="3"/>
  <c r="AR4" i="3"/>
  <c r="AJ4" i="3"/>
  <c r="S4" i="2"/>
  <c r="U4" i="2"/>
  <c r="V4" i="2" s="1"/>
  <c r="I5" i="2"/>
  <c r="N5" i="2"/>
  <c r="R5" i="2"/>
  <c r="S5" i="2" s="1"/>
  <c r="U5" i="2"/>
  <c r="V5" i="2" s="1"/>
  <c r="I6" i="2"/>
  <c r="N6" i="2"/>
  <c r="R6" i="2" s="1"/>
  <c r="S6" i="2" s="1"/>
  <c r="U6" i="2"/>
  <c r="V6" i="2" s="1"/>
  <c r="I7" i="2"/>
  <c r="N7" i="2"/>
  <c r="R7" i="2" s="1"/>
  <c r="S7" i="2" s="1"/>
  <c r="U7" i="2"/>
  <c r="V7" i="2" s="1"/>
  <c r="I8" i="2"/>
  <c r="N8" i="2"/>
  <c r="R8" i="2" s="1"/>
  <c r="S8" i="2" s="1"/>
  <c r="U8" i="2"/>
  <c r="V8" i="2" s="1"/>
  <c r="I9" i="2"/>
  <c r="N9" i="2"/>
  <c r="R9" i="2" s="1"/>
  <c r="S9" i="2" s="1"/>
  <c r="U9" i="2"/>
  <c r="V9" i="2" s="1"/>
  <c r="I10" i="2"/>
  <c r="N10" i="2"/>
  <c r="R10" i="2" s="1"/>
  <c r="S10" i="2" s="1"/>
  <c r="U10" i="2"/>
  <c r="V10" i="2" s="1"/>
  <c r="I11" i="2"/>
  <c r="N11" i="2"/>
  <c r="R11" i="2" s="1"/>
  <c r="S11" i="2" s="1"/>
  <c r="U11" i="2"/>
  <c r="V11" i="2" s="1"/>
  <c r="I12" i="2"/>
  <c r="N12" i="2"/>
  <c r="R12" i="2" s="1"/>
  <c r="S12" i="2" s="1"/>
  <c r="U12" i="2"/>
  <c r="V12" i="2" s="1"/>
  <c r="F13" i="2"/>
  <c r="I13" i="2" s="1"/>
  <c r="R13" i="2"/>
  <c r="S13" i="2" s="1"/>
  <c r="U13" i="2"/>
  <c r="V13" i="2" s="1"/>
  <c r="F14" i="2"/>
  <c r="I14" i="2" s="1"/>
  <c r="R14" i="2"/>
  <c r="S14" i="2" s="1"/>
  <c r="U14" i="2"/>
  <c r="V14" i="2" s="1"/>
  <c r="F15" i="2"/>
  <c r="I15" i="2" s="1"/>
  <c r="R15" i="2"/>
  <c r="S15" i="2" s="1"/>
  <c r="U15" i="2"/>
  <c r="V15" i="2" s="1"/>
  <c r="F16" i="2"/>
  <c r="I16" i="2" s="1"/>
  <c r="R16" i="2"/>
  <c r="S16" i="2" s="1"/>
  <c r="T16" i="2" s="1"/>
  <c r="V16" i="2"/>
  <c r="F17" i="2"/>
  <c r="I17" i="2" s="1"/>
  <c r="N17" i="2"/>
  <c r="R17" i="2" s="1"/>
  <c r="S17" i="2" s="1"/>
  <c r="F18" i="2"/>
  <c r="I18" i="2" s="1"/>
  <c r="N18" i="2"/>
  <c r="R18" i="2" s="1"/>
  <c r="S18" i="2" s="1"/>
  <c r="F19" i="2"/>
  <c r="I19" i="2" s="1"/>
  <c r="N19" i="2"/>
  <c r="R19" i="2" s="1"/>
  <c r="S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s="1"/>
  <c r="F33" i="2"/>
  <c r="I33" i="2" s="1"/>
  <c r="F34" i="2"/>
  <c r="I34" i="2" s="1"/>
  <c r="F35" i="2"/>
  <c r="I35" i="2" s="1"/>
  <c r="F36" i="2"/>
  <c r="I36" i="2" s="1"/>
  <c r="F37" i="2"/>
  <c r="I37" i="2" s="1"/>
  <c r="F38" i="2"/>
  <c r="I38" i="2" s="1"/>
  <c r="F39" i="2"/>
  <c r="I39" i="2" s="1"/>
  <c r="F40" i="2"/>
  <c r="I40" i="2" s="1"/>
  <c r="F41" i="2"/>
  <c r="I41" i="2" s="1"/>
  <c r="F42" i="2"/>
  <c r="I42" i="2" s="1"/>
  <c r="F43" i="2"/>
  <c r="I43" i="2" s="1"/>
  <c r="F44" i="2"/>
  <c r="I44" i="2" s="1"/>
  <c r="D4" i="3"/>
  <c r="H4" i="3"/>
  <c r="L4" i="3"/>
  <c r="P4" i="3"/>
  <c r="U4" i="3"/>
  <c r="X5" i="3" s="1"/>
  <c r="AB4" i="3"/>
  <c r="AF4" i="3"/>
  <c r="AN4" i="3"/>
  <c r="D5" i="3"/>
  <c r="H5" i="3"/>
  <c r="L5" i="3"/>
  <c r="P5" i="3"/>
  <c r="AB5" i="3"/>
  <c r="AF5" i="3"/>
  <c r="AJ5" i="3"/>
  <c r="AN5" i="3"/>
  <c r="D6" i="3"/>
  <c r="H6" i="3"/>
  <c r="L6" i="3"/>
  <c r="P6" i="3"/>
  <c r="X6" i="3"/>
  <c r="AB6" i="3"/>
  <c r="AF6" i="3"/>
  <c r="AJ6" i="3"/>
  <c r="AN6" i="3"/>
  <c r="D7" i="3"/>
  <c r="H7" i="3"/>
  <c r="L7" i="3"/>
  <c r="P7" i="3"/>
  <c r="T7" i="3"/>
  <c r="D8" i="3"/>
  <c r="H8" i="3"/>
  <c r="L8" i="3"/>
  <c r="P8" i="3"/>
  <c r="T8" i="3"/>
  <c r="D9" i="3"/>
  <c r="H9" i="3"/>
  <c r="L9" i="3"/>
  <c r="D10" i="3"/>
  <c r="H10" i="3"/>
  <c r="L10" i="3"/>
  <c r="L13" i="3"/>
  <c r="M13" i="3" s="1"/>
  <c r="L14" i="3"/>
  <c r="M14" i="3" s="1"/>
  <c r="L15" i="3"/>
  <c r="M15" i="3" s="1"/>
  <c r="L16" i="3"/>
  <c r="M16" i="3" s="1"/>
  <c r="B17" i="3"/>
  <c r="L17" i="3"/>
  <c r="M17" i="3" s="1"/>
  <c r="L18" i="3"/>
  <c r="M18" i="3" s="1"/>
  <c r="AJ33" i="3"/>
  <c r="AK29" i="3" s="1"/>
  <c r="AD36" i="3"/>
  <c r="AE36" i="3" s="1"/>
  <c r="AD37" i="3"/>
  <c r="AE37" i="3" s="1"/>
  <c r="AD38" i="3"/>
  <c r="AE38" i="3" s="1"/>
  <c r="AD39" i="3"/>
  <c r="AE39" i="3" s="1"/>
  <c r="AH39" i="3"/>
  <c r="AJ39" i="3" s="1"/>
  <c r="AK39" i="3" s="1"/>
  <c r="AK42" i="3" s="1"/>
  <c r="AD40" i="3"/>
  <c r="AE40" i="3" s="1"/>
  <c r="AD41" i="3"/>
  <c r="AE41" i="3" s="1"/>
  <c r="B29" i="5"/>
  <c r="B30" i="5"/>
  <c r="B31" i="5"/>
  <c r="B32" i="5"/>
  <c r="AV11" i="3" l="1"/>
  <c r="B40" i="3" s="1"/>
  <c r="P40" i="3" s="1"/>
  <c r="AF9" i="3"/>
  <c r="B36" i="3" s="1"/>
  <c r="N36" i="3" s="1"/>
  <c r="T14" i="2"/>
  <c r="T4" i="2"/>
  <c r="E40" i="3"/>
  <c r="I40" i="3" s="1"/>
  <c r="G40" i="3"/>
  <c r="K40" i="3" s="1"/>
  <c r="N40" i="3"/>
  <c r="L40" i="3"/>
  <c r="S40" i="3"/>
  <c r="M40" i="3"/>
  <c r="D40" i="3"/>
  <c r="H40" i="3" s="1"/>
  <c r="F40" i="3"/>
  <c r="J40" i="3" s="1"/>
  <c r="T9" i="2"/>
  <c r="D11" i="3"/>
  <c r="B29" i="3" s="1"/>
  <c r="AN9" i="3"/>
  <c r="O41" i="3"/>
  <c r="D41" i="3"/>
  <c r="H41" i="3" s="1"/>
  <c r="P41" i="3"/>
  <c r="S41" i="3"/>
  <c r="G41" i="3"/>
  <c r="K41" i="3" s="1"/>
  <c r="Q41" i="3"/>
  <c r="N41" i="3"/>
  <c r="F41" i="3"/>
  <c r="J41" i="3" s="1"/>
  <c r="L41" i="3"/>
  <c r="E41" i="3"/>
  <c r="I41" i="3" s="1"/>
  <c r="M41" i="3"/>
  <c r="T5" i="2"/>
  <c r="AJ9" i="3"/>
  <c r="B37" i="3" s="1"/>
  <c r="T11" i="2"/>
  <c r="T12" i="2"/>
  <c r="T8" i="2"/>
  <c r="T15" i="2"/>
  <c r="T10" i="2"/>
  <c r="T7" i="2"/>
  <c r="T6" i="2"/>
  <c r="AR11" i="3"/>
  <c r="B39" i="3" s="1"/>
  <c r="L11" i="3"/>
  <c r="B31" i="3" s="1"/>
  <c r="T9" i="3"/>
  <c r="B33" i="3" s="1"/>
  <c r="P9" i="3"/>
  <c r="B32" i="3" s="1"/>
  <c r="T13" i="2"/>
  <c r="H11" i="3"/>
  <c r="B30" i="3" s="1"/>
  <c r="AB9" i="3"/>
  <c r="B35" i="3" s="1"/>
  <c r="X4" i="3"/>
  <c r="X9" i="3" s="1"/>
  <c r="B34" i="3" s="1"/>
  <c r="Q40" i="3" l="1"/>
  <c r="O40" i="3"/>
  <c r="G36" i="3"/>
  <c r="K36" i="3" s="1"/>
  <c r="D36" i="3"/>
  <c r="H36" i="3" s="1"/>
  <c r="Q36" i="3"/>
  <c r="S36" i="3"/>
  <c r="E36" i="3"/>
  <c r="I36" i="3" s="1"/>
  <c r="M36" i="3"/>
  <c r="F36" i="3"/>
  <c r="J36" i="3" s="1"/>
  <c r="O36" i="3"/>
  <c r="P36" i="3"/>
  <c r="L36" i="3"/>
  <c r="S34" i="3"/>
  <c r="Q34" i="3"/>
  <c r="N34" i="3"/>
  <c r="G34" i="3"/>
  <c r="K34" i="3" s="1"/>
  <c r="P34" i="3"/>
  <c r="M34" i="3"/>
  <c r="O34" i="3"/>
  <c r="F34" i="3"/>
  <c r="J34" i="3" s="1"/>
  <c r="E34" i="3"/>
  <c r="I34" i="3" s="1"/>
  <c r="L34" i="3"/>
  <c r="D34" i="3"/>
  <c r="H34" i="3" s="1"/>
  <c r="R40" i="3"/>
  <c r="P35" i="3"/>
  <c r="M35" i="3"/>
  <c r="D35" i="3"/>
  <c r="H35" i="3" s="1"/>
  <c r="E35" i="3"/>
  <c r="I35" i="3" s="1"/>
  <c r="S35" i="3"/>
  <c r="Q35" i="3"/>
  <c r="N35" i="3"/>
  <c r="O35" i="3"/>
  <c r="L35" i="3"/>
  <c r="G35" i="3"/>
  <c r="K35" i="3" s="1"/>
  <c r="F35" i="3"/>
  <c r="J35" i="3" s="1"/>
  <c r="D30" i="3"/>
  <c r="H30" i="3" s="1"/>
  <c r="E30" i="3"/>
  <c r="I30" i="3" s="1"/>
  <c r="G30" i="3"/>
  <c r="K30" i="3" s="1"/>
  <c r="L30" i="3"/>
  <c r="P30" i="3"/>
  <c r="M30" i="3"/>
  <c r="S30" i="3"/>
  <c r="Q30" i="3"/>
  <c r="N30" i="3"/>
  <c r="O30" i="3"/>
  <c r="F30" i="3"/>
  <c r="J30" i="3" s="1"/>
  <c r="E32" i="3"/>
  <c r="I32" i="3" s="1"/>
  <c r="S32" i="3"/>
  <c r="N32" i="3"/>
  <c r="D32" i="3"/>
  <c r="H32" i="3" s="1"/>
  <c r="F32" i="3"/>
  <c r="J32" i="3" s="1"/>
  <c r="L32" i="3"/>
  <c r="Q32" i="3"/>
  <c r="P32" i="3"/>
  <c r="M32" i="3"/>
  <c r="O32" i="3"/>
  <c r="G32" i="3"/>
  <c r="K32" i="3" s="1"/>
  <c r="R41" i="3"/>
  <c r="O33" i="3"/>
  <c r="G33" i="3"/>
  <c r="K33" i="3" s="1"/>
  <c r="F33" i="3"/>
  <c r="J33" i="3" s="1"/>
  <c r="S33" i="3"/>
  <c r="Q33" i="3"/>
  <c r="P33" i="3"/>
  <c r="M33" i="3"/>
  <c r="D33" i="3"/>
  <c r="H33" i="3" s="1"/>
  <c r="N33" i="3"/>
  <c r="R33" i="3"/>
  <c r="L33" i="3"/>
  <c r="E33" i="3"/>
  <c r="I33" i="3" s="1"/>
  <c r="O31" i="3"/>
  <c r="F31" i="3"/>
  <c r="J31" i="3" s="1"/>
  <c r="M31" i="3"/>
  <c r="G31" i="3"/>
  <c r="K31" i="3" s="1"/>
  <c r="L31" i="3"/>
  <c r="E31" i="3"/>
  <c r="I31" i="3" s="1"/>
  <c r="P31" i="3"/>
  <c r="S31" i="3"/>
  <c r="Q31" i="3"/>
  <c r="N31" i="3"/>
  <c r="D31" i="3"/>
  <c r="H31" i="3" s="1"/>
  <c r="G29" i="3"/>
  <c r="K29" i="3" s="1"/>
  <c r="P29" i="3"/>
  <c r="M29" i="3"/>
  <c r="E29" i="3"/>
  <c r="I29" i="3" s="1"/>
  <c r="F29" i="3"/>
  <c r="J29" i="3" s="1"/>
  <c r="S29" i="3"/>
  <c r="Q29" i="3"/>
  <c r="L29" i="3"/>
  <c r="N29" i="3"/>
  <c r="R29" i="3"/>
  <c r="O29" i="3"/>
  <c r="D29" i="3"/>
  <c r="H29" i="3" s="1"/>
  <c r="G39" i="3"/>
  <c r="K39" i="3" s="1"/>
  <c r="F39" i="3"/>
  <c r="J39" i="3" s="1"/>
  <c r="M39" i="3"/>
  <c r="D39" i="3"/>
  <c r="H39" i="3" s="1"/>
  <c r="L39" i="3"/>
  <c r="E39" i="3"/>
  <c r="I39" i="3" s="1"/>
  <c r="P39" i="3"/>
  <c r="O39" i="3"/>
  <c r="S39" i="3"/>
  <c r="Q39" i="3"/>
  <c r="N39" i="3"/>
  <c r="G37" i="3"/>
  <c r="K37" i="3" s="1"/>
  <c r="L37" i="3"/>
  <c r="E37" i="3"/>
  <c r="I37" i="3" s="1"/>
  <c r="P37" i="3"/>
  <c r="M37" i="3"/>
  <c r="D37" i="3"/>
  <c r="H37" i="3" s="1"/>
  <c r="O37" i="3"/>
  <c r="S37" i="3"/>
  <c r="Q37" i="3"/>
  <c r="N37" i="3"/>
  <c r="F37" i="3"/>
  <c r="J37" i="3" s="1"/>
  <c r="R36" i="3" l="1"/>
  <c r="R39" i="3"/>
  <c r="R31" i="3"/>
  <c r="R32" i="3"/>
  <c r="S45" i="3"/>
  <c r="H45" i="3"/>
  <c r="M45" i="3"/>
  <c r="K45" i="3"/>
  <c r="O45" i="3"/>
  <c r="J45" i="3"/>
  <c r="I45" i="3"/>
  <c r="R35" i="3"/>
  <c r="R37" i="3"/>
  <c r="P45" i="3"/>
  <c r="N45" i="3"/>
  <c r="L45" i="3"/>
  <c r="R30" i="3"/>
  <c r="R34" i="3"/>
  <c r="Q45" i="3"/>
  <c r="R45" i="3" l="1"/>
  <c r="E4" i="16"/>
  <c r="H4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tc={8D6199D0-C4CF-5E43-A95A-D81CAF10AD77}</author>
  </authors>
  <commentList>
    <comment ref="A2" authorId="0" shapeId="0" xr:uid="{8D6199D0-C4CF-5E43-A95A-D81CAF10AD7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Observer Estimate and Date as written.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jcraig</author>
  </authors>
  <commentList>
    <comment ref="AI4" authorId="0" shapeId="0" xr:uid="{00000000-0006-0000-0300-000001000000}">
      <text>
        <r>
          <rPr>
            <b/>
            <sz val="8"/>
            <color rgb="FF000000"/>
            <rFont val="Tahoma"/>
            <family val="2"/>
          </rPr>
          <t>jcraig: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ECOFISH Count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CBC185-3757-8B43-AFFE-D44286D5EB3A}" keepAlive="1" name="Query - Time and Area Standardization" description="Connection to the 'Time and Area Standardization' query in the workbook." type="5" refreshedVersion="0" background="1">
    <dbPr connection="Provider=Microsoft.Mashup.OleDb.1;Data Source=$Workbook$;Location=&quot;Time and Area Standardization&quot;;Extended Properties=&quot;&quot;" command="SELECT * FROM [Time and Area Standardization]"/>
  </connection>
</connections>
</file>

<file path=xl/sharedStrings.xml><?xml version="1.0" encoding="utf-8"?>
<sst xmlns="http://schemas.openxmlformats.org/spreadsheetml/2006/main" count="1453" uniqueCount="246">
  <si>
    <t>Date</t>
  </si>
  <si>
    <t>Days #</t>
  </si>
  <si>
    <t># of fish</t>
  </si>
  <si>
    <t>4,5 Feb</t>
  </si>
  <si>
    <t>1,2 Mar</t>
  </si>
  <si>
    <t>22,23 Mar</t>
  </si>
  <si>
    <t>13,14 Apr</t>
  </si>
  <si>
    <t>28,29 Apr</t>
  </si>
  <si>
    <t>13,14 May</t>
  </si>
  <si>
    <t>March</t>
  </si>
  <si>
    <t>yr</t>
  </si>
  <si>
    <t>8.8 km</t>
  </si>
  <si>
    <t xml:space="preserve">End of Englishman River Road to "Big Tent" </t>
  </si>
  <si>
    <t>Survey Date</t>
  </si>
  <si>
    <t xml:space="preserve">Mainstem 3 </t>
  </si>
  <si>
    <t>Mainstem 2</t>
  </si>
  <si>
    <t>Mainstem 1</t>
  </si>
  <si>
    <t>South Englishman</t>
  </si>
  <si>
    <t>Total fish</t>
  </si>
  <si>
    <t>Actual km surveyed</t>
  </si>
  <si>
    <t>fish/km</t>
  </si>
  <si>
    <t>Visibility (m)</t>
  </si>
  <si>
    <t>Englishman Falls Pool to the end on Englishman River Road</t>
  </si>
  <si>
    <t>March 22, 2002</t>
  </si>
  <si>
    <t xml:space="preserve">#155 Mainline bridge crossing to Englishman confluence </t>
  </si>
  <si>
    <t>March 21, 2002</t>
  </si>
  <si>
    <t>Grassy Banks to the Big Tent Run</t>
  </si>
  <si>
    <t>March 20, 2002</t>
  </si>
  <si>
    <t xml:space="preserve">End of Englishman River Road to "Grassy Bank" </t>
  </si>
  <si>
    <t>March 09, 2002</t>
  </si>
  <si>
    <t>March 07, 2002</t>
  </si>
  <si>
    <t>March 06, 2002</t>
  </si>
  <si>
    <t>March 13, 2001</t>
  </si>
  <si>
    <t xml:space="preserve"> Morison Creek confluence to end of the Long Run</t>
  </si>
  <si>
    <t xml:space="preserve"> End of the Long Run to the Big Tent Run</t>
  </si>
  <si>
    <t>March 28, 2000</t>
  </si>
  <si>
    <t>500 m u/s of the South Fork confluence to Allsbrook Canyon</t>
  </si>
  <si>
    <t>March 08, 1999</t>
  </si>
  <si>
    <t xml:space="preserve"> Morison Creek to "Grassy Banks"</t>
  </si>
  <si>
    <t xml:space="preserve"> "Grassy Banks" to the Big Tent Run</t>
  </si>
  <si>
    <t>March 28, 1996</t>
  </si>
  <si>
    <t>March 01, 1995</t>
  </si>
  <si>
    <t>March 28, 1994</t>
  </si>
  <si>
    <t>March 11, 1992</t>
  </si>
  <si>
    <t>March 26, 1991</t>
  </si>
  <si>
    <t>March 01, 1991</t>
  </si>
  <si>
    <t xml:space="preserve"> Morison Creek confluence to Allsbrook Canyon</t>
  </si>
  <si>
    <t>March 01, 1989</t>
  </si>
  <si>
    <t>Above powerlines to Hwy 19 bridge (New Hwy)</t>
  </si>
  <si>
    <t>March 27, 1987</t>
  </si>
  <si>
    <t>Claybanks to Allsbrook Canyon</t>
  </si>
  <si>
    <t>March 18, 1985</t>
  </si>
  <si>
    <t>Englishman Falls pool to Allsbrook Canyon</t>
  </si>
  <si>
    <t>Allsbrook Canyon to the Ocean</t>
  </si>
  <si>
    <t>March 11, 1985</t>
  </si>
  <si>
    <t>Claybanks to Hwy 19 bridge (new Hwy)</t>
  </si>
  <si>
    <t>March 24, 1983</t>
  </si>
  <si>
    <t>March 31, 1982</t>
  </si>
  <si>
    <t>South Fork confluence to Allsbrook Canyon</t>
  </si>
  <si>
    <t>historical swims</t>
  </si>
  <si>
    <t>NOTES:</t>
  </si>
  <si>
    <t>Mainstem section 3: Englishman Falls Pool to the end on Englishman River Road (6.2 km)</t>
  </si>
  <si>
    <t xml:space="preserve">Mainstems 1, 2 and 3, and South Fork Englishman represent current indexes surveyed. </t>
  </si>
  <si>
    <t xml:space="preserve">Mainstem section 2: End of Englishman River Road to "Grassy Bank" (4.6 km) </t>
  </si>
  <si>
    <t xml:space="preserve">Mainstem section 1: "Grassy Banks" to the Big Tent Run (4.2 km) </t>
  </si>
  <si>
    <t>South Fork Englishman: #155 Mainline bridge crossing to Englishman confluence (4.5 km)</t>
  </si>
  <si>
    <t>Days</t>
  </si>
  <si>
    <t># fish</t>
  </si>
  <si>
    <t># of Fish</t>
  </si>
  <si>
    <t>keo surviv</t>
  </si>
  <si>
    <t>count</t>
  </si>
  <si>
    <t>75% eff</t>
  </si>
  <si>
    <t>smolt calc</t>
  </si>
  <si>
    <t>2600 x survi</t>
  </si>
  <si>
    <t>Year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</si>
  <si>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</si>
  <si>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</si>
  <si>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</si>
  <si>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</si>
  <si>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</si>
  <si>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</si>
  <si>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</si>
  <si>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</si>
  <si>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</si>
  <si>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</si>
  <si>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</si>
  <si>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</si>
  <si>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</si>
  <si>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</si>
  <si>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</si>
  <si>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</si>
  <si>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</si>
  <si>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</si>
  <si>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</si>
  <si>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</si>
  <si>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</si>
  <si>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</si>
  <si>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</si>
  <si>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Section</t>
  </si>
  <si>
    <t>Peak Density</t>
  </si>
  <si>
    <t>Falls - Allsbrook</t>
  </si>
  <si>
    <t>Falls - Hootons</t>
  </si>
  <si>
    <t>Falls - Mouth</t>
  </si>
  <si>
    <t>SF - Hootons, plus Hwy spot check</t>
  </si>
  <si>
    <t>Peak Density/Year, All Surveys</t>
  </si>
  <si>
    <t>Claybanks to Allsbrook</t>
  </si>
  <si>
    <t>Morrison-Allsbrook</t>
  </si>
  <si>
    <t>SF Conf-Bypss brgd</t>
  </si>
  <si>
    <t>SF Conf-S Pool (Allsbrook)</t>
  </si>
  <si>
    <t>Morrison-Big Tent</t>
  </si>
  <si>
    <t>?</t>
  </si>
  <si>
    <t>Eman R Rd to Allsbrook</t>
  </si>
  <si>
    <t>May include results from short sections, counts with hatchery fish, and years when peak timing not surveyed.</t>
  </si>
  <si>
    <t>Falls-Mouth</t>
  </si>
  <si>
    <t>Peak</t>
  </si>
  <si>
    <t>15 km</t>
  </si>
  <si>
    <t>AUC</t>
  </si>
  <si>
    <t>Peak Count</t>
  </si>
  <si>
    <t>efficiency</t>
  </si>
  <si>
    <t>Survey Efficiency</t>
  </si>
  <si>
    <t>Day of run</t>
  </si>
  <si>
    <t>#Fish</t>
  </si>
  <si>
    <t xml:space="preserve"> </t>
  </si>
  <si>
    <t>201-03-27</t>
  </si>
  <si>
    <t xml:space="preserve">Population based on </t>
  </si>
  <si>
    <t>Residence time @</t>
  </si>
  <si>
    <t>Peak / population ratio</t>
  </si>
  <si>
    <t xml:space="preserve">Residence time @ </t>
  </si>
  <si>
    <t>survey efficiency</t>
  </si>
  <si>
    <t>Day</t>
  </si>
  <si>
    <t>Partial Area</t>
  </si>
  <si>
    <t>OE</t>
  </si>
  <si>
    <t>Survey Day  /Q</t>
  </si>
  <si>
    <t>Y=(((0.0523)X)-0.0028)</t>
  </si>
  <si>
    <t>Relationship 1</t>
  </si>
  <si>
    <t>Annual AUC (fish days)</t>
  </si>
  <si>
    <t>OE calibrated - Relationship #</t>
  </si>
  <si>
    <t>WSC - Average daily Q</t>
  </si>
  <si>
    <t>Unadjusted flow on survey day</t>
  </si>
  <si>
    <t>08HB002</t>
  </si>
  <si>
    <t>A</t>
  </si>
  <si>
    <t>E</t>
  </si>
  <si>
    <t>B</t>
  </si>
  <si>
    <t>SYM</t>
  </si>
  <si>
    <t>Value</t>
  </si>
  <si>
    <t>﻿Daily Discharge (PARAM = 1) and Daily Water Level (PARAM = 2) Data</t>
  </si>
  <si>
    <t>Syurvey day / unadjusted flow</t>
  </si>
  <si>
    <t>Corrected count</t>
  </si>
  <si>
    <t>Partial Area (fish/days)</t>
  </si>
  <si>
    <t>Annual AUC (fish/days)</t>
  </si>
  <si>
    <t>Popn</t>
  </si>
  <si>
    <t>Res time =</t>
  </si>
  <si>
    <t>Res time=</t>
  </si>
  <si>
    <t>Peak count population ratio</t>
  </si>
  <si>
    <t>Annual Peak count</t>
  </si>
  <si>
    <t>Population estimate (AUC)</t>
  </si>
  <si>
    <t>Time standardized</t>
  </si>
  <si>
    <t>fraction of peak count</t>
  </si>
  <si>
    <t xml:space="preserve">Poly </t>
  </si>
  <si>
    <t>linear</t>
  </si>
  <si>
    <t>Peak count ratio and survey day lookup function</t>
  </si>
  <si>
    <t>Percent of run</t>
  </si>
  <si>
    <t>For surveys before stat day 123</t>
  </si>
  <si>
    <t>Linear function</t>
  </si>
  <si>
    <t>Area standardization</t>
  </si>
  <si>
    <t>Section 1 (upper)</t>
  </si>
  <si>
    <t>Section 3 (lower)</t>
  </si>
  <si>
    <t>Section 2 (middle)</t>
  </si>
  <si>
    <t>Section 4 (South F)</t>
  </si>
  <si>
    <t>Solve for unknown  survey sections</t>
  </si>
  <si>
    <t>Section 1</t>
  </si>
  <si>
    <t>Lower</t>
  </si>
  <si>
    <t>Section 2</t>
  </si>
  <si>
    <t>Middle</t>
  </si>
  <si>
    <t>Section 3</t>
  </si>
  <si>
    <t>Upper</t>
  </si>
  <si>
    <t>Section 1 and 2</t>
  </si>
  <si>
    <t>Lower and Middle</t>
  </si>
  <si>
    <t>Survey Area and  spatial distribution tool</t>
  </si>
  <si>
    <t>Fraction of fish in each section (from regression)</t>
  </si>
  <si>
    <t>Section 2 and 3</t>
  </si>
  <si>
    <t>Upper and Middle</t>
  </si>
  <si>
    <t>Fraction of fish in each section (from all survey average)</t>
  </si>
  <si>
    <t xml:space="preserve"> Section 1 and 2</t>
  </si>
  <si>
    <t>Temporally calibrated</t>
  </si>
  <si>
    <t>factor</t>
  </si>
  <si>
    <t>Spatially Calibrated (time variant)</t>
  </si>
  <si>
    <t>Estimate</t>
  </si>
  <si>
    <t>estimate</t>
  </si>
  <si>
    <t xml:space="preserve">Fixed at </t>
  </si>
  <si>
    <t>RAW AUC</t>
  </si>
  <si>
    <t>hootons TO</t>
  </si>
  <si>
    <t>% Hatchery</t>
  </si>
  <si>
    <t>Proportion by age at return</t>
  </si>
  <si>
    <t>P4</t>
  </si>
  <si>
    <t>P5</t>
  </si>
  <si>
    <t>P6</t>
  </si>
  <si>
    <t>P7</t>
  </si>
  <si>
    <t>P8</t>
  </si>
  <si>
    <t>Brood Year</t>
  </si>
  <si>
    <t>Sex</t>
  </si>
  <si>
    <t>FW Age</t>
  </si>
  <si>
    <t>Ocean age</t>
  </si>
  <si>
    <t>Number Aged</t>
  </si>
  <si>
    <t>Average Total Age</t>
  </si>
  <si>
    <t>Totals</t>
  </si>
  <si>
    <t>repeat</t>
  </si>
  <si>
    <t xml:space="preserve">F </t>
  </si>
  <si>
    <t>M</t>
  </si>
  <si>
    <t>Number</t>
  </si>
  <si>
    <t>Percent</t>
  </si>
  <si>
    <t>All Years</t>
  </si>
  <si>
    <t>P3</t>
  </si>
  <si>
    <r>
      <rPr>
        <sz val="10"/>
        <color rgb="FF00B050"/>
        <rFont val="Arial"/>
        <family val="2"/>
      </rPr>
      <t>Green are known age distributions</t>
    </r>
    <r>
      <rPr>
        <sz val="10"/>
        <color rgb="FFFF0000"/>
        <rFont val="Arial"/>
        <family val="2"/>
      </rPr>
      <t xml:space="preserve">, Red is the average projected back </t>
    </r>
  </si>
  <si>
    <t>The distribution has changed from the figures to the right by using only known</t>
  </si>
  <si>
    <t>ages and assigning repeats to apropriate brood years</t>
  </si>
  <si>
    <t>Sec 1,2,3 Abundance Estimate</t>
  </si>
  <si>
    <r>
      <t>Spatially /</t>
    </r>
    <r>
      <rPr>
        <sz val="10"/>
        <color rgb="FFFF0000"/>
        <rFont val="Arial"/>
        <family val="2"/>
      </rPr>
      <t xml:space="preserve"> temporally</t>
    </r>
    <r>
      <rPr>
        <sz val="10"/>
        <rFont val="Arial"/>
        <family val="2"/>
      </rPr>
      <t xml:space="preserve"> corected Sections (1,2,3)</t>
    </r>
  </si>
  <si>
    <t>MLE Estimate</t>
  </si>
  <si>
    <t>MLE with Priors</t>
  </si>
  <si>
    <t>MLE estimate (OE Mean)</t>
  </si>
  <si>
    <t>MLE peak count ratio (OE Mean)</t>
  </si>
  <si>
    <t>Abundance from average MLE/peak ratio (2002 - 2016 - OE - Priors )</t>
  </si>
  <si>
    <t>Average ratio used</t>
  </si>
  <si>
    <t>Abundance estimates for 1982-2001, 2006, 2008, 2009 derived from average MLE / peak ratio  using mean OE of 0.55 (2002-2011;2015-2016) or with Calibrated OE estimates (2012-2014)</t>
  </si>
  <si>
    <t>Abundance estimates derived from average MLE / peak ratio or with Calibrated OE estimates (2012-2014)</t>
  </si>
  <si>
    <t>This area corrects for spatial (ie incomplete surveys) and temporal (ie non peak time) adjustments as if the survey was completed as a whole stream and at peak time</t>
  </si>
  <si>
    <t>Spatially Calibrated (Fixed ratio) scales results for whole stream</t>
  </si>
  <si>
    <t>OE Adj Peak / population ratio</t>
  </si>
  <si>
    <r>
      <rPr>
        <b/>
        <sz val="12"/>
        <rFont val="Arial"/>
        <family val="2"/>
      </rPr>
      <t>Steelhead Population Estimate</t>
    </r>
    <r>
      <rPr>
        <sz val="10"/>
        <rFont val="Arial"/>
        <family val="2"/>
      </rPr>
      <t xml:space="preserve"> (AUC - fixed at 50 days residence time and 0.55 observer efficiency, these data include spatially and temporally calibrated surveys for incomplete or non-peak surveys before 1998)</t>
    </r>
  </si>
  <si>
    <r>
      <rPr>
        <b/>
        <sz val="12"/>
        <rFont val="Arial"/>
        <family val="2"/>
      </rPr>
      <t>Annual Peak Count</t>
    </r>
    <r>
      <rPr>
        <sz val="10"/>
        <rFont val="Arial"/>
        <family val="2"/>
      </rPr>
      <t xml:space="preserve"> (observer efficiency of 0.55 applied, spatially and temporally calibrated for non-peak and incomplete historic surveys prior to 1998)</t>
    </r>
  </si>
  <si>
    <t>Survey 1</t>
  </si>
  <si>
    <t>Population Estimate</t>
  </si>
  <si>
    <t>Corrected Observer Estimate</t>
  </si>
  <si>
    <t>Survey 2</t>
  </si>
  <si>
    <t>Survey 3</t>
  </si>
  <si>
    <t>Survey 4</t>
  </si>
  <si>
    <t>Survey 5</t>
  </si>
  <si>
    <t>Observer Estimate</t>
  </si>
  <si>
    <t>Comments and Notes</t>
  </si>
  <si>
    <t>Survey 6</t>
  </si>
  <si>
    <t>Survey 7</t>
  </si>
  <si>
    <t>Survey 8</t>
  </si>
  <si>
    <t>Repeat X axis 0-9 4 times with 2002-2007, 2008-2013, 2014-2019, 2020-2024</t>
  </si>
  <si>
    <t>Stat. Day</t>
  </si>
  <si>
    <t xml:space="preserve">Survey Area and  spatial distribution tool Solve for unknown  survey sections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</si>
</sst>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1009]d\-mmm\-yy;@"/>
    <numFmt numFmtId="166" formatCode="[$-F800]dddd\,\ mmmm\ dd\,\ yyyy"/>
    <numFmt numFmtId="167" formatCode="[$-1009]d/mmm/yy;@"/>
    <numFmt numFmtId="168" formatCode="0.0000"/>
    <numFmt numFmtId="169" formatCode="0.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Tms Rmn"/>
    </font>
    <font>
      <b/>
      <i/>
      <sz val="10"/>
      <name val="Tms Rmn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B050"/>
      <name val="Arial"/>
      <family val="2"/>
    </font>
    <font>
      <sz val="10"/>
      <color theme="2"/>
      <name val="Arial"/>
      <family val="2"/>
    </font>
    <font>
      <sz val="10"/>
      <color rgb="FFFFFF00"/>
      <name val="Arial"/>
      <family val="2"/>
    </font>
    <font>
      <sz val="10"/>
      <color rgb="FF00206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8"/>
      <name val="Arial"/>
      <family val="2"/>
    </font>
    <font>
      <sz val="20"/>
      <name val="Arial"/>
      <family val="2"/>
    </font>
    <font>
      <sz val="18"/>
      <color theme="1"/>
      <name val="Arial"/>
      <family val="2"/>
    </font>
    <font>
      <sz val="18"/>
      <color rgb="FFFF0000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</fills>
  <borders count="7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5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6" fontId="5" fillId="3" borderId="6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9" xfId="0" applyFont="1" applyFill="1" applyBorder="1" applyAlignment="1">
      <alignment horizontal="center"/>
    </xf>
    <xf numFmtId="2" fontId="5" fillId="3" borderId="0" xfId="0" applyNumberFormat="1" applyFont="1" applyFill="1" applyAlignment="1">
      <alignment horizontal="center"/>
    </xf>
    <xf numFmtId="49" fontId="5" fillId="4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2" fontId="5" fillId="4" borderId="8" xfId="0" applyNumberFormat="1" applyFont="1" applyFill="1" applyBorder="1" applyAlignment="1">
      <alignment horizontal="center"/>
    </xf>
    <xf numFmtId="0" fontId="5" fillId="4" borderId="1" xfId="0" applyFont="1" applyFill="1" applyBorder="1"/>
    <xf numFmtId="2" fontId="5" fillId="4" borderId="0" xfId="0" applyNumberFormat="1" applyFont="1" applyFill="1" applyAlignment="1">
      <alignment horizontal="center"/>
    </xf>
    <xf numFmtId="0" fontId="5" fillId="4" borderId="9" xfId="0" applyFont="1" applyFill="1" applyBorder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5" fillId="3" borderId="15" xfId="0" applyNumberFormat="1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/>
    </xf>
    <xf numFmtId="0" fontId="5" fillId="3" borderId="17" xfId="0" applyFont="1" applyFill="1" applyBorder="1"/>
    <xf numFmtId="2" fontId="5" fillId="3" borderId="18" xfId="0" applyNumberFormat="1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center"/>
    </xf>
    <xf numFmtId="2" fontId="5" fillId="3" borderId="0" xfId="0" applyNumberFormat="1" applyFont="1" applyFill="1"/>
    <xf numFmtId="0" fontId="5" fillId="3" borderId="22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Alignment="1">
      <alignment horizontal="right"/>
    </xf>
    <xf numFmtId="16" fontId="0" fillId="0" borderId="0" xfId="0" applyNumberFormat="1"/>
    <xf numFmtId="15" fontId="0" fillId="0" borderId="0" xfId="0" applyNumberFormat="1"/>
    <xf numFmtId="2" fontId="6" fillId="5" borderId="0" xfId="0" applyNumberFormat="1" applyFont="1" applyFill="1"/>
    <xf numFmtId="2" fontId="7" fillId="5" borderId="0" xfId="0" applyNumberFormat="1" applyFont="1" applyFill="1"/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5" fontId="4" fillId="0" borderId="0" xfId="0" applyNumberFormat="1" applyFon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4" fontId="0" fillId="0" borderId="0" xfId="0" applyNumberFormat="1"/>
    <xf numFmtId="0" fontId="9" fillId="0" borderId="0" xfId="0" applyFont="1"/>
    <xf numFmtId="15" fontId="9" fillId="0" borderId="0" xfId="0" applyNumberFormat="1" applyFont="1"/>
    <xf numFmtId="1" fontId="0" fillId="0" borderId="0" xfId="0" applyNumberFormat="1"/>
    <xf numFmtId="0" fontId="0" fillId="0" borderId="1" xfId="0" applyBorder="1"/>
    <xf numFmtId="0" fontId="0" fillId="0" borderId="8" xfId="0" applyBorder="1"/>
    <xf numFmtId="0" fontId="9" fillId="0" borderId="34" xfId="0" applyFont="1" applyBorder="1"/>
    <xf numFmtId="0" fontId="0" fillId="0" borderId="35" xfId="0" applyBorder="1"/>
    <xf numFmtId="0" fontId="0" fillId="0" borderId="36" xfId="0" applyBorder="1"/>
    <xf numFmtId="0" fontId="9" fillId="0" borderId="37" xfId="0" applyFont="1" applyBorder="1"/>
    <xf numFmtId="0" fontId="0" fillId="0" borderId="38" xfId="0" applyBorder="1"/>
    <xf numFmtId="0" fontId="0" fillId="0" borderId="37" xfId="0" applyBorder="1"/>
    <xf numFmtId="164" fontId="0" fillId="0" borderId="37" xfId="0" applyNumberFormat="1" applyBorder="1"/>
    <xf numFmtId="164" fontId="0" fillId="0" borderId="38" xfId="0" applyNumberFormat="1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41" xfId="0" applyNumberFormat="1" applyBorder="1"/>
    <xf numFmtId="0" fontId="0" fillId="0" borderId="42" xfId="0" applyBorder="1"/>
    <xf numFmtId="14" fontId="0" fillId="0" borderId="38" xfId="0" applyNumberFormat="1" applyBorder="1"/>
    <xf numFmtId="1" fontId="0" fillId="0" borderId="37" xfId="0" applyNumberFormat="1" applyBorder="1"/>
    <xf numFmtId="1" fontId="0" fillId="0" borderId="38" xfId="0" applyNumberForma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7" xfId="0" applyBorder="1"/>
    <xf numFmtId="2" fontId="0" fillId="0" borderId="27" xfId="0" applyNumberFormat="1" applyBorder="1"/>
    <xf numFmtId="0" fontId="0" fillId="0" borderId="34" xfId="0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27" xfId="0" applyNumberFormat="1" applyBorder="1"/>
    <xf numFmtId="2" fontId="0" fillId="0" borderId="0" xfId="0" applyNumberFormat="1" applyAlignment="1">
      <alignment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0" fontId="9" fillId="6" borderId="0" xfId="0" applyFont="1" applyFill="1"/>
    <xf numFmtId="0" fontId="0" fillId="6" borderId="0" xfId="0" applyFill="1"/>
    <xf numFmtId="2" fontId="9" fillId="6" borderId="0" xfId="0" applyNumberFormat="1" applyFont="1" applyFill="1" applyAlignment="1">
      <alignment wrapText="1"/>
    </xf>
    <xf numFmtId="2" fontId="0" fillId="6" borderId="0" xfId="0" applyNumberFormat="1" applyFill="1" applyAlignment="1">
      <alignment wrapText="1"/>
    </xf>
    <xf numFmtId="0" fontId="11" fillId="6" borderId="0" xfId="0" applyFont="1" applyFill="1"/>
    <xf numFmtId="0" fontId="11" fillId="0" borderId="0" xfId="0" applyFont="1"/>
    <xf numFmtId="0" fontId="0" fillId="7" borderId="0" xfId="0" applyFill="1"/>
    <xf numFmtId="2" fontId="0" fillId="7" borderId="0" xfId="0" applyNumberFormat="1" applyFill="1" applyAlignment="1">
      <alignment wrapText="1"/>
    </xf>
    <xf numFmtId="2" fontId="9" fillId="7" borderId="0" xfId="0" applyNumberFormat="1" applyFont="1" applyFill="1" applyAlignment="1">
      <alignment wrapText="1"/>
    </xf>
    <xf numFmtId="0" fontId="11" fillId="7" borderId="0" xfId="0" applyFont="1" applyFill="1"/>
    <xf numFmtId="0" fontId="10" fillId="6" borderId="0" xfId="0" applyFont="1" applyFill="1"/>
    <xf numFmtId="169" fontId="0" fillId="6" borderId="0" xfId="0" applyNumberFormat="1" applyFill="1"/>
    <xf numFmtId="0" fontId="9" fillId="0" borderId="43" xfId="0" applyFont="1" applyBorder="1"/>
    <xf numFmtId="2" fontId="9" fillId="0" borderId="0" xfId="0" applyNumberFormat="1" applyFont="1" applyAlignment="1">
      <alignment wrapText="1"/>
    </xf>
    <xf numFmtId="0" fontId="10" fillId="0" borderId="0" xfId="0" applyFont="1"/>
    <xf numFmtId="1" fontId="0" fillId="0" borderId="0" xfId="0" applyNumberFormat="1" applyAlignment="1">
      <alignment wrapText="1"/>
    </xf>
    <xf numFmtId="167" fontId="9" fillId="0" borderId="0" xfId="0" applyNumberFormat="1" applyFont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37" xfId="0" applyNumberFormat="1" applyBorder="1" applyAlignment="1">
      <alignment wrapText="1"/>
    </xf>
    <xf numFmtId="2" fontId="0" fillId="0" borderId="38" xfId="0" applyNumberFormat="1" applyBorder="1" applyAlignment="1">
      <alignment wrapText="1"/>
    </xf>
    <xf numFmtId="0" fontId="0" fillId="0" borderId="44" xfId="0" applyBorder="1"/>
    <xf numFmtId="0" fontId="0" fillId="0" borderId="21" xfId="0" applyBorder="1"/>
    <xf numFmtId="167" fontId="0" fillId="0" borderId="21" xfId="0" applyNumberFormat="1" applyBorder="1"/>
    <xf numFmtId="0" fontId="9" fillId="0" borderId="44" xfId="0" applyFont="1" applyBorder="1"/>
    <xf numFmtId="0" fontId="9" fillId="0" borderId="21" xfId="0" applyFont="1" applyBorder="1"/>
    <xf numFmtId="0" fontId="0" fillId="0" borderId="45" xfId="0" applyBorder="1"/>
    <xf numFmtId="0" fontId="10" fillId="7" borderId="44" xfId="0" applyFont="1" applyFill="1" applyBorder="1"/>
    <xf numFmtId="0" fontId="10" fillId="7" borderId="21" xfId="0" applyFont="1" applyFill="1" applyBorder="1"/>
    <xf numFmtId="0" fontId="0" fillId="7" borderId="45" xfId="0" applyFill="1" applyBorder="1"/>
    <xf numFmtId="0" fontId="9" fillId="6" borderId="44" xfId="0" applyFont="1" applyFill="1" applyBorder="1"/>
    <xf numFmtId="0" fontId="0" fillId="6" borderId="21" xfId="0" applyFill="1" applyBorder="1"/>
    <xf numFmtId="0" fontId="9" fillId="6" borderId="21" xfId="0" applyFont="1" applyFill="1" applyBorder="1"/>
    <xf numFmtId="0" fontId="0" fillId="6" borderId="45" xfId="0" applyFill="1" applyBorder="1"/>
    <xf numFmtId="2" fontId="0" fillId="0" borderId="16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67" fontId="0" fillId="0" borderId="17" xfId="0" applyNumberFormat="1" applyBorder="1" applyAlignment="1">
      <alignment wrapText="1"/>
    </xf>
    <xf numFmtId="2" fontId="9" fillId="0" borderId="16" xfId="0" applyNumberFormat="1" applyFont="1" applyBorder="1" applyAlignment="1">
      <alignment wrapText="1"/>
    </xf>
    <xf numFmtId="2" fontId="9" fillId="0" borderId="17" xfId="0" applyNumberFormat="1" applyFont="1" applyBorder="1" applyAlignment="1">
      <alignment wrapText="1"/>
    </xf>
    <xf numFmtId="2" fontId="9" fillId="0" borderId="46" xfId="0" applyNumberFormat="1" applyFont="1" applyBorder="1" applyAlignment="1">
      <alignment wrapText="1"/>
    </xf>
    <xf numFmtId="2" fontId="0" fillId="0" borderId="46" xfId="0" applyNumberFormat="1" applyBorder="1" applyAlignment="1">
      <alignment wrapText="1"/>
    </xf>
    <xf numFmtId="2" fontId="0" fillId="7" borderId="16" xfId="0" applyNumberFormat="1" applyFill="1" applyBorder="1" applyAlignment="1">
      <alignment wrapText="1"/>
    </xf>
    <xf numFmtId="2" fontId="9" fillId="7" borderId="17" xfId="0" applyNumberFormat="1" applyFont="1" applyFill="1" applyBorder="1" applyAlignment="1">
      <alignment wrapText="1"/>
    </xf>
    <xf numFmtId="2" fontId="0" fillId="7" borderId="46" xfId="0" applyNumberFormat="1" applyFill="1" applyBorder="1" applyAlignment="1">
      <alignment wrapText="1"/>
    </xf>
    <xf numFmtId="2" fontId="9" fillId="6" borderId="16" xfId="0" applyNumberFormat="1" applyFont="1" applyFill="1" applyBorder="1" applyAlignment="1">
      <alignment wrapText="1"/>
    </xf>
    <xf numFmtId="2" fontId="0" fillId="6" borderId="17" xfId="0" applyNumberFormat="1" applyFill="1" applyBorder="1" applyAlignment="1">
      <alignment wrapText="1"/>
    </xf>
    <xf numFmtId="2" fontId="9" fillId="6" borderId="17" xfId="0" applyNumberFormat="1" applyFont="1" applyFill="1" applyBorder="1" applyAlignment="1">
      <alignment wrapText="1"/>
    </xf>
    <xf numFmtId="2" fontId="9" fillId="6" borderId="46" xfId="0" applyNumberFormat="1" applyFont="1" applyFill="1" applyBorder="1" applyAlignment="1">
      <alignment wrapText="1"/>
    </xf>
    <xf numFmtId="164" fontId="0" fillId="0" borderId="21" xfId="0" applyNumberFormat="1" applyBorder="1"/>
    <xf numFmtId="164" fontId="0" fillId="0" borderId="17" xfId="0" applyNumberFormat="1" applyBorder="1" applyAlignment="1">
      <alignment wrapText="1"/>
    </xf>
    <xf numFmtId="2" fontId="9" fillId="0" borderId="37" xfId="0" applyNumberFormat="1" applyFont="1" applyBorder="1" applyAlignment="1">
      <alignment wrapText="1"/>
    </xf>
    <xf numFmtId="2" fontId="10" fillId="0" borderId="0" xfId="0" applyNumberFormat="1" applyFont="1" applyAlignment="1">
      <alignment wrapText="1"/>
    </xf>
    <xf numFmtId="1" fontId="9" fillId="0" borderId="0" xfId="0" applyNumberFormat="1" applyFont="1" applyAlignment="1">
      <alignment wrapText="1"/>
    </xf>
    <xf numFmtId="164" fontId="9" fillId="0" borderId="21" xfId="0" applyNumberFormat="1" applyFont="1" applyBorder="1"/>
    <xf numFmtId="0" fontId="0" fillId="0" borderId="33" xfId="0" applyBorder="1"/>
    <xf numFmtId="2" fontId="9" fillId="0" borderId="19" xfId="0" applyNumberFormat="1" applyFont="1" applyBorder="1" applyAlignment="1">
      <alignment wrapText="1"/>
    </xf>
    <xf numFmtId="2" fontId="0" fillId="0" borderId="22" xfId="0" applyNumberFormat="1" applyBorder="1" applyAlignment="1">
      <alignment wrapText="1"/>
    </xf>
    <xf numFmtId="1" fontId="0" fillId="0" borderId="22" xfId="0" applyNumberFormat="1" applyBorder="1"/>
    <xf numFmtId="0" fontId="0" fillId="0" borderId="22" xfId="0" applyBorder="1"/>
    <xf numFmtId="1" fontId="0" fillId="8" borderId="0" xfId="0" applyNumberFormat="1" applyFill="1" applyAlignment="1">
      <alignment wrapText="1"/>
    </xf>
    <xf numFmtId="0" fontId="0" fillId="8" borderId="0" xfId="0" applyFill="1"/>
    <xf numFmtId="167" fontId="0" fillId="8" borderId="0" xfId="0" applyNumberFormat="1" applyFill="1" applyAlignment="1">
      <alignment wrapText="1"/>
    </xf>
    <xf numFmtId="2" fontId="0" fillId="8" borderId="0" xfId="0" applyNumberFormat="1" applyFill="1" applyAlignment="1">
      <alignment wrapText="1"/>
    </xf>
    <xf numFmtId="2" fontId="0" fillId="8" borderId="37" xfId="0" applyNumberFormat="1" applyFill="1" applyBorder="1" applyAlignment="1">
      <alignment wrapText="1"/>
    </xf>
    <xf numFmtId="2" fontId="0" fillId="8" borderId="38" xfId="0" applyNumberFormat="1" applyFill="1" applyBorder="1" applyAlignment="1">
      <alignment wrapText="1"/>
    </xf>
    <xf numFmtId="2" fontId="0" fillId="8" borderId="22" xfId="0" applyNumberFormat="1" applyFill="1" applyBorder="1" applyAlignment="1">
      <alignment wrapText="1"/>
    </xf>
    <xf numFmtId="164" fontId="0" fillId="8" borderId="0" xfId="0" applyNumberFormat="1" applyFill="1" applyAlignment="1">
      <alignment wrapText="1"/>
    </xf>
    <xf numFmtId="2" fontId="0" fillId="8" borderId="1" xfId="0" applyNumberFormat="1" applyFill="1" applyBorder="1" applyAlignment="1">
      <alignment wrapText="1"/>
    </xf>
    <xf numFmtId="2" fontId="0" fillId="8" borderId="8" xfId="0" applyNumberFormat="1" applyFill="1" applyBorder="1" applyAlignment="1">
      <alignment wrapText="1"/>
    </xf>
    <xf numFmtId="2" fontId="9" fillId="8" borderId="0" xfId="0" applyNumberFormat="1" applyFont="1" applyFill="1" applyAlignment="1">
      <alignment wrapText="1"/>
    </xf>
    <xf numFmtId="167" fontId="9" fillId="8" borderId="0" xfId="0" applyNumberFormat="1" applyFont="1" applyFill="1" applyAlignment="1">
      <alignment wrapText="1"/>
    </xf>
    <xf numFmtId="164" fontId="0" fillId="8" borderId="0" xfId="0" applyNumberFormat="1" applyFill="1"/>
    <xf numFmtId="2" fontId="10" fillId="8" borderId="0" xfId="0" applyNumberFormat="1" applyFont="1" applyFill="1" applyAlignment="1">
      <alignment wrapText="1"/>
    </xf>
    <xf numFmtId="2" fontId="9" fillId="8" borderId="0" xfId="0" applyNumberFormat="1" applyFont="1" applyFill="1"/>
    <xf numFmtId="0" fontId="10" fillId="8" borderId="0" xfId="0" applyFont="1" applyFill="1"/>
    <xf numFmtId="1" fontId="9" fillId="8" borderId="0" xfId="0" applyNumberFormat="1" applyFont="1" applyFill="1" applyAlignment="1">
      <alignment wrapText="1"/>
    </xf>
    <xf numFmtId="1" fontId="0" fillId="8" borderId="37" xfId="0" applyNumberFormat="1" applyFill="1" applyBorder="1" applyAlignment="1">
      <alignment wrapText="1"/>
    </xf>
    <xf numFmtId="1" fontId="0" fillId="8" borderId="38" xfId="0" applyNumberFormat="1" applyFill="1" applyBorder="1" applyAlignment="1">
      <alignment wrapText="1"/>
    </xf>
    <xf numFmtId="1" fontId="0" fillId="8" borderId="22" xfId="0" applyNumberFormat="1" applyFill="1" applyBorder="1" applyAlignment="1">
      <alignment wrapText="1"/>
    </xf>
    <xf numFmtId="167" fontId="0" fillId="8" borderId="0" xfId="0" applyNumberFormat="1" applyFill="1"/>
    <xf numFmtId="1" fontId="0" fillId="8" borderId="0" xfId="0" applyNumberFormat="1" applyFill="1"/>
    <xf numFmtId="0" fontId="0" fillId="8" borderId="37" xfId="0" applyFill="1" applyBorder="1"/>
    <xf numFmtId="0" fontId="0" fillId="8" borderId="38" xfId="0" applyFill="1" applyBorder="1"/>
    <xf numFmtId="0" fontId="0" fillId="8" borderId="22" xfId="0" applyFill="1" applyBorder="1"/>
    <xf numFmtId="0" fontId="0" fillId="8" borderId="1" xfId="0" applyFill="1" applyBorder="1"/>
    <xf numFmtId="0" fontId="0" fillId="8" borderId="8" xfId="0" applyFill="1" applyBorder="1"/>
    <xf numFmtId="16" fontId="0" fillId="8" borderId="0" xfId="0" applyNumberFormat="1" applyFill="1"/>
    <xf numFmtId="0" fontId="9" fillId="8" borderId="0" xfId="0" applyFont="1" applyFill="1"/>
    <xf numFmtId="168" fontId="0" fillId="8" borderId="0" xfId="0" applyNumberFormat="1" applyFill="1"/>
    <xf numFmtId="0" fontId="3" fillId="8" borderId="0" xfId="0" applyFont="1" applyFill="1"/>
    <xf numFmtId="0" fontId="9" fillId="8" borderId="34" xfId="0" applyFont="1" applyFill="1" applyBorder="1"/>
    <xf numFmtId="0" fontId="0" fillId="8" borderId="35" xfId="0" applyFill="1" applyBorder="1"/>
    <xf numFmtId="0" fontId="0" fillId="8" borderId="36" xfId="0" applyFill="1" applyBorder="1"/>
    <xf numFmtId="0" fontId="9" fillId="8" borderId="42" xfId="0" applyFont="1" applyFill="1" applyBorder="1"/>
    <xf numFmtId="2" fontId="0" fillId="8" borderId="0" xfId="0" applyNumberFormat="1" applyFill="1"/>
    <xf numFmtId="0" fontId="12" fillId="0" borderId="0" xfId="0" applyFont="1"/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9" fontId="0" fillId="0" borderId="65" xfId="0" applyNumberFormat="1" applyBorder="1" applyAlignment="1">
      <alignment horizontal="center" vertical="center"/>
    </xf>
    <xf numFmtId="9" fontId="0" fillId="0" borderId="66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9" fontId="16" fillId="0" borderId="0" xfId="0" applyNumberFormat="1" applyFont="1"/>
    <xf numFmtId="169" fontId="10" fillId="0" borderId="0" xfId="0" applyNumberFormat="1" applyFont="1"/>
    <xf numFmtId="169" fontId="9" fillId="0" borderId="0" xfId="0" applyNumberFormat="1" applyFont="1"/>
    <xf numFmtId="164" fontId="17" fillId="0" borderId="0" xfId="0" applyNumberFormat="1" applyFont="1"/>
    <xf numFmtId="0" fontId="0" fillId="9" borderId="21" xfId="0" applyFill="1" applyBorder="1"/>
    <xf numFmtId="2" fontId="0" fillId="9" borderId="0" xfId="0" applyNumberFormat="1" applyFill="1" applyAlignment="1">
      <alignment wrapText="1"/>
    </xf>
    <xf numFmtId="1" fontId="0" fillId="9" borderId="0" xfId="0" applyNumberFormat="1" applyFill="1" applyAlignment="1">
      <alignment wrapText="1"/>
    </xf>
    <xf numFmtId="1" fontId="0" fillId="9" borderId="0" xfId="0" applyNumberFormat="1" applyFill="1"/>
    <xf numFmtId="0" fontId="0" fillId="9" borderId="0" xfId="0" applyFill="1"/>
    <xf numFmtId="1" fontId="0" fillId="0" borderId="21" xfId="0" applyNumberFormat="1" applyBorder="1"/>
    <xf numFmtId="1" fontId="9" fillId="0" borderId="17" xfId="0" applyNumberFormat="1" applyFont="1" applyBorder="1" applyAlignment="1">
      <alignment wrapText="1"/>
    </xf>
    <xf numFmtId="1" fontId="10" fillId="0" borderId="0" xfId="0" applyNumberFormat="1" applyFont="1" applyAlignment="1">
      <alignment wrapText="1"/>
    </xf>
    <xf numFmtId="167" fontId="10" fillId="0" borderId="0" xfId="0" applyNumberFormat="1" applyFont="1" applyAlignment="1">
      <alignment wrapText="1"/>
    </xf>
    <xf numFmtId="2" fontId="10" fillId="0" borderId="37" xfId="0" applyNumberFormat="1" applyFont="1" applyBorder="1" applyAlignment="1">
      <alignment wrapText="1"/>
    </xf>
    <xf numFmtId="2" fontId="10" fillId="0" borderId="38" xfId="0" applyNumberFormat="1" applyFont="1" applyBorder="1" applyAlignment="1">
      <alignment wrapText="1"/>
    </xf>
    <xf numFmtId="2" fontId="10" fillId="0" borderId="22" xfId="0" applyNumberFormat="1" applyFont="1" applyBorder="1" applyAlignment="1">
      <alignment wrapText="1"/>
    </xf>
    <xf numFmtId="164" fontId="10" fillId="0" borderId="0" xfId="0" applyNumberFormat="1" applyFont="1" applyAlignment="1">
      <alignment wrapText="1"/>
    </xf>
    <xf numFmtId="164" fontId="10" fillId="0" borderId="0" xfId="0" applyNumberFormat="1" applyFont="1"/>
    <xf numFmtId="2" fontId="10" fillId="0" borderId="1" xfId="0" applyNumberFormat="1" applyFont="1" applyBorder="1" applyAlignment="1">
      <alignment wrapText="1"/>
    </xf>
    <xf numFmtId="1" fontId="10" fillId="9" borderId="0" xfId="0" applyNumberFormat="1" applyFont="1" applyFill="1" applyAlignment="1">
      <alignment wrapText="1"/>
    </xf>
    <xf numFmtId="2" fontId="10" fillId="0" borderId="8" xfId="0" applyNumberFormat="1" applyFont="1" applyBorder="1" applyAlignment="1">
      <alignment wrapText="1"/>
    </xf>
    <xf numFmtId="2" fontId="10" fillId="7" borderId="0" xfId="0" applyNumberFormat="1" applyFont="1" applyFill="1" applyAlignment="1">
      <alignment wrapText="1"/>
    </xf>
    <xf numFmtId="2" fontId="10" fillId="6" borderId="0" xfId="0" applyNumberFormat="1" applyFont="1" applyFill="1" applyAlignment="1">
      <alignment wrapText="1"/>
    </xf>
    <xf numFmtId="1" fontId="10" fillId="8" borderId="0" xfId="0" applyNumberFormat="1" applyFont="1" applyFill="1" applyAlignment="1">
      <alignment wrapText="1"/>
    </xf>
    <xf numFmtId="167" fontId="10" fillId="8" borderId="0" xfId="0" applyNumberFormat="1" applyFont="1" applyFill="1" applyAlignment="1">
      <alignment wrapText="1"/>
    </xf>
    <xf numFmtId="2" fontId="10" fillId="8" borderId="37" xfId="0" applyNumberFormat="1" applyFont="1" applyFill="1" applyBorder="1" applyAlignment="1">
      <alignment wrapText="1"/>
    </xf>
    <xf numFmtId="2" fontId="10" fillId="8" borderId="38" xfId="0" applyNumberFormat="1" applyFont="1" applyFill="1" applyBorder="1" applyAlignment="1">
      <alignment wrapText="1"/>
    </xf>
    <xf numFmtId="2" fontId="10" fillId="8" borderId="22" xfId="0" applyNumberFormat="1" applyFont="1" applyFill="1" applyBorder="1" applyAlignment="1">
      <alignment wrapText="1"/>
    </xf>
    <xf numFmtId="164" fontId="10" fillId="8" borderId="0" xfId="0" applyNumberFormat="1" applyFont="1" applyFill="1" applyAlignment="1">
      <alignment wrapText="1"/>
    </xf>
    <xf numFmtId="164" fontId="10" fillId="8" borderId="0" xfId="0" applyNumberFormat="1" applyFont="1" applyFill="1"/>
    <xf numFmtId="2" fontId="10" fillId="8" borderId="1" xfId="0" applyNumberFormat="1" applyFont="1" applyFill="1" applyBorder="1" applyAlignment="1">
      <alignment wrapText="1"/>
    </xf>
    <xf numFmtId="2" fontId="10" fillId="8" borderId="8" xfId="0" applyNumberFormat="1" applyFont="1" applyFill="1" applyBorder="1" applyAlignment="1">
      <alignment wrapText="1"/>
    </xf>
    <xf numFmtId="164" fontId="0" fillId="6" borderId="0" xfId="0" applyNumberFormat="1" applyFill="1" applyAlignment="1">
      <alignment wrapText="1"/>
    </xf>
    <xf numFmtId="164" fontId="0" fillId="10" borderId="0" xfId="0" applyNumberFormat="1" applyFill="1" applyAlignment="1">
      <alignment wrapText="1"/>
    </xf>
    <xf numFmtId="2" fontId="0" fillId="0" borderId="21" xfId="0" applyNumberFormat="1" applyBorder="1"/>
    <xf numFmtId="2" fontId="10" fillId="0" borderId="0" xfId="0" applyNumberFormat="1" applyFont="1"/>
    <xf numFmtId="2" fontId="10" fillId="8" borderId="0" xfId="0" applyNumberFormat="1" applyFont="1" applyFill="1"/>
    <xf numFmtId="164" fontId="0" fillId="0" borderId="1" xfId="0" applyNumberFormat="1" applyBorder="1"/>
    <xf numFmtId="164" fontId="0" fillId="8" borderId="1" xfId="0" applyNumberFormat="1" applyFill="1" applyBorder="1"/>
    <xf numFmtId="1" fontId="0" fillId="0" borderId="17" xfId="0" applyNumberFormat="1" applyBorder="1" applyAlignment="1">
      <alignment wrapText="1"/>
    </xf>
    <xf numFmtId="1" fontId="0" fillId="9" borderId="21" xfId="0" applyNumberFormat="1" applyFill="1" applyBorder="1"/>
    <xf numFmtId="0" fontId="9" fillId="9" borderId="21" xfId="0" applyFont="1" applyFill="1" applyBorder="1"/>
    <xf numFmtId="0" fontId="0" fillId="11" borderId="21" xfId="0" applyFill="1" applyBorder="1"/>
    <xf numFmtId="2" fontId="9" fillId="11" borderId="17" xfId="0" applyNumberFormat="1" applyFont="1" applyFill="1" applyBorder="1" applyAlignment="1">
      <alignment wrapText="1"/>
    </xf>
    <xf numFmtId="2" fontId="0" fillId="11" borderId="0" xfId="0" applyNumberFormat="1" applyFill="1" applyAlignment="1">
      <alignment wrapText="1"/>
    </xf>
    <xf numFmtId="0" fontId="0" fillId="11" borderId="0" xfId="0" applyFill="1"/>
    <xf numFmtId="2" fontId="9" fillId="9" borderId="17" xfId="0" applyNumberFormat="1" applyFont="1" applyFill="1" applyBorder="1" applyAlignment="1">
      <alignment wrapText="1"/>
    </xf>
    <xf numFmtId="2" fontId="0" fillId="12" borderId="17" xfId="0" applyNumberFormat="1" applyFill="1" applyBorder="1" applyAlignment="1">
      <alignment wrapText="1"/>
    </xf>
    <xf numFmtId="2" fontId="18" fillId="11" borderId="0" xfId="0" applyNumberFormat="1" applyFont="1" applyFill="1" applyAlignment="1">
      <alignment wrapText="1"/>
    </xf>
    <xf numFmtId="2" fontId="10" fillId="11" borderId="0" xfId="0" applyNumberFormat="1" applyFont="1" applyFill="1" applyAlignment="1">
      <alignment wrapText="1"/>
    </xf>
    <xf numFmtId="167" fontId="0" fillId="6" borderId="0" xfId="0" applyNumberFormat="1" applyFill="1"/>
    <xf numFmtId="1" fontId="0" fillId="6" borderId="0" xfId="0" applyNumberFormat="1" applyFill="1"/>
    <xf numFmtId="0" fontId="0" fillId="6" borderId="37" xfId="0" applyFill="1" applyBorder="1"/>
    <xf numFmtId="0" fontId="0" fillId="6" borderId="38" xfId="0" applyFill="1" applyBorder="1"/>
    <xf numFmtId="0" fontId="0" fillId="6" borderId="22" xfId="0" applyFill="1" applyBorder="1"/>
    <xf numFmtId="164" fontId="0" fillId="6" borderId="0" xfId="0" applyNumberFormat="1" applyFill="1"/>
    <xf numFmtId="2" fontId="0" fillId="6" borderId="0" xfId="0" applyNumberFormat="1" applyFill="1"/>
    <xf numFmtId="0" fontId="0" fillId="6" borderId="1" xfId="0" applyFill="1" applyBorder="1"/>
    <xf numFmtId="0" fontId="0" fillId="6" borderId="8" xfId="0" applyFill="1" applyBorder="1"/>
    <xf numFmtId="0" fontId="0" fillId="13" borderId="21" xfId="0" applyFill="1" applyBorder="1"/>
    <xf numFmtId="2" fontId="9" fillId="13" borderId="17" xfId="0" applyNumberFormat="1" applyFont="1" applyFill="1" applyBorder="1" applyAlignment="1">
      <alignment wrapText="1"/>
    </xf>
    <xf numFmtId="2" fontId="0" fillId="13" borderId="0" xfId="0" applyNumberFormat="1" applyFill="1" applyAlignment="1">
      <alignment wrapText="1"/>
    </xf>
    <xf numFmtId="0" fontId="0" fillId="13" borderId="0" xfId="0" applyFill="1"/>
    <xf numFmtId="1" fontId="0" fillId="6" borderId="0" xfId="0" applyNumberFormat="1" applyFill="1" applyAlignment="1">
      <alignment wrapText="1"/>
    </xf>
    <xf numFmtId="164" fontId="0" fillId="6" borderId="1" xfId="0" applyNumberFormat="1" applyFill="1" applyBorder="1"/>
    <xf numFmtId="0" fontId="0" fillId="12" borderId="0" xfId="0" applyFill="1"/>
    <xf numFmtId="2" fontId="0" fillId="12" borderId="0" xfId="0" applyNumberFormat="1" applyFill="1" applyAlignment="1">
      <alignment wrapText="1"/>
    </xf>
    <xf numFmtId="2" fontId="18" fillId="12" borderId="0" xfId="0" applyNumberFormat="1" applyFont="1" applyFill="1" applyAlignment="1">
      <alignment wrapText="1"/>
    </xf>
    <xf numFmtId="2" fontId="18" fillId="0" borderId="0" xfId="0" applyNumberFormat="1" applyFont="1" applyAlignment="1">
      <alignment wrapText="1"/>
    </xf>
    <xf numFmtId="0" fontId="19" fillId="0" borderId="0" xfId="0" applyFont="1"/>
    <xf numFmtId="167" fontId="19" fillId="0" borderId="0" xfId="0" applyNumberFormat="1" applyFont="1"/>
    <xf numFmtId="1" fontId="19" fillId="0" borderId="0" xfId="0" applyNumberFormat="1" applyFont="1"/>
    <xf numFmtId="2" fontId="0" fillId="6" borderId="22" xfId="0" applyNumberFormat="1" applyFill="1" applyBorder="1" applyAlignment="1">
      <alignment wrapText="1"/>
    </xf>
    <xf numFmtId="2" fontId="18" fillId="6" borderId="0" xfId="0" applyNumberFormat="1" applyFont="1" applyFill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2" fontId="20" fillId="0" borderId="0" xfId="0" applyNumberFormat="1" applyFont="1" applyAlignment="1">
      <alignment wrapText="1"/>
    </xf>
    <xf numFmtId="2" fontId="20" fillId="0" borderId="0" xfId="0" applyNumberFormat="1" applyFont="1"/>
    <xf numFmtId="0" fontId="20" fillId="0" borderId="0" xfId="0" applyFont="1"/>
    <xf numFmtId="0" fontId="21" fillId="0" borderId="0" xfId="0" applyFont="1"/>
    <xf numFmtId="1" fontId="21" fillId="0" borderId="0" xfId="0" applyNumberFormat="1" applyFont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top"/>
    </xf>
    <xf numFmtId="0" fontId="23" fillId="0" borderId="0" xfId="0" applyFont="1"/>
    <xf numFmtId="0" fontId="24" fillId="0" borderId="0" xfId="0" applyFont="1"/>
    <xf numFmtId="167" fontId="27" fillId="0" borderId="0" xfId="0" applyNumberFormat="1" applyFont="1"/>
    <xf numFmtId="167" fontId="29" fillId="0" borderId="0" xfId="0" applyNumberFormat="1" applyFont="1" applyAlignment="1">
      <alignment wrapText="1"/>
    </xf>
    <xf numFmtId="0" fontId="31" fillId="16" borderId="68" xfId="0" applyFont="1" applyFill="1" applyBorder="1" applyAlignment="1">
      <alignment horizontal="center" vertical="center"/>
    </xf>
    <xf numFmtId="0" fontId="32" fillId="15" borderId="69" xfId="0" applyFont="1" applyFill="1" applyBorder="1" applyAlignment="1">
      <alignment horizontal="center" vertical="center"/>
    </xf>
    <xf numFmtId="0" fontId="32" fillId="15" borderId="40" xfId="0" applyFont="1" applyFill="1" applyBorder="1" applyAlignment="1">
      <alignment horizontal="center" vertical="center"/>
    </xf>
    <xf numFmtId="0" fontId="0" fillId="14" borderId="35" xfId="0" applyFill="1" applyBorder="1"/>
    <xf numFmtId="0" fontId="0" fillId="14" borderId="36" xfId="0" applyFill="1" applyBorder="1"/>
    <xf numFmtId="0" fontId="22" fillId="14" borderId="34" xfId="0" applyFont="1" applyFill="1" applyBorder="1"/>
    <xf numFmtId="0" fontId="22" fillId="14" borderId="35" xfId="0" applyFont="1" applyFill="1" applyBorder="1"/>
    <xf numFmtId="0" fontId="22" fillId="14" borderId="36" xfId="0" applyFont="1" applyFill="1" applyBorder="1"/>
    <xf numFmtId="0" fontId="22" fillId="0" borderId="0" xfId="0" applyFont="1"/>
    <xf numFmtId="0" fontId="4" fillId="15" borderId="42" xfId="0" applyFont="1" applyFill="1" applyBorder="1"/>
    <xf numFmtId="0" fontId="4" fillId="15" borderId="43" xfId="0" applyFont="1" applyFill="1" applyBorder="1"/>
    <xf numFmtId="0" fontId="22" fillId="6" borderId="0" xfId="0" applyFont="1" applyFill="1"/>
    <xf numFmtId="0" fontId="23" fillId="0" borderId="38" xfId="0" applyFont="1" applyBorder="1"/>
    <xf numFmtId="0" fontId="22" fillId="0" borderId="70" xfId="0" applyFont="1" applyBorder="1"/>
    <xf numFmtId="0" fontId="23" fillId="0" borderId="36" xfId="0" applyFont="1" applyBorder="1"/>
    <xf numFmtId="0" fontId="23" fillId="0" borderId="41" xfId="0" applyFont="1" applyBorder="1"/>
    <xf numFmtId="0" fontId="23" fillId="0" borderId="42" xfId="0" applyFont="1" applyBorder="1"/>
    <xf numFmtId="0" fontId="23" fillId="0" borderId="58" xfId="0" applyFont="1" applyBorder="1"/>
    <xf numFmtId="0" fontId="23" fillId="0" borderId="43" xfId="0" applyFont="1" applyBorder="1"/>
    <xf numFmtId="2" fontId="28" fillId="0" borderId="0" xfId="0" applyNumberFormat="1" applyFont="1"/>
    <xf numFmtId="2" fontId="28" fillId="0" borderId="0" xfId="0" applyNumberFormat="1" applyFont="1" applyAlignment="1">
      <alignment wrapText="1"/>
    </xf>
    <xf numFmtId="0" fontId="33" fillId="0" borderId="0" xfId="0" applyFont="1"/>
    <xf numFmtId="0" fontId="28" fillId="0" borderId="0" xfId="0" applyFont="1"/>
    <xf numFmtId="0" fontId="34" fillId="0" borderId="0" xfId="0" applyFont="1"/>
    <xf numFmtId="0" fontId="34" fillId="14" borderId="40" xfId="0" applyFont="1" applyFill="1" applyBorder="1" applyAlignment="1">
      <alignment horizontal="center" vertical="center"/>
    </xf>
    <xf numFmtId="0" fontId="34" fillId="14" borderId="68" xfId="0" applyFont="1" applyFill="1" applyBorder="1" applyAlignment="1">
      <alignment horizontal="center" vertical="center"/>
    </xf>
    <xf numFmtId="1" fontId="27" fillId="0" borderId="0" xfId="0" applyNumberFormat="1" applyFont="1"/>
    <xf numFmtId="1" fontId="27" fillId="0" borderId="0" xfId="0" applyNumberFormat="1" applyFont="1" applyAlignment="1">
      <alignment wrapText="1"/>
    </xf>
    <xf numFmtId="0" fontId="27" fillId="0" borderId="0" xfId="0" applyFont="1"/>
    <xf numFmtId="0" fontId="33" fillId="14" borderId="40" xfId="0" applyFont="1" applyFill="1" applyBorder="1" applyAlignment="1">
      <alignment horizontal="center" vertical="center"/>
    </xf>
    <xf numFmtId="0" fontId="33" fillId="14" borderId="68" xfId="0" applyFont="1" applyFill="1" applyBorder="1" applyAlignment="1">
      <alignment horizontal="center" vertical="center"/>
    </xf>
    <xf numFmtId="2" fontId="33" fillId="14" borderId="40" xfId="0" applyNumberFormat="1" applyFont="1" applyFill="1" applyBorder="1" applyAlignment="1">
      <alignment horizontal="center" vertical="center" wrapText="1"/>
    </xf>
    <xf numFmtId="2" fontId="33" fillId="14" borderId="68" xfId="0" applyNumberFormat="1" applyFont="1" applyFill="1" applyBorder="1" applyAlignment="1">
      <alignment horizontal="center" vertical="center" wrapText="1"/>
    </xf>
    <xf numFmtId="1" fontId="28" fillId="0" borderId="0" xfId="0" applyNumberFormat="1" applyFont="1"/>
    <xf numFmtId="1" fontId="28" fillId="0" borderId="0" xfId="0" applyNumberFormat="1" applyFont="1" applyAlignment="1">
      <alignment wrapText="1"/>
    </xf>
    <xf numFmtId="0" fontId="34" fillId="14" borderId="39" xfId="0" applyFont="1" applyFill="1" applyBorder="1" applyAlignment="1">
      <alignment horizontal="center" vertical="center"/>
    </xf>
    <xf numFmtId="0" fontId="34" fillId="14" borderId="40" xfId="0" applyFont="1" applyFill="1" applyBorder="1" applyAlignment="1">
      <alignment vertical="center"/>
    </xf>
    <xf numFmtId="0" fontId="35" fillId="14" borderId="0" xfId="0" applyFont="1" applyFill="1" applyAlignment="1">
      <alignment vertical="center"/>
    </xf>
    <xf numFmtId="0" fontId="35" fillId="14" borderId="40" xfId="0" applyFont="1" applyFill="1" applyBorder="1" applyAlignment="1">
      <alignment horizontal="center" vertical="center"/>
    </xf>
    <xf numFmtId="0" fontId="34" fillId="14" borderId="70" xfId="0" applyFont="1" applyFill="1" applyBorder="1" applyAlignment="1">
      <alignment horizontal="center" vertical="center"/>
    </xf>
    <xf numFmtId="0" fontId="35" fillId="14" borderId="68" xfId="0" applyFont="1" applyFill="1" applyBorder="1" applyAlignment="1">
      <alignment horizontal="center" vertical="center"/>
    </xf>
    <xf numFmtId="0" fontId="34" fillId="16" borderId="70" xfId="0" applyFont="1" applyFill="1" applyBorder="1" applyAlignment="1">
      <alignment horizontal="center" vertical="center"/>
    </xf>
    <xf numFmtId="0" fontId="34" fillId="16" borderId="68" xfId="0" applyFont="1" applyFill="1" applyBorder="1" applyAlignment="1">
      <alignment horizontal="center" vertical="center"/>
    </xf>
    <xf numFmtId="0" fontId="35" fillId="16" borderId="68" xfId="0" applyFont="1" applyFill="1" applyBorder="1" applyAlignment="1">
      <alignment horizontal="center" vertical="center"/>
    </xf>
    <xf numFmtId="2" fontId="34" fillId="15" borderId="39" xfId="0" applyNumberFormat="1" applyFont="1" applyFill="1" applyBorder="1" applyAlignment="1">
      <alignment horizontal="center" vertical="center" wrapText="1"/>
    </xf>
    <xf numFmtId="0" fontId="34" fillId="15" borderId="41" xfId="0" applyFont="1" applyFill="1" applyBorder="1" applyAlignment="1">
      <alignment horizontal="center" vertical="center"/>
    </xf>
    <xf numFmtId="0" fontId="34" fillId="15" borderId="40" xfId="0" applyFont="1" applyFill="1" applyBorder="1" applyAlignment="1">
      <alignment horizontal="center" vertical="center"/>
    </xf>
    <xf numFmtId="0" fontId="36" fillId="15" borderId="68" xfId="0" applyFont="1" applyFill="1" applyBorder="1" applyAlignment="1">
      <alignment horizontal="center" vertical="center"/>
    </xf>
    <xf numFmtId="0" fontId="34" fillId="15" borderId="69" xfId="0" applyFont="1" applyFill="1" applyBorder="1" applyAlignment="1">
      <alignment horizontal="center" vertical="center"/>
    </xf>
    <xf numFmtId="0" fontId="36" fillId="15" borderId="40" xfId="0" applyFont="1" applyFill="1" applyBorder="1" applyAlignment="1">
      <alignment horizontal="center" vertical="center"/>
    </xf>
    <xf numFmtId="2" fontId="34" fillId="17" borderId="39" xfId="0" applyNumberFormat="1" applyFont="1" applyFill="1" applyBorder="1" applyAlignment="1">
      <alignment horizontal="center" vertical="center" wrapText="1"/>
    </xf>
    <xf numFmtId="0" fontId="34" fillId="17" borderId="69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wrapText="1"/>
    </xf>
    <xf numFmtId="1" fontId="27" fillId="0" borderId="37" xfId="0" applyNumberFormat="1" applyFont="1" applyBorder="1" applyAlignment="1">
      <alignment wrapText="1"/>
    </xf>
    <xf numFmtId="167" fontId="27" fillId="0" borderId="0" xfId="0" applyNumberFormat="1" applyFont="1" applyAlignment="1">
      <alignment wrapText="1"/>
    </xf>
    <xf numFmtId="0" fontId="27" fillId="0" borderId="37" xfId="0" applyFont="1" applyBorder="1"/>
    <xf numFmtId="0" fontId="30" fillId="0" borderId="0" xfId="0" applyFont="1"/>
    <xf numFmtId="1" fontId="29" fillId="0" borderId="37" xfId="0" applyNumberFormat="1" applyFont="1" applyBorder="1" applyAlignment="1">
      <alignment wrapText="1"/>
    </xf>
    <xf numFmtId="0" fontId="29" fillId="0" borderId="37" xfId="0" applyFont="1" applyBorder="1"/>
    <xf numFmtId="1" fontId="30" fillId="0" borderId="0" xfId="0" applyNumberFormat="1" applyFont="1"/>
    <xf numFmtId="167" fontId="29" fillId="0" borderId="0" xfId="0" applyNumberFormat="1" applyFont="1"/>
    <xf numFmtId="1" fontId="29" fillId="0" borderId="37" xfId="0" applyNumberFormat="1" applyFont="1" applyBorder="1"/>
    <xf numFmtId="15" fontId="27" fillId="0" borderId="0" xfId="0" applyNumberFormat="1" applyFont="1"/>
    <xf numFmtId="0" fontId="33" fillId="0" borderId="0" xfId="0" applyFont="1" applyAlignment="1">
      <alignment horizontal="center"/>
    </xf>
    <xf numFmtId="0" fontId="4" fillId="14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5" fillId="3" borderId="33" xfId="0" applyFont="1" applyFill="1" applyBorder="1" applyAlignment="1">
      <alignment horizontal="left"/>
    </xf>
    <xf numFmtId="0" fontId="4" fillId="3" borderId="28" xfId="0" applyFont="1" applyFill="1" applyBorder="1" applyAlignment="1">
      <alignment horizontal="center"/>
    </xf>
    <xf numFmtId="0" fontId="5" fillId="3" borderId="29" xfId="0" applyFont="1" applyFill="1" applyBorder="1"/>
    <xf numFmtId="164" fontId="15" fillId="0" borderId="51" xfId="0" applyNumberFormat="1" applyFont="1" applyBorder="1" applyAlignment="1">
      <alignment horizontal="center" vertical="center" wrapText="1"/>
    </xf>
    <xf numFmtId="1" fontId="0" fillId="0" borderId="61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13" fillId="0" borderId="47" xfId="0" applyNumberFormat="1" applyFont="1" applyBorder="1" applyAlignment="1">
      <alignment horizontal="center" vertical="center" wrapText="1"/>
    </xf>
    <xf numFmtId="2" fontId="13" fillId="0" borderId="52" xfId="0" applyNumberFormat="1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15" fillId="0" borderId="47" xfId="0" applyNumberFormat="1" applyFont="1" applyBorder="1" applyAlignment="1">
      <alignment horizontal="center" vertical="center" wrapText="1"/>
    </xf>
    <xf numFmtId="164" fontId="15" fillId="0" borderId="67" xfId="0" applyNumberFormat="1" applyFont="1" applyBorder="1" applyAlignment="1">
      <alignment horizontal="center" vertical="center" wrapText="1"/>
    </xf>
    <xf numFmtId="164" fontId="15" fillId="0" borderId="52" xfId="0" applyNumberFormat="1" applyFont="1" applyBorder="1" applyAlignment="1">
      <alignment horizontal="center" vertical="center" wrapText="1"/>
    </xf>
    <xf numFmtId="2" fontId="13" fillId="0" borderId="5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000"/>
              <a:t>Englishman</a:t>
            </a:r>
            <a:r>
              <a:rPr lang="en-CA" sz="2000" baseline="0"/>
              <a:t> River Steelhead population Estimates 1982 - 2024</a:t>
            </a:r>
            <a:endParaRPr lang="en-CA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200556285568"/>
          <c:y val="4.6913122365245037E-2"/>
          <c:w val="0.8928942001475737"/>
          <c:h val="0.871481232309105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Data'!$E$1</c:f>
              <c:strCache>
                <c:ptCount val="1"/>
                <c:pt idx="0">
                  <c:v>Population 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'Summary Data'!$D$2:$D$51</c15:sqref>
                  </c15:fullRef>
                </c:ext>
              </c:extLst>
              <c:f>'Summary Data'!$D$2:$D$44</c:f>
              <c:numCache>
                <c:formatCode>General</c:formatCode>
                <c:ptCount val="43"/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Data'!$E$2:$E$51</c15:sqref>
                  </c15:fullRef>
                </c:ext>
              </c:extLst>
              <c:f>'Summary Data'!$E$2:$E$44</c:f>
              <c:numCache>
                <c:formatCode>0</c:formatCode>
                <c:ptCount val="43"/>
                <c:pt idx="1">
                  <c:v>507.27272777999997</c:v>
                </c:pt>
                <c:pt idx="2">
                  <c:v>839.40197561970706</c:v>
                </c:pt>
                <c:pt idx="3">
                  <c:v>988.31081782391527</c:v>
                </c:pt>
                <c:pt idx="4">
                  <c:v>1421.6107420246708</c:v>
                </c:pt>
                <c:pt idx="5">
                  <c:v>601.60452427381961</c:v>
                </c:pt>
                <c:pt idx="6">
                  <c:v>1193.7007613553169</c:v>
                </c:pt>
                <c:pt idx="7">
                  <c:v>1399.7981587858999</c:v>
                </c:pt>
                <c:pt idx="8">
                  <c:v>278.23299685362963</c:v>
                </c:pt>
                <c:pt idx="9">
                  <c:v>536.71111128871109</c:v>
                </c:pt>
                <c:pt idx="10">
                  <c:v>238.57180900467858</c:v>
                </c:pt>
                <c:pt idx="11">
                  <c:v>507.68160742297624</c:v>
                </c:pt>
                <c:pt idx="12">
                  <c:v>224.58971553533354</c:v>
                </c:pt>
                <c:pt idx="13">
                  <c:v>86.655452503784488</c:v>
                </c:pt>
                <c:pt idx="14">
                  <c:v>258.28365353869339</c:v>
                </c:pt>
                <c:pt idx="15">
                  <c:v>152.97272366983145</c:v>
                </c:pt>
                <c:pt idx="16">
                  <c:v>25.98876537444313</c:v>
                </c:pt>
                <c:pt idx="17">
                  <c:v>265.06964398973736</c:v>
                </c:pt>
                <c:pt idx="18">
                  <c:v>49.515789612754872</c:v>
                </c:pt>
                <c:pt idx="19">
                  <c:v>233.76810376479105</c:v>
                </c:pt>
                <c:pt idx="20">
                  <c:v>191.21818199485458</c:v>
                </c:pt>
                <c:pt idx="21">
                  <c:v>127.09090920210907</c:v>
                </c:pt>
                <c:pt idx="22">
                  <c:v>111.12727282045456</c:v>
                </c:pt>
                <c:pt idx="23">
                  <c:v>144.43636374414541</c:v>
                </c:pt>
                <c:pt idx="24">
                  <c:v>211.94545469625456</c:v>
                </c:pt>
                <c:pt idx="25">
                  <c:v>148.1090910062909</c:v>
                </c:pt>
                <c:pt idx="26">
                  <c:v>60.981818216836366</c:v>
                </c:pt>
                <c:pt idx="27">
                  <c:v>96.218181868799988</c:v>
                </c:pt>
                <c:pt idx="28">
                  <c:v>159.92727280669089</c:v>
                </c:pt>
                <c:pt idx="29">
                  <c:v>253.38181831534544</c:v>
                </c:pt>
                <c:pt idx="30">
                  <c:v>140.1636364718909</c:v>
                </c:pt>
                <c:pt idx="31">
                  <c:v>297.80000026299996</c:v>
                </c:pt>
                <c:pt idx="32">
                  <c:v>164.36363649090913</c:v>
                </c:pt>
                <c:pt idx="33">
                  <c:v>330.03636390665451</c:v>
                </c:pt>
                <c:pt idx="34">
                  <c:v>278.12727296438186</c:v>
                </c:pt>
                <c:pt idx="35">
                  <c:v>138.36363646923635</c:v>
                </c:pt>
                <c:pt idx="36">
                  <c:v>57.781818217490908</c:v>
                </c:pt>
                <c:pt idx="37">
                  <c:v>134.85454554863637</c:v>
                </c:pt>
                <c:pt idx="38">
                  <c:v>56.636363648709093</c:v>
                </c:pt>
                <c:pt idx="39">
                  <c:v>61.218181858309087</c:v>
                </c:pt>
                <c:pt idx="40">
                  <c:v>54.272727313636359</c:v>
                </c:pt>
                <c:pt idx="41">
                  <c:v>82.927272781690917</c:v>
                </c:pt>
                <c:pt idx="42">
                  <c:v>216.16363650452723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5347-8F9B-4ABCF6E984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068048"/>
        <c:axId val="1336255456"/>
      </c:barChart>
      <c:catAx>
        <c:axId val="65806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55456"/>
        <c:crosses val="autoZero"/>
        <c:auto val="1"/>
        <c:lblAlgn val="ctr"/>
        <c:lblOffset val="100"/>
        <c:noMultiLvlLbl val="0"/>
      </c:catAx>
      <c:valAx>
        <c:axId val="133625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Adult Steelhead Population Estimate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6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206967104790517E-3"/>
          <c:y val="8.7491098793948934E-3"/>
          <c:w val="0.9682822203233854"/>
          <c:h val="0.965238455616489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Data'!$I$22,'Summary Data'!$I$22,'Summary Data'!$M$22,'Summary Data'!$R$22,'Summary Data'!$W$22,'Summary Data'!$AB$22,'Summary Data'!$AG$22,'Summary Data'!$AL$2)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15.999999984</c:v>
                </c:pt>
                <c:pt idx="4">
                  <c:v>46</c:v>
                </c:pt>
                <c:pt idx="5" formatCode="General">
                  <c:v>50</c:v>
                </c:pt>
                <c:pt idx="6" formatCode="General">
                  <c:v>73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4-D34B-930A-07D419ABF4D1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Data'!$AB$1:$AC$1,'Summary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Data'!$I$23,'Summary Data'!$M$23,'Summary Data'!$R$23,'Summary Data'!$W$23,'Summary Data'!$AB$23,'Summary Data'!$AG$23,'Summary Data'!$AL$23,'Summary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18.999999980999998</c:v>
                </c:pt>
                <c:pt idx="3">
                  <c:v>21</c:v>
                </c:pt>
                <c:pt idx="4" formatCode="General">
                  <c:v>46</c:v>
                </c:pt>
                <c:pt idx="5" formatCode="General">
                  <c:v>50</c:v>
                </c:pt>
                <c:pt idx="6" formatCode="General">
                  <c:v>20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4-D34B-930A-07D419ABF4D1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Data'!$I$24,'Summary Data'!$M$24,'Summary Data'!$R$24,'Summary Data'!$W$24,'Summary Data'!$AB$24,'Summary Data'!$AG$24,'Summary Data'!$AL$24,'Summary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20.999999978999998</c:v>
                </c:pt>
                <c:pt idx="3">
                  <c:v>24</c:v>
                </c:pt>
                <c:pt idx="4" formatCode="General">
                  <c:v>45</c:v>
                </c:pt>
                <c:pt idx="5" formatCode="General">
                  <c:v>41</c:v>
                </c:pt>
                <c:pt idx="6" formatCode="General">
                  <c:v>26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4-D34B-930A-07D419ABF4D1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Data'!$I$25,'Summary Data'!$M$25,'Summary Data'!$R$25,'Summary Data'!$W$25,'Summary Data'!$AB$25,'Summary Data'!$AG$25)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31.999999968000001</c:v>
                </c:pt>
                <c:pt idx="3">
                  <c:v>61</c:v>
                </c:pt>
                <c:pt idx="4" formatCode="General">
                  <c:v>47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34-D34B-930A-07D419ABF4D1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Data'!$I$26,'Summary Data'!$M$26,'Summary Data'!$R$26,'Summary Data'!$W$26,'Summary Data'!$AB$26,'Summary Data'!$AG$26)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58.999999940999999</c:v>
                </c:pt>
                <c:pt idx="3">
                  <c:v>62</c:v>
                </c:pt>
                <c:pt idx="4" formatCode="General">
                  <c:v>62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34-D34B-930A-07D419ABF4D1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Data'!$I$27,'Summary Data'!$M$27,'Summary Data'!$R$27,'Summary Data'!$W$27,'Summary Data'!$AB$27)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49.999999950000003</c:v>
                </c:pt>
                <c:pt idx="3">
                  <c:v>60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34-D34B-930A-07D419ABF4D1}"/>
            </c:ext>
          </c:extLst>
        </c:ser>
        <c:ser>
          <c:idx val="6"/>
          <c:order val="6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Data'!$I$28,'Summary Data'!$M$28,'Summary Data'!$R$28,'Summary Data'!$W$28)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16.999999982999999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34-D34B-930A-07D419ABF4D1}"/>
            </c:ext>
          </c:extLst>
        </c:ser>
        <c:ser>
          <c:idx val="7"/>
          <c:order val="7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Data'!$I$29,'Summary Data'!$M$29,'Summary Data'!$R$29,'Summary Data'!$W$29)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34-D34B-930A-07D419ABF4D1}"/>
            </c:ext>
          </c:extLst>
        </c:ser>
        <c:ser>
          <c:idx val="8"/>
          <c:order val="8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Data'!$I$30,'Summary Data'!$M$30,'Summary Data'!$R$30,'Summary Data'!$W$30)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53.999999945999996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34-D34B-930A-07D419ABF4D1}"/>
            </c:ext>
          </c:extLst>
        </c:ser>
        <c:ser>
          <c:idx val="9"/>
          <c:order val="9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Data'!$I$31,'Summary Data'!$M$31,'Summary Data'!$R$31,'Summary Data'!$W$31)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102.999999897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34-D34B-930A-07D419ABF4D1}"/>
            </c:ext>
          </c:extLst>
        </c:ser>
        <c:ser>
          <c:idx val="10"/>
          <c:order val="10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Data'!$I$32,'Summary Data'!$M$32,'Summary Data'!$R$32,'Summary Data'!$W$32,'Summary Data'!$AB$32,'Summary Data'!$AG$32)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38.999999961</c:v>
                </c:pt>
                <c:pt idx="3">
                  <c:v>42</c:v>
                </c:pt>
                <c:pt idx="4" formatCode="General">
                  <c:v>27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34-D34B-930A-07D419ABF4D1}"/>
            </c:ext>
          </c:extLst>
        </c:ser>
        <c:ser>
          <c:idx val="11"/>
          <c:order val="11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Data'!$I$33,'Summary Data'!$M$33,'Summary Data'!$R$33,'Summary Data'!$W$33,'Summary Data'!$AB$33,'Summary Data'!$AG$33,'Summary Data'!$AL$33)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86.999999912999996</c:v>
                </c:pt>
                <c:pt idx="3">
                  <c:v>93</c:v>
                </c:pt>
                <c:pt idx="4" formatCode="General">
                  <c:v>89</c:v>
                </c:pt>
                <c:pt idx="5" formatCode="General">
                  <c:v>89</c:v>
                </c:pt>
                <c:pt idx="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34-D34B-930A-07D419ABF4D1}"/>
            </c:ext>
          </c:extLst>
        </c:ser>
        <c:ser>
          <c:idx val="12"/>
          <c:order val="12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Data'!$I$34,'Summary Data'!$M$34,'Summary Data'!$R$34,'Summary Data'!$W$34,'Summary Data'!$AB$34)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67.999999931999994</c:v>
                </c:pt>
                <c:pt idx="3">
                  <c:v>62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34-D34B-930A-07D419ABF4D1}"/>
            </c:ext>
          </c:extLst>
        </c:ser>
        <c:ser>
          <c:idx val="13"/>
          <c:order val="13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Data'!$I$35,'Summary Data'!$M$35,'Summary Data'!$R$35,'Summary Data'!$W$35,'Summary Data'!$AB$35)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105.999999894</c:v>
                </c:pt>
                <c:pt idx="3">
                  <c:v>81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D34-D34B-930A-07D419ABF4D1}"/>
            </c:ext>
          </c:extLst>
        </c:ser>
        <c:ser>
          <c:idx val="14"/>
          <c:order val="14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Data'!$I$36,'Summary Data'!$M$36,'Summary Data'!$R$36,'Summary Data'!$W$36,'Summary Data'!$AB$36)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93.999999905999999</c:v>
                </c:pt>
                <c:pt idx="3">
                  <c:v>96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34-D34B-930A-07D419ABF4D1}"/>
            </c:ext>
          </c:extLst>
        </c:ser>
        <c:ser>
          <c:idx val="15"/>
          <c:order val="15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Data'!$I$37,'Summary Data'!$M$37,'Summary Data'!$R$37,'Summary Data'!$W$37,'Summary Data'!$AB$37)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33.999999965999997</c:v>
                </c:pt>
                <c:pt idx="3">
                  <c:v>35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34-D34B-930A-07D419ABF4D1}"/>
            </c:ext>
          </c:extLst>
        </c:ser>
        <c:ser>
          <c:idx val="16"/>
          <c:order val="16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Data'!$I$38,'Summary Data'!$M$38,'Summary Data'!$R$38,'Summary Data'!$W$38)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15.999999984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34-D34B-930A-07D419ABF4D1}"/>
            </c:ext>
          </c:extLst>
        </c:ser>
        <c:ser>
          <c:idx val="17"/>
          <c:order val="17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Data'!$I$39,'Summary Data'!$M$39,'Summary Data'!$R$39,'Summary Data'!$W$39)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34-D34B-930A-07D419ABF4D1}"/>
            </c:ext>
          </c:extLst>
        </c:ser>
        <c:ser>
          <c:idx val="18"/>
          <c:order val="18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Data'!$I$40,'Summary Data'!$M$40,'Summary Data'!$R$40,'Summary Data'!$W$40)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27.999999971999998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D34-D34B-930A-07D419ABF4D1}"/>
            </c:ext>
          </c:extLst>
        </c:ser>
        <c:ser>
          <c:idx val="19"/>
          <c:order val="19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Data'!$I$41,'Summary Data'!$M$41,'Summary Data'!$R$41,'Summary Data'!$W$41,'Summary Data'!$AB$41)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19.999999979999998</c:v>
                </c:pt>
                <c:pt idx="3">
                  <c:v>7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D34-D34B-930A-07D419ABF4D1}"/>
            </c:ext>
          </c:extLst>
        </c:ser>
        <c:ser>
          <c:idx val="20"/>
          <c:order val="20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Data'!$I$42,'Summary Data'!$M$42,'Summary Data'!$R$42,'Summary Data'!$W$42,'Summary Data'!$AB$42)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14.999999984999999</c:v>
                </c:pt>
                <c:pt idx="3">
                  <c:v>15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D34-D34B-930A-07D419ABF4D1}"/>
            </c:ext>
          </c:extLst>
        </c:ser>
        <c:ser>
          <c:idx val="21"/>
          <c:order val="21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Data'!$I$43,'Summary Data'!$M$43,'Summary Data'!$R$43,'Summary Data'!$W$43,'Summary Data'!$AB$43)</c:f>
              <c:numCache>
                <c:formatCode>0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27.999999971999998</c:v>
                </c:pt>
                <c:pt idx="3">
                  <c:v>33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D34-D34B-930A-07D419ABF4D1}"/>
            </c:ext>
          </c:extLst>
        </c:ser>
        <c:ser>
          <c:idx val="22"/>
          <c:order val="22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Data'!$I$44,'Summary Data'!$M$44,'Summary Data'!$R$44,'Summary Data'!$W$44,'Summary Data'!$AB$44,'Summary Data'!$AG$44)</c:f>
              <c:numCache>
                <c:formatCode>0</c:formatCode>
                <c:ptCount val="6"/>
                <c:pt idx="0">
                  <c:v>0</c:v>
                </c:pt>
                <c:pt idx="1">
                  <c:v>21</c:v>
                </c:pt>
                <c:pt idx="2">
                  <c:v>68.999999930999991</c:v>
                </c:pt>
                <c:pt idx="3">
                  <c:v>85</c:v>
                </c:pt>
                <c:pt idx="4" formatCode="General">
                  <c:v>84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D34-D34B-930A-07D419ABF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71567"/>
        <c:axId val="1557093967"/>
      </c:scatterChart>
      <c:valAx>
        <c:axId val="1556471567"/>
        <c:scaling>
          <c:orientation val="minMax"/>
          <c:max val="9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93967"/>
        <c:crosses val="autoZero"/>
        <c:crossBetween val="midCat"/>
      </c:valAx>
      <c:valAx>
        <c:axId val="155709396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71567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Data'!$I$22,'Summary Data'!$M$22,'Summary Data'!$R$22,'Summary Data'!$W$22,'Summary Data'!$AB$22,'Summary Data'!$AG$22,'Summary Data'!$AL$22,'Summary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15.999999984</c:v>
                </c:pt>
                <c:pt idx="3">
                  <c:v>46</c:v>
                </c:pt>
                <c:pt idx="4" formatCode="General">
                  <c:v>50</c:v>
                </c:pt>
                <c:pt idx="5" formatCode="General">
                  <c:v>73</c:v>
                </c:pt>
                <c:pt idx="6" formatCode="General">
                  <c:v>29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D-D14D-9C8B-89EF6D70338C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Data'!$I$23,'Summary Data'!$M$23,'Summary Data'!$R$23,'Summary Data'!$W$23,'Summary Data'!$AB$23,'Summary Data'!$AG$23,'Summary Data'!$AL$23,'Summary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18.999999980999998</c:v>
                </c:pt>
                <c:pt idx="3">
                  <c:v>21</c:v>
                </c:pt>
                <c:pt idx="4" formatCode="General">
                  <c:v>46</c:v>
                </c:pt>
                <c:pt idx="5" formatCode="General">
                  <c:v>50</c:v>
                </c:pt>
                <c:pt idx="6" formatCode="General">
                  <c:v>20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D-D14D-9C8B-89EF6D70338C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Data'!$I$24,'Summary Data'!$M$24,'Summary Data'!$R$24,'Summary Data'!$W$24,'Summary Data'!$AB$24,'Summary Data'!$AG$24,'Summary Data'!$AL$24,'Summary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20.999999978999998</c:v>
                </c:pt>
                <c:pt idx="3">
                  <c:v>24</c:v>
                </c:pt>
                <c:pt idx="4" formatCode="General">
                  <c:v>45</c:v>
                </c:pt>
                <c:pt idx="5" formatCode="General">
                  <c:v>41</c:v>
                </c:pt>
                <c:pt idx="6" formatCode="General">
                  <c:v>26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3D-D14D-9C8B-89EF6D70338C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Data'!$I$25,'Summary Data'!$M$25,'Summary Data'!$R$25,'Summary Data'!$W$25,'Summary Data'!$AB$25,'Summary Data'!$AG$25)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31.999999968000001</c:v>
                </c:pt>
                <c:pt idx="3">
                  <c:v>61</c:v>
                </c:pt>
                <c:pt idx="4" formatCode="General">
                  <c:v>47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3D-D14D-9C8B-89EF6D70338C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Data'!$I$26,'Summary Data'!$M$26,'Summary Data'!$R$26,'Summary Data'!$W$26,'Summary Data'!$AB$26,'Summary Data'!$AG$26)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58.999999940999999</c:v>
                </c:pt>
                <c:pt idx="3">
                  <c:v>62</c:v>
                </c:pt>
                <c:pt idx="4" formatCode="General">
                  <c:v>62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3D-D14D-9C8B-89EF6D70338C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Data'!$I$27,'Summary Data'!$M$27,'Summary Data'!$R$27,'Summary Data'!$W$27,'Summary Data'!$AB$27)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49.999999950000003</c:v>
                </c:pt>
                <c:pt idx="3">
                  <c:v>60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3D-D14D-9C8B-89EF6D703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94896"/>
        <c:axId val="1359014815"/>
      </c:scatterChart>
      <c:valAx>
        <c:axId val="229294896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14815"/>
        <c:crosses val="autoZero"/>
        <c:crossBetween val="midCat"/>
      </c:valAx>
      <c:valAx>
        <c:axId val="1359014815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9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Data'!$I$28,'Summary Data'!$M$28,'Summary Data'!$R$28,'Summary Data'!$W$28)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16.999999982999999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F-2A4D-A055-5FAC242F470C}"/>
            </c:ext>
          </c:extLst>
        </c:ser>
        <c:ser>
          <c:idx val="1"/>
          <c:order val="1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Data'!$I$29,'Summary Data'!$M$29,'Summary Data'!$R$29,'Summary Data'!$W$29)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F-2A4D-A055-5FAC242F470C}"/>
            </c:ext>
          </c:extLst>
        </c:ser>
        <c:ser>
          <c:idx val="2"/>
          <c:order val="2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Data'!$I$30,'Summary Data'!$M$30,'Summary Data'!$R$30,'Summary Data'!$W$30)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53.999999945999996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DF-2A4D-A055-5FAC242F470C}"/>
            </c:ext>
          </c:extLst>
        </c:ser>
        <c:ser>
          <c:idx val="3"/>
          <c:order val="3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Data'!$I$31,'Summary Data'!$M$31,'Summary Data'!$R$31,'Summary Data'!$W$31)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102.999999897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DF-2A4D-A055-5FAC242F470C}"/>
            </c:ext>
          </c:extLst>
        </c:ser>
        <c:ser>
          <c:idx val="4"/>
          <c:order val="4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Data'!$I$32,'Summary Data'!$M$32,'Summary Data'!$R$32,'Summary Data'!$W$32,'Summary Data'!$AB$32,'Summary Data'!$AG$32)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38.999999961</c:v>
                </c:pt>
                <c:pt idx="3">
                  <c:v>42</c:v>
                </c:pt>
                <c:pt idx="4" formatCode="General">
                  <c:v>27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DF-2A4D-A055-5FAC242F470C}"/>
            </c:ext>
          </c:extLst>
        </c:ser>
        <c:ser>
          <c:idx val="5"/>
          <c:order val="5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Data'!$I$33,'Summary Data'!$M$33,'Summary Data'!$R$33,'Summary Data'!$W$33,'Summary Data'!$AB$33,'Summary Data'!$AG$33,'Summary Data'!$AL$33)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86.999999912999996</c:v>
                </c:pt>
                <c:pt idx="3">
                  <c:v>93</c:v>
                </c:pt>
                <c:pt idx="4" formatCode="General">
                  <c:v>89</c:v>
                </c:pt>
                <c:pt idx="5" formatCode="General">
                  <c:v>89</c:v>
                </c:pt>
                <c:pt idx="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DF-2A4D-A055-5FAC242F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71568"/>
        <c:axId val="229519760"/>
      </c:scatterChart>
      <c:valAx>
        <c:axId val="229471568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9760"/>
        <c:crosses val="autoZero"/>
        <c:crossBetween val="midCat"/>
      </c:valAx>
      <c:valAx>
        <c:axId val="229519760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7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Data'!$I$34,'Summary Data'!$M$34,'Summary Data'!$R$34,'Summary Data'!$W$34,'Summary Data'!$AB$34)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67.999999931999994</c:v>
                </c:pt>
                <c:pt idx="3">
                  <c:v>62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0-AE4E-A726-3CCDD4F92C42}"/>
            </c:ext>
          </c:extLst>
        </c:ser>
        <c:ser>
          <c:idx val="1"/>
          <c:order val="1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Data'!$I$35,'Summary Data'!$M$35,'Summary Data'!$R$35,'Summary Data'!$W$35,'Summary Data'!$AB$35)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105.999999894</c:v>
                </c:pt>
                <c:pt idx="3">
                  <c:v>81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0-AE4E-A726-3CCDD4F92C42}"/>
            </c:ext>
          </c:extLst>
        </c:ser>
        <c:ser>
          <c:idx val="2"/>
          <c:order val="2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Data'!$I$36,'Summary Data'!$M$36,'Summary Data'!$R$36,'Summary Data'!$W$36,'Summary Data'!$AB$36)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93.999999905999999</c:v>
                </c:pt>
                <c:pt idx="3">
                  <c:v>96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0-AE4E-A726-3CCDD4F92C42}"/>
            </c:ext>
          </c:extLst>
        </c:ser>
        <c:ser>
          <c:idx val="3"/>
          <c:order val="3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Data'!$I$37,'Summary Data'!$M$37,'Summary Data'!$R$37,'Summary Data'!$W$37,'Summary Data'!$AB$37)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33.999999965999997</c:v>
                </c:pt>
                <c:pt idx="3">
                  <c:v>35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0-AE4E-A726-3CCDD4F92C42}"/>
            </c:ext>
          </c:extLst>
        </c:ser>
        <c:ser>
          <c:idx val="4"/>
          <c:order val="4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Data'!$I$38,'Summary Data'!$M$38,'Summary Data'!$R$38,'Summary Data'!$W$38)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15.999999984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20-AE4E-A726-3CCDD4F92C42}"/>
            </c:ext>
          </c:extLst>
        </c:ser>
        <c:ser>
          <c:idx val="5"/>
          <c:order val="5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Data'!$I$39,'Summary Data'!$M$39,'Summary Data'!$R$39,'Summary Data'!$W$39)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20-AE4E-A726-3CCDD4F9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32319"/>
        <c:axId val="2133462655"/>
      </c:scatterChart>
      <c:valAx>
        <c:axId val="2133032319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2655"/>
        <c:crosses val="autoZero"/>
        <c:crossBetween val="midCat"/>
      </c:valAx>
      <c:valAx>
        <c:axId val="2133462655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Data'!$I$40,'Summary Data'!$M$40,'Summary Data'!$R$40,'Summary Data'!$W$40)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27.999999971999998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1-304A-8104-A2CFA22CA45E}"/>
            </c:ext>
          </c:extLst>
        </c:ser>
        <c:ser>
          <c:idx val="1"/>
          <c:order val="1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Data'!$I$41,'Summary Data'!$M$41,'Summary Data'!$R$41,'Summary Data'!$W$41,'Summary Data'!$AB$41)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19.999999979999998</c:v>
                </c:pt>
                <c:pt idx="3">
                  <c:v>7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D1-304A-8104-A2CFA22CA45E}"/>
            </c:ext>
          </c:extLst>
        </c:ser>
        <c:ser>
          <c:idx val="2"/>
          <c:order val="2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Data'!$I$42,'Summary Data'!$M$42,'Summary Data'!$R$42,'Summary Data'!$W$42,'Summary Data'!$AB$42)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14.999999984999999</c:v>
                </c:pt>
                <c:pt idx="3">
                  <c:v>15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D1-304A-8104-A2CFA22CA45E}"/>
            </c:ext>
          </c:extLst>
        </c:ser>
        <c:ser>
          <c:idx val="3"/>
          <c:order val="3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Data'!$I$43,'Summary Data'!$M$43,'Summary Data'!$R$43,'Summary Data'!$W$43,'Summary Data'!$AB$43)</c:f>
              <c:numCache>
                <c:formatCode>0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27.999999971999998</c:v>
                </c:pt>
                <c:pt idx="3">
                  <c:v>33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D1-304A-8104-A2CFA22CA45E}"/>
            </c:ext>
          </c:extLst>
        </c:ser>
        <c:ser>
          <c:idx val="4"/>
          <c:order val="4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Data'!$I$44,'Summary Data'!$M$44,'Summary Data'!$R$44,'Summary Data'!$W$44,'Summary Data'!$AB$44,'Summary Data'!$AG$44)</c:f>
              <c:numCache>
                <c:formatCode>0</c:formatCode>
                <c:ptCount val="6"/>
                <c:pt idx="0">
                  <c:v>0</c:v>
                </c:pt>
                <c:pt idx="1">
                  <c:v>21</c:v>
                </c:pt>
                <c:pt idx="2">
                  <c:v>68.999999930999991</c:v>
                </c:pt>
                <c:pt idx="3">
                  <c:v>85</c:v>
                </c:pt>
                <c:pt idx="4" formatCode="General">
                  <c:v>84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D1-304A-8104-A2CFA22CA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7824"/>
        <c:axId val="612996528"/>
      </c:scatterChart>
      <c:valAx>
        <c:axId val="161947824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96528"/>
        <c:crosses val="autoZero"/>
        <c:crossBetween val="midCat"/>
      </c:valAx>
      <c:valAx>
        <c:axId val="612996528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Data'!$J$34,'Summary Data'!$N$34,'Summary Data'!$S$34,'Summary Data'!$X$34,'Summary Data'!$AC$34)</c:f>
            </c:numRef>
          </c:yVal>
          <c:smooth val="0"/>
          <c:extLst>
            <c:ext xmlns:c16="http://schemas.microsoft.com/office/drawing/2014/chart" uri="{C3380CC4-5D6E-409C-BE32-E72D297353CC}">
              <c16:uniqueId val="{00000000-BEA6-DF49-A504-EC2786878F50}"/>
            </c:ext>
          </c:extLst>
        </c:ser>
        <c:ser>
          <c:idx val="1"/>
          <c:order val="1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Data'!$J$35,'Summary Data'!$N$35,'Summary Data'!$S$35,'Summary Data'!$X$35,'Summary Data'!$AC$35)</c:f>
            </c:numRef>
          </c:yVal>
          <c:smooth val="0"/>
          <c:extLst>
            <c:ext xmlns:c16="http://schemas.microsoft.com/office/drawing/2014/chart" uri="{C3380CC4-5D6E-409C-BE32-E72D297353CC}">
              <c16:uniqueId val="{00000001-BEA6-DF49-A504-EC2786878F50}"/>
            </c:ext>
          </c:extLst>
        </c:ser>
        <c:ser>
          <c:idx val="2"/>
          <c:order val="2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Data'!$J$36,'Summary Data'!$N$36,'Summary Data'!$S$36,'Summary Data'!$X$36,'Summary Data'!$AC$36)</c:f>
            </c:numRef>
          </c:yVal>
          <c:smooth val="0"/>
          <c:extLst>
            <c:ext xmlns:c16="http://schemas.microsoft.com/office/drawing/2014/chart" uri="{C3380CC4-5D6E-409C-BE32-E72D297353CC}">
              <c16:uniqueId val="{00000002-BEA6-DF49-A504-EC2786878F50}"/>
            </c:ext>
          </c:extLst>
        </c:ser>
        <c:ser>
          <c:idx val="3"/>
          <c:order val="3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Data'!$J$37,'Summary Data'!$N$37,'Summary Data'!$S$37,'Summary Data'!$X$37,'Summary Data'!$AC$37)</c:f>
            </c:numRef>
          </c:yVal>
          <c:smooth val="0"/>
          <c:extLst>
            <c:ext xmlns:c16="http://schemas.microsoft.com/office/drawing/2014/chart" uri="{C3380CC4-5D6E-409C-BE32-E72D297353CC}">
              <c16:uniqueId val="{00000003-BEA6-DF49-A504-EC2786878F50}"/>
            </c:ext>
          </c:extLst>
        </c:ser>
        <c:ser>
          <c:idx val="4"/>
          <c:order val="4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Data'!$J$38,'Summary Data'!$N$38,'Summary Data'!$S$38,'Summary Data'!$X$38)</c:f>
            </c:numRef>
          </c:yVal>
          <c:smooth val="0"/>
          <c:extLst>
            <c:ext xmlns:c16="http://schemas.microsoft.com/office/drawing/2014/chart" uri="{C3380CC4-5D6E-409C-BE32-E72D297353CC}">
              <c16:uniqueId val="{00000004-BEA6-DF49-A504-EC2786878F50}"/>
            </c:ext>
          </c:extLst>
        </c:ser>
        <c:ser>
          <c:idx val="5"/>
          <c:order val="5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Data'!$J$39,'Summary Data'!$N$39,'Summary Data'!$S$39,'Summary Data'!$X$39)</c:f>
            </c:numRef>
          </c:yVal>
          <c:smooth val="0"/>
          <c:extLst>
            <c:ext xmlns:c16="http://schemas.microsoft.com/office/drawing/2014/chart" uri="{C3380CC4-5D6E-409C-BE32-E72D297353CC}">
              <c16:uniqueId val="{00000005-BEA6-DF49-A504-EC278687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32319"/>
        <c:axId val="2133462655"/>
      </c:scatterChart>
      <c:valAx>
        <c:axId val="2133032319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2655"/>
        <c:crosses val="autoZero"/>
        <c:crossBetween val="midCat"/>
      </c:valAx>
      <c:valAx>
        <c:axId val="2133462655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Data'!$J$22,'Summary Data'!$N$22,'Summary Data'!$S$22,'Summary Data'!$X$22,'Summary Data'!$AC$22,'Summary Data'!$AH$22,'Summary Data'!$AM$22,'Summary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0-DCF7-E441-9F17-D646B8AA8BDB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Data'!$J$23,'Summary Data'!$N$23,'Summary Data'!$S$23,'Summary Data'!$X$23,'Summary Data'!$AC$23,'Summary Data'!$AH$23,'Summary Data'!$AM$23,'Summary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1-DCF7-E441-9F17-D646B8AA8BDB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Data'!$J$24,'Summary Data'!$N$24,'Summary Data'!$S$24,'Summary Data'!$X$24,'Summary Data'!$AC$24,'Summary Data'!$AH$24,'Summary Data'!$AM$24,'Summary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2-DCF7-E441-9F17-D646B8AA8BDB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Data'!$J$25,'Summary Data'!$N$25,'Summary Data'!$S$25,'Summary Data'!$X$25,'Summary Data'!$AC$25,'Summary Data'!$AH$25)</c:f>
            </c:numRef>
          </c:yVal>
          <c:smooth val="0"/>
          <c:extLst>
            <c:ext xmlns:c16="http://schemas.microsoft.com/office/drawing/2014/chart" uri="{C3380CC4-5D6E-409C-BE32-E72D297353CC}">
              <c16:uniqueId val="{00000003-DCF7-E441-9F17-D646B8AA8BDB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Data'!$J$26,'Summary Data'!$N$26,'Summary Data'!$S$26,'Summary Data'!$X$26,'Summary Data'!$AC$26,'Summary Data'!$AH$26)</c:f>
            </c:numRef>
          </c:yVal>
          <c:smooth val="0"/>
          <c:extLst>
            <c:ext xmlns:c16="http://schemas.microsoft.com/office/drawing/2014/chart" uri="{C3380CC4-5D6E-409C-BE32-E72D297353CC}">
              <c16:uniqueId val="{00000004-DCF7-E441-9F17-D646B8AA8BDB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Data'!$J$27,'Summary Data'!$N$27,'Summary Data'!$S$27,'Summary Data'!$X$27,'Summary Data'!$AC$27)</c:f>
            </c:numRef>
          </c:yVal>
          <c:smooth val="0"/>
          <c:extLst>
            <c:ext xmlns:c16="http://schemas.microsoft.com/office/drawing/2014/chart" uri="{C3380CC4-5D6E-409C-BE32-E72D297353CC}">
              <c16:uniqueId val="{00000005-DCF7-E441-9F17-D646B8AA8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94896"/>
        <c:axId val="1359014815"/>
      </c:scatterChart>
      <c:valAx>
        <c:axId val="229294896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14815"/>
        <c:crosses val="autoZero"/>
        <c:crossBetween val="midCat"/>
      </c:valAx>
      <c:valAx>
        <c:axId val="1359014815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9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Data'!$J$28,'Summary Data'!$N$28,'Summary Data'!$S$28,'Summary Data'!$X$28)</c:f>
            </c:numRef>
          </c:yVal>
          <c:smooth val="0"/>
          <c:extLst>
            <c:ext xmlns:c16="http://schemas.microsoft.com/office/drawing/2014/chart" uri="{C3380CC4-5D6E-409C-BE32-E72D297353CC}">
              <c16:uniqueId val="{00000000-5D0A-B543-BD74-9D084BF3437B}"/>
            </c:ext>
          </c:extLst>
        </c:ser>
        <c:ser>
          <c:idx val="1"/>
          <c:order val="1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Data'!$J$29,'Summary Data'!$N$29,'Summary Data'!$S$29,'Summary Data'!$X$29)</c:f>
            </c:numRef>
          </c:yVal>
          <c:smooth val="0"/>
          <c:extLst>
            <c:ext xmlns:c16="http://schemas.microsoft.com/office/drawing/2014/chart" uri="{C3380CC4-5D6E-409C-BE32-E72D297353CC}">
              <c16:uniqueId val="{00000001-5D0A-B543-BD74-9D084BF3437B}"/>
            </c:ext>
          </c:extLst>
        </c:ser>
        <c:ser>
          <c:idx val="2"/>
          <c:order val="2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Data'!$J$30,'Summary Data'!$N$30,'Summary Data'!$S$30,'Summary Data'!$X$30)</c:f>
            </c:numRef>
          </c:yVal>
          <c:smooth val="0"/>
          <c:extLst>
            <c:ext xmlns:c16="http://schemas.microsoft.com/office/drawing/2014/chart" uri="{C3380CC4-5D6E-409C-BE32-E72D297353CC}">
              <c16:uniqueId val="{00000002-5D0A-B543-BD74-9D084BF3437B}"/>
            </c:ext>
          </c:extLst>
        </c:ser>
        <c:ser>
          <c:idx val="3"/>
          <c:order val="3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Data'!$J$31,'Summary Data'!$N$31,'Summary Data'!$S$31,'Summary Data'!$X$31)</c:f>
            </c:numRef>
          </c:yVal>
          <c:smooth val="0"/>
          <c:extLst>
            <c:ext xmlns:c16="http://schemas.microsoft.com/office/drawing/2014/chart" uri="{C3380CC4-5D6E-409C-BE32-E72D297353CC}">
              <c16:uniqueId val="{00000003-5D0A-B543-BD74-9D084BF3437B}"/>
            </c:ext>
          </c:extLst>
        </c:ser>
        <c:ser>
          <c:idx val="4"/>
          <c:order val="4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Data'!$J$32,'Summary Data'!$N$32,'Summary Data'!$S$32,'Summary Data'!$X$32,'Summary Data'!$AC$32,'Summary Data'!$AH$32)</c:f>
            </c:numRef>
          </c:yVal>
          <c:smooth val="0"/>
          <c:extLst>
            <c:ext xmlns:c16="http://schemas.microsoft.com/office/drawing/2014/chart" uri="{C3380CC4-5D6E-409C-BE32-E72D297353CC}">
              <c16:uniqueId val="{00000004-5D0A-B543-BD74-9D084BF3437B}"/>
            </c:ext>
          </c:extLst>
        </c:ser>
        <c:ser>
          <c:idx val="5"/>
          <c:order val="5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Data'!$J$33,'Summary Data'!$N$33,'Summary Data'!$S$33,'Summary Data'!$X$33,'Summary Data'!$AC$33,'Summary Data'!$AH$33,'Summary Data'!$AM$33)</c:f>
            </c:numRef>
          </c:yVal>
          <c:smooth val="0"/>
          <c:extLst>
            <c:ext xmlns:c16="http://schemas.microsoft.com/office/drawing/2014/chart" uri="{C3380CC4-5D6E-409C-BE32-E72D297353CC}">
              <c16:uniqueId val="{00000005-5D0A-B543-BD74-9D084BF3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71568"/>
        <c:axId val="229519760"/>
      </c:scatterChart>
      <c:valAx>
        <c:axId val="229471568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9760"/>
        <c:crosses val="autoZero"/>
        <c:crossBetween val="midCat"/>
      </c:valAx>
      <c:valAx>
        <c:axId val="229519760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7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Data'!$J$40,'Summary Data'!$J$40,'Summary Data'!$N$40,'Summary Data'!$S$40,'Summary Data'!$X$40)</c:f>
            </c:numRef>
          </c:yVal>
          <c:smooth val="0"/>
          <c:extLst>
            <c:ext xmlns:c16="http://schemas.microsoft.com/office/drawing/2014/chart" uri="{C3380CC4-5D6E-409C-BE32-E72D297353CC}">
              <c16:uniqueId val="{00000000-52B1-2A4D-82C0-4AAE3BFDA00E}"/>
            </c:ext>
          </c:extLst>
        </c:ser>
        <c:ser>
          <c:idx val="1"/>
          <c:order val="1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Data'!$J$41,'Summary Data'!$N$41,'Summary Data'!$S$41,'Summary Data'!$X$41,'Summary Data'!$AC$41)</c:f>
            </c:numRef>
          </c:yVal>
          <c:smooth val="0"/>
          <c:extLst>
            <c:ext xmlns:c16="http://schemas.microsoft.com/office/drawing/2014/chart" uri="{C3380CC4-5D6E-409C-BE32-E72D297353CC}">
              <c16:uniqueId val="{00000001-52B1-2A4D-82C0-4AAE3BFDA00E}"/>
            </c:ext>
          </c:extLst>
        </c:ser>
        <c:ser>
          <c:idx val="2"/>
          <c:order val="2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Data'!$J$42,'Summary Data'!$N$42,'Summary Data'!$S$42,'Summary Data'!$X$42,'Summary Data'!$AC$42)</c:f>
            </c:numRef>
          </c:yVal>
          <c:smooth val="0"/>
          <c:extLst>
            <c:ext xmlns:c16="http://schemas.microsoft.com/office/drawing/2014/chart" uri="{C3380CC4-5D6E-409C-BE32-E72D297353CC}">
              <c16:uniqueId val="{00000002-52B1-2A4D-82C0-4AAE3BFDA00E}"/>
            </c:ext>
          </c:extLst>
        </c:ser>
        <c:ser>
          <c:idx val="3"/>
          <c:order val="3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Data'!$J$43,'Summary Data'!$N$43,'Summary Data'!$S$43,'Summary Data'!$X$43,'Summary Data'!$AC$43)</c:f>
            </c:numRef>
          </c:yVal>
          <c:smooth val="0"/>
          <c:extLst>
            <c:ext xmlns:c16="http://schemas.microsoft.com/office/drawing/2014/chart" uri="{C3380CC4-5D6E-409C-BE32-E72D297353CC}">
              <c16:uniqueId val="{00000003-52B1-2A4D-82C0-4AAE3BFDA00E}"/>
            </c:ext>
          </c:extLst>
        </c:ser>
        <c:ser>
          <c:idx val="4"/>
          <c:order val="4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Data'!$J$44,'Summary Data'!$N$44,'Summary Data'!$S$44,'Summary Data'!$X$44,'Summary Data'!$AC$44,'Summary Data'!$AH$44)</c:f>
            </c:numRef>
          </c:yVal>
          <c:smooth val="0"/>
          <c:extLst>
            <c:ext xmlns:c16="http://schemas.microsoft.com/office/drawing/2014/chart" uri="{C3380CC4-5D6E-409C-BE32-E72D297353CC}">
              <c16:uniqueId val="{00000004-52B1-2A4D-82C0-4AAE3BFD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7824"/>
        <c:axId val="612996528"/>
      </c:scatterChart>
      <c:valAx>
        <c:axId val="161947824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96528"/>
        <c:crosses val="autoZero"/>
        <c:crossBetween val="midCat"/>
      </c:valAx>
      <c:valAx>
        <c:axId val="612996528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Data'!$G$1</c:f>
              <c:strCache>
                <c:ptCount val="1"/>
                <c:pt idx="0">
                  <c:v>Annual AUC (fish days)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145254209591791"/>
                  <c:y val="0.653836929199739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96.674x - 1825.7</a:t>
                    </a:r>
                    <a:br>
                      <a:rPr lang="en-US" b="1" baseline="0"/>
                    </a:br>
                    <a:r>
                      <a:rPr lang="en-US" b="1" baseline="0"/>
                      <a:t>R² = 0.9795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Data'!$G$2:$G$49</c:f>
              <c:numCache>
                <c:formatCode>0.00</c:formatCode>
                <c:ptCount val="48"/>
                <c:pt idx="1">
                  <c:v>25363.636388999999</c:v>
                </c:pt>
                <c:pt idx="2">
                  <c:v>41970.098780985354</c:v>
                </c:pt>
                <c:pt idx="3">
                  <c:v>49415.540891195764</c:v>
                </c:pt>
                <c:pt idx="4">
                  <c:v>71080.537101233538</c:v>
                </c:pt>
                <c:pt idx="5">
                  <c:v>30080.226213690981</c:v>
                </c:pt>
                <c:pt idx="6">
                  <c:v>59685.038067765847</c:v>
                </c:pt>
                <c:pt idx="7">
                  <c:v>69989.907939294993</c:v>
                </c:pt>
                <c:pt idx="8">
                  <c:v>13911.649842681481</c:v>
                </c:pt>
                <c:pt idx="9">
                  <c:v>26835.555564435555</c:v>
                </c:pt>
                <c:pt idx="10">
                  <c:v>11928.590450233929</c:v>
                </c:pt>
                <c:pt idx="11">
                  <c:v>25384.080371148812</c:v>
                </c:pt>
                <c:pt idx="12">
                  <c:v>11229.485776766676</c:v>
                </c:pt>
                <c:pt idx="13">
                  <c:v>4332.7726251892245</c:v>
                </c:pt>
                <c:pt idx="14">
                  <c:v>12914.18267693467</c:v>
                </c:pt>
                <c:pt idx="15">
                  <c:v>7648.6361834915724</c:v>
                </c:pt>
                <c:pt idx="16">
                  <c:v>1299.4382687221564</c:v>
                </c:pt>
                <c:pt idx="17">
                  <c:v>13253.482199486869</c:v>
                </c:pt>
                <c:pt idx="18">
                  <c:v>2475.7894806377435</c:v>
                </c:pt>
                <c:pt idx="19">
                  <c:v>11688.405188239552</c:v>
                </c:pt>
                <c:pt idx="20">
                  <c:v>9560.9090997427284</c:v>
                </c:pt>
                <c:pt idx="21">
                  <c:v>6354.5454601054535</c:v>
                </c:pt>
                <c:pt idx="22">
                  <c:v>5556.3636410227282</c:v>
                </c:pt>
                <c:pt idx="23">
                  <c:v>7221.818187207271</c:v>
                </c:pt>
                <c:pt idx="24">
                  <c:v>10597.272734812728</c:v>
                </c:pt>
                <c:pt idx="25">
                  <c:v>7405.4545503145455</c:v>
                </c:pt>
                <c:pt idx="26">
                  <c:v>3049.0909108418182</c:v>
                </c:pt>
                <c:pt idx="27">
                  <c:v>4810.9090934399992</c:v>
                </c:pt>
                <c:pt idx="28">
                  <c:v>7996.3636403345445</c:v>
                </c:pt>
                <c:pt idx="29">
                  <c:v>12669.090915767272</c:v>
                </c:pt>
                <c:pt idx="30">
                  <c:v>7008.1818235945448</c:v>
                </c:pt>
                <c:pt idx="31">
                  <c:v>14890.000013149998</c:v>
                </c:pt>
                <c:pt idx="32">
                  <c:v>8218.181824545456</c:v>
                </c:pt>
                <c:pt idx="33">
                  <c:v>16501.818195332726</c:v>
                </c:pt>
                <c:pt idx="34">
                  <c:v>13906.363648219092</c:v>
                </c:pt>
                <c:pt idx="35">
                  <c:v>6918.1818234618177</c:v>
                </c:pt>
                <c:pt idx="36">
                  <c:v>2889.0909108745454</c:v>
                </c:pt>
                <c:pt idx="37">
                  <c:v>6742.727277431818</c:v>
                </c:pt>
                <c:pt idx="38">
                  <c:v>2831.8181824354547</c:v>
                </c:pt>
                <c:pt idx="39">
                  <c:v>3060.9090929154545</c:v>
                </c:pt>
                <c:pt idx="40">
                  <c:v>2713.636365681818</c:v>
                </c:pt>
                <c:pt idx="41">
                  <c:v>4146.3636390845459</c:v>
                </c:pt>
                <c:pt idx="42">
                  <c:v>10808.181825226362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xVal>
          <c:yVal>
            <c:numRef>
              <c:f>'Summary Data'!$F$2:$F$51</c:f>
              <c:numCache>
                <c:formatCode>0</c:formatCode>
                <c:ptCount val="50"/>
                <c:pt idx="1">
                  <c:v>338.18181851999998</c:v>
                </c:pt>
                <c:pt idx="2">
                  <c:v>593.43748723480758</c:v>
                </c:pt>
                <c:pt idx="3">
                  <c:v>646.56687047578885</c:v>
                </c:pt>
                <c:pt idx="4">
                  <c:v>942.09420942094198</c:v>
                </c:pt>
                <c:pt idx="5">
                  <c:v>398.34969412434202</c:v>
                </c:pt>
                <c:pt idx="6">
                  <c:v>818.05711435341061</c:v>
                </c:pt>
                <c:pt idx="7">
                  <c:v>920.86033187185569</c:v>
                </c:pt>
                <c:pt idx="8">
                  <c:v>148.14814829629631</c:v>
                </c:pt>
                <c:pt idx="9">
                  <c:v>355.55555555555554</c:v>
                </c:pt>
                <c:pt idx="10">
                  <c:v>147.53692389729324</c:v>
                </c:pt>
                <c:pt idx="11">
                  <c:v>332.62600213602002</c:v>
                </c:pt>
                <c:pt idx="12">
                  <c:v>183.63636381999999</c:v>
                </c:pt>
                <c:pt idx="13">
                  <c:v>59.717326279663268</c:v>
                </c:pt>
                <c:pt idx="14">
                  <c:v>170.72129748186089</c:v>
                </c:pt>
                <c:pt idx="15">
                  <c:v>105.38351696411165</c:v>
                </c:pt>
                <c:pt idx="16">
                  <c:v>18.065745765276283</c:v>
                </c:pt>
                <c:pt idx="17">
                  <c:v>212.65284444444444</c:v>
                </c:pt>
                <c:pt idx="18">
                  <c:v>32.822966679929486</c:v>
                </c:pt>
                <c:pt idx="19">
                  <c:v>138.18181831999999</c:v>
                </c:pt>
                <c:pt idx="20">
                  <c:v>132.72727286</c:v>
                </c:pt>
                <c:pt idx="21">
                  <c:v>90.909091000000004</c:v>
                </c:pt>
                <c:pt idx="22">
                  <c:v>81.818181899999999</c:v>
                </c:pt>
                <c:pt idx="23">
                  <c:v>110.90909101999999</c:v>
                </c:pt>
                <c:pt idx="24">
                  <c:v>112.72727284</c:v>
                </c:pt>
                <c:pt idx="25">
                  <c:v>109.0909092</c:v>
                </c:pt>
                <c:pt idx="26">
                  <c:v>32.727272759999998</c:v>
                </c:pt>
                <c:pt idx="27">
                  <c:v>69.090909090909079</c:v>
                </c:pt>
                <c:pt idx="28">
                  <c:v>98.181818181818173</c:v>
                </c:pt>
                <c:pt idx="29">
                  <c:v>187.27272727272725</c:v>
                </c:pt>
                <c:pt idx="30">
                  <c:v>76.363636439999993</c:v>
                </c:pt>
                <c:pt idx="31">
                  <c:v>169.09090925999999</c:v>
                </c:pt>
                <c:pt idx="32">
                  <c:v>123.63636363636363</c:v>
                </c:pt>
                <c:pt idx="33">
                  <c:v>198.18181837999998</c:v>
                </c:pt>
                <c:pt idx="34">
                  <c:v>174.54545472000001</c:v>
                </c:pt>
                <c:pt idx="35">
                  <c:v>74.545454620000001</c:v>
                </c:pt>
                <c:pt idx="36">
                  <c:v>32.727272759999998</c:v>
                </c:pt>
                <c:pt idx="37">
                  <c:v>81.818181899999999</c:v>
                </c:pt>
                <c:pt idx="38">
                  <c:v>50.909090909090907</c:v>
                </c:pt>
                <c:pt idx="39">
                  <c:v>36.363636399999997</c:v>
                </c:pt>
                <c:pt idx="40">
                  <c:v>27.2727273</c:v>
                </c:pt>
                <c:pt idx="41">
                  <c:v>60.000000059999998</c:v>
                </c:pt>
                <c:pt idx="42">
                  <c:v>154.54545469999999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4-6346-B679-A456C75A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29103"/>
        <c:axId val="1516790351"/>
      </c:scatterChart>
      <c:valAx>
        <c:axId val="1430729103"/>
        <c:scaling>
          <c:orientation val="minMax"/>
          <c:max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Annual AUC (fish 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90351"/>
        <c:crosses val="autoZero"/>
        <c:crossBetween val="midCat"/>
      </c:valAx>
      <c:valAx>
        <c:axId val="1516790351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Peak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2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polynomial</a:t>
            </a:r>
            <a:r>
              <a:rPr lang="en-CA" baseline="0"/>
              <a:t> regression  of peak count ratio and survey day, all surveys between 2002 - 2016</a:t>
            </a:r>
            <a:endParaRPr lang="en-CA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081049636438227E-2"/>
          <c:y val="0.25168254576693749"/>
          <c:w val="0.85297994161771884"/>
          <c:h val="0.665467846026327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intercept val="0"/>
            <c:dispRSqr val="1"/>
            <c:dispEq val="1"/>
            <c:trendlineLbl>
              <c:layout>
                <c:manualLayout>
                  <c:x val="0.17023396541910138"/>
                  <c:y val="0.17414364963153908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400" baseline="0"/>
                      <a:t>y = -3E-08x</a:t>
                    </a:r>
                    <a:r>
                      <a:rPr lang="en-US" sz="1400" baseline="30000"/>
                      <a:t>4</a:t>
                    </a:r>
                    <a:r>
                      <a:rPr lang="en-US" sz="1400" baseline="0"/>
                      <a:t> + 5E-06x</a:t>
                    </a:r>
                    <a:r>
                      <a:rPr lang="en-US" sz="1400" baseline="30000"/>
                      <a:t>3</a:t>
                    </a:r>
                    <a:r>
                      <a:rPr lang="en-US" sz="1400" baseline="0"/>
                      <a:t> - 0.0003x</a:t>
                    </a:r>
                    <a:r>
                      <a:rPr lang="en-US" sz="1400" baseline="30000"/>
                      <a:t>2</a:t>
                    </a:r>
                    <a:r>
                      <a:rPr lang="en-US" sz="1400" baseline="0"/>
                      <a:t> + 0.011x
R² = 0.7767</a:t>
                    </a:r>
                    <a:endParaRPr lang="en-US" sz="1400"/>
                  </a:p>
                </c:rich>
              </c:tx>
              <c:numFmt formatCode="General" sourceLinked="0"/>
            </c:trendlineLbl>
          </c:trendline>
          <c:xVal>
            <c:numRef>
              <c:f>'Time and Area Standardization'!$BB$84:$BB$168</c:f>
              <c:numCache>
                <c:formatCode>General</c:formatCode>
                <c:ptCount val="85"/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9">
                  <c:v>20</c:v>
                </c:pt>
                <c:pt idx="10">
                  <c:v>43</c:v>
                </c:pt>
                <c:pt idx="11">
                  <c:v>66</c:v>
                </c:pt>
                <c:pt idx="12">
                  <c:v>97</c:v>
                </c:pt>
                <c:pt idx="13">
                  <c:v>113</c:v>
                </c:pt>
                <c:pt idx="14">
                  <c:v>134</c:v>
                </c:pt>
                <c:pt idx="17">
                  <c:v>36</c:v>
                </c:pt>
                <c:pt idx="18">
                  <c:v>62</c:v>
                </c:pt>
                <c:pt idx="19">
                  <c:v>83</c:v>
                </c:pt>
                <c:pt idx="20">
                  <c:v>105</c:v>
                </c:pt>
                <c:pt idx="21">
                  <c:v>120</c:v>
                </c:pt>
                <c:pt idx="22">
                  <c:v>135</c:v>
                </c:pt>
                <c:pt idx="25">
                  <c:v>42</c:v>
                </c:pt>
                <c:pt idx="26">
                  <c:v>67</c:v>
                </c:pt>
                <c:pt idx="27">
                  <c:v>105</c:v>
                </c:pt>
                <c:pt idx="28">
                  <c:v>119</c:v>
                </c:pt>
                <c:pt idx="31">
                  <c:v>46</c:v>
                </c:pt>
                <c:pt idx="32">
                  <c:v>80</c:v>
                </c:pt>
                <c:pt idx="33">
                  <c:v>103</c:v>
                </c:pt>
                <c:pt idx="34">
                  <c:v>125</c:v>
                </c:pt>
                <c:pt idx="37">
                  <c:v>54</c:v>
                </c:pt>
                <c:pt idx="38">
                  <c:v>88</c:v>
                </c:pt>
                <c:pt idx="39">
                  <c:v>110</c:v>
                </c:pt>
                <c:pt idx="42">
                  <c:v>68</c:v>
                </c:pt>
                <c:pt idx="43">
                  <c:v>108</c:v>
                </c:pt>
                <c:pt idx="46">
                  <c:v>85</c:v>
                </c:pt>
                <c:pt idx="47">
                  <c:v>117</c:v>
                </c:pt>
                <c:pt idx="50">
                  <c:v>69</c:v>
                </c:pt>
                <c:pt idx="51">
                  <c:v>105</c:v>
                </c:pt>
                <c:pt idx="54">
                  <c:v>87</c:v>
                </c:pt>
                <c:pt idx="55">
                  <c:v>109</c:v>
                </c:pt>
                <c:pt idx="58">
                  <c:v>83</c:v>
                </c:pt>
                <c:pt idx="59">
                  <c:v>113</c:v>
                </c:pt>
                <c:pt idx="60">
                  <c:v>128</c:v>
                </c:pt>
                <c:pt idx="64">
                  <c:v>85</c:v>
                </c:pt>
                <c:pt idx="65">
                  <c:v>86</c:v>
                </c:pt>
                <c:pt idx="66">
                  <c:v>107</c:v>
                </c:pt>
                <c:pt idx="67">
                  <c:v>115</c:v>
                </c:pt>
                <c:pt idx="68">
                  <c:v>123</c:v>
                </c:pt>
                <c:pt idx="71">
                  <c:v>84</c:v>
                </c:pt>
                <c:pt idx="72">
                  <c:v>101</c:v>
                </c:pt>
                <c:pt idx="73">
                  <c:v>114</c:v>
                </c:pt>
                <c:pt idx="76">
                  <c:v>86</c:v>
                </c:pt>
                <c:pt idx="77">
                  <c:v>98</c:v>
                </c:pt>
                <c:pt idx="78">
                  <c:v>117</c:v>
                </c:pt>
                <c:pt idx="81">
                  <c:v>87</c:v>
                </c:pt>
                <c:pt idx="82">
                  <c:v>98</c:v>
                </c:pt>
                <c:pt idx="83">
                  <c:v>111</c:v>
                </c:pt>
              </c:numCache>
            </c:numRef>
          </c:xVal>
          <c:yVal>
            <c:numRef>
              <c:f>'Time and Area Standardization'!$BC$84:$BC$168</c:f>
            </c:numRef>
          </c:yVal>
          <c:smooth val="0"/>
          <c:extLst>
            <c:ext xmlns:c16="http://schemas.microsoft.com/office/drawing/2014/chart" uri="{C3380CC4-5D6E-409C-BE32-E72D297353CC}">
              <c16:uniqueId val="{00000001-5313-4FF9-9278-AF350230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1952"/>
        <c:axId val="104067840"/>
      </c:scatterChart>
      <c:valAx>
        <c:axId val="1040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067840"/>
        <c:crosses val="autoZero"/>
        <c:crossBetween val="midCat"/>
      </c:valAx>
      <c:valAx>
        <c:axId val="10406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0619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430000618929292"/>
          <c:y val="0.28600062028617013"/>
          <c:w val="0.1877270041556198"/>
          <c:h val="5.980293024020073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Linear</a:t>
            </a:r>
            <a:r>
              <a:rPr lang="en-CA" baseline="0"/>
              <a:t> regression of  peak count ratio and survey day with post peak surveys  (ie &lt;1 or after day 130) excluded, all surveys between 2002-2016</a:t>
            </a:r>
          </a:p>
          <a:p>
            <a:pPr>
              <a:defRPr/>
            </a:pPr>
            <a:endParaRPr lang="en-CA"/>
          </a:p>
        </c:rich>
      </c:tx>
      <c:layout>
        <c:manualLayout>
          <c:xMode val="edge"/>
          <c:yMode val="edge"/>
          <c:x val="9.8842021712358535E-2"/>
          <c:y val="2.124395325566160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1081049636438227E-2"/>
          <c:y val="0.25025681950915135"/>
          <c:w val="0.85297994161771884"/>
          <c:h val="0.666893682430311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6.1315938376288043E-2"/>
                  <c:y val="0.2792957343230713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en-US"/>
                </a:p>
              </c:txPr>
            </c:trendlineLbl>
          </c:trendline>
          <c:xVal>
            <c:numRef>
              <c:f>'Time and Area Standardization'!$BB$84:$BB$168</c:f>
              <c:numCache>
                <c:formatCode>General</c:formatCode>
                <c:ptCount val="85"/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9">
                  <c:v>20</c:v>
                </c:pt>
                <c:pt idx="10">
                  <c:v>43</c:v>
                </c:pt>
                <c:pt idx="11">
                  <c:v>66</c:v>
                </c:pt>
                <c:pt idx="12">
                  <c:v>97</c:v>
                </c:pt>
                <c:pt idx="13">
                  <c:v>113</c:v>
                </c:pt>
                <c:pt idx="14">
                  <c:v>134</c:v>
                </c:pt>
                <c:pt idx="17">
                  <c:v>36</c:v>
                </c:pt>
                <c:pt idx="18">
                  <c:v>62</c:v>
                </c:pt>
                <c:pt idx="19">
                  <c:v>83</c:v>
                </c:pt>
                <c:pt idx="20">
                  <c:v>105</c:v>
                </c:pt>
                <c:pt idx="21">
                  <c:v>120</c:v>
                </c:pt>
                <c:pt idx="22">
                  <c:v>135</c:v>
                </c:pt>
                <c:pt idx="25">
                  <c:v>42</c:v>
                </c:pt>
                <c:pt idx="26">
                  <c:v>67</c:v>
                </c:pt>
                <c:pt idx="27">
                  <c:v>105</c:v>
                </c:pt>
                <c:pt idx="28">
                  <c:v>119</c:v>
                </c:pt>
                <c:pt idx="31">
                  <c:v>46</c:v>
                </c:pt>
                <c:pt idx="32">
                  <c:v>80</c:v>
                </c:pt>
                <c:pt idx="33">
                  <c:v>103</c:v>
                </c:pt>
                <c:pt idx="34">
                  <c:v>125</c:v>
                </c:pt>
                <c:pt idx="37">
                  <c:v>54</c:v>
                </c:pt>
                <c:pt idx="38">
                  <c:v>88</c:v>
                </c:pt>
                <c:pt idx="39">
                  <c:v>110</c:v>
                </c:pt>
                <c:pt idx="42">
                  <c:v>68</c:v>
                </c:pt>
                <c:pt idx="43">
                  <c:v>108</c:v>
                </c:pt>
                <c:pt idx="46">
                  <c:v>85</c:v>
                </c:pt>
                <c:pt idx="47">
                  <c:v>117</c:v>
                </c:pt>
                <c:pt idx="50">
                  <c:v>69</c:v>
                </c:pt>
                <c:pt idx="51">
                  <c:v>105</c:v>
                </c:pt>
                <c:pt idx="54">
                  <c:v>87</c:v>
                </c:pt>
                <c:pt idx="55">
                  <c:v>109</c:v>
                </c:pt>
                <c:pt idx="58">
                  <c:v>83</c:v>
                </c:pt>
                <c:pt idx="59">
                  <c:v>113</c:v>
                </c:pt>
                <c:pt idx="60">
                  <c:v>128</c:v>
                </c:pt>
                <c:pt idx="64">
                  <c:v>85</c:v>
                </c:pt>
                <c:pt idx="65">
                  <c:v>86</c:v>
                </c:pt>
                <c:pt idx="66">
                  <c:v>107</c:v>
                </c:pt>
                <c:pt idx="67">
                  <c:v>115</c:v>
                </c:pt>
                <c:pt idx="68">
                  <c:v>123</c:v>
                </c:pt>
                <c:pt idx="71">
                  <c:v>84</c:v>
                </c:pt>
                <c:pt idx="72">
                  <c:v>101</c:v>
                </c:pt>
                <c:pt idx="73">
                  <c:v>114</c:v>
                </c:pt>
                <c:pt idx="76">
                  <c:v>86</c:v>
                </c:pt>
                <c:pt idx="77">
                  <c:v>98</c:v>
                </c:pt>
                <c:pt idx="78">
                  <c:v>117</c:v>
                </c:pt>
                <c:pt idx="81">
                  <c:v>87</c:v>
                </c:pt>
                <c:pt idx="82">
                  <c:v>98</c:v>
                </c:pt>
                <c:pt idx="83">
                  <c:v>111</c:v>
                </c:pt>
              </c:numCache>
            </c:numRef>
          </c:xVal>
          <c:yVal>
            <c:numRef>
              <c:f>'Time and Area Standardization'!$BD$84:$BD$168</c:f>
              <c:numCache>
                <c:formatCode>General</c:formatCode>
                <c:ptCount val="85"/>
                <c:pt idx="0">
                  <c:v>0</c:v>
                </c:pt>
                <c:pt idx="1">
                  <c:v>0.23287671232876711</c:v>
                </c:pt>
                <c:pt idx="2">
                  <c:v>0.21917808219178081</c:v>
                </c:pt>
                <c:pt idx="3">
                  <c:v>0.63013698630136983</c:v>
                </c:pt>
                <c:pt idx="4">
                  <c:v>0.68493150684931503</c:v>
                </c:pt>
                <c:pt idx="5">
                  <c:v>1</c:v>
                </c:pt>
                <c:pt idx="9">
                  <c:v>0.1</c:v>
                </c:pt>
                <c:pt idx="10">
                  <c:v>0.38</c:v>
                </c:pt>
                <c:pt idx="11">
                  <c:v>0.42</c:v>
                </c:pt>
                <c:pt idx="12">
                  <c:v>0.92</c:v>
                </c:pt>
                <c:pt idx="13">
                  <c:v>1</c:v>
                </c:pt>
                <c:pt idx="17">
                  <c:v>0.13333333333333333</c:v>
                </c:pt>
                <c:pt idx="18">
                  <c:v>0.53333333333333333</c:v>
                </c:pt>
                <c:pt idx="19">
                  <c:v>0.53333333333333333</c:v>
                </c:pt>
                <c:pt idx="20">
                  <c:v>1</c:v>
                </c:pt>
                <c:pt idx="25">
                  <c:v>0.14754098360655737</c:v>
                </c:pt>
                <c:pt idx="26">
                  <c:v>0.52459016393442626</c:v>
                </c:pt>
                <c:pt idx="27">
                  <c:v>1</c:v>
                </c:pt>
                <c:pt idx="31">
                  <c:v>0.5161290322580645</c:v>
                </c:pt>
                <c:pt idx="32">
                  <c:v>0.95161290322580649</c:v>
                </c:pt>
                <c:pt idx="33">
                  <c:v>1</c:v>
                </c:pt>
                <c:pt idx="34">
                  <c:v>1</c:v>
                </c:pt>
                <c:pt idx="37">
                  <c:v>0.3</c:v>
                </c:pt>
                <c:pt idx="38">
                  <c:v>0.83333333333333337</c:v>
                </c:pt>
                <c:pt idx="39">
                  <c:v>1</c:v>
                </c:pt>
                <c:pt idx="42">
                  <c:v>1</c:v>
                </c:pt>
                <c:pt idx="46">
                  <c:v>0.63157894736842102</c:v>
                </c:pt>
                <c:pt idx="47">
                  <c:v>1</c:v>
                </c:pt>
                <c:pt idx="50">
                  <c:v>0.77777777777777779</c:v>
                </c:pt>
                <c:pt idx="51">
                  <c:v>1</c:v>
                </c:pt>
                <c:pt idx="54">
                  <c:v>0.66019417475728159</c:v>
                </c:pt>
                <c:pt idx="55">
                  <c:v>1</c:v>
                </c:pt>
                <c:pt idx="58">
                  <c:v>0.7857142857142857</c:v>
                </c:pt>
                <c:pt idx="59">
                  <c:v>0.90476190476190477</c:v>
                </c:pt>
                <c:pt idx="60">
                  <c:v>1</c:v>
                </c:pt>
                <c:pt idx="64">
                  <c:v>0.9438202247191011</c:v>
                </c:pt>
                <c:pt idx="65">
                  <c:v>0.97752808988764039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71">
                  <c:v>0.47058823529411764</c:v>
                </c:pt>
                <c:pt idx="72">
                  <c:v>1</c:v>
                </c:pt>
                <c:pt idx="76">
                  <c:v>1</c:v>
                </c:pt>
                <c:pt idx="81">
                  <c:v>0.84375</c:v>
                </c:pt>
                <c:pt idx="82">
                  <c:v>0.97916666666666663</c:v>
                </c:pt>
                <c:pt idx="8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5-49F2-9488-4FACFA14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45600"/>
        <c:axId val="121147392"/>
      </c:scatterChart>
      <c:valAx>
        <c:axId val="12114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147392"/>
        <c:crosses val="autoZero"/>
        <c:crossBetween val="midCat"/>
      </c:valAx>
      <c:valAx>
        <c:axId val="12114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1456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6380545462724057E-2"/>
          <c:y val="0.29261492285613916"/>
          <c:w val="0.1877270041556198"/>
          <c:h val="5.980293024020073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339032542244042E-2"/>
          <c:y val="1.5040524856342042E-2"/>
          <c:w val="0.88769458199013107"/>
          <c:h val="0.92009497594711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'Time and Area Standardization'!$BE$2</c:f>
              <c:strCache>
                <c:ptCount val="1"/>
                <c:pt idx="0">
                  <c:v>Section 1 (upper)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rgbClr val="00B05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55570575344339046"/>
                  <c:y val="-1.5026271814805316E-2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Standardization'!$BF$85:$BF$167</c:f>
              <c:numCache>
                <c:formatCode>General</c:formatCode>
                <c:ptCount val="83"/>
                <c:pt idx="0">
                  <c:v>0.29411764705882354</c:v>
                </c:pt>
                <c:pt idx="1">
                  <c:v>0.25</c:v>
                </c:pt>
                <c:pt idx="2">
                  <c:v>0.2391304347826087</c:v>
                </c:pt>
                <c:pt idx="3">
                  <c:v>0.18</c:v>
                </c:pt>
                <c:pt idx="4">
                  <c:v>0.1388888888888889</c:v>
                </c:pt>
                <c:pt idx="5">
                  <c:v>0.10714285714285714</c:v>
                </c:pt>
                <c:pt idx="9">
                  <c:v>5.2631578947368418E-2</c:v>
                </c:pt>
                <c:pt idx="10" formatCode="0.0000">
                  <c:v>0.2857142857142857</c:v>
                </c:pt>
                <c:pt idx="11">
                  <c:v>0.21739130434782608</c:v>
                </c:pt>
                <c:pt idx="12">
                  <c:v>0.30434782608695654</c:v>
                </c:pt>
                <c:pt idx="13">
                  <c:v>0.6</c:v>
                </c:pt>
                <c:pt idx="16">
                  <c:v>0.4</c:v>
                </c:pt>
                <c:pt idx="17">
                  <c:v>4.7619047619047616E-2</c:v>
                </c:pt>
                <c:pt idx="18">
                  <c:v>0.25</c:v>
                </c:pt>
                <c:pt idx="19">
                  <c:v>0.39473684210526316</c:v>
                </c:pt>
                <c:pt idx="20">
                  <c:v>0.1</c:v>
                </c:pt>
                <c:pt idx="21">
                  <c:v>0.15384615384615385</c:v>
                </c:pt>
                <c:pt idx="24">
                  <c:v>0.1111111111111111</c:v>
                </c:pt>
                <c:pt idx="25">
                  <c:v>9.375E-2</c:v>
                </c:pt>
                <c:pt idx="26">
                  <c:v>0.1864406779661017</c:v>
                </c:pt>
                <c:pt idx="27">
                  <c:v>0.22222222222222221</c:v>
                </c:pt>
                <c:pt idx="30">
                  <c:v>0.375</c:v>
                </c:pt>
                <c:pt idx="31">
                  <c:v>0.28813559322033899</c:v>
                </c:pt>
                <c:pt idx="32">
                  <c:v>9.6774193548387094E-2</c:v>
                </c:pt>
                <c:pt idx="33">
                  <c:v>0.19354838709677419</c:v>
                </c:pt>
                <c:pt idx="36">
                  <c:v>0.22222222222222221</c:v>
                </c:pt>
                <c:pt idx="37">
                  <c:v>0.12</c:v>
                </c:pt>
                <c:pt idx="38">
                  <c:v>0.16666666666666666</c:v>
                </c:pt>
                <c:pt idx="41">
                  <c:v>0.1111111111111111</c:v>
                </c:pt>
                <c:pt idx="42">
                  <c:v>5.5555555555555552E-2</c:v>
                </c:pt>
                <c:pt idx="45">
                  <c:v>0.13157894736842105</c:v>
                </c:pt>
                <c:pt idx="46">
                  <c:v>0.31578947368421051</c:v>
                </c:pt>
                <c:pt idx="50">
                  <c:v>0.44444444444444442</c:v>
                </c:pt>
                <c:pt idx="53">
                  <c:v>5.8252427184466021E-2</c:v>
                </c:pt>
                <c:pt idx="54">
                  <c:v>0.18446601941747573</c:v>
                </c:pt>
                <c:pt idx="57">
                  <c:v>0.26190476190476192</c:v>
                </c:pt>
                <c:pt idx="58">
                  <c:v>0.21428571428571427</c:v>
                </c:pt>
                <c:pt idx="59">
                  <c:v>0.11904761904761904</c:v>
                </c:pt>
                <c:pt idx="60">
                  <c:v>0.14285714285714285</c:v>
                </c:pt>
                <c:pt idx="63">
                  <c:v>0.23655913978494625</c:v>
                </c:pt>
                <c:pt idx="64">
                  <c:v>0.23655913978494625</c:v>
                </c:pt>
                <c:pt idx="65">
                  <c:v>0.15053763440860216</c:v>
                </c:pt>
                <c:pt idx="66">
                  <c:v>0.34408602150537637</c:v>
                </c:pt>
                <c:pt idx="67">
                  <c:v>0.4838709677419355</c:v>
                </c:pt>
                <c:pt idx="70">
                  <c:v>5.8823529411764705E-2</c:v>
                </c:pt>
                <c:pt idx="71">
                  <c:v>0.25</c:v>
                </c:pt>
                <c:pt idx="72">
                  <c:v>2.9411764705882353E-2</c:v>
                </c:pt>
                <c:pt idx="76">
                  <c:v>1.834862385321101E-2</c:v>
                </c:pt>
                <c:pt idx="77">
                  <c:v>8.2568807339449546E-2</c:v>
                </c:pt>
                <c:pt idx="80">
                  <c:v>0.16666666666666666</c:v>
                </c:pt>
                <c:pt idx="81">
                  <c:v>0.16666666666666666</c:v>
                </c:pt>
                <c:pt idx="82">
                  <c:v>0.3125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D-41DF-B054-84941917FDB5}"/>
            </c:ext>
          </c:extLst>
        </c:ser>
        <c:ser>
          <c:idx val="3"/>
          <c:order val="1"/>
          <c:tx>
            <c:strRef>
              <c:f>'Time and Area Standardization'!$BG$2</c:f>
              <c:strCache>
                <c:ptCount val="1"/>
                <c:pt idx="0">
                  <c:v>Section 2 (middle)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rgbClr val="7030A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53443533423047052"/>
                  <c:y val="-0.48042727873251001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Standardization'!$BH$85:$BH$167</c:f>
              <c:numCache>
                <c:formatCode>General</c:formatCode>
                <c:ptCount val="83"/>
                <c:pt idx="0">
                  <c:v>0.6470588235294118</c:v>
                </c:pt>
                <c:pt idx="1">
                  <c:v>0.75</c:v>
                </c:pt>
                <c:pt idx="2">
                  <c:v>0.63043478260869568</c:v>
                </c:pt>
                <c:pt idx="3">
                  <c:v>0.6</c:v>
                </c:pt>
                <c:pt idx="4">
                  <c:v>0.31944444444444442</c:v>
                </c:pt>
                <c:pt idx="5">
                  <c:v>0.32142857142857145</c:v>
                </c:pt>
                <c:pt idx="9">
                  <c:v>0.78947368421052633</c:v>
                </c:pt>
                <c:pt idx="10">
                  <c:v>0.61904761904761907</c:v>
                </c:pt>
                <c:pt idx="11">
                  <c:v>0.34782608695652173</c:v>
                </c:pt>
                <c:pt idx="12">
                  <c:v>0.28260869565217389</c:v>
                </c:pt>
                <c:pt idx="13">
                  <c:v>0</c:v>
                </c:pt>
                <c:pt idx="16">
                  <c:v>0.5</c:v>
                </c:pt>
                <c:pt idx="17">
                  <c:v>0.95238095238095233</c:v>
                </c:pt>
                <c:pt idx="18">
                  <c:v>0.54166666666666663</c:v>
                </c:pt>
                <c:pt idx="19">
                  <c:v>0.31578947368421051</c:v>
                </c:pt>
                <c:pt idx="20">
                  <c:v>0.7</c:v>
                </c:pt>
                <c:pt idx="21">
                  <c:v>0.26923076923076922</c:v>
                </c:pt>
                <c:pt idx="24">
                  <c:v>0.66666666666666663</c:v>
                </c:pt>
                <c:pt idx="25">
                  <c:v>0.5625</c:v>
                </c:pt>
                <c:pt idx="26">
                  <c:v>0.49152542372881358</c:v>
                </c:pt>
                <c:pt idx="27">
                  <c:v>0.35555555555555557</c:v>
                </c:pt>
                <c:pt idx="30">
                  <c:v>0.53125</c:v>
                </c:pt>
                <c:pt idx="31">
                  <c:v>0.5423728813559322</c:v>
                </c:pt>
                <c:pt idx="32">
                  <c:v>0.40322580645161288</c:v>
                </c:pt>
                <c:pt idx="33">
                  <c:v>0.32258064516129031</c:v>
                </c:pt>
                <c:pt idx="36">
                  <c:v>0.72222222222222221</c:v>
                </c:pt>
                <c:pt idx="37">
                  <c:v>0.57999999999999996</c:v>
                </c:pt>
                <c:pt idx="38">
                  <c:v>0.8833333333333333</c:v>
                </c:pt>
                <c:pt idx="41">
                  <c:v>0.83333333333333337</c:v>
                </c:pt>
                <c:pt idx="42">
                  <c:v>0.33333333333333331</c:v>
                </c:pt>
                <c:pt idx="45">
                  <c:v>0.47368421052631576</c:v>
                </c:pt>
                <c:pt idx="46">
                  <c:v>0.52631578947368418</c:v>
                </c:pt>
                <c:pt idx="50">
                  <c:v>0.48148148148148145</c:v>
                </c:pt>
                <c:pt idx="53">
                  <c:v>0.49514563106796117</c:v>
                </c:pt>
                <c:pt idx="54">
                  <c:v>0.58252427184466016</c:v>
                </c:pt>
                <c:pt idx="57">
                  <c:v>0.35714285714285715</c:v>
                </c:pt>
                <c:pt idx="58">
                  <c:v>0.5</c:v>
                </c:pt>
                <c:pt idx="59">
                  <c:v>0.35714285714285715</c:v>
                </c:pt>
                <c:pt idx="60">
                  <c:v>0.14285714285714285</c:v>
                </c:pt>
                <c:pt idx="63">
                  <c:v>0.45161290322580644</c:v>
                </c:pt>
                <c:pt idx="64">
                  <c:v>0.35483870967741937</c:v>
                </c:pt>
                <c:pt idx="65">
                  <c:v>0.38709677419354838</c:v>
                </c:pt>
                <c:pt idx="66">
                  <c:v>0.26881720430107525</c:v>
                </c:pt>
                <c:pt idx="67">
                  <c:v>0.25806451612903225</c:v>
                </c:pt>
                <c:pt idx="70">
                  <c:v>0.38235294117647056</c:v>
                </c:pt>
                <c:pt idx="71">
                  <c:v>0.51470588235294112</c:v>
                </c:pt>
                <c:pt idx="72">
                  <c:v>0.58823529411764708</c:v>
                </c:pt>
                <c:pt idx="76">
                  <c:v>0.52293577981651373</c:v>
                </c:pt>
                <c:pt idx="77">
                  <c:v>0.40366972477064222</c:v>
                </c:pt>
                <c:pt idx="80">
                  <c:v>0.42708333333333331</c:v>
                </c:pt>
                <c:pt idx="81">
                  <c:v>0.41666666666666669</c:v>
                </c:pt>
                <c:pt idx="82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DD-41DF-B054-84941917FDB5}"/>
            </c:ext>
          </c:extLst>
        </c:ser>
        <c:ser>
          <c:idx val="4"/>
          <c:order val="2"/>
          <c:tx>
            <c:strRef>
              <c:f>'Time and Area Standardization'!$BI$2</c:f>
              <c:strCache>
                <c:ptCount val="1"/>
                <c:pt idx="0">
                  <c:v>Section 3 (lower)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633988739049687E-2"/>
                  <c:y val="-2.163489631496612E-2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Standardization'!$BJ$85:$BJ$167</c:f>
              <c:numCache>
                <c:formatCode>General</c:formatCode>
                <c:ptCount val="83"/>
                <c:pt idx="0">
                  <c:v>5.8823529411764705E-2</c:v>
                </c:pt>
                <c:pt idx="1">
                  <c:v>0</c:v>
                </c:pt>
                <c:pt idx="2">
                  <c:v>0.13043478260869565</c:v>
                </c:pt>
                <c:pt idx="3">
                  <c:v>0.22</c:v>
                </c:pt>
                <c:pt idx="4">
                  <c:v>0.47222222222222221</c:v>
                </c:pt>
                <c:pt idx="5">
                  <c:v>0.5714285714285714</c:v>
                </c:pt>
                <c:pt idx="9">
                  <c:v>0.15789473684210525</c:v>
                </c:pt>
                <c:pt idx="10">
                  <c:v>9.5238095238095233E-2</c:v>
                </c:pt>
                <c:pt idx="11">
                  <c:v>0.43478260869565216</c:v>
                </c:pt>
                <c:pt idx="12">
                  <c:v>0.52777777777777779</c:v>
                </c:pt>
                <c:pt idx="13">
                  <c:v>0.4</c:v>
                </c:pt>
                <c:pt idx="16">
                  <c:v>0.16666666666666666</c:v>
                </c:pt>
                <c:pt idx="17">
                  <c:v>0</c:v>
                </c:pt>
                <c:pt idx="18">
                  <c:v>0.20833333333333334</c:v>
                </c:pt>
                <c:pt idx="19">
                  <c:v>0.28947368421052633</c:v>
                </c:pt>
                <c:pt idx="20">
                  <c:v>0.2</c:v>
                </c:pt>
                <c:pt idx="21">
                  <c:v>0.57692307692307687</c:v>
                </c:pt>
                <c:pt idx="24">
                  <c:v>0.1111111111111111</c:v>
                </c:pt>
                <c:pt idx="25">
                  <c:v>0.3125</c:v>
                </c:pt>
                <c:pt idx="26">
                  <c:v>0.32203389830508472</c:v>
                </c:pt>
                <c:pt idx="27">
                  <c:v>0.42222222222222222</c:v>
                </c:pt>
                <c:pt idx="30">
                  <c:v>9.375E-2</c:v>
                </c:pt>
                <c:pt idx="31">
                  <c:v>0.16949152542372881</c:v>
                </c:pt>
                <c:pt idx="32">
                  <c:v>0.38709677419354838</c:v>
                </c:pt>
                <c:pt idx="33">
                  <c:v>0.4838709677419355</c:v>
                </c:pt>
                <c:pt idx="36">
                  <c:v>5.5555555555555552E-2</c:v>
                </c:pt>
                <c:pt idx="37">
                  <c:v>0.3</c:v>
                </c:pt>
                <c:pt idx="38">
                  <c:v>0.28333333333333333</c:v>
                </c:pt>
                <c:pt idx="41">
                  <c:v>5.5555555555555552E-2</c:v>
                </c:pt>
                <c:pt idx="42">
                  <c:v>0.61111111111111116</c:v>
                </c:pt>
                <c:pt idx="45">
                  <c:v>2.6315789473684209E-2</c:v>
                </c:pt>
                <c:pt idx="46">
                  <c:v>0.15789473684210525</c:v>
                </c:pt>
                <c:pt idx="50">
                  <c:v>7.407407407407407E-2</c:v>
                </c:pt>
                <c:pt idx="53">
                  <c:v>0.10679611650485436</c:v>
                </c:pt>
                <c:pt idx="54">
                  <c:v>0.23300970873786409</c:v>
                </c:pt>
                <c:pt idx="57">
                  <c:v>0.21428571428571427</c:v>
                </c:pt>
                <c:pt idx="58">
                  <c:v>0.21428571428571427</c:v>
                </c:pt>
                <c:pt idx="59">
                  <c:v>0.61904761904761907</c:v>
                </c:pt>
                <c:pt idx="60">
                  <c:v>0.35714285714285715</c:v>
                </c:pt>
                <c:pt idx="63">
                  <c:v>0.21505376344086022</c:v>
                </c:pt>
                <c:pt idx="64">
                  <c:v>0.34408602150537637</c:v>
                </c:pt>
                <c:pt idx="65">
                  <c:v>0.46236559139784944</c:v>
                </c:pt>
                <c:pt idx="66">
                  <c:v>0.34408602150537637</c:v>
                </c:pt>
                <c:pt idx="67">
                  <c:v>0.21505376344086022</c:v>
                </c:pt>
                <c:pt idx="70">
                  <c:v>0.13235294117647059</c:v>
                </c:pt>
                <c:pt idx="71">
                  <c:v>0.23529411764705882</c:v>
                </c:pt>
                <c:pt idx="72">
                  <c:v>0.29411764705882354</c:v>
                </c:pt>
                <c:pt idx="76">
                  <c:v>0.43119266055045874</c:v>
                </c:pt>
                <c:pt idx="77">
                  <c:v>0.25688073394495414</c:v>
                </c:pt>
                <c:pt idx="80">
                  <c:v>0.25</c:v>
                </c:pt>
                <c:pt idx="81">
                  <c:v>0.39583333333333331</c:v>
                </c:pt>
                <c:pt idx="82">
                  <c:v>0.35416666666666669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DD-41DF-B054-84941917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94112"/>
        <c:axId val="124404096"/>
      </c:scatterChart>
      <c:valAx>
        <c:axId val="12439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404096"/>
        <c:crosses val="autoZero"/>
        <c:crossBetween val="midCat"/>
      </c:valAx>
      <c:valAx>
        <c:axId val="124404096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3941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325827320837951"/>
          <c:y val="4.1955541107603765E-2"/>
          <c:w val="0.23025063619696065"/>
          <c:h val="0.2696228323470381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2002-2018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Unadjusted Raw Swim Counts</a:t>
            </a:r>
          </a:p>
        </c:rich>
      </c:tx>
      <c:layout>
        <c:manualLayout>
          <c:xMode val="edge"/>
          <c:yMode val="edge"/>
          <c:x val="0.26195795923280879"/>
          <c:y val="0.172718847094490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02498403776317"/>
          <c:y val="0.27600745400763871"/>
          <c:w val="0.8149197251560174"/>
          <c:h val="0.52361666221698844"/>
        </c:manualLayout>
      </c:layout>
      <c:scatterChart>
        <c:scatterStyle val="smoothMarker"/>
        <c:varyColors val="0"/>
        <c:ser>
          <c:idx val="19"/>
          <c:order val="0"/>
          <c:tx>
            <c:strRef>
              <c:f>'Time and Area Standardization'!$A$186</c:f>
              <c:strCache>
                <c:ptCount val="1"/>
                <c:pt idx="0">
                  <c:v>2021</c:v>
                </c:pt>
              </c:strCache>
            </c:strRef>
          </c:tx>
          <c:xVal>
            <c:numRef>
              <c:f>'Time and Area Standardization'!$B$186:$B$190</c:f>
              <c:numCache>
                <c:formatCode>General</c:formatCode>
                <c:ptCount val="5"/>
                <c:pt idx="0">
                  <c:v>1</c:v>
                </c:pt>
                <c:pt idx="1">
                  <c:v>69</c:v>
                </c:pt>
                <c:pt idx="2">
                  <c:v>90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Standardization'!$G$186:$G$190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7B-4188-9A1E-82C380B199F6}"/>
            </c:ext>
          </c:extLst>
        </c:ser>
        <c:ser>
          <c:idx val="17"/>
          <c:order val="1"/>
          <c:tx>
            <c:strRef>
              <c:f>'Time and Area Standardization'!$A$182</c:f>
              <c:strCache>
                <c:ptCount val="1"/>
                <c:pt idx="0">
                  <c:v>2020</c:v>
                </c:pt>
              </c:strCache>
            </c:strRef>
          </c:tx>
          <c:xVal>
            <c:numRef>
              <c:f>'Time and Area Standardization'!$B$182:$B$185</c:f>
              <c:numCache>
                <c:formatCode>General</c:formatCode>
                <c:ptCount val="4"/>
                <c:pt idx="0">
                  <c:v>1</c:v>
                </c:pt>
                <c:pt idx="1">
                  <c:v>65</c:v>
                </c:pt>
                <c:pt idx="2">
                  <c:v>98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Standardization'!$G$182:$G$185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7B-4188-9A1E-82C380B199F6}"/>
            </c:ext>
          </c:extLst>
        </c:ser>
        <c:ser>
          <c:idx val="18"/>
          <c:order val="2"/>
          <c:tx>
            <c:strRef>
              <c:f>'Time and Area Standardization'!$A$178</c:f>
              <c:strCache>
                <c:ptCount val="1"/>
                <c:pt idx="0">
                  <c:v>2019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</c:spPr>
          </c:marker>
          <c:xVal>
            <c:numRef>
              <c:f>'Time and Area Standardization'!$B$178:$B$181</c:f>
              <c:numCache>
                <c:formatCode>General</c:formatCode>
                <c:ptCount val="4"/>
                <c:pt idx="0">
                  <c:v>1</c:v>
                </c:pt>
                <c:pt idx="1">
                  <c:v>92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Standardization'!$G$178:$G$181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B82-4DBA-80DA-17C98CF295BC}"/>
            </c:ext>
          </c:extLst>
        </c:ser>
        <c:ser>
          <c:idx val="16"/>
          <c:order val="3"/>
          <c:tx>
            <c:strRef>
              <c:f>'Time and Area Standardization'!$A$174</c:f>
              <c:strCache>
                <c:ptCount val="1"/>
                <c:pt idx="0">
                  <c:v>2018</c:v>
                </c:pt>
              </c:strCache>
            </c:strRef>
          </c:tx>
          <c:spPr>
            <a:ln w="47625">
              <a:solidFill>
                <a:srgbClr val="FF0000"/>
              </a:solidFill>
            </a:ln>
          </c:spPr>
          <c:marker>
            <c:spPr>
              <a:solidFill>
                <a:srgbClr val="F79646">
                  <a:lumMod val="40000"/>
                  <a:lumOff val="60000"/>
                </a:srgbClr>
              </a:solidFill>
            </c:spPr>
          </c:marker>
          <c:dPt>
            <c:idx val="1"/>
            <c:bubble3D val="0"/>
            <c:spPr>
              <a:ln w="47625">
                <a:solidFill>
                  <a:srgbClr val="F79646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B82-4DBA-80DA-17C98CF295BC}"/>
              </c:ext>
            </c:extLst>
          </c:dPt>
          <c:xVal>
            <c:numRef>
              <c:f>'Time and Area Standardization'!$B$174:$B$177</c:f>
              <c:numCache>
                <c:formatCode>General</c:formatCode>
                <c:ptCount val="4"/>
                <c:pt idx="0">
                  <c:v>1</c:v>
                </c:pt>
                <c:pt idx="1">
                  <c:v>75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Standardization'!$G$174:$G$177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82-4DBA-80DA-17C98CF295BC}"/>
            </c:ext>
          </c:extLst>
        </c:ser>
        <c:ser>
          <c:idx val="15"/>
          <c:order val="4"/>
          <c:tx>
            <c:strRef>
              <c:f>'Time and Area Standardization'!$A$172</c:f>
              <c:strCache>
                <c:ptCount val="1"/>
                <c:pt idx="0">
                  <c:v>2017</c:v>
                </c:pt>
              </c:strCache>
            </c:strRef>
          </c:tx>
          <c:spPr>
            <a:ln w="25400">
              <a:solidFill>
                <a:srgbClr val="F79646">
                  <a:lumMod val="50000"/>
                </a:srgbClr>
              </a:solidFill>
              <a:miter lim="800000"/>
            </a:ln>
          </c:spPr>
          <c:marker>
            <c:spPr>
              <a:solidFill>
                <a:srgbClr val="F79646">
                  <a:lumMod val="50000"/>
                </a:srgbClr>
              </a:solidFill>
              <a:ln>
                <a:solidFill>
                  <a:srgbClr val="F79646">
                    <a:lumMod val="50000"/>
                  </a:srgbClr>
                </a:solidFill>
              </a:ln>
            </c:spPr>
          </c:marker>
          <c:xVal>
            <c:numRef>
              <c:f>'Time and Area Standardization'!$B$169:$B$173</c:f>
              <c:numCache>
                <c:formatCode>General</c:formatCode>
                <c:ptCount val="5"/>
                <c:pt idx="0">
                  <c:v>1</c:v>
                </c:pt>
                <c:pt idx="1">
                  <c:v>68</c:v>
                </c:pt>
                <c:pt idx="2">
                  <c:v>94</c:v>
                </c:pt>
                <c:pt idx="3">
                  <c:v>121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Standardization'!$G$169:$G$173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82-4DBA-80DA-17C98CF295BC}"/>
            </c:ext>
          </c:extLst>
        </c:ser>
        <c:ser>
          <c:idx val="14"/>
          <c:order val="5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82-4DBA-80DA-17C98CF295BC}"/>
            </c:ext>
          </c:extLst>
        </c:ser>
        <c:ser>
          <c:idx val="13"/>
          <c:order val="6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82-4DBA-80DA-17C98CF295BC}"/>
            </c:ext>
          </c:extLst>
        </c:ser>
        <c:ser>
          <c:idx val="12"/>
          <c:order val="7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82-4DBA-80DA-17C98CF295BC}"/>
            </c:ext>
          </c:extLst>
        </c:ser>
        <c:ser>
          <c:idx val="11"/>
          <c:order val="8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82-4DBA-80DA-17C98CF295BC}"/>
            </c:ext>
          </c:extLst>
        </c:ser>
        <c:ser>
          <c:idx val="10"/>
          <c:order val="9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B82-4DBA-80DA-17C98CF295BC}"/>
            </c:ext>
          </c:extLst>
        </c:ser>
        <c:ser>
          <c:idx val="9"/>
          <c:order val="10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A-EB82-4DBA-80DA-17C98CF295BC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B82-4DBA-80DA-17C98CF295BC}"/>
            </c:ext>
          </c:extLst>
        </c:ser>
        <c:ser>
          <c:idx val="8"/>
          <c:order val="11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44450">
              <a:solidFill>
                <a:srgbClr val="00B0F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B82-4DBA-80DA-17C98CF295BC}"/>
            </c:ext>
          </c:extLst>
        </c:ser>
        <c:ser>
          <c:idx val="7"/>
          <c:order val="12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B82-4DBA-80DA-17C98CF295BC}"/>
            </c:ext>
          </c:extLst>
        </c:ser>
        <c:ser>
          <c:idx val="6"/>
          <c:order val="13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dPt>
            <c:idx val="2"/>
            <c:bubble3D val="0"/>
            <c:spPr>
              <a:ln w="25400">
                <a:solidFill>
                  <a:srgbClr val="F79646">
                    <a:lumMod val="40000"/>
                    <a:lumOff val="60000"/>
                  </a:srgb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82-4DBA-80DA-17C98CF295BC}"/>
              </c:ext>
            </c:extLst>
          </c:dPt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B82-4DBA-80DA-17C98CF295BC}"/>
            </c:ext>
          </c:extLst>
        </c:ser>
        <c:ser>
          <c:idx val="5"/>
          <c:order val="14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B82-4DBA-80DA-17C98CF295BC}"/>
            </c:ext>
          </c:extLst>
        </c:ser>
        <c:ser>
          <c:idx val="4"/>
          <c:order val="15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B82-4DBA-80DA-17C98CF295BC}"/>
            </c:ext>
          </c:extLst>
        </c:ser>
        <c:ser>
          <c:idx val="3"/>
          <c:order val="16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B82-4DBA-80DA-17C98CF295BC}"/>
            </c:ext>
          </c:extLst>
        </c:ser>
        <c:ser>
          <c:idx val="0"/>
          <c:order val="17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B82-4DBA-80DA-17C98CF295BC}"/>
            </c:ext>
          </c:extLst>
        </c:ser>
        <c:ser>
          <c:idx val="1"/>
          <c:order val="18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B82-4DBA-80DA-17C98CF295BC}"/>
            </c:ext>
          </c:extLst>
        </c:ser>
        <c:ser>
          <c:idx val="2"/>
          <c:order val="19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B82-4DBA-80DA-17C98CF2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3456"/>
        <c:axId val="125045760"/>
      </c:scatterChart>
      <c:valAx>
        <c:axId val="125043456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3512651819554832"/>
              <c:y val="0.861906353458050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5760"/>
        <c:crosses val="autoZero"/>
        <c:crossBetween val="midCat"/>
        <c:majorUnit val="20"/>
      </c:valAx>
      <c:valAx>
        <c:axId val="1250457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345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475480562964476"/>
          <c:y val="0.28864474963611492"/>
          <c:w val="0.26714254904905055"/>
          <c:h val="0.1772929470479986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400"/>
              <a:t>Comparison</a:t>
            </a:r>
            <a:r>
              <a:rPr lang="en-CA" sz="1400" baseline="0"/>
              <a:t> </a:t>
            </a:r>
            <a:r>
              <a:rPr lang="en-CA" sz="1400"/>
              <a:t>of  calibrated annual steelhead</a:t>
            </a:r>
            <a:r>
              <a:rPr lang="en-CA" sz="1400" baseline="0"/>
              <a:t> peak counts, abundance estimates from AUC (fixed 0.55 observed efficiency  in all years) and estimates  derived from the average ratio of a peak count  to  MLE  derived population </a:t>
            </a:r>
            <a:endParaRPr lang="en-CA" sz="1400"/>
          </a:p>
        </c:rich>
      </c:tx>
      <c:layout>
        <c:manualLayout>
          <c:xMode val="edge"/>
          <c:yMode val="edge"/>
          <c:x val="0.12942388570055111"/>
          <c:y val="2.197049274223401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3738802440554077E-2"/>
          <c:y val="0.1642560268257279"/>
          <c:w val="0.88864495765350937"/>
          <c:h val="0.68748649066028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and Area Standardization'!$AK$2</c:f>
              <c:strCache>
                <c:ptCount val="1"/>
                <c:pt idx="0">
                  <c:v>Steelhead Population Estimate (AUC - fixed at 50 days residence time and 0.55 observer efficiency, these data include spatially and temporally calibrated surveys for incomplete or non-peak surveys before 1998)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Standardization'!$AK$4:$AK$190</c:f>
              <c:numCache>
                <c:formatCode>0</c:formatCode>
                <c:ptCount val="187"/>
                <c:pt idx="1">
                  <c:v>506.99300699300693</c:v>
                </c:pt>
                <c:pt idx="4">
                  <c:v>838.80120669400048</c:v>
                </c:pt>
                <c:pt idx="9">
                  <c:v>1306.8862182865973</c:v>
                </c:pt>
                <c:pt idx="13">
                  <c:v>1849.7925592559257</c:v>
                </c:pt>
                <c:pt idx="17">
                  <c:v>760.5292360221938</c:v>
                </c:pt>
                <c:pt idx="21">
                  <c:v>1581.337124329717</c:v>
                </c:pt>
                <c:pt idx="25">
                  <c:v>1841.3523196109627</c:v>
                </c:pt>
                <c:pt idx="29">
                  <c:v>278.23299663299656</c:v>
                </c:pt>
                <c:pt idx="34">
                  <c:v>536.71111111111111</c:v>
                </c:pt>
                <c:pt idx="38">
                  <c:v>238.5718088553769</c:v>
                </c:pt>
                <c:pt idx="43">
                  <c:v>679.64473138446556</c:v>
                </c:pt>
                <c:pt idx="47">
                  <c:v>225.39919036718013</c:v>
                </c:pt>
                <c:pt idx="51">
                  <c:v>86.541752071225204</c:v>
                </c:pt>
                <c:pt idx="55">
                  <c:v>341.57917200170721</c:v>
                </c:pt>
                <c:pt idx="59">
                  <c:v>202.65671846266522</c:v>
                </c:pt>
                <c:pt idx="63">
                  <c:v>36.281979192777314</c:v>
                </c:pt>
                <c:pt idx="67">
                  <c:v>325.19817740821691</c:v>
                </c:pt>
                <c:pt idx="72">
                  <c:v>65.806698675154877</c:v>
                </c:pt>
                <c:pt idx="76">
                  <c:v>223.62213686157349</c:v>
                </c:pt>
                <c:pt idx="87">
                  <c:v>191.21818181818179</c:v>
                </c:pt>
                <c:pt idx="95">
                  <c:v>127.09090909090907</c:v>
                </c:pt>
                <c:pt idx="103">
                  <c:v>111.12727272727273</c:v>
                </c:pt>
                <c:pt idx="109">
                  <c:v>139.45454545454541</c:v>
                </c:pt>
                <c:pt idx="115">
                  <c:v>211.94545454545457</c:v>
                </c:pt>
                <c:pt idx="120">
                  <c:v>121.67272727272726</c:v>
                </c:pt>
                <c:pt idx="124">
                  <c:v>60.981818181818177</c:v>
                </c:pt>
                <c:pt idx="128">
                  <c:v>96.218181818181804</c:v>
                </c:pt>
                <c:pt idx="132">
                  <c:v>159.92727272727271</c:v>
                </c:pt>
                <c:pt idx="136">
                  <c:v>253.38181818181818</c:v>
                </c:pt>
                <c:pt idx="142">
                  <c:v>128.70909090909089</c:v>
                </c:pt>
                <c:pt idx="149">
                  <c:v>297.8</c:v>
                </c:pt>
                <c:pt idx="154">
                  <c:v>164.36363636363637</c:v>
                </c:pt>
                <c:pt idx="159">
                  <c:v>330.0363636363636</c:v>
                </c:pt>
                <c:pt idx="164">
                  <c:v>278.12727272727273</c:v>
                </c:pt>
                <c:pt idx="169">
                  <c:v>138.36363636363632</c:v>
                </c:pt>
                <c:pt idx="173">
                  <c:v>58.436363636363637</c:v>
                </c:pt>
                <c:pt idx="177">
                  <c:v>134.85454545454544</c:v>
                </c:pt>
                <c:pt idx="181">
                  <c:v>56.127272727272718</c:v>
                </c:pt>
                <c:pt idx="186">
                  <c:v>61.218181818181812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0-4CA6-9008-A9B9B3A3E831}"/>
            </c:ext>
          </c:extLst>
        </c:ser>
        <c:ser>
          <c:idx val="2"/>
          <c:order val="1"/>
          <c:tx>
            <c:strRef>
              <c:f>'Time and Area Standardization'!$AQ$2</c:f>
              <c:strCache>
                <c:ptCount val="1"/>
                <c:pt idx="0">
                  <c:v>Abundance estimates derived from average MLE / peak ratio or with Calibrated OE estimates (2012-2014)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Standardization'!$AQ$3:$AQ$181</c:f>
            </c:numRef>
          </c:val>
          <c:extLst>
            <c:ext xmlns:c16="http://schemas.microsoft.com/office/drawing/2014/chart" uri="{C3380CC4-5D6E-409C-BE32-E72D297353CC}">
              <c16:uniqueId val="{00000001-0CA0-4CA6-9008-A9B9B3A3E831}"/>
            </c:ext>
          </c:extLst>
        </c:ser>
        <c:ser>
          <c:idx val="1"/>
          <c:order val="2"/>
          <c:tx>
            <c:strRef>
              <c:f>'Time and Area Standardization'!$AL$2</c:f>
              <c:strCache>
                <c:ptCount val="1"/>
                <c:pt idx="0">
                  <c:v>Annual Peak Count (observer efficiency of 0.55 applied, spatially and temporally calibrated for non-peak and incomplete historic surveys prior to 1998)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Standardization'!$AL$4:$AL$190</c:f>
              <c:numCache>
                <c:formatCode>0.00</c:formatCode>
                <c:ptCount val="187"/>
                <c:pt idx="1">
                  <c:v>337.99533799533793</c:v>
                </c:pt>
                <c:pt idx="2">
                  <c:v>0</c:v>
                </c:pt>
                <c:pt idx="3">
                  <c:v>0</c:v>
                </c:pt>
                <c:pt idx="4">
                  <c:v>593.43748664137013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646.56687047578885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942.09420942094198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398.34969412434202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818.05711435341061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920.86033187185569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148.14814814814815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355.55555555555554</c:v>
                </c:pt>
                <c:pt idx="35">
                  <c:v>0</c:v>
                </c:pt>
                <c:pt idx="36">
                  <c:v>0</c:v>
                </c:pt>
                <c:pt idx="37">
                  <c:v>147.53692374975628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332.62600213602002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184.37900128040974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59.717326279663268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170.72129748186089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105.38351696411165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18.065745765276283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212.65284423179159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32.822966679929486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138.2842509603073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 formatCode="0">
                  <c:v>132.72727272727272</c:v>
                </c:pt>
                <c:pt idx="81" formatCode="0">
                  <c:v>132.72727272727272</c:v>
                </c:pt>
                <c:pt idx="82" formatCode="0">
                  <c:v>132.72727272727272</c:v>
                </c:pt>
                <c:pt idx="83" formatCode="0">
                  <c:v>132.72727272727272</c:v>
                </c:pt>
                <c:pt idx="84" formatCode="0">
                  <c:v>132.72727272727272</c:v>
                </c:pt>
                <c:pt idx="85" formatCode="0">
                  <c:v>132.72727272727272</c:v>
                </c:pt>
                <c:pt idx="86" formatCode="0">
                  <c:v>132.72727272727272</c:v>
                </c:pt>
                <c:pt idx="87" formatCode="0">
                  <c:v>132.72727272727272</c:v>
                </c:pt>
                <c:pt idx="88" formatCode="0">
                  <c:v>90.909090909090907</c:v>
                </c:pt>
                <c:pt idx="89" formatCode="0">
                  <c:v>90.909090909090907</c:v>
                </c:pt>
                <c:pt idx="90" formatCode="0">
                  <c:v>90.909090909090907</c:v>
                </c:pt>
                <c:pt idx="91" formatCode="0">
                  <c:v>90.909090909090907</c:v>
                </c:pt>
                <c:pt idx="92" formatCode="0">
                  <c:v>90.909090909090907</c:v>
                </c:pt>
                <c:pt idx="93" formatCode="0">
                  <c:v>90.909090909090907</c:v>
                </c:pt>
                <c:pt idx="94" formatCode="0">
                  <c:v>90.909090909090907</c:v>
                </c:pt>
                <c:pt idx="95" formatCode="0">
                  <c:v>90.909090909090907</c:v>
                </c:pt>
                <c:pt idx="96" formatCode="0">
                  <c:v>81.818181818181813</c:v>
                </c:pt>
                <c:pt idx="97" formatCode="0">
                  <c:v>81.818181818181813</c:v>
                </c:pt>
                <c:pt idx="98" formatCode="0">
                  <c:v>81.818181818181813</c:v>
                </c:pt>
                <c:pt idx="99" formatCode="0">
                  <c:v>81.818181818181813</c:v>
                </c:pt>
                <c:pt idx="100" formatCode="0">
                  <c:v>81.818181818181813</c:v>
                </c:pt>
                <c:pt idx="101" formatCode="0">
                  <c:v>81.818181818181813</c:v>
                </c:pt>
                <c:pt idx="102" formatCode="0">
                  <c:v>81.818181818181813</c:v>
                </c:pt>
                <c:pt idx="103" formatCode="0">
                  <c:v>81.818181818181813</c:v>
                </c:pt>
                <c:pt idx="104" formatCode="0">
                  <c:v>110.90909090909091</c:v>
                </c:pt>
                <c:pt idx="105" formatCode="0">
                  <c:v>110.90909090909091</c:v>
                </c:pt>
                <c:pt idx="106" formatCode="0">
                  <c:v>110.90909090909091</c:v>
                </c:pt>
                <c:pt idx="107" formatCode="0">
                  <c:v>110.90909090909091</c:v>
                </c:pt>
                <c:pt idx="108" formatCode="0">
                  <c:v>110.90909090909091</c:v>
                </c:pt>
                <c:pt idx="109" formatCode="0">
                  <c:v>110.90909090909091</c:v>
                </c:pt>
                <c:pt idx="110" formatCode="0">
                  <c:v>112.72727272727272</c:v>
                </c:pt>
                <c:pt idx="111" formatCode="0">
                  <c:v>112.72727272727272</c:v>
                </c:pt>
                <c:pt idx="112" formatCode="0">
                  <c:v>112.72727272727272</c:v>
                </c:pt>
                <c:pt idx="113" formatCode="0">
                  <c:v>112.72727272727272</c:v>
                </c:pt>
                <c:pt idx="114" formatCode="0">
                  <c:v>112.72727272727272</c:v>
                </c:pt>
                <c:pt idx="115" formatCode="0">
                  <c:v>112.72727272727272</c:v>
                </c:pt>
                <c:pt idx="116" formatCode="0">
                  <c:v>109.09090909090908</c:v>
                </c:pt>
                <c:pt idx="117" formatCode="0">
                  <c:v>109.09090909090908</c:v>
                </c:pt>
                <c:pt idx="118" formatCode="0">
                  <c:v>109.09090909090908</c:v>
                </c:pt>
                <c:pt idx="119" formatCode="0">
                  <c:v>109.09090909090908</c:v>
                </c:pt>
                <c:pt idx="120" formatCode="0">
                  <c:v>109.09090909090908</c:v>
                </c:pt>
                <c:pt idx="121" formatCode="0">
                  <c:v>32.727272727272727</c:v>
                </c:pt>
                <c:pt idx="122" formatCode="0">
                  <c:v>32.727272727272727</c:v>
                </c:pt>
                <c:pt idx="123" formatCode="0">
                  <c:v>32.727272727272727</c:v>
                </c:pt>
                <c:pt idx="124" formatCode="0">
                  <c:v>32.727272727272727</c:v>
                </c:pt>
                <c:pt idx="125" formatCode="0">
                  <c:v>69.090909090909079</c:v>
                </c:pt>
                <c:pt idx="126" formatCode="0">
                  <c:v>69.090909090909079</c:v>
                </c:pt>
                <c:pt idx="127" formatCode="0">
                  <c:v>69.090909090909079</c:v>
                </c:pt>
                <c:pt idx="128" formatCode="0">
                  <c:v>69.090909090909079</c:v>
                </c:pt>
                <c:pt idx="129" formatCode="0">
                  <c:v>54</c:v>
                </c:pt>
                <c:pt idx="130" formatCode="0">
                  <c:v>54</c:v>
                </c:pt>
                <c:pt idx="131" formatCode="0">
                  <c:v>54</c:v>
                </c:pt>
                <c:pt idx="132" formatCode="0">
                  <c:v>54</c:v>
                </c:pt>
                <c:pt idx="133" formatCode="0">
                  <c:v>187.27272727272725</c:v>
                </c:pt>
                <c:pt idx="134" formatCode="0">
                  <c:v>187.27272727272725</c:v>
                </c:pt>
                <c:pt idx="135" formatCode="0">
                  <c:v>187.27272727272725</c:v>
                </c:pt>
                <c:pt idx="136" formatCode="0">
                  <c:v>187.27272727272725</c:v>
                </c:pt>
                <c:pt idx="137" formatCode="0">
                  <c:v>76.36363636363636</c:v>
                </c:pt>
                <c:pt idx="138" formatCode="0">
                  <c:v>76.36363636363636</c:v>
                </c:pt>
                <c:pt idx="139" formatCode="0">
                  <c:v>76.36363636363636</c:v>
                </c:pt>
                <c:pt idx="140" formatCode="0">
                  <c:v>76.36363636363636</c:v>
                </c:pt>
                <c:pt idx="141" formatCode="0">
                  <c:v>76.36363636363636</c:v>
                </c:pt>
                <c:pt idx="142" formatCode="0">
                  <c:v>76.36363636363636</c:v>
                </c:pt>
                <c:pt idx="143" formatCode="0">
                  <c:v>169.09090909090907</c:v>
                </c:pt>
                <c:pt idx="144" formatCode="0">
                  <c:v>169.09090909090907</c:v>
                </c:pt>
                <c:pt idx="145" formatCode="0">
                  <c:v>169.09090909090907</c:v>
                </c:pt>
                <c:pt idx="146" formatCode="0">
                  <c:v>169.09090909090907</c:v>
                </c:pt>
                <c:pt idx="147" formatCode="0">
                  <c:v>169.09090909090907</c:v>
                </c:pt>
                <c:pt idx="148" formatCode="0">
                  <c:v>169.09090909090907</c:v>
                </c:pt>
                <c:pt idx="149" formatCode="0">
                  <c:v>169.09090909090907</c:v>
                </c:pt>
                <c:pt idx="150" formatCode="0">
                  <c:v>123.63636363636363</c:v>
                </c:pt>
                <c:pt idx="151" formatCode="0">
                  <c:v>123.63636363636363</c:v>
                </c:pt>
                <c:pt idx="152" formatCode="0">
                  <c:v>123.63636363636363</c:v>
                </c:pt>
                <c:pt idx="153" formatCode="0">
                  <c:v>123.63636363636363</c:v>
                </c:pt>
                <c:pt idx="154" formatCode="0">
                  <c:v>123.63636363636363</c:v>
                </c:pt>
                <c:pt idx="155" formatCode="0">
                  <c:v>198.18181818181816</c:v>
                </c:pt>
                <c:pt idx="156" formatCode="0">
                  <c:v>198.18181818181816</c:v>
                </c:pt>
                <c:pt idx="157" formatCode="0">
                  <c:v>198.18181818181816</c:v>
                </c:pt>
                <c:pt idx="158" formatCode="0">
                  <c:v>198.18181818181816</c:v>
                </c:pt>
                <c:pt idx="159" formatCode="0">
                  <c:v>198.18181818181816</c:v>
                </c:pt>
                <c:pt idx="160" formatCode="0">
                  <c:v>174.54545454545453</c:v>
                </c:pt>
                <c:pt idx="161" formatCode="0">
                  <c:v>174.54545454545453</c:v>
                </c:pt>
                <c:pt idx="162" formatCode="0">
                  <c:v>174.54545454545453</c:v>
                </c:pt>
                <c:pt idx="163" formatCode="0">
                  <c:v>174.54545454545453</c:v>
                </c:pt>
                <c:pt idx="164" formatCode="0">
                  <c:v>174.54545454545453</c:v>
                </c:pt>
                <c:pt idx="165" formatCode="0">
                  <c:v>74.545454545454533</c:v>
                </c:pt>
                <c:pt idx="166" formatCode="0">
                  <c:v>74.545454545454533</c:v>
                </c:pt>
                <c:pt idx="167" formatCode="0">
                  <c:v>74.545454545454533</c:v>
                </c:pt>
                <c:pt idx="168" formatCode="0">
                  <c:v>74.545454545454533</c:v>
                </c:pt>
                <c:pt idx="169" formatCode="0">
                  <c:v>74.545454545454533</c:v>
                </c:pt>
                <c:pt idx="170" formatCode="0">
                  <c:v>32.727272727272727</c:v>
                </c:pt>
                <c:pt idx="171" formatCode="0">
                  <c:v>32.727272727272727</c:v>
                </c:pt>
                <c:pt idx="172" formatCode="0">
                  <c:v>32.727272727272727</c:v>
                </c:pt>
                <c:pt idx="173" formatCode="0">
                  <c:v>32.727272727272727</c:v>
                </c:pt>
                <c:pt idx="174" formatCode="0">
                  <c:v>81.818181818181813</c:v>
                </c:pt>
                <c:pt idx="175" formatCode="0">
                  <c:v>81.818181818181813</c:v>
                </c:pt>
                <c:pt idx="176" formatCode="0">
                  <c:v>81.818181818181813</c:v>
                </c:pt>
                <c:pt idx="177" formatCode="0">
                  <c:v>81.818181818181813</c:v>
                </c:pt>
                <c:pt idx="178" formatCode="0">
                  <c:v>50.909090909090907</c:v>
                </c:pt>
                <c:pt idx="179" formatCode="0">
                  <c:v>50.909090909090907</c:v>
                </c:pt>
                <c:pt idx="180" formatCode="0">
                  <c:v>50.909090909090907</c:v>
                </c:pt>
                <c:pt idx="181" formatCode="0">
                  <c:v>50.909090909090907</c:v>
                </c:pt>
                <c:pt idx="182" formatCode="0">
                  <c:v>36.36363636363636</c:v>
                </c:pt>
                <c:pt idx="183" formatCode="0">
                  <c:v>36.36363636363636</c:v>
                </c:pt>
                <c:pt idx="184" formatCode="0">
                  <c:v>36.36363636363636</c:v>
                </c:pt>
                <c:pt idx="185" formatCode="0">
                  <c:v>36.36363636363636</c:v>
                </c:pt>
                <c:pt idx="186" formatCode="0">
                  <c:v>36.36363636363636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0-4CA6-9008-A9B9B3A3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77376"/>
        <c:axId val="125078912"/>
      </c:barChart>
      <c:dateAx>
        <c:axId val="1250773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5078912"/>
        <c:crosses val="autoZero"/>
        <c:auto val="0"/>
        <c:lblOffset val="100"/>
        <c:baseTimeUnit val="days"/>
      </c:dateAx>
      <c:valAx>
        <c:axId val="125078912"/>
        <c:scaling>
          <c:orientation val="minMax"/>
          <c:max val="2600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5077376"/>
        <c:crosses val="autoZero"/>
        <c:crossBetween val="between"/>
        <c:majorUnit val="200"/>
      </c:val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41430501919776697"/>
          <c:y val="0.1841243360720686"/>
          <c:w val="0.48781158907100125"/>
          <c:h val="0.2894630675103189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2082-2016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Surveys adjusted for  Raw Swim Counts</a:t>
            </a:r>
          </a:p>
        </c:rich>
      </c:tx>
      <c:layout>
        <c:manualLayout>
          <c:xMode val="edge"/>
          <c:yMode val="edge"/>
          <c:x val="0.34225113783988936"/>
          <c:y val="3.3518077537847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678217850116742E-2"/>
          <c:y val="0.1352430699877831"/>
          <c:w val="0.80798797040128945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5-45F2-9BEA-96267F2F24D4}"/>
            </c:ext>
          </c:extLst>
        </c:ser>
        <c:ser>
          <c:idx val="13"/>
          <c:order val="1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5-45F2-9BEA-96267F2F24D4}"/>
            </c:ext>
          </c:extLst>
        </c:ser>
        <c:ser>
          <c:idx val="12"/>
          <c:order val="2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15-45F2-9BEA-96267F2F24D4}"/>
            </c:ext>
          </c:extLst>
        </c:ser>
        <c:ser>
          <c:idx val="11"/>
          <c:order val="3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15-45F2-9BEA-96267F2F24D4}"/>
            </c:ext>
          </c:extLst>
        </c:ser>
        <c:ser>
          <c:idx val="10"/>
          <c:order val="4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15-45F2-9BEA-96267F2F24D4}"/>
            </c:ext>
          </c:extLst>
        </c:ser>
        <c:ser>
          <c:idx val="9"/>
          <c:order val="5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FE15-45F2-9BEA-96267F2F24D4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5-45F2-9BEA-96267F2F24D4}"/>
            </c:ext>
          </c:extLst>
        </c:ser>
        <c:ser>
          <c:idx val="8"/>
          <c:order val="6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2D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15-45F2-9BEA-96267F2F24D4}"/>
            </c:ext>
          </c:extLst>
        </c:ser>
        <c:ser>
          <c:idx val="7"/>
          <c:order val="7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15-45F2-9BEA-96267F2F24D4}"/>
            </c:ext>
          </c:extLst>
        </c:ser>
        <c:ser>
          <c:idx val="6"/>
          <c:order val="8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15-45F2-9BEA-96267F2F24D4}"/>
            </c:ext>
          </c:extLst>
        </c:ser>
        <c:ser>
          <c:idx val="5"/>
          <c:order val="9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15-45F2-9BEA-96267F2F24D4}"/>
            </c:ext>
          </c:extLst>
        </c:ser>
        <c:ser>
          <c:idx val="4"/>
          <c:order val="10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15-45F2-9BEA-96267F2F24D4}"/>
            </c:ext>
          </c:extLst>
        </c:ser>
        <c:ser>
          <c:idx val="3"/>
          <c:order val="11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15-45F2-9BEA-96267F2F24D4}"/>
            </c:ext>
          </c:extLst>
        </c:ser>
        <c:ser>
          <c:idx val="0"/>
          <c:order val="12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15-45F2-9BEA-96267F2F24D4}"/>
            </c:ext>
          </c:extLst>
        </c:ser>
        <c:ser>
          <c:idx val="1"/>
          <c:order val="13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15-45F2-9BEA-96267F2F24D4}"/>
            </c:ext>
          </c:extLst>
        </c:ser>
        <c:ser>
          <c:idx val="2"/>
          <c:order val="14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15-45F2-9BEA-96267F2F24D4}"/>
            </c:ext>
          </c:extLst>
        </c:ser>
        <c:ser>
          <c:idx val="15"/>
          <c:order val="15"/>
          <c:tx>
            <c:strRef>
              <c:f>'Time and Area Standardization'!$A$79</c:f>
              <c:strCache>
                <c:ptCount val="1"/>
                <c:pt idx="0">
                  <c:v>2001</c:v>
                </c:pt>
              </c:strCache>
            </c:strRef>
          </c:tx>
          <c:xVal>
            <c:numRef>
              <c:f>'Time and Area Standardization'!$B$79:$B$83</c:f>
              <c:numCache>
                <c:formatCode>General</c:formatCode>
                <c:ptCount val="5"/>
                <c:pt idx="0">
                  <c:v>1</c:v>
                </c:pt>
                <c:pt idx="1">
                  <c:v>71</c:v>
                </c:pt>
                <c:pt idx="2">
                  <c:v>96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Standardization'!$G$79:$G$83</c:f>
              <c:numCache>
                <c:formatCode>0</c:formatCode>
                <c:ptCount val="5"/>
                <c:pt idx="0">
                  <c:v>0</c:v>
                </c:pt>
                <c:pt idx="1">
                  <c:v>76.056338028169023</c:v>
                </c:pt>
                <c:pt idx="2">
                  <c:v>53.521126760563384</c:v>
                </c:pt>
                <c:pt idx="3">
                  <c:v>62.597809076682324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E15-45F2-9BEA-96267F2F24D4}"/>
            </c:ext>
          </c:extLst>
        </c:ser>
        <c:ser>
          <c:idx val="16"/>
          <c:order val="16"/>
          <c:tx>
            <c:strRef>
              <c:f>'Time and Area Standardization'!$A$75</c:f>
              <c:strCache>
                <c:ptCount val="1"/>
                <c:pt idx="0">
                  <c:v>2000</c:v>
                </c:pt>
              </c:strCache>
            </c:strRef>
          </c:tx>
          <c:xVal>
            <c:numRef>
              <c:f>'Time and Area Standardization'!$B$75:$B$78</c:f>
              <c:numCache>
                <c:formatCode>General</c:formatCode>
                <c:ptCount val="4"/>
                <c:pt idx="0">
                  <c:v>1</c:v>
                </c:pt>
                <c:pt idx="1">
                  <c:v>88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Standardization'!$G$75:$G$78</c:f>
              <c:numCache>
                <c:formatCode>0</c:formatCode>
                <c:ptCount val="4"/>
                <c:pt idx="0">
                  <c:v>0</c:v>
                </c:pt>
                <c:pt idx="1">
                  <c:v>14</c:v>
                </c:pt>
                <c:pt idx="2">
                  <c:v>18.052631673961219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E15-45F2-9BEA-96267F2F24D4}"/>
            </c:ext>
          </c:extLst>
        </c:ser>
        <c:ser>
          <c:idx val="17"/>
          <c:order val="17"/>
          <c:tx>
            <c:strRef>
              <c:f>'Time and Area Standardization'!$A$70</c:f>
              <c:strCache>
                <c:ptCount val="1"/>
                <c:pt idx="0">
                  <c:v>1999</c:v>
                </c:pt>
              </c:strCache>
            </c:strRef>
          </c:tx>
          <c:xVal>
            <c:numRef>
              <c:f>'Time and Area Standardization'!$B$70:$B$74</c:f>
              <c:numCache>
                <c:formatCode>General</c:formatCode>
                <c:ptCount val="5"/>
                <c:pt idx="0">
                  <c:v>1</c:v>
                </c:pt>
                <c:pt idx="1">
                  <c:v>67</c:v>
                </c:pt>
                <c:pt idx="2">
                  <c:v>98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Standardization'!$G$70:$G$74</c:f>
              <c:numCache>
                <c:formatCode>0</c:formatCode>
                <c:ptCount val="5"/>
                <c:pt idx="0">
                  <c:v>0</c:v>
                </c:pt>
                <c:pt idx="1">
                  <c:v>39.70756545908953</c:v>
                </c:pt>
                <c:pt idx="2">
                  <c:v>100</c:v>
                </c:pt>
                <c:pt idx="3">
                  <c:v>116.95906432748538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E15-45F2-9BEA-96267F2F24D4}"/>
            </c:ext>
          </c:extLst>
        </c:ser>
        <c:ser>
          <c:idx val="18"/>
          <c:order val="18"/>
          <c:tx>
            <c:strRef>
              <c:f>'Time and Area Standardization'!$A$66</c:f>
              <c:strCache>
                <c:ptCount val="1"/>
                <c:pt idx="0">
                  <c:v>1998</c:v>
                </c:pt>
              </c:strCache>
            </c:strRef>
          </c:tx>
          <c:xVal>
            <c:numRef>
              <c:f>'Time and Area Standardization'!$B$66:$B$69</c:f>
              <c:numCache>
                <c:formatCode>General</c:formatCode>
                <c:ptCount val="4"/>
                <c:pt idx="0">
                  <c:v>1</c:v>
                </c:pt>
                <c:pt idx="1">
                  <c:v>63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Standardization'!$G$66:$G$69</c:f>
              <c:numCache>
                <c:formatCode>0</c:formatCode>
                <c:ptCount val="4"/>
                <c:pt idx="0">
                  <c:v>0</c:v>
                </c:pt>
                <c:pt idx="1">
                  <c:v>5.6338028169014089</c:v>
                </c:pt>
                <c:pt idx="2">
                  <c:v>9.9361601709019567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E15-45F2-9BEA-96267F2F24D4}"/>
            </c:ext>
          </c:extLst>
        </c:ser>
        <c:ser>
          <c:idx val="19"/>
          <c:order val="19"/>
          <c:tx>
            <c:strRef>
              <c:f>'Time and Area Standardization'!$A$62</c:f>
              <c:strCache>
                <c:ptCount val="1"/>
                <c:pt idx="0">
                  <c:v>1996</c:v>
                </c:pt>
              </c:strCache>
            </c:strRef>
          </c:tx>
          <c:xVal>
            <c:numRef>
              <c:f>'Time and Area Standardization'!$B$62:$B$65</c:f>
              <c:numCache>
                <c:formatCode>General</c:formatCode>
                <c:ptCount val="4"/>
                <c:pt idx="0">
                  <c:v>1</c:v>
                </c:pt>
                <c:pt idx="1">
                  <c:v>88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Standardization'!$G$62:$G$65</c:f>
              <c:numCache>
                <c:formatCode>0</c:formatCode>
                <c:ptCount val="4"/>
                <c:pt idx="0">
                  <c:v>0</c:v>
                </c:pt>
                <c:pt idx="1">
                  <c:v>42.253521126760567</c:v>
                </c:pt>
                <c:pt idx="2">
                  <c:v>57.960934330261409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E15-45F2-9BEA-96267F2F24D4}"/>
            </c:ext>
          </c:extLst>
        </c:ser>
        <c:ser>
          <c:idx val="20"/>
          <c:order val="20"/>
          <c:tx>
            <c:strRef>
              <c:f>'Time and Area Standardization'!$A$58</c:f>
              <c:strCache>
                <c:ptCount val="1"/>
                <c:pt idx="0">
                  <c:v>1995</c:v>
                </c:pt>
              </c:strCache>
            </c:strRef>
          </c:tx>
          <c:xVal>
            <c:numRef>
              <c:f>'Time and Area Standardization'!$B$58:$B$61</c:f>
              <c:numCache>
                <c:formatCode>General</c:formatCode>
                <c:ptCount val="4"/>
                <c:pt idx="0">
                  <c:v>1</c:v>
                </c:pt>
                <c:pt idx="1">
                  <c:v>60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Standardization'!$G$58:$G$61</c:f>
              <c:numCache>
                <c:formatCode>0</c:formatCode>
                <c:ptCount val="4"/>
                <c:pt idx="0">
                  <c:v>0</c:v>
                </c:pt>
                <c:pt idx="1">
                  <c:v>50.70422535211268</c:v>
                </c:pt>
                <c:pt idx="2">
                  <c:v>93.896713615023501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E15-45F2-9BEA-96267F2F24D4}"/>
            </c:ext>
          </c:extLst>
        </c:ser>
        <c:ser>
          <c:idx val="21"/>
          <c:order val="21"/>
          <c:tx>
            <c:strRef>
              <c:f>'Time and Area Standardization'!$A$54</c:f>
              <c:strCache>
                <c:ptCount val="1"/>
                <c:pt idx="0">
                  <c:v>1994</c:v>
                </c:pt>
              </c:strCache>
            </c:strRef>
          </c:tx>
          <c:xVal>
            <c:numRef>
              <c:f>'Time and Area Standardization'!$B$54:$B$57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Standardization'!$G$54:$G$57</c:f>
              <c:numCache>
                <c:formatCode>0</c:formatCode>
                <c:ptCount val="4"/>
                <c:pt idx="0">
                  <c:v>0</c:v>
                </c:pt>
                <c:pt idx="1">
                  <c:v>23.943661971830988</c:v>
                </c:pt>
                <c:pt idx="2">
                  <c:v>32.8445294538148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E15-45F2-9BEA-96267F2F24D4}"/>
            </c:ext>
          </c:extLst>
        </c:ser>
        <c:ser>
          <c:idx val="22"/>
          <c:order val="22"/>
          <c:tx>
            <c:strRef>
              <c:f>'Time and Area Standardization'!$A$50</c:f>
              <c:strCache>
                <c:ptCount val="1"/>
                <c:pt idx="0">
                  <c:v>1993</c:v>
                </c:pt>
              </c:strCache>
            </c:strRef>
          </c:tx>
          <c:xVal>
            <c:numRef>
              <c:f>'Time and Area Standardization'!$B$50:$B$53</c:f>
              <c:numCache>
                <c:formatCode>General</c:formatCode>
                <c:ptCount val="4"/>
                <c:pt idx="0">
                  <c:v>1</c:v>
                </c:pt>
                <c:pt idx="1">
                  <c:v>56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Standardization'!$G$50:$G$53</c:f>
              <c:numCache>
                <c:formatCode>0</c:formatCode>
                <c:ptCount val="4"/>
                <c:pt idx="0">
                  <c:v>0</c:v>
                </c:pt>
                <c:pt idx="1">
                  <c:v>101.40845070422536</c:v>
                </c:pt>
                <c:pt idx="2">
                  <c:v>14.141414141414144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E15-45F2-9BEA-96267F2F24D4}"/>
            </c:ext>
          </c:extLst>
        </c:ser>
        <c:ser>
          <c:idx val="23"/>
          <c:order val="23"/>
          <c:tx>
            <c:strRef>
              <c:f>'Time and Area Standardization'!$A$46</c:f>
              <c:strCache>
                <c:ptCount val="1"/>
                <c:pt idx="0">
                  <c:v>1992</c:v>
                </c:pt>
              </c:strCache>
            </c:strRef>
          </c:tx>
          <c:xVal>
            <c:numRef>
              <c:f>'Time and Area Standardization'!$B$46:$B$49</c:f>
              <c:numCache>
                <c:formatCode>General</c:formatCode>
                <c:ptCount val="4"/>
                <c:pt idx="0">
                  <c:v>1</c:v>
                </c:pt>
                <c:pt idx="1">
                  <c:v>71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Standardization'!$G$46:$G$49</c:f>
              <c:numCache>
                <c:formatCode>0</c:formatCode>
                <c:ptCount val="4"/>
                <c:pt idx="0">
                  <c:v>0</c:v>
                </c:pt>
                <c:pt idx="1">
                  <c:v>116.90140845070422</c:v>
                </c:pt>
                <c:pt idx="2">
                  <c:v>182.94430117481102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E15-45F2-9BEA-96267F2F24D4}"/>
            </c:ext>
          </c:extLst>
        </c:ser>
        <c:ser>
          <c:idx val="24"/>
          <c:order val="24"/>
          <c:tx>
            <c:strRef>
              <c:f>'Time and Area Standardization'!$A$41</c:f>
              <c:strCache>
                <c:ptCount val="1"/>
                <c:pt idx="0">
                  <c:v>1991</c:v>
                </c:pt>
              </c:strCache>
            </c:strRef>
          </c:tx>
          <c:xVal>
            <c:numRef>
              <c:f>'Time and Area Standardization'!$B$41:$B$45</c:f>
              <c:numCache>
                <c:formatCode>General</c:formatCode>
                <c:ptCount val="5"/>
                <c:pt idx="0">
                  <c:v>1</c:v>
                </c:pt>
                <c:pt idx="1">
                  <c:v>29</c:v>
                </c:pt>
                <c:pt idx="2">
                  <c:v>85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Standardization'!$G$41:$G$45</c:f>
              <c:numCache>
                <c:formatCode>0</c:formatCode>
                <c:ptCount val="5"/>
                <c:pt idx="0">
                  <c:v>0</c:v>
                </c:pt>
                <c:pt idx="1">
                  <c:v>34</c:v>
                </c:pt>
                <c:pt idx="2">
                  <c:v>59.154929577464792</c:v>
                </c:pt>
                <c:pt idx="3">
                  <c:v>81.14530806236597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E15-45F2-9BEA-96267F2F24D4}"/>
            </c:ext>
          </c:extLst>
        </c:ser>
        <c:ser>
          <c:idx val="25"/>
          <c:order val="25"/>
          <c:tx>
            <c:strRef>
              <c:f>'Time and Area Standardization'!$A$37</c:f>
              <c:strCache>
                <c:ptCount val="1"/>
                <c:pt idx="0">
                  <c:v>1990</c:v>
                </c:pt>
              </c:strCache>
            </c:strRef>
          </c:tx>
          <c:xVal>
            <c:numRef>
              <c:f>'Time and Area Standardization'!$B$37:$B$40</c:f>
              <c:numCache>
                <c:formatCode>General</c:formatCode>
                <c:ptCount val="4"/>
                <c:pt idx="0">
                  <c:v>1</c:v>
                </c:pt>
                <c:pt idx="1">
                  <c:v>50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Standardization'!$G$37:$G$40</c:f>
              <c:numCache>
                <c:formatCode>0</c:formatCode>
                <c:ptCount val="4"/>
                <c:pt idx="0">
                  <c:v>0</c:v>
                </c:pt>
                <c:pt idx="1">
                  <c:v>88</c:v>
                </c:pt>
                <c:pt idx="2">
                  <c:v>195.55555555555557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FE15-45F2-9BEA-96267F2F24D4}"/>
            </c:ext>
          </c:extLst>
        </c:ser>
        <c:ser>
          <c:idx val="26"/>
          <c:order val="26"/>
          <c:tx>
            <c:strRef>
              <c:f>'Time and Area Standardization'!$A$32</c:f>
              <c:strCache>
                <c:ptCount val="1"/>
                <c:pt idx="0">
                  <c:v>1989</c:v>
                </c:pt>
              </c:strCache>
            </c:strRef>
          </c:tx>
          <c:xVal>
            <c:numRef>
              <c:f>'Time and Area Standardization'!$B$32:$B$36</c:f>
              <c:numCache>
                <c:formatCode>General</c:formatCode>
                <c:ptCount val="5"/>
                <c:pt idx="0">
                  <c:v>1</c:v>
                </c:pt>
                <c:pt idx="1">
                  <c:v>40</c:v>
                </c:pt>
                <c:pt idx="2">
                  <c:v>60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Standardization'!$G$32:$G$36</c:f>
              <c:numCache>
                <c:formatCode>0</c:formatCode>
                <c:ptCount val="5"/>
                <c:pt idx="0">
                  <c:v>0</c:v>
                </c:pt>
                <c:pt idx="1">
                  <c:v>80</c:v>
                </c:pt>
                <c:pt idx="2">
                  <c:v>44</c:v>
                </c:pt>
                <c:pt idx="3">
                  <c:v>81.481481481481495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FE15-45F2-9BEA-96267F2F24D4}"/>
            </c:ext>
          </c:extLst>
        </c:ser>
        <c:ser>
          <c:idx val="27"/>
          <c:order val="27"/>
          <c:tx>
            <c:strRef>
              <c:f>'Time and Area Standardization'!$A$28</c:f>
              <c:strCache>
                <c:ptCount val="1"/>
                <c:pt idx="0">
                  <c:v>1988</c:v>
                </c:pt>
              </c:strCache>
            </c:strRef>
          </c:tx>
          <c:xVal>
            <c:numRef>
              <c:f>'Time and Area Standardization'!$B$28:$B$31</c:f>
              <c:numCache>
                <c:formatCode>General</c:formatCode>
                <c:ptCount val="4"/>
                <c:pt idx="0">
                  <c:v>1</c:v>
                </c:pt>
                <c:pt idx="1">
                  <c:v>55</c:v>
                </c:pt>
                <c:pt idx="2">
                  <c:v>112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Standardization'!$G$28:$G$31</c:f>
              <c:numCache>
                <c:formatCode>0</c:formatCode>
                <c:ptCount val="4"/>
                <c:pt idx="0">
                  <c:v>0</c:v>
                </c:pt>
                <c:pt idx="1">
                  <c:v>250.7042253521127</c:v>
                </c:pt>
                <c:pt idx="2">
                  <c:v>506.47318252952067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FE15-45F2-9BEA-96267F2F24D4}"/>
            </c:ext>
          </c:extLst>
        </c:ser>
        <c:ser>
          <c:idx val="28"/>
          <c:order val="28"/>
          <c:tx>
            <c:strRef>
              <c:f>'Time and Area Standardization'!$A$24</c:f>
              <c:strCache>
                <c:ptCount val="1"/>
                <c:pt idx="0">
                  <c:v>1987</c:v>
                </c:pt>
              </c:strCache>
            </c:strRef>
          </c:tx>
          <c:xVal>
            <c:numRef>
              <c:f>'Time and Area Standardization'!$B$24:$B$27</c:f>
              <c:numCache>
                <c:formatCode>General</c:formatCode>
                <c:ptCount val="4"/>
                <c:pt idx="0">
                  <c:v>1</c:v>
                </c:pt>
                <c:pt idx="1">
                  <c:v>86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Standardization'!$G$24:$G$27</c:f>
              <c:numCache>
                <c:formatCode>0</c:formatCode>
                <c:ptCount val="4"/>
                <c:pt idx="0">
                  <c:v>0</c:v>
                </c:pt>
                <c:pt idx="1">
                  <c:v>328</c:v>
                </c:pt>
                <c:pt idx="2">
                  <c:v>449.93141289437585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FE15-45F2-9BEA-96267F2F24D4}"/>
            </c:ext>
          </c:extLst>
        </c:ser>
        <c:ser>
          <c:idx val="29"/>
          <c:order val="29"/>
          <c:tx>
            <c:strRef>
              <c:f>'Time and Area Standardization'!$A$20</c:f>
              <c:strCache>
                <c:ptCount val="1"/>
                <c:pt idx="0">
                  <c:v>1986</c:v>
                </c:pt>
              </c:strCache>
            </c:strRef>
          </c:tx>
          <c:xVal>
            <c:numRef>
              <c:f>'Time and Area Standardization'!$B$20:$B$23</c:f>
              <c:numCache>
                <c:formatCode>General</c:formatCode>
                <c:ptCount val="4"/>
                <c:pt idx="0">
                  <c:v>1</c:v>
                </c:pt>
                <c:pt idx="1">
                  <c:v>40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Standardization'!$G$20:$G$23</c:f>
              <c:numCache>
                <c:formatCode>0</c:formatCode>
                <c:ptCount val="4"/>
                <c:pt idx="0">
                  <c:v>0</c:v>
                </c:pt>
                <c:pt idx="1">
                  <c:v>78.873239436619727</c:v>
                </c:pt>
                <c:pt idx="2">
                  <c:v>219.09233176838814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FE15-45F2-9BEA-96267F2F24D4}"/>
            </c:ext>
          </c:extLst>
        </c:ser>
        <c:ser>
          <c:idx val="30"/>
          <c:order val="30"/>
          <c:tx>
            <c:strRef>
              <c:f>'Time and Area Standardization'!$A$16</c:f>
              <c:strCache>
                <c:ptCount val="1"/>
                <c:pt idx="0">
                  <c:v>1985</c:v>
                </c:pt>
              </c:strCache>
            </c:strRef>
          </c:tx>
          <c:xVal>
            <c:numRef>
              <c:f>'Time and Area Standardization'!$B$16:$B$19</c:f>
              <c:numCache>
                <c:formatCode>General</c:formatCode>
                <c:ptCount val="4"/>
                <c:pt idx="0">
                  <c:v>1</c:v>
                </c:pt>
                <c:pt idx="1">
                  <c:v>101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Standardization'!$G$16:$G$19</c:f>
              <c:numCache>
                <c:formatCode>0</c:formatCode>
                <c:ptCount val="4"/>
                <c:pt idx="0">
                  <c:v>0</c:v>
                </c:pt>
                <c:pt idx="1">
                  <c:v>471</c:v>
                </c:pt>
                <c:pt idx="2">
                  <c:v>518.15181518151815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FE15-45F2-9BEA-96267F2F24D4}"/>
            </c:ext>
          </c:extLst>
        </c:ser>
        <c:ser>
          <c:idx val="31"/>
          <c:order val="31"/>
          <c:tx>
            <c:strRef>
              <c:f>'Time and Area Standardization'!$A$12</c:f>
              <c:strCache>
                <c:ptCount val="1"/>
                <c:pt idx="0">
                  <c:v>1984</c:v>
                </c:pt>
              </c:strCache>
            </c:strRef>
          </c:tx>
          <c:xVal>
            <c:numRef>
              <c:f>'Time and Area Standardization'!$B$12:$B$15</c:f>
              <c:numCache>
                <c:formatCode>General</c:formatCode>
                <c:ptCount val="4"/>
                <c:pt idx="0">
                  <c:v>1</c:v>
                </c:pt>
                <c:pt idx="1">
                  <c:v>93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Standardization'!$G$12:$G$15</c:f>
              <c:numCache>
                <c:formatCode>0</c:formatCode>
                <c:ptCount val="4"/>
                <c:pt idx="0">
                  <c:v>0</c:v>
                </c:pt>
                <c:pt idx="1">
                  <c:v>297.64705882352939</c:v>
                </c:pt>
                <c:pt idx="2">
                  <c:v>355.61177876168387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FE15-45F2-9BEA-96267F2F24D4}"/>
            </c:ext>
          </c:extLst>
        </c:ser>
        <c:ser>
          <c:idx val="32"/>
          <c:order val="32"/>
          <c:tx>
            <c:strRef>
              <c:f>'Time and Area Standardization'!$A$7</c:f>
              <c:strCache>
                <c:ptCount val="1"/>
                <c:pt idx="0">
                  <c:v>1983</c:v>
                </c:pt>
              </c:strCache>
            </c:strRef>
          </c:tx>
          <c:xVal>
            <c:numRef>
              <c:f>'Time and Area Standardization'!$B$7:$B$11</c:f>
              <c:numCache>
                <c:formatCode>General</c:formatCode>
                <c:ptCount val="5"/>
                <c:pt idx="0">
                  <c:v>1</c:v>
                </c:pt>
                <c:pt idx="1">
                  <c:v>83</c:v>
                </c:pt>
                <c:pt idx="2">
                  <c:v>103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Standardization'!$G$7:$G$11</c:f>
              <c:numCache>
                <c:formatCode>0</c:formatCode>
                <c:ptCount val="5"/>
                <c:pt idx="0">
                  <c:v>0</c:v>
                </c:pt>
                <c:pt idx="1">
                  <c:v>212.67605633802819</c:v>
                </c:pt>
                <c:pt idx="2">
                  <c:v>302.56410256410254</c:v>
                </c:pt>
                <c:pt idx="3">
                  <c:v>326.39061765275358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FE15-45F2-9BEA-96267F2F24D4}"/>
            </c:ext>
          </c:extLst>
        </c:ser>
        <c:ser>
          <c:idx val="33"/>
          <c:order val="33"/>
          <c:tx>
            <c:strRef>
              <c:f>'Time and Area Standardization'!$A$5</c:f>
              <c:strCache>
                <c:ptCount val="1"/>
                <c:pt idx="0">
                  <c:v>1982</c:v>
                </c:pt>
              </c:strCache>
            </c:strRef>
          </c:tx>
          <c:xVal>
            <c:numRef>
              <c:f>'Time and Area Standardization'!$B$4:$B$6</c:f>
              <c:numCache>
                <c:formatCode>General</c:formatCode>
                <c:ptCount val="3"/>
                <c:pt idx="0">
                  <c:v>1</c:v>
                </c:pt>
                <c:pt idx="1">
                  <c:v>112</c:v>
                </c:pt>
                <c:pt idx="2">
                  <c:v>151</c:v>
                </c:pt>
              </c:numCache>
            </c:numRef>
          </c:xVal>
          <c:yVal>
            <c:numRef>
              <c:f>'Time and Area Standardization'!$G$4:$G$6</c:f>
              <c:numCache>
                <c:formatCode>0</c:formatCode>
                <c:ptCount val="3"/>
                <c:pt idx="0">
                  <c:v>0</c:v>
                </c:pt>
                <c:pt idx="1">
                  <c:v>185.89743589743588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FE15-45F2-9BEA-96267F2F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2512"/>
        <c:axId val="130194432"/>
      </c:scatterChart>
      <c:valAx>
        <c:axId val="130192512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CA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194432"/>
        <c:crosses val="autoZero"/>
        <c:crossBetween val="midCat"/>
        <c:majorUnit val="20"/>
      </c:valAx>
      <c:valAx>
        <c:axId val="130194432"/>
        <c:scaling>
          <c:orientation val="minMax"/>
          <c:max val="600"/>
          <c:min val="0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192512"/>
        <c:crosses val="autoZero"/>
        <c:crossBetween val="midCat"/>
        <c:majorUnit val="100"/>
        <c:min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608376395667211"/>
          <c:y val="2.6902940661718173E-2"/>
          <c:w val="6.9491171143615471E-2"/>
          <c:h val="0.9020479622536018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 sz="1400"/>
              <a:t>Comparison</a:t>
            </a:r>
            <a:r>
              <a:rPr lang="en-CA" sz="1400" baseline="0"/>
              <a:t> </a:t>
            </a:r>
            <a:r>
              <a:rPr lang="en-CA" sz="1400"/>
              <a:t>of </a:t>
            </a:r>
            <a:r>
              <a:rPr lang="en-CA" sz="1400" baseline="0"/>
              <a:t> Englishman River Annual Peak Counts and Abundance Estimates from Area Under Curve  (AUC) Estimates between 1982 and  2023</a:t>
            </a:r>
            <a:endParaRPr lang="en-CA" sz="1400"/>
          </a:p>
        </c:rich>
      </c:tx>
      <c:layout>
        <c:manualLayout>
          <c:xMode val="edge"/>
          <c:yMode val="edge"/>
          <c:x val="0.1147157777325436"/>
          <c:y val="6.861722018595317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8335679686871667E-2"/>
          <c:y val="0.1561446146959998"/>
          <c:w val="0.88864495765350937"/>
          <c:h val="0.68748649066028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and Area Standardization'!$AK$2</c:f>
              <c:strCache>
                <c:ptCount val="1"/>
                <c:pt idx="0">
                  <c:v>Steelhead Population Estimate (AUC - fixed at 50 days residence time and 0.55 observer efficiency, these data include spatially and temporally calibrated surveys for incomplete or non-peak surveys before 1998)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'Time and Area Standardization'!$A$4:$A$206</c:f>
              <c:numCache>
                <c:formatCode>0</c:formatCode>
                <c:ptCount val="203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  <c:pt idx="178" formatCode="General">
                  <c:v>2020</c:v>
                </c:pt>
                <c:pt idx="179" formatCode="General">
                  <c:v>2020</c:v>
                </c:pt>
                <c:pt idx="180" formatCode="General">
                  <c:v>2020</c:v>
                </c:pt>
                <c:pt idx="181" formatCode="General">
                  <c:v>2020</c:v>
                </c:pt>
                <c:pt idx="182" formatCode="General">
                  <c:v>2021</c:v>
                </c:pt>
                <c:pt idx="183" formatCode="General">
                  <c:v>2021</c:v>
                </c:pt>
                <c:pt idx="184" formatCode="General">
                  <c:v>2021</c:v>
                </c:pt>
                <c:pt idx="185" formatCode="General">
                  <c:v>2021</c:v>
                </c:pt>
                <c:pt idx="186" formatCode="General">
                  <c:v>2021</c:v>
                </c:pt>
                <c:pt idx="187" formatCode="General">
                  <c:v>2022</c:v>
                </c:pt>
                <c:pt idx="188" formatCode="General">
                  <c:v>2022</c:v>
                </c:pt>
                <c:pt idx="189" formatCode="General">
                  <c:v>2022</c:v>
                </c:pt>
                <c:pt idx="190" formatCode="General">
                  <c:v>2022</c:v>
                </c:pt>
                <c:pt idx="191" formatCode="General">
                  <c:v>2022</c:v>
                </c:pt>
                <c:pt idx="192" formatCode="General">
                  <c:v>2023</c:v>
                </c:pt>
                <c:pt idx="193" formatCode="General">
                  <c:v>2023</c:v>
                </c:pt>
                <c:pt idx="194" formatCode="General">
                  <c:v>2023</c:v>
                </c:pt>
                <c:pt idx="195" formatCode="General">
                  <c:v>2023</c:v>
                </c:pt>
                <c:pt idx="196" formatCode="General">
                  <c:v>2023</c:v>
                </c:pt>
                <c:pt idx="197" formatCode="General">
                  <c:v>2024</c:v>
                </c:pt>
                <c:pt idx="198" formatCode="General">
                  <c:v>2024</c:v>
                </c:pt>
                <c:pt idx="199" formatCode="General">
                  <c:v>2024</c:v>
                </c:pt>
                <c:pt idx="200" formatCode="General">
                  <c:v>2024</c:v>
                </c:pt>
                <c:pt idx="201" formatCode="General">
                  <c:v>2024</c:v>
                </c:pt>
                <c:pt idx="202" formatCode="General">
                  <c:v>2024</c:v>
                </c:pt>
              </c:numCache>
            </c:numRef>
          </c:cat>
          <c:val>
            <c:numRef>
              <c:f>'Time and Area Standardization'!$AK$4:$AK$206</c:f>
              <c:numCache>
                <c:formatCode>0</c:formatCode>
                <c:ptCount val="203"/>
                <c:pt idx="1">
                  <c:v>506.99300699300693</c:v>
                </c:pt>
                <c:pt idx="4">
                  <c:v>838.80120669400048</c:v>
                </c:pt>
                <c:pt idx="9">
                  <c:v>1306.8862182865973</c:v>
                </c:pt>
                <c:pt idx="13">
                  <c:v>1849.7925592559257</c:v>
                </c:pt>
                <c:pt idx="17">
                  <c:v>760.5292360221938</c:v>
                </c:pt>
                <c:pt idx="21">
                  <c:v>1581.337124329717</c:v>
                </c:pt>
                <c:pt idx="25">
                  <c:v>1841.3523196109627</c:v>
                </c:pt>
                <c:pt idx="29">
                  <c:v>278.23299663299656</c:v>
                </c:pt>
                <c:pt idx="34">
                  <c:v>536.71111111111111</c:v>
                </c:pt>
                <c:pt idx="38">
                  <c:v>238.5718088553769</c:v>
                </c:pt>
                <c:pt idx="43">
                  <c:v>679.64473138446556</c:v>
                </c:pt>
                <c:pt idx="47">
                  <c:v>225.39919036718013</c:v>
                </c:pt>
                <c:pt idx="51">
                  <c:v>86.541752071225204</c:v>
                </c:pt>
                <c:pt idx="55">
                  <c:v>341.57917200170721</c:v>
                </c:pt>
                <c:pt idx="59">
                  <c:v>202.65671846266522</c:v>
                </c:pt>
                <c:pt idx="63">
                  <c:v>36.281979192777314</c:v>
                </c:pt>
                <c:pt idx="67">
                  <c:v>325.19817740821691</c:v>
                </c:pt>
                <c:pt idx="72">
                  <c:v>65.806698675154877</c:v>
                </c:pt>
                <c:pt idx="76">
                  <c:v>223.62213686157349</c:v>
                </c:pt>
                <c:pt idx="87">
                  <c:v>191.21818181818179</c:v>
                </c:pt>
                <c:pt idx="95">
                  <c:v>127.09090909090907</c:v>
                </c:pt>
                <c:pt idx="103">
                  <c:v>111.12727272727273</c:v>
                </c:pt>
                <c:pt idx="109">
                  <c:v>139.45454545454541</c:v>
                </c:pt>
                <c:pt idx="115">
                  <c:v>211.94545454545457</c:v>
                </c:pt>
                <c:pt idx="120">
                  <c:v>121.67272727272726</c:v>
                </c:pt>
                <c:pt idx="124">
                  <c:v>60.981818181818177</c:v>
                </c:pt>
                <c:pt idx="128">
                  <c:v>96.218181818181804</c:v>
                </c:pt>
                <c:pt idx="132">
                  <c:v>159.92727272727271</c:v>
                </c:pt>
                <c:pt idx="136">
                  <c:v>253.38181818181818</c:v>
                </c:pt>
                <c:pt idx="142">
                  <c:v>128.70909090909089</c:v>
                </c:pt>
                <c:pt idx="149">
                  <c:v>297.8</c:v>
                </c:pt>
                <c:pt idx="154">
                  <c:v>164.36363636363637</c:v>
                </c:pt>
                <c:pt idx="159">
                  <c:v>330.0363636363636</c:v>
                </c:pt>
                <c:pt idx="164">
                  <c:v>278.12727272727273</c:v>
                </c:pt>
                <c:pt idx="169">
                  <c:v>138.36363636363632</c:v>
                </c:pt>
                <c:pt idx="173">
                  <c:v>58.436363636363637</c:v>
                </c:pt>
                <c:pt idx="177">
                  <c:v>134.85454545454544</c:v>
                </c:pt>
                <c:pt idx="181">
                  <c:v>56.127272727272718</c:v>
                </c:pt>
                <c:pt idx="186">
                  <c:v>61.218181818181812</c:v>
                </c:pt>
                <c:pt idx="191">
                  <c:v>54.272727272727259</c:v>
                </c:pt>
                <c:pt idx="196">
                  <c:v>82.927272727272722</c:v>
                </c:pt>
                <c:pt idx="202">
                  <c:v>242.32727272727271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07C-BE8D-3F44B2CF3567}"/>
            </c:ext>
          </c:extLst>
        </c:ser>
        <c:ser>
          <c:idx val="1"/>
          <c:order val="1"/>
          <c:tx>
            <c:strRef>
              <c:f>'Time and Area Standardization'!$AL$2</c:f>
              <c:strCache>
                <c:ptCount val="1"/>
                <c:pt idx="0">
                  <c:v>Annual Peak Count (observer efficiency of 0.55 applied, spatially and temporally calibrated for non-peak and incomplete historic surveys prior to 1998)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</c:spPr>
          <c:invertIfNegative val="0"/>
          <c:cat>
            <c:numRef>
              <c:f>'Time and Area Standardization'!$A$4:$A$206</c:f>
              <c:numCache>
                <c:formatCode>0</c:formatCode>
                <c:ptCount val="203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  <c:pt idx="178" formatCode="General">
                  <c:v>2020</c:v>
                </c:pt>
                <c:pt idx="179" formatCode="General">
                  <c:v>2020</c:v>
                </c:pt>
                <c:pt idx="180" formatCode="General">
                  <c:v>2020</c:v>
                </c:pt>
                <c:pt idx="181" formatCode="General">
                  <c:v>2020</c:v>
                </c:pt>
                <c:pt idx="182" formatCode="General">
                  <c:v>2021</c:v>
                </c:pt>
                <c:pt idx="183" formatCode="General">
                  <c:v>2021</c:v>
                </c:pt>
                <c:pt idx="184" formatCode="General">
                  <c:v>2021</c:v>
                </c:pt>
                <c:pt idx="185" formatCode="General">
                  <c:v>2021</c:v>
                </c:pt>
                <c:pt idx="186" formatCode="General">
                  <c:v>2021</c:v>
                </c:pt>
                <c:pt idx="187" formatCode="General">
                  <c:v>2022</c:v>
                </c:pt>
                <c:pt idx="188" formatCode="General">
                  <c:v>2022</c:v>
                </c:pt>
                <c:pt idx="189" formatCode="General">
                  <c:v>2022</c:v>
                </c:pt>
                <c:pt idx="190" formatCode="General">
                  <c:v>2022</c:v>
                </c:pt>
                <c:pt idx="191" formatCode="General">
                  <c:v>2022</c:v>
                </c:pt>
                <c:pt idx="192" formatCode="General">
                  <c:v>2023</c:v>
                </c:pt>
                <c:pt idx="193" formatCode="General">
                  <c:v>2023</c:v>
                </c:pt>
                <c:pt idx="194" formatCode="General">
                  <c:v>2023</c:v>
                </c:pt>
                <c:pt idx="195" formatCode="General">
                  <c:v>2023</c:v>
                </c:pt>
                <c:pt idx="196" formatCode="General">
                  <c:v>2023</c:v>
                </c:pt>
                <c:pt idx="197" formatCode="General">
                  <c:v>2024</c:v>
                </c:pt>
                <c:pt idx="198" formatCode="General">
                  <c:v>2024</c:v>
                </c:pt>
                <c:pt idx="199" formatCode="General">
                  <c:v>2024</c:v>
                </c:pt>
                <c:pt idx="200" formatCode="General">
                  <c:v>2024</c:v>
                </c:pt>
                <c:pt idx="201" formatCode="General">
                  <c:v>2024</c:v>
                </c:pt>
                <c:pt idx="202" formatCode="General">
                  <c:v>2024</c:v>
                </c:pt>
              </c:numCache>
            </c:numRef>
          </c:cat>
          <c:val>
            <c:numRef>
              <c:f>'Time and Area Standardization'!$AL$4:$AL$206</c:f>
              <c:numCache>
                <c:formatCode>0.00</c:formatCode>
                <c:ptCount val="203"/>
                <c:pt idx="1">
                  <c:v>337.99533799533793</c:v>
                </c:pt>
                <c:pt idx="2">
                  <c:v>0</c:v>
                </c:pt>
                <c:pt idx="3">
                  <c:v>0</c:v>
                </c:pt>
                <c:pt idx="4">
                  <c:v>593.43748664137013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646.56687047578885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942.09420942094198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398.34969412434202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818.05711435341061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920.86033187185569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148.14814814814815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355.55555555555554</c:v>
                </c:pt>
                <c:pt idx="35">
                  <c:v>0</c:v>
                </c:pt>
                <c:pt idx="36">
                  <c:v>0</c:v>
                </c:pt>
                <c:pt idx="37">
                  <c:v>147.53692374975628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332.62600213602002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184.37900128040974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59.717326279663268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170.72129748186089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105.38351696411165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18.065745765276283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212.65284423179159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32.822966679929486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138.2842509603073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 formatCode="0">
                  <c:v>132.72727272727272</c:v>
                </c:pt>
                <c:pt idx="81" formatCode="0">
                  <c:v>132.72727272727272</c:v>
                </c:pt>
                <c:pt idx="82" formatCode="0">
                  <c:v>132.72727272727272</c:v>
                </c:pt>
                <c:pt idx="83" formatCode="0">
                  <c:v>132.72727272727272</c:v>
                </c:pt>
                <c:pt idx="84" formatCode="0">
                  <c:v>132.72727272727272</c:v>
                </c:pt>
                <c:pt idx="85" formatCode="0">
                  <c:v>132.72727272727272</c:v>
                </c:pt>
                <c:pt idx="86" formatCode="0">
                  <c:v>132.72727272727272</c:v>
                </c:pt>
                <c:pt idx="87" formatCode="0">
                  <c:v>132.72727272727272</c:v>
                </c:pt>
                <c:pt idx="88" formatCode="0">
                  <c:v>90.909090909090907</c:v>
                </c:pt>
                <c:pt idx="89" formatCode="0">
                  <c:v>90.909090909090907</c:v>
                </c:pt>
                <c:pt idx="90" formatCode="0">
                  <c:v>90.909090909090907</c:v>
                </c:pt>
                <c:pt idx="91" formatCode="0">
                  <c:v>90.909090909090907</c:v>
                </c:pt>
                <c:pt idx="92" formatCode="0">
                  <c:v>90.909090909090907</c:v>
                </c:pt>
                <c:pt idx="93" formatCode="0">
                  <c:v>90.909090909090907</c:v>
                </c:pt>
                <c:pt idx="94" formatCode="0">
                  <c:v>90.909090909090907</c:v>
                </c:pt>
                <c:pt idx="95" formatCode="0">
                  <c:v>90.909090909090907</c:v>
                </c:pt>
                <c:pt idx="96" formatCode="0">
                  <c:v>81.818181818181813</c:v>
                </c:pt>
                <c:pt idx="97" formatCode="0">
                  <c:v>81.818181818181813</c:v>
                </c:pt>
                <c:pt idx="98" formatCode="0">
                  <c:v>81.818181818181813</c:v>
                </c:pt>
                <c:pt idx="99" formatCode="0">
                  <c:v>81.818181818181813</c:v>
                </c:pt>
                <c:pt idx="100" formatCode="0">
                  <c:v>81.818181818181813</c:v>
                </c:pt>
                <c:pt idx="101" formatCode="0">
                  <c:v>81.818181818181813</c:v>
                </c:pt>
                <c:pt idx="102" formatCode="0">
                  <c:v>81.818181818181813</c:v>
                </c:pt>
                <c:pt idx="103" formatCode="0">
                  <c:v>81.818181818181813</c:v>
                </c:pt>
                <c:pt idx="104" formatCode="0">
                  <c:v>110.90909090909091</c:v>
                </c:pt>
                <c:pt idx="105" formatCode="0">
                  <c:v>110.90909090909091</c:v>
                </c:pt>
                <c:pt idx="106" formatCode="0">
                  <c:v>110.90909090909091</c:v>
                </c:pt>
                <c:pt idx="107" formatCode="0">
                  <c:v>110.90909090909091</c:v>
                </c:pt>
                <c:pt idx="108" formatCode="0">
                  <c:v>110.90909090909091</c:v>
                </c:pt>
                <c:pt idx="109" formatCode="0">
                  <c:v>110.90909090909091</c:v>
                </c:pt>
                <c:pt idx="110" formatCode="0">
                  <c:v>112.72727272727272</c:v>
                </c:pt>
                <c:pt idx="111" formatCode="0">
                  <c:v>112.72727272727272</c:v>
                </c:pt>
                <c:pt idx="112" formatCode="0">
                  <c:v>112.72727272727272</c:v>
                </c:pt>
                <c:pt idx="113" formatCode="0">
                  <c:v>112.72727272727272</c:v>
                </c:pt>
                <c:pt idx="114" formatCode="0">
                  <c:v>112.72727272727272</c:v>
                </c:pt>
                <c:pt idx="115" formatCode="0">
                  <c:v>112.72727272727272</c:v>
                </c:pt>
                <c:pt idx="116" formatCode="0">
                  <c:v>109.09090909090908</c:v>
                </c:pt>
                <c:pt idx="117" formatCode="0">
                  <c:v>109.09090909090908</c:v>
                </c:pt>
                <c:pt idx="118" formatCode="0">
                  <c:v>109.09090909090908</c:v>
                </c:pt>
                <c:pt idx="119" formatCode="0">
                  <c:v>109.09090909090908</c:v>
                </c:pt>
                <c:pt idx="120" formatCode="0">
                  <c:v>109.09090909090908</c:v>
                </c:pt>
                <c:pt idx="121" formatCode="0">
                  <c:v>32.727272727272727</c:v>
                </c:pt>
                <c:pt idx="122" formatCode="0">
                  <c:v>32.727272727272727</c:v>
                </c:pt>
                <c:pt idx="123" formatCode="0">
                  <c:v>32.727272727272727</c:v>
                </c:pt>
                <c:pt idx="124" formatCode="0">
                  <c:v>32.727272727272727</c:v>
                </c:pt>
                <c:pt idx="125" formatCode="0">
                  <c:v>69.090909090909079</c:v>
                </c:pt>
                <c:pt idx="126" formatCode="0">
                  <c:v>69.090909090909079</c:v>
                </c:pt>
                <c:pt idx="127" formatCode="0">
                  <c:v>69.090909090909079</c:v>
                </c:pt>
                <c:pt idx="128" formatCode="0">
                  <c:v>69.090909090909079</c:v>
                </c:pt>
                <c:pt idx="129" formatCode="0">
                  <c:v>54</c:v>
                </c:pt>
                <c:pt idx="130" formatCode="0">
                  <c:v>54</c:v>
                </c:pt>
                <c:pt idx="131" formatCode="0">
                  <c:v>54</c:v>
                </c:pt>
                <c:pt idx="132" formatCode="0">
                  <c:v>54</c:v>
                </c:pt>
                <c:pt idx="133" formatCode="0">
                  <c:v>187.27272727272725</c:v>
                </c:pt>
                <c:pt idx="134" formatCode="0">
                  <c:v>187.27272727272725</c:v>
                </c:pt>
                <c:pt idx="135" formatCode="0">
                  <c:v>187.27272727272725</c:v>
                </c:pt>
                <c:pt idx="136" formatCode="0">
                  <c:v>187.27272727272725</c:v>
                </c:pt>
                <c:pt idx="137" formatCode="0">
                  <c:v>76.36363636363636</c:v>
                </c:pt>
                <c:pt idx="138" formatCode="0">
                  <c:v>76.36363636363636</c:v>
                </c:pt>
                <c:pt idx="139" formatCode="0">
                  <c:v>76.36363636363636</c:v>
                </c:pt>
                <c:pt idx="140" formatCode="0">
                  <c:v>76.36363636363636</c:v>
                </c:pt>
                <c:pt idx="141" formatCode="0">
                  <c:v>76.36363636363636</c:v>
                </c:pt>
                <c:pt idx="142" formatCode="0">
                  <c:v>76.36363636363636</c:v>
                </c:pt>
                <c:pt idx="143" formatCode="0">
                  <c:v>169.09090909090907</c:v>
                </c:pt>
                <c:pt idx="144" formatCode="0">
                  <c:v>169.09090909090907</c:v>
                </c:pt>
                <c:pt idx="145" formatCode="0">
                  <c:v>169.09090909090907</c:v>
                </c:pt>
                <c:pt idx="146" formatCode="0">
                  <c:v>169.09090909090907</c:v>
                </c:pt>
                <c:pt idx="147" formatCode="0">
                  <c:v>169.09090909090907</c:v>
                </c:pt>
                <c:pt idx="148" formatCode="0">
                  <c:v>169.09090909090907</c:v>
                </c:pt>
                <c:pt idx="149" formatCode="0">
                  <c:v>169.09090909090907</c:v>
                </c:pt>
                <c:pt idx="150" formatCode="0">
                  <c:v>123.63636363636363</c:v>
                </c:pt>
                <c:pt idx="151" formatCode="0">
                  <c:v>123.63636363636363</c:v>
                </c:pt>
                <c:pt idx="152" formatCode="0">
                  <c:v>123.63636363636363</c:v>
                </c:pt>
                <c:pt idx="153" formatCode="0">
                  <c:v>123.63636363636363</c:v>
                </c:pt>
                <c:pt idx="154" formatCode="0">
                  <c:v>123.63636363636363</c:v>
                </c:pt>
                <c:pt idx="155" formatCode="0">
                  <c:v>198.18181818181816</c:v>
                </c:pt>
                <c:pt idx="156" formatCode="0">
                  <c:v>198.18181818181816</c:v>
                </c:pt>
                <c:pt idx="157" formatCode="0">
                  <c:v>198.18181818181816</c:v>
                </c:pt>
                <c:pt idx="158" formatCode="0">
                  <c:v>198.18181818181816</c:v>
                </c:pt>
                <c:pt idx="159" formatCode="0">
                  <c:v>198.18181818181816</c:v>
                </c:pt>
                <c:pt idx="160" formatCode="0">
                  <c:v>174.54545454545453</c:v>
                </c:pt>
                <c:pt idx="161" formatCode="0">
                  <c:v>174.54545454545453</c:v>
                </c:pt>
                <c:pt idx="162" formatCode="0">
                  <c:v>174.54545454545453</c:v>
                </c:pt>
                <c:pt idx="163" formatCode="0">
                  <c:v>174.54545454545453</c:v>
                </c:pt>
                <c:pt idx="164" formatCode="0">
                  <c:v>174.54545454545453</c:v>
                </c:pt>
                <c:pt idx="165" formatCode="0">
                  <c:v>74.545454545454533</c:v>
                </c:pt>
                <c:pt idx="166" formatCode="0">
                  <c:v>74.545454545454533</c:v>
                </c:pt>
                <c:pt idx="167" formatCode="0">
                  <c:v>74.545454545454533</c:v>
                </c:pt>
                <c:pt idx="168" formatCode="0">
                  <c:v>74.545454545454533</c:v>
                </c:pt>
                <c:pt idx="169" formatCode="0">
                  <c:v>74.545454545454533</c:v>
                </c:pt>
                <c:pt idx="170" formatCode="0">
                  <c:v>32.727272727272727</c:v>
                </c:pt>
                <c:pt idx="171" formatCode="0">
                  <c:v>32.727272727272727</c:v>
                </c:pt>
                <c:pt idx="172" formatCode="0">
                  <c:v>32.727272727272727</c:v>
                </c:pt>
                <c:pt idx="173" formatCode="0">
                  <c:v>32.727272727272727</c:v>
                </c:pt>
                <c:pt idx="174" formatCode="0">
                  <c:v>81.818181818181813</c:v>
                </c:pt>
                <c:pt idx="175" formatCode="0">
                  <c:v>81.818181818181813</c:v>
                </c:pt>
                <c:pt idx="176" formatCode="0">
                  <c:v>81.818181818181813</c:v>
                </c:pt>
                <c:pt idx="177" formatCode="0">
                  <c:v>81.818181818181813</c:v>
                </c:pt>
                <c:pt idx="178" formatCode="0">
                  <c:v>50.909090909090907</c:v>
                </c:pt>
                <c:pt idx="179" formatCode="0">
                  <c:v>50.909090909090907</c:v>
                </c:pt>
                <c:pt idx="180" formatCode="0">
                  <c:v>50.909090909090907</c:v>
                </c:pt>
                <c:pt idx="181" formatCode="0">
                  <c:v>50.909090909090907</c:v>
                </c:pt>
                <c:pt idx="182" formatCode="0">
                  <c:v>36.36363636363636</c:v>
                </c:pt>
                <c:pt idx="183" formatCode="0">
                  <c:v>36.36363636363636</c:v>
                </c:pt>
                <c:pt idx="184" formatCode="0">
                  <c:v>36.36363636363636</c:v>
                </c:pt>
                <c:pt idx="185" formatCode="0">
                  <c:v>36.36363636363636</c:v>
                </c:pt>
                <c:pt idx="186" formatCode="0">
                  <c:v>36.36363636363636</c:v>
                </c:pt>
                <c:pt idx="187" formatCode="0">
                  <c:v>27.27272727272727</c:v>
                </c:pt>
                <c:pt idx="188" formatCode="0">
                  <c:v>27.27272727272727</c:v>
                </c:pt>
                <c:pt idx="189" formatCode="0">
                  <c:v>27.27272727272727</c:v>
                </c:pt>
                <c:pt idx="190" formatCode="0">
                  <c:v>27.27272727272727</c:v>
                </c:pt>
                <c:pt idx="191" formatCode="0">
                  <c:v>27.27272727272727</c:v>
                </c:pt>
                <c:pt idx="192" formatCode="General">
                  <c:v>59.999999999999993</c:v>
                </c:pt>
                <c:pt idx="193" formatCode="0">
                  <c:v>27.27272727272727</c:v>
                </c:pt>
                <c:pt idx="194" formatCode="0">
                  <c:v>27.27272727272727</c:v>
                </c:pt>
                <c:pt idx="195" formatCode="0">
                  <c:v>27.27272727272727</c:v>
                </c:pt>
                <c:pt idx="196" formatCode="0">
                  <c:v>27.27272727272727</c:v>
                </c:pt>
                <c:pt idx="197" formatCode="0">
                  <c:v>154.54545454545453</c:v>
                </c:pt>
                <c:pt idx="198" formatCode="0">
                  <c:v>154.54545454545453</c:v>
                </c:pt>
                <c:pt idx="199" formatCode="0">
                  <c:v>154.54545454545453</c:v>
                </c:pt>
                <c:pt idx="200" formatCode="0">
                  <c:v>154.54545454545453</c:v>
                </c:pt>
                <c:pt idx="201" formatCode="0">
                  <c:v>154.54545454545453</c:v>
                </c:pt>
                <c:pt idx="202" formatCode="0">
                  <c:v>154.54545454545453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2-407C-BE8D-3F44B2CF3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225152"/>
        <c:axId val="134553600"/>
      </c:barChart>
      <c:dateAx>
        <c:axId val="1202251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34553600"/>
        <c:crosses val="autoZero"/>
        <c:auto val="0"/>
        <c:lblOffset val="100"/>
        <c:baseTimeUnit val="days"/>
      </c:dateAx>
      <c:valAx>
        <c:axId val="134553600"/>
        <c:scaling>
          <c:orientation val="minMax"/>
          <c:max val="20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0225152"/>
        <c:crosses val="autoZero"/>
        <c:crossBetween val="between"/>
        <c:majorUnit val="500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6908892265305618"/>
          <c:y val="0.19088149996268924"/>
          <c:w val="0.44231145919637993"/>
          <c:h val="0.2820601255732960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2002-2022</a:t>
            </a:r>
            <a:r>
              <a:rPr lang="en-CA" baseline="0"/>
              <a:t> (n=21)</a:t>
            </a:r>
            <a:endParaRPr lang="en-CA"/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Unadjusted Raw Swim Counts</a:t>
            </a:r>
          </a:p>
        </c:rich>
      </c:tx>
      <c:layout>
        <c:manualLayout>
          <c:xMode val="edge"/>
          <c:yMode val="edge"/>
          <c:x val="0.26465909724139369"/>
          <c:y val="0.1553221444682458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07669105064059"/>
          <c:y val="0.27426778374501426"/>
          <c:w val="0.8149197251560174"/>
          <c:h val="0.52361666221698844"/>
        </c:manualLayout>
      </c:layout>
      <c:scatterChart>
        <c:scatterStyle val="smoothMarker"/>
        <c:varyColors val="0"/>
        <c:ser>
          <c:idx val="20"/>
          <c:order val="0"/>
          <c:tx>
            <c:strRef>
              <c:f>'Time and Area Standardization'!$A$191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</c:spPr>
          </c:marker>
          <c:xVal>
            <c:numRef>
              <c:f>'Time and Area Standardization'!$B$191:$B$195</c:f>
              <c:numCache>
                <c:formatCode>General</c:formatCode>
                <c:ptCount val="5"/>
                <c:pt idx="0">
                  <c:v>1</c:v>
                </c:pt>
                <c:pt idx="1">
                  <c:v>67</c:v>
                </c:pt>
                <c:pt idx="2">
                  <c:v>90</c:v>
                </c:pt>
                <c:pt idx="3">
                  <c:v>116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Standardization'!$G$191:$G$195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C0-4E23-91A0-54524B04E14A}"/>
            </c:ext>
          </c:extLst>
        </c:ser>
        <c:ser>
          <c:idx val="19"/>
          <c:order val="1"/>
          <c:tx>
            <c:strRef>
              <c:f>'Time and Area Standardization'!$A$186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Standardization'!$B$186:$B$190</c:f>
              <c:numCache>
                <c:formatCode>General</c:formatCode>
                <c:ptCount val="5"/>
                <c:pt idx="0">
                  <c:v>1</c:v>
                </c:pt>
                <c:pt idx="1">
                  <c:v>69</c:v>
                </c:pt>
                <c:pt idx="2">
                  <c:v>90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Standardization'!$G$186:$G$190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75-4449-99BE-D5BC32647F85}"/>
            </c:ext>
          </c:extLst>
        </c:ser>
        <c:ser>
          <c:idx val="17"/>
          <c:order val="2"/>
          <c:tx>
            <c:strRef>
              <c:f>'Time and Area Standardization'!$A$182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'Time and Area Standardization'!$B$182:$B$185</c:f>
              <c:numCache>
                <c:formatCode>General</c:formatCode>
                <c:ptCount val="4"/>
                <c:pt idx="0">
                  <c:v>1</c:v>
                </c:pt>
                <c:pt idx="1">
                  <c:v>65</c:v>
                </c:pt>
                <c:pt idx="2">
                  <c:v>98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Standardization'!$G$182:$G$185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75-4449-99BE-D5BC32647F85}"/>
            </c:ext>
          </c:extLst>
        </c:ser>
        <c:ser>
          <c:idx val="18"/>
          <c:order val="3"/>
          <c:tx>
            <c:strRef>
              <c:f>'Time and Area Standardization'!$A$178</c:f>
              <c:strCache>
                <c:ptCount val="1"/>
                <c:pt idx="0">
                  <c:v>2019</c:v>
                </c:pt>
              </c:strCache>
            </c:strRef>
          </c:tx>
          <c:spPr>
            <a:ln w="44450">
              <a:solidFill>
                <a:srgbClr val="92D050"/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'Time and Area Standardization'!$B$178:$B$181</c:f>
              <c:numCache>
                <c:formatCode>General</c:formatCode>
                <c:ptCount val="4"/>
                <c:pt idx="0">
                  <c:v>1</c:v>
                </c:pt>
                <c:pt idx="1">
                  <c:v>92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Standardization'!$G$178:$G$181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75-4449-99BE-D5BC32647F85}"/>
            </c:ext>
          </c:extLst>
        </c:ser>
        <c:ser>
          <c:idx val="16"/>
          <c:order val="4"/>
          <c:tx>
            <c:strRef>
              <c:f>'Time and Area Standardization'!$A$174</c:f>
              <c:strCache>
                <c:ptCount val="1"/>
                <c:pt idx="0">
                  <c:v>2018</c:v>
                </c:pt>
              </c:strCache>
            </c:strRef>
          </c:tx>
          <c:spPr>
            <a:ln w="47625"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4-8975-4449-99BE-D5BC32647F85}"/>
              </c:ext>
            </c:extLst>
          </c:dPt>
          <c:xVal>
            <c:numRef>
              <c:f>'Time and Area Standardization'!$B$174:$B$177</c:f>
              <c:numCache>
                <c:formatCode>General</c:formatCode>
                <c:ptCount val="4"/>
                <c:pt idx="0">
                  <c:v>1</c:v>
                </c:pt>
                <c:pt idx="1">
                  <c:v>75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Standardization'!$G$174:$G$177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75-4449-99BE-D5BC32647F85}"/>
            </c:ext>
          </c:extLst>
        </c:ser>
        <c:ser>
          <c:idx val="15"/>
          <c:order val="5"/>
          <c:tx>
            <c:strRef>
              <c:f>'Time and Area Standardization'!$A$172</c:f>
              <c:strCache>
                <c:ptCount val="1"/>
                <c:pt idx="0">
                  <c:v>2017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miter lim="800000"/>
            </a:ln>
          </c:spPr>
          <c:marker>
            <c:spPr>
              <a:noFill/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Standardization'!$B$169:$B$173</c:f>
              <c:numCache>
                <c:formatCode>General</c:formatCode>
                <c:ptCount val="5"/>
                <c:pt idx="0">
                  <c:v>1</c:v>
                </c:pt>
                <c:pt idx="1">
                  <c:v>68</c:v>
                </c:pt>
                <c:pt idx="2">
                  <c:v>94</c:v>
                </c:pt>
                <c:pt idx="3">
                  <c:v>121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Standardization'!$G$169:$G$173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75-4449-99BE-D5BC32647F85}"/>
            </c:ext>
          </c:extLst>
        </c:ser>
        <c:ser>
          <c:idx val="14"/>
          <c:order val="6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75-4449-99BE-D5BC32647F85}"/>
            </c:ext>
          </c:extLst>
        </c:ser>
        <c:ser>
          <c:idx val="13"/>
          <c:order val="7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75-4449-99BE-D5BC32647F85}"/>
            </c:ext>
          </c:extLst>
        </c:ser>
        <c:ser>
          <c:idx val="12"/>
          <c:order val="8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75-4449-99BE-D5BC32647F85}"/>
            </c:ext>
          </c:extLst>
        </c:ser>
        <c:ser>
          <c:idx val="11"/>
          <c:order val="9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75-4449-99BE-D5BC32647F85}"/>
            </c:ext>
          </c:extLst>
        </c:ser>
        <c:ser>
          <c:idx val="10"/>
          <c:order val="10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975-4449-99BE-D5BC32647F85}"/>
            </c:ext>
          </c:extLst>
        </c:ser>
        <c:ser>
          <c:idx val="9"/>
          <c:order val="11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dPt>
            <c:idx val="2"/>
            <c:bubble3D val="0"/>
            <c:spPr>
              <a:ln w="28575" cap="sq">
                <a:solidFill>
                  <a:sysClr val="window" lastClr="FFFFFF">
                    <a:lumMod val="65000"/>
                  </a:sysClr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D-8975-4449-99BE-D5BC32647F85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975-4449-99BE-D5BC32647F85}"/>
            </c:ext>
          </c:extLst>
        </c:ser>
        <c:ser>
          <c:idx val="8"/>
          <c:order val="12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4445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7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975-4449-99BE-D5BC32647F85}"/>
            </c:ext>
          </c:extLst>
        </c:ser>
        <c:ser>
          <c:idx val="7"/>
          <c:order val="13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circle"/>
            <c:size val="4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dPt>
            <c:idx val="2"/>
            <c:marker>
              <c:spPr>
                <a:solidFill>
                  <a:sysClr val="window" lastClr="FFFFFF">
                    <a:lumMod val="75000"/>
                  </a:sysClr>
                </a:solidFill>
                <a:ln>
                  <a:solidFill>
                    <a:sysClr val="window" lastClr="FFFFFF">
                      <a:lumMod val="65000"/>
                    </a:sys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AC0-4E23-91A0-54524B04E14A}"/>
              </c:ext>
            </c:extLst>
          </c:dPt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975-4449-99BE-D5BC32647F85}"/>
            </c:ext>
          </c:extLst>
        </c:ser>
        <c:ser>
          <c:idx val="6"/>
          <c:order val="14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2-8975-4449-99BE-D5BC32647F85}"/>
              </c:ext>
            </c:extLst>
          </c:dPt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975-4449-99BE-D5BC32647F85}"/>
            </c:ext>
          </c:extLst>
        </c:ser>
        <c:ser>
          <c:idx val="5"/>
          <c:order val="15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square"/>
            <c:size val="5"/>
            <c:spPr>
              <a:solidFill>
                <a:sysClr val="window" lastClr="FFFFFF">
                  <a:lumMod val="65000"/>
                </a:sysClr>
              </a:solidFill>
              <a:ln w="25400"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975-4449-99BE-D5BC32647F85}"/>
            </c:ext>
          </c:extLst>
        </c:ser>
        <c:ser>
          <c:idx val="4"/>
          <c:order val="16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975-4449-99BE-D5BC32647F85}"/>
            </c:ext>
          </c:extLst>
        </c:ser>
        <c:ser>
          <c:idx val="3"/>
          <c:order val="17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circle"/>
            <c:size val="6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975-4449-99BE-D5BC32647F85}"/>
            </c:ext>
          </c:extLst>
        </c:ser>
        <c:ser>
          <c:idx val="0"/>
          <c:order val="18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diamond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975-4449-99BE-D5BC32647F85}"/>
            </c:ext>
          </c:extLst>
        </c:ser>
        <c:ser>
          <c:idx val="1"/>
          <c:order val="19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squar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975-4449-99BE-D5BC32647F85}"/>
            </c:ext>
          </c:extLst>
        </c:ser>
        <c:ser>
          <c:idx val="2"/>
          <c:order val="20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975-4449-99BE-D5BC3264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3456"/>
        <c:axId val="125045760"/>
      </c:scatterChart>
      <c:valAx>
        <c:axId val="125043456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3512651819554832"/>
              <c:y val="0.861906353458050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5760"/>
        <c:crosses val="autoZero"/>
        <c:crossBetween val="midCat"/>
        <c:majorUnit val="20"/>
      </c:valAx>
      <c:valAx>
        <c:axId val="1250457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345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005086822520215"/>
          <c:y val="0.20021526917255311"/>
          <c:w val="6.328789947580489E-2"/>
          <c:h val="0.501246368503755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Peak Steelhead /</a:t>
            </a:r>
            <a:r>
              <a:rPr lang="en-CA" baseline="0"/>
              <a:t> Km Counts in the Englishman River, 1982 - 2015 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833199909191924E-2"/>
          <c:y val="9.558121632024634E-2"/>
          <c:w val="0.89386432158802609"/>
          <c:h val="0.810407763694665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'Peak Historic'!$A$5:$A$38</c:f>
              <c:strCach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strCache>
            </c:strRef>
          </c:cat>
          <c:val>
            <c:numRef>
              <c:f>'Peak Historic'!$B$5:$B$38</c:f>
              <c:numCache>
                <c:formatCode>0.0</c:formatCode>
                <c:ptCount val="34"/>
                <c:pt idx="0">
                  <c:v>13.04</c:v>
                </c:pt>
                <c:pt idx="1">
                  <c:v>19.71</c:v>
                </c:pt>
                <c:pt idx="2">
                  <c:v>20.92</c:v>
                </c:pt>
                <c:pt idx="3">
                  <c:v>31.4</c:v>
                </c:pt>
                <c:pt idx="4">
                  <c:v>8.6</c:v>
                </c:pt>
                <c:pt idx="5">
                  <c:v>43.39</c:v>
                </c:pt>
                <c:pt idx="6">
                  <c:v>36.549999999999997</c:v>
                </c:pt>
                <c:pt idx="7">
                  <c:v>9.3000000000000007</c:v>
                </c:pt>
                <c:pt idx="8">
                  <c:v>11.96</c:v>
                </c:pt>
                <c:pt idx="9">
                  <c:v>5.0999999999999996</c:v>
                </c:pt>
                <c:pt idx="10">
                  <c:v>17.88</c:v>
                </c:pt>
                <c:pt idx="11">
                  <c:v>8.8000000000000007</c:v>
                </c:pt>
                <c:pt idx="12">
                  <c:v>2.0699999999999998</c:v>
                </c:pt>
                <c:pt idx="13">
                  <c:v>4.38</c:v>
                </c:pt>
                <c:pt idx="14">
                  <c:v>3.65</c:v>
                </c:pt>
                <c:pt idx="15">
                  <c:v>2.5</c:v>
                </c:pt>
                <c:pt idx="16">
                  <c:v>3.77</c:v>
                </c:pt>
                <c:pt idx="17">
                  <c:v>9.31</c:v>
                </c:pt>
                <c:pt idx="18">
                  <c:v>1.8</c:v>
                </c:pt>
                <c:pt idx="19">
                  <c:v>8.0299999999999994</c:v>
                </c:pt>
                <c:pt idx="20">
                  <c:v>4.54</c:v>
                </c:pt>
                <c:pt idx="21">
                  <c:v>3.1</c:v>
                </c:pt>
                <c:pt idx="22">
                  <c:v>3.6</c:v>
                </c:pt>
                <c:pt idx="23">
                  <c:v>4.5</c:v>
                </c:pt>
                <c:pt idx="24">
                  <c:v>4.1333333333333337</c:v>
                </c:pt>
                <c:pt idx="25">
                  <c:v>4</c:v>
                </c:pt>
                <c:pt idx="26">
                  <c:v>1.2</c:v>
                </c:pt>
                <c:pt idx="27">
                  <c:v>2.5333333333333332</c:v>
                </c:pt>
                <c:pt idx="28">
                  <c:v>3.6</c:v>
                </c:pt>
                <c:pt idx="29">
                  <c:v>6.8666666666666663</c:v>
                </c:pt>
                <c:pt idx="30">
                  <c:v>2.8</c:v>
                </c:pt>
                <c:pt idx="31">
                  <c:v>6.2</c:v>
                </c:pt>
                <c:pt idx="32">
                  <c:v>4.5</c:v>
                </c:pt>
                <c:pt idx="33">
                  <c:v>7.2666666666666666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8-4701-8828-3A093A651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963840"/>
        <c:axId val="120965376"/>
      </c:barChart>
      <c:catAx>
        <c:axId val="1209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96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965376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Steelhead</a:t>
                </a:r>
                <a:r>
                  <a:rPr lang="en-CA" baseline="0"/>
                  <a:t> </a:t>
                </a:r>
                <a:r>
                  <a:rPr lang="en-CA"/>
                  <a:t>/ Km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963840"/>
        <c:crosses val="autoZero"/>
        <c:crossBetween val="between"/>
        <c:majorUnit val="1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200" verticalDpi="200" copies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95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ENGLISHMAN RIVER WINTER STEELHEAD (1982-2010)</a:t>
            </a:r>
          </a:p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9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Snorkel Counts (steelhead/km)</a:t>
            </a:r>
          </a:p>
        </c:rich>
      </c:tx>
      <c:layout>
        <c:manualLayout>
          <c:xMode val="edge"/>
          <c:yMode val="edge"/>
          <c:x val="0.21955421095519154"/>
          <c:y val="1.31926121372031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048097837238891E-2"/>
          <c:y val="0.13192629133808559"/>
          <c:w val="0.8867931955480105"/>
          <c:h val="0.7625339639341345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tint val="44314"/>
                    <a:invGamma/>
                  </a:srgbClr>
                </a:gs>
                <a:gs pos="100000">
                  <a:srgbClr val="0000FF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'Peak Historic'!$A$5:$A$33</c:f>
              <c:strCache>
                <c:ptCount val="29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</c:strCache>
            </c:strRef>
          </c:cat>
          <c:val>
            <c:numRef>
              <c:f>'Peak Historic'!$B$5:$B$33</c:f>
              <c:numCache>
                <c:formatCode>0.0</c:formatCode>
                <c:ptCount val="29"/>
                <c:pt idx="0">
                  <c:v>13.04</c:v>
                </c:pt>
                <c:pt idx="1">
                  <c:v>19.71</c:v>
                </c:pt>
                <c:pt idx="2">
                  <c:v>20.92</c:v>
                </c:pt>
                <c:pt idx="3">
                  <c:v>31.4</c:v>
                </c:pt>
                <c:pt idx="4">
                  <c:v>8.6</c:v>
                </c:pt>
                <c:pt idx="5">
                  <c:v>43.39</c:v>
                </c:pt>
                <c:pt idx="6">
                  <c:v>36.549999999999997</c:v>
                </c:pt>
                <c:pt idx="7">
                  <c:v>9.3000000000000007</c:v>
                </c:pt>
                <c:pt idx="8">
                  <c:v>11.96</c:v>
                </c:pt>
                <c:pt idx="9">
                  <c:v>5.0999999999999996</c:v>
                </c:pt>
                <c:pt idx="10">
                  <c:v>17.88</c:v>
                </c:pt>
                <c:pt idx="11">
                  <c:v>8.8000000000000007</c:v>
                </c:pt>
                <c:pt idx="12">
                  <c:v>2.0699999999999998</c:v>
                </c:pt>
                <c:pt idx="13">
                  <c:v>4.38</c:v>
                </c:pt>
                <c:pt idx="14">
                  <c:v>3.65</c:v>
                </c:pt>
                <c:pt idx="15">
                  <c:v>2.5</c:v>
                </c:pt>
                <c:pt idx="16">
                  <c:v>3.77</c:v>
                </c:pt>
                <c:pt idx="17">
                  <c:v>9.31</c:v>
                </c:pt>
                <c:pt idx="18">
                  <c:v>1.8</c:v>
                </c:pt>
                <c:pt idx="19">
                  <c:v>8.0299999999999994</c:v>
                </c:pt>
                <c:pt idx="20">
                  <c:v>4.54</c:v>
                </c:pt>
                <c:pt idx="21">
                  <c:v>3.1</c:v>
                </c:pt>
                <c:pt idx="22">
                  <c:v>3.6</c:v>
                </c:pt>
                <c:pt idx="23">
                  <c:v>4.5</c:v>
                </c:pt>
                <c:pt idx="24">
                  <c:v>4.1333333333333337</c:v>
                </c:pt>
                <c:pt idx="25">
                  <c:v>4</c:v>
                </c:pt>
                <c:pt idx="26">
                  <c:v>1.2</c:v>
                </c:pt>
                <c:pt idx="27">
                  <c:v>2.5333333333333332</c:v>
                </c:pt>
                <c:pt idx="2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8-4EA2-82F4-9C32320CF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72320"/>
        <c:axId val="120878208"/>
      </c:barChart>
      <c:catAx>
        <c:axId val="12087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782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20878208"/>
        <c:scaling>
          <c:orientation val="minMax"/>
          <c:max val="50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Steelhead/km</a:t>
                </a:r>
              </a:p>
            </c:rich>
          </c:tx>
          <c:layout>
            <c:manualLayout>
              <c:xMode val="edge"/>
              <c:yMode val="edge"/>
              <c:x val="8.576329331046316E-3"/>
              <c:y val="0.40369448541887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72320"/>
        <c:crosses val="autoZero"/>
        <c:crossBetween val="between"/>
        <c:majorUnit val="10"/>
        <c:minorUnit val="2"/>
      </c:valAx>
      <c:spPr>
        <a:gradFill rotWithShape="0">
          <a:gsLst>
            <a:gs pos="0">
              <a:srgbClr val="FFFFFF"/>
            </a:gs>
            <a:gs pos="100000">
              <a:srgbClr val="FFFFFF">
                <a:gamma/>
                <a:shade val="82353"/>
                <a:invGamma/>
              </a:srgbClr>
            </a:gs>
          </a:gsLst>
          <a:lin ang="5400000" scaled="1"/>
        </a:gradFill>
        <a:ln w="25400">
          <a:noFill/>
        </a:ln>
      </c:spPr>
    </c:plotArea>
    <c:plotVisOnly val="1"/>
    <c:dispBlanksAs val="gap"/>
    <c:showDLblsOverMax val="0"/>
  </c:chart>
  <c:spPr>
    <a:solidFill>
      <a:srgbClr val="C0C0C0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2002-2015</a:t>
            </a:r>
          </a:p>
        </c:rich>
      </c:tx>
      <c:layout>
        <c:manualLayout>
          <c:xMode val="edge"/>
          <c:yMode val="edge"/>
          <c:x val="0.34225113783988936"/>
          <c:y val="3.3518077537847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47679899970643"/>
          <c:y val="0.1352430699877831"/>
          <c:w val="0.84112277478031117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'raw 2002-2016 Comparison'!$BE$1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'raw 2002-2016 Comparison'!$BE$3:$BE$7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98</c:v>
                </c:pt>
                <c:pt idx="3">
                  <c:v>111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Comparison'!$BG$3:$BG$7</c:f>
              <c:numCache>
                <c:formatCode>General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6-4A62-B940-AC0DFB4917B5}"/>
            </c:ext>
          </c:extLst>
        </c:ser>
        <c:ser>
          <c:idx val="13"/>
          <c:order val="1"/>
          <c:tx>
            <c:strRef>
              <c:f>'raw 2002-2016 Comparison'!$BA$1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'raw 2002-2016 Comparison'!$BA$3:$BA$7</c:f>
              <c:numCache>
                <c:formatCode>General</c:formatCode>
                <c:ptCount val="5"/>
                <c:pt idx="0">
                  <c:v>0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Comparison'!$BC$3:$BC$7</c:f>
              <c:numCache>
                <c:formatCode>General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66-4A62-B940-AC0DFB4917B5}"/>
            </c:ext>
          </c:extLst>
        </c:ser>
        <c:ser>
          <c:idx val="12"/>
          <c:order val="2"/>
          <c:tx>
            <c:strRef>
              <c:f>'raw 2002-2016 Comparison'!$AW$1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'raw 2002-2016 Comparison'!$AW$3:$AW$7</c:f>
              <c:numCache>
                <c:formatCode>General</c:formatCode>
                <c:ptCount val="5"/>
                <c:pt idx="0">
                  <c:v>0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Comparison'!$AY$3:$AY$7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66-4A62-B940-AC0DFB4917B5}"/>
            </c:ext>
          </c:extLst>
        </c:ser>
        <c:ser>
          <c:idx val="11"/>
          <c:order val="3"/>
          <c:tx>
            <c:strRef>
              <c:f>'raw 2002-2016 Comparison'!$AS$1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'raw 2002-2016 Comparison'!$AS$3:$AS$9</c:f>
              <c:numCache>
                <c:formatCode>General</c:formatCode>
                <c:ptCount val="7"/>
                <c:pt idx="0">
                  <c:v>0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'raw 2002-2016 Comparison'!$AU$3:$AU$9</c:f>
              <c:numCache>
                <c:formatCode>General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66-4A62-B940-AC0DFB4917B5}"/>
            </c:ext>
          </c:extLst>
        </c:ser>
        <c:ser>
          <c:idx val="10"/>
          <c:order val="4"/>
          <c:tx>
            <c:strRef>
              <c:f>'raw 2002-2016 Comparison'!$AO$1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'raw 2002-2016 Comparison'!$AO$3:$AO$7</c:f>
              <c:numCache>
                <c:formatCode>General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115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Comparison'!$AQ$3:$AQ$7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38</c:v>
                </c:pt>
                <c:pt idx="3">
                  <c:v>42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66-4A62-B940-AC0DFB4917B5}"/>
            </c:ext>
          </c:extLst>
        </c:ser>
        <c:ser>
          <c:idx val="9"/>
          <c:order val="5"/>
          <c:tx>
            <c:strRef>
              <c:f>'raw 2002-2016 Comparison'!$AK$1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A566-4A62-B940-AC0DFB4917B5}"/>
              </c:ext>
            </c:extLst>
          </c:dPt>
          <c:xVal>
            <c:numRef>
              <c:f>'raw 2002-2016 Comparison'!$AK$3:$AK$6</c:f>
              <c:numCache>
                <c:formatCode>General</c:formatCode>
                <c:ptCount val="4"/>
                <c:pt idx="0">
                  <c:v>0</c:v>
                </c:pt>
                <c:pt idx="1">
                  <c:v>86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Comparison'!$AM$3:$AM$6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66-4A62-B940-AC0DFB4917B5}"/>
            </c:ext>
          </c:extLst>
        </c:ser>
        <c:ser>
          <c:idx val="8"/>
          <c:order val="6"/>
          <c:tx>
            <c:strRef>
              <c:f>'raw 2002-2016 Comparison'!$AG$1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2D05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Comparison'!$AG$3:$AG$6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Comparison'!$AI$3:$AI$6</c:f>
              <c:numCache>
                <c:formatCode>General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66-4A62-B940-AC0DFB4917B5}"/>
            </c:ext>
          </c:extLst>
        </c:ser>
        <c:ser>
          <c:idx val="7"/>
          <c:order val="7"/>
          <c:tx>
            <c:strRef>
              <c:f>'raw 2002-2016 Comparison'!$AC$1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Comparison'!$AC$3:$AC$6</c:f>
              <c:numCache>
                <c:formatCode>General</c:formatCode>
                <c:ptCount val="4"/>
                <c:pt idx="0">
                  <c:v>0</c:v>
                </c:pt>
                <c:pt idx="1">
                  <c:v>84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Comparison'!$AE$3:$AE$6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66-4A62-B940-AC0DFB4917B5}"/>
            </c:ext>
          </c:extLst>
        </c:ser>
        <c:ser>
          <c:idx val="6"/>
          <c:order val="8"/>
          <c:tx>
            <c:strRef>
              <c:f>'raw 2002-2016 Comparison'!$Y$1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'raw 2002-2016 Comparison'!$Y$3:$Y$6</c:f>
              <c:numCache>
                <c:formatCode>General</c:formatCode>
                <c:ptCount val="4"/>
                <c:pt idx="0">
                  <c:v>0</c:v>
                </c:pt>
                <c:pt idx="1">
                  <c:v>66</c:v>
                </c:pt>
                <c:pt idx="2">
                  <c:v>108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Comparison'!$AA$3:$AA$6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66-4A62-B940-AC0DFB4917B5}"/>
            </c:ext>
          </c:extLst>
        </c:ser>
        <c:ser>
          <c:idx val="5"/>
          <c:order val="9"/>
          <c:tx>
            <c:v>2007</c:v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'raw 2002-2016 Comparison'!$U$3:$U$8</c:f>
              <c:numCache>
                <c:formatCode>General</c:formatCode>
                <c:ptCount val="6"/>
                <c:pt idx="0">
                  <c:v>0</c:v>
                </c:pt>
                <c:pt idx="1">
                  <c:v>53</c:v>
                </c:pt>
                <c:pt idx="2">
                  <c:v>87</c:v>
                </c:pt>
                <c:pt idx="3">
                  <c:v>109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Comparison'!$W$3:$W$8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66-4A62-B940-AC0DFB4917B5}"/>
            </c:ext>
          </c:extLst>
        </c:ser>
        <c:ser>
          <c:idx val="4"/>
          <c:order val="10"/>
          <c:tx>
            <c:strRef>
              <c:f>'raw 2002-2016 Comparison'!$Q$1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Comparison'!$Q$3:$Q$8</c:f>
              <c:numCache>
                <c:formatCode>General</c:formatCode>
                <c:ptCount val="6"/>
                <c:pt idx="0">
                  <c:v>0</c:v>
                </c:pt>
                <c:pt idx="1">
                  <c:v>45</c:v>
                </c:pt>
                <c:pt idx="2">
                  <c:v>79</c:v>
                </c:pt>
                <c:pt idx="3">
                  <c:v>102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Comparison'!$S$3:$S$8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66-4A62-B940-AC0DFB4917B5}"/>
            </c:ext>
          </c:extLst>
        </c:ser>
        <c:ser>
          <c:idx val="3"/>
          <c:order val="11"/>
          <c:tx>
            <c:v>2005</c:v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Comparison'!$M$3:$M$10</c:f>
              <c:numCache>
                <c:formatCode>General</c:formatCode>
                <c:ptCount val="8"/>
                <c:pt idx="0">
                  <c:v>0</c:v>
                </c:pt>
                <c:pt idx="1">
                  <c:v>41</c:v>
                </c:pt>
                <c:pt idx="2">
                  <c:v>66</c:v>
                </c:pt>
                <c:pt idx="3">
                  <c:v>104</c:v>
                </c:pt>
                <c:pt idx="4">
                  <c:v>118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Comparison'!$O$3:$O$10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66-4A62-B940-AC0DFB4917B5}"/>
            </c:ext>
          </c:extLst>
        </c:ser>
        <c:ser>
          <c:idx val="0"/>
          <c:order val="12"/>
          <c:tx>
            <c:v>2004</c:v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'raw 2002-2016 Comparison'!$I$3:$I$10</c:f>
              <c:numCache>
                <c:formatCode>General</c:formatCode>
                <c:ptCount val="8"/>
                <c:pt idx="0">
                  <c:v>0</c:v>
                </c:pt>
                <c:pt idx="1">
                  <c:v>35</c:v>
                </c:pt>
                <c:pt idx="2">
                  <c:v>61</c:v>
                </c:pt>
                <c:pt idx="3">
                  <c:v>82</c:v>
                </c:pt>
                <c:pt idx="4">
                  <c:v>104</c:v>
                </c:pt>
                <c:pt idx="5">
                  <c:v>119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'raw 2002-2016 Comparison'!$K$3:$K$10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566-4A62-B940-AC0DFB4917B5}"/>
            </c:ext>
          </c:extLst>
        </c:ser>
        <c:ser>
          <c:idx val="1"/>
          <c:order val="13"/>
          <c:tx>
            <c:v>2003</c:v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Comparison'!$E$3:$E$10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42</c:v>
                </c:pt>
                <c:pt idx="3">
                  <c:v>65</c:v>
                </c:pt>
                <c:pt idx="4">
                  <c:v>96</c:v>
                </c:pt>
                <c:pt idx="5">
                  <c:v>112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Comparison'!$G$3:$G$10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566-4A62-B940-AC0DFB4917B5}"/>
            </c:ext>
          </c:extLst>
        </c:ser>
        <c:ser>
          <c:idx val="2"/>
          <c:order val="14"/>
          <c:tx>
            <c:v>2002</c:v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Comparison'!$A$3:$A$10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43</c:v>
                </c:pt>
                <c:pt idx="3">
                  <c:v>67</c:v>
                </c:pt>
                <c:pt idx="4">
                  <c:v>80</c:v>
                </c:pt>
                <c:pt idx="5">
                  <c:v>115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Comparison'!$C$3:$C$10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566-4A62-B940-AC0DFB491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6720"/>
        <c:axId val="121089024"/>
      </c:scatterChart>
      <c:valAx>
        <c:axId val="12108672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89024"/>
        <c:crosses val="autoZero"/>
        <c:crossBetween val="midCat"/>
        <c:majorUnit val="20"/>
      </c:valAx>
      <c:valAx>
        <c:axId val="12108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86720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475480562964476"/>
          <c:y val="5.9589634261193299E-2"/>
          <c:w val="9.1066194229344116E-2"/>
          <c:h val="0.5951839532453702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83191721012402"/>
          <c:y val="7.162553704356342E-2"/>
          <c:w val="0.84951590551031797"/>
          <c:h val="0.804409877566174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'raw 2002-2016 Comparison'!$A$29:$A$38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'raw 2002-2016 Comparison'!$B$29:$B$38</c:f>
              <c:numCache>
                <c:formatCode>General</c:formatCode>
                <c:ptCount val="10"/>
                <c:pt idx="0">
                  <c:v>5258.5</c:v>
                </c:pt>
                <c:pt idx="1">
                  <c:v>3485.5</c:v>
                </c:pt>
                <c:pt idx="2">
                  <c:v>3056</c:v>
                </c:pt>
                <c:pt idx="3">
                  <c:v>3995.5</c:v>
                </c:pt>
                <c:pt idx="4">
                  <c:v>5890.5</c:v>
                </c:pt>
                <c:pt idx="5">
                  <c:v>4103</c:v>
                </c:pt>
                <c:pt idx="6">
                  <c:v>1694.5</c:v>
                </c:pt>
                <c:pt idx="7">
                  <c:v>2665</c:v>
                </c:pt>
                <c:pt idx="8">
                  <c:v>4551</c:v>
                </c:pt>
                <c:pt idx="9">
                  <c:v>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E-4749-BDF7-BDDCAEFF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53184"/>
        <c:axId val="130254720"/>
      </c:barChart>
      <c:catAx>
        <c:axId val="1302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5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254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AUC (fish days)</a:t>
                </a:r>
              </a:p>
            </c:rich>
          </c:tx>
          <c:layout>
            <c:manualLayout>
              <c:xMode val="edge"/>
              <c:yMode val="edge"/>
              <c:x val="2.5889897734075129E-2"/>
              <c:y val="0.338843842866749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531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5240254629401"/>
          <c:y val="9.7015018093152564E-2"/>
          <c:w val="0.79052710273114746"/>
          <c:h val="0.645523564168107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5.7364987469414513E-2"/>
                  <c:y val="0.2248439950923294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'raw 2002-2016 Comparison'!$B$29:$B$43</c:f>
              <c:numCache>
                <c:formatCode>General</c:formatCode>
                <c:ptCount val="15"/>
                <c:pt idx="0">
                  <c:v>5258.5</c:v>
                </c:pt>
                <c:pt idx="1">
                  <c:v>3485.5</c:v>
                </c:pt>
                <c:pt idx="2">
                  <c:v>3056</c:v>
                </c:pt>
                <c:pt idx="3">
                  <c:v>3995.5</c:v>
                </c:pt>
                <c:pt idx="4">
                  <c:v>5890.5</c:v>
                </c:pt>
                <c:pt idx="5">
                  <c:v>4103</c:v>
                </c:pt>
                <c:pt idx="6">
                  <c:v>1694.5</c:v>
                </c:pt>
                <c:pt idx="7">
                  <c:v>2665</c:v>
                </c:pt>
                <c:pt idx="8">
                  <c:v>4551</c:v>
                </c:pt>
                <c:pt idx="9">
                  <c:v>7088</c:v>
                </c:pt>
                <c:pt idx="10">
                  <c:v>2752.5</c:v>
                </c:pt>
                <c:pt idx="11">
                  <c:v>7461.5</c:v>
                </c:pt>
                <c:pt idx="12">
                  <c:v>4186</c:v>
                </c:pt>
                <c:pt idx="13">
                  <c:v>9130.5</c:v>
                </c:pt>
                <c:pt idx="14">
                  <c:v>7500</c:v>
                </c:pt>
              </c:numCache>
            </c:numRef>
          </c:xVal>
          <c:yVal>
            <c:numRef>
              <c:f>'raw 2002-2016 Comparison'!$C$29:$C$43</c:f>
              <c:numCache>
                <c:formatCode>General</c:formatCode>
                <c:ptCount val="15"/>
                <c:pt idx="0">
                  <c:v>73</c:v>
                </c:pt>
                <c:pt idx="1">
                  <c:v>50</c:v>
                </c:pt>
                <c:pt idx="2">
                  <c:v>45</c:v>
                </c:pt>
                <c:pt idx="3">
                  <c:v>61</c:v>
                </c:pt>
                <c:pt idx="4">
                  <c:v>62</c:v>
                </c:pt>
                <c:pt idx="5">
                  <c:v>60</c:v>
                </c:pt>
                <c:pt idx="6">
                  <c:v>18</c:v>
                </c:pt>
                <c:pt idx="7">
                  <c:v>38</c:v>
                </c:pt>
                <c:pt idx="8">
                  <c:v>54</c:v>
                </c:pt>
                <c:pt idx="9">
                  <c:v>103</c:v>
                </c:pt>
                <c:pt idx="10">
                  <c:v>42</c:v>
                </c:pt>
                <c:pt idx="11">
                  <c:v>89</c:v>
                </c:pt>
                <c:pt idx="12">
                  <c:v>68</c:v>
                </c:pt>
                <c:pt idx="13">
                  <c:v>109</c:v>
                </c:pt>
                <c:pt idx="14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B2-47D6-9845-F2CCF0A8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63296"/>
        <c:axId val="130277760"/>
      </c:scatterChart>
      <c:valAx>
        <c:axId val="13026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AUC</a:t>
                </a:r>
              </a:p>
            </c:rich>
          </c:tx>
          <c:layout>
            <c:manualLayout>
              <c:xMode val="edge"/>
              <c:yMode val="edge"/>
              <c:x val="0.44822082196568841"/>
              <c:y val="0.858210563916196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77760"/>
        <c:crosses val="autoZero"/>
        <c:crossBetween val="midCat"/>
      </c:valAx>
      <c:valAx>
        <c:axId val="13027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Peak Count</a:t>
                </a:r>
              </a:p>
            </c:rich>
          </c:tx>
          <c:layout>
            <c:manualLayout>
              <c:xMode val="edge"/>
              <c:yMode val="edge"/>
              <c:x val="2.5889945014579745E-2"/>
              <c:y val="0.276119834133159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632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'raw 2002-2016 Comparison'!$A$29:$A$41</c:f>
              <c:numCache>
                <c:formatCode>General</c:formatCode>
                <c:ptCount val="1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</c:numCache>
            </c:numRef>
          </c:cat>
          <c:val>
            <c:numRef>
              <c:f>'raw 2002-2016 Comparison'!$C$29:$C$41</c:f>
              <c:numCache>
                <c:formatCode>General</c:formatCode>
                <c:ptCount val="13"/>
                <c:pt idx="0">
                  <c:v>73</c:v>
                </c:pt>
                <c:pt idx="1">
                  <c:v>50</c:v>
                </c:pt>
                <c:pt idx="2">
                  <c:v>45</c:v>
                </c:pt>
                <c:pt idx="3">
                  <c:v>61</c:v>
                </c:pt>
                <c:pt idx="4">
                  <c:v>62</c:v>
                </c:pt>
                <c:pt idx="5">
                  <c:v>60</c:v>
                </c:pt>
                <c:pt idx="6">
                  <c:v>18</c:v>
                </c:pt>
                <c:pt idx="7">
                  <c:v>38</c:v>
                </c:pt>
                <c:pt idx="8">
                  <c:v>54</c:v>
                </c:pt>
                <c:pt idx="9">
                  <c:v>103</c:v>
                </c:pt>
                <c:pt idx="10">
                  <c:v>42</c:v>
                </c:pt>
                <c:pt idx="11">
                  <c:v>89</c:v>
                </c:pt>
                <c:pt idx="1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0-4C7F-96C7-638802678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01952"/>
        <c:axId val="130303488"/>
      </c:barChart>
      <c:catAx>
        <c:axId val="13030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03488"/>
        <c:crosses val="autoZero"/>
        <c:auto val="1"/>
        <c:lblAlgn val="ctr"/>
        <c:lblOffset val="100"/>
        <c:noMultiLvlLbl val="0"/>
      </c:catAx>
      <c:valAx>
        <c:axId val="1303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301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600"/>
              <a:t>Englishman River Winter Steelhead Snorkel Survey Counts
 15 km Whole Stream Count, 2002-2016</a:t>
            </a:r>
          </a:p>
        </c:rich>
      </c:tx>
      <c:layout>
        <c:manualLayout>
          <c:xMode val="edge"/>
          <c:yMode val="edge"/>
          <c:x val="0.2140489205736319"/>
          <c:y val="4.36629673096899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47679899970643"/>
          <c:y val="0.1352430699877831"/>
          <c:w val="0.84112277478031117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'raw 2002-2016 Comparison'!$BE$1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'raw 2002-2016 Comparison'!$BE$3:$BE$7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98</c:v>
                </c:pt>
                <c:pt idx="3">
                  <c:v>111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Comparison'!$BG$3:$BG$7</c:f>
              <c:numCache>
                <c:formatCode>General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08D-BB84-268EABC6D4EB}"/>
            </c:ext>
          </c:extLst>
        </c:ser>
        <c:ser>
          <c:idx val="13"/>
          <c:order val="1"/>
          <c:tx>
            <c:strRef>
              <c:f>'raw 2002-2016 Comparison'!$BA$1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'raw 2002-2016 Comparison'!$BA$3:$BA$7</c:f>
              <c:numCache>
                <c:formatCode>General</c:formatCode>
                <c:ptCount val="5"/>
                <c:pt idx="0">
                  <c:v>0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Comparison'!$BC$3:$BC$7</c:f>
              <c:numCache>
                <c:formatCode>General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A-408D-BB84-268EABC6D4EB}"/>
            </c:ext>
          </c:extLst>
        </c:ser>
        <c:ser>
          <c:idx val="12"/>
          <c:order val="2"/>
          <c:tx>
            <c:strRef>
              <c:f>'raw 2002-2016 Comparison'!$AW$1</c:f>
              <c:strCache>
                <c:ptCount val="1"/>
                <c:pt idx="0">
                  <c:v>2014</c:v>
                </c:pt>
              </c:strCache>
            </c:strRef>
          </c:tx>
          <c:spPr>
            <a:ln w="63500" cap="sq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'raw 2002-2016 Comparison'!$AW$3:$AW$7</c:f>
              <c:numCache>
                <c:formatCode>General</c:formatCode>
                <c:ptCount val="5"/>
                <c:pt idx="0">
                  <c:v>0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Comparison'!$AY$3:$AY$7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A-408D-BB84-268EABC6D4EB}"/>
            </c:ext>
          </c:extLst>
        </c:ser>
        <c:ser>
          <c:idx val="11"/>
          <c:order val="3"/>
          <c:tx>
            <c:strRef>
              <c:f>'raw 2002-2016 Comparison'!$AS$1</c:f>
              <c:strCache>
                <c:ptCount val="1"/>
                <c:pt idx="0">
                  <c:v>2013</c:v>
                </c:pt>
              </c:strCache>
            </c:strRef>
          </c:tx>
          <c:spPr>
            <a:ln w="63500"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'raw 2002-2016 Comparison'!$AS$3:$AS$9</c:f>
              <c:numCache>
                <c:formatCode>General</c:formatCode>
                <c:ptCount val="7"/>
                <c:pt idx="0">
                  <c:v>0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'raw 2002-2016 Comparison'!$AU$3:$AU$9</c:f>
              <c:numCache>
                <c:formatCode>General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1A-408D-BB84-268EABC6D4EB}"/>
            </c:ext>
          </c:extLst>
        </c:ser>
        <c:ser>
          <c:idx val="10"/>
          <c:order val="4"/>
          <c:tx>
            <c:strRef>
              <c:f>'raw 2002-2016 Comparison'!$AO$1</c:f>
              <c:strCache>
                <c:ptCount val="1"/>
                <c:pt idx="0">
                  <c:v>2012</c:v>
                </c:pt>
              </c:strCache>
            </c:strRef>
          </c:tx>
          <c:spPr>
            <a:ln w="63500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'raw 2002-2016 Comparison'!$AO$3:$AO$7</c:f>
              <c:numCache>
                <c:formatCode>General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115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Comparison'!$AQ$3:$AQ$7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38</c:v>
                </c:pt>
                <c:pt idx="3">
                  <c:v>42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A-408D-BB84-268EABC6D4EB}"/>
            </c:ext>
          </c:extLst>
        </c:ser>
        <c:ser>
          <c:idx val="9"/>
          <c:order val="5"/>
          <c:tx>
            <c:strRef>
              <c:f>'raw 2002-2016 Comparison'!$AK$1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dPt>
            <c:idx val="2"/>
            <c:bubble3D val="0"/>
            <c:spPr>
              <a:ln w="28575" cap="sq">
                <a:solidFill>
                  <a:schemeClr val="bg1">
                    <a:lumMod val="50000"/>
                  </a:schemeClr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851A-408D-BB84-268EABC6D4EB}"/>
              </c:ext>
            </c:extLst>
          </c:dPt>
          <c:xVal>
            <c:numRef>
              <c:f>'raw 2002-2016 Comparison'!$AK$3:$AK$6</c:f>
              <c:numCache>
                <c:formatCode>General</c:formatCode>
                <c:ptCount val="4"/>
                <c:pt idx="0">
                  <c:v>0</c:v>
                </c:pt>
                <c:pt idx="1">
                  <c:v>86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Comparison'!$AM$3:$AM$6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1A-408D-BB84-268EABC6D4EB}"/>
            </c:ext>
          </c:extLst>
        </c:ser>
        <c:ser>
          <c:idx val="8"/>
          <c:order val="6"/>
          <c:tx>
            <c:strRef>
              <c:f>'raw 2002-2016 Comparison'!$AG$1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Comparison'!$AG$3:$AG$6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Comparison'!$AI$3:$AI$6</c:f>
              <c:numCache>
                <c:formatCode>General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51A-408D-BB84-268EABC6D4EB}"/>
            </c:ext>
          </c:extLst>
        </c:ser>
        <c:ser>
          <c:idx val="7"/>
          <c:order val="7"/>
          <c:tx>
            <c:strRef>
              <c:f>'raw 2002-2016 Comparison'!$AC$1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Comparison'!$AC$3:$AC$6</c:f>
              <c:numCache>
                <c:formatCode>General</c:formatCode>
                <c:ptCount val="4"/>
                <c:pt idx="0">
                  <c:v>0</c:v>
                </c:pt>
                <c:pt idx="1">
                  <c:v>84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Comparison'!$AE$3:$AE$6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51A-408D-BB84-268EABC6D4EB}"/>
            </c:ext>
          </c:extLst>
        </c:ser>
        <c:ser>
          <c:idx val="6"/>
          <c:order val="8"/>
          <c:tx>
            <c:strRef>
              <c:f>'raw 2002-2016 Comparison'!$Y$1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Comparison'!$Y$3:$Y$6</c:f>
              <c:numCache>
                <c:formatCode>General</c:formatCode>
                <c:ptCount val="4"/>
                <c:pt idx="0">
                  <c:v>0</c:v>
                </c:pt>
                <c:pt idx="1">
                  <c:v>66</c:v>
                </c:pt>
                <c:pt idx="2">
                  <c:v>108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Comparison'!$AA$3:$AA$6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1A-408D-BB84-268EABC6D4EB}"/>
            </c:ext>
          </c:extLst>
        </c:ser>
        <c:ser>
          <c:idx val="5"/>
          <c:order val="9"/>
          <c:tx>
            <c:v>2007</c:v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'raw 2002-2016 Comparison'!$U$3:$U$8</c:f>
              <c:numCache>
                <c:formatCode>General</c:formatCode>
                <c:ptCount val="6"/>
                <c:pt idx="0">
                  <c:v>0</c:v>
                </c:pt>
                <c:pt idx="1">
                  <c:v>53</c:v>
                </c:pt>
                <c:pt idx="2">
                  <c:v>87</c:v>
                </c:pt>
                <c:pt idx="3">
                  <c:v>109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Comparison'!$W$3:$W$8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1A-408D-BB84-268EABC6D4EB}"/>
            </c:ext>
          </c:extLst>
        </c:ser>
        <c:ser>
          <c:idx val="4"/>
          <c:order val="10"/>
          <c:tx>
            <c:strRef>
              <c:f>'raw 2002-2016 Comparison'!$Q$1</c:f>
              <c:strCache>
                <c:ptCount val="1"/>
                <c:pt idx="0">
                  <c:v>2006</c:v>
                </c:pt>
              </c:strCache>
            </c:strRef>
          </c:tx>
          <c:spPr>
            <a:ln w="317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Comparison'!$Q$3:$Q$8</c:f>
              <c:numCache>
                <c:formatCode>General</c:formatCode>
                <c:ptCount val="6"/>
                <c:pt idx="0">
                  <c:v>0</c:v>
                </c:pt>
                <c:pt idx="1">
                  <c:v>45</c:v>
                </c:pt>
                <c:pt idx="2">
                  <c:v>79</c:v>
                </c:pt>
                <c:pt idx="3">
                  <c:v>102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Comparison'!$S$3:$S$8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1A-408D-BB84-268EABC6D4EB}"/>
            </c:ext>
          </c:extLst>
        </c:ser>
        <c:ser>
          <c:idx val="3"/>
          <c:order val="11"/>
          <c:tx>
            <c:v>2005</c:v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Comparison'!$M$3:$M$10</c:f>
              <c:numCache>
                <c:formatCode>General</c:formatCode>
                <c:ptCount val="8"/>
                <c:pt idx="0">
                  <c:v>0</c:v>
                </c:pt>
                <c:pt idx="1">
                  <c:v>41</c:v>
                </c:pt>
                <c:pt idx="2">
                  <c:v>66</c:v>
                </c:pt>
                <c:pt idx="3">
                  <c:v>104</c:v>
                </c:pt>
                <c:pt idx="4">
                  <c:v>118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Comparison'!$O$3:$O$10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1A-408D-BB84-268EABC6D4EB}"/>
            </c:ext>
          </c:extLst>
        </c:ser>
        <c:ser>
          <c:idx val="0"/>
          <c:order val="12"/>
          <c:tx>
            <c:v>2004</c:v>
          </c:tx>
          <c:spPr>
            <a:ln w="28575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Comparison'!$I$3:$I$10</c:f>
              <c:numCache>
                <c:formatCode>General</c:formatCode>
                <c:ptCount val="8"/>
                <c:pt idx="0">
                  <c:v>0</c:v>
                </c:pt>
                <c:pt idx="1">
                  <c:v>35</c:v>
                </c:pt>
                <c:pt idx="2">
                  <c:v>61</c:v>
                </c:pt>
                <c:pt idx="3">
                  <c:v>82</c:v>
                </c:pt>
                <c:pt idx="4">
                  <c:v>104</c:v>
                </c:pt>
                <c:pt idx="5">
                  <c:v>119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'raw 2002-2016 Comparison'!$K$3:$K$10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51A-408D-BB84-268EABC6D4EB}"/>
            </c:ext>
          </c:extLst>
        </c:ser>
        <c:ser>
          <c:idx val="1"/>
          <c:order val="13"/>
          <c:tx>
            <c:v>2003</c:v>
          </c:tx>
          <c:spPr>
            <a:ln w="317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Comparison'!$E$3:$E$10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42</c:v>
                </c:pt>
                <c:pt idx="3">
                  <c:v>65</c:v>
                </c:pt>
                <c:pt idx="4">
                  <c:v>96</c:v>
                </c:pt>
                <c:pt idx="5">
                  <c:v>112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Comparison'!$G$3:$G$10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51A-408D-BB84-268EABC6D4EB}"/>
            </c:ext>
          </c:extLst>
        </c:ser>
        <c:ser>
          <c:idx val="2"/>
          <c:order val="14"/>
          <c:tx>
            <c:v>2002</c:v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Comparison'!$A$3:$A$10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43</c:v>
                </c:pt>
                <c:pt idx="3">
                  <c:v>67</c:v>
                </c:pt>
                <c:pt idx="4">
                  <c:v>80</c:v>
                </c:pt>
                <c:pt idx="5">
                  <c:v>115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Comparison'!$C$3:$C$10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51A-408D-BB84-268EABC6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47424"/>
        <c:axId val="131049728"/>
      </c:scatterChart>
      <c:valAx>
        <c:axId val="131047424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49728"/>
        <c:crosses val="autoZero"/>
        <c:crossBetween val="midCat"/>
        <c:majorUnit val="20"/>
      </c:valAx>
      <c:valAx>
        <c:axId val="131049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47424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976906923800779"/>
          <c:y val="0.12529846405248427"/>
          <c:w val="7.6108928152911148E-2"/>
          <c:h val="0.595183953245370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March Steelhead Counts                  </a:t>
            </a:r>
          </a:p>
        </c:rich>
      </c:tx>
      <c:layout>
        <c:manualLayout>
          <c:xMode val="edge"/>
          <c:yMode val="edge"/>
          <c:x val="0.16041164621864124"/>
          <c:y val="3.2816903473657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0275345990011E-2"/>
          <c:y val="0.15041047745712299"/>
          <c:w val="0.88997608044681953"/>
          <c:h val="0.804012370407165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FC-4F40-AE8A-5EB8A346411E}"/>
              </c:ext>
            </c:extLst>
          </c:dPt>
          <c:dPt>
            <c:idx val="8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FC-4F40-AE8A-5EB8A346411E}"/>
              </c:ext>
            </c:extLst>
          </c:dPt>
          <c:dPt>
            <c:idx val="9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FC-4F40-AE8A-5EB8A346411E}"/>
              </c:ext>
            </c:extLst>
          </c:dPt>
          <c:dPt>
            <c:idx val="10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AFC-4F40-AE8A-5EB8A346411E}"/>
              </c:ext>
            </c:extLst>
          </c:dPt>
          <c:dPt>
            <c:idx val="1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AFC-4F40-AE8A-5EB8A346411E}"/>
              </c:ext>
            </c:extLst>
          </c:dPt>
          <c:dPt>
            <c:idx val="12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AFC-4F40-AE8A-5EB8A346411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'March 82-06'!$M$4:$M$19</c:f>
              <c:numCache>
                <c:formatCode>General</c:formatCode>
                <c:ptCount val="16"/>
                <c:pt idx="0">
                  <c:v>1985</c:v>
                </c:pt>
                <c:pt idx="1">
                  <c:v>1991</c:v>
                </c:pt>
                <c:pt idx="2">
                  <c:v>1992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1999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</c:numCache>
            </c:numRef>
          </c:cat>
          <c:val>
            <c:numRef>
              <c:f>'March 82-06'!$N$4:$N$19</c:f>
              <c:numCache>
                <c:formatCode>General</c:formatCode>
                <c:ptCount val="16"/>
                <c:pt idx="0">
                  <c:v>31.4</c:v>
                </c:pt>
                <c:pt idx="1">
                  <c:v>5.1219512195121952</c:v>
                </c:pt>
                <c:pt idx="2">
                  <c:v>10.121951219512196</c:v>
                </c:pt>
                <c:pt idx="3">
                  <c:v>2.0731707317073171</c:v>
                </c:pt>
                <c:pt idx="4">
                  <c:v>4.3902439024390247</c:v>
                </c:pt>
                <c:pt idx="5">
                  <c:v>3.6585365853658538</c:v>
                </c:pt>
                <c:pt idx="6">
                  <c:v>2.0731707317073171</c:v>
                </c:pt>
                <c:pt idx="7">
                  <c:v>8.0487804878048781</c:v>
                </c:pt>
                <c:pt idx="8">
                  <c:v>4.4318181818181817</c:v>
                </c:pt>
                <c:pt idx="9">
                  <c:v>2.16</c:v>
                </c:pt>
                <c:pt idx="10">
                  <c:v>2.39</c:v>
                </c:pt>
                <c:pt idx="11">
                  <c:v>2.39</c:v>
                </c:pt>
                <c:pt idx="12">
                  <c:v>5.57</c:v>
                </c:pt>
                <c:pt idx="13">
                  <c:v>4.2682926829268295</c:v>
                </c:pt>
                <c:pt idx="14">
                  <c:v>2.0731707317073171</c:v>
                </c:pt>
                <c:pt idx="15">
                  <c:v>2.3170731707317076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FC-4F40-AE8A-5EB8A346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27936"/>
        <c:axId val="131129728"/>
      </c:barChart>
      <c:catAx>
        <c:axId val="1311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31129728"/>
        <c:crosses val="autoZero"/>
        <c:auto val="1"/>
        <c:lblAlgn val="ctr"/>
        <c:lblOffset val="100"/>
        <c:tickMarkSkip val="1"/>
        <c:noMultiLvlLbl val="0"/>
      </c:catAx>
      <c:valAx>
        <c:axId val="131129728"/>
        <c:scaling>
          <c:orientation val="minMax"/>
          <c:max val="11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fish/km</a:t>
                </a:r>
              </a:p>
            </c:rich>
          </c:tx>
          <c:layout>
            <c:manualLayout>
              <c:xMode val="edge"/>
              <c:yMode val="edge"/>
              <c:x val="7.712059248407903E-3"/>
              <c:y val="0.470374638924324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1279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image" Target="../media/image1.png"/><Relationship Id="rId7" Type="http://schemas.openxmlformats.org/officeDocument/2006/relationships/chart" Target="../charts/chart17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312008</xdr:colOff>
      <xdr:row>2</xdr:row>
      <xdr:rowOff>128680</xdr:rowOff>
    </xdr:from>
    <xdr:to>
      <xdr:col>17</xdr:col>
      <xdr:colOff>147047</xdr:colOff>
      <xdr:row>51</xdr:row>
      <xdr:rowOff>64226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C922CF8-7211-8117-A2E1-28E72A4B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609600</xdr:colOff>
      <xdr:row>18</xdr:row>
      <xdr:rowOff>15240</xdr:rowOff>
    </xdr:from>
    <xdr:to>
      <xdr:col>35</xdr:col>
      <xdr:colOff>478565</xdr:colOff>
      <xdr:row>47</xdr:row>
      <xdr:rowOff>163850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CFB738D2-8C2C-E4B5-8654-D1EF4BD3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528676</xdr:colOff>
      <xdr:row>74</xdr:row>
      <xdr:rowOff>8369</xdr:rowOff>
    </xdr:from>
    <xdr:to>
      <xdr:col>28</xdr:col>
      <xdr:colOff>178040</xdr:colOff>
      <xdr:row>98</xdr:row>
      <xdr:rowOff>35782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92DF1EDC-9891-175C-FA05-15503D8B1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317007</xdr:colOff>
      <xdr:row>74</xdr:row>
      <xdr:rowOff>10338</xdr:rowOff>
    </xdr:from>
    <xdr:to>
      <xdr:col>34</xdr:col>
      <xdr:colOff>806746</xdr:colOff>
      <xdr:row>98</xdr:row>
      <xdr:rowOff>59236</xdr:rowOff>
    </xdr:to>
    <xdr:graphicFrame macro="">
      <xdr:nvGraphicFramePr>
        <xdr:cNvPr id="7" name="Chart 12">
          <a:extLst>
            <a:ext uri="{FF2B5EF4-FFF2-40B4-BE49-F238E27FC236}">
              <a16:creationId xmlns:a16="http://schemas.microsoft.com/office/drawing/2014/main" id="{0B064A49-D354-E694-555B-B62330ADF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535073</xdr:colOff>
      <xdr:row>99</xdr:row>
      <xdr:rowOff>78267</xdr:rowOff>
    </xdr:from>
    <xdr:to>
      <xdr:col>28</xdr:col>
      <xdr:colOff>204548</xdr:colOff>
      <xdr:row>121</xdr:row>
      <xdr:rowOff>12306</xdr:rowOff>
    </xdr:to>
    <xdr:graphicFrame macro="">
      <xdr:nvGraphicFramePr>
        <xdr:cNvPr id="8" name="Chart 13">
          <a:extLst>
            <a:ext uri="{FF2B5EF4-FFF2-40B4-BE49-F238E27FC236}">
              <a16:creationId xmlns:a16="http://schemas.microsoft.com/office/drawing/2014/main" id="{C83E43A7-6860-05D0-A39D-4D88838E5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291902</xdr:colOff>
      <xdr:row>98</xdr:row>
      <xdr:rowOff>127000</xdr:rowOff>
    </xdr:from>
    <xdr:to>
      <xdr:col>34</xdr:col>
      <xdr:colOff>774082</xdr:colOff>
      <xdr:row>119</xdr:row>
      <xdr:rowOff>31504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D804DCB3-142D-73D5-F43D-AD51164AA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77018</xdr:colOff>
      <xdr:row>102</xdr:row>
      <xdr:rowOff>29989</xdr:rowOff>
    </xdr:from>
    <xdr:to>
      <xdr:col>8</xdr:col>
      <xdr:colOff>573470</xdr:colOff>
      <xdr:row>123</xdr:row>
      <xdr:rowOff>133361</xdr:rowOff>
    </xdr:to>
    <xdr:graphicFrame macro="">
      <xdr:nvGraphicFramePr>
        <xdr:cNvPr id="15" name="Chart 13">
          <a:extLst>
            <a:ext uri="{FF2B5EF4-FFF2-40B4-BE49-F238E27FC236}">
              <a16:creationId xmlns:a16="http://schemas.microsoft.com/office/drawing/2014/main" id="{5C11A6E0-7989-03EB-FCB0-9D2AD14B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732011</xdr:colOff>
      <xdr:row>76</xdr:row>
      <xdr:rowOff>11586</xdr:rowOff>
    </xdr:from>
    <xdr:to>
      <xdr:col>8</xdr:col>
      <xdr:colOff>381375</xdr:colOff>
      <xdr:row>100</xdr:row>
      <xdr:rowOff>38999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2101F590-4750-E440-9B05-43CF7341A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581837</xdr:colOff>
      <xdr:row>76</xdr:row>
      <xdr:rowOff>76791</xdr:rowOff>
    </xdr:from>
    <xdr:to>
      <xdr:col>15</xdr:col>
      <xdr:colOff>244599</xdr:colOff>
      <xdr:row>100</xdr:row>
      <xdr:rowOff>125689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7FB5F28A-8793-7071-0C24-321C75AF8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697024</xdr:colOff>
      <xdr:row>103</xdr:row>
      <xdr:rowOff>26354</xdr:rowOff>
    </xdr:from>
    <xdr:to>
      <xdr:col>15</xdr:col>
      <xdr:colOff>352227</xdr:colOff>
      <xdr:row>123</xdr:row>
      <xdr:rowOff>100190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4DABBF94-021F-CF0E-8A8F-BE284955B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59690</xdr:colOff>
      <xdr:row>51</xdr:row>
      <xdr:rowOff>74758</xdr:rowOff>
    </xdr:from>
    <xdr:to>
      <xdr:col>34</xdr:col>
      <xdr:colOff>304212</xdr:colOff>
      <xdr:row>85</xdr:row>
      <xdr:rowOff>20319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3E890F5-E750-3039-BDB6-5AD9A09A2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7</xdr:row>
      <xdr:rowOff>0</xdr:rowOff>
    </xdr:from>
    <xdr:to>
      <xdr:col>16</xdr:col>
      <xdr:colOff>558140</xdr:colOff>
      <xdr:row>24</xdr:row>
      <xdr:rowOff>99093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7098D-5813-7A49-88BC-1B0600F9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9900" y="1600200"/>
          <a:ext cx="6222340" cy="39852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491761</xdr:colOff>
      <xdr:row>215</xdr:row>
      <xdr:rowOff>25444</xdr:rowOff>
    </xdr:from>
    <xdr:to>
      <xdr:col>66</xdr:col>
      <xdr:colOff>54819</xdr:colOff>
      <xdr:row>239</xdr:row>
      <xdr:rowOff>47986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551362</xdr:colOff>
      <xdr:row>192</xdr:row>
      <xdr:rowOff>76291</xdr:rowOff>
    </xdr:from>
    <xdr:to>
      <xdr:col>71</xdr:col>
      <xdr:colOff>256239</xdr:colOff>
      <xdr:row>224</xdr:row>
      <xdr:rowOff>137569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789214</xdr:colOff>
      <xdr:row>174</xdr:row>
      <xdr:rowOff>81642</xdr:rowOff>
    </xdr:from>
    <xdr:to>
      <xdr:col>53</xdr:col>
      <xdr:colOff>217714</xdr:colOff>
      <xdr:row>187</xdr:row>
      <xdr:rowOff>122465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35038393" y="30711321"/>
          <a:ext cx="1061357" cy="13471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15877</xdr:colOff>
      <xdr:row>172</xdr:row>
      <xdr:rowOff>54430</xdr:rowOff>
    </xdr:from>
    <xdr:to>
      <xdr:col>58</xdr:col>
      <xdr:colOff>78922</xdr:colOff>
      <xdr:row>185</xdr:row>
      <xdr:rowOff>122464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37734877" y="30357537"/>
          <a:ext cx="1450974" cy="15376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79</xdr:col>
      <xdr:colOff>342440</xdr:colOff>
      <xdr:row>66</xdr:row>
      <xdr:rowOff>54429</xdr:rowOff>
    </xdr:from>
    <xdr:to>
      <xdr:col>89</xdr:col>
      <xdr:colOff>95250</xdr:colOff>
      <xdr:row>90</xdr:row>
      <xdr:rowOff>95251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16226" y="9334500"/>
          <a:ext cx="5549453" cy="3959679"/>
        </a:xfrm>
        <a:prstGeom prst="rect">
          <a:avLst/>
        </a:prstGeom>
      </xdr:spPr>
    </xdr:pic>
    <xdr:clientData/>
  </xdr:twoCellAnchor>
  <xdr:twoCellAnchor>
    <xdr:from>
      <xdr:col>103</xdr:col>
      <xdr:colOff>191558</xdr:colOff>
      <xdr:row>93</xdr:row>
      <xdr:rowOff>27065</xdr:rowOff>
    </xdr:from>
    <xdr:to>
      <xdr:col>115</xdr:col>
      <xdr:colOff>493032</xdr:colOff>
      <xdr:row>124</xdr:row>
      <xdr:rowOff>109614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244021</xdr:colOff>
      <xdr:row>216</xdr:row>
      <xdr:rowOff>54428</xdr:rowOff>
    </xdr:from>
    <xdr:to>
      <xdr:col>32</xdr:col>
      <xdr:colOff>748394</xdr:colOff>
      <xdr:row>261</xdr:row>
      <xdr:rowOff>6805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432871</xdr:colOff>
      <xdr:row>131</xdr:row>
      <xdr:rowOff>76279</xdr:rowOff>
    </xdr:from>
    <xdr:to>
      <xdr:col>90</xdr:col>
      <xdr:colOff>396128</xdr:colOff>
      <xdr:row>178</xdr:row>
      <xdr:rowOff>104968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1902</xdr:colOff>
      <xdr:row>221</xdr:row>
      <xdr:rowOff>75472</xdr:rowOff>
    </xdr:from>
    <xdr:to>
      <xdr:col>34</xdr:col>
      <xdr:colOff>646519</xdr:colOff>
      <xdr:row>252</xdr:row>
      <xdr:rowOff>62683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186388</xdr:colOff>
      <xdr:row>6</xdr:row>
      <xdr:rowOff>133752</xdr:rowOff>
    </xdr:from>
    <xdr:to>
      <xdr:col>82</xdr:col>
      <xdr:colOff>507577</xdr:colOff>
      <xdr:row>53</xdr:row>
      <xdr:rowOff>90738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54428</xdr:colOff>
      <xdr:row>221</xdr:row>
      <xdr:rowOff>1</xdr:rowOff>
    </xdr:from>
    <xdr:to>
      <xdr:col>62</xdr:col>
      <xdr:colOff>412932</xdr:colOff>
      <xdr:row>265</xdr:row>
      <xdr:rowOff>115663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445B21-1AC6-4041-B8E7-0D071B1C7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0.09882</cdr:x>
      <cdr:y>0.83232</cdr:y>
    </cdr:from>
    <cdr:to>
      <cdr:x>0.89326</cdr:x>
      <cdr:y>0.87661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7598" y="7067679"/>
          <a:ext cx="10190524" cy="3761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    (Jan 21)                      (Feb 10)        	    (Mar 2)   	    (Mar 22)                      (Apr 11)                      (May 1)                     (May 21)                      (Jun 10)</a:t>
          </a:r>
        </a:p>
      </cdr:txBody>
    </cdr:sp>
  </cdr:relSizeAnchor>
  <cdr:relSizeAnchor xmlns:cdr="http://schemas.openxmlformats.org/drawingml/2006/chartDrawing">
    <cdr:from>
      <cdr:x>0.06215</cdr:x>
      <cdr:y>0.48933</cdr:y>
    </cdr:from>
    <cdr:to>
      <cdr:x>0.09106</cdr:x>
      <cdr:y>0.64787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03046" y="5095876"/>
          <a:ext cx="466526" cy="165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0.01736</cdr:x>
      <cdr:y>0.27703</cdr:y>
    </cdr:from>
    <cdr:to>
      <cdr:x>0.0434</cdr:x>
      <cdr:y>0.78639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071" y="1399271"/>
          <a:ext cx="204107" cy="25727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0.09882</cdr:x>
      <cdr:y>0.83232</cdr:y>
    </cdr:from>
    <cdr:to>
      <cdr:x>0.89326</cdr:x>
      <cdr:y>0.87661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7598" y="7067679"/>
          <a:ext cx="10190524" cy="3761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    (Jan 21)                      (Feb 10)        	    (Mar 2)   	    (Mar 22)                      (Apr 11)                      (May 1)                     (May 21)                      (Jun 10)</a:t>
          </a:r>
        </a:p>
      </cdr:txBody>
    </cdr:sp>
  </cdr:relSizeAnchor>
  <cdr:relSizeAnchor xmlns:cdr="http://schemas.openxmlformats.org/drawingml/2006/chartDrawing">
    <cdr:from>
      <cdr:x>0.06215</cdr:x>
      <cdr:y>0.48933</cdr:y>
    </cdr:from>
    <cdr:to>
      <cdr:x>0.09106</cdr:x>
      <cdr:y>0.64787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03046" y="5095876"/>
          <a:ext cx="466526" cy="165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9</xdr:row>
      <xdr:rowOff>57150</xdr:rowOff>
    </xdr:from>
    <xdr:to>
      <xdr:col>21</xdr:col>
      <xdr:colOff>581025</xdr:colOff>
      <xdr:row>34</xdr:row>
      <xdr:rowOff>133350</xdr:rowOff>
    </xdr:to>
    <xdr:graphicFrame macro="">
      <xdr:nvGraphicFramePr>
        <xdr:cNvPr id="72844" name="Chart 4">
          <a:extLst>
            <a:ext uri="{FF2B5EF4-FFF2-40B4-BE49-F238E27FC236}">
              <a16:creationId xmlns:a16="http://schemas.microsoft.com/office/drawing/2014/main" id="{00000000-0008-0000-0200-00008C1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37</xdr:row>
      <xdr:rowOff>85725</xdr:rowOff>
    </xdr:from>
    <xdr:to>
      <xdr:col>8</xdr:col>
      <xdr:colOff>400050</xdr:colOff>
      <xdr:row>59</xdr:row>
      <xdr:rowOff>133350</xdr:rowOff>
    </xdr:to>
    <xdr:graphicFrame macro="">
      <xdr:nvGraphicFramePr>
        <xdr:cNvPr id="72845" name="Chart 5">
          <a:extLst>
            <a:ext uri="{FF2B5EF4-FFF2-40B4-BE49-F238E27FC236}">
              <a16:creationId xmlns:a16="http://schemas.microsoft.com/office/drawing/2014/main" id="{00000000-0008-0000-0200-00008D1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0.45854</cdr:x>
      <cdr:y>0.17919</cdr:y>
    </cdr:from>
    <cdr:to>
      <cdr:x>0.9302</cdr:x>
      <cdr:y>0.51501</cdr:y>
    </cdr:to>
    <cdr:sp macro="" textlink="">
      <cdr:nvSpPr>
        <cdr:cNvPr id="757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78243" y="739055"/>
          <a:ext cx="2960582" cy="138501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50000"/>
            </a:schemeClr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 xmlns:a="http://schemas.openxmlformats.org/drawingml/2006/main">
          <a:pPr lvl="1" algn="l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1982-2001: as little as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survey/season may have been performed, in only a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section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mainstem, and may have occurred at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non-peak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times. </a:t>
          </a:r>
        </a:p>
        <a:p xmlns:a="http://schemas.openxmlformats.org/drawingml/2006/main">
          <a:pPr lvl="1" algn="l" rtl="0">
            <a:defRPr sz="1000"/>
          </a:pPr>
          <a:endParaRPr lang="en-CA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lvl="1" algn="l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2002-2015:  between 3 - 5 whole river counts (15 km) completed in each season typically bracketing peak abundance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0.50442</cdr:x>
      <cdr:y>0.15605</cdr:y>
    </cdr:from>
    <cdr:to>
      <cdr:x>0.95433</cdr:x>
      <cdr:y>0.41602</cdr:y>
    </cdr:to>
    <cdr:sp macro="" textlink="">
      <cdr:nvSpPr>
        <cdr:cNvPr id="1075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09078" y="567984"/>
          <a:ext cx="2502680" cy="940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600" b="1" i="0" u="sng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 xmlns:a="http://schemas.openxmlformats.org/drawingml/2006/main">
          <a:pPr algn="l" rtl="0">
            <a:defRPr sz="1000"/>
          </a:pPr>
          <a:endParaRPr lang="en-CA" sz="600" b="1" i="0" u="sng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1982-2001:  as few as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survey/season may have been conducted, in only a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section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mainstem, and may have occurred at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non-peak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times. </a:t>
          </a:r>
        </a:p>
        <a:p xmlns:a="http://schemas.openxmlformats.org/drawingml/2006/main">
          <a:pPr algn="l" rtl="0">
            <a:defRPr sz="1000"/>
          </a:pPr>
          <a:endParaRPr lang="en-CA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2002-2010:  whole river counts (falls-tide water, 15km) completed several times/season.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190499</xdr:colOff>
      <xdr:row>11</xdr:row>
      <xdr:rowOff>136071</xdr:rowOff>
    </xdr:from>
    <xdr:to>
      <xdr:col>51</xdr:col>
      <xdr:colOff>542924</xdr:colOff>
      <xdr:row>40</xdr:row>
      <xdr:rowOff>152400</xdr:rowOff>
    </xdr:to>
    <xdr:graphicFrame macro="">
      <xdr:nvGraphicFramePr>
        <xdr:cNvPr id="27856" name="Chart 1">
          <a:extLst>
            <a:ext uri="{FF2B5EF4-FFF2-40B4-BE49-F238E27FC236}">
              <a16:creationId xmlns:a16="http://schemas.microsoft.com/office/drawing/2014/main" id="{00000000-0008-0000-0300-0000D0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466725</xdr:colOff>
      <xdr:row>53</xdr:row>
      <xdr:rowOff>16328</xdr:rowOff>
    </xdr:from>
    <xdr:to>
      <xdr:col>36</xdr:col>
      <xdr:colOff>322490</xdr:colOff>
      <xdr:row>74</xdr:row>
      <xdr:rowOff>73478</xdr:rowOff>
    </xdr:to>
    <xdr:graphicFrame macro="">
      <xdr:nvGraphicFramePr>
        <xdr:cNvPr id="27857" name="Chart 5">
          <a:extLst>
            <a:ext uri="{FF2B5EF4-FFF2-40B4-BE49-F238E27FC236}">
              <a16:creationId xmlns:a16="http://schemas.microsoft.com/office/drawing/2014/main" id="{00000000-0008-0000-0300-0000D1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491219</xdr:colOff>
      <xdr:row>31</xdr:row>
      <xdr:rowOff>65315</xdr:rowOff>
    </xdr:from>
    <xdr:to>
      <xdr:col>40</xdr:col>
      <xdr:colOff>538843</xdr:colOff>
      <xdr:row>51</xdr:row>
      <xdr:rowOff>46265</xdr:rowOff>
    </xdr:to>
    <xdr:graphicFrame macro="">
      <xdr:nvGraphicFramePr>
        <xdr:cNvPr id="27858" name="Chart 6">
          <a:extLst>
            <a:ext uri="{FF2B5EF4-FFF2-40B4-BE49-F238E27FC236}">
              <a16:creationId xmlns:a16="http://schemas.microsoft.com/office/drawing/2014/main" id="{00000000-0008-0000-0300-0000D2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409575</xdr:colOff>
      <xdr:row>11</xdr:row>
      <xdr:rowOff>19050</xdr:rowOff>
    </xdr:from>
    <xdr:to>
      <xdr:col>35</xdr:col>
      <xdr:colOff>85725</xdr:colOff>
      <xdr:row>28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598714</xdr:colOff>
      <xdr:row>37</xdr:row>
      <xdr:rowOff>68036</xdr:rowOff>
    </xdr:from>
    <xdr:to>
      <xdr:col>54</xdr:col>
      <xdr:colOff>435429</xdr:colOff>
      <xdr:row>75</xdr:row>
      <xdr:rowOff>122464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0.07915</cdr:x>
      <cdr:y>0.85299</cdr:y>
    </cdr:from>
    <cdr:to>
      <cdr:x>0.97704</cdr:x>
      <cdr:y>0.93217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5472" y="3713001"/>
          <a:ext cx="5961054" cy="3446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(Jan 21)            (Feb 10)             (Mar 2)            (Mar 22)           (Apr 11)           (May 1)             (May 21)           (Jun 10)</a:t>
          </a:r>
        </a:p>
      </cdr:txBody>
    </cdr:sp>
  </cdr:relSizeAnchor>
  <cdr:relSizeAnchor xmlns:cdr="http://schemas.openxmlformats.org/drawingml/2006/chartDrawing">
    <cdr:from>
      <cdr:x>0.04248</cdr:x>
      <cdr:y>0.27703</cdr:y>
    </cdr:from>
    <cdr:to>
      <cdr:x>0.10425</cdr:x>
      <cdr:y>0.78639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3334" y="1092973"/>
          <a:ext cx="378340" cy="20037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0.09516</cdr:x>
      <cdr:y>0.85217</cdr:y>
    </cdr:from>
    <cdr:to>
      <cdr:x>0.98128</cdr:x>
      <cdr:y>0.90652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0036" y="5334000"/>
          <a:ext cx="7728857" cy="3401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(Jan 21)          (Feb 10)           (Mar 2)          (Mar 22)         (Apr 11)         (May 1)           (May 21)         (Jun 10)</a:t>
          </a:r>
        </a:p>
      </cdr:txBody>
    </cdr:sp>
  </cdr:relSizeAnchor>
  <cdr:relSizeAnchor xmlns:cdr="http://schemas.openxmlformats.org/drawingml/2006/chartDrawing">
    <cdr:from>
      <cdr:x>0.01983</cdr:x>
      <cdr:y>0.25094</cdr:y>
    </cdr:from>
    <cdr:to>
      <cdr:x>0.06149</cdr:x>
      <cdr:y>0.52391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723" y="1570725"/>
          <a:ext cx="350349" cy="17085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51</xdr:row>
      <xdr:rowOff>9525</xdr:rowOff>
    </xdr:from>
    <xdr:to>
      <xdr:col>5</xdr:col>
      <xdr:colOff>285750</xdr:colOff>
      <xdr:row>72</xdr:row>
      <xdr:rowOff>19050</xdr:rowOff>
    </xdr:to>
    <xdr:graphicFrame macro="">
      <xdr:nvGraphicFramePr>
        <xdr:cNvPr id="26766" name="Chart 1">
          <a:extLst>
            <a:ext uri="{FF2B5EF4-FFF2-40B4-BE49-F238E27FC236}">
              <a16:creationId xmlns:a16="http://schemas.microsoft.com/office/drawing/2014/main" id="{00000000-0008-0000-0400-00008E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0.68008</cdr:x>
      <cdr:y>0.29718</cdr:y>
    </cdr:from>
    <cdr:to>
      <cdr:x>0.70493</cdr:x>
      <cdr:y>0.42948</cdr:y>
    </cdr:to>
    <cdr:sp macro="" textlink="">
      <cdr:nvSpPr>
        <cdr:cNvPr id="296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042024"/>
          <a:ext cx="153684" cy="4624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</a:p>
      </cdr:txBody>
    </cdr:sp>
  </cdr:relSizeAnchor>
  <cdr:relSizeAnchor xmlns:cdr="http://schemas.openxmlformats.org/drawingml/2006/chartDrawing">
    <cdr:from>
      <cdr:x>0.68008</cdr:x>
      <cdr:y>0.31955</cdr:y>
    </cdr:from>
    <cdr:to>
      <cdr:x>0.69509</cdr:x>
      <cdr:y>0.34776</cdr:y>
    </cdr:to>
    <cdr:sp macro="" textlink="">
      <cdr:nvSpPr>
        <cdr:cNvPr id="29698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120234"/>
          <a:ext cx="92819" cy="98612"/>
        </a:xfrm>
        <a:prstGeom xmlns:a="http://schemas.openxmlformats.org/drawingml/2006/main" prst="rect">
          <a:avLst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0.68008</cdr:x>
      <cdr:y>0.37014</cdr:y>
    </cdr:from>
    <cdr:to>
      <cdr:x>0.69681</cdr:x>
      <cdr:y>0.4037</cdr:y>
    </cdr:to>
    <cdr:sp macro="" textlink="">
      <cdr:nvSpPr>
        <cdr:cNvPr id="29699" name="Rectangle 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297056"/>
          <a:ext cx="103470" cy="117314"/>
        </a:xfrm>
        <a:prstGeom xmlns:a="http://schemas.openxmlformats.org/drawingml/2006/main" prst="rect">
          <a:avLst/>
        </a:prstGeom>
        <a:solidFill xmlns:a="http://schemas.openxmlformats.org/drawingml/2006/main">
          <a:srgbClr val="993366"/>
        </a:solidFill>
        <a:ln xmlns:a="http://schemas.openxmlformats.org/drawingml/2006/main" w="9525">
          <a:solidFill>
            <a:srgbClr val="993366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0.7128</cdr:x>
      <cdr:y>0.31712</cdr:y>
    </cdr:from>
    <cdr:to>
      <cdr:x>0.89289</cdr:x>
      <cdr:y>0.34971</cdr:y>
    </cdr:to>
    <cdr:sp macro="" textlink="">
      <cdr:nvSpPr>
        <cdr:cNvPr id="2970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1111733"/>
          <a:ext cx="1113825" cy="1139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8.2 km lower index</a:t>
          </a:r>
        </a:p>
      </cdr:txBody>
    </cdr:sp>
  </cdr:relSizeAnchor>
  <cdr:relSizeAnchor xmlns:cdr="http://schemas.openxmlformats.org/drawingml/2006/chartDrawing">
    <cdr:from>
      <cdr:x>0.7128</cdr:x>
      <cdr:y>0.37014</cdr:y>
    </cdr:from>
    <cdr:to>
      <cdr:x>0.88674</cdr:x>
      <cdr:y>0.41099</cdr:y>
    </cdr:to>
    <cdr:sp macro="" textlink="">
      <cdr:nvSpPr>
        <cdr:cNvPr id="297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1297056"/>
          <a:ext cx="1075785" cy="142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8.8 km lower index</a:t>
          </a:r>
        </a:p>
      </cdr:txBody>
    </cdr:sp>
  </cdr:relSizeAnchor>
  <cdr:relSizeAnchor xmlns:cdr="http://schemas.openxmlformats.org/drawingml/2006/chartDrawing">
    <cdr:from>
      <cdr:x>0.68008</cdr:x>
      <cdr:y>0.26921</cdr:y>
    </cdr:from>
    <cdr:to>
      <cdr:x>0.69681</cdr:x>
      <cdr:y>0.29718</cdr:y>
    </cdr:to>
    <cdr:sp macro="" textlink="">
      <cdr:nvSpPr>
        <cdr:cNvPr id="29703" name="Rectangle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944262"/>
          <a:ext cx="103470" cy="97762"/>
        </a:xfrm>
        <a:prstGeom xmlns:a="http://schemas.openxmlformats.org/drawingml/2006/main" prst="rect">
          <a:avLst/>
        </a:prstGeom>
        <a:solidFill xmlns:a="http://schemas.openxmlformats.org/drawingml/2006/main">
          <a:srgbClr val="008000"/>
        </a:solidFill>
        <a:ln xmlns:a="http://schemas.openxmlformats.org/drawingml/2006/main" w="9525">
          <a:solidFill>
            <a:srgbClr val="008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0.7128</cdr:x>
      <cdr:y>0.26921</cdr:y>
    </cdr:from>
    <cdr:to>
      <cdr:x>0.91282</cdr:x>
      <cdr:y>0.31153</cdr:y>
    </cdr:to>
    <cdr:sp macro="" textlink="">
      <cdr:nvSpPr>
        <cdr:cNvPr id="2970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944262"/>
          <a:ext cx="1237076" cy="147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16.0 km full index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ndrew Lawrence (Student)" id="{473F971D-4E68-BB42-8041-AF5FA92F7583}" userId="S::andrew.lawrence@my.viu.ca::c867733e-9a74-4c0e-b15c-309e3dbceb8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11-07T21:31:27.67" personId="{473F971D-4E68-BB42-8041-AF5FA92F7583}" id="{8D6199D0-C4CF-5E43-A95A-D81CAF10AD77}">
    <text>Enter Observer Estimate and Date as written.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0E26-8890-7A41-9BE3-166547828335}">
  <dimension ref="A1:BG53"/>
  <sheetViews>
    <sheetView topLeftCell="A8" zoomScale="50" workbookViewId="0">
      <pane xSplit="8" topLeftCell="I1" activePane="topRight" state="frozen"/>
      <selection activeCell="A2" sqref="A2"/>
      <selection pane="topRight" activeCell="I46" sqref="I46"/>
    </sheetView>
  </sheetViews>
  <sheetFormatPr defaultColWidth="11.5546875" defaultRowHeight="24.6" x14ac:dyDescent="0.4"/>
  <cols>
    <col min="1" max="1" width="34.6640625" customWidth="1"/>
    <col min="2" max="3" width="14.44140625" customWidth="1"/>
    <col min="4" max="4" width="18.33203125" style="352" customWidth="1"/>
    <col min="5" max="7" width="35.44140625" style="353" customWidth="1"/>
    <col min="8" max="8" width="35.44140625" style="350" customWidth="1"/>
    <col min="9" max="9" width="35.44140625" style="359" customWidth="1"/>
    <col min="10" max="10" width="35.77734375" style="359" hidden="1" customWidth="1"/>
    <col min="11" max="11" width="35.77734375" style="359" customWidth="1"/>
    <col min="12" max="12" width="35.77734375" style="387" hidden="1" customWidth="1"/>
    <col min="13" max="13" width="35.77734375" style="386" customWidth="1"/>
    <col min="14" max="14" width="35.44140625" style="359" hidden="1" customWidth="1"/>
    <col min="15" max="15" width="35.44140625" style="359" customWidth="1"/>
    <col min="16" max="17" width="35.44140625" style="387" hidden="1" customWidth="1"/>
    <col min="18" max="18" width="35.44140625" style="386" customWidth="1"/>
    <col min="19" max="19" width="35.44140625" style="359" hidden="1" customWidth="1"/>
    <col min="20" max="20" width="35.44140625" style="359" customWidth="1"/>
    <col min="21" max="22" width="35.44140625" style="387" hidden="1" customWidth="1"/>
    <col min="23" max="23" width="35.44140625" style="386" customWidth="1"/>
    <col min="24" max="24" width="35.44140625" style="359" hidden="1" customWidth="1"/>
    <col min="25" max="25" width="35.44140625" style="359" customWidth="1"/>
    <col min="26" max="27" width="35.44140625" style="387" hidden="1" customWidth="1"/>
    <col min="28" max="28" width="35.44140625" style="386" customWidth="1"/>
    <col min="29" max="29" width="35.44140625" style="359" hidden="1" customWidth="1"/>
    <col min="30" max="30" width="35.44140625" style="359" customWidth="1"/>
    <col min="31" max="32" width="35.44140625" style="387" hidden="1" customWidth="1"/>
    <col min="33" max="33" width="33" style="386" customWidth="1"/>
    <col min="34" max="34" width="39.77734375" style="359" hidden="1" customWidth="1"/>
    <col min="35" max="35" width="39.77734375" style="359" customWidth="1"/>
    <col min="36" max="37" width="39.77734375" style="387" hidden="1" customWidth="1"/>
    <col min="38" max="38" width="35.77734375" style="386" customWidth="1"/>
    <col min="39" max="39" width="43.44140625" style="359" hidden="1" customWidth="1"/>
    <col min="40" max="40" width="43.44140625" style="359" customWidth="1"/>
    <col min="41" max="42" width="43.44140625" style="387" hidden="1" customWidth="1"/>
    <col min="43" max="43" width="33.77734375" style="386" customWidth="1"/>
    <col min="44" max="44" width="43.44140625" style="359" hidden="1" customWidth="1"/>
    <col min="45" max="45" width="33.77734375" style="359" customWidth="1"/>
    <col min="46" max="46" width="33.77734375" style="125" hidden="1" customWidth="1"/>
    <col min="47" max="47" width="43.44140625" style="125" hidden="1" customWidth="1"/>
    <col min="56" max="61" width="29" customWidth="1"/>
  </cols>
  <sheetData>
    <row r="1" spans="1:59" s="322" customFormat="1" ht="64.05" customHeight="1" x14ac:dyDescent="0.35">
      <c r="A1" s="325" t="s">
        <v>239</v>
      </c>
      <c r="B1" s="326"/>
      <c r="C1" s="326"/>
      <c r="D1" s="360" t="s">
        <v>74</v>
      </c>
      <c r="E1" s="361" t="s">
        <v>232</v>
      </c>
      <c r="F1" s="361" t="s">
        <v>117</v>
      </c>
      <c r="G1" s="362" t="s">
        <v>135</v>
      </c>
      <c r="H1" s="363" t="s">
        <v>228</v>
      </c>
      <c r="I1" s="366" t="s">
        <v>231</v>
      </c>
      <c r="J1" s="367"/>
      <c r="K1" s="367"/>
      <c r="L1" s="368"/>
      <c r="M1" s="366" t="s">
        <v>234</v>
      </c>
      <c r="N1" s="355"/>
      <c r="O1" s="355"/>
      <c r="P1" s="369"/>
      <c r="Q1" s="369"/>
      <c r="R1" s="370" t="s">
        <v>235</v>
      </c>
      <c r="S1" s="356"/>
      <c r="T1" s="356"/>
      <c r="U1" s="371"/>
      <c r="V1" s="371"/>
      <c r="W1" s="370" t="s">
        <v>236</v>
      </c>
      <c r="X1" s="356"/>
      <c r="Y1" s="356"/>
      <c r="Z1" s="371"/>
      <c r="AA1" s="371"/>
      <c r="AB1" s="370" t="s">
        <v>237</v>
      </c>
      <c r="AC1" s="356"/>
      <c r="AD1" s="356"/>
      <c r="AE1" s="371"/>
      <c r="AF1" s="371"/>
      <c r="AG1" s="370" t="s">
        <v>240</v>
      </c>
      <c r="AH1" s="356"/>
      <c r="AI1" s="356"/>
      <c r="AJ1" s="371"/>
      <c r="AK1" s="371"/>
      <c r="AL1" s="372" t="s">
        <v>241</v>
      </c>
      <c r="AM1" s="373"/>
      <c r="AN1" s="373"/>
      <c r="AO1" s="374"/>
      <c r="AP1" s="374"/>
      <c r="AQ1" s="372" t="s">
        <v>242</v>
      </c>
      <c r="AR1" s="373"/>
      <c r="AS1" s="373"/>
      <c r="AT1" s="331"/>
      <c r="AU1" s="331"/>
    </row>
    <row r="2" spans="1:59" s="327" customFormat="1" ht="66" customHeight="1" x14ac:dyDescent="0.4">
      <c r="A2" s="319"/>
      <c r="B2" s="317"/>
      <c r="C2" s="317"/>
      <c r="D2" s="352"/>
      <c r="E2" s="364"/>
      <c r="F2" s="365"/>
      <c r="G2" s="350"/>
      <c r="H2" s="350"/>
      <c r="I2" s="375" t="s">
        <v>238</v>
      </c>
      <c r="J2" s="376" t="s">
        <v>233</v>
      </c>
      <c r="K2" s="377" t="s">
        <v>0</v>
      </c>
      <c r="L2" s="378" t="s">
        <v>244</v>
      </c>
      <c r="M2" s="375" t="s">
        <v>238</v>
      </c>
      <c r="N2" s="379" t="s">
        <v>233</v>
      </c>
      <c r="O2" s="377" t="s">
        <v>0</v>
      </c>
      <c r="P2" s="378" t="s">
        <v>244</v>
      </c>
      <c r="Q2" s="380" t="s">
        <v>130</v>
      </c>
      <c r="R2" s="375" t="s">
        <v>238</v>
      </c>
      <c r="S2" s="379" t="s">
        <v>233</v>
      </c>
      <c r="T2" s="377" t="s">
        <v>0</v>
      </c>
      <c r="U2" s="378" t="s">
        <v>244</v>
      </c>
      <c r="V2" s="380" t="s">
        <v>130</v>
      </c>
      <c r="W2" s="375" t="s">
        <v>238</v>
      </c>
      <c r="X2" s="379" t="s">
        <v>233</v>
      </c>
      <c r="Y2" s="377" t="s">
        <v>0</v>
      </c>
      <c r="Z2" s="378" t="s">
        <v>244</v>
      </c>
      <c r="AA2" s="380" t="s">
        <v>130</v>
      </c>
      <c r="AB2" s="375" t="s">
        <v>238</v>
      </c>
      <c r="AC2" s="379" t="s">
        <v>233</v>
      </c>
      <c r="AD2" s="377" t="s">
        <v>0</v>
      </c>
      <c r="AE2" s="378" t="s">
        <v>244</v>
      </c>
      <c r="AF2" s="380" t="s">
        <v>130</v>
      </c>
      <c r="AG2" s="375" t="s">
        <v>238</v>
      </c>
      <c r="AH2" s="379" t="s">
        <v>233</v>
      </c>
      <c r="AI2" s="377" t="s">
        <v>0</v>
      </c>
      <c r="AJ2" s="378" t="s">
        <v>244</v>
      </c>
      <c r="AK2" s="380" t="s">
        <v>130</v>
      </c>
      <c r="AL2" s="381" t="s">
        <v>238</v>
      </c>
      <c r="AM2" s="382" t="s">
        <v>233</v>
      </c>
      <c r="AN2" s="377" t="s">
        <v>0</v>
      </c>
      <c r="AO2" s="378" t="s">
        <v>244</v>
      </c>
      <c r="AP2" s="380" t="s">
        <v>130</v>
      </c>
      <c r="AQ2" s="381" t="s">
        <v>238</v>
      </c>
      <c r="AR2" s="382" t="s">
        <v>233</v>
      </c>
      <c r="AS2" s="377" t="s">
        <v>0</v>
      </c>
      <c r="AT2" s="332" t="s">
        <v>244</v>
      </c>
      <c r="AU2" s="333" t="s">
        <v>130</v>
      </c>
    </row>
    <row r="3" spans="1:59" ht="22.05" customHeight="1" x14ac:dyDescent="0.4">
      <c r="A3" s="318"/>
      <c r="B3" s="317"/>
      <c r="C3" s="317"/>
      <c r="D3" s="352">
        <v>1982</v>
      </c>
      <c r="E3" s="364">
        <f>IF(G3/50 = 0, "", G3/50)</f>
        <v>507.27272777999997</v>
      </c>
      <c r="F3" s="364">
        <f>IF(MAX(J3,N3,S3,X3,AC3,AH3) = 0, "", MAX(J3,N3,S3,X3,AC3,AH3))</f>
        <v>338.18181851999998</v>
      </c>
      <c r="G3" s="350">
        <f>IF(SUM(V3) = 0, "", SUM(V3))</f>
        <v>25363.636388999999</v>
      </c>
      <c r="H3" s="350">
        <f>IF(E3/F3 = 0, "", E3/F3)</f>
        <v>1.5</v>
      </c>
      <c r="I3" s="357">
        <v>0</v>
      </c>
      <c r="J3" s="383">
        <f>I3/0.55</f>
        <v>0</v>
      </c>
      <c r="K3" s="330">
        <v>29952</v>
      </c>
      <c r="L3" s="383">
        <f>K3-DATE(YEAR(K3),1,1)+1</f>
        <v>1</v>
      </c>
      <c r="M3" s="384">
        <v>186</v>
      </c>
      <c r="N3" s="358">
        <f>(M3*1.81818182)</f>
        <v>338.18181851999998</v>
      </c>
      <c r="O3" s="385">
        <v>30063</v>
      </c>
      <c r="P3" s="383">
        <f>O3-DATE(YEAR(O3),1,1)+1</f>
        <v>112</v>
      </c>
      <c r="Q3" s="383"/>
      <c r="R3" s="384">
        <v>0</v>
      </c>
      <c r="S3" s="383">
        <v>0</v>
      </c>
      <c r="T3" s="330">
        <v>30102</v>
      </c>
      <c r="U3" s="383">
        <f>T3-DATE(YEAR(T3),1,1)+1</f>
        <v>151</v>
      </c>
      <c r="V3" s="383">
        <f>((N3+I3)/2)*(U3-L3)</f>
        <v>25363.636388999999</v>
      </c>
      <c r="W3" s="384"/>
      <c r="X3" s="358"/>
      <c r="Y3" s="358"/>
      <c r="Z3" s="383"/>
      <c r="AA3" s="383"/>
      <c r="AT3" s="323"/>
      <c r="AU3" s="323"/>
    </row>
    <row r="4" spans="1:59" ht="22.05" customHeight="1" x14ac:dyDescent="0.4">
      <c r="C4" s="317"/>
      <c r="D4" s="352">
        <v>1983</v>
      </c>
      <c r="E4" s="364">
        <f t="shared" ref="E4:E51" si="0">IF(G4/50 = 0, "", G4/50)</f>
        <v>839.40197561970706</v>
      </c>
      <c r="F4" s="364">
        <f>IF(MAX(J4,N4,S4,X4,AC4,AH4) = 0, "", MAX(J4,N4,S4,X4,AC4,AH4))</f>
        <v>593.43748723480758</v>
      </c>
      <c r="G4" s="351">
        <f>SUMIF($Q$2:$AU$2, "Partial Area", $Q4:$AU4)</f>
        <v>41970.098780985354</v>
      </c>
      <c r="H4" s="350">
        <f t="shared" ref="H4:H51" si="1">IF(E4/F4 = 0, "", E4/F4)</f>
        <v>1.4144741336294751</v>
      </c>
      <c r="I4" s="357">
        <v>0</v>
      </c>
      <c r="J4" s="383">
        <f t="shared" ref="J4:J51" si="2">I4/0.55</f>
        <v>0</v>
      </c>
      <c r="K4" s="330">
        <v>30317</v>
      </c>
      <c r="L4" s="383">
        <f t="shared" ref="L4:L51" si="3">K4-DATE(YEAR(K4),1,1)+1</f>
        <v>1</v>
      </c>
      <c r="M4" s="384">
        <v>213</v>
      </c>
      <c r="N4" s="358">
        <f t="shared" ref="N4:N51" si="4">(M4*1.81818182)</f>
        <v>387.27272765999999</v>
      </c>
      <c r="O4" s="385">
        <v>30399</v>
      </c>
      <c r="P4" s="383">
        <f t="shared" ref="P4:P51" si="5">O4-DATE(YEAR(O4),1,1)+1</f>
        <v>83</v>
      </c>
      <c r="Q4" s="383">
        <f>((N4+J4)/2)*(P4-L4)</f>
        <v>15878.18183406</v>
      </c>
      <c r="R4" s="384">
        <v>302.56410226153838</v>
      </c>
      <c r="S4" s="358">
        <f>(R4*1.81818182)</f>
        <v>550.11655011655</v>
      </c>
      <c r="T4" s="330">
        <v>30419</v>
      </c>
      <c r="U4" s="383">
        <f t="shared" ref="U4:U51" si="6">T4-DATE(YEAR(T4),1,1)+1</f>
        <v>103</v>
      </c>
      <c r="V4" s="383">
        <f>((S4+N4)/2)*(U4-P4)</f>
        <v>9373.8927777655008</v>
      </c>
      <c r="W4" s="388">
        <v>326.39061765275358</v>
      </c>
      <c r="X4" s="358">
        <f>(W4*1.81818182)</f>
        <v>593.43748723480758</v>
      </c>
      <c r="Y4" s="330">
        <v>30428</v>
      </c>
      <c r="Z4" s="383">
        <f>Y4-DATE(YEAR(Y4),1,1)+1</f>
        <v>112</v>
      </c>
      <c r="AA4" s="383">
        <f>((X4+S4)/2)*(Z4-U4)</f>
        <v>5145.9931680811096</v>
      </c>
      <c r="AB4" s="389">
        <v>0</v>
      </c>
      <c r="AC4" s="390">
        <f>(AB4*1.81818182)</f>
        <v>0</v>
      </c>
      <c r="AD4" s="385">
        <v>30467</v>
      </c>
      <c r="AE4" s="390">
        <f>AD4-DATE(YEAR(AD4),1,1)+1</f>
        <v>151</v>
      </c>
      <c r="AF4" s="390">
        <f>((AC4+X4)/2)*(AE4-Z4)</f>
        <v>11572.031001078747</v>
      </c>
      <c r="AT4" s="323"/>
      <c r="AU4" s="323"/>
    </row>
    <row r="5" spans="1:59" ht="22.05" customHeight="1" x14ac:dyDescent="0.4">
      <c r="A5" s="317"/>
      <c r="B5" s="317"/>
      <c r="C5" s="317"/>
      <c r="D5" s="352">
        <v>1984</v>
      </c>
      <c r="E5" s="364">
        <f t="shared" si="0"/>
        <v>988.31081782391527</v>
      </c>
      <c r="F5" s="364">
        <f t="shared" ref="F5:F51" si="7">IF(MAX(J5,N5,S5,X5,AC5,AH5) = 0, "", MAX(J5,N5,S5,X5,AC5,AH5))</f>
        <v>646.56687047578885</v>
      </c>
      <c r="G5" s="351">
        <f>SUMIF($Q$2:$AU$2, "Partial Area", $Q5:$AU5)</f>
        <v>49415.540891195764</v>
      </c>
      <c r="H5" s="350">
        <f t="shared" si="1"/>
        <v>1.5285515898713578</v>
      </c>
      <c r="I5" s="357">
        <v>0</v>
      </c>
      <c r="J5" s="383">
        <f t="shared" si="2"/>
        <v>0</v>
      </c>
      <c r="K5" s="330">
        <v>30682</v>
      </c>
      <c r="L5" s="383">
        <f t="shared" si="3"/>
        <v>1</v>
      </c>
      <c r="M5" s="384">
        <v>298</v>
      </c>
      <c r="N5" s="358">
        <f t="shared" si="4"/>
        <v>541.81818236000004</v>
      </c>
      <c r="O5" s="385">
        <v>30774</v>
      </c>
      <c r="P5" s="383">
        <f t="shared" si="5"/>
        <v>93</v>
      </c>
      <c r="Q5" s="383">
        <f t="shared" ref="Q5:Q51" si="8">((N5+J5)/2)*(P5-L5)</f>
        <v>24923.63638856</v>
      </c>
      <c r="R5" s="384">
        <v>355.61177840607212</v>
      </c>
      <c r="S5" s="358">
        <f t="shared" ref="S5:S51" si="9">(R5*1.81818182)</f>
        <v>646.56687047578885</v>
      </c>
      <c r="T5" s="330">
        <v>30794</v>
      </c>
      <c r="U5" s="383">
        <f t="shared" si="6"/>
        <v>113</v>
      </c>
      <c r="V5" s="383">
        <f t="shared" ref="V5:V51" si="10">((S5+N5)/2)*(U5-P5)</f>
        <v>11883.850528357889</v>
      </c>
      <c r="W5" s="388">
        <v>0</v>
      </c>
      <c r="X5" s="383">
        <f t="shared" ref="X5:X51" si="11">(W5*1.81818182)</f>
        <v>0</v>
      </c>
      <c r="Y5" s="330">
        <v>30833</v>
      </c>
      <c r="Z5" s="383">
        <f t="shared" ref="Z5:Z51" si="12">Y5-DATE(YEAR(Y5),1,1)+1</f>
        <v>152</v>
      </c>
      <c r="AA5" s="383">
        <f t="shared" ref="AA5:AA51" si="13">((X5+S5)/2)*(Z5-U5)</f>
        <v>12608.053974277882</v>
      </c>
      <c r="AB5" s="389"/>
      <c r="AC5" s="357"/>
      <c r="AD5" s="385"/>
      <c r="AE5" s="390"/>
      <c r="AF5" s="390"/>
      <c r="AT5" s="323"/>
      <c r="AU5" s="323"/>
    </row>
    <row r="6" spans="1:59" ht="22.05" customHeight="1" x14ac:dyDescent="0.4">
      <c r="A6" s="317"/>
      <c r="B6" s="317"/>
      <c r="C6" s="317"/>
      <c r="D6" s="352">
        <v>1985</v>
      </c>
      <c r="E6" s="364">
        <f t="shared" si="0"/>
        <v>1421.6107420246708</v>
      </c>
      <c r="F6" s="364">
        <f t="shared" si="7"/>
        <v>942.09420942094198</v>
      </c>
      <c r="G6" s="351">
        <f t="shared" ref="G6:G51" si="14">SUMIF($Q$2:$AU$2, "Partial Area", $Q6:$AU6)</f>
        <v>71080.537101233538</v>
      </c>
      <c r="H6" s="350">
        <f t="shared" si="1"/>
        <v>1.5089900010089898</v>
      </c>
      <c r="I6" s="357">
        <v>0</v>
      </c>
      <c r="J6" s="383">
        <f t="shared" si="2"/>
        <v>0</v>
      </c>
      <c r="K6" s="330">
        <v>31048</v>
      </c>
      <c r="L6" s="383">
        <f t="shared" si="3"/>
        <v>1</v>
      </c>
      <c r="M6" s="384">
        <v>471</v>
      </c>
      <c r="N6" s="358">
        <f t="shared" si="4"/>
        <v>856.36363721999999</v>
      </c>
      <c r="O6" s="385">
        <v>31148</v>
      </c>
      <c r="P6" s="383">
        <f t="shared" si="5"/>
        <v>101</v>
      </c>
      <c r="Q6" s="383">
        <f t="shared" si="8"/>
        <v>42818.181860999997</v>
      </c>
      <c r="R6" s="384">
        <v>518.15181466336628</v>
      </c>
      <c r="S6" s="358">
        <f t="shared" si="9"/>
        <v>942.09420942094198</v>
      </c>
      <c r="T6" s="330">
        <v>31159</v>
      </c>
      <c r="U6" s="383">
        <f t="shared" si="6"/>
        <v>112</v>
      </c>
      <c r="V6" s="383">
        <f t="shared" si="10"/>
        <v>9891.5181565251805</v>
      </c>
      <c r="W6" s="388">
        <v>0</v>
      </c>
      <c r="X6" s="383">
        <f t="shared" si="11"/>
        <v>0</v>
      </c>
      <c r="Y6" s="330">
        <v>31198</v>
      </c>
      <c r="Z6" s="383">
        <f t="shared" si="12"/>
        <v>151</v>
      </c>
      <c r="AA6" s="383">
        <f t="shared" si="13"/>
        <v>18370.837083708368</v>
      </c>
      <c r="AB6" s="389"/>
      <c r="AC6" s="357"/>
      <c r="AD6" s="385"/>
      <c r="AE6" s="390"/>
      <c r="AF6" s="390"/>
      <c r="AT6" s="323"/>
      <c r="AU6" s="323"/>
    </row>
    <row r="7" spans="1:59" ht="22.05" customHeight="1" x14ac:dyDescent="0.4">
      <c r="A7" s="317"/>
      <c r="B7" s="317"/>
      <c r="C7" s="317"/>
      <c r="D7" s="352">
        <v>1986</v>
      </c>
      <c r="E7" s="364">
        <f t="shared" si="0"/>
        <v>601.60452427381961</v>
      </c>
      <c r="F7" s="364">
        <f t="shared" si="7"/>
        <v>398.34969412434202</v>
      </c>
      <c r="G7" s="351">
        <f t="shared" si="14"/>
        <v>30080.226213690981</v>
      </c>
      <c r="H7" s="350">
        <f t="shared" si="1"/>
        <v>1.5102422146859564</v>
      </c>
      <c r="I7" s="357">
        <v>0</v>
      </c>
      <c r="J7" s="383">
        <f t="shared" si="2"/>
        <v>0</v>
      </c>
      <c r="K7" s="330">
        <v>31413</v>
      </c>
      <c r="L7" s="383">
        <f t="shared" si="3"/>
        <v>1</v>
      </c>
      <c r="M7" s="384">
        <v>79</v>
      </c>
      <c r="N7" s="358">
        <f t="shared" si="4"/>
        <v>143.63636377999998</v>
      </c>
      <c r="O7" s="385">
        <v>31452</v>
      </c>
      <c r="P7" s="383">
        <f t="shared" si="5"/>
        <v>40</v>
      </c>
      <c r="Q7" s="383">
        <f t="shared" si="8"/>
        <v>2800.9090937099995</v>
      </c>
      <c r="R7" s="384">
        <v>219.09233154929578</v>
      </c>
      <c r="S7" s="358">
        <f t="shared" si="9"/>
        <v>398.34969412434202</v>
      </c>
      <c r="T7" s="330">
        <v>31524</v>
      </c>
      <c r="U7" s="383">
        <f t="shared" si="6"/>
        <v>112</v>
      </c>
      <c r="V7" s="383">
        <f t="shared" si="10"/>
        <v>19511.498084556311</v>
      </c>
      <c r="W7" s="388">
        <v>0</v>
      </c>
      <c r="X7" s="383">
        <f t="shared" si="11"/>
        <v>0</v>
      </c>
      <c r="Y7" s="330">
        <v>31563</v>
      </c>
      <c r="Z7" s="383">
        <f t="shared" si="12"/>
        <v>151</v>
      </c>
      <c r="AA7" s="383">
        <f t="shared" si="13"/>
        <v>7767.819035424669</v>
      </c>
      <c r="AB7" s="389"/>
      <c r="AC7" s="357"/>
      <c r="AD7" s="385"/>
      <c r="AE7" s="390"/>
      <c r="AF7" s="390"/>
      <c r="AT7" s="323"/>
      <c r="AU7" s="323"/>
    </row>
    <row r="8" spans="1:59" ht="22.05" customHeight="1" x14ac:dyDescent="0.4">
      <c r="A8" s="317"/>
      <c r="B8" s="317"/>
      <c r="C8" s="317"/>
      <c r="D8" s="352">
        <v>1987</v>
      </c>
      <c r="E8" s="364">
        <f t="shared" si="0"/>
        <v>1193.7007613553169</v>
      </c>
      <c r="F8" s="364">
        <f t="shared" si="7"/>
        <v>818.05711435341061</v>
      </c>
      <c r="G8" s="351">
        <f t="shared" si="14"/>
        <v>59685.038067765847</v>
      </c>
      <c r="H8" s="350">
        <f t="shared" si="1"/>
        <v>1.45919000080919</v>
      </c>
      <c r="I8" s="357">
        <v>0</v>
      </c>
      <c r="J8" s="383">
        <f t="shared" si="2"/>
        <v>0</v>
      </c>
      <c r="K8" s="330">
        <v>31778</v>
      </c>
      <c r="L8" s="383">
        <f t="shared" si="3"/>
        <v>1</v>
      </c>
      <c r="M8" s="384">
        <v>328</v>
      </c>
      <c r="N8" s="358">
        <f t="shared" si="4"/>
        <v>596.36363696000001</v>
      </c>
      <c r="O8" s="385">
        <v>31863</v>
      </c>
      <c r="P8" s="383">
        <f t="shared" si="5"/>
        <v>86</v>
      </c>
      <c r="Q8" s="383">
        <f t="shared" si="8"/>
        <v>25345.454570800001</v>
      </c>
      <c r="R8" s="384">
        <v>449.93141244444445</v>
      </c>
      <c r="S8" s="358">
        <f t="shared" si="9"/>
        <v>818.05711435341061</v>
      </c>
      <c r="T8" s="330">
        <v>31889</v>
      </c>
      <c r="U8" s="383">
        <f t="shared" si="6"/>
        <v>112</v>
      </c>
      <c r="V8" s="383">
        <f t="shared" si="10"/>
        <v>18387.469767074337</v>
      </c>
      <c r="W8" s="388">
        <v>0</v>
      </c>
      <c r="X8" s="383">
        <f t="shared" si="11"/>
        <v>0</v>
      </c>
      <c r="Y8" s="330">
        <v>31928</v>
      </c>
      <c r="Z8" s="383">
        <f t="shared" si="12"/>
        <v>151</v>
      </c>
      <c r="AA8" s="383">
        <f t="shared" si="13"/>
        <v>15952.113729891507</v>
      </c>
      <c r="AB8" s="389"/>
      <c r="AC8" s="357"/>
      <c r="AD8" s="385"/>
      <c r="AE8" s="390"/>
      <c r="AF8" s="390"/>
      <c r="AT8" s="323"/>
      <c r="AU8" s="323"/>
    </row>
    <row r="9" spans="1:59" ht="22.05" customHeight="1" x14ac:dyDescent="0.4">
      <c r="A9" s="321"/>
      <c r="D9" s="352">
        <v>1988</v>
      </c>
      <c r="E9" s="364">
        <f t="shared" si="0"/>
        <v>1399.7981587858999</v>
      </c>
      <c r="F9" s="364">
        <f t="shared" si="7"/>
        <v>920.86033187185569</v>
      </c>
      <c r="G9" s="351">
        <f t="shared" si="14"/>
        <v>69989.907939294993</v>
      </c>
      <c r="H9" s="350">
        <f t="shared" si="1"/>
        <v>1.5200982280781878</v>
      </c>
      <c r="I9" s="357">
        <v>0</v>
      </c>
      <c r="J9" s="383">
        <f t="shared" si="2"/>
        <v>0</v>
      </c>
      <c r="K9" s="330">
        <v>32143</v>
      </c>
      <c r="L9" s="383">
        <f t="shared" si="3"/>
        <v>1</v>
      </c>
      <c r="M9" s="384">
        <v>251</v>
      </c>
      <c r="N9" s="358">
        <f t="shared" si="4"/>
        <v>456.36363682000001</v>
      </c>
      <c r="O9" s="385">
        <v>32197</v>
      </c>
      <c r="P9" s="383">
        <f t="shared" si="5"/>
        <v>55</v>
      </c>
      <c r="Q9" s="383">
        <f t="shared" si="8"/>
        <v>12321.81819414</v>
      </c>
      <c r="R9" s="384">
        <v>506.47318202304746</v>
      </c>
      <c r="S9" s="358">
        <f t="shared" si="9"/>
        <v>920.86033187185569</v>
      </c>
      <c r="T9" s="330">
        <v>31524</v>
      </c>
      <c r="U9" s="383">
        <f t="shared" si="6"/>
        <v>112</v>
      </c>
      <c r="V9" s="383">
        <f t="shared" si="10"/>
        <v>39250.883107717884</v>
      </c>
      <c r="W9" s="388">
        <v>0</v>
      </c>
      <c r="X9" s="383">
        <f t="shared" si="11"/>
        <v>0</v>
      </c>
      <c r="Y9" s="330">
        <v>32294</v>
      </c>
      <c r="Z9" s="383">
        <f t="shared" si="12"/>
        <v>152</v>
      </c>
      <c r="AA9" s="383">
        <f t="shared" si="13"/>
        <v>18417.206637437113</v>
      </c>
      <c r="AB9" s="389"/>
      <c r="AC9" s="357"/>
      <c r="AD9" s="329"/>
      <c r="AE9" s="390"/>
      <c r="AF9" s="390"/>
      <c r="AT9" s="323"/>
      <c r="AU9" s="323"/>
    </row>
    <row r="10" spans="1:59" ht="22.05" customHeight="1" x14ac:dyDescent="0.4">
      <c r="A10" s="320"/>
      <c r="D10" s="352">
        <v>1989</v>
      </c>
      <c r="E10" s="364">
        <f t="shared" si="0"/>
        <v>278.23299685362963</v>
      </c>
      <c r="F10" s="364">
        <f t="shared" si="7"/>
        <v>148.14814829629631</v>
      </c>
      <c r="G10" s="351">
        <f t="shared" si="14"/>
        <v>13911.649842681481</v>
      </c>
      <c r="H10" s="350">
        <f t="shared" si="1"/>
        <v>1.878072726883927</v>
      </c>
      <c r="I10" s="357">
        <v>0</v>
      </c>
      <c r="J10" s="383">
        <f t="shared" si="2"/>
        <v>0</v>
      </c>
      <c r="K10" s="330">
        <v>32509</v>
      </c>
      <c r="L10" s="383">
        <f t="shared" si="3"/>
        <v>1</v>
      </c>
      <c r="M10" s="384">
        <v>80</v>
      </c>
      <c r="N10" s="358">
        <f t="shared" si="4"/>
        <v>145.45454559999999</v>
      </c>
      <c r="O10" s="385">
        <v>32548</v>
      </c>
      <c r="P10" s="383">
        <f t="shared" si="5"/>
        <v>40</v>
      </c>
      <c r="Q10" s="383">
        <f t="shared" si="8"/>
        <v>2836.3636391999999</v>
      </c>
      <c r="R10" s="384">
        <v>43.999999956000003</v>
      </c>
      <c r="S10" s="358">
        <f t="shared" si="9"/>
        <v>80</v>
      </c>
      <c r="T10" s="330">
        <v>32568</v>
      </c>
      <c r="U10" s="383">
        <f t="shared" si="6"/>
        <v>60</v>
      </c>
      <c r="V10" s="383">
        <f t="shared" si="10"/>
        <v>2254.5454559999998</v>
      </c>
      <c r="W10" s="388">
        <v>81.481481481481495</v>
      </c>
      <c r="X10" s="358">
        <f t="shared" si="11"/>
        <v>148.14814829629631</v>
      </c>
      <c r="Y10" s="330">
        <v>32620</v>
      </c>
      <c r="Z10" s="383">
        <f t="shared" si="12"/>
        <v>112</v>
      </c>
      <c r="AA10" s="383">
        <f t="shared" si="13"/>
        <v>5931.8518557037041</v>
      </c>
      <c r="AB10" s="389">
        <v>0</v>
      </c>
      <c r="AC10" s="390">
        <f t="shared" ref="AC10:AC51" si="15">(AB10*1.81818182)</f>
        <v>0</v>
      </c>
      <c r="AD10" s="385">
        <v>32659</v>
      </c>
      <c r="AE10" s="390">
        <f t="shared" ref="AE10:AE43" si="16">AD10-DATE(YEAR(AD10),1,1)+1</f>
        <v>151</v>
      </c>
      <c r="AF10" s="390">
        <f t="shared" ref="AF10:AF51" si="17">((AC10+X10)/2)*(AE10-Z10)</f>
        <v>2888.8888917777781</v>
      </c>
      <c r="AT10" s="323"/>
      <c r="AU10" s="323"/>
    </row>
    <row r="11" spans="1:59" ht="22.05" customHeight="1" x14ac:dyDescent="0.4">
      <c r="A11" s="320"/>
      <c r="D11" s="352">
        <v>1990</v>
      </c>
      <c r="E11" s="364">
        <f t="shared" si="0"/>
        <v>536.71111128871109</v>
      </c>
      <c r="F11" s="364">
        <f t="shared" si="7"/>
        <v>355.55555555555554</v>
      </c>
      <c r="G11" s="351">
        <f t="shared" si="14"/>
        <v>26835.555564435555</v>
      </c>
      <c r="H11" s="350">
        <f t="shared" si="1"/>
        <v>1.5095000004995001</v>
      </c>
      <c r="I11" s="357">
        <v>0</v>
      </c>
      <c r="J11" s="383">
        <f t="shared" si="2"/>
        <v>0</v>
      </c>
      <c r="K11" s="330">
        <v>32874</v>
      </c>
      <c r="L11" s="383">
        <f t="shared" si="3"/>
        <v>1</v>
      </c>
      <c r="M11" s="384">
        <v>88</v>
      </c>
      <c r="N11" s="358">
        <f t="shared" si="4"/>
        <v>160.00000015999998</v>
      </c>
      <c r="O11" s="385">
        <v>32923</v>
      </c>
      <c r="P11" s="383">
        <f t="shared" si="5"/>
        <v>50</v>
      </c>
      <c r="Q11" s="383">
        <f t="shared" si="8"/>
        <v>3920.0000039199995</v>
      </c>
      <c r="R11" s="384">
        <v>195.55555536</v>
      </c>
      <c r="S11" s="358">
        <f t="shared" si="9"/>
        <v>355.55555555555554</v>
      </c>
      <c r="T11" s="330">
        <v>32985</v>
      </c>
      <c r="U11" s="383">
        <f t="shared" si="6"/>
        <v>112</v>
      </c>
      <c r="V11" s="383">
        <f t="shared" si="10"/>
        <v>15982.222227182223</v>
      </c>
      <c r="W11" s="388">
        <v>0</v>
      </c>
      <c r="X11" s="383">
        <f t="shared" si="11"/>
        <v>0</v>
      </c>
      <c r="Y11" s="330">
        <v>33024</v>
      </c>
      <c r="Z11" s="383">
        <f t="shared" si="12"/>
        <v>151</v>
      </c>
      <c r="AA11" s="383">
        <f t="shared" si="13"/>
        <v>6933.333333333333</v>
      </c>
      <c r="AB11" s="389"/>
      <c r="AC11" s="357"/>
      <c r="AD11" s="329"/>
      <c r="AE11" s="390"/>
      <c r="AF11" s="390"/>
      <c r="AT11" s="323"/>
      <c r="AU11" s="323"/>
    </row>
    <row r="12" spans="1:59" ht="22.05" customHeight="1" x14ac:dyDescent="0.4">
      <c r="A12" s="320"/>
      <c r="D12" s="352">
        <v>1991</v>
      </c>
      <c r="E12" s="364">
        <f t="shared" si="0"/>
        <v>238.57180900467858</v>
      </c>
      <c r="F12" s="364">
        <f t="shared" si="7"/>
        <v>147.53692389729324</v>
      </c>
      <c r="G12" s="351">
        <f t="shared" si="14"/>
        <v>11928.590450233929</v>
      </c>
      <c r="H12" s="350">
        <f t="shared" si="1"/>
        <v>1.61703119939493</v>
      </c>
      <c r="I12" s="357">
        <v>0</v>
      </c>
      <c r="J12" s="383">
        <f t="shared" si="2"/>
        <v>0</v>
      </c>
      <c r="K12" s="330">
        <v>33239</v>
      </c>
      <c r="L12" s="383">
        <f t="shared" si="3"/>
        <v>1</v>
      </c>
      <c r="M12" s="384">
        <v>34</v>
      </c>
      <c r="N12" s="358">
        <f t="shared" si="4"/>
        <v>61.818181879999997</v>
      </c>
      <c r="O12" s="385">
        <v>33267</v>
      </c>
      <c r="P12" s="383">
        <f t="shared" si="5"/>
        <v>29</v>
      </c>
      <c r="Q12" s="383">
        <f t="shared" si="8"/>
        <v>865.45454631999996</v>
      </c>
      <c r="R12" s="384">
        <v>59.154929518309856</v>
      </c>
      <c r="S12" s="358">
        <f t="shared" si="9"/>
        <v>107.55441741357234</v>
      </c>
      <c r="T12" s="330">
        <v>33323</v>
      </c>
      <c r="U12" s="383">
        <f t="shared" si="6"/>
        <v>85</v>
      </c>
      <c r="V12" s="383">
        <f t="shared" si="10"/>
        <v>4742.4327802200251</v>
      </c>
      <c r="W12" s="388">
        <v>81.14530806236597</v>
      </c>
      <c r="X12" s="358">
        <f t="shared" si="11"/>
        <v>147.53692389729324</v>
      </c>
      <c r="Y12" s="330">
        <v>33350</v>
      </c>
      <c r="Z12" s="383">
        <f t="shared" si="12"/>
        <v>112</v>
      </c>
      <c r="AA12" s="383">
        <f t="shared" si="13"/>
        <v>3443.7331076966852</v>
      </c>
      <c r="AB12" s="389">
        <v>0</v>
      </c>
      <c r="AC12" s="390">
        <f t="shared" si="15"/>
        <v>0</v>
      </c>
      <c r="AD12" s="385">
        <v>33389</v>
      </c>
      <c r="AE12" s="390">
        <f t="shared" si="16"/>
        <v>151</v>
      </c>
      <c r="AF12" s="390">
        <f t="shared" si="17"/>
        <v>2876.9700159972181</v>
      </c>
      <c r="AT12" s="323"/>
      <c r="AU12" s="323"/>
    </row>
    <row r="13" spans="1:59" ht="22.05" customHeight="1" x14ac:dyDescent="0.4">
      <c r="A13" s="320"/>
      <c r="D13" s="352">
        <v>1992</v>
      </c>
      <c r="E13" s="364">
        <f t="shared" si="0"/>
        <v>507.68160742297624</v>
      </c>
      <c r="F13" s="364">
        <f t="shared" si="7"/>
        <v>332.62600213602002</v>
      </c>
      <c r="G13" s="351">
        <f t="shared" si="14"/>
        <v>25384.080371148812</v>
      </c>
      <c r="H13" s="350">
        <f t="shared" si="1"/>
        <v>1.5262835862584523</v>
      </c>
      <c r="I13" s="357">
        <v>0</v>
      </c>
      <c r="J13" s="383">
        <f t="shared" si="2"/>
        <v>0</v>
      </c>
      <c r="K13" s="330">
        <v>33604</v>
      </c>
      <c r="L13" s="383">
        <f t="shared" si="3"/>
        <v>1</v>
      </c>
      <c r="M13" s="384">
        <v>117</v>
      </c>
      <c r="N13" s="358">
        <f t="shared" si="4"/>
        <v>212.72727294000001</v>
      </c>
      <c r="O13" s="385">
        <v>33674</v>
      </c>
      <c r="P13" s="383">
        <f t="shared" si="5"/>
        <v>71</v>
      </c>
      <c r="Q13" s="383">
        <f t="shared" si="8"/>
        <v>7445.4545529000006</v>
      </c>
      <c r="R13" s="384">
        <v>182.94430099186673</v>
      </c>
      <c r="S13" s="358">
        <f t="shared" si="9"/>
        <v>332.62600213602002</v>
      </c>
      <c r="T13" s="330">
        <v>33716</v>
      </c>
      <c r="U13" s="383">
        <f t="shared" si="6"/>
        <v>113</v>
      </c>
      <c r="V13" s="383">
        <f t="shared" si="10"/>
        <v>11452.418776596422</v>
      </c>
      <c r="W13" s="388">
        <v>0</v>
      </c>
      <c r="X13" s="383">
        <f t="shared" si="11"/>
        <v>0</v>
      </c>
      <c r="Y13" s="330">
        <v>33755</v>
      </c>
      <c r="Z13" s="383">
        <f t="shared" si="12"/>
        <v>152</v>
      </c>
      <c r="AA13" s="383">
        <f t="shared" si="13"/>
        <v>6486.2070416523902</v>
      </c>
      <c r="AB13" s="389"/>
      <c r="AC13" s="357"/>
      <c r="AD13" s="329"/>
      <c r="AE13" s="390"/>
      <c r="AF13" s="390"/>
      <c r="AT13" s="323"/>
      <c r="AU13" s="323"/>
      <c r="BE13" s="75"/>
      <c r="BF13" s="75"/>
      <c r="BG13" s="75"/>
    </row>
    <row r="14" spans="1:59" ht="22.05" customHeight="1" x14ac:dyDescent="0.4">
      <c r="A14" s="320"/>
      <c r="D14" s="352">
        <v>1993</v>
      </c>
      <c r="E14" s="364">
        <f t="shared" si="0"/>
        <v>224.58971553533354</v>
      </c>
      <c r="F14" s="364">
        <f t="shared" si="7"/>
        <v>183.63636381999999</v>
      </c>
      <c r="G14" s="351">
        <f t="shared" si="14"/>
        <v>11229.485776766676</v>
      </c>
      <c r="H14" s="350">
        <f t="shared" si="1"/>
        <v>1.22301330119712</v>
      </c>
      <c r="I14" s="357">
        <v>0</v>
      </c>
      <c r="J14" s="383">
        <f t="shared" si="2"/>
        <v>0</v>
      </c>
      <c r="K14" s="330">
        <v>33970</v>
      </c>
      <c r="L14" s="383">
        <f t="shared" si="3"/>
        <v>1</v>
      </c>
      <c r="M14" s="384">
        <v>101</v>
      </c>
      <c r="N14" s="358">
        <f t="shared" si="4"/>
        <v>183.63636381999999</v>
      </c>
      <c r="O14" s="385">
        <v>34025</v>
      </c>
      <c r="P14" s="383">
        <f t="shared" si="5"/>
        <v>56</v>
      </c>
      <c r="Q14" s="383">
        <f t="shared" si="8"/>
        <v>5050.0000050499993</v>
      </c>
      <c r="R14" s="384">
        <v>14.141414127272729</v>
      </c>
      <c r="S14" s="358">
        <f t="shared" si="9"/>
        <v>25.711662075298442</v>
      </c>
      <c r="T14" s="330">
        <v>34079</v>
      </c>
      <c r="U14" s="383">
        <f t="shared" si="6"/>
        <v>110</v>
      </c>
      <c r="V14" s="383">
        <f t="shared" si="10"/>
        <v>5652.3966991730576</v>
      </c>
      <c r="W14" s="388">
        <v>0</v>
      </c>
      <c r="X14" s="383">
        <f t="shared" si="11"/>
        <v>0</v>
      </c>
      <c r="Y14" s="330">
        <v>34120</v>
      </c>
      <c r="Z14" s="383">
        <f t="shared" si="12"/>
        <v>151</v>
      </c>
      <c r="AA14" s="383">
        <f t="shared" si="13"/>
        <v>527.08907254361804</v>
      </c>
      <c r="AB14" s="389"/>
      <c r="AC14" s="357"/>
      <c r="AD14" s="329"/>
      <c r="AE14" s="390"/>
      <c r="AF14" s="390"/>
      <c r="AT14" s="323"/>
      <c r="AU14" s="323"/>
      <c r="BE14" s="59"/>
      <c r="BF14" s="75"/>
      <c r="BG14" s="75"/>
    </row>
    <row r="15" spans="1:59" ht="22.05" customHeight="1" x14ac:dyDescent="0.4">
      <c r="A15" s="320"/>
      <c r="D15" s="352">
        <v>1994</v>
      </c>
      <c r="E15" s="364">
        <f t="shared" si="0"/>
        <v>86.655452503784488</v>
      </c>
      <c r="F15" s="364">
        <f t="shared" si="7"/>
        <v>59.717326279663268</v>
      </c>
      <c r="G15" s="351">
        <f t="shared" si="14"/>
        <v>4332.7726251892245</v>
      </c>
      <c r="H15" s="350">
        <f t="shared" si="1"/>
        <v>1.451093977281682</v>
      </c>
      <c r="I15" s="357">
        <v>0</v>
      </c>
      <c r="J15" s="383">
        <f t="shared" si="2"/>
        <v>0</v>
      </c>
      <c r="K15" s="330">
        <v>34335</v>
      </c>
      <c r="L15" s="383">
        <f t="shared" si="3"/>
        <v>1</v>
      </c>
      <c r="M15" s="384">
        <v>24</v>
      </c>
      <c r="N15" s="358">
        <f t="shared" si="4"/>
        <v>43.636363680000002</v>
      </c>
      <c r="O15" s="385">
        <v>34421</v>
      </c>
      <c r="P15" s="383">
        <f t="shared" si="5"/>
        <v>87</v>
      </c>
      <c r="Q15" s="383">
        <f t="shared" si="8"/>
        <v>1876.36363824</v>
      </c>
      <c r="R15" s="384">
        <v>32.844529420970268</v>
      </c>
      <c r="S15" s="358">
        <f t="shared" si="9"/>
        <v>59.717326279663268</v>
      </c>
      <c r="T15" s="330">
        <v>34446</v>
      </c>
      <c r="U15" s="383">
        <f t="shared" si="6"/>
        <v>112</v>
      </c>
      <c r="V15" s="383">
        <f t="shared" si="10"/>
        <v>1291.921124495791</v>
      </c>
      <c r="W15" s="388">
        <v>0</v>
      </c>
      <c r="X15" s="383">
        <f t="shared" si="11"/>
        <v>0</v>
      </c>
      <c r="Y15" s="330">
        <v>34485</v>
      </c>
      <c r="Z15" s="383">
        <f t="shared" si="12"/>
        <v>151</v>
      </c>
      <c r="AA15" s="383">
        <f t="shared" si="13"/>
        <v>1164.4878624534338</v>
      </c>
      <c r="AB15" s="389"/>
      <c r="AC15" s="357"/>
      <c r="AD15" s="329"/>
      <c r="AE15" s="390"/>
      <c r="AF15" s="390"/>
      <c r="AT15" s="323"/>
      <c r="AU15" s="323"/>
      <c r="BE15" s="59"/>
      <c r="BF15" s="394"/>
      <c r="BG15" s="394"/>
    </row>
    <row r="16" spans="1:59" ht="22.05" customHeight="1" x14ac:dyDescent="0.4">
      <c r="A16" s="320"/>
      <c r="D16" s="352">
        <v>1995</v>
      </c>
      <c r="E16" s="364">
        <f t="shared" si="0"/>
        <v>258.28365353869339</v>
      </c>
      <c r="F16" s="364">
        <f t="shared" si="7"/>
        <v>170.72129748186089</v>
      </c>
      <c r="G16" s="351">
        <f t="shared" si="14"/>
        <v>12914.18267693467</v>
      </c>
      <c r="H16" s="350">
        <f t="shared" si="1"/>
        <v>1.5128965006028963</v>
      </c>
      <c r="I16" s="357">
        <v>0</v>
      </c>
      <c r="J16" s="383">
        <f t="shared" si="2"/>
        <v>0</v>
      </c>
      <c r="K16" s="330">
        <v>34700</v>
      </c>
      <c r="L16" s="383">
        <f t="shared" si="3"/>
        <v>1</v>
      </c>
      <c r="M16" s="384">
        <v>51</v>
      </c>
      <c r="N16" s="358">
        <f t="shared" si="4"/>
        <v>92.727272819999996</v>
      </c>
      <c r="O16" s="385">
        <v>34759</v>
      </c>
      <c r="P16" s="383">
        <f t="shared" si="5"/>
        <v>60</v>
      </c>
      <c r="Q16" s="383">
        <f t="shared" si="8"/>
        <v>2735.45454819</v>
      </c>
      <c r="R16" s="384">
        <v>93.89671352112677</v>
      </c>
      <c r="S16" s="358">
        <f t="shared" si="9"/>
        <v>170.72129748186089</v>
      </c>
      <c r="T16" s="330">
        <v>34811</v>
      </c>
      <c r="U16" s="383">
        <f t="shared" si="6"/>
        <v>112</v>
      </c>
      <c r="V16" s="383">
        <f t="shared" si="10"/>
        <v>6849.6628278483822</v>
      </c>
      <c r="W16" s="388">
        <v>0</v>
      </c>
      <c r="X16" s="383">
        <f t="shared" si="11"/>
        <v>0</v>
      </c>
      <c r="Y16" s="330">
        <v>34850</v>
      </c>
      <c r="Z16" s="383">
        <f t="shared" si="12"/>
        <v>151</v>
      </c>
      <c r="AA16" s="383">
        <f t="shared" si="13"/>
        <v>3329.0653008962872</v>
      </c>
      <c r="AB16" s="389"/>
      <c r="AC16" s="357"/>
      <c r="AD16" s="329"/>
      <c r="AE16" s="390"/>
      <c r="AF16" s="390"/>
      <c r="AT16" s="323"/>
      <c r="AU16" s="323"/>
      <c r="BE16" s="59"/>
      <c r="BF16" s="353"/>
      <c r="BG16" s="353"/>
    </row>
    <row r="17" spans="1:59" ht="22.05" customHeight="1" x14ac:dyDescent="0.4">
      <c r="A17" s="320"/>
      <c r="D17" s="352">
        <v>1996</v>
      </c>
      <c r="E17" s="364">
        <f t="shared" si="0"/>
        <v>152.97272366983145</v>
      </c>
      <c r="F17" s="364">
        <f t="shared" si="7"/>
        <v>105.38351696411165</v>
      </c>
      <c r="G17" s="351">
        <f t="shared" si="14"/>
        <v>7648.6361834915724</v>
      </c>
      <c r="H17" s="350">
        <f t="shared" si="1"/>
        <v>1.451581120811581</v>
      </c>
      <c r="I17" s="357">
        <v>0</v>
      </c>
      <c r="J17" s="383">
        <f t="shared" si="2"/>
        <v>0</v>
      </c>
      <c r="K17" s="330">
        <v>35065</v>
      </c>
      <c r="L17" s="383">
        <f t="shared" si="3"/>
        <v>1</v>
      </c>
      <c r="M17" s="384">
        <v>42</v>
      </c>
      <c r="N17" s="358">
        <f t="shared" si="4"/>
        <v>76.363636439999993</v>
      </c>
      <c r="O17" s="385">
        <v>35152</v>
      </c>
      <c r="P17" s="383">
        <f t="shared" si="5"/>
        <v>88</v>
      </c>
      <c r="Q17" s="383">
        <f t="shared" si="8"/>
        <v>3321.8181851399995</v>
      </c>
      <c r="R17" s="384">
        <v>57.960934272300477</v>
      </c>
      <c r="S17" s="358">
        <f t="shared" si="9"/>
        <v>105.38351696411165</v>
      </c>
      <c r="T17" s="330">
        <v>35177</v>
      </c>
      <c r="U17" s="383">
        <f t="shared" si="6"/>
        <v>113</v>
      </c>
      <c r="V17" s="383">
        <f t="shared" si="10"/>
        <v>2271.8394175513959</v>
      </c>
      <c r="W17" s="388">
        <v>0</v>
      </c>
      <c r="X17" s="383">
        <f t="shared" si="11"/>
        <v>0</v>
      </c>
      <c r="Y17" s="330">
        <v>35216</v>
      </c>
      <c r="Z17" s="383">
        <f t="shared" si="12"/>
        <v>152</v>
      </c>
      <c r="AA17" s="383">
        <f t="shared" si="13"/>
        <v>2054.978580800177</v>
      </c>
      <c r="AB17" s="389"/>
      <c r="AC17" s="357"/>
      <c r="AD17" s="329"/>
      <c r="AE17" s="390"/>
      <c r="AF17" s="390"/>
      <c r="AT17" s="323"/>
      <c r="AU17" s="323"/>
      <c r="BE17" s="354"/>
      <c r="BF17" s="350"/>
      <c r="BG17" s="350"/>
    </row>
    <row r="18" spans="1:59" ht="22.05" customHeight="1" x14ac:dyDescent="0.4">
      <c r="A18" s="320"/>
      <c r="D18" s="352">
        <v>1998</v>
      </c>
      <c r="E18" s="364">
        <f t="shared" si="0"/>
        <v>25.98876537444313</v>
      </c>
      <c r="F18" s="364">
        <f t="shared" si="7"/>
        <v>18.065745765276283</v>
      </c>
      <c r="G18" s="351">
        <f t="shared" si="14"/>
        <v>1299.4382687221564</v>
      </c>
      <c r="H18" s="350">
        <f t="shared" si="1"/>
        <v>1.438565875558566</v>
      </c>
      <c r="I18" s="357">
        <v>0</v>
      </c>
      <c r="J18" s="383">
        <f t="shared" si="2"/>
        <v>0</v>
      </c>
      <c r="K18" s="330">
        <v>35796</v>
      </c>
      <c r="L18" s="383">
        <f t="shared" si="3"/>
        <v>1</v>
      </c>
      <c r="M18" s="384">
        <v>5</v>
      </c>
      <c r="N18" s="358">
        <f t="shared" si="4"/>
        <v>9.0909090999999993</v>
      </c>
      <c r="O18" s="385">
        <v>35858</v>
      </c>
      <c r="P18" s="383">
        <f t="shared" si="5"/>
        <v>63</v>
      </c>
      <c r="Q18" s="383">
        <f t="shared" si="8"/>
        <v>281.8181821</v>
      </c>
      <c r="R18" s="384">
        <v>9.9361601609657964</v>
      </c>
      <c r="S18" s="358">
        <f t="shared" si="9"/>
        <v>18.065745765276283</v>
      </c>
      <c r="T18" s="330">
        <v>35907</v>
      </c>
      <c r="U18" s="383">
        <f t="shared" si="6"/>
        <v>112</v>
      </c>
      <c r="V18" s="383">
        <f t="shared" si="10"/>
        <v>665.33804419926889</v>
      </c>
      <c r="W18" s="388">
        <v>0</v>
      </c>
      <c r="X18" s="383">
        <f t="shared" si="11"/>
        <v>0</v>
      </c>
      <c r="Y18" s="330">
        <v>35946</v>
      </c>
      <c r="Z18" s="383">
        <f t="shared" si="12"/>
        <v>151</v>
      </c>
      <c r="AA18" s="383">
        <f t="shared" si="13"/>
        <v>352.28204242288751</v>
      </c>
      <c r="AB18" s="389"/>
      <c r="AC18" s="357"/>
      <c r="AD18" s="329"/>
      <c r="AE18" s="390"/>
      <c r="AF18" s="390"/>
      <c r="AT18" s="323"/>
      <c r="AU18" s="323"/>
      <c r="BE18" s="354"/>
      <c r="BF18" s="351"/>
      <c r="BG18" s="350"/>
    </row>
    <row r="19" spans="1:59" ht="22.05" customHeight="1" x14ac:dyDescent="0.4">
      <c r="A19" s="320"/>
      <c r="D19" s="352">
        <v>1999</v>
      </c>
      <c r="E19" s="364">
        <f t="shared" si="0"/>
        <v>265.06964398973736</v>
      </c>
      <c r="F19" s="364">
        <f t="shared" si="7"/>
        <v>212.65284444444444</v>
      </c>
      <c r="G19" s="351">
        <f t="shared" si="14"/>
        <v>13253.482199486869</v>
      </c>
      <c r="H19" s="350">
        <f t="shared" si="1"/>
        <v>1.2464899996152499</v>
      </c>
      <c r="I19" s="357">
        <v>0</v>
      </c>
      <c r="J19" s="383">
        <f t="shared" si="2"/>
        <v>0</v>
      </c>
      <c r="K19" s="330">
        <v>36161</v>
      </c>
      <c r="L19" s="383">
        <f t="shared" si="3"/>
        <v>1</v>
      </c>
      <c r="M19" s="384">
        <v>40</v>
      </c>
      <c r="N19" s="358">
        <f t="shared" si="4"/>
        <v>72.727272799999994</v>
      </c>
      <c r="O19" s="385">
        <v>36227</v>
      </c>
      <c r="P19" s="383">
        <f t="shared" si="5"/>
        <v>67</v>
      </c>
      <c r="Q19" s="383">
        <f t="shared" si="8"/>
        <v>2400.0000023999996</v>
      </c>
      <c r="R19" s="384">
        <v>99.999999900000006</v>
      </c>
      <c r="S19" s="358">
        <f t="shared" si="9"/>
        <v>181.81818181818181</v>
      </c>
      <c r="T19" s="330">
        <v>36258</v>
      </c>
      <c r="U19" s="383">
        <f t="shared" si="6"/>
        <v>98</v>
      </c>
      <c r="V19" s="383">
        <f t="shared" si="10"/>
        <v>3945.4545465818178</v>
      </c>
      <c r="W19" s="388">
        <v>116.95906432748538</v>
      </c>
      <c r="X19" s="358">
        <f t="shared" si="11"/>
        <v>212.65284444444444</v>
      </c>
      <c r="Y19" s="330">
        <v>36272</v>
      </c>
      <c r="Z19" s="383">
        <f t="shared" si="12"/>
        <v>112</v>
      </c>
      <c r="AA19" s="383">
        <f t="shared" si="13"/>
        <v>2761.2971838383837</v>
      </c>
      <c r="AB19" s="389">
        <v>0</v>
      </c>
      <c r="AC19" s="390">
        <f t="shared" si="15"/>
        <v>0</v>
      </c>
      <c r="AD19" s="385">
        <v>36311</v>
      </c>
      <c r="AE19" s="390">
        <f t="shared" si="16"/>
        <v>151</v>
      </c>
      <c r="AF19" s="390">
        <f t="shared" si="17"/>
        <v>4146.7304666666669</v>
      </c>
      <c r="AT19" s="323"/>
      <c r="AU19" s="323"/>
      <c r="BE19" s="354"/>
      <c r="BF19" s="351"/>
      <c r="BG19" s="350"/>
    </row>
    <row r="20" spans="1:59" ht="22.05" customHeight="1" x14ac:dyDescent="0.4">
      <c r="A20" s="320"/>
      <c r="D20" s="352">
        <v>2000</v>
      </c>
      <c r="E20" s="364">
        <f t="shared" si="0"/>
        <v>49.515789612754872</v>
      </c>
      <c r="F20" s="364">
        <f t="shared" si="7"/>
        <v>32.822966679929486</v>
      </c>
      <c r="G20" s="351">
        <f t="shared" si="14"/>
        <v>2475.7894806377435</v>
      </c>
      <c r="H20" s="350">
        <f t="shared" si="1"/>
        <v>1.5085714248685715</v>
      </c>
      <c r="I20" s="357">
        <v>0</v>
      </c>
      <c r="J20" s="383">
        <f t="shared" si="2"/>
        <v>0</v>
      </c>
      <c r="K20" s="330">
        <v>36526</v>
      </c>
      <c r="L20" s="383">
        <f t="shared" si="3"/>
        <v>1</v>
      </c>
      <c r="M20" s="384">
        <v>14</v>
      </c>
      <c r="N20" s="358">
        <f t="shared" si="4"/>
        <v>25.45454548</v>
      </c>
      <c r="O20" s="385">
        <v>36613</v>
      </c>
      <c r="P20" s="383">
        <f t="shared" si="5"/>
        <v>88</v>
      </c>
      <c r="Q20" s="383">
        <f t="shared" si="8"/>
        <v>1107.27272838</v>
      </c>
      <c r="R20" s="384">
        <v>18.052631655908588</v>
      </c>
      <c r="S20" s="358">
        <f t="shared" si="9"/>
        <v>32.822966679929486</v>
      </c>
      <c r="T20" s="330">
        <v>36638</v>
      </c>
      <c r="U20" s="383">
        <f t="shared" si="6"/>
        <v>113</v>
      </c>
      <c r="V20" s="383">
        <f t="shared" si="10"/>
        <v>728.46890199911854</v>
      </c>
      <c r="W20" s="388">
        <v>0</v>
      </c>
      <c r="X20" s="383">
        <f t="shared" si="11"/>
        <v>0</v>
      </c>
      <c r="Y20" s="330">
        <v>36677</v>
      </c>
      <c r="Z20" s="383">
        <f t="shared" si="12"/>
        <v>152</v>
      </c>
      <c r="AA20" s="383">
        <f t="shared" si="13"/>
        <v>640.04785025862498</v>
      </c>
      <c r="AB20" s="389"/>
      <c r="AC20" s="357"/>
      <c r="AD20" s="329"/>
      <c r="AE20" s="390">
        <f t="shared" si="16"/>
        <v>0</v>
      </c>
      <c r="AF20" s="390"/>
      <c r="AT20" s="323"/>
      <c r="AU20" s="323"/>
      <c r="BE20" s="354"/>
      <c r="BF20" s="351"/>
      <c r="BG20" s="350"/>
    </row>
    <row r="21" spans="1:59" ht="22.05" customHeight="1" x14ac:dyDescent="0.4">
      <c r="A21" s="320"/>
      <c r="D21" s="352">
        <v>2001</v>
      </c>
      <c r="E21" s="364">
        <f t="shared" si="0"/>
        <v>233.76810376479105</v>
      </c>
      <c r="F21" s="364">
        <f t="shared" si="7"/>
        <v>138.18181831999999</v>
      </c>
      <c r="G21" s="351">
        <f t="shared" si="14"/>
        <v>11688.405188239552</v>
      </c>
      <c r="H21" s="350">
        <f t="shared" si="1"/>
        <v>1.6917428545008242</v>
      </c>
      <c r="I21" s="357">
        <v>0</v>
      </c>
      <c r="J21" s="383">
        <f t="shared" si="2"/>
        <v>0</v>
      </c>
      <c r="K21" s="330">
        <v>36892</v>
      </c>
      <c r="L21" s="383">
        <f t="shared" si="3"/>
        <v>1</v>
      </c>
      <c r="M21" s="384">
        <v>76</v>
      </c>
      <c r="N21" s="358">
        <f t="shared" si="4"/>
        <v>138.18181831999999</v>
      </c>
      <c r="O21" s="385">
        <v>36962</v>
      </c>
      <c r="P21" s="383">
        <f t="shared" si="5"/>
        <v>71</v>
      </c>
      <c r="Q21" s="383">
        <f t="shared" si="8"/>
        <v>4836.3636411999996</v>
      </c>
      <c r="R21" s="384">
        <v>53.521126707042256</v>
      </c>
      <c r="S21" s="358">
        <f t="shared" si="9"/>
        <v>97.311139564660692</v>
      </c>
      <c r="T21" s="330">
        <v>36987</v>
      </c>
      <c r="U21" s="383">
        <f t="shared" si="6"/>
        <v>96</v>
      </c>
      <c r="V21" s="383">
        <f t="shared" si="10"/>
        <v>2943.6619735582585</v>
      </c>
      <c r="W21" s="388">
        <v>62.597809076682324</v>
      </c>
      <c r="X21" s="358">
        <f t="shared" si="11"/>
        <v>113.81419843505479</v>
      </c>
      <c r="Y21" s="330">
        <v>37003</v>
      </c>
      <c r="Z21" s="383">
        <f t="shared" si="12"/>
        <v>112</v>
      </c>
      <c r="AA21" s="383">
        <f t="shared" si="13"/>
        <v>1689.002703997724</v>
      </c>
      <c r="AB21" s="389">
        <v>0</v>
      </c>
      <c r="AC21" s="390">
        <f t="shared" si="15"/>
        <v>0</v>
      </c>
      <c r="AD21" s="385">
        <v>37042</v>
      </c>
      <c r="AE21" s="390">
        <f t="shared" si="16"/>
        <v>151</v>
      </c>
      <c r="AF21" s="390">
        <f t="shared" si="17"/>
        <v>2219.3768694835685</v>
      </c>
      <c r="AT21" s="323"/>
      <c r="AU21" s="323"/>
      <c r="BE21" s="354"/>
      <c r="BF21" s="351"/>
      <c r="BG21" s="350"/>
    </row>
    <row r="22" spans="1:59" ht="22.05" customHeight="1" x14ac:dyDescent="0.4">
      <c r="A22" s="320"/>
      <c r="D22" s="352">
        <v>2002</v>
      </c>
      <c r="E22" s="364">
        <f t="shared" si="0"/>
        <v>191.21818199485458</v>
      </c>
      <c r="F22" s="364">
        <f t="shared" si="7"/>
        <v>132.72727286</v>
      </c>
      <c r="G22" s="351">
        <f t="shared" si="14"/>
        <v>9560.9090997427284</v>
      </c>
      <c r="H22" s="350">
        <f t="shared" si="1"/>
        <v>1.4406849313972605</v>
      </c>
      <c r="I22" s="357">
        <v>0</v>
      </c>
      <c r="J22" s="383">
        <f t="shared" si="2"/>
        <v>0</v>
      </c>
      <c r="K22" s="330">
        <v>37257</v>
      </c>
      <c r="L22" s="383">
        <f t="shared" si="3"/>
        <v>1</v>
      </c>
      <c r="M22" s="384">
        <v>17</v>
      </c>
      <c r="N22" s="358">
        <f t="shared" si="4"/>
        <v>30.909090939999999</v>
      </c>
      <c r="O22" s="329">
        <v>37274</v>
      </c>
      <c r="P22" s="383">
        <f t="shared" si="5"/>
        <v>18</v>
      </c>
      <c r="Q22" s="383">
        <f t="shared" si="8"/>
        <v>262.72727298999996</v>
      </c>
      <c r="R22" s="384">
        <v>15.999999984</v>
      </c>
      <c r="S22" s="358">
        <f t="shared" si="9"/>
        <v>29.09090909090909</v>
      </c>
      <c r="T22" s="391">
        <v>37300</v>
      </c>
      <c r="U22" s="383">
        <f t="shared" si="6"/>
        <v>44</v>
      </c>
      <c r="V22" s="383">
        <f t="shared" si="10"/>
        <v>780.00000040181817</v>
      </c>
      <c r="W22" s="392">
        <v>46</v>
      </c>
      <c r="X22" s="358">
        <f t="shared" si="11"/>
        <v>83.636363719999991</v>
      </c>
      <c r="Y22" s="391">
        <v>37324</v>
      </c>
      <c r="Z22" s="383">
        <f t="shared" si="12"/>
        <v>68</v>
      </c>
      <c r="AA22" s="383">
        <f t="shared" si="13"/>
        <v>1352.727273730909</v>
      </c>
      <c r="AB22" s="389">
        <v>50</v>
      </c>
      <c r="AC22" s="357">
        <f t="shared" si="15"/>
        <v>90.909091000000004</v>
      </c>
      <c r="AD22" s="329">
        <v>37337</v>
      </c>
      <c r="AE22" s="390">
        <f t="shared" si="16"/>
        <v>81</v>
      </c>
      <c r="AF22" s="390">
        <f>((AC22+X22)/2)*(AE22-Z22)</f>
        <v>1134.54545568</v>
      </c>
      <c r="AG22" s="386">
        <v>73</v>
      </c>
      <c r="AH22" s="357">
        <f>(AG22*1.81818182)</f>
        <v>132.72727286</v>
      </c>
      <c r="AI22" s="329">
        <v>37372</v>
      </c>
      <c r="AJ22" s="390">
        <f>AI22-DATE(YEAR(AI22),1,1)+1</f>
        <v>116</v>
      </c>
      <c r="AK22" s="390">
        <f>((AH22+AC22)/2)*(AJ22-AE22)</f>
        <v>3913.6363675500002</v>
      </c>
      <c r="AL22" s="386">
        <v>29</v>
      </c>
      <c r="AM22" s="357">
        <f>(AL22*1.81818182)</f>
        <v>52.72727278</v>
      </c>
      <c r="AN22" s="329">
        <v>37390</v>
      </c>
      <c r="AO22" s="390">
        <f>AN22-DATE(YEAR(AN22),1,1)+1</f>
        <v>134</v>
      </c>
      <c r="AP22" s="390">
        <f>((AM22+AH22)/2)*(AO22-AJ22)</f>
        <v>1669.09091076</v>
      </c>
      <c r="AQ22" s="386">
        <v>0</v>
      </c>
      <c r="AR22" s="387">
        <f>(AQ22*1.81818182)</f>
        <v>0</v>
      </c>
      <c r="AS22" s="329">
        <v>37407</v>
      </c>
      <c r="AT22" s="323">
        <f>AS22-DATE(YEAR(AS22),1,1)+1</f>
        <v>151</v>
      </c>
      <c r="AU22" s="324">
        <f>((AR22+AM22)/2)*(AT22-AO22)</f>
        <v>448.18181863000001</v>
      </c>
      <c r="BE22" s="354"/>
      <c r="BF22" s="351"/>
      <c r="BG22" s="350"/>
    </row>
    <row r="23" spans="1:59" ht="22.05" customHeight="1" x14ac:dyDescent="0.4">
      <c r="A23" s="320"/>
      <c r="D23" s="352">
        <v>2003</v>
      </c>
      <c r="E23" s="364">
        <f t="shared" si="0"/>
        <v>127.09090920210907</v>
      </c>
      <c r="F23" s="364">
        <f t="shared" si="7"/>
        <v>90.909091000000004</v>
      </c>
      <c r="G23" s="351">
        <f t="shared" si="14"/>
        <v>6354.5454601054535</v>
      </c>
      <c r="H23" s="350">
        <f t="shared" si="1"/>
        <v>1.3979999998251997</v>
      </c>
      <c r="I23" s="357">
        <v>0</v>
      </c>
      <c r="J23" s="383">
        <f t="shared" si="2"/>
        <v>0</v>
      </c>
      <c r="K23" s="330">
        <v>37622</v>
      </c>
      <c r="L23" s="383">
        <f t="shared" si="3"/>
        <v>1</v>
      </c>
      <c r="M23" s="384">
        <v>5</v>
      </c>
      <c r="N23" s="358">
        <f t="shared" si="4"/>
        <v>9.0909090999999993</v>
      </c>
      <c r="O23" s="329">
        <v>37641</v>
      </c>
      <c r="P23" s="383">
        <f t="shared" si="5"/>
        <v>20</v>
      </c>
      <c r="Q23" s="383">
        <f t="shared" si="8"/>
        <v>86.363636449999987</v>
      </c>
      <c r="R23" s="384">
        <v>18.999999980999998</v>
      </c>
      <c r="S23" s="358">
        <f t="shared" si="9"/>
        <v>34.54545454545454</v>
      </c>
      <c r="T23" s="391">
        <v>37664</v>
      </c>
      <c r="U23" s="383">
        <f t="shared" si="6"/>
        <v>43</v>
      </c>
      <c r="V23" s="383">
        <f t="shared" si="10"/>
        <v>501.81818192272715</v>
      </c>
      <c r="W23" s="392">
        <v>21</v>
      </c>
      <c r="X23" s="358">
        <f t="shared" si="11"/>
        <v>38.181818219999997</v>
      </c>
      <c r="Y23" s="391">
        <v>37687</v>
      </c>
      <c r="Z23" s="383">
        <f t="shared" si="12"/>
        <v>66</v>
      </c>
      <c r="AA23" s="383">
        <f t="shared" si="13"/>
        <v>836.36363680272711</v>
      </c>
      <c r="AB23" s="389">
        <v>46</v>
      </c>
      <c r="AC23" s="357">
        <f t="shared" si="15"/>
        <v>83.636363719999991</v>
      </c>
      <c r="AD23" s="329">
        <v>37718</v>
      </c>
      <c r="AE23" s="390">
        <f t="shared" si="16"/>
        <v>97</v>
      </c>
      <c r="AF23" s="390">
        <f t="shared" si="17"/>
        <v>1888.1818200699997</v>
      </c>
      <c r="AG23" s="386">
        <v>50</v>
      </c>
      <c r="AH23" s="357">
        <f t="shared" ref="AH23:AH51" si="18">(AG23*1.81818182)</f>
        <v>90.909091000000004</v>
      </c>
      <c r="AI23" s="329">
        <v>37734</v>
      </c>
      <c r="AJ23" s="390">
        <f t="shared" ref="AJ23:AJ51" si="19">AI23-DATE(YEAR(AI23),1,1)+1</f>
        <v>113</v>
      </c>
      <c r="AK23" s="390">
        <f t="shared" ref="AK23:AK51" si="20">((AH23+AC23)/2)*(AJ23-AE23)</f>
        <v>1396.3636377600001</v>
      </c>
      <c r="AL23" s="386">
        <v>20</v>
      </c>
      <c r="AM23" s="357">
        <f>(AL23*1.81818182)</f>
        <v>36.363636399999997</v>
      </c>
      <c r="AN23" s="329">
        <v>37755</v>
      </c>
      <c r="AO23" s="390">
        <f t="shared" ref="AO23:AO51" si="21">AN23-DATE(YEAR(AN23),1,1)+1</f>
        <v>134</v>
      </c>
      <c r="AP23" s="390">
        <f t="shared" ref="AP23:AP51" si="22">((AM23+AH23)/2)*(AO23-AJ23)</f>
        <v>1336.3636377</v>
      </c>
      <c r="AQ23" s="386">
        <v>0</v>
      </c>
      <c r="AR23" s="387">
        <f>(AQ23*1.81818182)</f>
        <v>0</v>
      </c>
      <c r="AS23" s="329">
        <v>37772</v>
      </c>
      <c r="AT23" s="323">
        <f t="shared" ref="AT23:AT51" si="23">AS23-DATE(YEAR(AS23),1,1)+1</f>
        <v>151</v>
      </c>
      <c r="AU23" s="324">
        <f t="shared" ref="AU23:AU51" si="24">((AR23+AM23)/2)*(AT23-AO23)</f>
        <v>309.09090939999999</v>
      </c>
      <c r="BE23" s="354"/>
      <c r="BF23" s="351"/>
      <c r="BG23" s="350"/>
    </row>
    <row r="24" spans="1:59" ht="22.05" customHeight="1" x14ac:dyDescent="0.4">
      <c r="A24" s="320"/>
      <c r="D24" s="352">
        <v>2004</v>
      </c>
      <c r="E24" s="364">
        <f t="shared" si="0"/>
        <v>111.12727282045456</v>
      </c>
      <c r="F24" s="364">
        <f t="shared" si="7"/>
        <v>81.818181899999999</v>
      </c>
      <c r="G24" s="351">
        <f t="shared" si="14"/>
        <v>5556.3636410227282</v>
      </c>
      <c r="H24" s="350">
        <f t="shared" si="1"/>
        <v>1.3582222220028892</v>
      </c>
      <c r="I24" s="357">
        <v>0</v>
      </c>
      <c r="J24" s="383">
        <f t="shared" si="2"/>
        <v>0</v>
      </c>
      <c r="K24" s="330">
        <v>37987</v>
      </c>
      <c r="L24" s="383">
        <f t="shared" si="3"/>
        <v>1</v>
      </c>
      <c r="M24" s="384">
        <v>6</v>
      </c>
      <c r="N24" s="358">
        <f t="shared" si="4"/>
        <v>10.909090920000001</v>
      </c>
      <c r="O24" s="329">
        <v>38022</v>
      </c>
      <c r="P24" s="383">
        <f t="shared" si="5"/>
        <v>36</v>
      </c>
      <c r="Q24" s="383">
        <f t="shared" si="8"/>
        <v>190.90909110000001</v>
      </c>
      <c r="R24" s="384">
        <v>20.999999978999998</v>
      </c>
      <c r="S24" s="358">
        <f t="shared" si="9"/>
        <v>38.18181818181818</v>
      </c>
      <c r="T24" s="391">
        <v>38048</v>
      </c>
      <c r="U24" s="383">
        <f t="shared" si="6"/>
        <v>62</v>
      </c>
      <c r="V24" s="383">
        <f t="shared" si="10"/>
        <v>638.18181832363643</v>
      </c>
      <c r="W24" s="392">
        <v>24</v>
      </c>
      <c r="X24" s="358">
        <f t="shared" si="11"/>
        <v>43.636363680000002</v>
      </c>
      <c r="Y24" s="391">
        <v>38069</v>
      </c>
      <c r="Z24" s="383">
        <f t="shared" si="12"/>
        <v>83</v>
      </c>
      <c r="AA24" s="383">
        <f t="shared" si="13"/>
        <v>859.09090954909084</v>
      </c>
      <c r="AB24" s="389">
        <v>45</v>
      </c>
      <c r="AC24" s="357">
        <f t="shared" si="15"/>
        <v>81.818181899999999</v>
      </c>
      <c r="AD24" s="329">
        <v>38091</v>
      </c>
      <c r="AE24" s="390">
        <f t="shared" si="16"/>
        <v>105</v>
      </c>
      <c r="AF24" s="390">
        <f t="shared" si="17"/>
        <v>1380.00000138</v>
      </c>
      <c r="AG24" s="386">
        <v>41</v>
      </c>
      <c r="AH24" s="357">
        <f t="shared" si="18"/>
        <v>74.545454620000001</v>
      </c>
      <c r="AI24" s="329">
        <v>38106</v>
      </c>
      <c r="AJ24" s="390">
        <f t="shared" si="19"/>
        <v>120</v>
      </c>
      <c r="AK24" s="390">
        <f t="shared" si="20"/>
        <v>1172.7272739</v>
      </c>
      <c r="AL24" s="386">
        <v>26</v>
      </c>
      <c r="AM24" s="357">
        <f>(AL24*1.81818182)</f>
        <v>47.272727320000001</v>
      </c>
      <c r="AN24" s="329">
        <v>38121</v>
      </c>
      <c r="AO24" s="390">
        <f t="shared" si="21"/>
        <v>135</v>
      </c>
      <c r="AP24" s="390">
        <f t="shared" si="22"/>
        <v>913.63636455000005</v>
      </c>
      <c r="AQ24" s="386">
        <v>0</v>
      </c>
      <c r="AR24" s="387">
        <f>(AQ24*1.81818182)</f>
        <v>0</v>
      </c>
      <c r="AS24" s="329">
        <v>38138</v>
      </c>
      <c r="AT24" s="323">
        <f t="shared" si="23"/>
        <v>152</v>
      </c>
      <c r="AU24" s="324">
        <f t="shared" si="24"/>
        <v>401.81818222000004</v>
      </c>
      <c r="BE24" s="354"/>
      <c r="BF24" s="351"/>
      <c r="BG24" s="350"/>
    </row>
    <row r="25" spans="1:59" ht="22.05" customHeight="1" x14ac:dyDescent="0.4">
      <c r="A25" s="320"/>
      <c r="D25" s="352">
        <v>2005</v>
      </c>
      <c r="E25" s="364">
        <f t="shared" si="0"/>
        <v>144.43636374414541</v>
      </c>
      <c r="F25" s="364">
        <f t="shared" si="7"/>
        <v>110.90909101999999</v>
      </c>
      <c r="G25" s="351">
        <f t="shared" si="14"/>
        <v>7221.818187207271</v>
      </c>
      <c r="H25" s="350">
        <f t="shared" si="1"/>
        <v>1.3022950816367209</v>
      </c>
      <c r="I25" s="357">
        <v>0</v>
      </c>
      <c r="J25" s="383">
        <f t="shared" si="2"/>
        <v>0</v>
      </c>
      <c r="K25" s="330">
        <v>38353</v>
      </c>
      <c r="L25" s="383">
        <f t="shared" si="3"/>
        <v>1</v>
      </c>
      <c r="M25" s="384">
        <v>9</v>
      </c>
      <c r="N25" s="358">
        <f t="shared" si="4"/>
        <v>16.363636379999999</v>
      </c>
      <c r="O25" s="329">
        <v>38394</v>
      </c>
      <c r="P25" s="383">
        <f t="shared" si="5"/>
        <v>42</v>
      </c>
      <c r="Q25" s="383">
        <f t="shared" si="8"/>
        <v>335.45454579</v>
      </c>
      <c r="R25" s="384">
        <v>31.999999968000001</v>
      </c>
      <c r="S25" s="358">
        <f t="shared" si="9"/>
        <v>58.18181818181818</v>
      </c>
      <c r="T25" s="391">
        <v>38419</v>
      </c>
      <c r="U25" s="383">
        <f t="shared" si="6"/>
        <v>67</v>
      </c>
      <c r="V25" s="383">
        <f t="shared" si="10"/>
        <v>931.81818202272723</v>
      </c>
      <c r="W25" s="392">
        <v>61</v>
      </c>
      <c r="X25" s="358">
        <f t="shared" si="11"/>
        <v>110.90909101999999</v>
      </c>
      <c r="Y25" s="391">
        <v>38457</v>
      </c>
      <c r="Z25" s="383">
        <f t="shared" si="12"/>
        <v>105</v>
      </c>
      <c r="AA25" s="383">
        <f t="shared" si="13"/>
        <v>3212.7272748345449</v>
      </c>
      <c r="AB25" s="389">
        <v>47</v>
      </c>
      <c r="AC25" s="357">
        <f t="shared" si="15"/>
        <v>85.454545539999998</v>
      </c>
      <c r="AD25" s="329">
        <v>38471</v>
      </c>
      <c r="AE25" s="390">
        <f t="shared" si="16"/>
        <v>119</v>
      </c>
      <c r="AF25" s="390">
        <f t="shared" si="17"/>
        <v>1374.5454559199998</v>
      </c>
      <c r="AG25" s="386">
        <v>0</v>
      </c>
      <c r="AH25" s="390">
        <f t="shared" si="18"/>
        <v>0</v>
      </c>
      <c r="AI25" s="329">
        <v>38503</v>
      </c>
      <c r="AJ25" s="390">
        <f t="shared" si="19"/>
        <v>151</v>
      </c>
      <c r="AK25" s="390">
        <f t="shared" si="20"/>
        <v>1367.27272864</v>
      </c>
      <c r="AM25" s="357"/>
      <c r="AN25" s="329"/>
      <c r="AO25" s="390"/>
      <c r="AP25" s="390"/>
      <c r="AR25" s="387">
        <f t="shared" ref="AR25:AR51" si="25">(AQ25*1.81818182)</f>
        <v>0</v>
      </c>
      <c r="AT25" s="323">
        <f t="shared" si="23"/>
        <v>0</v>
      </c>
      <c r="AU25" s="324"/>
      <c r="BE25" s="354"/>
      <c r="BF25" s="351"/>
      <c r="BG25" s="350"/>
    </row>
    <row r="26" spans="1:59" ht="22.05" customHeight="1" x14ac:dyDescent="0.4">
      <c r="A26" s="320"/>
      <c r="D26" s="352">
        <v>2006</v>
      </c>
      <c r="E26" s="364">
        <f t="shared" si="0"/>
        <v>211.94545469625456</v>
      </c>
      <c r="F26" s="364">
        <f t="shared" si="7"/>
        <v>112.72727284</v>
      </c>
      <c r="G26" s="351">
        <f t="shared" si="14"/>
        <v>10597.272734812728</v>
      </c>
      <c r="H26" s="350">
        <f t="shared" si="1"/>
        <v>1.8801612897801614</v>
      </c>
      <c r="I26" s="357">
        <v>0</v>
      </c>
      <c r="J26" s="383">
        <f t="shared" si="2"/>
        <v>0</v>
      </c>
      <c r="K26" s="330">
        <v>38718</v>
      </c>
      <c r="L26" s="383">
        <f t="shared" si="3"/>
        <v>1</v>
      </c>
      <c r="M26" s="384">
        <v>32</v>
      </c>
      <c r="N26" s="358">
        <f t="shared" si="4"/>
        <v>58.181818239999998</v>
      </c>
      <c r="O26" s="329">
        <v>38763</v>
      </c>
      <c r="P26" s="383">
        <f t="shared" si="5"/>
        <v>46</v>
      </c>
      <c r="Q26" s="383">
        <f t="shared" si="8"/>
        <v>1309.0909104</v>
      </c>
      <c r="R26" s="384">
        <v>58.999999940999999</v>
      </c>
      <c r="S26" s="358">
        <f t="shared" si="9"/>
        <v>107.27272727272727</v>
      </c>
      <c r="T26" s="391">
        <v>38797</v>
      </c>
      <c r="U26" s="383">
        <f t="shared" si="6"/>
        <v>80</v>
      </c>
      <c r="V26" s="383">
        <f t="shared" si="10"/>
        <v>2812.7272737163635</v>
      </c>
      <c r="W26" s="392">
        <v>62</v>
      </c>
      <c r="X26" s="358">
        <f t="shared" si="11"/>
        <v>112.72727284</v>
      </c>
      <c r="Y26" s="391">
        <v>38820</v>
      </c>
      <c r="Z26" s="383">
        <f t="shared" si="12"/>
        <v>103</v>
      </c>
      <c r="AA26" s="383">
        <f t="shared" si="13"/>
        <v>2530.0000012963637</v>
      </c>
      <c r="AB26" s="389">
        <v>62</v>
      </c>
      <c r="AC26" s="357">
        <f t="shared" si="15"/>
        <v>112.72727284</v>
      </c>
      <c r="AD26" s="329">
        <v>38842</v>
      </c>
      <c r="AE26" s="390">
        <f t="shared" si="16"/>
        <v>125</v>
      </c>
      <c r="AF26" s="390">
        <f t="shared" si="17"/>
        <v>2480.0000024800001</v>
      </c>
      <c r="AG26" s="386">
        <v>0</v>
      </c>
      <c r="AH26" s="390">
        <f t="shared" si="18"/>
        <v>0</v>
      </c>
      <c r="AI26" s="329">
        <v>38868</v>
      </c>
      <c r="AJ26" s="390">
        <f t="shared" si="19"/>
        <v>151</v>
      </c>
      <c r="AK26" s="390">
        <f t="shared" si="20"/>
        <v>1465.45454692</v>
      </c>
      <c r="AM26" s="357"/>
      <c r="AN26" s="357"/>
      <c r="AO26" s="390"/>
      <c r="AP26" s="390"/>
      <c r="AR26" s="387">
        <f t="shared" si="25"/>
        <v>0</v>
      </c>
      <c r="AT26" s="323">
        <f t="shared" si="23"/>
        <v>0</v>
      </c>
      <c r="AU26" s="324"/>
      <c r="BE26" s="354"/>
      <c r="BF26" s="351"/>
      <c r="BG26" s="350"/>
    </row>
    <row r="27" spans="1:59" ht="22.05" customHeight="1" x14ac:dyDescent="0.4">
      <c r="A27" s="320"/>
      <c r="D27" s="352">
        <v>2007</v>
      </c>
      <c r="E27" s="364">
        <f t="shared" si="0"/>
        <v>148.1090910062909</v>
      </c>
      <c r="F27" s="364">
        <f t="shared" si="7"/>
        <v>109.0909092</v>
      </c>
      <c r="G27" s="351">
        <f t="shared" si="14"/>
        <v>7405.4545503145455</v>
      </c>
      <c r="H27" s="350">
        <f t="shared" si="1"/>
        <v>1.3576666661999999</v>
      </c>
      <c r="I27" s="357">
        <v>0</v>
      </c>
      <c r="J27" s="383">
        <f t="shared" si="2"/>
        <v>0</v>
      </c>
      <c r="K27" s="330">
        <v>39083</v>
      </c>
      <c r="L27" s="383">
        <f t="shared" si="3"/>
        <v>1</v>
      </c>
      <c r="M27" s="384">
        <v>18</v>
      </c>
      <c r="N27" s="358">
        <f t="shared" si="4"/>
        <v>32.727272759999998</v>
      </c>
      <c r="O27" s="329">
        <v>39136</v>
      </c>
      <c r="P27" s="383">
        <f t="shared" si="5"/>
        <v>54</v>
      </c>
      <c r="Q27" s="383">
        <f t="shared" si="8"/>
        <v>867.27272813999991</v>
      </c>
      <c r="R27" s="384">
        <v>49.999999950000003</v>
      </c>
      <c r="S27" s="358">
        <f t="shared" si="9"/>
        <v>90.909090909090907</v>
      </c>
      <c r="T27" s="391">
        <v>39170</v>
      </c>
      <c r="U27" s="383">
        <f t="shared" si="6"/>
        <v>88</v>
      </c>
      <c r="V27" s="383">
        <f t="shared" si="10"/>
        <v>2101.8181823745454</v>
      </c>
      <c r="W27" s="392">
        <v>60</v>
      </c>
      <c r="X27" s="358">
        <f t="shared" si="11"/>
        <v>109.0909092</v>
      </c>
      <c r="Y27" s="391">
        <v>39192</v>
      </c>
      <c r="Z27" s="383">
        <f t="shared" si="12"/>
        <v>110</v>
      </c>
      <c r="AA27" s="383">
        <f t="shared" si="13"/>
        <v>2200.0000012</v>
      </c>
      <c r="AB27" s="389">
        <v>0</v>
      </c>
      <c r="AC27" s="390">
        <f t="shared" si="15"/>
        <v>0</v>
      </c>
      <c r="AD27" s="329">
        <v>39233</v>
      </c>
      <c r="AE27" s="390">
        <f t="shared" si="16"/>
        <v>151</v>
      </c>
      <c r="AF27" s="390">
        <f t="shared" si="17"/>
        <v>2236.3636385999998</v>
      </c>
      <c r="AH27" s="390"/>
      <c r="AI27" s="329"/>
      <c r="AJ27" s="390"/>
      <c r="AK27" s="390"/>
      <c r="AM27" s="357"/>
      <c r="AN27" s="357"/>
      <c r="AO27" s="390"/>
      <c r="AP27" s="390"/>
      <c r="AR27" s="387">
        <f t="shared" si="25"/>
        <v>0</v>
      </c>
      <c r="AT27" s="323">
        <f t="shared" si="23"/>
        <v>0</v>
      </c>
      <c r="AU27" s="324"/>
      <c r="BE27" s="354"/>
      <c r="BF27" s="351"/>
      <c r="BG27" s="350"/>
    </row>
    <row r="28" spans="1:59" ht="22.05" customHeight="1" x14ac:dyDescent="0.4">
      <c r="A28" s="320"/>
      <c r="D28" s="352">
        <v>2008</v>
      </c>
      <c r="E28" s="364">
        <f t="shared" si="0"/>
        <v>60.981818216836366</v>
      </c>
      <c r="F28" s="364">
        <f t="shared" si="7"/>
        <v>32.727272759999998</v>
      </c>
      <c r="G28" s="351">
        <f t="shared" si="14"/>
        <v>3049.0909108418182</v>
      </c>
      <c r="H28" s="350">
        <f t="shared" si="1"/>
        <v>1.8633333325400001</v>
      </c>
      <c r="I28" s="357">
        <v>0</v>
      </c>
      <c r="J28" s="383">
        <f t="shared" si="2"/>
        <v>0</v>
      </c>
      <c r="K28" s="330">
        <v>39448</v>
      </c>
      <c r="L28" s="383">
        <f t="shared" si="3"/>
        <v>1</v>
      </c>
      <c r="M28" s="384">
        <v>18</v>
      </c>
      <c r="N28" s="358">
        <f t="shared" si="4"/>
        <v>32.727272759999998</v>
      </c>
      <c r="O28" s="329">
        <v>39515</v>
      </c>
      <c r="P28" s="383">
        <f t="shared" si="5"/>
        <v>68</v>
      </c>
      <c r="Q28" s="383">
        <f t="shared" si="8"/>
        <v>1096.3636374599998</v>
      </c>
      <c r="R28" s="384">
        <v>16.999999982999999</v>
      </c>
      <c r="S28" s="358">
        <f t="shared" si="9"/>
        <v>30.909090909090907</v>
      </c>
      <c r="T28" s="391">
        <v>39555</v>
      </c>
      <c r="U28" s="383">
        <f t="shared" si="6"/>
        <v>108</v>
      </c>
      <c r="V28" s="383">
        <f t="shared" si="10"/>
        <v>1272.7272733818181</v>
      </c>
      <c r="W28" s="392">
        <v>0</v>
      </c>
      <c r="X28" s="383">
        <f t="shared" si="11"/>
        <v>0</v>
      </c>
      <c r="Y28" s="391">
        <v>39599</v>
      </c>
      <c r="Z28" s="383">
        <f t="shared" si="12"/>
        <v>152</v>
      </c>
      <c r="AA28" s="383">
        <f t="shared" si="13"/>
        <v>680</v>
      </c>
      <c r="AB28" s="389"/>
      <c r="AC28" s="357"/>
      <c r="AD28" s="357"/>
      <c r="AE28" s="390"/>
      <c r="AF28" s="390"/>
      <c r="AH28" s="390"/>
      <c r="AI28" s="329"/>
      <c r="AJ28" s="390"/>
      <c r="AK28" s="390"/>
      <c r="AM28" s="357"/>
      <c r="AN28" s="357"/>
      <c r="AO28" s="390"/>
      <c r="AP28" s="390"/>
      <c r="AR28" s="387">
        <f t="shared" si="25"/>
        <v>0</v>
      </c>
      <c r="AT28" s="323">
        <f t="shared" si="23"/>
        <v>0</v>
      </c>
      <c r="AU28" s="324"/>
      <c r="BE28" s="354"/>
      <c r="BF28" s="351"/>
      <c r="BG28" s="350"/>
    </row>
    <row r="29" spans="1:59" ht="22.05" customHeight="1" x14ac:dyDescent="0.4">
      <c r="A29" s="320"/>
      <c r="D29" s="352">
        <v>2009</v>
      </c>
      <c r="E29" s="364">
        <f t="shared" si="0"/>
        <v>96.218181868799988</v>
      </c>
      <c r="F29" s="364">
        <f t="shared" si="7"/>
        <v>69.090909090909079</v>
      </c>
      <c r="G29" s="351">
        <f t="shared" si="14"/>
        <v>4810.9090934399992</v>
      </c>
      <c r="H29" s="350">
        <f t="shared" si="1"/>
        <v>1.39263157968</v>
      </c>
      <c r="I29" s="357">
        <v>0</v>
      </c>
      <c r="J29" s="383">
        <f t="shared" si="2"/>
        <v>0</v>
      </c>
      <c r="K29" s="330">
        <v>39814</v>
      </c>
      <c r="L29" s="383">
        <f t="shared" si="3"/>
        <v>1</v>
      </c>
      <c r="M29" s="384">
        <v>24</v>
      </c>
      <c r="N29" s="358">
        <f t="shared" si="4"/>
        <v>43.636363680000002</v>
      </c>
      <c r="O29" s="329">
        <v>39898</v>
      </c>
      <c r="P29" s="383">
        <f t="shared" si="5"/>
        <v>85</v>
      </c>
      <c r="Q29" s="383">
        <f t="shared" si="8"/>
        <v>1832.7272745600001</v>
      </c>
      <c r="R29" s="384">
        <v>37.999999961999997</v>
      </c>
      <c r="S29" s="358">
        <f t="shared" si="9"/>
        <v>69.090909090909079</v>
      </c>
      <c r="T29" s="391">
        <v>39930</v>
      </c>
      <c r="U29" s="383">
        <f t="shared" si="6"/>
        <v>117</v>
      </c>
      <c r="V29" s="383">
        <f t="shared" si="10"/>
        <v>1803.6363643345453</v>
      </c>
      <c r="W29" s="392">
        <v>0</v>
      </c>
      <c r="X29" s="383">
        <f t="shared" si="11"/>
        <v>0</v>
      </c>
      <c r="Y29" s="391">
        <v>39964</v>
      </c>
      <c r="Z29" s="383">
        <f t="shared" si="12"/>
        <v>151</v>
      </c>
      <c r="AA29" s="383">
        <f t="shared" si="13"/>
        <v>1174.5454545454543</v>
      </c>
      <c r="AB29" s="389"/>
      <c r="AC29" s="357"/>
      <c r="AD29" s="357"/>
      <c r="AE29" s="390"/>
      <c r="AF29" s="390"/>
      <c r="AH29" s="390"/>
      <c r="AI29" s="329"/>
      <c r="AJ29" s="390"/>
      <c r="AK29" s="390"/>
      <c r="AM29" s="357"/>
      <c r="AN29" s="357"/>
      <c r="AO29" s="390"/>
      <c r="AP29" s="390"/>
      <c r="AR29" s="387">
        <f t="shared" si="25"/>
        <v>0</v>
      </c>
      <c r="AT29" s="323">
        <f t="shared" si="23"/>
        <v>0</v>
      </c>
      <c r="AU29" s="324"/>
      <c r="BE29" s="354"/>
      <c r="BF29" s="351"/>
      <c r="BG29" s="350"/>
    </row>
    <row r="30" spans="1:59" ht="22.05" customHeight="1" x14ac:dyDescent="0.4">
      <c r="A30" s="320"/>
      <c r="D30" s="352">
        <v>2010</v>
      </c>
      <c r="E30" s="364">
        <f t="shared" si="0"/>
        <v>159.92727280669089</v>
      </c>
      <c r="F30" s="364">
        <f t="shared" si="7"/>
        <v>98.181818181818173</v>
      </c>
      <c r="G30" s="351">
        <f t="shared" si="14"/>
        <v>7996.3636403345445</v>
      </c>
      <c r="H30" s="350">
        <f t="shared" si="1"/>
        <v>1.6288888896977778</v>
      </c>
      <c r="I30" s="357">
        <v>0</v>
      </c>
      <c r="J30" s="383">
        <f t="shared" si="2"/>
        <v>0</v>
      </c>
      <c r="K30" s="330">
        <v>40179</v>
      </c>
      <c r="L30" s="383">
        <f t="shared" si="3"/>
        <v>1</v>
      </c>
      <c r="M30" s="384">
        <v>42</v>
      </c>
      <c r="N30" s="358">
        <f t="shared" si="4"/>
        <v>76.363636439999993</v>
      </c>
      <c r="O30" s="329">
        <v>40247</v>
      </c>
      <c r="P30" s="383">
        <f t="shared" si="5"/>
        <v>69</v>
      </c>
      <c r="Q30" s="383">
        <f t="shared" si="8"/>
        <v>2596.3636389599997</v>
      </c>
      <c r="R30" s="384">
        <v>53.999999945999996</v>
      </c>
      <c r="S30" s="358">
        <f t="shared" si="9"/>
        <v>98.181818181818173</v>
      </c>
      <c r="T30" s="391">
        <v>40283</v>
      </c>
      <c r="U30" s="383">
        <f t="shared" si="6"/>
        <v>105</v>
      </c>
      <c r="V30" s="383">
        <f t="shared" si="10"/>
        <v>3141.8181831927272</v>
      </c>
      <c r="W30" s="392">
        <v>0</v>
      </c>
      <c r="X30" s="383">
        <f t="shared" si="11"/>
        <v>0</v>
      </c>
      <c r="Y30" s="391">
        <v>40329</v>
      </c>
      <c r="Z30" s="383">
        <f t="shared" si="12"/>
        <v>151</v>
      </c>
      <c r="AA30" s="383">
        <f t="shared" si="13"/>
        <v>2258.181818181818</v>
      </c>
      <c r="AB30" s="389"/>
      <c r="AC30" s="357"/>
      <c r="AD30" s="357"/>
      <c r="AE30" s="390"/>
      <c r="AF30" s="390"/>
      <c r="AH30" s="390"/>
      <c r="AI30" s="390"/>
      <c r="AJ30" s="390"/>
      <c r="AK30" s="390"/>
      <c r="AM30" s="357"/>
      <c r="AN30" s="357"/>
      <c r="AO30" s="390"/>
      <c r="AP30" s="390"/>
      <c r="AR30" s="387">
        <f t="shared" si="25"/>
        <v>0</v>
      </c>
      <c r="AT30" s="323">
        <f t="shared" si="23"/>
        <v>0</v>
      </c>
      <c r="AU30" s="324"/>
      <c r="BE30" s="354"/>
      <c r="BF30" s="351"/>
      <c r="BG30" s="350"/>
    </row>
    <row r="31" spans="1:59" ht="22.05" customHeight="1" x14ac:dyDescent="0.4">
      <c r="A31" s="320"/>
      <c r="D31" s="352">
        <v>2011</v>
      </c>
      <c r="E31" s="364">
        <f t="shared" si="0"/>
        <v>253.38181831534544</v>
      </c>
      <c r="F31" s="364">
        <f t="shared" si="7"/>
        <v>187.27272727272725</v>
      </c>
      <c r="G31" s="351">
        <f t="shared" si="14"/>
        <v>12669.090915767272</v>
      </c>
      <c r="H31" s="350">
        <f t="shared" si="1"/>
        <v>1.353009709450874</v>
      </c>
      <c r="I31" s="357">
        <v>0</v>
      </c>
      <c r="J31" s="383">
        <f t="shared" si="2"/>
        <v>0</v>
      </c>
      <c r="K31" s="330">
        <v>40544</v>
      </c>
      <c r="L31" s="383">
        <f t="shared" si="3"/>
        <v>1</v>
      </c>
      <c r="M31" s="384">
        <v>68</v>
      </c>
      <c r="N31" s="358">
        <f t="shared" si="4"/>
        <v>123.63636375999999</v>
      </c>
      <c r="O31" s="329">
        <v>40630</v>
      </c>
      <c r="P31" s="383">
        <f t="shared" si="5"/>
        <v>87</v>
      </c>
      <c r="Q31" s="383">
        <f t="shared" si="8"/>
        <v>5316.36364168</v>
      </c>
      <c r="R31" s="384">
        <v>102.999999897</v>
      </c>
      <c r="S31" s="358">
        <f t="shared" si="9"/>
        <v>187.27272727272725</v>
      </c>
      <c r="T31" s="391">
        <v>40652</v>
      </c>
      <c r="U31" s="383">
        <f t="shared" si="6"/>
        <v>109</v>
      </c>
      <c r="V31" s="383">
        <f t="shared" si="10"/>
        <v>3420.0000013599997</v>
      </c>
      <c r="W31" s="392">
        <v>0</v>
      </c>
      <c r="X31" s="383">
        <f t="shared" si="11"/>
        <v>0</v>
      </c>
      <c r="Y31" s="391">
        <v>40694</v>
      </c>
      <c r="Z31" s="383">
        <f t="shared" si="12"/>
        <v>151</v>
      </c>
      <c r="AA31" s="383">
        <f t="shared" si="13"/>
        <v>3932.7272727272721</v>
      </c>
      <c r="AB31" s="389"/>
      <c r="AC31" s="357"/>
      <c r="AD31" s="357"/>
      <c r="AE31" s="390"/>
      <c r="AF31" s="390"/>
      <c r="AH31" s="390"/>
      <c r="AI31" s="390"/>
      <c r="AJ31" s="390"/>
      <c r="AK31" s="390"/>
      <c r="AM31" s="357"/>
      <c r="AN31" s="357"/>
      <c r="AO31" s="390"/>
      <c r="AP31" s="390"/>
      <c r="AR31" s="387">
        <f t="shared" si="25"/>
        <v>0</v>
      </c>
      <c r="AT31" s="323">
        <f t="shared" si="23"/>
        <v>0</v>
      </c>
      <c r="AU31" s="324"/>
      <c r="BE31" s="354"/>
      <c r="BF31" s="351"/>
      <c r="BG31" s="350"/>
    </row>
    <row r="32" spans="1:59" ht="22.05" customHeight="1" x14ac:dyDescent="0.4">
      <c r="A32" s="320"/>
      <c r="D32" s="352">
        <v>2012</v>
      </c>
      <c r="E32" s="364">
        <f t="shared" si="0"/>
        <v>140.1636364718909</v>
      </c>
      <c r="F32" s="364">
        <f t="shared" si="7"/>
        <v>76.363636439999993</v>
      </c>
      <c r="G32" s="351">
        <f t="shared" si="14"/>
        <v>7008.1818235945448</v>
      </c>
      <c r="H32" s="350">
        <f t="shared" si="1"/>
        <v>1.8354761900583334</v>
      </c>
      <c r="I32" s="357">
        <v>0</v>
      </c>
      <c r="J32" s="383">
        <f t="shared" si="2"/>
        <v>0</v>
      </c>
      <c r="K32" s="330">
        <v>40909</v>
      </c>
      <c r="L32" s="383">
        <f t="shared" si="3"/>
        <v>1</v>
      </c>
      <c r="M32" s="384">
        <v>35</v>
      </c>
      <c r="N32" s="358">
        <f t="shared" si="4"/>
        <v>63.636363699999997</v>
      </c>
      <c r="O32" s="329">
        <v>40991</v>
      </c>
      <c r="P32" s="383">
        <f t="shared" si="5"/>
        <v>83</v>
      </c>
      <c r="Q32" s="383">
        <f t="shared" si="8"/>
        <v>2609.0909116999997</v>
      </c>
      <c r="R32" s="384">
        <v>38.999999961</v>
      </c>
      <c r="S32" s="358">
        <f t="shared" si="9"/>
        <v>70.909090909090907</v>
      </c>
      <c r="T32" s="391">
        <v>41021</v>
      </c>
      <c r="U32" s="383">
        <f t="shared" si="6"/>
        <v>113</v>
      </c>
      <c r="V32" s="383">
        <f t="shared" si="10"/>
        <v>2018.1818191363636</v>
      </c>
      <c r="W32" s="392">
        <v>42</v>
      </c>
      <c r="X32" s="358">
        <f t="shared" si="11"/>
        <v>76.363636439999993</v>
      </c>
      <c r="Y32" s="391">
        <v>41036</v>
      </c>
      <c r="Z32" s="383">
        <f t="shared" si="12"/>
        <v>128</v>
      </c>
      <c r="AA32" s="383">
        <f t="shared" si="13"/>
        <v>1104.5454551181817</v>
      </c>
      <c r="AB32" s="389">
        <v>27</v>
      </c>
      <c r="AC32" s="357">
        <f t="shared" si="15"/>
        <v>49.090909140000001</v>
      </c>
      <c r="AD32" s="329">
        <v>41054</v>
      </c>
      <c r="AE32" s="390">
        <f t="shared" si="16"/>
        <v>146</v>
      </c>
      <c r="AF32" s="390">
        <f t="shared" si="17"/>
        <v>1129.0909102200001</v>
      </c>
      <c r="AG32" s="386">
        <v>0</v>
      </c>
      <c r="AH32" s="390">
        <f t="shared" si="18"/>
        <v>0</v>
      </c>
      <c r="AI32" s="329">
        <v>41060</v>
      </c>
      <c r="AJ32" s="390">
        <f t="shared" si="19"/>
        <v>152</v>
      </c>
      <c r="AK32" s="390">
        <f t="shared" si="20"/>
        <v>147.27272742</v>
      </c>
      <c r="AM32" s="357"/>
      <c r="AN32" s="357"/>
      <c r="AO32" s="390"/>
      <c r="AP32" s="390"/>
      <c r="AR32" s="387">
        <f t="shared" si="25"/>
        <v>0</v>
      </c>
      <c r="AT32" s="323">
        <f t="shared" si="23"/>
        <v>0</v>
      </c>
      <c r="AU32" s="324"/>
      <c r="BE32" s="354"/>
      <c r="BF32" s="351"/>
      <c r="BG32" s="350"/>
    </row>
    <row r="33" spans="1:59" ht="22.05" customHeight="1" x14ac:dyDescent="0.4">
      <c r="A33" s="320"/>
      <c r="D33" s="352">
        <v>2013</v>
      </c>
      <c r="E33" s="364">
        <f t="shared" si="0"/>
        <v>297.80000026299996</v>
      </c>
      <c r="F33" s="364">
        <f t="shared" si="7"/>
        <v>169.09090925999999</v>
      </c>
      <c r="G33" s="351">
        <f t="shared" si="14"/>
        <v>14890.000013149998</v>
      </c>
      <c r="H33" s="350">
        <f t="shared" si="1"/>
        <v>1.7611827954931181</v>
      </c>
      <c r="I33" s="357">
        <v>0</v>
      </c>
      <c r="J33" s="383">
        <f t="shared" si="2"/>
        <v>0</v>
      </c>
      <c r="K33" s="330">
        <v>41275</v>
      </c>
      <c r="L33" s="383">
        <f t="shared" si="3"/>
        <v>1</v>
      </c>
      <c r="M33" s="384">
        <v>84</v>
      </c>
      <c r="N33" s="358">
        <f t="shared" si="4"/>
        <v>152.72727287999999</v>
      </c>
      <c r="O33" s="329">
        <v>41359</v>
      </c>
      <c r="P33" s="383">
        <f t="shared" si="5"/>
        <v>85</v>
      </c>
      <c r="Q33" s="383">
        <f t="shared" si="8"/>
        <v>6414.5454609599992</v>
      </c>
      <c r="R33" s="384">
        <v>86.999999912999996</v>
      </c>
      <c r="S33" s="358">
        <f t="shared" si="9"/>
        <v>158.18181818181816</v>
      </c>
      <c r="T33" s="391">
        <v>41360</v>
      </c>
      <c r="U33" s="383">
        <f t="shared" si="6"/>
        <v>86</v>
      </c>
      <c r="V33" s="383">
        <f t="shared" si="10"/>
        <v>155.45454553090906</v>
      </c>
      <c r="W33" s="392">
        <v>93</v>
      </c>
      <c r="X33" s="358">
        <f t="shared" si="11"/>
        <v>169.09090925999999</v>
      </c>
      <c r="Y33" s="391">
        <v>41381</v>
      </c>
      <c r="Z33" s="383">
        <f t="shared" si="12"/>
        <v>107</v>
      </c>
      <c r="AA33" s="383">
        <f t="shared" si="13"/>
        <v>3436.3636381390902</v>
      </c>
      <c r="AB33" s="389">
        <v>89</v>
      </c>
      <c r="AC33" s="357">
        <f t="shared" si="15"/>
        <v>161.81818197999999</v>
      </c>
      <c r="AD33" s="329">
        <v>41389</v>
      </c>
      <c r="AE33" s="390">
        <f t="shared" si="16"/>
        <v>115</v>
      </c>
      <c r="AF33" s="390">
        <f t="shared" si="17"/>
        <v>1323.6363649599998</v>
      </c>
      <c r="AG33" s="386">
        <v>89</v>
      </c>
      <c r="AH33" s="357">
        <f t="shared" si="18"/>
        <v>161.81818197999999</v>
      </c>
      <c r="AI33" s="329">
        <v>41397</v>
      </c>
      <c r="AJ33" s="390">
        <f t="shared" si="19"/>
        <v>123</v>
      </c>
      <c r="AK33" s="390">
        <f t="shared" si="20"/>
        <v>1294.5454558399999</v>
      </c>
      <c r="AL33" s="386">
        <v>0</v>
      </c>
      <c r="AM33" s="390">
        <f>(AL33*1.81818182)</f>
        <v>0</v>
      </c>
      <c r="AN33" s="329">
        <v>41425</v>
      </c>
      <c r="AO33" s="390">
        <f t="shared" si="21"/>
        <v>151</v>
      </c>
      <c r="AP33" s="390">
        <f>((AM33+AH33)/2)*(AO33-AJ33)</f>
        <v>2265.4545477199999</v>
      </c>
      <c r="AR33" s="387">
        <f t="shared" si="25"/>
        <v>0</v>
      </c>
      <c r="AT33" s="323">
        <f t="shared" si="23"/>
        <v>0</v>
      </c>
      <c r="AU33" s="324"/>
      <c r="BE33" s="354"/>
      <c r="BF33" s="351"/>
      <c r="BG33" s="350"/>
    </row>
    <row r="34" spans="1:59" ht="22.05" customHeight="1" x14ac:dyDescent="0.4">
      <c r="A34" s="320"/>
      <c r="D34" s="352">
        <v>2014</v>
      </c>
      <c r="E34" s="364">
        <f t="shared" si="0"/>
        <v>164.36363649090913</v>
      </c>
      <c r="F34" s="364">
        <f t="shared" si="7"/>
        <v>123.63636363636363</v>
      </c>
      <c r="G34" s="351">
        <f t="shared" si="14"/>
        <v>8218.181824545456</v>
      </c>
      <c r="H34" s="350">
        <f t="shared" si="1"/>
        <v>1.3294117657352946</v>
      </c>
      <c r="I34" s="357">
        <v>0</v>
      </c>
      <c r="J34" s="383">
        <f t="shared" si="2"/>
        <v>0</v>
      </c>
      <c r="K34" s="330">
        <v>41640</v>
      </c>
      <c r="L34" s="383">
        <f t="shared" si="3"/>
        <v>1</v>
      </c>
      <c r="M34" s="384">
        <v>39</v>
      </c>
      <c r="N34" s="358">
        <f t="shared" si="4"/>
        <v>70.909090980000002</v>
      </c>
      <c r="O34" s="329">
        <v>41723</v>
      </c>
      <c r="P34" s="383">
        <f t="shared" si="5"/>
        <v>84</v>
      </c>
      <c r="Q34" s="383">
        <f t="shared" si="8"/>
        <v>2942.7272756699999</v>
      </c>
      <c r="R34" s="384">
        <v>67.999999931999994</v>
      </c>
      <c r="S34" s="358">
        <f t="shared" si="9"/>
        <v>123.63636363636363</v>
      </c>
      <c r="T34" s="391">
        <v>41740</v>
      </c>
      <c r="U34" s="383">
        <f t="shared" si="6"/>
        <v>101</v>
      </c>
      <c r="V34" s="383">
        <f t="shared" si="10"/>
        <v>1653.6363642390909</v>
      </c>
      <c r="W34" s="392">
        <v>62</v>
      </c>
      <c r="X34" s="358">
        <f t="shared" si="11"/>
        <v>112.72727284</v>
      </c>
      <c r="Y34" s="391">
        <v>41753</v>
      </c>
      <c r="Z34" s="383">
        <f t="shared" si="12"/>
        <v>114</v>
      </c>
      <c r="AA34" s="383">
        <f t="shared" si="13"/>
        <v>1536.3636370963636</v>
      </c>
      <c r="AB34" s="389">
        <v>0</v>
      </c>
      <c r="AC34" s="390">
        <f t="shared" si="15"/>
        <v>0</v>
      </c>
      <c r="AD34" s="329">
        <v>41790</v>
      </c>
      <c r="AE34" s="390">
        <f t="shared" si="16"/>
        <v>151</v>
      </c>
      <c r="AF34" s="390">
        <f t="shared" si="17"/>
        <v>2085.45454754</v>
      </c>
      <c r="AH34" s="390"/>
      <c r="AI34" s="390"/>
      <c r="AJ34" s="390"/>
      <c r="AK34" s="390"/>
      <c r="AM34" s="390">
        <f t="shared" ref="AM34:AM51" si="26">(AL34*1.81818182)</f>
        <v>0</v>
      </c>
      <c r="AO34" s="390"/>
      <c r="AP34" s="390"/>
      <c r="AR34" s="387">
        <f t="shared" si="25"/>
        <v>0</v>
      </c>
      <c r="AT34" s="323">
        <f t="shared" si="23"/>
        <v>0</v>
      </c>
      <c r="AU34" s="324"/>
      <c r="BE34" s="354"/>
      <c r="BF34" s="351"/>
      <c r="BG34" s="350"/>
    </row>
    <row r="35" spans="1:59" ht="22.05" customHeight="1" x14ac:dyDescent="0.4">
      <c r="A35" s="320"/>
      <c r="D35" s="352">
        <v>2015</v>
      </c>
      <c r="E35" s="364">
        <f t="shared" si="0"/>
        <v>330.03636390665451</v>
      </c>
      <c r="F35" s="364">
        <f t="shared" si="7"/>
        <v>198.18181837999998</v>
      </c>
      <c r="G35" s="351">
        <f t="shared" si="14"/>
        <v>16501.818195332726</v>
      </c>
      <c r="H35" s="350">
        <f t="shared" si="1"/>
        <v>1.6653211006159634</v>
      </c>
      <c r="I35" s="357">
        <v>0</v>
      </c>
      <c r="J35" s="383">
        <f t="shared" si="2"/>
        <v>0</v>
      </c>
      <c r="K35" s="330">
        <v>42005</v>
      </c>
      <c r="L35" s="383">
        <f t="shared" si="3"/>
        <v>1</v>
      </c>
      <c r="M35" s="384">
        <v>109</v>
      </c>
      <c r="N35" s="358">
        <f t="shared" si="4"/>
        <v>198.18181837999998</v>
      </c>
      <c r="O35" s="329">
        <v>42090</v>
      </c>
      <c r="P35" s="383">
        <f t="shared" si="5"/>
        <v>86</v>
      </c>
      <c r="Q35" s="383">
        <f t="shared" si="8"/>
        <v>8422.7272811499988</v>
      </c>
      <c r="R35" s="384">
        <v>105.999999894</v>
      </c>
      <c r="S35" s="358">
        <f t="shared" si="9"/>
        <v>192.72727272727272</v>
      </c>
      <c r="T35" s="391">
        <v>42102</v>
      </c>
      <c r="U35" s="383">
        <f t="shared" si="6"/>
        <v>98</v>
      </c>
      <c r="V35" s="383">
        <f t="shared" si="10"/>
        <v>2345.4545466436366</v>
      </c>
      <c r="W35" s="392">
        <v>81</v>
      </c>
      <c r="X35" s="358">
        <f t="shared" si="11"/>
        <v>147.27272742</v>
      </c>
      <c r="Y35" s="391">
        <v>42121</v>
      </c>
      <c r="Z35" s="383">
        <f t="shared" si="12"/>
        <v>117</v>
      </c>
      <c r="AA35" s="383">
        <f t="shared" si="13"/>
        <v>3230.0000013990907</v>
      </c>
      <c r="AB35" s="389">
        <v>0</v>
      </c>
      <c r="AC35" s="390">
        <f t="shared" si="15"/>
        <v>0</v>
      </c>
      <c r="AD35" s="329">
        <v>42155</v>
      </c>
      <c r="AE35" s="390">
        <f t="shared" si="16"/>
        <v>151</v>
      </c>
      <c r="AF35" s="390">
        <f t="shared" si="17"/>
        <v>2503.6363661400001</v>
      </c>
      <c r="AH35" s="390"/>
      <c r="AI35" s="390"/>
      <c r="AJ35" s="390"/>
      <c r="AK35" s="390"/>
      <c r="AM35" s="390">
        <f t="shared" si="26"/>
        <v>0</v>
      </c>
      <c r="AO35" s="390"/>
      <c r="AP35" s="390"/>
      <c r="AR35" s="387">
        <f t="shared" si="25"/>
        <v>0</v>
      </c>
      <c r="AT35" s="323">
        <f t="shared" si="23"/>
        <v>0</v>
      </c>
      <c r="AU35" s="324"/>
      <c r="BE35" s="354"/>
      <c r="BF35" s="351"/>
      <c r="BG35" s="350"/>
    </row>
    <row r="36" spans="1:59" ht="22.05" customHeight="1" x14ac:dyDescent="0.4">
      <c r="A36" s="320"/>
      <c r="D36" s="352">
        <v>2016</v>
      </c>
      <c r="E36" s="364">
        <f t="shared" si="0"/>
        <v>278.12727296438186</v>
      </c>
      <c r="F36" s="364">
        <f t="shared" si="7"/>
        <v>174.54545472000001</v>
      </c>
      <c r="G36" s="351">
        <f t="shared" si="14"/>
        <v>13906.363648219092</v>
      </c>
      <c r="H36" s="350">
        <f t="shared" si="1"/>
        <v>1.593437499765</v>
      </c>
      <c r="I36" s="357">
        <v>0</v>
      </c>
      <c r="J36" s="383">
        <f t="shared" si="2"/>
        <v>0</v>
      </c>
      <c r="K36" s="330">
        <v>42370</v>
      </c>
      <c r="L36" s="383">
        <f t="shared" si="3"/>
        <v>1</v>
      </c>
      <c r="M36" s="384">
        <v>81</v>
      </c>
      <c r="N36" s="358">
        <f t="shared" si="4"/>
        <v>147.27272742</v>
      </c>
      <c r="O36" s="329">
        <v>42456</v>
      </c>
      <c r="P36" s="383">
        <f t="shared" si="5"/>
        <v>87</v>
      </c>
      <c r="Q36" s="383">
        <f t="shared" si="8"/>
        <v>6332.72727906</v>
      </c>
      <c r="R36" s="384">
        <v>93.999999905999999</v>
      </c>
      <c r="S36" s="358">
        <f t="shared" si="9"/>
        <v>170.90909090909091</v>
      </c>
      <c r="T36" s="391">
        <v>42467</v>
      </c>
      <c r="U36" s="383">
        <f t="shared" si="6"/>
        <v>98</v>
      </c>
      <c r="V36" s="383">
        <f t="shared" si="10"/>
        <v>1750.0000008100001</v>
      </c>
      <c r="W36" s="392">
        <v>96</v>
      </c>
      <c r="X36" s="358">
        <f t="shared" si="11"/>
        <v>174.54545472000001</v>
      </c>
      <c r="Y36" s="391">
        <v>42480</v>
      </c>
      <c r="Z36" s="383">
        <f t="shared" si="12"/>
        <v>111</v>
      </c>
      <c r="AA36" s="383">
        <f t="shared" si="13"/>
        <v>2245.454546589091</v>
      </c>
      <c r="AB36" s="389">
        <v>0</v>
      </c>
      <c r="AC36" s="390">
        <f t="shared" si="15"/>
        <v>0</v>
      </c>
      <c r="AD36" s="329">
        <v>42521</v>
      </c>
      <c r="AE36" s="390">
        <f t="shared" si="16"/>
        <v>152</v>
      </c>
      <c r="AF36" s="390">
        <f t="shared" si="17"/>
        <v>3578.1818217600003</v>
      </c>
      <c r="AH36" s="390"/>
      <c r="AI36" s="390"/>
      <c r="AJ36" s="390"/>
      <c r="AK36" s="390"/>
      <c r="AM36" s="390">
        <f t="shared" si="26"/>
        <v>0</v>
      </c>
      <c r="AO36" s="390"/>
      <c r="AP36" s="390"/>
      <c r="AR36" s="387">
        <f t="shared" si="25"/>
        <v>0</v>
      </c>
      <c r="AT36" s="323">
        <f t="shared" si="23"/>
        <v>0</v>
      </c>
      <c r="AU36" s="324"/>
      <c r="BE36" s="354"/>
      <c r="BF36" s="351"/>
      <c r="BG36" s="350"/>
    </row>
    <row r="37" spans="1:59" ht="22.05" customHeight="1" x14ac:dyDescent="0.4">
      <c r="A37" s="320"/>
      <c r="D37" s="352">
        <v>2017</v>
      </c>
      <c r="E37" s="364">
        <f t="shared" si="0"/>
        <v>138.36363646923635</v>
      </c>
      <c r="F37" s="364">
        <f t="shared" si="7"/>
        <v>74.545454620000001</v>
      </c>
      <c r="G37" s="351">
        <f t="shared" si="14"/>
        <v>6918.1818234618177</v>
      </c>
      <c r="H37" s="350">
        <f t="shared" si="1"/>
        <v>1.8560975605360974</v>
      </c>
      <c r="I37" s="357">
        <v>0</v>
      </c>
      <c r="J37" s="383">
        <f t="shared" si="2"/>
        <v>0</v>
      </c>
      <c r="K37" s="330">
        <v>42736</v>
      </c>
      <c r="L37" s="383">
        <f t="shared" si="3"/>
        <v>1</v>
      </c>
      <c r="M37" s="384">
        <v>41</v>
      </c>
      <c r="N37" s="358">
        <f t="shared" si="4"/>
        <v>74.545454620000001</v>
      </c>
      <c r="O37" s="329">
        <v>42803</v>
      </c>
      <c r="P37" s="383">
        <f t="shared" si="5"/>
        <v>68</v>
      </c>
      <c r="Q37" s="383">
        <f t="shared" si="8"/>
        <v>2497.2727297699998</v>
      </c>
      <c r="R37" s="384">
        <v>33.999999965999997</v>
      </c>
      <c r="S37" s="358">
        <f t="shared" si="9"/>
        <v>61.818181818181813</v>
      </c>
      <c r="T37" s="391">
        <v>42829</v>
      </c>
      <c r="U37" s="383">
        <f t="shared" si="6"/>
        <v>94</v>
      </c>
      <c r="V37" s="383">
        <f t="shared" si="10"/>
        <v>1772.7272736963635</v>
      </c>
      <c r="W37" s="392">
        <v>35</v>
      </c>
      <c r="X37" s="358">
        <f t="shared" si="11"/>
        <v>63.636363699999997</v>
      </c>
      <c r="Y37" s="391">
        <v>42856</v>
      </c>
      <c r="Z37" s="383">
        <f t="shared" si="12"/>
        <v>121</v>
      </c>
      <c r="AA37" s="383">
        <f t="shared" si="13"/>
        <v>1693.6363644954545</v>
      </c>
      <c r="AB37" s="389">
        <v>0</v>
      </c>
      <c r="AC37" s="390">
        <f t="shared" si="15"/>
        <v>0</v>
      </c>
      <c r="AD37" s="329">
        <v>42886</v>
      </c>
      <c r="AE37" s="390">
        <f t="shared" si="16"/>
        <v>151</v>
      </c>
      <c r="AF37" s="390">
        <f t="shared" si="17"/>
        <v>954.5454555</v>
      </c>
      <c r="AH37" s="390"/>
      <c r="AI37" s="390"/>
      <c r="AJ37" s="390"/>
      <c r="AK37" s="390"/>
      <c r="AM37" s="390">
        <f t="shared" si="26"/>
        <v>0</v>
      </c>
      <c r="AO37" s="390"/>
      <c r="AP37" s="390"/>
      <c r="AR37" s="387">
        <f t="shared" si="25"/>
        <v>0</v>
      </c>
      <c r="AT37" s="323">
        <f t="shared" si="23"/>
        <v>0</v>
      </c>
      <c r="AU37" s="324"/>
      <c r="BE37" s="354"/>
      <c r="BF37" s="351"/>
      <c r="BG37" s="350"/>
    </row>
    <row r="38" spans="1:59" ht="22.05" customHeight="1" x14ac:dyDescent="0.4">
      <c r="A38" s="320"/>
      <c r="D38" s="352">
        <v>2018</v>
      </c>
      <c r="E38" s="364">
        <f t="shared" si="0"/>
        <v>57.781818217490908</v>
      </c>
      <c r="F38" s="364">
        <f t="shared" si="7"/>
        <v>32.727272759999998</v>
      </c>
      <c r="G38" s="351">
        <f t="shared" si="14"/>
        <v>2889.0909108745454</v>
      </c>
      <c r="H38" s="350">
        <f t="shared" si="1"/>
        <v>1.7655555548800002</v>
      </c>
      <c r="I38" s="357">
        <v>0</v>
      </c>
      <c r="J38" s="383">
        <f t="shared" si="2"/>
        <v>0</v>
      </c>
      <c r="K38" s="330">
        <v>43101</v>
      </c>
      <c r="L38" s="383">
        <f t="shared" si="3"/>
        <v>1</v>
      </c>
      <c r="M38" s="384">
        <v>18</v>
      </c>
      <c r="N38" s="358">
        <f t="shared" si="4"/>
        <v>32.727272759999998</v>
      </c>
      <c r="O38" s="329">
        <v>43175</v>
      </c>
      <c r="P38" s="383">
        <f t="shared" si="5"/>
        <v>75</v>
      </c>
      <c r="Q38" s="383">
        <f t="shared" si="8"/>
        <v>1210.90909212</v>
      </c>
      <c r="R38" s="384">
        <v>15.999999984</v>
      </c>
      <c r="S38" s="358">
        <f t="shared" si="9"/>
        <v>29.09090909090909</v>
      </c>
      <c r="T38" s="391">
        <v>43210</v>
      </c>
      <c r="U38" s="383">
        <f t="shared" si="6"/>
        <v>110</v>
      </c>
      <c r="V38" s="383">
        <f t="shared" si="10"/>
        <v>1081.818182390909</v>
      </c>
      <c r="W38" s="392">
        <v>0</v>
      </c>
      <c r="X38" s="383">
        <f t="shared" si="11"/>
        <v>0</v>
      </c>
      <c r="Y38" s="391">
        <v>43251</v>
      </c>
      <c r="Z38" s="383">
        <f t="shared" si="12"/>
        <v>151</v>
      </c>
      <c r="AA38" s="383">
        <f t="shared" si="13"/>
        <v>596.36363636363637</v>
      </c>
      <c r="AB38" s="389"/>
      <c r="AC38" s="357"/>
      <c r="AD38" s="357"/>
      <c r="AE38" s="390"/>
      <c r="AF38" s="390"/>
      <c r="AH38" s="390"/>
      <c r="AI38" s="390"/>
      <c r="AJ38" s="390"/>
      <c r="AK38" s="390"/>
      <c r="AM38" s="390">
        <f t="shared" si="26"/>
        <v>0</v>
      </c>
      <c r="AO38" s="390"/>
      <c r="AP38" s="390"/>
      <c r="AR38" s="387">
        <f t="shared" si="25"/>
        <v>0</v>
      </c>
      <c r="AT38" s="323">
        <f t="shared" si="23"/>
        <v>0</v>
      </c>
      <c r="AU38" s="324"/>
      <c r="BE38" s="354"/>
      <c r="BF38" s="351"/>
      <c r="BG38" s="350"/>
    </row>
    <row r="39" spans="1:59" ht="22.05" customHeight="1" x14ac:dyDescent="0.4">
      <c r="A39" s="320"/>
      <c r="D39" s="352">
        <v>2019</v>
      </c>
      <c r="E39" s="364">
        <f t="shared" si="0"/>
        <v>134.85454554863637</v>
      </c>
      <c r="F39" s="364">
        <f t="shared" si="7"/>
        <v>81.818181899999999</v>
      </c>
      <c r="G39" s="351">
        <f t="shared" si="14"/>
        <v>6742.727277431818</v>
      </c>
      <c r="H39" s="350">
        <f t="shared" si="1"/>
        <v>1.6482222217240001</v>
      </c>
      <c r="I39" s="357">
        <v>0</v>
      </c>
      <c r="J39" s="383">
        <f t="shared" si="2"/>
        <v>0</v>
      </c>
      <c r="K39" s="330">
        <v>43466</v>
      </c>
      <c r="L39" s="383">
        <f t="shared" si="3"/>
        <v>1</v>
      </c>
      <c r="M39" s="384">
        <v>45</v>
      </c>
      <c r="N39" s="358">
        <f t="shared" si="4"/>
        <v>81.818181899999999</v>
      </c>
      <c r="O39" s="329">
        <v>43557</v>
      </c>
      <c r="P39" s="383">
        <f t="shared" si="5"/>
        <v>92</v>
      </c>
      <c r="Q39" s="383">
        <f t="shared" si="8"/>
        <v>3722.7272764499999</v>
      </c>
      <c r="R39" s="384">
        <v>37.999999961999997</v>
      </c>
      <c r="S39" s="358">
        <f t="shared" si="9"/>
        <v>69.090909090909079</v>
      </c>
      <c r="T39" s="391">
        <v>43581</v>
      </c>
      <c r="U39" s="383">
        <f t="shared" si="6"/>
        <v>116</v>
      </c>
      <c r="V39" s="383">
        <f t="shared" si="10"/>
        <v>1810.9090918909089</v>
      </c>
      <c r="W39" s="392">
        <v>0</v>
      </c>
      <c r="X39" s="383">
        <f t="shared" si="11"/>
        <v>0</v>
      </c>
      <c r="Y39" s="391">
        <v>43616</v>
      </c>
      <c r="Z39" s="383">
        <f t="shared" si="12"/>
        <v>151</v>
      </c>
      <c r="AA39" s="383">
        <f t="shared" si="13"/>
        <v>1209.0909090909088</v>
      </c>
      <c r="AB39" s="389"/>
      <c r="AC39" s="357"/>
      <c r="AD39" s="357"/>
      <c r="AE39" s="390"/>
      <c r="AF39" s="390"/>
      <c r="AH39" s="390"/>
      <c r="AI39" s="390"/>
      <c r="AJ39" s="390"/>
      <c r="AK39" s="390"/>
      <c r="AM39" s="390">
        <f t="shared" si="26"/>
        <v>0</v>
      </c>
      <c r="AO39" s="390"/>
      <c r="AP39" s="390"/>
      <c r="AR39" s="387">
        <f t="shared" si="25"/>
        <v>0</v>
      </c>
      <c r="AT39" s="323">
        <f t="shared" si="23"/>
        <v>0</v>
      </c>
      <c r="AU39" s="324"/>
      <c r="BE39" s="354"/>
      <c r="BF39" s="351"/>
      <c r="BG39" s="350"/>
    </row>
    <row r="40" spans="1:59" ht="22.05" customHeight="1" x14ac:dyDescent="0.4">
      <c r="A40" s="320"/>
      <c r="D40" s="352">
        <v>2020</v>
      </c>
      <c r="E40" s="364">
        <f t="shared" si="0"/>
        <v>56.636363648709093</v>
      </c>
      <c r="F40" s="364">
        <f t="shared" si="7"/>
        <v>50.909090909090907</v>
      </c>
      <c r="G40" s="351">
        <f t="shared" si="14"/>
        <v>2831.8181824354547</v>
      </c>
      <c r="H40" s="350">
        <f t="shared" si="1"/>
        <v>1.1125000002425001</v>
      </c>
      <c r="I40" s="357">
        <v>0</v>
      </c>
      <c r="J40" s="383">
        <f t="shared" si="2"/>
        <v>0</v>
      </c>
      <c r="K40" s="330">
        <v>43831</v>
      </c>
      <c r="L40" s="383">
        <f t="shared" si="3"/>
        <v>1</v>
      </c>
      <c r="M40" s="384">
        <v>7</v>
      </c>
      <c r="N40" s="358">
        <f t="shared" si="4"/>
        <v>12.72727274</v>
      </c>
      <c r="O40" s="329">
        <v>43895</v>
      </c>
      <c r="P40" s="383">
        <f t="shared" si="5"/>
        <v>65</v>
      </c>
      <c r="Q40" s="383">
        <f t="shared" si="8"/>
        <v>407.27272768</v>
      </c>
      <c r="R40" s="384">
        <v>27.999999971999998</v>
      </c>
      <c r="S40" s="358">
        <f t="shared" si="9"/>
        <v>50.909090909090907</v>
      </c>
      <c r="T40" s="391">
        <v>43928</v>
      </c>
      <c r="U40" s="383">
        <f t="shared" si="6"/>
        <v>98</v>
      </c>
      <c r="V40" s="383">
        <f t="shared" si="10"/>
        <v>1050.0000002100001</v>
      </c>
      <c r="W40" s="392">
        <v>0</v>
      </c>
      <c r="X40" s="383">
        <f t="shared" si="11"/>
        <v>0</v>
      </c>
      <c r="Y40" s="391">
        <v>43982</v>
      </c>
      <c r="Z40" s="383">
        <f t="shared" si="12"/>
        <v>152</v>
      </c>
      <c r="AA40" s="383">
        <f t="shared" si="13"/>
        <v>1374.5454545454545</v>
      </c>
      <c r="AB40" s="389"/>
      <c r="AC40" s="357"/>
      <c r="AD40" s="357"/>
      <c r="AE40" s="390"/>
      <c r="AF40" s="390"/>
      <c r="AH40" s="390"/>
      <c r="AI40" s="390"/>
      <c r="AJ40" s="390"/>
      <c r="AK40" s="390"/>
      <c r="AM40" s="390">
        <f t="shared" si="26"/>
        <v>0</v>
      </c>
      <c r="AO40" s="390"/>
      <c r="AP40" s="390"/>
      <c r="AR40" s="387">
        <f t="shared" si="25"/>
        <v>0</v>
      </c>
      <c r="AT40" s="323">
        <f t="shared" si="23"/>
        <v>0</v>
      </c>
      <c r="AU40" s="324"/>
      <c r="BE40" s="354"/>
      <c r="BF40" s="351"/>
      <c r="BG40" s="350"/>
    </row>
    <row r="41" spans="1:59" ht="22.05" customHeight="1" x14ac:dyDescent="0.4">
      <c r="A41" s="320"/>
      <c r="D41" s="352">
        <v>2021</v>
      </c>
      <c r="E41" s="364">
        <f t="shared" si="0"/>
        <v>61.218181858309087</v>
      </c>
      <c r="F41" s="364">
        <f t="shared" si="7"/>
        <v>36.363636399999997</v>
      </c>
      <c r="G41" s="351">
        <f t="shared" si="14"/>
        <v>3060.9090929154545</v>
      </c>
      <c r="H41" s="350">
        <f t="shared" si="1"/>
        <v>1.6834999994199999</v>
      </c>
      <c r="I41" s="357">
        <v>0</v>
      </c>
      <c r="J41" s="383">
        <f t="shared" si="2"/>
        <v>0</v>
      </c>
      <c r="K41" s="330">
        <v>44197</v>
      </c>
      <c r="L41" s="383">
        <f t="shared" si="3"/>
        <v>1</v>
      </c>
      <c r="M41" s="384">
        <v>20</v>
      </c>
      <c r="N41" s="358">
        <f t="shared" si="4"/>
        <v>36.363636399999997</v>
      </c>
      <c r="O41" s="329">
        <v>44265</v>
      </c>
      <c r="P41" s="383">
        <f t="shared" si="5"/>
        <v>69</v>
      </c>
      <c r="Q41" s="383">
        <f t="shared" si="8"/>
        <v>1236.3636375999999</v>
      </c>
      <c r="R41" s="384">
        <v>19.999999979999998</v>
      </c>
      <c r="S41" s="358">
        <f t="shared" si="9"/>
        <v>36.36363636363636</v>
      </c>
      <c r="T41" s="391">
        <v>44286</v>
      </c>
      <c r="U41" s="383">
        <f t="shared" si="6"/>
        <v>90</v>
      </c>
      <c r="V41" s="383">
        <f t="shared" si="10"/>
        <v>763.63636401818178</v>
      </c>
      <c r="W41" s="392">
        <v>7</v>
      </c>
      <c r="X41" s="358">
        <f t="shared" si="11"/>
        <v>12.72727274</v>
      </c>
      <c r="Y41" s="391">
        <v>44323</v>
      </c>
      <c r="Z41" s="383">
        <f t="shared" si="12"/>
        <v>127</v>
      </c>
      <c r="AA41" s="383">
        <f t="shared" si="13"/>
        <v>908.18181841727278</v>
      </c>
      <c r="AB41" s="389">
        <v>0</v>
      </c>
      <c r="AC41" s="390">
        <f t="shared" si="15"/>
        <v>0</v>
      </c>
      <c r="AD41" s="329">
        <v>44347</v>
      </c>
      <c r="AE41" s="390">
        <f t="shared" si="16"/>
        <v>151</v>
      </c>
      <c r="AF41" s="390">
        <f t="shared" si="17"/>
        <v>152.72727287999999</v>
      </c>
      <c r="AH41" s="390"/>
      <c r="AI41" s="390"/>
      <c r="AJ41" s="390"/>
      <c r="AK41" s="390"/>
      <c r="AM41" s="390">
        <f t="shared" si="26"/>
        <v>0</v>
      </c>
      <c r="AO41" s="390"/>
      <c r="AP41" s="390"/>
      <c r="AR41" s="387">
        <f t="shared" si="25"/>
        <v>0</v>
      </c>
      <c r="AT41" s="323">
        <f t="shared" si="23"/>
        <v>0</v>
      </c>
      <c r="AU41" s="324"/>
      <c r="BE41" s="354"/>
      <c r="BF41" s="351"/>
      <c r="BG41" s="350"/>
    </row>
    <row r="42" spans="1:59" ht="22.05" customHeight="1" x14ac:dyDescent="0.4">
      <c r="A42" s="320"/>
      <c r="D42" s="352">
        <v>2022</v>
      </c>
      <c r="E42" s="364">
        <f t="shared" si="0"/>
        <v>54.272727313636359</v>
      </c>
      <c r="F42" s="364">
        <f t="shared" si="7"/>
        <v>27.2727273</v>
      </c>
      <c r="G42" s="351">
        <f t="shared" si="14"/>
        <v>2713.636365681818</v>
      </c>
      <c r="H42" s="350">
        <f t="shared" si="1"/>
        <v>1.98999999951</v>
      </c>
      <c r="I42" s="357">
        <v>0</v>
      </c>
      <c r="J42" s="383">
        <f t="shared" si="2"/>
        <v>0</v>
      </c>
      <c r="K42" s="330">
        <v>44562</v>
      </c>
      <c r="L42" s="383">
        <f t="shared" si="3"/>
        <v>1</v>
      </c>
      <c r="M42" s="384">
        <v>15</v>
      </c>
      <c r="N42" s="358">
        <f t="shared" si="4"/>
        <v>27.2727273</v>
      </c>
      <c r="O42" s="329">
        <v>44628</v>
      </c>
      <c r="P42" s="383">
        <f t="shared" si="5"/>
        <v>67</v>
      </c>
      <c r="Q42" s="383">
        <f t="shared" si="8"/>
        <v>900.00000090000003</v>
      </c>
      <c r="R42" s="384">
        <v>14.999999984999999</v>
      </c>
      <c r="S42" s="358">
        <f t="shared" si="9"/>
        <v>27.27272727272727</v>
      </c>
      <c r="T42" s="391">
        <v>44651</v>
      </c>
      <c r="U42" s="383">
        <f t="shared" si="6"/>
        <v>90</v>
      </c>
      <c r="V42" s="383">
        <f t="shared" si="10"/>
        <v>627.27272758636354</v>
      </c>
      <c r="W42" s="392">
        <v>15</v>
      </c>
      <c r="X42" s="358">
        <f t="shared" si="11"/>
        <v>27.2727273</v>
      </c>
      <c r="Y42" s="391">
        <v>44677</v>
      </c>
      <c r="Z42" s="383">
        <f t="shared" si="12"/>
        <v>116</v>
      </c>
      <c r="AA42" s="383">
        <f t="shared" si="13"/>
        <v>709.09090944545449</v>
      </c>
      <c r="AB42" s="389">
        <v>0</v>
      </c>
      <c r="AC42" s="390">
        <f t="shared" si="15"/>
        <v>0</v>
      </c>
      <c r="AD42" s="329">
        <v>44712</v>
      </c>
      <c r="AE42" s="390">
        <f t="shared" si="16"/>
        <v>151</v>
      </c>
      <c r="AF42" s="390">
        <f t="shared" si="17"/>
        <v>477.27272775</v>
      </c>
      <c r="AH42" s="390"/>
      <c r="AI42" s="390"/>
      <c r="AJ42" s="390"/>
      <c r="AK42" s="390"/>
      <c r="AM42" s="390">
        <f t="shared" si="26"/>
        <v>0</v>
      </c>
      <c r="AO42" s="390"/>
      <c r="AP42" s="390"/>
      <c r="AR42" s="387">
        <f t="shared" si="25"/>
        <v>0</v>
      </c>
      <c r="AT42" s="323">
        <f t="shared" si="23"/>
        <v>0</v>
      </c>
      <c r="AU42" s="324"/>
      <c r="BE42" s="354"/>
      <c r="BF42" s="351"/>
      <c r="BG42" s="350"/>
    </row>
    <row r="43" spans="1:59" ht="22.05" customHeight="1" x14ac:dyDescent="0.4">
      <c r="A43" s="320"/>
      <c r="D43" s="352">
        <v>2023</v>
      </c>
      <c r="E43" s="364">
        <f t="shared" si="0"/>
        <v>82.927272781690917</v>
      </c>
      <c r="F43" s="364">
        <f t="shared" si="7"/>
        <v>60.000000059999998</v>
      </c>
      <c r="G43" s="351">
        <f t="shared" si="14"/>
        <v>4146.3636390845459</v>
      </c>
      <c r="H43" s="350">
        <f t="shared" si="1"/>
        <v>1.3821212116460608</v>
      </c>
      <c r="I43" s="357">
        <v>0</v>
      </c>
      <c r="J43" s="383">
        <f t="shared" si="2"/>
        <v>0</v>
      </c>
      <c r="K43" s="330">
        <v>44927</v>
      </c>
      <c r="L43" s="383">
        <f t="shared" si="3"/>
        <v>1</v>
      </c>
      <c r="M43" s="384">
        <v>14</v>
      </c>
      <c r="N43" s="358">
        <f t="shared" si="4"/>
        <v>25.45454548</v>
      </c>
      <c r="O43" s="329">
        <v>44988</v>
      </c>
      <c r="P43" s="383">
        <f t="shared" si="5"/>
        <v>62</v>
      </c>
      <c r="Q43" s="383">
        <f t="shared" si="8"/>
        <v>776.36363714000004</v>
      </c>
      <c r="R43" s="384">
        <v>27.999999971999998</v>
      </c>
      <c r="S43" s="358">
        <f t="shared" si="9"/>
        <v>50.909090909090907</v>
      </c>
      <c r="T43" s="391">
        <v>45030</v>
      </c>
      <c r="U43" s="383">
        <f t="shared" si="6"/>
        <v>104</v>
      </c>
      <c r="V43" s="383">
        <f t="shared" si="10"/>
        <v>1603.6363641709092</v>
      </c>
      <c r="W43" s="392">
        <v>33</v>
      </c>
      <c r="X43" s="358">
        <f t="shared" si="11"/>
        <v>60.000000059999998</v>
      </c>
      <c r="Y43" s="391">
        <v>45044</v>
      </c>
      <c r="Z43" s="383">
        <f t="shared" si="12"/>
        <v>118</v>
      </c>
      <c r="AA43" s="383">
        <f t="shared" si="13"/>
        <v>776.36363678363625</v>
      </c>
      <c r="AB43" s="389">
        <v>0</v>
      </c>
      <c r="AC43" s="390">
        <f t="shared" si="15"/>
        <v>0</v>
      </c>
      <c r="AD43" s="329">
        <v>45077</v>
      </c>
      <c r="AE43" s="390">
        <f t="shared" si="16"/>
        <v>151</v>
      </c>
      <c r="AF43" s="390">
        <f t="shared" si="17"/>
        <v>990.00000098999999</v>
      </c>
      <c r="AH43" s="390"/>
      <c r="AI43" s="390"/>
      <c r="AJ43" s="390"/>
      <c r="AK43" s="390"/>
      <c r="AM43" s="390">
        <f t="shared" si="26"/>
        <v>0</v>
      </c>
      <c r="AO43" s="390"/>
      <c r="AP43" s="390"/>
      <c r="AR43" s="387">
        <f t="shared" si="25"/>
        <v>0</v>
      </c>
      <c r="AT43" s="323">
        <f t="shared" si="23"/>
        <v>0</v>
      </c>
      <c r="AU43" s="324"/>
      <c r="BE43" s="354"/>
      <c r="BF43" s="351"/>
      <c r="BG43" s="350"/>
    </row>
    <row r="44" spans="1:59" ht="22.05" customHeight="1" x14ac:dyDescent="0.4">
      <c r="A44" s="320"/>
      <c r="D44" s="352">
        <v>2024</v>
      </c>
      <c r="E44" s="364">
        <f t="shared" si="0"/>
        <v>216.16363650452723</v>
      </c>
      <c r="F44" s="364">
        <f t="shared" si="7"/>
        <v>154.54545469999999</v>
      </c>
      <c r="G44" s="351">
        <f t="shared" si="14"/>
        <v>10808.181825226362</v>
      </c>
      <c r="H44" s="350">
        <f t="shared" si="1"/>
        <v>1.3987058818658822</v>
      </c>
      <c r="I44" s="357">
        <v>0</v>
      </c>
      <c r="J44" s="383">
        <f t="shared" si="2"/>
        <v>0</v>
      </c>
      <c r="K44" s="330">
        <v>45292</v>
      </c>
      <c r="L44" s="383">
        <f t="shared" si="3"/>
        <v>1</v>
      </c>
      <c r="M44" s="384">
        <v>21</v>
      </c>
      <c r="N44" s="358">
        <f t="shared" si="4"/>
        <v>38.181818219999997</v>
      </c>
      <c r="O44" s="329">
        <v>45335</v>
      </c>
      <c r="P44" s="383">
        <f t="shared" si="5"/>
        <v>44</v>
      </c>
      <c r="Q44" s="383">
        <f t="shared" si="8"/>
        <v>820.90909172999989</v>
      </c>
      <c r="R44" s="384">
        <v>68.999999930999991</v>
      </c>
      <c r="S44" s="358">
        <f t="shared" si="9"/>
        <v>125.45454545454544</v>
      </c>
      <c r="T44" s="391">
        <v>45384</v>
      </c>
      <c r="U44" s="383">
        <f t="shared" si="6"/>
        <v>93</v>
      </c>
      <c r="V44" s="383">
        <f t="shared" si="10"/>
        <v>4009.090910026363</v>
      </c>
      <c r="W44" s="392">
        <v>85</v>
      </c>
      <c r="X44" s="358">
        <f t="shared" si="11"/>
        <v>154.54545469999999</v>
      </c>
      <c r="Y44" s="391">
        <v>45395</v>
      </c>
      <c r="Z44" s="383">
        <f t="shared" si="12"/>
        <v>104</v>
      </c>
      <c r="AA44" s="383">
        <f t="shared" si="13"/>
        <v>1540.0000008499999</v>
      </c>
      <c r="AB44" s="389">
        <v>84</v>
      </c>
      <c r="AC44" s="357">
        <f t="shared" si="15"/>
        <v>152.72727287999999</v>
      </c>
      <c r="AD44" s="329">
        <v>45405</v>
      </c>
      <c r="AE44" s="390">
        <f>AD44-DATE(YEAR(AD44),1,1)+1</f>
        <v>114</v>
      </c>
      <c r="AF44" s="390">
        <f t="shared" si="17"/>
        <v>1536.3636379</v>
      </c>
      <c r="AG44" s="386">
        <v>0</v>
      </c>
      <c r="AH44" s="390">
        <f t="shared" si="18"/>
        <v>0</v>
      </c>
      <c r="AI44" s="329">
        <v>45443</v>
      </c>
      <c r="AJ44" s="390">
        <f t="shared" si="19"/>
        <v>152</v>
      </c>
      <c r="AK44" s="390">
        <f t="shared" si="20"/>
        <v>2901.8181847199999</v>
      </c>
      <c r="AM44" s="390">
        <f t="shared" si="26"/>
        <v>0</v>
      </c>
      <c r="AO44" s="390">
        <f t="shared" si="21"/>
        <v>0</v>
      </c>
      <c r="AP44" s="390">
        <f t="shared" si="22"/>
        <v>0</v>
      </c>
      <c r="AR44" s="387">
        <f t="shared" si="25"/>
        <v>0</v>
      </c>
      <c r="AT44" s="323">
        <f t="shared" si="23"/>
        <v>0</v>
      </c>
      <c r="AU44" s="324">
        <f t="shared" si="24"/>
        <v>0</v>
      </c>
      <c r="BE44" s="354"/>
      <c r="BF44" s="351"/>
      <c r="BG44" s="350"/>
    </row>
    <row r="45" spans="1:59" ht="22.05" customHeight="1" x14ac:dyDescent="0.4">
      <c r="A45" s="321"/>
      <c r="D45" s="352">
        <v>2025</v>
      </c>
      <c r="E45" s="364" t="str">
        <f t="shared" si="0"/>
        <v/>
      </c>
      <c r="F45" s="364" t="str">
        <f t="shared" si="7"/>
        <v/>
      </c>
      <c r="G45" s="351">
        <f t="shared" si="14"/>
        <v>0</v>
      </c>
      <c r="H45" s="350" t="e">
        <f>IF(E45/F45 = 0, "", E45/F45)</f>
        <v>#VALUE!</v>
      </c>
      <c r="I45" s="357"/>
      <c r="J45" s="383">
        <f t="shared" si="2"/>
        <v>0</v>
      </c>
      <c r="K45" s="330"/>
      <c r="L45" s="383">
        <f t="shared" si="3"/>
        <v>0</v>
      </c>
      <c r="N45" s="358">
        <f t="shared" si="4"/>
        <v>0</v>
      </c>
      <c r="O45" s="393"/>
      <c r="P45" s="383">
        <f t="shared" si="5"/>
        <v>0</v>
      </c>
      <c r="Q45" s="383">
        <f t="shared" si="8"/>
        <v>0</v>
      </c>
      <c r="S45" s="358">
        <f t="shared" si="9"/>
        <v>0</v>
      </c>
      <c r="T45" s="393"/>
      <c r="U45" s="383">
        <f t="shared" si="6"/>
        <v>0</v>
      </c>
      <c r="V45" s="383">
        <f t="shared" si="10"/>
        <v>0</v>
      </c>
      <c r="X45" s="358">
        <f t="shared" si="11"/>
        <v>0</v>
      </c>
      <c r="Y45" s="391"/>
      <c r="Z45" s="383">
        <f t="shared" si="12"/>
        <v>0</v>
      </c>
      <c r="AA45" s="383">
        <f t="shared" si="13"/>
        <v>0</v>
      </c>
      <c r="AB45" s="389"/>
      <c r="AC45" s="357">
        <f t="shared" si="15"/>
        <v>0</v>
      </c>
      <c r="AD45" s="329"/>
      <c r="AE45" s="390">
        <f t="shared" ref="AE45:AE51" si="27">AD45-DATE(YEAR(AD45),1,1)+1</f>
        <v>0</v>
      </c>
      <c r="AF45" s="390">
        <f t="shared" si="17"/>
        <v>0</v>
      </c>
      <c r="AH45" s="390">
        <f t="shared" si="18"/>
        <v>0</v>
      </c>
      <c r="AI45" s="393"/>
      <c r="AJ45" s="390">
        <f t="shared" si="19"/>
        <v>0</v>
      </c>
      <c r="AK45" s="390">
        <f t="shared" si="20"/>
        <v>0</v>
      </c>
      <c r="AM45" s="390">
        <f t="shared" si="26"/>
        <v>0</v>
      </c>
      <c r="AO45" s="390">
        <f t="shared" si="21"/>
        <v>0</v>
      </c>
      <c r="AP45" s="390">
        <f t="shared" si="22"/>
        <v>0</v>
      </c>
      <c r="AR45" s="387">
        <f t="shared" si="25"/>
        <v>0</v>
      </c>
      <c r="AT45" s="323">
        <f t="shared" si="23"/>
        <v>0</v>
      </c>
      <c r="AU45" s="324">
        <f t="shared" si="24"/>
        <v>0</v>
      </c>
      <c r="BE45" s="354"/>
      <c r="BF45" s="351"/>
      <c r="BG45" s="350"/>
    </row>
    <row r="46" spans="1:59" ht="22.05" customHeight="1" x14ac:dyDescent="0.4">
      <c r="A46" s="321"/>
      <c r="B46" s="317"/>
      <c r="D46" s="352">
        <v>2026</v>
      </c>
      <c r="E46" s="364" t="str">
        <f t="shared" si="0"/>
        <v/>
      </c>
      <c r="F46" s="364" t="str">
        <f t="shared" si="7"/>
        <v/>
      </c>
      <c r="G46" s="351">
        <f t="shared" si="14"/>
        <v>0</v>
      </c>
      <c r="H46" s="350" t="e">
        <f t="shared" si="1"/>
        <v>#VALUE!</v>
      </c>
      <c r="J46" s="383">
        <f t="shared" si="2"/>
        <v>0</v>
      </c>
      <c r="L46" s="383">
        <f t="shared" si="3"/>
        <v>0</v>
      </c>
      <c r="N46" s="358">
        <f t="shared" si="4"/>
        <v>0</v>
      </c>
      <c r="P46" s="383">
        <f t="shared" si="5"/>
        <v>0</v>
      </c>
      <c r="Q46" s="383">
        <f t="shared" si="8"/>
        <v>0</v>
      </c>
      <c r="S46" s="358">
        <f t="shared" si="9"/>
        <v>0</v>
      </c>
      <c r="U46" s="383">
        <f t="shared" si="6"/>
        <v>0</v>
      </c>
      <c r="V46" s="383">
        <f t="shared" si="10"/>
        <v>0</v>
      </c>
      <c r="X46" s="358">
        <f t="shared" si="11"/>
        <v>0</v>
      </c>
      <c r="Y46" s="358"/>
      <c r="Z46" s="383">
        <f t="shared" si="12"/>
        <v>0</v>
      </c>
      <c r="AA46" s="383">
        <f t="shared" si="13"/>
        <v>0</v>
      </c>
      <c r="AB46" s="389"/>
      <c r="AC46" s="357">
        <f t="shared" si="15"/>
        <v>0</v>
      </c>
      <c r="AE46" s="390">
        <f t="shared" si="27"/>
        <v>0</v>
      </c>
      <c r="AF46" s="390">
        <f t="shared" si="17"/>
        <v>0</v>
      </c>
      <c r="AH46" s="390">
        <f t="shared" si="18"/>
        <v>0</v>
      </c>
      <c r="AJ46" s="390">
        <f t="shared" si="19"/>
        <v>0</v>
      </c>
      <c r="AK46" s="390">
        <f t="shared" si="20"/>
        <v>0</v>
      </c>
      <c r="AM46" s="390">
        <f t="shared" si="26"/>
        <v>0</v>
      </c>
      <c r="AO46" s="390">
        <f t="shared" si="21"/>
        <v>0</v>
      </c>
      <c r="AP46" s="390">
        <f t="shared" si="22"/>
        <v>0</v>
      </c>
      <c r="AR46" s="387">
        <f t="shared" si="25"/>
        <v>0</v>
      </c>
      <c r="AT46" s="323">
        <f t="shared" si="23"/>
        <v>0</v>
      </c>
      <c r="AU46" s="324">
        <f t="shared" si="24"/>
        <v>0</v>
      </c>
      <c r="BE46" s="354"/>
      <c r="BF46" s="351"/>
      <c r="BG46" s="350"/>
    </row>
    <row r="47" spans="1:59" ht="22.05" customHeight="1" x14ac:dyDescent="0.4">
      <c r="A47" s="321"/>
      <c r="B47" s="75"/>
      <c r="D47" s="352">
        <v>2027</v>
      </c>
      <c r="E47" s="364" t="str">
        <f t="shared" si="0"/>
        <v/>
      </c>
      <c r="F47" s="364" t="str">
        <f t="shared" si="7"/>
        <v/>
      </c>
      <c r="G47" s="351">
        <f t="shared" si="14"/>
        <v>0</v>
      </c>
      <c r="H47" s="350" t="e">
        <f t="shared" si="1"/>
        <v>#VALUE!</v>
      </c>
      <c r="J47" s="383">
        <f t="shared" si="2"/>
        <v>0</v>
      </c>
      <c r="L47" s="383">
        <f t="shared" si="3"/>
        <v>0</v>
      </c>
      <c r="N47" s="358">
        <f t="shared" si="4"/>
        <v>0</v>
      </c>
      <c r="P47" s="383">
        <f t="shared" si="5"/>
        <v>0</v>
      </c>
      <c r="Q47" s="383">
        <f t="shared" si="8"/>
        <v>0</v>
      </c>
      <c r="S47" s="358">
        <f t="shared" si="9"/>
        <v>0</v>
      </c>
      <c r="U47" s="383">
        <f t="shared" si="6"/>
        <v>0</v>
      </c>
      <c r="V47" s="383">
        <f t="shared" si="10"/>
        <v>0</v>
      </c>
      <c r="X47" s="358">
        <f t="shared" si="11"/>
        <v>0</v>
      </c>
      <c r="Y47" s="358"/>
      <c r="Z47" s="383">
        <f t="shared" si="12"/>
        <v>0</v>
      </c>
      <c r="AA47" s="383">
        <f t="shared" si="13"/>
        <v>0</v>
      </c>
      <c r="AC47" s="357">
        <f t="shared" si="15"/>
        <v>0</v>
      </c>
      <c r="AE47" s="390">
        <f t="shared" si="27"/>
        <v>0</v>
      </c>
      <c r="AF47" s="390">
        <f t="shared" si="17"/>
        <v>0</v>
      </c>
      <c r="AH47" s="390">
        <f t="shared" si="18"/>
        <v>0</v>
      </c>
      <c r="AJ47" s="390">
        <f t="shared" si="19"/>
        <v>0</v>
      </c>
      <c r="AK47" s="390">
        <f t="shared" si="20"/>
        <v>0</v>
      </c>
      <c r="AM47" s="390">
        <f t="shared" si="26"/>
        <v>0</v>
      </c>
      <c r="AO47" s="390">
        <f t="shared" si="21"/>
        <v>0</v>
      </c>
      <c r="AP47" s="390">
        <f t="shared" si="22"/>
        <v>0</v>
      </c>
      <c r="AR47" s="387">
        <f t="shared" si="25"/>
        <v>0</v>
      </c>
      <c r="AT47" s="323">
        <f t="shared" si="23"/>
        <v>0</v>
      </c>
      <c r="AU47" s="324">
        <f t="shared" si="24"/>
        <v>0</v>
      </c>
      <c r="BE47" s="354"/>
      <c r="BF47" s="351"/>
      <c r="BG47" s="350"/>
    </row>
    <row r="48" spans="1:59" ht="22.05" customHeight="1" x14ac:dyDescent="0.4">
      <c r="A48" s="321"/>
      <c r="B48" s="316"/>
      <c r="D48" s="352">
        <v>2028</v>
      </c>
      <c r="E48" s="364" t="str">
        <f t="shared" si="0"/>
        <v/>
      </c>
      <c r="F48" s="364" t="str">
        <f t="shared" si="7"/>
        <v/>
      </c>
      <c r="G48" s="351">
        <f t="shared" si="14"/>
        <v>0</v>
      </c>
      <c r="H48" s="350" t="e">
        <f t="shared" si="1"/>
        <v>#VALUE!</v>
      </c>
      <c r="J48" s="383">
        <f t="shared" si="2"/>
        <v>0</v>
      </c>
      <c r="L48" s="383">
        <f t="shared" si="3"/>
        <v>0</v>
      </c>
      <c r="N48" s="358">
        <f t="shared" si="4"/>
        <v>0</v>
      </c>
      <c r="P48" s="383">
        <f t="shared" si="5"/>
        <v>0</v>
      </c>
      <c r="Q48" s="383">
        <f t="shared" si="8"/>
        <v>0</v>
      </c>
      <c r="S48" s="358">
        <f t="shared" si="9"/>
        <v>0</v>
      </c>
      <c r="U48" s="383">
        <f t="shared" si="6"/>
        <v>0</v>
      </c>
      <c r="V48" s="383">
        <f t="shared" si="10"/>
        <v>0</v>
      </c>
      <c r="X48" s="358">
        <f t="shared" si="11"/>
        <v>0</v>
      </c>
      <c r="Y48" s="358"/>
      <c r="Z48" s="383">
        <f t="shared" si="12"/>
        <v>0</v>
      </c>
      <c r="AA48" s="383">
        <f t="shared" si="13"/>
        <v>0</v>
      </c>
      <c r="AC48" s="357">
        <f t="shared" si="15"/>
        <v>0</v>
      </c>
      <c r="AE48" s="390">
        <f t="shared" si="27"/>
        <v>0</v>
      </c>
      <c r="AF48" s="390">
        <f t="shared" si="17"/>
        <v>0</v>
      </c>
      <c r="AH48" s="390">
        <f t="shared" si="18"/>
        <v>0</v>
      </c>
      <c r="AJ48" s="390">
        <f t="shared" si="19"/>
        <v>0</v>
      </c>
      <c r="AK48" s="390">
        <f t="shared" si="20"/>
        <v>0</v>
      </c>
      <c r="AM48" s="390">
        <f t="shared" si="26"/>
        <v>0</v>
      </c>
      <c r="AO48" s="390">
        <f t="shared" si="21"/>
        <v>0</v>
      </c>
      <c r="AP48" s="390">
        <f t="shared" si="22"/>
        <v>0</v>
      </c>
      <c r="AR48" s="387">
        <f t="shared" si="25"/>
        <v>0</v>
      </c>
      <c r="AT48" s="323">
        <f t="shared" si="23"/>
        <v>0</v>
      </c>
      <c r="AU48" s="324">
        <f t="shared" si="24"/>
        <v>0</v>
      </c>
      <c r="BE48" s="354"/>
      <c r="BF48" s="351"/>
      <c r="BG48" s="350"/>
    </row>
    <row r="49" spans="1:59" x14ac:dyDescent="0.4">
      <c r="A49" s="321"/>
      <c r="D49" s="352">
        <v>2029</v>
      </c>
      <c r="E49" s="364" t="str">
        <f t="shared" si="0"/>
        <v/>
      </c>
      <c r="F49" s="364" t="str">
        <f t="shared" si="7"/>
        <v/>
      </c>
      <c r="G49" s="351">
        <f t="shared" si="14"/>
        <v>0</v>
      </c>
      <c r="H49" s="350" t="e">
        <f t="shared" si="1"/>
        <v>#VALUE!</v>
      </c>
      <c r="J49" s="383">
        <f t="shared" si="2"/>
        <v>0</v>
      </c>
      <c r="L49" s="383">
        <f t="shared" si="3"/>
        <v>0</v>
      </c>
      <c r="N49" s="358">
        <f t="shared" si="4"/>
        <v>0</v>
      </c>
      <c r="P49" s="383">
        <f t="shared" si="5"/>
        <v>0</v>
      </c>
      <c r="Q49" s="383">
        <f t="shared" si="8"/>
        <v>0</v>
      </c>
      <c r="S49" s="358">
        <f t="shared" si="9"/>
        <v>0</v>
      </c>
      <c r="U49" s="383">
        <f t="shared" si="6"/>
        <v>0</v>
      </c>
      <c r="V49" s="383">
        <f t="shared" si="10"/>
        <v>0</v>
      </c>
      <c r="X49" s="358">
        <f t="shared" si="11"/>
        <v>0</v>
      </c>
      <c r="Y49" s="358"/>
      <c r="Z49" s="383">
        <f t="shared" si="12"/>
        <v>0</v>
      </c>
      <c r="AA49" s="383">
        <f t="shared" si="13"/>
        <v>0</v>
      </c>
      <c r="AC49" s="357">
        <f t="shared" si="15"/>
        <v>0</v>
      </c>
      <c r="AE49" s="390">
        <f t="shared" si="27"/>
        <v>0</v>
      </c>
      <c r="AF49" s="390">
        <f t="shared" si="17"/>
        <v>0</v>
      </c>
      <c r="AH49" s="390">
        <f t="shared" si="18"/>
        <v>0</v>
      </c>
      <c r="AJ49" s="390">
        <f t="shared" si="19"/>
        <v>0</v>
      </c>
      <c r="AK49" s="390">
        <f t="shared" si="20"/>
        <v>0</v>
      </c>
      <c r="AM49" s="390">
        <f t="shared" si="26"/>
        <v>0</v>
      </c>
      <c r="AO49" s="390">
        <f t="shared" si="21"/>
        <v>0</v>
      </c>
      <c r="AP49" s="390">
        <f t="shared" si="22"/>
        <v>0</v>
      </c>
      <c r="AR49" s="387">
        <f t="shared" si="25"/>
        <v>0</v>
      </c>
      <c r="AT49" s="323">
        <f t="shared" si="23"/>
        <v>0</v>
      </c>
      <c r="AU49" s="324">
        <f t="shared" si="24"/>
        <v>0</v>
      </c>
      <c r="BE49" s="354"/>
      <c r="BF49" s="351"/>
      <c r="BG49" s="350"/>
    </row>
    <row r="50" spans="1:59" x14ac:dyDescent="0.4">
      <c r="A50" s="321"/>
      <c r="D50" s="352">
        <v>2030</v>
      </c>
      <c r="E50" s="364" t="str">
        <f t="shared" si="0"/>
        <v/>
      </c>
      <c r="F50" s="364" t="str">
        <f t="shared" si="7"/>
        <v/>
      </c>
      <c r="G50" s="351">
        <f t="shared" si="14"/>
        <v>0</v>
      </c>
      <c r="H50" s="350" t="e">
        <f t="shared" si="1"/>
        <v>#VALUE!</v>
      </c>
      <c r="J50" s="383">
        <f t="shared" si="2"/>
        <v>0</v>
      </c>
      <c r="L50" s="383">
        <f t="shared" si="3"/>
        <v>0</v>
      </c>
      <c r="N50" s="358">
        <f t="shared" si="4"/>
        <v>0</v>
      </c>
      <c r="P50" s="383">
        <f t="shared" si="5"/>
        <v>0</v>
      </c>
      <c r="Q50" s="383">
        <f t="shared" si="8"/>
        <v>0</v>
      </c>
      <c r="S50" s="358">
        <f t="shared" si="9"/>
        <v>0</v>
      </c>
      <c r="U50" s="383">
        <f t="shared" si="6"/>
        <v>0</v>
      </c>
      <c r="V50" s="383">
        <f t="shared" si="10"/>
        <v>0</v>
      </c>
      <c r="X50" s="358">
        <f t="shared" si="11"/>
        <v>0</v>
      </c>
      <c r="Y50" s="358"/>
      <c r="Z50" s="383">
        <f t="shared" si="12"/>
        <v>0</v>
      </c>
      <c r="AA50" s="383">
        <f t="shared" si="13"/>
        <v>0</v>
      </c>
      <c r="AC50" s="357">
        <f t="shared" si="15"/>
        <v>0</v>
      </c>
      <c r="AE50" s="390">
        <f t="shared" si="27"/>
        <v>0</v>
      </c>
      <c r="AF50" s="390">
        <f t="shared" si="17"/>
        <v>0</v>
      </c>
      <c r="AH50" s="390">
        <f t="shared" si="18"/>
        <v>0</v>
      </c>
      <c r="AJ50" s="390">
        <f t="shared" si="19"/>
        <v>0</v>
      </c>
      <c r="AK50" s="390">
        <f t="shared" si="20"/>
        <v>0</v>
      </c>
      <c r="AM50" s="390">
        <f t="shared" si="26"/>
        <v>0</v>
      </c>
      <c r="AO50" s="390">
        <f t="shared" si="21"/>
        <v>0</v>
      </c>
      <c r="AP50" s="390">
        <f t="shared" si="22"/>
        <v>0</v>
      </c>
      <c r="AR50" s="387">
        <f t="shared" si="25"/>
        <v>0</v>
      </c>
      <c r="AT50" s="323">
        <f t="shared" si="23"/>
        <v>0</v>
      </c>
      <c r="AU50" s="324">
        <f t="shared" si="24"/>
        <v>0</v>
      </c>
      <c r="BE50" s="354"/>
      <c r="BF50" s="351"/>
      <c r="BG50" s="350"/>
    </row>
    <row r="51" spans="1:59" x14ac:dyDescent="0.4">
      <c r="D51" s="352">
        <v>2031</v>
      </c>
      <c r="E51" s="364" t="str">
        <f t="shared" si="0"/>
        <v/>
      </c>
      <c r="F51" s="364" t="str">
        <f t="shared" si="7"/>
        <v/>
      </c>
      <c r="G51" s="351">
        <f t="shared" si="14"/>
        <v>0</v>
      </c>
      <c r="H51" s="350" t="e">
        <f t="shared" si="1"/>
        <v>#VALUE!</v>
      </c>
      <c r="J51" s="383">
        <f t="shared" si="2"/>
        <v>0</v>
      </c>
      <c r="L51" s="383">
        <f t="shared" si="3"/>
        <v>0</v>
      </c>
      <c r="N51" s="358">
        <f t="shared" si="4"/>
        <v>0</v>
      </c>
      <c r="P51" s="383">
        <f t="shared" si="5"/>
        <v>0</v>
      </c>
      <c r="Q51" s="383">
        <f t="shared" si="8"/>
        <v>0</v>
      </c>
      <c r="S51" s="358">
        <f t="shared" si="9"/>
        <v>0</v>
      </c>
      <c r="U51" s="383">
        <f t="shared" si="6"/>
        <v>0</v>
      </c>
      <c r="V51" s="383">
        <f t="shared" si="10"/>
        <v>0</v>
      </c>
      <c r="X51" s="358">
        <f t="shared" si="11"/>
        <v>0</v>
      </c>
      <c r="Y51" s="358"/>
      <c r="Z51" s="383">
        <f t="shared" si="12"/>
        <v>0</v>
      </c>
      <c r="AA51" s="383">
        <f t="shared" si="13"/>
        <v>0</v>
      </c>
      <c r="AC51" s="357">
        <f t="shared" si="15"/>
        <v>0</v>
      </c>
      <c r="AE51" s="390">
        <f t="shared" si="27"/>
        <v>0</v>
      </c>
      <c r="AF51" s="390">
        <f t="shared" si="17"/>
        <v>0</v>
      </c>
      <c r="AH51" s="390">
        <f t="shared" si="18"/>
        <v>0</v>
      </c>
      <c r="AJ51" s="390">
        <f t="shared" si="19"/>
        <v>0</v>
      </c>
      <c r="AK51" s="390">
        <f t="shared" si="20"/>
        <v>0</v>
      </c>
      <c r="AM51" s="390">
        <f t="shared" si="26"/>
        <v>0</v>
      </c>
      <c r="AO51" s="390">
        <f t="shared" si="21"/>
        <v>0</v>
      </c>
      <c r="AP51" s="390">
        <f t="shared" si="22"/>
        <v>0</v>
      </c>
      <c r="AR51" s="387">
        <f t="shared" si="25"/>
        <v>0</v>
      </c>
      <c r="AT51" s="323">
        <f t="shared" si="23"/>
        <v>0</v>
      </c>
      <c r="AU51" s="324">
        <f t="shared" si="24"/>
        <v>0</v>
      </c>
      <c r="BE51" s="354"/>
      <c r="BF51" s="351"/>
      <c r="BG51" s="350"/>
    </row>
    <row r="52" spans="1:59" x14ac:dyDescent="0.4">
      <c r="AF52" s="390"/>
    </row>
    <row r="53" spans="1:59" x14ac:dyDescent="0.4">
      <c r="AF53" s="390"/>
    </row>
  </sheetData>
  <mergeCells count="1">
    <mergeCell ref="BF15:BG15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15AF-9829-1746-A7CD-25096181FB25}">
  <dimension ref="P70:AA70"/>
  <sheetViews>
    <sheetView tabSelected="1" topLeftCell="A2" zoomScale="70" zoomScaleNormal="70" workbookViewId="0">
      <selection activeCell="T13" sqref="T13"/>
    </sheetView>
  </sheetViews>
  <sheetFormatPr defaultColWidth="11.5546875" defaultRowHeight="13.2" x14ac:dyDescent="0.25"/>
  <sheetData>
    <row r="70" spans="16:27" ht="28.2" x14ac:dyDescent="0.5">
      <c r="P70" s="328" t="s">
        <v>243</v>
      </c>
      <c r="Q70" s="328"/>
      <c r="R70" s="328"/>
      <c r="S70" s="328"/>
      <c r="T70" s="328"/>
      <c r="U70" s="328"/>
      <c r="V70" s="59"/>
      <c r="W70" s="59"/>
      <c r="X70" s="59"/>
      <c r="Y70" s="59"/>
      <c r="Z70" s="59"/>
      <c r="AA70" s="5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012-1DB7-E944-818E-0F8103E68FB8}">
  <dimension ref="A1:N165"/>
  <sheetViews>
    <sheetView workbookViewId="0">
      <selection activeCell="I3" sqref="I3"/>
    </sheetView>
  </sheetViews>
  <sheetFormatPr defaultColWidth="10.77734375" defaultRowHeight="13.2" x14ac:dyDescent="0.25"/>
  <cols>
    <col min="1" max="1" width="10.77734375" style="59"/>
    <col min="2" max="2" width="10.77734375" style="59" customWidth="1"/>
    <col min="3" max="7" width="21.6640625" customWidth="1"/>
    <col min="10" max="14" width="21.6640625" customWidth="1"/>
  </cols>
  <sheetData>
    <row r="1" spans="1:14" ht="15.6" x14ac:dyDescent="0.3">
      <c r="C1" s="395" t="s">
        <v>245</v>
      </c>
      <c r="D1" s="395"/>
      <c r="E1" s="395"/>
      <c r="F1" s="395"/>
    </row>
    <row r="2" spans="1:14" ht="15.6" x14ac:dyDescent="0.3">
      <c r="C2" s="395" t="s">
        <v>169</v>
      </c>
      <c r="D2" s="395"/>
      <c r="E2" s="395"/>
      <c r="F2" s="395"/>
    </row>
    <row r="3" spans="1:14" ht="17.399999999999999" x14ac:dyDescent="0.3">
      <c r="C3" s="339"/>
      <c r="D3" s="339"/>
      <c r="J3" s="75"/>
    </row>
    <row r="5" spans="1:14" x14ac:dyDescent="0.25">
      <c r="C5" s="59">
        <v>1</v>
      </c>
      <c r="D5" s="59">
        <v>2</v>
      </c>
      <c r="E5" s="59">
        <v>3</v>
      </c>
      <c r="F5" s="59">
        <v>4</v>
      </c>
      <c r="G5" s="59">
        <v>5</v>
      </c>
      <c r="J5" s="59">
        <v>1</v>
      </c>
      <c r="K5" s="59">
        <v>2</v>
      </c>
      <c r="L5" s="59">
        <v>3</v>
      </c>
      <c r="M5" s="59">
        <v>4</v>
      </c>
      <c r="N5" s="59">
        <v>5</v>
      </c>
    </row>
    <row r="6" spans="1:14" ht="17.399999999999999" x14ac:dyDescent="0.3">
      <c r="C6" s="336" t="s">
        <v>179</v>
      </c>
      <c r="D6" s="337"/>
      <c r="E6" s="337"/>
      <c r="F6" s="338"/>
      <c r="G6" s="338"/>
      <c r="J6" s="336" t="s">
        <v>182</v>
      </c>
      <c r="K6" s="337"/>
      <c r="L6" s="334"/>
      <c r="M6" s="335"/>
      <c r="N6" s="335"/>
    </row>
    <row r="7" spans="1:14" ht="15.6" x14ac:dyDescent="0.3">
      <c r="C7" s="340" t="s">
        <v>170</v>
      </c>
      <c r="D7" s="340" t="s">
        <v>172</v>
      </c>
      <c r="E7" s="340" t="s">
        <v>174</v>
      </c>
      <c r="F7" s="340" t="s">
        <v>176</v>
      </c>
      <c r="G7" s="340" t="s">
        <v>180</v>
      </c>
      <c r="J7" s="340" t="s">
        <v>170</v>
      </c>
      <c r="K7" s="340" t="s">
        <v>172</v>
      </c>
      <c r="L7" s="340" t="s">
        <v>174</v>
      </c>
      <c r="M7" s="340" t="s">
        <v>176</v>
      </c>
      <c r="N7" s="340" t="s">
        <v>180</v>
      </c>
    </row>
    <row r="8" spans="1:14" ht="15.6" x14ac:dyDescent="0.3">
      <c r="A8" s="63" t="s">
        <v>120</v>
      </c>
      <c r="B8" s="63"/>
      <c r="C8" s="341" t="s">
        <v>171</v>
      </c>
      <c r="D8" s="341" t="s">
        <v>173</v>
      </c>
      <c r="E8" s="341" t="s">
        <v>175</v>
      </c>
      <c r="F8" s="341" t="s">
        <v>177</v>
      </c>
      <c r="G8" s="341" t="s">
        <v>181</v>
      </c>
      <c r="J8" s="341" t="s">
        <v>171</v>
      </c>
      <c r="K8" s="341" t="s">
        <v>173</v>
      </c>
      <c r="L8" s="341" t="s">
        <v>175</v>
      </c>
      <c r="M8" s="341" t="s">
        <v>177</v>
      </c>
      <c r="N8" s="341" t="s">
        <v>181</v>
      </c>
    </row>
    <row r="9" spans="1:14" x14ac:dyDescent="0.25">
      <c r="A9" s="59">
        <v>1</v>
      </c>
      <c r="C9">
        <f>((0.003)*A9)</f>
        <v>3.0000000000000001E-3</v>
      </c>
      <c r="D9">
        <f>((-0.0039)*A9)+0.8478</f>
        <v>0.84389999999999998</v>
      </c>
      <c r="E9">
        <f t="shared" ref="E9:E72" si="0">(0.0002*A9)+0.1914</f>
        <v>0.19159999999999999</v>
      </c>
      <c r="F9">
        <f>C9+D9</f>
        <v>0.84689999999999999</v>
      </c>
      <c r="G9">
        <f>D9+E9</f>
        <v>1.0354999999999999</v>
      </c>
      <c r="J9">
        <v>0.21</v>
      </c>
      <c r="K9">
        <v>0.5</v>
      </c>
      <c r="L9">
        <v>0.28000000000000003</v>
      </c>
      <c r="M9">
        <f>J9+K9</f>
        <v>0.71</v>
      </c>
      <c r="N9">
        <f>K9+L9</f>
        <v>0.78</v>
      </c>
    </row>
    <row r="10" spans="1:14" x14ac:dyDescent="0.25">
      <c r="A10" s="59">
        <v>2</v>
      </c>
      <c r="C10">
        <f t="shared" ref="C10:C73" si="1">((0.003)*A10)</f>
        <v>6.0000000000000001E-3</v>
      </c>
      <c r="D10">
        <f t="shared" ref="D10:D73" si="2">((-0.0039)*A10)+0.8478</f>
        <v>0.84</v>
      </c>
      <c r="E10">
        <f t="shared" si="0"/>
        <v>0.1918</v>
      </c>
      <c r="F10">
        <f t="shared" ref="F10:G73" si="3">C10+D10</f>
        <v>0.84599999999999997</v>
      </c>
      <c r="G10">
        <f t="shared" si="3"/>
        <v>1.0318000000000001</v>
      </c>
      <c r="J10">
        <v>0.21</v>
      </c>
      <c r="K10">
        <v>0.5</v>
      </c>
      <c r="L10">
        <v>0.28000000000000003</v>
      </c>
      <c r="M10">
        <f t="shared" ref="M10:N73" si="4">J10+K10</f>
        <v>0.71</v>
      </c>
      <c r="N10">
        <f t="shared" si="4"/>
        <v>0.78</v>
      </c>
    </row>
    <row r="11" spans="1:14" x14ac:dyDescent="0.25">
      <c r="A11" s="59">
        <v>3</v>
      </c>
      <c r="C11">
        <f t="shared" si="1"/>
        <v>9.0000000000000011E-3</v>
      </c>
      <c r="D11">
        <f t="shared" si="2"/>
        <v>0.83609999999999995</v>
      </c>
      <c r="E11">
        <f t="shared" si="0"/>
        <v>0.19199999999999998</v>
      </c>
      <c r="F11">
        <f t="shared" si="3"/>
        <v>0.84509999999999996</v>
      </c>
      <c r="G11">
        <f t="shared" si="3"/>
        <v>1.0281</v>
      </c>
      <c r="J11">
        <v>0.21</v>
      </c>
      <c r="K11">
        <v>0.5</v>
      </c>
      <c r="L11">
        <v>0.28000000000000003</v>
      </c>
      <c r="M11">
        <f t="shared" si="4"/>
        <v>0.71</v>
      </c>
      <c r="N11">
        <f t="shared" si="4"/>
        <v>0.78</v>
      </c>
    </row>
    <row r="12" spans="1:14" x14ac:dyDescent="0.25">
      <c r="A12" s="59">
        <v>4</v>
      </c>
      <c r="C12">
        <f t="shared" si="1"/>
        <v>1.2E-2</v>
      </c>
      <c r="D12">
        <f t="shared" si="2"/>
        <v>0.83220000000000005</v>
      </c>
      <c r="E12">
        <f t="shared" si="0"/>
        <v>0.19219999999999998</v>
      </c>
      <c r="F12">
        <f t="shared" si="3"/>
        <v>0.84420000000000006</v>
      </c>
      <c r="G12">
        <f t="shared" si="3"/>
        <v>1.0244</v>
      </c>
      <c r="J12">
        <v>0.21</v>
      </c>
      <c r="K12">
        <v>0.5</v>
      </c>
      <c r="L12">
        <v>0.28000000000000003</v>
      </c>
      <c r="M12">
        <f t="shared" si="4"/>
        <v>0.71</v>
      </c>
      <c r="N12">
        <f t="shared" si="4"/>
        <v>0.78</v>
      </c>
    </row>
    <row r="13" spans="1:14" x14ac:dyDescent="0.25">
      <c r="A13" s="59">
        <v>5</v>
      </c>
      <c r="C13">
        <f t="shared" si="1"/>
        <v>1.4999999999999999E-2</v>
      </c>
      <c r="D13">
        <f t="shared" si="2"/>
        <v>0.82830000000000004</v>
      </c>
      <c r="E13">
        <f t="shared" si="0"/>
        <v>0.19239999999999999</v>
      </c>
      <c r="F13">
        <f t="shared" si="3"/>
        <v>0.84330000000000005</v>
      </c>
      <c r="G13">
        <f t="shared" si="3"/>
        <v>1.0206999999999999</v>
      </c>
      <c r="J13">
        <v>0.21</v>
      </c>
      <c r="K13">
        <v>0.5</v>
      </c>
      <c r="L13">
        <v>0.28000000000000003</v>
      </c>
      <c r="M13">
        <f t="shared" si="4"/>
        <v>0.71</v>
      </c>
      <c r="N13">
        <f t="shared" si="4"/>
        <v>0.78</v>
      </c>
    </row>
    <row r="14" spans="1:14" x14ac:dyDescent="0.25">
      <c r="A14" s="59">
        <v>6</v>
      </c>
      <c r="C14">
        <f t="shared" si="1"/>
        <v>1.8000000000000002E-2</v>
      </c>
      <c r="D14">
        <f t="shared" si="2"/>
        <v>0.82440000000000002</v>
      </c>
      <c r="E14">
        <f t="shared" si="0"/>
        <v>0.19259999999999999</v>
      </c>
      <c r="F14">
        <f t="shared" si="3"/>
        <v>0.84240000000000004</v>
      </c>
      <c r="G14">
        <f t="shared" si="3"/>
        <v>1.0169999999999999</v>
      </c>
      <c r="J14">
        <v>0.21</v>
      </c>
      <c r="K14">
        <v>0.5</v>
      </c>
      <c r="L14">
        <v>0.28000000000000003</v>
      </c>
      <c r="M14">
        <f t="shared" si="4"/>
        <v>0.71</v>
      </c>
      <c r="N14">
        <f t="shared" si="4"/>
        <v>0.78</v>
      </c>
    </row>
    <row r="15" spans="1:14" x14ac:dyDescent="0.25">
      <c r="A15" s="59">
        <v>7</v>
      </c>
      <c r="C15">
        <f t="shared" si="1"/>
        <v>2.1000000000000001E-2</v>
      </c>
      <c r="D15">
        <f t="shared" si="2"/>
        <v>0.82050000000000001</v>
      </c>
      <c r="E15">
        <f t="shared" si="0"/>
        <v>0.1928</v>
      </c>
      <c r="F15">
        <f t="shared" si="3"/>
        <v>0.84150000000000003</v>
      </c>
      <c r="G15">
        <f t="shared" si="3"/>
        <v>1.0133000000000001</v>
      </c>
      <c r="J15">
        <v>0.21</v>
      </c>
      <c r="K15">
        <v>0.5</v>
      </c>
      <c r="L15">
        <v>0.28000000000000003</v>
      </c>
      <c r="M15">
        <f t="shared" si="4"/>
        <v>0.71</v>
      </c>
      <c r="N15">
        <f t="shared" si="4"/>
        <v>0.78</v>
      </c>
    </row>
    <row r="16" spans="1:14" x14ac:dyDescent="0.25">
      <c r="A16" s="59">
        <v>8</v>
      </c>
      <c r="C16">
        <f t="shared" si="1"/>
        <v>2.4E-2</v>
      </c>
      <c r="D16">
        <f t="shared" si="2"/>
        <v>0.81659999999999999</v>
      </c>
      <c r="E16">
        <f t="shared" si="0"/>
        <v>0.19299999999999998</v>
      </c>
      <c r="F16">
        <f t="shared" si="3"/>
        <v>0.84060000000000001</v>
      </c>
      <c r="G16">
        <f t="shared" si="3"/>
        <v>1.0096000000000001</v>
      </c>
      <c r="J16">
        <v>0.21</v>
      </c>
      <c r="K16">
        <v>0.5</v>
      </c>
      <c r="L16">
        <v>0.28000000000000003</v>
      </c>
      <c r="M16">
        <f t="shared" si="4"/>
        <v>0.71</v>
      </c>
      <c r="N16">
        <f t="shared" si="4"/>
        <v>0.78</v>
      </c>
    </row>
    <row r="17" spans="1:14" x14ac:dyDescent="0.25">
      <c r="A17" s="59">
        <v>9</v>
      </c>
      <c r="C17">
        <f t="shared" si="1"/>
        <v>2.7E-2</v>
      </c>
      <c r="D17">
        <f t="shared" si="2"/>
        <v>0.81269999999999998</v>
      </c>
      <c r="E17">
        <f t="shared" si="0"/>
        <v>0.19319999999999998</v>
      </c>
      <c r="F17">
        <f t="shared" si="3"/>
        <v>0.8397</v>
      </c>
      <c r="G17">
        <f t="shared" si="3"/>
        <v>1.0059</v>
      </c>
      <c r="J17">
        <v>0.21</v>
      </c>
      <c r="K17">
        <v>0.5</v>
      </c>
      <c r="L17">
        <v>0.28000000000000003</v>
      </c>
      <c r="M17">
        <f t="shared" si="4"/>
        <v>0.71</v>
      </c>
      <c r="N17">
        <f t="shared" si="4"/>
        <v>0.78</v>
      </c>
    </row>
    <row r="18" spans="1:14" x14ac:dyDescent="0.25">
      <c r="A18" s="59">
        <v>10</v>
      </c>
      <c r="C18">
        <f t="shared" si="1"/>
        <v>0.03</v>
      </c>
      <c r="D18">
        <f t="shared" si="2"/>
        <v>0.80879999999999996</v>
      </c>
      <c r="E18">
        <f t="shared" si="0"/>
        <v>0.19339999999999999</v>
      </c>
      <c r="F18">
        <f t="shared" si="3"/>
        <v>0.83879999999999999</v>
      </c>
      <c r="G18">
        <f t="shared" si="3"/>
        <v>1.0022</v>
      </c>
      <c r="J18">
        <v>0.21</v>
      </c>
      <c r="K18">
        <v>0.5</v>
      </c>
      <c r="L18">
        <v>0.28000000000000003</v>
      </c>
      <c r="M18">
        <f t="shared" si="4"/>
        <v>0.71</v>
      </c>
      <c r="N18">
        <f t="shared" si="4"/>
        <v>0.78</v>
      </c>
    </row>
    <row r="19" spans="1:14" x14ac:dyDescent="0.25">
      <c r="A19" s="59">
        <v>11</v>
      </c>
      <c r="C19">
        <f t="shared" si="1"/>
        <v>3.3000000000000002E-2</v>
      </c>
      <c r="D19">
        <f t="shared" si="2"/>
        <v>0.80489999999999995</v>
      </c>
      <c r="E19">
        <f t="shared" si="0"/>
        <v>0.19359999999999999</v>
      </c>
      <c r="F19">
        <f t="shared" si="3"/>
        <v>0.83789999999999998</v>
      </c>
      <c r="G19">
        <f t="shared" si="3"/>
        <v>0.99849999999999994</v>
      </c>
      <c r="J19">
        <v>0.21</v>
      </c>
      <c r="K19">
        <v>0.5</v>
      </c>
      <c r="L19">
        <v>0.28000000000000003</v>
      </c>
      <c r="M19">
        <f t="shared" si="4"/>
        <v>0.71</v>
      </c>
      <c r="N19">
        <f t="shared" si="4"/>
        <v>0.78</v>
      </c>
    </row>
    <row r="20" spans="1:14" x14ac:dyDescent="0.25">
      <c r="A20" s="59">
        <v>12</v>
      </c>
      <c r="C20">
        <f t="shared" si="1"/>
        <v>3.6000000000000004E-2</v>
      </c>
      <c r="D20">
        <f t="shared" si="2"/>
        <v>0.80100000000000005</v>
      </c>
      <c r="E20">
        <f t="shared" si="0"/>
        <v>0.1938</v>
      </c>
      <c r="F20">
        <f t="shared" si="3"/>
        <v>0.83700000000000008</v>
      </c>
      <c r="G20">
        <f t="shared" si="3"/>
        <v>0.99480000000000002</v>
      </c>
      <c r="J20">
        <v>0.21</v>
      </c>
      <c r="K20">
        <v>0.5</v>
      </c>
      <c r="L20">
        <v>0.28000000000000003</v>
      </c>
      <c r="M20">
        <f t="shared" si="4"/>
        <v>0.71</v>
      </c>
      <c r="N20">
        <f t="shared" si="4"/>
        <v>0.78</v>
      </c>
    </row>
    <row r="21" spans="1:14" x14ac:dyDescent="0.25">
      <c r="A21" s="59">
        <v>13</v>
      </c>
      <c r="C21">
        <f t="shared" si="1"/>
        <v>3.9E-2</v>
      </c>
      <c r="D21">
        <f t="shared" si="2"/>
        <v>0.79710000000000003</v>
      </c>
      <c r="E21">
        <f t="shared" si="0"/>
        <v>0.19399999999999998</v>
      </c>
      <c r="F21">
        <f t="shared" si="3"/>
        <v>0.83610000000000007</v>
      </c>
      <c r="G21">
        <f t="shared" si="3"/>
        <v>0.99109999999999998</v>
      </c>
      <c r="J21">
        <v>0.21</v>
      </c>
      <c r="K21">
        <v>0.5</v>
      </c>
      <c r="L21">
        <v>0.28000000000000003</v>
      </c>
      <c r="M21">
        <f t="shared" si="4"/>
        <v>0.71</v>
      </c>
      <c r="N21">
        <f t="shared" si="4"/>
        <v>0.78</v>
      </c>
    </row>
    <row r="22" spans="1:14" x14ac:dyDescent="0.25">
      <c r="A22" s="59">
        <v>14</v>
      </c>
      <c r="C22">
        <f t="shared" si="1"/>
        <v>4.2000000000000003E-2</v>
      </c>
      <c r="D22">
        <f t="shared" si="2"/>
        <v>0.79320000000000002</v>
      </c>
      <c r="E22">
        <f t="shared" si="0"/>
        <v>0.19419999999999998</v>
      </c>
      <c r="F22">
        <f t="shared" si="3"/>
        <v>0.83520000000000005</v>
      </c>
      <c r="G22">
        <f t="shared" si="3"/>
        <v>0.98740000000000006</v>
      </c>
      <c r="J22">
        <v>0.21</v>
      </c>
      <c r="K22">
        <v>0.5</v>
      </c>
      <c r="L22">
        <v>0.28000000000000003</v>
      </c>
      <c r="M22">
        <f t="shared" si="4"/>
        <v>0.71</v>
      </c>
      <c r="N22">
        <f t="shared" si="4"/>
        <v>0.78</v>
      </c>
    </row>
    <row r="23" spans="1:14" x14ac:dyDescent="0.25">
      <c r="A23" s="59">
        <v>15</v>
      </c>
      <c r="C23">
        <f t="shared" si="1"/>
        <v>4.4999999999999998E-2</v>
      </c>
      <c r="D23">
        <f t="shared" si="2"/>
        <v>0.7893</v>
      </c>
      <c r="E23">
        <f t="shared" si="0"/>
        <v>0.19439999999999999</v>
      </c>
      <c r="F23">
        <f t="shared" si="3"/>
        <v>0.83430000000000004</v>
      </c>
      <c r="G23">
        <f t="shared" si="3"/>
        <v>0.98370000000000002</v>
      </c>
      <c r="J23">
        <v>0.21</v>
      </c>
      <c r="K23">
        <v>0.5</v>
      </c>
      <c r="L23">
        <v>0.28000000000000003</v>
      </c>
      <c r="M23">
        <f t="shared" si="4"/>
        <v>0.71</v>
      </c>
      <c r="N23">
        <f t="shared" si="4"/>
        <v>0.78</v>
      </c>
    </row>
    <row r="24" spans="1:14" x14ac:dyDescent="0.25">
      <c r="A24" s="59">
        <v>16</v>
      </c>
      <c r="C24">
        <f t="shared" si="1"/>
        <v>4.8000000000000001E-2</v>
      </c>
      <c r="D24">
        <f t="shared" si="2"/>
        <v>0.78539999999999999</v>
      </c>
      <c r="E24">
        <f t="shared" si="0"/>
        <v>0.1946</v>
      </c>
      <c r="F24">
        <f t="shared" si="3"/>
        <v>0.83340000000000003</v>
      </c>
      <c r="G24">
        <f t="shared" si="3"/>
        <v>0.98</v>
      </c>
      <c r="J24">
        <v>0.21</v>
      </c>
      <c r="K24">
        <v>0.5</v>
      </c>
      <c r="L24">
        <v>0.28000000000000003</v>
      </c>
      <c r="M24">
        <f t="shared" si="4"/>
        <v>0.71</v>
      </c>
      <c r="N24">
        <f t="shared" si="4"/>
        <v>0.78</v>
      </c>
    </row>
    <row r="25" spans="1:14" x14ac:dyDescent="0.25">
      <c r="A25" s="59">
        <v>17</v>
      </c>
      <c r="C25">
        <f t="shared" si="1"/>
        <v>5.1000000000000004E-2</v>
      </c>
      <c r="D25">
        <f t="shared" si="2"/>
        <v>0.78149999999999997</v>
      </c>
      <c r="E25">
        <f t="shared" si="0"/>
        <v>0.19479999999999997</v>
      </c>
      <c r="F25">
        <f t="shared" si="3"/>
        <v>0.83250000000000002</v>
      </c>
      <c r="G25">
        <f t="shared" si="3"/>
        <v>0.97629999999999995</v>
      </c>
      <c r="J25">
        <v>0.21</v>
      </c>
      <c r="K25">
        <v>0.5</v>
      </c>
      <c r="L25">
        <v>0.28000000000000003</v>
      </c>
      <c r="M25">
        <f t="shared" si="4"/>
        <v>0.71</v>
      </c>
      <c r="N25">
        <f t="shared" si="4"/>
        <v>0.78</v>
      </c>
    </row>
    <row r="26" spans="1:14" x14ac:dyDescent="0.25">
      <c r="A26" s="59">
        <v>18</v>
      </c>
      <c r="C26">
        <f t="shared" si="1"/>
        <v>5.3999999999999999E-2</v>
      </c>
      <c r="D26">
        <f t="shared" si="2"/>
        <v>0.77759999999999996</v>
      </c>
      <c r="E26">
        <f t="shared" si="0"/>
        <v>0.19499999999999998</v>
      </c>
      <c r="F26">
        <f t="shared" si="3"/>
        <v>0.83160000000000001</v>
      </c>
      <c r="G26">
        <f t="shared" si="3"/>
        <v>0.97259999999999991</v>
      </c>
      <c r="J26">
        <v>0.21</v>
      </c>
      <c r="K26">
        <v>0.5</v>
      </c>
      <c r="L26">
        <v>0.28000000000000003</v>
      </c>
      <c r="M26">
        <f t="shared" si="4"/>
        <v>0.71</v>
      </c>
      <c r="N26">
        <f t="shared" si="4"/>
        <v>0.78</v>
      </c>
    </row>
    <row r="27" spans="1:14" x14ac:dyDescent="0.25">
      <c r="A27" s="59">
        <v>19</v>
      </c>
      <c r="C27">
        <f t="shared" si="1"/>
        <v>5.7000000000000002E-2</v>
      </c>
      <c r="D27">
        <f t="shared" si="2"/>
        <v>0.77370000000000005</v>
      </c>
      <c r="E27">
        <f t="shared" si="0"/>
        <v>0.19519999999999998</v>
      </c>
      <c r="F27">
        <f t="shared" si="3"/>
        <v>0.8307000000000001</v>
      </c>
      <c r="G27">
        <f t="shared" si="3"/>
        <v>0.96890000000000009</v>
      </c>
      <c r="J27">
        <v>0.21</v>
      </c>
      <c r="K27">
        <v>0.5</v>
      </c>
      <c r="L27">
        <v>0.28000000000000003</v>
      </c>
      <c r="M27">
        <f t="shared" si="4"/>
        <v>0.71</v>
      </c>
      <c r="N27">
        <f t="shared" si="4"/>
        <v>0.78</v>
      </c>
    </row>
    <row r="28" spans="1:14" x14ac:dyDescent="0.25">
      <c r="A28" s="59">
        <v>20</v>
      </c>
      <c r="C28">
        <f t="shared" si="1"/>
        <v>0.06</v>
      </c>
      <c r="D28">
        <f t="shared" si="2"/>
        <v>0.76980000000000004</v>
      </c>
      <c r="E28">
        <f t="shared" si="0"/>
        <v>0.19539999999999999</v>
      </c>
      <c r="F28">
        <f t="shared" si="3"/>
        <v>0.82980000000000009</v>
      </c>
      <c r="G28">
        <f t="shared" si="3"/>
        <v>0.96520000000000006</v>
      </c>
      <c r="J28">
        <v>0.21</v>
      </c>
      <c r="K28">
        <v>0.5</v>
      </c>
      <c r="L28">
        <v>0.28000000000000003</v>
      </c>
      <c r="M28">
        <f t="shared" si="4"/>
        <v>0.71</v>
      </c>
      <c r="N28">
        <f t="shared" si="4"/>
        <v>0.78</v>
      </c>
    </row>
    <row r="29" spans="1:14" x14ac:dyDescent="0.25">
      <c r="A29" s="59">
        <v>21</v>
      </c>
      <c r="C29">
        <f t="shared" si="1"/>
        <v>6.3E-2</v>
      </c>
      <c r="D29">
        <f t="shared" si="2"/>
        <v>0.76590000000000003</v>
      </c>
      <c r="E29">
        <f t="shared" si="0"/>
        <v>0.1956</v>
      </c>
      <c r="F29">
        <f t="shared" si="3"/>
        <v>0.82889999999999997</v>
      </c>
      <c r="G29">
        <f t="shared" si="3"/>
        <v>0.96150000000000002</v>
      </c>
      <c r="J29">
        <v>0.21</v>
      </c>
      <c r="K29">
        <v>0.5</v>
      </c>
      <c r="L29">
        <v>0.28000000000000003</v>
      </c>
      <c r="M29">
        <f t="shared" si="4"/>
        <v>0.71</v>
      </c>
      <c r="N29">
        <f t="shared" si="4"/>
        <v>0.78</v>
      </c>
    </row>
    <row r="30" spans="1:14" x14ac:dyDescent="0.25">
      <c r="A30" s="59">
        <v>22</v>
      </c>
      <c r="C30">
        <f t="shared" si="1"/>
        <v>6.6000000000000003E-2</v>
      </c>
      <c r="D30">
        <f t="shared" si="2"/>
        <v>0.76200000000000001</v>
      </c>
      <c r="E30">
        <f t="shared" si="0"/>
        <v>0.19579999999999997</v>
      </c>
      <c r="F30">
        <f t="shared" si="3"/>
        <v>0.82800000000000007</v>
      </c>
      <c r="G30">
        <f t="shared" si="3"/>
        <v>0.95779999999999998</v>
      </c>
      <c r="J30">
        <v>0.21</v>
      </c>
      <c r="K30">
        <v>0.5</v>
      </c>
      <c r="L30">
        <v>0.28000000000000003</v>
      </c>
      <c r="M30">
        <f t="shared" si="4"/>
        <v>0.71</v>
      </c>
      <c r="N30">
        <f t="shared" si="4"/>
        <v>0.78</v>
      </c>
    </row>
    <row r="31" spans="1:14" x14ac:dyDescent="0.25">
      <c r="A31" s="59">
        <v>23</v>
      </c>
      <c r="C31">
        <f t="shared" si="1"/>
        <v>6.9000000000000006E-2</v>
      </c>
      <c r="D31">
        <f t="shared" si="2"/>
        <v>0.7581</v>
      </c>
      <c r="E31">
        <f t="shared" si="0"/>
        <v>0.19599999999999998</v>
      </c>
      <c r="F31">
        <f t="shared" si="3"/>
        <v>0.82709999999999995</v>
      </c>
      <c r="G31">
        <f t="shared" si="3"/>
        <v>0.95409999999999995</v>
      </c>
      <c r="J31">
        <v>0.21</v>
      </c>
      <c r="K31">
        <v>0.5</v>
      </c>
      <c r="L31">
        <v>0.28000000000000003</v>
      </c>
      <c r="M31">
        <f t="shared" si="4"/>
        <v>0.71</v>
      </c>
      <c r="N31">
        <f t="shared" si="4"/>
        <v>0.78</v>
      </c>
    </row>
    <row r="32" spans="1:14" x14ac:dyDescent="0.25">
      <c r="A32" s="59">
        <v>24</v>
      </c>
      <c r="C32">
        <f t="shared" si="1"/>
        <v>7.2000000000000008E-2</v>
      </c>
      <c r="D32">
        <f t="shared" si="2"/>
        <v>0.75419999999999998</v>
      </c>
      <c r="E32">
        <f t="shared" si="0"/>
        <v>0.19619999999999999</v>
      </c>
      <c r="F32">
        <f t="shared" si="3"/>
        <v>0.82620000000000005</v>
      </c>
      <c r="G32">
        <f t="shared" si="3"/>
        <v>0.95039999999999991</v>
      </c>
      <c r="J32">
        <v>0.21</v>
      </c>
      <c r="K32">
        <v>0.5</v>
      </c>
      <c r="L32">
        <v>0.28000000000000003</v>
      </c>
      <c r="M32">
        <f t="shared" si="4"/>
        <v>0.71</v>
      </c>
      <c r="N32">
        <f t="shared" si="4"/>
        <v>0.78</v>
      </c>
    </row>
    <row r="33" spans="1:14" x14ac:dyDescent="0.25">
      <c r="A33" s="59">
        <v>25</v>
      </c>
      <c r="C33">
        <f t="shared" si="1"/>
        <v>7.4999999999999997E-2</v>
      </c>
      <c r="D33">
        <f t="shared" si="2"/>
        <v>0.75029999999999997</v>
      </c>
      <c r="E33">
        <f t="shared" si="0"/>
        <v>0.19639999999999999</v>
      </c>
      <c r="F33">
        <f t="shared" si="3"/>
        <v>0.82529999999999992</v>
      </c>
      <c r="G33">
        <f t="shared" si="3"/>
        <v>0.94669999999999999</v>
      </c>
      <c r="J33">
        <v>0.21</v>
      </c>
      <c r="K33">
        <v>0.5</v>
      </c>
      <c r="L33">
        <v>0.28000000000000003</v>
      </c>
      <c r="M33">
        <f t="shared" si="4"/>
        <v>0.71</v>
      </c>
      <c r="N33">
        <f t="shared" si="4"/>
        <v>0.78</v>
      </c>
    </row>
    <row r="34" spans="1:14" x14ac:dyDescent="0.25">
      <c r="A34" s="59">
        <v>26</v>
      </c>
      <c r="C34">
        <f t="shared" si="1"/>
        <v>7.8E-2</v>
      </c>
      <c r="D34">
        <f t="shared" si="2"/>
        <v>0.74639999999999995</v>
      </c>
      <c r="E34">
        <f t="shared" si="0"/>
        <v>0.1966</v>
      </c>
      <c r="F34">
        <f t="shared" si="3"/>
        <v>0.82439999999999991</v>
      </c>
      <c r="G34">
        <f t="shared" si="3"/>
        <v>0.94299999999999995</v>
      </c>
      <c r="J34">
        <v>0.21</v>
      </c>
      <c r="K34">
        <v>0.5</v>
      </c>
      <c r="L34">
        <v>0.28000000000000003</v>
      </c>
      <c r="M34">
        <f t="shared" si="4"/>
        <v>0.71</v>
      </c>
      <c r="N34">
        <f t="shared" si="4"/>
        <v>0.78</v>
      </c>
    </row>
    <row r="35" spans="1:14" x14ac:dyDescent="0.25">
      <c r="A35" s="59">
        <v>27</v>
      </c>
      <c r="C35">
        <f t="shared" si="1"/>
        <v>8.1000000000000003E-2</v>
      </c>
      <c r="D35">
        <f t="shared" si="2"/>
        <v>0.74250000000000005</v>
      </c>
      <c r="E35">
        <f t="shared" si="0"/>
        <v>0.19679999999999997</v>
      </c>
      <c r="F35">
        <f t="shared" si="3"/>
        <v>0.82350000000000001</v>
      </c>
      <c r="G35">
        <f t="shared" si="3"/>
        <v>0.93930000000000002</v>
      </c>
      <c r="J35">
        <v>0.21</v>
      </c>
      <c r="K35">
        <v>0.5</v>
      </c>
      <c r="L35">
        <v>0.28000000000000003</v>
      </c>
      <c r="M35">
        <f t="shared" si="4"/>
        <v>0.71</v>
      </c>
      <c r="N35">
        <f t="shared" si="4"/>
        <v>0.78</v>
      </c>
    </row>
    <row r="36" spans="1:14" x14ac:dyDescent="0.25">
      <c r="A36" s="59">
        <v>28</v>
      </c>
      <c r="C36">
        <f t="shared" si="1"/>
        <v>8.4000000000000005E-2</v>
      </c>
      <c r="D36">
        <f t="shared" si="2"/>
        <v>0.73860000000000003</v>
      </c>
      <c r="E36">
        <f t="shared" si="0"/>
        <v>0.19699999999999998</v>
      </c>
      <c r="F36">
        <f t="shared" si="3"/>
        <v>0.8226</v>
      </c>
      <c r="G36">
        <f t="shared" si="3"/>
        <v>0.93559999999999999</v>
      </c>
      <c r="J36">
        <v>0.21</v>
      </c>
      <c r="K36">
        <v>0.5</v>
      </c>
      <c r="L36">
        <v>0.28000000000000003</v>
      </c>
      <c r="M36">
        <f t="shared" si="4"/>
        <v>0.71</v>
      </c>
      <c r="N36">
        <f t="shared" si="4"/>
        <v>0.78</v>
      </c>
    </row>
    <row r="37" spans="1:14" x14ac:dyDescent="0.25">
      <c r="A37" s="59">
        <v>29</v>
      </c>
      <c r="C37">
        <f t="shared" si="1"/>
        <v>8.7000000000000008E-2</v>
      </c>
      <c r="D37">
        <f t="shared" si="2"/>
        <v>0.73470000000000002</v>
      </c>
      <c r="E37">
        <f t="shared" si="0"/>
        <v>0.19719999999999999</v>
      </c>
      <c r="F37">
        <f t="shared" si="3"/>
        <v>0.82169999999999999</v>
      </c>
      <c r="G37">
        <f t="shared" si="3"/>
        <v>0.93189999999999995</v>
      </c>
      <c r="J37">
        <v>0.21</v>
      </c>
      <c r="K37">
        <v>0.5</v>
      </c>
      <c r="L37">
        <v>0.28000000000000003</v>
      </c>
      <c r="M37">
        <f t="shared" si="4"/>
        <v>0.71</v>
      </c>
      <c r="N37">
        <f t="shared" si="4"/>
        <v>0.78</v>
      </c>
    </row>
    <row r="38" spans="1:14" x14ac:dyDescent="0.25">
      <c r="A38" s="59">
        <v>30</v>
      </c>
      <c r="C38">
        <f t="shared" si="1"/>
        <v>0.09</v>
      </c>
      <c r="D38">
        <f t="shared" si="2"/>
        <v>0.73080000000000001</v>
      </c>
      <c r="E38">
        <f t="shared" si="0"/>
        <v>0.19739999999999999</v>
      </c>
      <c r="F38">
        <f t="shared" si="3"/>
        <v>0.82079999999999997</v>
      </c>
      <c r="G38">
        <f t="shared" si="3"/>
        <v>0.92820000000000003</v>
      </c>
      <c r="J38">
        <v>0.21</v>
      </c>
      <c r="K38">
        <v>0.5</v>
      </c>
      <c r="L38">
        <v>0.28000000000000003</v>
      </c>
      <c r="M38">
        <f t="shared" si="4"/>
        <v>0.71</v>
      </c>
      <c r="N38">
        <f t="shared" si="4"/>
        <v>0.78</v>
      </c>
    </row>
    <row r="39" spans="1:14" x14ac:dyDescent="0.25">
      <c r="A39" s="59">
        <v>31</v>
      </c>
      <c r="C39">
        <f t="shared" si="1"/>
        <v>9.2999999999999999E-2</v>
      </c>
      <c r="D39">
        <f t="shared" si="2"/>
        <v>0.72689999999999999</v>
      </c>
      <c r="E39">
        <f t="shared" si="0"/>
        <v>0.1976</v>
      </c>
      <c r="F39">
        <f t="shared" si="3"/>
        <v>0.81989999999999996</v>
      </c>
      <c r="G39">
        <f t="shared" si="3"/>
        <v>0.92449999999999999</v>
      </c>
      <c r="J39">
        <v>0.21</v>
      </c>
      <c r="K39">
        <v>0.5</v>
      </c>
      <c r="L39">
        <v>0.28000000000000003</v>
      </c>
      <c r="M39">
        <f t="shared" si="4"/>
        <v>0.71</v>
      </c>
      <c r="N39">
        <f t="shared" si="4"/>
        <v>0.78</v>
      </c>
    </row>
    <row r="40" spans="1:14" x14ac:dyDescent="0.25">
      <c r="A40" s="59">
        <v>32</v>
      </c>
      <c r="C40">
        <f t="shared" si="1"/>
        <v>9.6000000000000002E-2</v>
      </c>
      <c r="D40">
        <f t="shared" si="2"/>
        <v>0.72299999999999998</v>
      </c>
      <c r="E40">
        <f t="shared" si="0"/>
        <v>0.19779999999999998</v>
      </c>
      <c r="F40">
        <f t="shared" si="3"/>
        <v>0.81899999999999995</v>
      </c>
      <c r="G40">
        <f t="shared" si="3"/>
        <v>0.92079999999999995</v>
      </c>
      <c r="J40">
        <v>0.21</v>
      </c>
      <c r="K40">
        <v>0.5</v>
      </c>
      <c r="L40">
        <v>0.28000000000000003</v>
      </c>
      <c r="M40">
        <f t="shared" si="4"/>
        <v>0.71</v>
      </c>
      <c r="N40">
        <f t="shared" si="4"/>
        <v>0.78</v>
      </c>
    </row>
    <row r="41" spans="1:14" x14ac:dyDescent="0.25">
      <c r="A41" s="59">
        <v>33</v>
      </c>
      <c r="C41">
        <f t="shared" si="1"/>
        <v>9.9000000000000005E-2</v>
      </c>
      <c r="D41">
        <f t="shared" si="2"/>
        <v>0.71910000000000007</v>
      </c>
      <c r="E41">
        <f t="shared" si="0"/>
        <v>0.19799999999999998</v>
      </c>
      <c r="F41">
        <f t="shared" si="3"/>
        <v>0.81810000000000005</v>
      </c>
      <c r="G41">
        <f t="shared" si="3"/>
        <v>0.91710000000000003</v>
      </c>
      <c r="J41">
        <v>0.21</v>
      </c>
      <c r="K41">
        <v>0.5</v>
      </c>
      <c r="L41">
        <v>0.28000000000000003</v>
      </c>
      <c r="M41">
        <f t="shared" si="4"/>
        <v>0.71</v>
      </c>
      <c r="N41">
        <f t="shared" si="4"/>
        <v>0.78</v>
      </c>
    </row>
    <row r="42" spans="1:14" x14ac:dyDescent="0.25">
      <c r="A42" s="59">
        <v>34</v>
      </c>
      <c r="C42">
        <f t="shared" si="1"/>
        <v>0.10200000000000001</v>
      </c>
      <c r="D42">
        <f t="shared" si="2"/>
        <v>0.71520000000000006</v>
      </c>
      <c r="E42">
        <f t="shared" si="0"/>
        <v>0.19819999999999999</v>
      </c>
      <c r="F42">
        <f t="shared" si="3"/>
        <v>0.81720000000000004</v>
      </c>
      <c r="G42">
        <f t="shared" si="3"/>
        <v>0.91339999999999999</v>
      </c>
      <c r="J42">
        <v>0.21</v>
      </c>
      <c r="K42">
        <v>0.5</v>
      </c>
      <c r="L42">
        <v>0.28000000000000003</v>
      </c>
      <c r="M42">
        <f t="shared" si="4"/>
        <v>0.71</v>
      </c>
      <c r="N42">
        <f t="shared" si="4"/>
        <v>0.78</v>
      </c>
    </row>
    <row r="43" spans="1:14" x14ac:dyDescent="0.25">
      <c r="A43" s="59">
        <v>35</v>
      </c>
      <c r="C43">
        <f t="shared" si="1"/>
        <v>0.105</v>
      </c>
      <c r="D43">
        <f t="shared" si="2"/>
        <v>0.71130000000000004</v>
      </c>
      <c r="E43">
        <f t="shared" si="0"/>
        <v>0.19839999999999999</v>
      </c>
      <c r="F43">
        <f t="shared" si="3"/>
        <v>0.81630000000000003</v>
      </c>
      <c r="G43">
        <f t="shared" si="3"/>
        <v>0.90970000000000006</v>
      </c>
      <c r="J43">
        <v>0.21</v>
      </c>
      <c r="K43">
        <v>0.5</v>
      </c>
      <c r="L43">
        <v>0.28000000000000003</v>
      </c>
      <c r="M43">
        <f t="shared" si="4"/>
        <v>0.71</v>
      </c>
      <c r="N43">
        <f t="shared" si="4"/>
        <v>0.78</v>
      </c>
    </row>
    <row r="44" spans="1:14" x14ac:dyDescent="0.25">
      <c r="A44" s="59">
        <v>36</v>
      </c>
      <c r="C44">
        <f t="shared" si="1"/>
        <v>0.108</v>
      </c>
      <c r="D44">
        <f t="shared" si="2"/>
        <v>0.70740000000000003</v>
      </c>
      <c r="E44">
        <f t="shared" si="0"/>
        <v>0.1986</v>
      </c>
      <c r="F44">
        <f t="shared" si="3"/>
        <v>0.81540000000000001</v>
      </c>
      <c r="G44">
        <f t="shared" si="3"/>
        <v>0.90600000000000003</v>
      </c>
      <c r="J44">
        <v>0.21</v>
      </c>
      <c r="K44">
        <v>0.5</v>
      </c>
      <c r="L44">
        <v>0.28000000000000003</v>
      </c>
      <c r="M44">
        <f t="shared" si="4"/>
        <v>0.71</v>
      </c>
      <c r="N44">
        <f t="shared" si="4"/>
        <v>0.78</v>
      </c>
    </row>
    <row r="45" spans="1:14" x14ac:dyDescent="0.25">
      <c r="A45" s="59">
        <v>37</v>
      </c>
      <c r="C45">
        <f t="shared" si="1"/>
        <v>0.111</v>
      </c>
      <c r="D45">
        <f t="shared" si="2"/>
        <v>0.70350000000000001</v>
      </c>
      <c r="E45">
        <f t="shared" si="0"/>
        <v>0.19879999999999998</v>
      </c>
      <c r="F45">
        <f t="shared" si="3"/>
        <v>0.8145</v>
      </c>
      <c r="G45">
        <f t="shared" si="3"/>
        <v>0.90229999999999999</v>
      </c>
      <c r="J45">
        <v>0.21</v>
      </c>
      <c r="K45">
        <v>0.5</v>
      </c>
      <c r="L45">
        <v>0.28000000000000003</v>
      </c>
      <c r="M45">
        <f t="shared" si="4"/>
        <v>0.71</v>
      </c>
      <c r="N45">
        <f t="shared" si="4"/>
        <v>0.78</v>
      </c>
    </row>
    <row r="46" spans="1:14" x14ac:dyDescent="0.25">
      <c r="A46" s="59">
        <v>38</v>
      </c>
      <c r="C46">
        <f t="shared" si="1"/>
        <v>0.114</v>
      </c>
      <c r="D46">
        <f t="shared" si="2"/>
        <v>0.6996</v>
      </c>
      <c r="E46">
        <f t="shared" si="0"/>
        <v>0.19899999999999998</v>
      </c>
      <c r="F46">
        <f t="shared" si="3"/>
        <v>0.81359999999999999</v>
      </c>
      <c r="G46">
        <f t="shared" si="3"/>
        <v>0.89859999999999995</v>
      </c>
      <c r="J46">
        <v>0.21</v>
      </c>
      <c r="K46">
        <v>0.5</v>
      </c>
      <c r="L46">
        <v>0.28000000000000003</v>
      </c>
      <c r="M46">
        <f t="shared" si="4"/>
        <v>0.71</v>
      </c>
      <c r="N46">
        <f t="shared" si="4"/>
        <v>0.78</v>
      </c>
    </row>
    <row r="47" spans="1:14" x14ac:dyDescent="0.25">
      <c r="A47" s="59">
        <v>39</v>
      </c>
      <c r="C47">
        <f t="shared" si="1"/>
        <v>0.11700000000000001</v>
      </c>
      <c r="D47">
        <f t="shared" si="2"/>
        <v>0.69569999999999999</v>
      </c>
      <c r="E47">
        <f t="shared" si="0"/>
        <v>0.19919999999999999</v>
      </c>
      <c r="F47">
        <f t="shared" si="3"/>
        <v>0.81269999999999998</v>
      </c>
      <c r="G47">
        <f t="shared" si="3"/>
        <v>0.89490000000000003</v>
      </c>
      <c r="J47">
        <v>0.21</v>
      </c>
      <c r="K47">
        <v>0.5</v>
      </c>
      <c r="L47">
        <v>0.28000000000000003</v>
      </c>
      <c r="M47">
        <f t="shared" si="4"/>
        <v>0.71</v>
      </c>
      <c r="N47">
        <f t="shared" si="4"/>
        <v>0.78</v>
      </c>
    </row>
    <row r="48" spans="1:14" x14ac:dyDescent="0.25">
      <c r="A48" s="59">
        <v>40</v>
      </c>
      <c r="C48">
        <f t="shared" si="1"/>
        <v>0.12</v>
      </c>
      <c r="D48">
        <f t="shared" si="2"/>
        <v>0.69179999999999997</v>
      </c>
      <c r="E48">
        <f t="shared" si="0"/>
        <v>0.19939999999999999</v>
      </c>
      <c r="F48">
        <f t="shared" si="3"/>
        <v>0.81179999999999997</v>
      </c>
      <c r="G48">
        <f t="shared" si="3"/>
        <v>0.89119999999999999</v>
      </c>
      <c r="J48">
        <v>0.21</v>
      </c>
      <c r="K48">
        <v>0.5</v>
      </c>
      <c r="L48">
        <v>0.28000000000000003</v>
      </c>
      <c r="M48">
        <f t="shared" si="4"/>
        <v>0.71</v>
      </c>
      <c r="N48">
        <f t="shared" si="4"/>
        <v>0.78</v>
      </c>
    </row>
    <row r="49" spans="1:14" x14ac:dyDescent="0.25">
      <c r="A49" s="59">
        <v>41</v>
      </c>
      <c r="C49">
        <f t="shared" si="1"/>
        <v>0.123</v>
      </c>
      <c r="D49">
        <f t="shared" si="2"/>
        <v>0.68789999999999996</v>
      </c>
      <c r="E49">
        <f t="shared" si="0"/>
        <v>0.1996</v>
      </c>
      <c r="F49">
        <f t="shared" si="3"/>
        <v>0.81089999999999995</v>
      </c>
      <c r="G49">
        <f t="shared" si="3"/>
        <v>0.88749999999999996</v>
      </c>
      <c r="J49">
        <v>0.21</v>
      </c>
      <c r="K49">
        <v>0.5</v>
      </c>
      <c r="L49">
        <v>0.28000000000000003</v>
      </c>
      <c r="M49">
        <f t="shared" si="4"/>
        <v>0.71</v>
      </c>
      <c r="N49">
        <f t="shared" si="4"/>
        <v>0.78</v>
      </c>
    </row>
    <row r="50" spans="1:14" x14ac:dyDescent="0.25">
      <c r="A50" s="59">
        <v>42</v>
      </c>
      <c r="C50">
        <f t="shared" si="1"/>
        <v>0.126</v>
      </c>
      <c r="D50">
        <f t="shared" si="2"/>
        <v>0.68399999999999994</v>
      </c>
      <c r="E50">
        <f t="shared" si="0"/>
        <v>0.19979999999999998</v>
      </c>
      <c r="F50">
        <f t="shared" si="3"/>
        <v>0.80999999999999994</v>
      </c>
      <c r="G50">
        <f t="shared" si="3"/>
        <v>0.88379999999999992</v>
      </c>
      <c r="J50">
        <v>0.21</v>
      </c>
      <c r="K50">
        <v>0.5</v>
      </c>
      <c r="L50">
        <v>0.28000000000000003</v>
      </c>
      <c r="M50">
        <f t="shared" si="4"/>
        <v>0.71</v>
      </c>
      <c r="N50">
        <f t="shared" si="4"/>
        <v>0.78</v>
      </c>
    </row>
    <row r="51" spans="1:14" x14ac:dyDescent="0.25">
      <c r="A51" s="59">
        <v>43</v>
      </c>
      <c r="C51">
        <f t="shared" si="1"/>
        <v>0.129</v>
      </c>
      <c r="D51">
        <f t="shared" si="2"/>
        <v>0.68010000000000004</v>
      </c>
      <c r="E51">
        <f t="shared" si="0"/>
        <v>0.19999999999999998</v>
      </c>
      <c r="F51">
        <f t="shared" si="3"/>
        <v>0.80910000000000004</v>
      </c>
      <c r="G51">
        <f t="shared" si="3"/>
        <v>0.88009999999999999</v>
      </c>
      <c r="J51">
        <v>0.21</v>
      </c>
      <c r="K51">
        <v>0.5</v>
      </c>
      <c r="L51">
        <v>0.28000000000000003</v>
      </c>
      <c r="M51">
        <f t="shared" si="4"/>
        <v>0.71</v>
      </c>
      <c r="N51">
        <f t="shared" si="4"/>
        <v>0.78</v>
      </c>
    </row>
    <row r="52" spans="1:14" x14ac:dyDescent="0.25">
      <c r="A52" s="59">
        <v>44</v>
      </c>
      <c r="C52">
        <f t="shared" si="1"/>
        <v>0.13200000000000001</v>
      </c>
      <c r="D52">
        <f t="shared" si="2"/>
        <v>0.67620000000000002</v>
      </c>
      <c r="E52">
        <f t="shared" si="0"/>
        <v>0.20019999999999999</v>
      </c>
      <c r="F52">
        <f t="shared" si="3"/>
        <v>0.80820000000000003</v>
      </c>
      <c r="G52">
        <f t="shared" si="3"/>
        <v>0.87640000000000007</v>
      </c>
      <c r="J52">
        <v>0.21</v>
      </c>
      <c r="K52">
        <v>0.5</v>
      </c>
      <c r="L52">
        <v>0.28000000000000003</v>
      </c>
      <c r="M52">
        <f t="shared" si="4"/>
        <v>0.71</v>
      </c>
      <c r="N52">
        <f t="shared" si="4"/>
        <v>0.78</v>
      </c>
    </row>
    <row r="53" spans="1:14" x14ac:dyDescent="0.25">
      <c r="C53">
        <f t="shared" si="1"/>
        <v>0</v>
      </c>
      <c r="D53">
        <f t="shared" si="2"/>
        <v>0.8478</v>
      </c>
      <c r="E53">
        <f t="shared" si="0"/>
        <v>0.19139999999999999</v>
      </c>
      <c r="F53">
        <f t="shared" si="3"/>
        <v>0.8478</v>
      </c>
      <c r="G53">
        <f t="shared" si="3"/>
        <v>1.0391999999999999</v>
      </c>
      <c r="J53">
        <v>0.21</v>
      </c>
      <c r="K53">
        <v>0.5</v>
      </c>
      <c r="L53">
        <v>0.28000000000000003</v>
      </c>
      <c r="M53">
        <f t="shared" si="4"/>
        <v>0.71</v>
      </c>
      <c r="N53">
        <f t="shared" si="4"/>
        <v>0.78</v>
      </c>
    </row>
    <row r="54" spans="1:14" x14ac:dyDescent="0.25">
      <c r="A54" s="59">
        <v>45</v>
      </c>
      <c r="C54">
        <f t="shared" si="1"/>
        <v>0.13500000000000001</v>
      </c>
      <c r="D54">
        <f t="shared" si="2"/>
        <v>0.67230000000000001</v>
      </c>
      <c r="E54">
        <f t="shared" si="0"/>
        <v>0.20039999999999999</v>
      </c>
      <c r="F54">
        <f t="shared" si="3"/>
        <v>0.80730000000000002</v>
      </c>
      <c r="G54">
        <f t="shared" si="3"/>
        <v>0.87270000000000003</v>
      </c>
      <c r="J54">
        <v>0.21</v>
      </c>
      <c r="K54">
        <v>0.5</v>
      </c>
      <c r="L54">
        <v>0.28000000000000003</v>
      </c>
      <c r="M54">
        <f t="shared" si="4"/>
        <v>0.71</v>
      </c>
      <c r="N54">
        <f t="shared" si="4"/>
        <v>0.78</v>
      </c>
    </row>
    <row r="55" spans="1:14" x14ac:dyDescent="0.25">
      <c r="A55" s="59">
        <v>46</v>
      </c>
      <c r="C55">
        <f t="shared" si="1"/>
        <v>0.13800000000000001</v>
      </c>
      <c r="D55">
        <f t="shared" si="2"/>
        <v>0.66839999999999999</v>
      </c>
      <c r="E55">
        <f t="shared" si="0"/>
        <v>0.2006</v>
      </c>
      <c r="F55">
        <f t="shared" si="3"/>
        <v>0.80640000000000001</v>
      </c>
      <c r="G55">
        <f t="shared" si="3"/>
        <v>0.86899999999999999</v>
      </c>
      <c r="J55">
        <v>0.21</v>
      </c>
      <c r="K55">
        <v>0.5</v>
      </c>
      <c r="L55">
        <v>0.28000000000000003</v>
      </c>
      <c r="M55">
        <f t="shared" si="4"/>
        <v>0.71</v>
      </c>
      <c r="N55">
        <f t="shared" si="4"/>
        <v>0.78</v>
      </c>
    </row>
    <row r="56" spans="1:14" x14ac:dyDescent="0.25">
      <c r="A56" s="59">
        <v>47</v>
      </c>
      <c r="C56">
        <f t="shared" si="1"/>
        <v>0.14100000000000001</v>
      </c>
      <c r="D56">
        <f t="shared" si="2"/>
        <v>0.66449999999999998</v>
      </c>
      <c r="E56">
        <f t="shared" si="0"/>
        <v>0.20079999999999998</v>
      </c>
      <c r="F56">
        <f t="shared" si="3"/>
        <v>0.80549999999999999</v>
      </c>
      <c r="G56">
        <f t="shared" si="3"/>
        <v>0.86529999999999996</v>
      </c>
      <c r="J56">
        <v>0.21</v>
      </c>
      <c r="K56">
        <v>0.5</v>
      </c>
      <c r="L56">
        <v>0.28000000000000003</v>
      </c>
      <c r="M56">
        <f t="shared" si="4"/>
        <v>0.71</v>
      </c>
      <c r="N56">
        <f t="shared" si="4"/>
        <v>0.78</v>
      </c>
    </row>
    <row r="57" spans="1:14" x14ac:dyDescent="0.25">
      <c r="A57" s="59">
        <v>48</v>
      </c>
      <c r="C57">
        <f t="shared" si="1"/>
        <v>0.14400000000000002</v>
      </c>
      <c r="D57">
        <f t="shared" si="2"/>
        <v>0.66060000000000008</v>
      </c>
      <c r="E57">
        <f t="shared" si="0"/>
        <v>0.20099999999999998</v>
      </c>
      <c r="F57">
        <f t="shared" si="3"/>
        <v>0.80460000000000009</v>
      </c>
      <c r="G57">
        <f t="shared" si="3"/>
        <v>0.86160000000000003</v>
      </c>
      <c r="J57">
        <v>0.21</v>
      </c>
      <c r="K57">
        <v>0.5</v>
      </c>
      <c r="L57">
        <v>0.28000000000000003</v>
      </c>
      <c r="M57">
        <f t="shared" si="4"/>
        <v>0.71</v>
      </c>
      <c r="N57">
        <f t="shared" si="4"/>
        <v>0.78</v>
      </c>
    </row>
    <row r="58" spans="1:14" x14ac:dyDescent="0.25">
      <c r="A58" s="59">
        <v>49</v>
      </c>
      <c r="C58">
        <f t="shared" si="1"/>
        <v>0.14699999999999999</v>
      </c>
      <c r="D58">
        <f t="shared" si="2"/>
        <v>0.65670000000000006</v>
      </c>
      <c r="E58">
        <f t="shared" si="0"/>
        <v>0.20119999999999999</v>
      </c>
      <c r="F58">
        <f t="shared" si="3"/>
        <v>0.80370000000000008</v>
      </c>
      <c r="G58">
        <f t="shared" si="3"/>
        <v>0.85790000000000011</v>
      </c>
      <c r="J58">
        <v>0.21</v>
      </c>
      <c r="K58">
        <v>0.5</v>
      </c>
      <c r="L58">
        <v>0.28000000000000003</v>
      </c>
      <c r="M58">
        <f t="shared" si="4"/>
        <v>0.71</v>
      </c>
      <c r="N58">
        <f t="shared" si="4"/>
        <v>0.78</v>
      </c>
    </row>
    <row r="59" spans="1:14" x14ac:dyDescent="0.25">
      <c r="A59" s="59">
        <v>50</v>
      </c>
      <c r="C59">
        <f t="shared" si="1"/>
        <v>0.15</v>
      </c>
      <c r="D59">
        <f t="shared" si="2"/>
        <v>0.65280000000000005</v>
      </c>
      <c r="E59">
        <f t="shared" si="0"/>
        <v>0.2014</v>
      </c>
      <c r="F59">
        <f t="shared" si="3"/>
        <v>0.80280000000000007</v>
      </c>
      <c r="G59">
        <f t="shared" si="3"/>
        <v>0.85420000000000007</v>
      </c>
      <c r="J59">
        <v>0.21</v>
      </c>
      <c r="K59">
        <v>0.5</v>
      </c>
      <c r="L59">
        <v>0.28000000000000003</v>
      </c>
      <c r="M59">
        <f t="shared" si="4"/>
        <v>0.71</v>
      </c>
      <c r="N59">
        <f t="shared" si="4"/>
        <v>0.78</v>
      </c>
    </row>
    <row r="60" spans="1:14" x14ac:dyDescent="0.25">
      <c r="A60" s="59">
        <v>51</v>
      </c>
      <c r="C60">
        <f t="shared" si="1"/>
        <v>0.153</v>
      </c>
      <c r="D60">
        <f t="shared" si="2"/>
        <v>0.64890000000000003</v>
      </c>
      <c r="E60">
        <f t="shared" si="0"/>
        <v>0.2016</v>
      </c>
      <c r="F60">
        <f t="shared" si="3"/>
        <v>0.80190000000000006</v>
      </c>
      <c r="G60">
        <f t="shared" si="3"/>
        <v>0.85050000000000003</v>
      </c>
      <c r="J60">
        <v>0.21</v>
      </c>
      <c r="K60">
        <v>0.5</v>
      </c>
      <c r="L60">
        <v>0.28000000000000003</v>
      </c>
      <c r="M60">
        <f t="shared" si="4"/>
        <v>0.71</v>
      </c>
      <c r="N60">
        <f t="shared" si="4"/>
        <v>0.78</v>
      </c>
    </row>
    <row r="61" spans="1:14" x14ac:dyDescent="0.25">
      <c r="A61" s="59">
        <v>52</v>
      </c>
      <c r="C61">
        <f t="shared" si="1"/>
        <v>0.156</v>
      </c>
      <c r="D61">
        <f t="shared" si="2"/>
        <v>0.64500000000000002</v>
      </c>
      <c r="E61">
        <f t="shared" si="0"/>
        <v>0.20179999999999998</v>
      </c>
      <c r="F61">
        <f t="shared" si="3"/>
        <v>0.80100000000000005</v>
      </c>
      <c r="G61">
        <f t="shared" si="3"/>
        <v>0.8468</v>
      </c>
      <c r="J61">
        <v>0.21</v>
      </c>
      <c r="K61">
        <v>0.5</v>
      </c>
      <c r="L61">
        <v>0.28000000000000003</v>
      </c>
      <c r="M61">
        <f t="shared" si="4"/>
        <v>0.71</v>
      </c>
      <c r="N61">
        <f t="shared" si="4"/>
        <v>0.78</v>
      </c>
    </row>
    <row r="62" spans="1:14" x14ac:dyDescent="0.25">
      <c r="A62" s="59">
        <v>53</v>
      </c>
      <c r="C62">
        <f t="shared" si="1"/>
        <v>0.159</v>
      </c>
      <c r="D62">
        <f t="shared" si="2"/>
        <v>0.6411</v>
      </c>
      <c r="E62">
        <f t="shared" si="0"/>
        <v>0.20199999999999999</v>
      </c>
      <c r="F62">
        <f t="shared" si="3"/>
        <v>0.80010000000000003</v>
      </c>
      <c r="G62">
        <f t="shared" si="3"/>
        <v>0.84309999999999996</v>
      </c>
      <c r="J62">
        <v>0.21</v>
      </c>
      <c r="K62">
        <v>0.5</v>
      </c>
      <c r="L62">
        <v>0.28000000000000003</v>
      </c>
      <c r="M62">
        <f t="shared" si="4"/>
        <v>0.71</v>
      </c>
      <c r="N62">
        <f t="shared" si="4"/>
        <v>0.78</v>
      </c>
    </row>
    <row r="63" spans="1:14" x14ac:dyDescent="0.25">
      <c r="A63" s="59">
        <v>54</v>
      </c>
      <c r="C63">
        <f t="shared" si="1"/>
        <v>0.16200000000000001</v>
      </c>
      <c r="D63">
        <f t="shared" si="2"/>
        <v>0.63719999999999999</v>
      </c>
      <c r="E63">
        <f t="shared" si="0"/>
        <v>0.20219999999999999</v>
      </c>
      <c r="F63">
        <f t="shared" si="3"/>
        <v>0.79920000000000002</v>
      </c>
      <c r="G63">
        <f t="shared" si="3"/>
        <v>0.83939999999999992</v>
      </c>
      <c r="J63">
        <v>0.21</v>
      </c>
      <c r="K63">
        <v>0.5</v>
      </c>
      <c r="L63">
        <v>0.28000000000000003</v>
      </c>
      <c r="M63">
        <f t="shared" si="4"/>
        <v>0.71</v>
      </c>
      <c r="N63">
        <f t="shared" si="4"/>
        <v>0.78</v>
      </c>
    </row>
    <row r="64" spans="1:14" x14ac:dyDescent="0.25">
      <c r="A64" s="59">
        <v>55</v>
      </c>
      <c r="C64">
        <f t="shared" si="1"/>
        <v>0.16500000000000001</v>
      </c>
      <c r="D64">
        <f t="shared" si="2"/>
        <v>0.63329999999999997</v>
      </c>
      <c r="E64">
        <f t="shared" si="0"/>
        <v>0.2024</v>
      </c>
      <c r="F64">
        <f t="shared" si="3"/>
        <v>0.79830000000000001</v>
      </c>
      <c r="G64">
        <f t="shared" si="3"/>
        <v>0.8357</v>
      </c>
      <c r="J64">
        <v>0.21</v>
      </c>
      <c r="K64">
        <v>0.5</v>
      </c>
      <c r="L64">
        <v>0.28000000000000003</v>
      </c>
      <c r="M64">
        <f t="shared" si="4"/>
        <v>0.71</v>
      </c>
      <c r="N64">
        <f t="shared" si="4"/>
        <v>0.78</v>
      </c>
    </row>
    <row r="65" spans="1:14" x14ac:dyDescent="0.25">
      <c r="A65" s="59">
        <v>56</v>
      </c>
      <c r="C65">
        <f t="shared" si="1"/>
        <v>0.16800000000000001</v>
      </c>
      <c r="D65">
        <f t="shared" si="2"/>
        <v>0.62939999999999996</v>
      </c>
      <c r="E65">
        <f t="shared" si="0"/>
        <v>0.20259999999999997</v>
      </c>
      <c r="F65">
        <f t="shared" si="3"/>
        <v>0.7974</v>
      </c>
      <c r="G65">
        <f t="shared" si="3"/>
        <v>0.83199999999999996</v>
      </c>
      <c r="J65">
        <v>0.21</v>
      </c>
      <c r="K65">
        <v>0.5</v>
      </c>
      <c r="L65">
        <v>0.28000000000000003</v>
      </c>
      <c r="M65">
        <f t="shared" si="4"/>
        <v>0.71</v>
      </c>
      <c r="N65">
        <f t="shared" si="4"/>
        <v>0.78</v>
      </c>
    </row>
    <row r="66" spans="1:14" x14ac:dyDescent="0.25">
      <c r="A66" s="59">
        <v>57</v>
      </c>
      <c r="C66">
        <f t="shared" si="1"/>
        <v>0.17100000000000001</v>
      </c>
      <c r="D66">
        <f t="shared" si="2"/>
        <v>0.62549999999999994</v>
      </c>
      <c r="E66">
        <f t="shared" si="0"/>
        <v>0.20279999999999998</v>
      </c>
      <c r="F66">
        <f t="shared" si="3"/>
        <v>0.79649999999999999</v>
      </c>
      <c r="G66">
        <f t="shared" si="3"/>
        <v>0.82829999999999993</v>
      </c>
      <c r="J66">
        <v>0.21</v>
      </c>
      <c r="K66">
        <v>0.5</v>
      </c>
      <c r="L66">
        <v>0.28000000000000003</v>
      </c>
      <c r="M66">
        <f t="shared" si="4"/>
        <v>0.71</v>
      </c>
      <c r="N66">
        <f t="shared" si="4"/>
        <v>0.78</v>
      </c>
    </row>
    <row r="67" spans="1:14" x14ac:dyDescent="0.25">
      <c r="A67" s="59">
        <v>58</v>
      </c>
      <c r="C67">
        <f t="shared" si="1"/>
        <v>0.17400000000000002</v>
      </c>
      <c r="D67">
        <f t="shared" si="2"/>
        <v>0.62160000000000004</v>
      </c>
      <c r="E67">
        <f t="shared" si="0"/>
        <v>0.20299999999999999</v>
      </c>
      <c r="F67">
        <f t="shared" si="3"/>
        <v>0.79560000000000008</v>
      </c>
      <c r="G67">
        <f t="shared" si="3"/>
        <v>0.8246</v>
      </c>
      <c r="J67">
        <v>0.21</v>
      </c>
      <c r="K67">
        <v>0.5</v>
      </c>
      <c r="L67">
        <v>0.28000000000000003</v>
      </c>
      <c r="M67">
        <f t="shared" si="4"/>
        <v>0.71</v>
      </c>
      <c r="N67">
        <f t="shared" si="4"/>
        <v>0.78</v>
      </c>
    </row>
    <row r="68" spans="1:14" x14ac:dyDescent="0.25">
      <c r="A68" s="59">
        <v>59</v>
      </c>
      <c r="C68">
        <f t="shared" si="1"/>
        <v>0.17699999999999999</v>
      </c>
      <c r="D68">
        <f t="shared" si="2"/>
        <v>0.61770000000000003</v>
      </c>
      <c r="E68">
        <f t="shared" si="0"/>
        <v>0.20319999999999999</v>
      </c>
      <c r="F68">
        <f t="shared" si="3"/>
        <v>0.79469999999999996</v>
      </c>
      <c r="G68">
        <f t="shared" si="3"/>
        <v>0.82089999999999996</v>
      </c>
      <c r="J68">
        <v>0.21</v>
      </c>
      <c r="K68">
        <v>0.5</v>
      </c>
      <c r="L68">
        <v>0.28000000000000003</v>
      </c>
      <c r="M68">
        <f t="shared" si="4"/>
        <v>0.71</v>
      </c>
      <c r="N68">
        <f t="shared" si="4"/>
        <v>0.78</v>
      </c>
    </row>
    <row r="69" spans="1:14" x14ac:dyDescent="0.25">
      <c r="A69" s="59">
        <v>60</v>
      </c>
      <c r="C69">
        <f t="shared" si="1"/>
        <v>0.18</v>
      </c>
      <c r="D69">
        <f t="shared" si="2"/>
        <v>0.61380000000000001</v>
      </c>
      <c r="E69">
        <f t="shared" si="0"/>
        <v>0.2034</v>
      </c>
      <c r="F69">
        <f t="shared" si="3"/>
        <v>0.79380000000000006</v>
      </c>
      <c r="G69">
        <f t="shared" si="3"/>
        <v>0.81720000000000004</v>
      </c>
      <c r="J69">
        <v>0.21</v>
      </c>
      <c r="K69">
        <v>0.5</v>
      </c>
      <c r="L69">
        <v>0.28000000000000003</v>
      </c>
      <c r="M69">
        <f t="shared" si="4"/>
        <v>0.71</v>
      </c>
      <c r="N69">
        <f t="shared" si="4"/>
        <v>0.78</v>
      </c>
    </row>
    <row r="70" spans="1:14" x14ac:dyDescent="0.25">
      <c r="A70" s="59">
        <v>61</v>
      </c>
      <c r="C70">
        <f t="shared" si="1"/>
        <v>0.183</v>
      </c>
      <c r="D70">
        <f t="shared" si="2"/>
        <v>0.6099</v>
      </c>
      <c r="E70">
        <f t="shared" si="0"/>
        <v>0.20359999999999998</v>
      </c>
      <c r="F70">
        <f t="shared" si="3"/>
        <v>0.79289999999999994</v>
      </c>
      <c r="G70">
        <f t="shared" si="3"/>
        <v>0.8135</v>
      </c>
      <c r="J70">
        <v>0.21</v>
      </c>
      <c r="K70">
        <v>0.5</v>
      </c>
      <c r="L70">
        <v>0.28000000000000003</v>
      </c>
      <c r="M70">
        <f t="shared" si="4"/>
        <v>0.71</v>
      </c>
      <c r="N70">
        <f t="shared" si="4"/>
        <v>0.78</v>
      </c>
    </row>
    <row r="71" spans="1:14" x14ac:dyDescent="0.25">
      <c r="A71" s="59">
        <v>62</v>
      </c>
      <c r="C71">
        <f t="shared" si="1"/>
        <v>0.186</v>
      </c>
      <c r="D71">
        <f t="shared" si="2"/>
        <v>0.60599999999999998</v>
      </c>
      <c r="E71">
        <f t="shared" si="0"/>
        <v>0.20379999999999998</v>
      </c>
      <c r="F71">
        <f t="shared" si="3"/>
        <v>0.79200000000000004</v>
      </c>
      <c r="G71">
        <f t="shared" si="3"/>
        <v>0.80979999999999996</v>
      </c>
      <c r="J71">
        <v>0.21</v>
      </c>
      <c r="K71">
        <v>0.5</v>
      </c>
      <c r="L71">
        <v>0.28000000000000003</v>
      </c>
      <c r="M71">
        <f t="shared" si="4"/>
        <v>0.71</v>
      </c>
      <c r="N71">
        <f t="shared" si="4"/>
        <v>0.78</v>
      </c>
    </row>
    <row r="72" spans="1:14" x14ac:dyDescent="0.25">
      <c r="A72" s="59">
        <v>63</v>
      </c>
      <c r="C72">
        <f t="shared" si="1"/>
        <v>0.189</v>
      </c>
      <c r="D72">
        <f t="shared" si="2"/>
        <v>0.60209999999999997</v>
      </c>
      <c r="E72">
        <f t="shared" si="0"/>
        <v>0.20399999999999999</v>
      </c>
      <c r="F72">
        <f t="shared" si="3"/>
        <v>0.79109999999999991</v>
      </c>
      <c r="G72">
        <f t="shared" si="3"/>
        <v>0.80609999999999993</v>
      </c>
      <c r="J72">
        <v>0.21</v>
      </c>
      <c r="K72">
        <v>0.5</v>
      </c>
      <c r="L72">
        <v>0.28000000000000003</v>
      </c>
      <c r="M72">
        <f t="shared" si="4"/>
        <v>0.71</v>
      </c>
      <c r="N72">
        <f t="shared" si="4"/>
        <v>0.78</v>
      </c>
    </row>
    <row r="73" spans="1:14" x14ac:dyDescent="0.25">
      <c r="A73" s="59">
        <v>64</v>
      </c>
      <c r="C73">
        <f t="shared" si="1"/>
        <v>0.192</v>
      </c>
      <c r="D73">
        <f t="shared" si="2"/>
        <v>0.59820000000000007</v>
      </c>
      <c r="E73">
        <f t="shared" ref="E73:E136" si="5">(0.0002*A73)+0.1914</f>
        <v>0.20419999999999999</v>
      </c>
      <c r="F73">
        <f t="shared" si="3"/>
        <v>0.79020000000000001</v>
      </c>
      <c r="G73">
        <f t="shared" si="3"/>
        <v>0.8024</v>
      </c>
      <c r="J73">
        <v>0.21</v>
      </c>
      <c r="K73">
        <v>0.5</v>
      </c>
      <c r="L73">
        <v>0.28000000000000003</v>
      </c>
      <c r="M73">
        <f t="shared" si="4"/>
        <v>0.71</v>
      </c>
      <c r="N73">
        <f t="shared" si="4"/>
        <v>0.78</v>
      </c>
    </row>
    <row r="74" spans="1:14" x14ac:dyDescent="0.25">
      <c r="A74" s="59">
        <v>65</v>
      </c>
      <c r="C74">
        <f t="shared" ref="C74:C142" si="6">((0.003)*A74)</f>
        <v>0.19500000000000001</v>
      </c>
      <c r="D74">
        <f t="shared" ref="D74:D142" si="7">((-0.0039)*A74)+0.8478</f>
        <v>0.59430000000000005</v>
      </c>
      <c r="E74">
        <f t="shared" si="5"/>
        <v>0.2044</v>
      </c>
      <c r="F74">
        <f t="shared" ref="F74:G142" si="8">C74+D74</f>
        <v>0.78930000000000011</v>
      </c>
      <c r="G74">
        <f t="shared" si="8"/>
        <v>0.79870000000000008</v>
      </c>
      <c r="J74">
        <v>0.21</v>
      </c>
      <c r="K74">
        <v>0.5</v>
      </c>
      <c r="L74">
        <v>0.28000000000000003</v>
      </c>
      <c r="M74">
        <f t="shared" ref="M74:N142" si="9">J74+K74</f>
        <v>0.71</v>
      </c>
      <c r="N74">
        <f t="shared" si="9"/>
        <v>0.78</v>
      </c>
    </row>
    <row r="75" spans="1:14" x14ac:dyDescent="0.25">
      <c r="A75" s="59">
        <v>66</v>
      </c>
      <c r="C75">
        <f t="shared" si="6"/>
        <v>0.19800000000000001</v>
      </c>
      <c r="D75">
        <f t="shared" si="7"/>
        <v>0.59040000000000004</v>
      </c>
      <c r="E75">
        <f t="shared" si="5"/>
        <v>0.20459999999999998</v>
      </c>
      <c r="F75">
        <f t="shared" si="8"/>
        <v>0.78839999999999999</v>
      </c>
      <c r="G75">
        <f t="shared" si="8"/>
        <v>0.79500000000000004</v>
      </c>
      <c r="J75">
        <v>0.21</v>
      </c>
      <c r="K75">
        <v>0.5</v>
      </c>
      <c r="L75">
        <v>0.28000000000000003</v>
      </c>
      <c r="M75">
        <f t="shared" si="9"/>
        <v>0.71</v>
      </c>
      <c r="N75">
        <f t="shared" si="9"/>
        <v>0.78</v>
      </c>
    </row>
    <row r="76" spans="1:14" x14ac:dyDescent="0.25">
      <c r="A76" s="59">
        <v>67</v>
      </c>
      <c r="C76">
        <f t="shared" si="6"/>
        <v>0.20100000000000001</v>
      </c>
      <c r="D76">
        <f t="shared" si="7"/>
        <v>0.58650000000000002</v>
      </c>
      <c r="E76">
        <f t="shared" si="5"/>
        <v>0.20479999999999998</v>
      </c>
      <c r="F76">
        <f t="shared" si="8"/>
        <v>0.78750000000000009</v>
      </c>
      <c r="G76">
        <f t="shared" si="8"/>
        <v>0.7913</v>
      </c>
      <c r="J76">
        <v>0.21</v>
      </c>
      <c r="K76">
        <v>0.5</v>
      </c>
      <c r="L76">
        <v>0.28000000000000003</v>
      </c>
      <c r="M76">
        <f t="shared" si="9"/>
        <v>0.71</v>
      </c>
      <c r="N76">
        <f t="shared" si="9"/>
        <v>0.78</v>
      </c>
    </row>
    <row r="77" spans="1:14" x14ac:dyDescent="0.25">
      <c r="A77" s="59">
        <v>68</v>
      </c>
      <c r="C77">
        <f t="shared" si="6"/>
        <v>0.20400000000000001</v>
      </c>
      <c r="D77">
        <f t="shared" si="7"/>
        <v>0.58260000000000001</v>
      </c>
      <c r="E77">
        <f t="shared" si="5"/>
        <v>0.20499999999999999</v>
      </c>
      <c r="F77">
        <f t="shared" si="8"/>
        <v>0.78659999999999997</v>
      </c>
      <c r="G77">
        <f t="shared" si="8"/>
        <v>0.78759999999999997</v>
      </c>
      <c r="J77">
        <v>0.21</v>
      </c>
      <c r="K77">
        <v>0.5</v>
      </c>
      <c r="L77">
        <v>0.28000000000000003</v>
      </c>
      <c r="M77">
        <f t="shared" si="9"/>
        <v>0.71</v>
      </c>
      <c r="N77">
        <f t="shared" si="9"/>
        <v>0.78</v>
      </c>
    </row>
    <row r="78" spans="1:14" x14ac:dyDescent="0.25">
      <c r="A78" s="59">
        <v>69</v>
      </c>
      <c r="C78">
        <f t="shared" si="6"/>
        <v>0.20700000000000002</v>
      </c>
      <c r="D78">
        <f t="shared" si="7"/>
        <v>0.57869999999999999</v>
      </c>
      <c r="E78">
        <f t="shared" si="5"/>
        <v>0.20519999999999999</v>
      </c>
      <c r="F78">
        <f t="shared" si="8"/>
        <v>0.78570000000000007</v>
      </c>
      <c r="G78">
        <f t="shared" si="8"/>
        <v>0.78390000000000004</v>
      </c>
      <c r="J78">
        <v>0.21</v>
      </c>
      <c r="K78">
        <v>0.5</v>
      </c>
      <c r="L78">
        <v>0.28000000000000003</v>
      </c>
      <c r="M78">
        <f t="shared" si="9"/>
        <v>0.71</v>
      </c>
      <c r="N78">
        <f t="shared" si="9"/>
        <v>0.78</v>
      </c>
    </row>
    <row r="79" spans="1:14" x14ac:dyDescent="0.25">
      <c r="A79" s="59">
        <v>70</v>
      </c>
      <c r="C79">
        <f t="shared" si="6"/>
        <v>0.21</v>
      </c>
      <c r="D79">
        <f t="shared" si="7"/>
        <v>0.57479999999999998</v>
      </c>
      <c r="E79">
        <f t="shared" si="5"/>
        <v>0.2054</v>
      </c>
      <c r="F79">
        <f t="shared" si="8"/>
        <v>0.78479999999999994</v>
      </c>
      <c r="G79">
        <f t="shared" si="8"/>
        <v>0.7802</v>
      </c>
      <c r="J79">
        <v>0.21</v>
      </c>
      <c r="K79">
        <v>0.5</v>
      </c>
      <c r="L79">
        <v>0.28000000000000003</v>
      </c>
      <c r="M79">
        <f t="shared" si="9"/>
        <v>0.71</v>
      </c>
      <c r="N79">
        <f t="shared" si="9"/>
        <v>0.78</v>
      </c>
    </row>
    <row r="80" spans="1:14" x14ac:dyDescent="0.25">
      <c r="A80" s="59">
        <v>71</v>
      </c>
      <c r="C80">
        <f t="shared" si="6"/>
        <v>0.21299999999999999</v>
      </c>
      <c r="D80">
        <f t="shared" si="7"/>
        <v>0.57089999999999996</v>
      </c>
      <c r="E80">
        <f t="shared" si="5"/>
        <v>0.20559999999999998</v>
      </c>
      <c r="F80">
        <f t="shared" si="8"/>
        <v>0.78389999999999993</v>
      </c>
      <c r="G80">
        <f t="shared" si="8"/>
        <v>0.77649999999999997</v>
      </c>
      <c r="J80">
        <v>0.21</v>
      </c>
      <c r="K80">
        <v>0.5</v>
      </c>
      <c r="L80">
        <v>0.28000000000000003</v>
      </c>
      <c r="M80">
        <f t="shared" si="9"/>
        <v>0.71</v>
      </c>
      <c r="N80">
        <f t="shared" si="9"/>
        <v>0.78</v>
      </c>
    </row>
    <row r="81" spans="1:14" x14ac:dyDescent="0.25">
      <c r="A81" s="59">
        <v>72</v>
      </c>
      <c r="C81">
        <f t="shared" si="6"/>
        <v>0.216</v>
      </c>
      <c r="D81">
        <f t="shared" si="7"/>
        <v>0.56699999999999995</v>
      </c>
      <c r="E81">
        <f t="shared" si="5"/>
        <v>0.20579999999999998</v>
      </c>
      <c r="F81">
        <f t="shared" si="8"/>
        <v>0.78299999999999992</v>
      </c>
      <c r="G81">
        <f t="shared" si="8"/>
        <v>0.77279999999999993</v>
      </c>
      <c r="J81">
        <v>0.21</v>
      </c>
      <c r="K81">
        <v>0.5</v>
      </c>
      <c r="L81">
        <v>0.28000000000000003</v>
      </c>
      <c r="M81">
        <f t="shared" si="9"/>
        <v>0.71</v>
      </c>
      <c r="N81">
        <f t="shared" si="9"/>
        <v>0.78</v>
      </c>
    </row>
    <row r="82" spans="1:14" x14ac:dyDescent="0.25">
      <c r="A82" s="59">
        <v>73</v>
      </c>
      <c r="C82">
        <f t="shared" si="6"/>
        <v>0.219</v>
      </c>
      <c r="D82">
        <f t="shared" si="7"/>
        <v>0.56309999999999993</v>
      </c>
      <c r="E82">
        <f t="shared" si="5"/>
        <v>0.20599999999999999</v>
      </c>
      <c r="F82">
        <f t="shared" si="8"/>
        <v>0.78209999999999991</v>
      </c>
      <c r="G82">
        <f t="shared" si="8"/>
        <v>0.76909999999999989</v>
      </c>
      <c r="J82">
        <v>0.21</v>
      </c>
      <c r="K82">
        <v>0.5</v>
      </c>
      <c r="L82">
        <v>0.28000000000000003</v>
      </c>
      <c r="M82">
        <f t="shared" si="9"/>
        <v>0.71</v>
      </c>
      <c r="N82">
        <f t="shared" si="9"/>
        <v>0.78</v>
      </c>
    </row>
    <row r="83" spans="1:14" x14ac:dyDescent="0.25">
      <c r="A83" s="59">
        <v>74</v>
      </c>
      <c r="C83">
        <f t="shared" si="6"/>
        <v>0.222</v>
      </c>
      <c r="D83">
        <f t="shared" si="7"/>
        <v>0.55920000000000003</v>
      </c>
      <c r="E83">
        <f t="shared" si="5"/>
        <v>0.20619999999999999</v>
      </c>
      <c r="F83">
        <f t="shared" si="8"/>
        <v>0.78120000000000001</v>
      </c>
      <c r="G83">
        <f t="shared" si="8"/>
        <v>0.76540000000000008</v>
      </c>
      <c r="J83">
        <v>0.21</v>
      </c>
      <c r="K83">
        <v>0.5</v>
      </c>
      <c r="L83">
        <v>0.28000000000000003</v>
      </c>
      <c r="M83">
        <f t="shared" si="9"/>
        <v>0.71</v>
      </c>
      <c r="N83">
        <f t="shared" si="9"/>
        <v>0.78</v>
      </c>
    </row>
    <row r="84" spans="1:14" x14ac:dyDescent="0.25">
      <c r="A84" s="59">
        <v>75</v>
      </c>
      <c r="C84">
        <f t="shared" si="6"/>
        <v>0.22500000000000001</v>
      </c>
      <c r="D84">
        <f t="shared" si="7"/>
        <v>0.55530000000000002</v>
      </c>
      <c r="E84">
        <f t="shared" si="5"/>
        <v>0.2064</v>
      </c>
      <c r="F84">
        <f t="shared" si="8"/>
        <v>0.78029999999999999</v>
      </c>
      <c r="G84">
        <f t="shared" si="8"/>
        <v>0.76170000000000004</v>
      </c>
      <c r="J84">
        <v>0.21</v>
      </c>
      <c r="K84">
        <v>0.5</v>
      </c>
      <c r="L84">
        <v>0.28000000000000003</v>
      </c>
      <c r="M84">
        <f t="shared" si="9"/>
        <v>0.71</v>
      </c>
      <c r="N84">
        <f t="shared" si="9"/>
        <v>0.78</v>
      </c>
    </row>
    <row r="85" spans="1:14" x14ac:dyDescent="0.25">
      <c r="A85" s="59">
        <v>77</v>
      </c>
      <c r="C85">
        <f t="shared" si="6"/>
        <v>0.23100000000000001</v>
      </c>
      <c r="D85">
        <f t="shared" si="7"/>
        <v>0.54749999999999999</v>
      </c>
      <c r="E85">
        <f t="shared" si="5"/>
        <v>0.20679999999999998</v>
      </c>
      <c r="F85">
        <f t="shared" si="8"/>
        <v>0.77849999999999997</v>
      </c>
      <c r="G85">
        <f t="shared" si="8"/>
        <v>0.75429999999999997</v>
      </c>
      <c r="J85">
        <v>0.21</v>
      </c>
      <c r="K85">
        <v>0.5</v>
      </c>
      <c r="L85">
        <v>0.28000000000000003</v>
      </c>
      <c r="M85">
        <f t="shared" si="9"/>
        <v>0.71</v>
      </c>
      <c r="N85">
        <f t="shared" si="9"/>
        <v>0.78</v>
      </c>
    </row>
    <row r="86" spans="1:14" x14ac:dyDescent="0.25">
      <c r="A86" s="59">
        <v>78</v>
      </c>
      <c r="C86">
        <f t="shared" si="6"/>
        <v>0.23400000000000001</v>
      </c>
      <c r="D86">
        <f t="shared" si="7"/>
        <v>0.54360000000000008</v>
      </c>
      <c r="E86">
        <f t="shared" si="5"/>
        <v>0.20699999999999999</v>
      </c>
      <c r="F86">
        <f t="shared" si="8"/>
        <v>0.77760000000000007</v>
      </c>
      <c r="G86">
        <f t="shared" si="8"/>
        <v>0.75060000000000004</v>
      </c>
      <c r="J86">
        <v>0.21</v>
      </c>
      <c r="K86">
        <v>0.5</v>
      </c>
      <c r="L86">
        <v>0.28000000000000003</v>
      </c>
      <c r="M86">
        <f t="shared" si="9"/>
        <v>0.71</v>
      </c>
      <c r="N86">
        <f t="shared" si="9"/>
        <v>0.78</v>
      </c>
    </row>
    <row r="87" spans="1:14" x14ac:dyDescent="0.25">
      <c r="A87" s="59">
        <v>79</v>
      </c>
      <c r="C87">
        <f t="shared" si="6"/>
        <v>0.23700000000000002</v>
      </c>
      <c r="D87">
        <f t="shared" si="7"/>
        <v>0.53970000000000007</v>
      </c>
      <c r="E87">
        <f t="shared" si="5"/>
        <v>0.2072</v>
      </c>
      <c r="F87">
        <f t="shared" si="8"/>
        <v>0.77670000000000006</v>
      </c>
      <c r="G87">
        <f t="shared" si="8"/>
        <v>0.74690000000000012</v>
      </c>
      <c r="J87">
        <v>0.21</v>
      </c>
      <c r="K87">
        <v>0.5</v>
      </c>
      <c r="L87">
        <v>0.28000000000000003</v>
      </c>
      <c r="M87">
        <f t="shared" si="9"/>
        <v>0.71</v>
      </c>
      <c r="N87">
        <f t="shared" si="9"/>
        <v>0.78</v>
      </c>
    </row>
    <row r="88" spans="1:14" x14ac:dyDescent="0.25">
      <c r="A88" s="59">
        <v>80</v>
      </c>
      <c r="C88">
        <f t="shared" si="6"/>
        <v>0.24</v>
      </c>
      <c r="D88">
        <f t="shared" si="7"/>
        <v>0.53580000000000005</v>
      </c>
      <c r="E88">
        <f t="shared" si="5"/>
        <v>0.20739999999999997</v>
      </c>
      <c r="F88">
        <f t="shared" si="8"/>
        <v>0.77580000000000005</v>
      </c>
      <c r="G88">
        <f t="shared" si="8"/>
        <v>0.74320000000000008</v>
      </c>
      <c r="J88">
        <v>0.21</v>
      </c>
      <c r="K88">
        <v>0.5</v>
      </c>
      <c r="L88">
        <v>0.28000000000000003</v>
      </c>
      <c r="M88">
        <f t="shared" si="9"/>
        <v>0.71</v>
      </c>
      <c r="N88">
        <f t="shared" si="9"/>
        <v>0.78</v>
      </c>
    </row>
    <row r="89" spans="1:14" x14ac:dyDescent="0.25">
      <c r="A89" s="59">
        <v>81</v>
      </c>
      <c r="C89">
        <f t="shared" si="6"/>
        <v>0.24299999999999999</v>
      </c>
      <c r="D89">
        <f t="shared" si="7"/>
        <v>0.53190000000000004</v>
      </c>
      <c r="E89">
        <f t="shared" si="5"/>
        <v>0.20759999999999998</v>
      </c>
      <c r="F89">
        <f t="shared" si="8"/>
        <v>0.77490000000000003</v>
      </c>
      <c r="G89">
        <f t="shared" si="8"/>
        <v>0.73950000000000005</v>
      </c>
      <c r="J89">
        <v>0.21</v>
      </c>
      <c r="K89">
        <v>0.5</v>
      </c>
      <c r="L89">
        <v>0.28000000000000003</v>
      </c>
      <c r="M89">
        <f t="shared" si="9"/>
        <v>0.71</v>
      </c>
      <c r="N89">
        <f t="shared" si="9"/>
        <v>0.78</v>
      </c>
    </row>
    <row r="90" spans="1:14" x14ac:dyDescent="0.25">
      <c r="A90" s="59">
        <v>78</v>
      </c>
      <c r="C90">
        <f t="shared" si="6"/>
        <v>0.23400000000000001</v>
      </c>
      <c r="D90">
        <f t="shared" si="7"/>
        <v>0.54360000000000008</v>
      </c>
      <c r="E90">
        <f t="shared" si="5"/>
        <v>0.20699999999999999</v>
      </c>
      <c r="F90">
        <f>C90+D90</f>
        <v>0.77760000000000007</v>
      </c>
      <c r="G90">
        <f t="shared" si="8"/>
        <v>0.75060000000000004</v>
      </c>
      <c r="J90">
        <v>0.21</v>
      </c>
      <c r="K90">
        <v>0.5</v>
      </c>
      <c r="L90">
        <v>0.28000000000000003</v>
      </c>
      <c r="M90">
        <f t="shared" si="9"/>
        <v>0.71</v>
      </c>
      <c r="N90">
        <f t="shared" si="9"/>
        <v>0.78</v>
      </c>
    </row>
    <row r="91" spans="1:14" x14ac:dyDescent="0.25">
      <c r="A91" s="59">
        <v>79</v>
      </c>
      <c r="C91">
        <f t="shared" si="6"/>
        <v>0.23700000000000002</v>
      </c>
      <c r="D91">
        <f t="shared" si="7"/>
        <v>0.53970000000000007</v>
      </c>
      <c r="E91">
        <f t="shared" si="5"/>
        <v>0.2072</v>
      </c>
      <c r="F91">
        <f t="shared" si="8"/>
        <v>0.77670000000000006</v>
      </c>
      <c r="G91">
        <f t="shared" si="8"/>
        <v>0.74690000000000012</v>
      </c>
      <c r="J91">
        <v>0.21</v>
      </c>
      <c r="K91">
        <v>0.5</v>
      </c>
      <c r="L91">
        <v>0.28000000000000003</v>
      </c>
      <c r="M91">
        <f t="shared" si="9"/>
        <v>0.71</v>
      </c>
      <c r="N91">
        <f t="shared" si="9"/>
        <v>0.78</v>
      </c>
    </row>
    <row r="92" spans="1:14" x14ac:dyDescent="0.25">
      <c r="A92" s="59">
        <v>80</v>
      </c>
      <c r="C92">
        <f t="shared" si="6"/>
        <v>0.24</v>
      </c>
      <c r="D92">
        <f t="shared" si="7"/>
        <v>0.53580000000000005</v>
      </c>
      <c r="E92">
        <f t="shared" si="5"/>
        <v>0.20739999999999997</v>
      </c>
      <c r="F92">
        <f t="shared" si="8"/>
        <v>0.77580000000000005</v>
      </c>
      <c r="G92">
        <f t="shared" si="8"/>
        <v>0.74320000000000008</v>
      </c>
      <c r="J92">
        <v>0.21</v>
      </c>
      <c r="K92">
        <v>0.5</v>
      </c>
      <c r="L92">
        <v>0.28000000000000003</v>
      </c>
      <c r="M92">
        <f t="shared" si="9"/>
        <v>0.71</v>
      </c>
      <c r="N92">
        <f t="shared" si="9"/>
        <v>0.78</v>
      </c>
    </row>
    <row r="93" spans="1:14" x14ac:dyDescent="0.25">
      <c r="A93" s="59">
        <v>81</v>
      </c>
      <c r="C93">
        <f t="shared" si="6"/>
        <v>0.24299999999999999</v>
      </c>
      <c r="D93">
        <f t="shared" si="7"/>
        <v>0.53190000000000004</v>
      </c>
      <c r="E93">
        <f t="shared" si="5"/>
        <v>0.20759999999999998</v>
      </c>
      <c r="F93">
        <f t="shared" si="8"/>
        <v>0.77490000000000003</v>
      </c>
      <c r="G93">
        <f t="shared" si="8"/>
        <v>0.73950000000000005</v>
      </c>
      <c r="J93">
        <v>0.21</v>
      </c>
      <c r="K93">
        <v>0.5</v>
      </c>
      <c r="L93">
        <v>0.28000000000000003</v>
      </c>
      <c r="M93">
        <f t="shared" si="9"/>
        <v>0.71</v>
      </c>
      <c r="N93">
        <f t="shared" si="9"/>
        <v>0.78</v>
      </c>
    </row>
    <row r="94" spans="1:14" x14ac:dyDescent="0.25">
      <c r="A94" s="59">
        <v>78</v>
      </c>
      <c r="C94">
        <f t="shared" si="6"/>
        <v>0.23400000000000001</v>
      </c>
      <c r="D94">
        <f t="shared" si="7"/>
        <v>0.54360000000000008</v>
      </c>
      <c r="E94">
        <f t="shared" si="5"/>
        <v>0.20699999999999999</v>
      </c>
      <c r="F94">
        <f t="shared" si="8"/>
        <v>0.77760000000000007</v>
      </c>
      <c r="G94">
        <f t="shared" si="8"/>
        <v>0.75060000000000004</v>
      </c>
      <c r="J94">
        <v>0.21</v>
      </c>
      <c r="K94">
        <v>0.5</v>
      </c>
      <c r="L94">
        <v>0.28000000000000003</v>
      </c>
      <c r="M94">
        <f t="shared" si="9"/>
        <v>0.71</v>
      </c>
      <c r="N94">
        <f t="shared" si="9"/>
        <v>0.78</v>
      </c>
    </row>
    <row r="95" spans="1:14" x14ac:dyDescent="0.25">
      <c r="A95" s="59">
        <v>79</v>
      </c>
      <c r="C95">
        <f t="shared" si="6"/>
        <v>0.23700000000000002</v>
      </c>
      <c r="D95">
        <f t="shared" si="7"/>
        <v>0.53970000000000007</v>
      </c>
      <c r="E95">
        <f t="shared" si="5"/>
        <v>0.2072</v>
      </c>
      <c r="F95">
        <f t="shared" si="8"/>
        <v>0.77670000000000006</v>
      </c>
      <c r="G95">
        <f t="shared" si="8"/>
        <v>0.74690000000000012</v>
      </c>
      <c r="J95">
        <v>0.21</v>
      </c>
      <c r="K95">
        <v>0.5</v>
      </c>
      <c r="L95">
        <v>0.28000000000000003</v>
      </c>
      <c r="M95">
        <f t="shared" si="9"/>
        <v>0.71</v>
      </c>
      <c r="N95">
        <f t="shared" si="9"/>
        <v>0.78</v>
      </c>
    </row>
    <row r="96" spans="1:14" x14ac:dyDescent="0.25">
      <c r="A96" s="59">
        <v>79</v>
      </c>
      <c r="C96">
        <f t="shared" si="6"/>
        <v>0.23700000000000002</v>
      </c>
      <c r="D96">
        <f t="shared" si="7"/>
        <v>0.53970000000000007</v>
      </c>
      <c r="E96">
        <f t="shared" si="5"/>
        <v>0.2072</v>
      </c>
      <c r="F96">
        <f t="shared" si="8"/>
        <v>0.77670000000000006</v>
      </c>
      <c r="G96">
        <f t="shared" si="8"/>
        <v>0.74690000000000012</v>
      </c>
      <c r="J96">
        <v>0.21</v>
      </c>
      <c r="K96">
        <v>0.5</v>
      </c>
      <c r="L96">
        <v>0.28000000000000003</v>
      </c>
      <c r="M96">
        <f t="shared" si="9"/>
        <v>0.71</v>
      </c>
      <c r="N96">
        <f t="shared" si="9"/>
        <v>0.78</v>
      </c>
    </row>
    <row r="97" spans="1:14" x14ac:dyDescent="0.25">
      <c r="A97" s="59">
        <v>80</v>
      </c>
      <c r="C97">
        <f t="shared" si="6"/>
        <v>0.24</v>
      </c>
      <c r="D97">
        <f t="shared" si="7"/>
        <v>0.53580000000000005</v>
      </c>
      <c r="E97">
        <f t="shared" si="5"/>
        <v>0.20739999999999997</v>
      </c>
      <c r="F97">
        <f t="shared" si="8"/>
        <v>0.77580000000000005</v>
      </c>
      <c r="G97">
        <f t="shared" si="8"/>
        <v>0.74320000000000008</v>
      </c>
      <c r="J97">
        <v>0.21</v>
      </c>
      <c r="K97">
        <v>0.5</v>
      </c>
      <c r="L97">
        <v>0.28000000000000003</v>
      </c>
      <c r="M97">
        <f t="shared" si="9"/>
        <v>0.71</v>
      </c>
      <c r="N97">
        <f t="shared" si="9"/>
        <v>0.78</v>
      </c>
    </row>
    <row r="98" spans="1:14" x14ac:dyDescent="0.25">
      <c r="A98" s="59">
        <v>81</v>
      </c>
      <c r="C98">
        <f t="shared" si="6"/>
        <v>0.24299999999999999</v>
      </c>
      <c r="D98">
        <f t="shared" si="7"/>
        <v>0.53190000000000004</v>
      </c>
      <c r="E98">
        <f t="shared" si="5"/>
        <v>0.20759999999999998</v>
      </c>
      <c r="F98">
        <f t="shared" si="8"/>
        <v>0.77490000000000003</v>
      </c>
      <c r="G98">
        <f t="shared" si="8"/>
        <v>0.73950000000000005</v>
      </c>
      <c r="J98">
        <v>0.21</v>
      </c>
      <c r="K98">
        <v>0.5</v>
      </c>
      <c r="L98">
        <v>0.28000000000000003</v>
      </c>
      <c r="M98">
        <f t="shared" si="9"/>
        <v>0.71</v>
      </c>
      <c r="N98">
        <f t="shared" si="9"/>
        <v>0.78</v>
      </c>
    </row>
    <row r="99" spans="1:14" x14ac:dyDescent="0.25">
      <c r="A99" s="59">
        <v>78</v>
      </c>
      <c r="C99">
        <f>((0.003)*A99)</f>
        <v>0.23400000000000001</v>
      </c>
      <c r="D99">
        <f>((-0.0039)*A99)+0.8478</f>
        <v>0.54360000000000008</v>
      </c>
      <c r="E99">
        <f>(0.0002*A99)+0.1914</f>
        <v>0.20699999999999999</v>
      </c>
      <c r="F99">
        <f t="shared" si="8"/>
        <v>0.77760000000000007</v>
      </c>
      <c r="G99">
        <f t="shared" si="8"/>
        <v>0.75060000000000004</v>
      </c>
      <c r="J99">
        <v>0.21</v>
      </c>
      <c r="K99">
        <v>0.5</v>
      </c>
      <c r="L99">
        <v>0.28000000000000003</v>
      </c>
      <c r="M99">
        <f t="shared" si="9"/>
        <v>0.71</v>
      </c>
      <c r="N99">
        <f t="shared" si="9"/>
        <v>0.78</v>
      </c>
    </row>
    <row r="100" spans="1:14" x14ac:dyDescent="0.25">
      <c r="A100" s="59">
        <v>79</v>
      </c>
      <c r="C100">
        <f>((0.003)*A100)</f>
        <v>0.23700000000000002</v>
      </c>
      <c r="D100">
        <f>((-0.0039)*A100)+0.8478</f>
        <v>0.53970000000000007</v>
      </c>
      <c r="E100">
        <f>(0.0002*A100)+0.1914</f>
        <v>0.2072</v>
      </c>
      <c r="F100">
        <f t="shared" si="8"/>
        <v>0.77670000000000006</v>
      </c>
      <c r="G100">
        <f t="shared" si="8"/>
        <v>0.74690000000000012</v>
      </c>
      <c r="J100">
        <v>0.21</v>
      </c>
      <c r="K100">
        <v>0.5</v>
      </c>
      <c r="L100">
        <v>0.28000000000000003</v>
      </c>
      <c r="M100">
        <f t="shared" si="9"/>
        <v>0.71</v>
      </c>
      <c r="N100">
        <f t="shared" si="9"/>
        <v>0.78</v>
      </c>
    </row>
    <row r="101" spans="1:14" x14ac:dyDescent="0.25">
      <c r="A101" s="59">
        <v>79</v>
      </c>
      <c r="C101">
        <f>((0.003)*A101)</f>
        <v>0.23700000000000002</v>
      </c>
      <c r="D101">
        <f>((-0.0039)*A101)+0.8478</f>
        <v>0.53970000000000007</v>
      </c>
      <c r="E101">
        <f>(0.0002*A101)+0.1914</f>
        <v>0.2072</v>
      </c>
      <c r="F101">
        <f t="shared" si="8"/>
        <v>0.77670000000000006</v>
      </c>
      <c r="G101">
        <f t="shared" si="8"/>
        <v>0.74690000000000012</v>
      </c>
      <c r="J101">
        <v>0.21</v>
      </c>
      <c r="K101">
        <v>0.5</v>
      </c>
      <c r="L101">
        <v>0.28000000000000003</v>
      </c>
      <c r="M101">
        <f t="shared" si="9"/>
        <v>0.71</v>
      </c>
      <c r="N101">
        <f t="shared" si="9"/>
        <v>0.78</v>
      </c>
    </row>
    <row r="102" spans="1:14" x14ac:dyDescent="0.25">
      <c r="A102" s="59">
        <v>80</v>
      </c>
      <c r="C102">
        <f>((0.003)*A102)</f>
        <v>0.24</v>
      </c>
      <c r="D102">
        <f>((-0.0039)*A102)+0.8478</f>
        <v>0.53580000000000005</v>
      </c>
      <c r="E102">
        <f>(0.0002*A102)+0.1914</f>
        <v>0.20739999999999997</v>
      </c>
      <c r="F102">
        <f t="shared" si="8"/>
        <v>0.77580000000000005</v>
      </c>
      <c r="G102">
        <f t="shared" si="8"/>
        <v>0.74320000000000008</v>
      </c>
      <c r="J102">
        <v>0.21</v>
      </c>
      <c r="K102">
        <v>0.5</v>
      </c>
      <c r="L102">
        <v>0.28000000000000003</v>
      </c>
      <c r="M102">
        <f t="shared" si="9"/>
        <v>0.71</v>
      </c>
      <c r="N102">
        <f t="shared" si="9"/>
        <v>0.78</v>
      </c>
    </row>
    <row r="103" spans="1:14" x14ac:dyDescent="0.25">
      <c r="A103" s="59">
        <v>81</v>
      </c>
      <c r="C103">
        <f>((0.003)*A103)</f>
        <v>0.24299999999999999</v>
      </c>
      <c r="D103">
        <f>((-0.0039)*A103)+0.8478</f>
        <v>0.53190000000000004</v>
      </c>
      <c r="E103">
        <f>(0.0002*A103)+0.1914</f>
        <v>0.20759999999999998</v>
      </c>
      <c r="F103">
        <f t="shared" si="8"/>
        <v>0.77490000000000003</v>
      </c>
      <c r="G103">
        <f t="shared" si="8"/>
        <v>0.73950000000000005</v>
      </c>
      <c r="J103">
        <v>0.21</v>
      </c>
      <c r="K103">
        <v>0.5</v>
      </c>
      <c r="L103">
        <v>0.28000000000000003</v>
      </c>
      <c r="M103">
        <f t="shared" si="9"/>
        <v>0.71</v>
      </c>
      <c r="N103">
        <f t="shared" si="9"/>
        <v>0.78</v>
      </c>
    </row>
    <row r="104" spans="1:14" x14ac:dyDescent="0.25">
      <c r="A104" s="59">
        <v>91</v>
      </c>
      <c r="C104">
        <f t="shared" si="6"/>
        <v>0.27300000000000002</v>
      </c>
      <c r="D104">
        <f t="shared" si="7"/>
        <v>0.4929</v>
      </c>
      <c r="E104">
        <f t="shared" si="5"/>
        <v>0.20959999999999998</v>
      </c>
      <c r="F104">
        <f t="shared" si="8"/>
        <v>0.76590000000000003</v>
      </c>
      <c r="G104">
        <f t="shared" si="8"/>
        <v>0.70250000000000001</v>
      </c>
      <c r="J104">
        <v>0.21</v>
      </c>
      <c r="K104">
        <v>0.5</v>
      </c>
      <c r="L104">
        <v>0.28000000000000003</v>
      </c>
      <c r="M104">
        <f t="shared" si="9"/>
        <v>0.71</v>
      </c>
      <c r="N104">
        <f t="shared" si="9"/>
        <v>0.78</v>
      </c>
    </row>
    <row r="105" spans="1:14" x14ac:dyDescent="0.25">
      <c r="A105" s="59">
        <v>92</v>
      </c>
      <c r="C105">
        <f t="shared" si="6"/>
        <v>0.27600000000000002</v>
      </c>
      <c r="D105">
        <f t="shared" si="7"/>
        <v>0.48899999999999999</v>
      </c>
      <c r="E105">
        <f t="shared" si="5"/>
        <v>0.20979999999999999</v>
      </c>
      <c r="F105">
        <f t="shared" si="8"/>
        <v>0.76500000000000001</v>
      </c>
      <c r="G105">
        <f t="shared" si="8"/>
        <v>0.69879999999999998</v>
      </c>
      <c r="J105">
        <v>0.21</v>
      </c>
      <c r="K105">
        <v>0.5</v>
      </c>
      <c r="L105">
        <v>0.28000000000000003</v>
      </c>
      <c r="M105">
        <f t="shared" si="9"/>
        <v>0.71</v>
      </c>
      <c r="N105">
        <f t="shared" si="9"/>
        <v>0.78</v>
      </c>
    </row>
    <row r="106" spans="1:14" x14ac:dyDescent="0.25">
      <c r="A106" s="59">
        <v>93</v>
      </c>
      <c r="C106">
        <f t="shared" si="6"/>
        <v>0.27900000000000003</v>
      </c>
      <c r="D106">
        <f t="shared" si="7"/>
        <v>0.48510000000000003</v>
      </c>
      <c r="E106">
        <f t="shared" si="5"/>
        <v>0.21</v>
      </c>
      <c r="F106">
        <f t="shared" si="8"/>
        <v>0.7641</v>
      </c>
      <c r="G106">
        <f t="shared" si="8"/>
        <v>0.69510000000000005</v>
      </c>
      <c r="J106">
        <v>0.21</v>
      </c>
      <c r="K106">
        <v>0.5</v>
      </c>
      <c r="L106">
        <v>0.28000000000000003</v>
      </c>
      <c r="M106">
        <f t="shared" si="9"/>
        <v>0.71</v>
      </c>
      <c r="N106">
        <f t="shared" si="9"/>
        <v>0.78</v>
      </c>
    </row>
    <row r="107" spans="1:14" x14ac:dyDescent="0.25">
      <c r="A107" s="59">
        <v>94</v>
      </c>
      <c r="C107">
        <f t="shared" si="6"/>
        <v>0.28200000000000003</v>
      </c>
      <c r="D107">
        <f t="shared" si="7"/>
        <v>0.48120000000000002</v>
      </c>
      <c r="E107">
        <f t="shared" si="5"/>
        <v>0.2102</v>
      </c>
      <c r="F107">
        <f t="shared" si="8"/>
        <v>0.7632000000000001</v>
      </c>
      <c r="G107">
        <f t="shared" si="8"/>
        <v>0.69140000000000001</v>
      </c>
      <c r="J107">
        <v>0.21</v>
      </c>
      <c r="K107">
        <v>0.5</v>
      </c>
      <c r="L107">
        <v>0.28000000000000003</v>
      </c>
      <c r="M107">
        <f t="shared" si="9"/>
        <v>0.71</v>
      </c>
      <c r="N107">
        <f t="shared" si="9"/>
        <v>0.78</v>
      </c>
    </row>
    <row r="108" spans="1:14" x14ac:dyDescent="0.25">
      <c r="A108" s="59">
        <v>95</v>
      </c>
      <c r="C108">
        <f t="shared" si="6"/>
        <v>0.28500000000000003</v>
      </c>
      <c r="D108">
        <f t="shared" si="7"/>
        <v>0.4773</v>
      </c>
      <c r="E108">
        <f t="shared" si="5"/>
        <v>0.21039999999999998</v>
      </c>
      <c r="F108">
        <f t="shared" si="8"/>
        <v>0.76229999999999998</v>
      </c>
      <c r="G108">
        <f t="shared" si="8"/>
        <v>0.68769999999999998</v>
      </c>
      <c r="J108">
        <v>0.21</v>
      </c>
      <c r="K108">
        <v>0.5</v>
      </c>
      <c r="L108">
        <v>0.28000000000000003</v>
      </c>
      <c r="M108">
        <f t="shared" si="9"/>
        <v>0.71</v>
      </c>
      <c r="N108">
        <f t="shared" si="9"/>
        <v>0.78</v>
      </c>
    </row>
    <row r="109" spans="1:14" x14ac:dyDescent="0.25">
      <c r="A109" s="59">
        <v>91</v>
      </c>
      <c r="C109">
        <f t="shared" si="6"/>
        <v>0.27300000000000002</v>
      </c>
      <c r="D109">
        <f t="shared" si="7"/>
        <v>0.4929</v>
      </c>
      <c r="E109">
        <f t="shared" si="5"/>
        <v>0.20959999999999998</v>
      </c>
      <c r="F109">
        <f t="shared" si="8"/>
        <v>0.76590000000000003</v>
      </c>
      <c r="G109">
        <f t="shared" si="8"/>
        <v>0.70250000000000001</v>
      </c>
      <c r="J109">
        <v>0.21</v>
      </c>
      <c r="K109">
        <v>0.5</v>
      </c>
      <c r="L109">
        <v>0.28000000000000003</v>
      </c>
      <c r="M109">
        <f t="shared" si="9"/>
        <v>0.71</v>
      </c>
      <c r="N109">
        <f t="shared" si="9"/>
        <v>0.78</v>
      </c>
    </row>
    <row r="110" spans="1:14" x14ac:dyDescent="0.25">
      <c r="A110" s="59">
        <v>92</v>
      </c>
      <c r="C110">
        <f t="shared" si="6"/>
        <v>0.27600000000000002</v>
      </c>
      <c r="D110">
        <f t="shared" si="7"/>
        <v>0.48899999999999999</v>
      </c>
      <c r="E110">
        <f t="shared" si="5"/>
        <v>0.20979999999999999</v>
      </c>
      <c r="F110">
        <f t="shared" si="8"/>
        <v>0.76500000000000001</v>
      </c>
      <c r="G110">
        <f t="shared" si="8"/>
        <v>0.69879999999999998</v>
      </c>
      <c r="J110">
        <v>0.21</v>
      </c>
      <c r="K110">
        <v>0.5</v>
      </c>
      <c r="L110">
        <v>0.28000000000000003</v>
      </c>
      <c r="M110">
        <f t="shared" si="9"/>
        <v>0.71</v>
      </c>
      <c r="N110">
        <f t="shared" si="9"/>
        <v>0.78</v>
      </c>
    </row>
    <row r="111" spans="1:14" x14ac:dyDescent="0.25">
      <c r="A111" s="59">
        <v>93</v>
      </c>
      <c r="C111">
        <f t="shared" si="6"/>
        <v>0.27900000000000003</v>
      </c>
      <c r="D111">
        <f t="shared" si="7"/>
        <v>0.48510000000000003</v>
      </c>
      <c r="E111">
        <f t="shared" si="5"/>
        <v>0.21</v>
      </c>
      <c r="F111">
        <f t="shared" si="8"/>
        <v>0.7641</v>
      </c>
      <c r="G111">
        <f t="shared" si="8"/>
        <v>0.69510000000000005</v>
      </c>
      <c r="J111">
        <v>0.21</v>
      </c>
      <c r="K111">
        <v>0.5</v>
      </c>
      <c r="L111">
        <v>0.28000000000000003</v>
      </c>
      <c r="M111">
        <f t="shared" si="9"/>
        <v>0.71</v>
      </c>
      <c r="N111">
        <f t="shared" si="9"/>
        <v>0.78</v>
      </c>
    </row>
    <row r="113" spans="1:14" x14ac:dyDescent="0.25">
      <c r="A113" s="59">
        <v>94</v>
      </c>
      <c r="C113">
        <f t="shared" si="6"/>
        <v>0.28200000000000003</v>
      </c>
      <c r="D113">
        <f t="shared" si="7"/>
        <v>0.48120000000000002</v>
      </c>
      <c r="E113">
        <f t="shared" si="5"/>
        <v>0.2102</v>
      </c>
      <c r="F113">
        <f t="shared" si="8"/>
        <v>0.7632000000000001</v>
      </c>
      <c r="G113">
        <f t="shared" si="8"/>
        <v>0.69140000000000001</v>
      </c>
      <c r="J113">
        <v>0.21</v>
      </c>
      <c r="K113">
        <v>0.5</v>
      </c>
      <c r="L113">
        <v>0.28000000000000003</v>
      </c>
      <c r="M113">
        <f t="shared" si="9"/>
        <v>0.71</v>
      </c>
      <c r="N113">
        <f t="shared" si="9"/>
        <v>0.78</v>
      </c>
    </row>
    <row r="114" spans="1:14" x14ac:dyDescent="0.25">
      <c r="A114" s="59">
        <v>95</v>
      </c>
      <c r="C114">
        <f t="shared" si="6"/>
        <v>0.28500000000000003</v>
      </c>
      <c r="D114">
        <f t="shared" si="7"/>
        <v>0.4773</v>
      </c>
      <c r="E114">
        <f t="shared" si="5"/>
        <v>0.21039999999999998</v>
      </c>
      <c r="F114">
        <f t="shared" si="8"/>
        <v>0.76229999999999998</v>
      </c>
      <c r="G114">
        <f t="shared" si="8"/>
        <v>0.68769999999999998</v>
      </c>
      <c r="J114">
        <v>0.21</v>
      </c>
      <c r="K114">
        <v>0.5</v>
      </c>
      <c r="L114">
        <v>0.28000000000000003</v>
      </c>
      <c r="M114">
        <f t="shared" si="9"/>
        <v>0.71</v>
      </c>
      <c r="N114">
        <f t="shared" si="9"/>
        <v>0.78</v>
      </c>
    </row>
    <row r="115" spans="1:14" x14ac:dyDescent="0.25">
      <c r="A115" s="59">
        <v>101</v>
      </c>
      <c r="C115">
        <f t="shared" si="6"/>
        <v>0.30299999999999999</v>
      </c>
      <c r="D115">
        <f t="shared" si="7"/>
        <v>0.45390000000000003</v>
      </c>
      <c r="E115">
        <f t="shared" si="5"/>
        <v>0.21159999999999998</v>
      </c>
      <c r="F115">
        <f t="shared" si="8"/>
        <v>0.75690000000000002</v>
      </c>
      <c r="G115">
        <f t="shared" si="8"/>
        <v>0.66549999999999998</v>
      </c>
      <c r="J115">
        <v>0.21</v>
      </c>
      <c r="K115">
        <v>0.5</v>
      </c>
      <c r="L115">
        <v>0.28000000000000003</v>
      </c>
      <c r="M115">
        <f t="shared" si="9"/>
        <v>0.71</v>
      </c>
      <c r="N115">
        <f t="shared" si="9"/>
        <v>0.78</v>
      </c>
    </row>
    <row r="116" spans="1:14" x14ac:dyDescent="0.25">
      <c r="A116" s="59">
        <v>102</v>
      </c>
      <c r="C116">
        <f t="shared" si="6"/>
        <v>0.30599999999999999</v>
      </c>
      <c r="D116">
        <f t="shared" si="7"/>
        <v>0.45</v>
      </c>
      <c r="E116">
        <f t="shared" si="5"/>
        <v>0.21179999999999999</v>
      </c>
      <c r="F116">
        <f t="shared" si="8"/>
        <v>0.75600000000000001</v>
      </c>
      <c r="G116">
        <f t="shared" si="8"/>
        <v>0.66179999999999994</v>
      </c>
      <c r="J116">
        <v>0.21</v>
      </c>
      <c r="K116">
        <v>0.5</v>
      </c>
      <c r="L116">
        <v>0.28000000000000003</v>
      </c>
      <c r="M116">
        <f t="shared" si="9"/>
        <v>0.71</v>
      </c>
      <c r="N116">
        <f t="shared" si="9"/>
        <v>0.78</v>
      </c>
    </row>
    <row r="117" spans="1:14" x14ac:dyDescent="0.25">
      <c r="A117" s="59">
        <v>103</v>
      </c>
      <c r="C117">
        <f t="shared" si="6"/>
        <v>0.309</v>
      </c>
      <c r="D117">
        <f t="shared" si="7"/>
        <v>0.4461</v>
      </c>
      <c r="E117">
        <f t="shared" si="5"/>
        <v>0.21199999999999999</v>
      </c>
      <c r="F117">
        <f t="shared" si="8"/>
        <v>0.75509999999999999</v>
      </c>
      <c r="G117">
        <f t="shared" si="8"/>
        <v>0.65810000000000002</v>
      </c>
      <c r="J117">
        <v>0.21</v>
      </c>
      <c r="K117">
        <v>0.5</v>
      </c>
      <c r="L117">
        <v>0.28000000000000003</v>
      </c>
      <c r="M117">
        <f t="shared" si="9"/>
        <v>0.71</v>
      </c>
      <c r="N117">
        <f t="shared" si="9"/>
        <v>0.78</v>
      </c>
    </row>
    <row r="118" spans="1:14" x14ac:dyDescent="0.25">
      <c r="A118" s="59">
        <v>104</v>
      </c>
      <c r="C118">
        <f t="shared" si="6"/>
        <v>0.312</v>
      </c>
      <c r="D118">
        <f t="shared" si="7"/>
        <v>0.44220000000000004</v>
      </c>
      <c r="E118">
        <f t="shared" si="5"/>
        <v>0.2122</v>
      </c>
      <c r="F118">
        <f t="shared" si="8"/>
        <v>0.75419999999999998</v>
      </c>
      <c r="G118">
        <f t="shared" si="8"/>
        <v>0.65440000000000009</v>
      </c>
      <c r="J118">
        <v>0.21</v>
      </c>
      <c r="K118">
        <v>0.5</v>
      </c>
      <c r="L118">
        <v>0.28000000000000003</v>
      </c>
      <c r="M118">
        <f t="shared" si="9"/>
        <v>0.71</v>
      </c>
      <c r="N118">
        <f t="shared" si="9"/>
        <v>0.78</v>
      </c>
    </row>
    <row r="119" spans="1:14" x14ac:dyDescent="0.25">
      <c r="A119" s="59">
        <v>105</v>
      </c>
      <c r="C119">
        <f t="shared" si="6"/>
        <v>0.315</v>
      </c>
      <c r="D119">
        <f t="shared" si="7"/>
        <v>0.43830000000000002</v>
      </c>
      <c r="E119">
        <f t="shared" si="5"/>
        <v>0.21239999999999998</v>
      </c>
      <c r="F119">
        <f t="shared" si="8"/>
        <v>0.75330000000000008</v>
      </c>
      <c r="G119">
        <f t="shared" si="8"/>
        <v>0.65070000000000006</v>
      </c>
      <c r="J119">
        <v>0.21</v>
      </c>
      <c r="K119">
        <v>0.5</v>
      </c>
      <c r="L119">
        <v>0.28000000000000003</v>
      </c>
      <c r="M119">
        <f t="shared" si="9"/>
        <v>0.71</v>
      </c>
      <c r="N119">
        <f t="shared" si="9"/>
        <v>0.78</v>
      </c>
    </row>
    <row r="120" spans="1:14" x14ac:dyDescent="0.25">
      <c r="A120" s="59">
        <v>106</v>
      </c>
      <c r="C120">
        <f t="shared" si="6"/>
        <v>0.318</v>
      </c>
      <c r="D120">
        <f t="shared" si="7"/>
        <v>0.43440000000000001</v>
      </c>
      <c r="E120">
        <f t="shared" si="5"/>
        <v>0.21259999999999998</v>
      </c>
      <c r="F120">
        <f t="shared" si="8"/>
        <v>0.75239999999999996</v>
      </c>
      <c r="G120">
        <f t="shared" si="8"/>
        <v>0.64700000000000002</v>
      </c>
      <c r="J120">
        <v>0.21</v>
      </c>
      <c r="K120">
        <v>0.5</v>
      </c>
      <c r="L120">
        <v>0.28000000000000003</v>
      </c>
      <c r="M120">
        <f t="shared" si="9"/>
        <v>0.71</v>
      </c>
      <c r="N120">
        <f t="shared" si="9"/>
        <v>0.78</v>
      </c>
    </row>
    <row r="121" spans="1:14" x14ac:dyDescent="0.25">
      <c r="A121" s="59">
        <v>107</v>
      </c>
      <c r="C121">
        <f t="shared" si="6"/>
        <v>0.32100000000000001</v>
      </c>
      <c r="D121">
        <f t="shared" si="7"/>
        <v>0.43049999999999999</v>
      </c>
      <c r="E121">
        <f t="shared" si="5"/>
        <v>0.21279999999999999</v>
      </c>
      <c r="F121">
        <f t="shared" si="8"/>
        <v>0.75150000000000006</v>
      </c>
      <c r="G121">
        <f t="shared" si="8"/>
        <v>0.64329999999999998</v>
      </c>
      <c r="J121">
        <v>0.21</v>
      </c>
      <c r="K121">
        <v>0.5</v>
      </c>
      <c r="L121">
        <v>0.28000000000000003</v>
      </c>
      <c r="M121">
        <f t="shared" si="9"/>
        <v>0.71</v>
      </c>
      <c r="N121">
        <f t="shared" si="9"/>
        <v>0.78</v>
      </c>
    </row>
    <row r="122" spans="1:14" x14ac:dyDescent="0.25">
      <c r="A122" s="59">
        <v>108</v>
      </c>
      <c r="C122">
        <f t="shared" si="6"/>
        <v>0.32400000000000001</v>
      </c>
      <c r="D122">
        <f t="shared" si="7"/>
        <v>0.42660000000000003</v>
      </c>
      <c r="E122">
        <f t="shared" si="5"/>
        <v>0.21299999999999999</v>
      </c>
      <c r="F122">
        <f t="shared" si="8"/>
        <v>0.75060000000000004</v>
      </c>
      <c r="G122">
        <f t="shared" si="8"/>
        <v>0.63960000000000006</v>
      </c>
      <c r="J122">
        <v>0.21</v>
      </c>
      <c r="K122">
        <v>0.5</v>
      </c>
      <c r="L122">
        <v>0.28000000000000003</v>
      </c>
      <c r="M122">
        <f t="shared" si="9"/>
        <v>0.71</v>
      </c>
      <c r="N122">
        <f t="shared" si="9"/>
        <v>0.78</v>
      </c>
    </row>
    <row r="123" spans="1:14" x14ac:dyDescent="0.25">
      <c r="A123" s="59">
        <v>109</v>
      </c>
      <c r="C123">
        <f t="shared" si="6"/>
        <v>0.32700000000000001</v>
      </c>
      <c r="D123">
        <f t="shared" si="7"/>
        <v>0.42270000000000002</v>
      </c>
      <c r="E123">
        <f t="shared" si="5"/>
        <v>0.2132</v>
      </c>
      <c r="F123">
        <f t="shared" si="8"/>
        <v>0.74970000000000003</v>
      </c>
      <c r="G123">
        <f t="shared" si="8"/>
        <v>0.63590000000000002</v>
      </c>
      <c r="J123">
        <v>0.21</v>
      </c>
      <c r="K123">
        <v>0.5</v>
      </c>
      <c r="L123">
        <v>0.28000000000000003</v>
      </c>
      <c r="M123">
        <f t="shared" si="9"/>
        <v>0.71</v>
      </c>
      <c r="N123">
        <f t="shared" si="9"/>
        <v>0.78</v>
      </c>
    </row>
    <row r="124" spans="1:14" x14ac:dyDescent="0.25">
      <c r="A124" s="59">
        <v>110</v>
      </c>
      <c r="C124">
        <f t="shared" si="6"/>
        <v>0.33</v>
      </c>
      <c r="D124">
        <f t="shared" si="7"/>
        <v>0.41880000000000001</v>
      </c>
      <c r="E124">
        <f t="shared" si="5"/>
        <v>0.21339999999999998</v>
      </c>
      <c r="F124">
        <f t="shared" si="8"/>
        <v>0.74880000000000002</v>
      </c>
      <c r="G124">
        <f t="shared" si="8"/>
        <v>0.63219999999999998</v>
      </c>
      <c r="J124">
        <v>0.21</v>
      </c>
      <c r="K124">
        <v>0.5</v>
      </c>
      <c r="L124">
        <v>0.28000000000000003</v>
      </c>
      <c r="M124">
        <f t="shared" si="9"/>
        <v>0.71</v>
      </c>
      <c r="N124">
        <f t="shared" si="9"/>
        <v>0.78</v>
      </c>
    </row>
    <row r="125" spans="1:14" x14ac:dyDescent="0.25">
      <c r="A125" s="59">
        <v>111</v>
      </c>
      <c r="C125">
        <f t="shared" si="6"/>
        <v>0.33300000000000002</v>
      </c>
      <c r="D125">
        <f t="shared" si="7"/>
        <v>0.41489999999999999</v>
      </c>
      <c r="E125">
        <f t="shared" si="5"/>
        <v>0.21359999999999998</v>
      </c>
      <c r="F125">
        <f t="shared" si="8"/>
        <v>0.74790000000000001</v>
      </c>
      <c r="G125">
        <f t="shared" si="8"/>
        <v>0.62849999999999995</v>
      </c>
      <c r="J125">
        <v>0.21</v>
      </c>
      <c r="K125">
        <v>0.5</v>
      </c>
      <c r="L125">
        <v>0.28000000000000003</v>
      </c>
      <c r="M125">
        <f t="shared" si="9"/>
        <v>0.71</v>
      </c>
      <c r="N125">
        <f t="shared" si="9"/>
        <v>0.78</v>
      </c>
    </row>
    <row r="126" spans="1:14" x14ac:dyDescent="0.25">
      <c r="A126" s="59">
        <v>112</v>
      </c>
      <c r="C126">
        <f t="shared" si="6"/>
        <v>0.33600000000000002</v>
      </c>
      <c r="D126">
        <f t="shared" si="7"/>
        <v>0.41100000000000003</v>
      </c>
      <c r="E126">
        <f t="shared" si="5"/>
        <v>0.21379999999999999</v>
      </c>
      <c r="F126">
        <f t="shared" si="8"/>
        <v>0.74700000000000011</v>
      </c>
      <c r="G126">
        <f t="shared" si="8"/>
        <v>0.62480000000000002</v>
      </c>
      <c r="J126">
        <v>0.21</v>
      </c>
      <c r="K126">
        <v>0.5</v>
      </c>
      <c r="L126">
        <v>0.28000000000000003</v>
      </c>
      <c r="M126">
        <f t="shared" si="9"/>
        <v>0.71</v>
      </c>
      <c r="N126">
        <f t="shared" si="9"/>
        <v>0.78</v>
      </c>
    </row>
    <row r="127" spans="1:14" x14ac:dyDescent="0.25">
      <c r="A127" s="59">
        <v>113</v>
      </c>
      <c r="C127">
        <f t="shared" si="6"/>
        <v>0.33900000000000002</v>
      </c>
      <c r="D127">
        <f t="shared" si="7"/>
        <v>0.40710000000000002</v>
      </c>
      <c r="E127">
        <f t="shared" si="5"/>
        <v>0.214</v>
      </c>
      <c r="F127">
        <f t="shared" si="8"/>
        <v>0.74609999999999999</v>
      </c>
      <c r="G127">
        <f t="shared" si="8"/>
        <v>0.62109999999999999</v>
      </c>
      <c r="J127">
        <v>0.21</v>
      </c>
      <c r="K127">
        <v>0.5</v>
      </c>
      <c r="L127">
        <v>0.28000000000000003</v>
      </c>
      <c r="M127">
        <f t="shared" si="9"/>
        <v>0.71</v>
      </c>
      <c r="N127">
        <f t="shared" si="9"/>
        <v>0.78</v>
      </c>
    </row>
    <row r="128" spans="1:14" x14ac:dyDescent="0.25">
      <c r="A128" s="59">
        <v>114</v>
      </c>
      <c r="C128">
        <f t="shared" si="6"/>
        <v>0.34200000000000003</v>
      </c>
      <c r="D128">
        <f t="shared" si="7"/>
        <v>0.4032</v>
      </c>
      <c r="E128">
        <f t="shared" si="5"/>
        <v>0.2142</v>
      </c>
      <c r="F128">
        <f t="shared" si="8"/>
        <v>0.74520000000000008</v>
      </c>
      <c r="G128">
        <f t="shared" si="8"/>
        <v>0.61739999999999995</v>
      </c>
      <c r="J128">
        <v>0.21</v>
      </c>
      <c r="K128">
        <v>0.5</v>
      </c>
      <c r="L128">
        <v>0.28000000000000003</v>
      </c>
      <c r="M128">
        <f t="shared" si="9"/>
        <v>0.71</v>
      </c>
      <c r="N128">
        <f t="shared" si="9"/>
        <v>0.78</v>
      </c>
    </row>
    <row r="129" spans="1:14" x14ac:dyDescent="0.25">
      <c r="A129" s="59">
        <v>115</v>
      </c>
      <c r="C129">
        <f t="shared" si="6"/>
        <v>0.34500000000000003</v>
      </c>
      <c r="D129">
        <f t="shared" si="7"/>
        <v>0.39930000000000004</v>
      </c>
      <c r="E129">
        <f t="shared" si="5"/>
        <v>0.21439999999999998</v>
      </c>
      <c r="F129">
        <f t="shared" si="8"/>
        <v>0.74430000000000007</v>
      </c>
      <c r="G129">
        <f t="shared" si="8"/>
        <v>0.61370000000000002</v>
      </c>
      <c r="J129">
        <v>0.21</v>
      </c>
      <c r="K129">
        <v>0.5</v>
      </c>
      <c r="L129">
        <v>0.28000000000000003</v>
      </c>
      <c r="M129">
        <f t="shared" si="9"/>
        <v>0.71</v>
      </c>
      <c r="N129">
        <f t="shared" si="9"/>
        <v>0.78</v>
      </c>
    </row>
    <row r="130" spans="1:14" x14ac:dyDescent="0.25">
      <c r="A130" s="59">
        <v>116</v>
      </c>
      <c r="C130">
        <f t="shared" si="6"/>
        <v>0.34800000000000003</v>
      </c>
      <c r="D130">
        <f t="shared" si="7"/>
        <v>0.39540000000000003</v>
      </c>
      <c r="E130">
        <f t="shared" si="5"/>
        <v>0.21459999999999999</v>
      </c>
      <c r="F130">
        <f t="shared" si="8"/>
        <v>0.74340000000000006</v>
      </c>
      <c r="G130">
        <f t="shared" si="8"/>
        <v>0.61</v>
      </c>
      <c r="J130">
        <v>0.21</v>
      </c>
      <c r="K130">
        <v>0.5</v>
      </c>
      <c r="L130">
        <v>0.28000000000000003</v>
      </c>
      <c r="M130">
        <f t="shared" si="9"/>
        <v>0.71</v>
      </c>
      <c r="N130">
        <f t="shared" si="9"/>
        <v>0.78</v>
      </c>
    </row>
    <row r="131" spans="1:14" x14ac:dyDescent="0.25">
      <c r="A131" s="59">
        <v>117</v>
      </c>
      <c r="C131">
        <f t="shared" si="6"/>
        <v>0.35100000000000003</v>
      </c>
      <c r="D131">
        <f t="shared" si="7"/>
        <v>0.39150000000000001</v>
      </c>
      <c r="E131">
        <f t="shared" si="5"/>
        <v>0.21479999999999999</v>
      </c>
      <c r="F131">
        <f t="shared" si="8"/>
        <v>0.74250000000000005</v>
      </c>
      <c r="G131">
        <f t="shared" si="8"/>
        <v>0.60630000000000006</v>
      </c>
      <c r="J131">
        <v>0.21</v>
      </c>
      <c r="K131">
        <v>0.5</v>
      </c>
      <c r="L131">
        <v>0.28000000000000003</v>
      </c>
      <c r="M131">
        <f t="shared" si="9"/>
        <v>0.71</v>
      </c>
      <c r="N131">
        <f t="shared" si="9"/>
        <v>0.78</v>
      </c>
    </row>
    <row r="132" spans="1:14" x14ac:dyDescent="0.25">
      <c r="A132" s="59">
        <v>118</v>
      </c>
      <c r="C132">
        <f t="shared" si="6"/>
        <v>0.35399999999999998</v>
      </c>
      <c r="D132">
        <f t="shared" si="7"/>
        <v>0.3876</v>
      </c>
      <c r="E132">
        <f t="shared" si="5"/>
        <v>0.215</v>
      </c>
      <c r="F132">
        <f t="shared" si="8"/>
        <v>0.74160000000000004</v>
      </c>
      <c r="G132">
        <f t="shared" si="8"/>
        <v>0.60260000000000002</v>
      </c>
      <c r="J132">
        <v>0.21</v>
      </c>
      <c r="K132">
        <v>0.5</v>
      </c>
      <c r="L132">
        <v>0.28000000000000003</v>
      </c>
      <c r="M132">
        <f t="shared" si="9"/>
        <v>0.71</v>
      </c>
      <c r="N132">
        <f t="shared" si="9"/>
        <v>0.78</v>
      </c>
    </row>
    <row r="133" spans="1:14" x14ac:dyDescent="0.25">
      <c r="A133" s="59">
        <v>119</v>
      </c>
      <c r="C133">
        <f t="shared" si="6"/>
        <v>0.35699999999999998</v>
      </c>
      <c r="D133">
        <f t="shared" si="7"/>
        <v>0.38370000000000004</v>
      </c>
      <c r="E133">
        <f t="shared" si="5"/>
        <v>0.2152</v>
      </c>
      <c r="F133">
        <f t="shared" si="8"/>
        <v>0.74070000000000003</v>
      </c>
      <c r="G133">
        <f t="shared" si="8"/>
        <v>0.59889999999999999</v>
      </c>
      <c r="J133">
        <v>0.21</v>
      </c>
      <c r="K133">
        <v>0.5</v>
      </c>
      <c r="L133">
        <v>0.28000000000000003</v>
      </c>
      <c r="M133">
        <f t="shared" si="9"/>
        <v>0.71</v>
      </c>
      <c r="N133">
        <f t="shared" si="9"/>
        <v>0.78</v>
      </c>
    </row>
    <row r="134" spans="1:14" x14ac:dyDescent="0.25">
      <c r="A134" s="59">
        <v>120</v>
      </c>
      <c r="C134">
        <f t="shared" si="6"/>
        <v>0.36</v>
      </c>
      <c r="D134">
        <f t="shared" si="7"/>
        <v>0.37980000000000003</v>
      </c>
      <c r="E134">
        <f t="shared" si="5"/>
        <v>0.21539999999999998</v>
      </c>
      <c r="F134">
        <f t="shared" si="8"/>
        <v>0.73980000000000001</v>
      </c>
      <c r="G134">
        <f t="shared" si="8"/>
        <v>0.59519999999999995</v>
      </c>
      <c r="J134">
        <v>0.21</v>
      </c>
      <c r="K134">
        <v>0.5</v>
      </c>
      <c r="L134">
        <v>0.28000000000000003</v>
      </c>
      <c r="M134">
        <f t="shared" si="9"/>
        <v>0.71</v>
      </c>
      <c r="N134">
        <f t="shared" si="9"/>
        <v>0.78</v>
      </c>
    </row>
    <row r="135" spans="1:14" x14ac:dyDescent="0.25">
      <c r="A135" s="59">
        <v>121</v>
      </c>
      <c r="C135">
        <f t="shared" si="6"/>
        <v>0.36299999999999999</v>
      </c>
      <c r="D135">
        <f t="shared" si="7"/>
        <v>0.37590000000000001</v>
      </c>
      <c r="E135">
        <f t="shared" si="5"/>
        <v>0.21559999999999999</v>
      </c>
      <c r="F135">
        <f t="shared" si="8"/>
        <v>0.7389</v>
      </c>
      <c r="G135">
        <f t="shared" si="8"/>
        <v>0.59150000000000003</v>
      </c>
      <c r="J135">
        <v>0.21</v>
      </c>
      <c r="K135">
        <v>0.5</v>
      </c>
      <c r="L135">
        <v>0.28000000000000003</v>
      </c>
      <c r="M135">
        <f t="shared" si="9"/>
        <v>0.71</v>
      </c>
      <c r="N135">
        <f t="shared" si="9"/>
        <v>0.78</v>
      </c>
    </row>
    <row r="136" spans="1:14" x14ac:dyDescent="0.25">
      <c r="A136" s="59">
        <v>122</v>
      </c>
      <c r="C136">
        <f t="shared" si="6"/>
        <v>0.36599999999999999</v>
      </c>
      <c r="D136">
        <f t="shared" si="7"/>
        <v>0.372</v>
      </c>
      <c r="E136">
        <f t="shared" si="5"/>
        <v>0.21579999999999999</v>
      </c>
      <c r="F136">
        <f t="shared" si="8"/>
        <v>0.73799999999999999</v>
      </c>
      <c r="G136">
        <f t="shared" si="8"/>
        <v>0.58779999999999999</v>
      </c>
      <c r="J136">
        <v>0.21</v>
      </c>
      <c r="K136">
        <v>0.5</v>
      </c>
      <c r="L136">
        <v>0.28000000000000003</v>
      </c>
      <c r="M136">
        <f t="shared" si="9"/>
        <v>0.71</v>
      </c>
      <c r="N136">
        <f t="shared" si="9"/>
        <v>0.78</v>
      </c>
    </row>
    <row r="137" spans="1:14" x14ac:dyDescent="0.25">
      <c r="A137" s="59">
        <v>123</v>
      </c>
      <c r="C137">
        <f t="shared" si="6"/>
        <v>0.36899999999999999</v>
      </c>
      <c r="D137">
        <f t="shared" si="7"/>
        <v>0.36810000000000004</v>
      </c>
      <c r="E137">
        <f t="shared" ref="E137:E165" si="10">(0.0002*A137)+0.1914</f>
        <v>0.216</v>
      </c>
      <c r="F137">
        <f t="shared" si="8"/>
        <v>0.73710000000000009</v>
      </c>
      <c r="G137">
        <f t="shared" si="8"/>
        <v>0.58410000000000006</v>
      </c>
      <c r="J137">
        <v>0.21</v>
      </c>
      <c r="K137">
        <v>0.5</v>
      </c>
      <c r="L137">
        <v>0.28000000000000003</v>
      </c>
      <c r="M137">
        <f t="shared" si="9"/>
        <v>0.71</v>
      </c>
      <c r="N137">
        <f t="shared" si="9"/>
        <v>0.78</v>
      </c>
    </row>
    <row r="138" spans="1:14" x14ac:dyDescent="0.25">
      <c r="A138" s="59">
        <v>124</v>
      </c>
      <c r="C138">
        <f t="shared" si="6"/>
        <v>0.372</v>
      </c>
      <c r="D138">
        <f t="shared" si="7"/>
        <v>0.36420000000000002</v>
      </c>
      <c r="E138">
        <f t="shared" si="10"/>
        <v>0.2162</v>
      </c>
      <c r="F138">
        <f t="shared" si="8"/>
        <v>0.73619999999999997</v>
      </c>
      <c r="G138">
        <f t="shared" si="8"/>
        <v>0.58040000000000003</v>
      </c>
      <c r="J138">
        <v>0.21</v>
      </c>
      <c r="K138">
        <v>0.5</v>
      </c>
      <c r="L138">
        <v>0.28000000000000003</v>
      </c>
      <c r="M138">
        <f t="shared" si="9"/>
        <v>0.71</v>
      </c>
      <c r="N138">
        <f t="shared" si="9"/>
        <v>0.78</v>
      </c>
    </row>
    <row r="139" spans="1:14" x14ac:dyDescent="0.25">
      <c r="A139" s="59">
        <v>125</v>
      </c>
      <c r="C139">
        <f t="shared" si="6"/>
        <v>0.375</v>
      </c>
      <c r="D139">
        <f t="shared" si="7"/>
        <v>0.36030000000000001</v>
      </c>
      <c r="E139">
        <f t="shared" si="10"/>
        <v>0.21639999999999998</v>
      </c>
      <c r="F139">
        <f t="shared" si="8"/>
        <v>0.73530000000000006</v>
      </c>
      <c r="G139">
        <f t="shared" si="8"/>
        <v>0.57669999999999999</v>
      </c>
      <c r="J139">
        <v>0.21</v>
      </c>
      <c r="K139">
        <v>0.5</v>
      </c>
      <c r="L139">
        <v>0.28000000000000003</v>
      </c>
      <c r="M139">
        <f t="shared" si="9"/>
        <v>0.71</v>
      </c>
      <c r="N139">
        <f t="shared" si="9"/>
        <v>0.78</v>
      </c>
    </row>
    <row r="140" spans="1:14" x14ac:dyDescent="0.25">
      <c r="A140" s="59">
        <v>126</v>
      </c>
      <c r="C140">
        <f t="shared" si="6"/>
        <v>0.378</v>
      </c>
      <c r="D140">
        <f t="shared" si="7"/>
        <v>0.35639999999999999</v>
      </c>
      <c r="E140">
        <f t="shared" si="10"/>
        <v>0.21659999999999999</v>
      </c>
      <c r="F140">
        <f t="shared" si="8"/>
        <v>0.73439999999999994</v>
      </c>
      <c r="G140">
        <f t="shared" si="8"/>
        <v>0.57299999999999995</v>
      </c>
      <c r="J140">
        <v>0.21</v>
      </c>
      <c r="K140">
        <v>0.5</v>
      </c>
      <c r="L140">
        <v>0.28000000000000003</v>
      </c>
      <c r="M140">
        <f t="shared" si="9"/>
        <v>0.71</v>
      </c>
      <c r="N140">
        <f t="shared" si="9"/>
        <v>0.78</v>
      </c>
    </row>
    <row r="141" spans="1:14" x14ac:dyDescent="0.25">
      <c r="A141" s="59">
        <v>127</v>
      </c>
      <c r="C141">
        <f t="shared" si="6"/>
        <v>0.38100000000000001</v>
      </c>
      <c r="D141">
        <f t="shared" si="7"/>
        <v>0.35250000000000004</v>
      </c>
      <c r="E141">
        <f t="shared" si="10"/>
        <v>0.21679999999999999</v>
      </c>
      <c r="F141">
        <f t="shared" si="8"/>
        <v>0.73350000000000004</v>
      </c>
      <c r="G141">
        <f t="shared" si="8"/>
        <v>0.56930000000000003</v>
      </c>
      <c r="J141">
        <v>0.21</v>
      </c>
      <c r="K141">
        <v>0.5</v>
      </c>
      <c r="L141">
        <v>0.28000000000000003</v>
      </c>
      <c r="M141">
        <f t="shared" si="9"/>
        <v>0.71</v>
      </c>
      <c r="N141">
        <f t="shared" si="9"/>
        <v>0.78</v>
      </c>
    </row>
    <row r="142" spans="1:14" x14ac:dyDescent="0.25">
      <c r="A142" s="59">
        <v>128</v>
      </c>
      <c r="C142">
        <f t="shared" si="6"/>
        <v>0.38400000000000001</v>
      </c>
      <c r="D142">
        <f t="shared" si="7"/>
        <v>0.34860000000000002</v>
      </c>
      <c r="E142">
        <f t="shared" si="10"/>
        <v>0.217</v>
      </c>
      <c r="F142">
        <f t="shared" si="8"/>
        <v>0.73260000000000003</v>
      </c>
      <c r="G142">
        <f t="shared" si="8"/>
        <v>0.56559999999999999</v>
      </c>
      <c r="J142">
        <v>0.21</v>
      </c>
      <c r="K142">
        <v>0.5</v>
      </c>
      <c r="L142">
        <v>0.28000000000000003</v>
      </c>
      <c r="M142">
        <f t="shared" si="9"/>
        <v>0.71</v>
      </c>
      <c r="N142">
        <f t="shared" si="9"/>
        <v>0.78</v>
      </c>
    </row>
    <row r="143" spans="1:14" x14ac:dyDescent="0.25">
      <c r="A143" s="59">
        <v>129</v>
      </c>
      <c r="C143">
        <f t="shared" ref="C143:C165" si="11">((0.003)*A143)</f>
        <v>0.38700000000000001</v>
      </c>
      <c r="D143">
        <f t="shared" ref="D143:D165" si="12">((-0.0039)*A143)+0.8478</f>
        <v>0.34470000000000001</v>
      </c>
      <c r="E143">
        <f t="shared" si="10"/>
        <v>0.21719999999999998</v>
      </c>
      <c r="F143">
        <f t="shared" ref="F143:G165" si="13">C143+D143</f>
        <v>0.73170000000000002</v>
      </c>
      <c r="G143">
        <f t="shared" si="13"/>
        <v>0.56189999999999996</v>
      </c>
      <c r="J143">
        <v>0.21</v>
      </c>
      <c r="K143">
        <v>0.5</v>
      </c>
      <c r="L143">
        <v>0.28000000000000003</v>
      </c>
      <c r="M143">
        <f t="shared" ref="M143:N165" si="14">J143+K143</f>
        <v>0.71</v>
      </c>
      <c r="N143">
        <f t="shared" si="14"/>
        <v>0.78</v>
      </c>
    </row>
    <row r="144" spans="1:14" x14ac:dyDescent="0.25">
      <c r="A144" s="59">
        <v>130</v>
      </c>
      <c r="C144">
        <f t="shared" si="11"/>
        <v>0.39</v>
      </c>
      <c r="D144">
        <f t="shared" si="12"/>
        <v>0.34079999999999999</v>
      </c>
      <c r="E144">
        <f t="shared" si="10"/>
        <v>0.21739999999999998</v>
      </c>
      <c r="F144">
        <f t="shared" si="13"/>
        <v>0.73080000000000001</v>
      </c>
      <c r="G144">
        <f t="shared" si="13"/>
        <v>0.55820000000000003</v>
      </c>
      <c r="J144">
        <v>0.21</v>
      </c>
      <c r="K144">
        <v>0.5</v>
      </c>
      <c r="L144">
        <v>0.28000000000000003</v>
      </c>
      <c r="M144">
        <f t="shared" si="14"/>
        <v>0.71</v>
      </c>
      <c r="N144">
        <f t="shared" si="14"/>
        <v>0.78</v>
      </c>
    </row>
    <row r="145" spans="1:14" x14ac:dyDescent="0.25">
      <c r="A145" s="59">
        <v>131</v>
      </c>
      <c r="C145">
        <f t="shared" si="11"/>
        <v>0.39300000000000002</v>
      </c>
      <c r="D145">
        <f t="shared" si="12"/>
        <v>0.33689999999999998</v>
      </c>
      <c r="E145">
        <f t="shared" si="10"/>
        <v>0.21759999999999999</v>
      </c>
      <c r="F145">
        <f t="shared" si="13"/>
        <v>0.72989999999999999</v>
      </c>
      <c r="G145">
        <f t="shared" si="13"/>
        <v>0.55449999999999999</v>
      </c>
      <c r="J145">
        <v>0.21</v>
      </c>
      <c r="K145">
        <v>0.5</v>
      </c>
      <c r="L145">
        <v>0.28000000000000003</v>
      </c>
      <c r="M145">
        <f t="shared" si="14"/>
        <v>0.71</v>
      </c>
      <c r="N145">
        <f t="shared" si="14"/>
        <v>0.78</v>
      </c>
    </row>
    <row r="146" spans="1:14" x14ac:dyDescent="0.25">
      <c r="A146" s="59">
        <v>132</v>
      </c>
      <c r="C146">
        <f t="shared" si="11"/>
        <v>0.39600000000000002</v>
      </c>
      <c r="D146">
        <f t="shared" si="12"/>
        <v>0.33300000000000007</v>
      </c>
      <c r="E146">
        <f t="shared" si="10"/>
        <v>0.21779999999999999</v>
      </c>
      <c r="F146">
        <f t="shared" si="13"/>
        <v>0.72900000000000009</v>
      </c>
      <c r="G146">
        <f t="shared" si="13"/>
        <v>0.55080000000000007</v>
      </c>
      <c r="J146">
        <v>0.21</v>
      </c>
      <c r="K146">
        <v>0.5</v>
      </c>
      <c r="L146">
        <v>0.28000000000000003</v>
      </c>
      <c r="M146">
        <f t="shared" si="14"/>
        <v>0.71</v>
      </c>
      <c r="N146">
        <f t="shared" si="14"/>
        <v>0.78</v>
      </c>
    </row>
    <row r="147" spans="1:14" x14ac:dyDescent="0.25">
      <c r="A147" s="59">
        <v>133</v>
      </c>
      <c r="C147">
        <f t="shared" si="11"/>
        <v>0.39900000000000002</v>
      </c>
      <c r="D147">
        <f t="shared" si="12"/>
        <v>0.32910000000000006</v>
      </c>
      <c r="E147">
        <f t="shared" si="10"/>
        <v>0.218</v>
      </c>
      <c r="F147">
        <f t="shared" si="13"/>
        <v>0.72810000000000008</v>
      </c>
      <c r="G147">
        <f t="shared" si="13"/>
        <v>0.54710000000000003</v>
      </c>
      <c r="J147">
        <v>0.21</v>
      </c>
      <c r="K147">
        <v>0.5</v>
      </c>
      <c r="L147">
        <v>0.28000000000000003</v>
      </c>
      <c r="M147">
        <f t="shared" si="14"/>
        <v>0.71</v>
      </c>
      <c r="N147">
        <f t="shared" si="14"/>
        <v>0.78</v>
      </c>
    </row>
    <row r="148" spans="1:14" x14ac:dyDescent="0.25">
      <c r="A148" s="59">
        <v>134</v>
      </c>
      <c r="C148">
        <f t="shared" si="11"/>
        <v>0.40200000000000002</v>
      </c>
      <c r="D148">
        <f t="shared" si="12"/>
        <v>0.32520000000000004</v>
      </c>
      <c r="E148">
        <f t="shared" si="10"/>
        <v>0.21819999999999998</v>
      </c>
      <c r="F148">
        <f t="shared" si="13"/>
        <v>0.72720000000000007</v>
      </c>
      <c r="G148">
        <f t="shared" si="13"/>
        <v>0.54339999999999999</v>
      </c>
      <c r="J148">
        <v>0.21</v>
      </c>
      <c r="K148">
        <v>0.5</v>
      </c>
      <c r="L148">
        <v>0.28000000000000003</v>
      </c>
      <c r="M148">
        <f t="shared" si="14"/>
        <v>0.71</v>
      </c>
      <c r="N148">
        <f t="shared" si="14"/>
        <v>0.78</v>
      </c>
    </row>
    <row r="149" spans="1:14" x14ac:dyDescent="0.25">
      <c r="A149" s="59">
        <v>135</v>
      </c>
      <c r="C149">
        <f t="shared" si="11"/>
        <v>0.40500000000000003</v>
      </c>
      <c r="D149">
        <f t="shared" si="12"/>
        <v>0.32130000000000003</v>
      </c>
      <c r="E149">
        <f t="shared" si="10"/>
        <v>0.21839999999999998</v>
      </c>
      <c r="F149">
        <f t="shared" si="13"/>
        <v>0.72630000000000006</v>
      </c>
      <c r="G149">
        <f t="shared" si="13"/>
        <v>0.53970000000000007</v>
      </c>
      <c r="J149">
        <v>0.21</v>
      </c>
      <c r="K149">
        <v>0.5</v>
      </c>
      <c r="L149">
        <v>0.28000000000000003</v>
      </c>
      <c r="M149">
        <f t="shared" si="14"/>
        <v>0.71</v>
      </c>
      <c r="N149">
        <f t="shared" si="14"/>
        <v>0.78</v>
      </c>
    </row>
    <row r="150" spans="1:14" x14ac:dyDescent="0.25">
      <c r="A150" s="59">
        <v>136</v>
      </c>
      <c r="C150">
        <f t="shared" si="11"/>
        <v>0.40800000000000003</v>
      </c>
      <c r="D150">
        <f t="shared" si="12"/>
        <v>0.31740000000000002</v>
      </c>
      <c r="E150">
        <f t="shared" si="10"/>
        <v>0.21859999999999999</v>
      </c>
      <c r="F150">
        <f t="shared" si="13"/>
        <v>0.72540000000000004</v>
      </c>
      <c r="G150">
        <f t="shared" si="13"/>
        <v>0.53600000000000003</v>
      </c>
      <c r="J150">
        <v>0.21</v>
      </c>
      <c r="K150">
        <v>0.5</v>
      </c>
      <c r="L150">
        <v>0.28000000000000003</v>
      </c>
      <c r="M150">
        <f t="shared" si="14"/>
        <v>0.71</v>
      </c>
      <c r="N150">
        <f t="shared" si="14"/>
        <v>0.78</v>
      </c>
    </row>
    <row r="151" spans="1:14" x14ac:dyDescent="0.25">
      <c r="A151" s="59">
        <v>137</v>
      </c>
      <c r="C151">
        <f t="shared" si="11"/>
        <v>0.41100000000000003</v>
      </c>
      <c r="D151">
        <f t="shared" si="12"/>
        <v>0.3135</v>
      </c>
      <c r="E151">
        <f t="shared" si="10"/>
        <v>0.21879999999999999</v>
      </c>
      <c r="F151">
        <f t="shared" si="13"/>
        <v>0.72450000000000003</v>
      </c>
      <c r="G151">
        <f t="shared" si="13"/>
        <v>0.5323</v>
      </c>
      <c r="J151">
        <v>0.21</v>
      </c>
      <c r="K151">
        <v>0.5</v>
      </c>
      <c r="L151">
        <v>0.28000000000000003</v>
      </c>
      <c r="M151">
        <f t="shared" si="14"/>
        <v>0.71</v>
      </c>
      <c r="N151">
        <f t="shared" si="14"/>
        <v>0.78</v>
      </c>
    </row>
    <row r="152" spans="1:14" x14ac:dyDescent="0.25">
      <c r="A152" s="59">
        <v>138</v>
      </c>
      <c r="C152">
        <f t="shared" si="11"/>
        <v>0.41400000000000003</v>
      </c>
      <c r="D152">
        <f t="shared" si="12"/>
        <v>0.30959999999999999</v>
      </c>
      <c r="E152">
        <f t="shared" si="10"/>
        <v>0.219</v>
      </c>
      <c r="F152">
        <f t="shared" si="13"/>
        <v>0.72360000000000002</v>
      </c>
      <c r="G152">
        <f t="shared" si="13"/>
        <v>0.52859999999999996</v>
      </c>
      <c r="J152">
        <v>0.21</v>
      </c>
      <c r="K152">
        <v>0.5</v>
      </c>
      <c r="L152">
        <v>0.28000000000000003</v>
      </c>
      <c r="M152">
        <f t="shared" si="14"/>
        <v>0.71</v>
      </c>
      <c r="N152">
        <f t="shared" si="14"/>
        <v>0.78</v>
      </c>
    </row>
    <row r="153" spans="1:14" x14ac:dyDescent="0.25">
      <c r="A153" s="59">
        <v>139</v>
      </c>
      <c r="C153">
        <f t="shared" si="11"/>
        <v>0.41699999999999998</v>
      </c>
      <c r="D153">
        <f t="shared" si="12"/>
        <v>0.30569999999999997</v>
      </c>
      <c r="E153">
        <f t="shared" si="10"/>
        <v>0.21919999999999998</v>
      </c>
      <c r="F153">
        <f t="shared" si="13"/>
        <v>0.7226999999999999</v>
      </c>
      <c r="G153">
        <f t="shared" si="13"/>
        <v>0.52489999999999992</v>
      </c>
      <c r="J153">
        <v>0.21</v>
      </c>
      <c r="K153">
        <v>0.5</v>
      </c>
      <c r="L153">
        <v>0.28000000000000003</v>
      </c>
      <c r="M153">
        <f t="shared" si="14"/>
        <v>0.71</v>
      </c>
      <c r="N153">
        <f t="shared" si="14"/>
        <v>0.78</v>
      </c>
    </row>
    <row r="154" spans="1:14" x14ac:dyDescent="0.25">
      <c r="A154" s="59">
        <v>140</v>
      </c>
      <c r="C154">
        <f t="shared" si="11"/>
        <v>0.42</v>
      </c>
      <c r="D154">
        <f t="shared" si="12"/>
        <v>0.30180000000000007</v>
      </c>
      <c r="E154">
        <f t="shared" si="10"/>
        <v>0.21939999999999998</v>
      </c>
      <c r="F154">
        <f t="shared" si="13"/>
        <v>0.7218</v>
      </c>
      <c r="G154">
        <f t="shared" si="13"/>
        <v>0.52120000000000011</v>
      </c>
      <c r="J154">
        <v>0.21</v>
      </c>
      <c r="K154">
        <v>0.5</v>
      </c>
      <c r="L154">
        <v>0.28000000000000003</v>
      </c>
      <c r="M154">
        <f t="shared" si="14"/>
        <v>0.71</v>
      </c>
      <c r="N154">
        <f t="shared" si="14"/>
        <v>0.78</v>
      </c>
    </row>
    <row r="155" spans="1:14" x14ac:dyDescent="0.25">
      <c r="A155" s="59">
        <v>141</v>
      </c>
      <c r="C155">
        <f t="shared" si="11"/>
        <v>0.42299999999999999</v>
      </c>
      <c r="D155">
        <f t="shared" si="12"/>
        <v>0.29790000000000005</v>
      </c>
      <c r="E155">
        <f t="shared" si="10"/>
        <v>0.21959999999999999</v>
      </c>
      <c r="F155">
        <f t="shared" si="13"/>
        <v>0.7209000000000001</v>
      </c>
      <c r="G155">
        <f t="shared" si="13"/>
        <v>0.51750000000000007</v>
      </c>
      <c r="J155">
        <v>0.21</v>
      </c>
      <c r="K155">
        <v>0.5</v>
      </c>
      <c r="L155">
        <v>0.28000000000000003</v>
      </c>
      <c r="M155">
        <f t="shared" si="14"/>
        <v>0.71</v>
      </c>
      <c r="N155">
        <f t="shared" si="14"/>
        <v>0.78</v>
      </c>
    </row>
    <row r="156" spans="1:14" x14ac:dyDescent="0.25">
      <c r="A156" s="59">
        <v>142</v>
      </c>
      <c r="C156">
        <f t="shared" si="11"/>
        <v>0.42599999999999999</v>
      </c>
      <c r="D156">
        <f t="shared" si="12"/>
        <v>0.29400000000000004</v>
      </c>
      <c r="E156">
        <f t="shared" si="10"/>
        <v>0.2198</v>
      </c>
      <c r="F156">
        <f t="shared" si="13"/>
        <v>0.72</v>
      </c>
      <c r="G156">
        <f t="shared" si="13"/>
        <v>0.51380000000000003</v>
      </c>
      <c r="J156">
        <v>0.21</v>
      </c>
      <c r="K156">
        <v>0.5</v>
      </c>
      <c r="L156">
        <v>0.28000000000000003</v>
      </c>
      <c r="M156">
        <f t="shared" si="14"/>
        <v>0.71</v>
      </c>
      <c r="N156">
        <f t="shared" si="14"/>
        <v>0.78</v>
      </c>
    </row>
    <row r="157" spans="1:14" x14ac:dyDescent="0.25">
      <c r="A157" s="59">
        <v>143</v>
      </c>
      <c r="C157">
        <f t="shared" si="11"/>
        <v>0.42899999999999999</v>
      </c>
      <c r="D157">
        <f t="shared" si="12"/>
        <v>0.29010000000000002</v>
      </c>
      <c r="E157">
        <f t="shared" si="10"/>
        <v>0.21999999999999997</v>
      </c>
      <c r="F157">
        <f t="shared" si="13"/>
        <v>0.71910000000000007</v>
      </c>
      <c r="G157">
        <f t="shared" si="13"/>
        <v>0.5101</v>
      </c>
      <c r="J157">
        <v>0.21</v>
      </c>
      <c r="K157">
        <v>0.5</v>
      </c>
      <c r="L157">
        <v>0.28000000000000003</v>
      </c>
      <c r="M157">
        <f t="shared" si="14"/>
        <v>0.71</v>
      </c>
      <c r="N157">
        <f t="shared" si="14"/>
        <v>0.78</v>
      </c>
    </row>
    <row r="158" spans="1:14" x14ac:dyDescent="0.25">
      <c r="A158" s="59">
        <v>144</v>
      </c>
      <c r="C158">
        <f t="shared" si="11"/>
        <v>0.432</v>
      </c>
      <c r="D158">
        <f t="shared" si="12"/>
        <v>0.28620000000000001</v>
      </c>
      <c r="E158">
        <f t="shared" si="10"/>
        <v>0.22019999999999998</v>
      </c>
      <c r="F158">
        <f t="shared" si="13"/>
        <v>0.71819999999999995</v>
      </c>
      <c r="G158">
        <f t="shared" si="13"/>
        <v>0.50639999999999996</v>
      </c>
      <c r="J158">
        <v>0.21</v>
      </c>
      <c r="K158">
        <v>0.5</v>
      </c>
      <c r="L158">
        <v>0.28000000000000003</v>
      </c>
      <c r="M158">
        <f t="shared" si="14"/>
        <v>0.71</v>
      </c>
      <c r="N158">
        <f t="shared" si="14"/>
        <v>0.78</v>
      </c>
    </row>
    <row r="159" spans="1:14" x14ac:dyDescent="0.25">
      <c r="A159" s="59">
        <v>145</v>
      </c>
      <c r="C159">
        <f t="shared" si="11"/>
        <v>0.435</v>
      </c>
      <c r="D159">
        <f t="shared" si="12"/>
        <v>0.2823</v>
      </c>
      <c r="E159">
        <f t="shared" si="10"/>
        <v>0.22039999999999998</v>
      </c>
      <c r="F159">
        <f t="shared" si="13"/>
        <v>0.71730000000000005</v>
      </c>
      <c r="G159">
        <f t="shared" si="13"/>
        <v>0.50269999999999992</v>
      </c>
      <c r="J159">
        <v>0.21</v>
      </c>
      <c r="K159">
        <v>0.5</v>
      </c>
      <c r="L159">
        <v>0.28000000000000003</v>
      </c>
      <c r="M159">
        <f t="shared" si="14"/>
        <v>0.71</v>
      </c>
      <c r="N159">
        <f t="shared" si="14"/>
        <v>0.78</v>
      </c>
    </row>
    <row r="160" spans="1:14" x14ac:dyDescent="0.25">
      <c r="A160" s="59">
        <v>146</v>
      </c>
      <c r="C160">
        <f t="shared" si="11"/>
        <v>0.438</v>
      </c>
      <c r="D160">
        <f t="shared" si="12"/>
        <v>0.27839999999999998</v>
      </c>
      <c r="E160">
        <f t="shared" si="10"/>
        <v>0.22059999999999999</v>
      </c>
      <c r="F160">
        <f t="shared" si="13"/>
        <v>0.71639999999999993</v>
      </c>
      <c r="G160">
        <f t="shared" si="13"/>
        <v>0.499</v>
      </c>
      <c r="J160">
        <v>0.21</v>
      </c>
      <c r="K160">
        <v>0.5</v>
      </c>
      <c r="L160">
        <v>0.28000000000000003</v>
      </c>
      <c r="M160">
        <f t="shared" si="14"/>
        <v>0.71</v>
      </c>
      <c r="N160">
        <f t="shared" si="14"/>
        <v>0.78</v>
      </c>
    </row>
    <row r="161" spans="1:14" x14ac:dyDescent="0.25">
      <c r="A161" s="59">
        <v>147</v>
      </c>
      <c r="C161">
        <f t="shared" si="11"/>
        <v>0.441</v>
      </c>
      <c r="D161">
        <f t="shared" si="12"/>
        <v>0.27450000000000008</v>
      </c>
      <c r="E161">
        <f t="shared" si="10"/>
        <v>0.2208</v>
      </c>
      <c r="F161">
        <f t="shared" si="13"/>
        <v>0.71550000000000002</v>
      </c>
      <c r="G161">
        <f t="shared" si="13"/>
        <v>0.49530000000000007</v>
      </c>
      <c r="J161">
        <v>0.21</v>
      </c>
      <c r="K161">
        <v>0.5</v>
      </c>
      <c r="L161">
        <v>0.28000000000000003</v>
      </c>
      <c r="M161">
        <f t="shared" si="14"/>
        <v>0.71</v>
      </c>
      <c r="N161">
        <f t="shared" si="14"/>
        <v>0.78</v>
      </c>
    </row>
    <row r="162" spans="1:14" x14ac:dyDescent="0.25">
      <c r="A162" s="59">
        <v>148</v>
      </c>
      <c r="C162">
        <f t="shared" si="11"/>
        <v>0.44400000000000001</v>
      </c>
      <c r="D162">
        <f t="shared" si="12"/>
        <v>0.27060000000000006</v>
      </c>
      <c r="E162">
        <f t="shared" si="10"/>
        <v>0.22099999999999997</v>
      </c>
      <c r="F162">
        <f t="shared" si="13"/>
        <v>0.71460000000000012</v>
      </c>
      <c r="G162">
        <f t="shared" si="13"/>
        <v>0.49160000000000004</v>
      </c>
      <c r="J162">
        <v>0.21</v>
      </c>
      <c r="K162">
        <v>0.5</v>
      </c>
      <c r="L162">
        <v>0.28000000000000003</v>
      </c>
      <c r="M162">
        <f t="shared" si="14"/>
        <v>0.71</v>
      </c>
      <c r="N162">
        <f t="shared" si="14"/>
        <v>0.78</v>
      </c>
    </row>
    <row r="163" spans="1:14" x14ac:dyDescent="0.25">
      <c r="A163" s="59">
        <v>149</v>
      </c>
      <c r="C163">
        <f t="shared" si="11"/>
        <v>0.44700000000000001</v>
      </c>
      <c r="D163">
        <f t="shared" si="12"/>
        <v>0.26670000000000005</v>
      </c>
      <c r="E163">
        <f t="shared" si="10"/>
        <v>0.22119999999999998</v>
      </c>
      <c r="F163">
        <f t="shared" si="13"/>
        <v>0.7137</v>
      </c>
      <c r="G163">
        <f t="shared" si="13"/>
        <v>0.4879</v>
      </c>
      <c r="J163">
        <v>0.21</v>
      </c>
      <c r="K163">
        <v>0.5</v>
      </c>
      <c r="L163">
        <v>0.28000000000000003</v>
      </c>
      <c r="M163">
        <f t="shared" si="14"/>
        <v>0.71</v>
      </c>
      <c r="N163">
        <f t="shared" si="14"/>
        <v>0.78</v>
      </c>
    </row>
    <row r="164" spans="1:14" x14ac:dyDescent="0.25">
      <c r="A164" s="59">
        <v>150</v>
      </c>
      <c r="C164">
        <f t="shared" si="11"/>
        <v>0.45</v>
      </c>
      <c r="D164">
        <f t="shared" si="12"/>
        <v>0.26280000000000003</v>
      </c>
      <c r="E164">
        <f t="shared" si="10"/>
        <v>0.22139999999999999</v>
      </c>
      <c r="F164">
        <f t="shared" si="13"/>
        <v>0.7128000000000001</v>
      </c>
      <c r="G164">
        <f t="shared" si="13"/>
        <v>0.48420000000000002</v>
      </c>
      <c r="J164">
        <v>0.21</v>
      </c>
      <c r="K164">
        <v>0.5</v>
      </c>
      <c r="L164">
        <v>0.28000000000000003</v>
      </c>
      <c r="M164">
        <f t="shared" si="14"/>
        <v>0.71</v>
      </c>
      <c r="N164">
        <f t="shared" si="14"/>
        <v>0.78</v>
      </c>
    </row>
    <row r="165" spans="1:14" x14ac:dyDescent="0.25">
      <c r="A165" s="59">
        <v>151</v>
      </c>
      <c r="C165">
        <f t="shared" si="11"/>
        <v>0.45300000000000001</v>
      </c>
      <c r="D165">
        <f t="shared" si="12"/>
        <v>0.25890000000000002</v>
      </c>
      <c r="E165">
        <f t="shared" si="10"/>
        <v>0.22159999999999999</v>
      </c>
      <c r="F165">
        <f t="shared" si="13"/>
        <v>0.71189999999999998</v>
      </c>
      <c r="G165">
        <f t="shared" si="13"/>
        <v>0.48050000000000004</v>
      </c>
      <c r="J165">
        <v>0.21</v>
      </c>
      <c r="K165">
        <v>0.5</v>
      </c>
      <c r="L165">
        <v>0.28000000000000003</v>
      </c>
      <c r="M165">
        <f t="shared" si="14"/>
        <v>0.71</v>
      </c>
      <c r="N165">
        <f t="shared" si="14"/>
        <v>0.78</v>
      </c>
    </row>
  </sheetData>
  <mergeCells count="2">
    <mergeCell ref="C1:F1"/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5DB8-910B-0249-B12E-756A70374389}">
  <dimension ref="A1:G162"/>
  <sheetViews>
    <sheetView workbookViewId="0">
      <selection activeCell="F16" sqref="F16"/>
    </sheetView>
  </sheetViews>
  <sheetFormatPr defaultColWidth="11.5546875" defaultRowHeight="17.399999999999999" x14ac:dyDescent="0.3"/>
  <cols>
    <col min="1" max="3" width="10.77734375"/>
    <col min="5" max="5" width="13" style="339" customWidth="1"/>
    <col min="6" max="7" width="21.6640625" style="327" customWidth="1"/>
  </cols>
  <sheetData>
    <row r="1" spans="1:7" x14ac:dyDescent="0.3">
      <c r="B1" s="75"/>
    </row>
    <row r="2" spans="1:7" x14ac:dyDescent="0.3">
      <c r="A2" s="75"/>
      <c r="B2" s="75"/>
      <c r="C2" s="75"/>
    </row>
    <row r="4" spans="1:7" x14ac:dyDescent="0.3">
      <c r="F4" s="396" t="s">
        <v>161</v>
      </c>
      <c r="G4" s="396"/>
    </row>
    <row r="5" spans="1:7" x14ac:dyDescent="0.3">
      <c r="E5" s="342" t="s">
        <v>120</v>
      </c>
    </row>
    <row r="6" spans="1:7" x14ac:dyDescent="0.3">
      <c r="E6" s="344">
        <v>1</v>
      </c>
      <c r="F6" s="347">
        <f t="shared" ref="F6:F69" si="0">E6*0.009</f>
        <v>8.9999999999999993E-3</v>
      </c>
      <c r="G6" s="345"/>
    </row>
    <row r="7" spans="1:7" x14ac:dyDescent="0.3">
      <c r="E7" s="344">
        <v>2</v>
      </c>
      <c r="F7" s="348">
        <f t="shared" si="0"/>
        <v>1.7999999999999999E-2</v>
      </c>
      <c r="G7" s="343"/>
    </row>
    <row r="8" spans="1:7" x14ac:dyDescent="0.3">
      <c r="E8" s="344">
        <v>3</v>
      </c>
      <c r="F8" s="348">
        <f t="shared" si="0"/>
        <v>2.6999999999999996E-2</v>
      </c>
      <c r="G8" s="343"/>
    </row>
    <row r="9" spans="1:7" x14ac:dyDescent="0.3">
      <c r="E9" s="344">
        <v>4</v>
      </c>
      <c r="F9" s="348">
        <f t="shared" si="0"/>
        <v>3.5999999999999997E-2</v>
      </c>
      <c r="G9" s="343"/>
    </row>
    <row r="10" spans="1:7" x14ac:dyDescent="0.3">
      <c r="E10" s="344">
        <v>5</v>
      </c>
      <c r="F10" s="348">
        <f t="shared" si="0"/>
        <v>4.4999999999999998E-2</v>
      </c>
      <c r="G10" s="343"/>
    </row>
    <row r="11" spans="1:7" x14ac:dyDescent="0.3">
      <c r="E11" s="344">
        <v>6</v>
      </c>
      <c r="F11" s="348">
        <f t="shared" si="0"/>
        <v>5.3999999999999992E-2</v>
      </c>
      <c r="G11" s="343"/>
    </row>
    <row r="12" spans="1:7" x14ac:dyDescent="0.3">
      <c r="E12" s="344">
        <v>7</v>
      </c>
      <c r="F12" s="348">
        <f t="shared" si="0"/>
        <v>6.3E-2</v>
      </c>
      <c r="G12" s="343"/>
    </row>
    <row r="13" spans="1:7" x14ac:dyDescent="0.3">
      <c r="E13" s="344">
        <v>8</v>
      </c>
      <c r="F13" s="348">
        <f t="shared" si="0"/>
        <v>7.1999999999999995E-2</v>
      </c>
      <c r="G13" s="343"/>
    </row>
    <row r="14" spans="1:7" x14ac:dyDescent="0.3">
      <c r="E14" s="344">
        <v>9</v>
      </c>
      <c r="F14" s="348">
        <f t="shared" si="0"/>
        <v>8.0999999999999989E-2</v>
      </c>
      <c r="G14" s="343"/>
    </row>
    <row r="15" spans="1:7" x14ac:dyDescent="0.3">
      <c r="E15" s="344">
        <v>10</v>
      </c>
      <c r="F15" s="348">
        <f t="shared" si="0"/>
        <v>0.09</v>
      </c>
      <c r="G15" s="343"/>
    </row>
    <row r="16" spans="1:7" x14ac:dyDescent="0.3">
      <c r="E16" s="344">
        <v>11</v>
      </c>
      <c r="F16" s="348">
        <f t="shared" si="0"/>
        <v>9.8999999999999991E-2</v>
      </c>
      <c r="G16" s="343"/>
    </row>
    <row r="17" spans="5:7" x14ac:dyDescent="0.3">
      <c r="E17" s="344">
        <v>12</v>
      </c>
      <c r="F17" s="348">
        <f t="shared" si="0"/>
        <v>0.10799999999999998</v>
      </c>
      <c r="G17" s="343"/>
    </row>
    <row r="18" spans="5:7" x14ac:dyDescent="0.3">
      <c r="E18" s="344">
        <v>13</v>
      </c>
      <c r="F18" s="348">
        <f t="shared" si="0"/>
        <v>0.11699999999999999</v>
      </c>
      <c r="G18" s="343"/>
    </row>
    <row r="19" spans="5:7" x14ac:dyDescent="0.3">
      <c r="E19" s="344">
        <v>14</v>
      </c>
      <c r="F19" s="348">
        <f t="shared" si="0"/>
        <v>0.126</v>
      </c>
      <c r="G19" s="343"/>
    </row>
    <row r="20" spans="5:7" x14ac:dyDescent="0.3">
      <c r="E20" s="344">
        <v>15</v>
      </c>
      <c r="F20" s="348">
        <f t="shared" si="0"/>
        <v>0.13499999999999998</v>
      </c>
      <c r="G20" s="343"/>
    </row>
    <row r="21" spans="5:7" x14ac:dyDescent="0.3">
      <c r="E21" s="344">
        <v>16</v>
      </c>
      <c r="F21" s="348">
        <f t="shared" si="0"/>
        <v>0.14399999999999999</v>
      </c>
      <c r="G21" s="343"/>
    </row>
    <row r="22" spans="5:7" x14ac:dyDescent="0.3">
      <c r="E22" s="344">
        <v>17</v>
      </c>
      <c r="F22" s="348">
        <f t="shared" si="0"/>
        <v>0.153</v>
      </c>
      <c r="G22" s="343"/>
    </row>
    <row r="23" spans="5:7" x14ac:dyDescent="0.3">
      <c r="E23" s="344">
        <v>18</v>
      </c>
      <c r="F23" s="348">
        <f t="shared" si="0"/>
        <v>0.16199999999999998</v>
      </c>
      <c r="G23" s="343"/>
    </row>
    <row r="24" spans="5:7" x14ac:dyDescent="0.3">
      <c r="E24" s="344">
        <v>19</v>
      </c>
      <c r="F24" s="348">
        <f t="shared" si="0"/>
        <v>0.17099999999999999</v>
      </c>
      <c r="G24" s="343"/>
    </row>
    <row r="25" spans="5:7" x14ac:dyDescent="0.3">
      <c r="E25" s="344">
        <v>20</v>
      </c>
      <c r="F25" s="348">
        <f t="shared" si="0"/>
        <v>0.18</v>
      </c>
      <c r="G25" s="343"/>
    </row>
    <row r="26" spans="5:7" x14ac:dyDescent="0.3">
      <c r="E26" s="344">
        <v>21</v>
      </c>
      <c r="F26" s="348">
        <f t="shared" si="0"/>
        <v>0.18899999999999997</v>
      </c>
      <c r="G26" s="343"/>
    </row>
    <row r="27" spans="5:7" x14ac:dyDescent="0.3">
      <c r="E27" s="344">
        <v>22</v>
      </c>
      <c r="F27" s="348">
        <f t="shared" si="0"/>
        <v>0.19799999999999998</v>
      </c>
      <c r="G27" s="343"/>
    </row>
    <row r="28" spans="5:7" x14ac:dyDescent="0.3">
      <c r="E28" s="344">
        <v>23</v>
      </c>
      <c r="F28" s="348">
        <f t="shared" si="0"/>
        <v>0.20699999999999999</v>
      </c>
      <c r="G28" s="343"/>
    </row>
    <row r="29" spans="5:7" x14ac:dyDescent="0.3">
      <c r="E29" s="344">
        <v>24</v>
      </c>
      <c r="F29" s="348">
        <f t="shared" si="0"/>
        <v>0.21599999999999997</v>
      </c>
      <c r="G29" s="343"/>
    </row>
    <row r="30" spans="5:7" x14ac:dyDescent="0.3">
      <c r="E30" s="344">
        <v>25</v>
      </c>
      <c r="F30" s="348">
        <f t="shared" si="0"/>
        <v>0.22499999999999998</v>
      </c>
      <c r="G30" s="343"/>
    </row>
    <row r="31" spans="5:7" x14ac:dyDescent="0.3">
      <c r="E31" s="344">
        <v>26</v>
      </c>
      <c r="F31" s="348">
        <f t="shared" si="0"/>
        <v>0.23399999999999999</v>
      </c>
      <c r="G31" s="343"/>
    </row>
    <row r="32" spans="5:7" x14ac:dyDescent="0.3">
      <c r="E32" s="344">
        <v>27</v>
      </c>
      <c r="F32" s="348">
        <f t="shared" si="0"/>
        <v>0.24299999999999999</v>
      </c>
      <c r="G32" s="343"/>
    </row>
    <row r="33" spans="5:7" x14ac:dyDescent="0.3">
      <c r="E33" s="344">
        <v>28</v>
      </c>
      <c r="F33" s="348">
        <f t="shared" si="0"/>
        <v>0.252</v>
      </c>
      <c r="G33" s="343"/>
    </row>
    <row r="34" spans="5:7" x14ac:dyDescent="0.3">
      <c r="E34" s="344">
        <v>29</v>
      </c>
      <c r="F34" s="348">
        <f t="shared" si="0"/>
        <v>0.26099999999999995</v>
      </c>
      <c r="G34" s="343"/>
    </row>
    <row r="35" spans="5:7" x14ac:dyDescent="0.3">
      <c r="E35" s="344">
        <v>30</v>
      </c>
      <c r="F35" s="348">
        <f t="shared" si="0"/>
        <v>0.26999999999999996</v>
      </c>
      <c r="G35" s="343"/>
    </row>
    <row r="36" spans="5:7" x14ac:dyDescent="0.3">
      <c r="E36" s="344">
        <v>31</v>
      </c>
      <c r="F36" s="348">
        <f t="shared" si="0"/>
        <v>0.27899999999999997</v>
      </c>
      <c r="G36" s="343"/>
    </row>
    <row r="37" spans="5:7" x14ac:dyDescent="0.3">
      <c r="E37" s="344">
        <v>32</v>
      </c>
      <c r="F37" s="348">
        <f t="shared" si="0"/>
        <v>0.28799999999999998</v>
      </c>
      <c r="G37" s="343"/>
    </row>
    <row r="38" spans="5:7" x14ac:dyDescent="0.3">
      <c r="E38" s="344">
        <v>33</v>
      </c>
      <c r="F38" s="348">
        <f t="shared" si="0"/>
        <v>0.29699999999999999</v>
      </c>
      <c r="G38" s="343"/>
    </row>
    <row r="39" spans="5:7" x14ac:dyDescent="0.3">
      <c r="E39" s="344">
        <v>34</v>
      </c>
      <c r="F39" s="348">
        <f t="shared" si="0"/>
        <v>0.30599999999999999</v>
      </c>
      <c r="G39" s="343"/>
    </row>
    <row r="40" spans="5:7" x14ac:dyDescent="0.3">
      <c r="E40" s="344">
        <v>35</v>
      </c>
      <c r="F40" s="348">
        <f t="shared" si="0"/>
        <v>0.315</v>
      </c>
      <c r="G40" s="343"/>
    </row>
    <row r="41" spans="5:7" x14ac:dyDescent="0.3">
      <c r="E41" s="344">
        <v>36</v>
      </c>
      <c r="F41" s="348">
        <f t="shared" si="0"/>
        <v>0.32399999999999995</v>
      </c>
      <c r="G41" s="343"/>
    </row>
    <row r="42" spans="5:7" x14ac:dyDescent="0.3">
      <c r="E42" s="344">
        <v>37</v>
      </c>
      <c r="F42" s="348">
        <f t="shared" si="0"/>
        <v>0.33299999999999996</v>
      </c>
      <c r="G42" s="343"/>
    </row>
    <row r="43" spans="5:7" x14ac:dyDescent="0.3">
      <c r="E43" s="344">
        <v>38</v>
      </c>
      <c r="F43" s="348">
        <f t="shared" si="0"/>
        <v>0.34199999999999997</v>
      </c>
      <c r="G43" s="343"/>
    </row>
    <row r="44" spans="5:7" x14ac:dyDescent="0.3">
      <c r="E44" s="344">
        <v>39</v>
      </c>
      <c r="F44" s="348">
        <f t="shared" si="0"/>
        <v>0.35099999999999998</v>
      </c>
      <c r="G44" s="343"/>
    </row>
    <row r="45" spans="5:7" x14ac:dyDescent="0.3">
      <c r="E45" s="344">
        <v>40</v>
      </c>
      <c r="F45" s="348">
        <f t="shared" si="0"/>
        <v>0.36</v>
      </c>
      <c r="G45" s="343"/>
    </row>
    <row r="46" spans="5:7" x14ac:dyDescent="0.3">
      <c r="E46" s="344">
        <v>41</v>
      </c>
      <c r="F46" s="348">
        <f t="shared" si="0"/>
        <v>0.36899999999999999</v>
      </c>
      <c r="G46" s="343"/>
    </row>
    <row r="47" spans="5:7" x14ac:dyDescent="0.3">
      <c r="E47" s="344">
        <v>42</v>
      </c>
      <c r="F47" s="348">
        <f t="shared" si="0"/>
        <v>0.37799999999999995</v>
      </c>
      <c r="G47" s="343"/>
    </row>
    <row r="48" spans="5:7" x14ac:dyDescent="0.3">
      <c r="E48" s="344">
        <v>43</v>
      </c>
      <c r="F48" s="348">
        <f t="shared" si="0"/>
        <v>0.38699999999999996</v>
      </c>
      <c r="G48" s="343"/>
    </row>
    <row r="49" spans="5:7" x14ac:dyDescent="0.3">
      <c r="E49" s="344">
        <v>44</v>
      </c>
      <c r="F49" s="348">
        <f t="shared" si="0"/>
        <v>0.39599999999999996</v>
      </c>
      <c r="G49" s="343"/>
    </row>
    <row r="50" spans="5:7" x14ac:dyDescent="0.3">
      <c r="E50" s="344"/>
      <c r="F50" s="348"/>
      <c r="G50" s="343"/>
    </row>
    <row r="51" spans="5:7" x14ac:dyDescent="0.3">
      <c r="E51" s="344">
        <v>45</v>
      </c>
      <c r="F51" s="348">
        <f t="shared" si="0"/>
        <v>0.40499999999999997</v>
      </c>
      <c r="G51" s="343"/>
    </row>
    <row r="52" spans="5:7" x14ac:dyDescent="0.3">
      <c r="E52" s="344">
        <v>46</v>
      </c>
      <c r="F52" s="348">
        <f t="shared" si="0"/>
        <v>0.41399999999999998</v>
      </c>
      <c r="G52" s="343"/>
    </row>
    <row r="53" spans="5:7" x14ac:dyDescent="0.3">
      <c r="E53" s="344">
        <v>47</v>
      </c>
      <c r="F53" s="348">
        <f t="shared" si="0"/>
        <v>0.42299999999999999</v>
      </c>
      <c r="G53" s="343"/>
    </row>
    <row r="54" spans="5:7" x14ac:dyDescent="0.3">
      <c r="E54" s="344">
        <v>48</v>
      </c>
      <c r="F54" s="348">
        <f t="shared" si="0"/>
        <v>0.43199999999999994</v>
      </c>
      <c r="G54" s="343"/>
    </row>
    <row r="55" spans="5:7" x14ac:dyDescent="0.3">
      <c r="E55" s="344">
        <v>49</v>
      </c>
      <c r="F55" s="348">
        <f t="shared" si="0"/>
        <v>0.44099999999999995</v>
      </c>
      <c r="G55" s="343"/>
    </row>
    <row r="56" spans="5:7" x14ac:dyDescent="0.3">
      <c r="E56" s="344">
        <v>50</v>
      </c>
      <c r="F56" s="348">
        <f t="shared" si="0"/>
        <v>0.44999999999999996</v>
      </c>
      <c r="G56" s="343"/>
    </row>
    <row r="57" spans="5:7" x14ac:dyDescent="0.3">
      <c r="E57" s="344">
        <v>51</v>
      </c>
      <c r="F57" s="348">
        <f t="shared" si="0"/>
        <v>0.45899999999999996</v>
      </c>
      <c r="G57" s="343"/>
    </row>
    <row r="58" spans="5:7" x14ac:dyDescent="0.3">
      <c r="E58" s="344">
        <v>52</v>
      </c>
      <c r="F58" s="348">
        <f t="shared" si="0"/>
        <v>0.46799999999999997</v>
      </c>
      <c r="G58" s="343"/>
    </row>
    <row r="59" spans="5:7" x14ac:dyDescent="0.3">
      <c r="E59" s="344">
        <v>53</v>
      </c>
      <c r="F59" s="348">
        <f t="shared" si="0"/>
        <v>0.47699999999999998</v>
      </c>
      <c r="G59" s="343"/>
    </row>
    <row r="60" spans="5:7" x14ac:dyDescent="0.3">
      <c r="E60" s="344">
        <v>54</v>
      </c>
      <c r="F60" s="348">
        <f t="shared" si="0"/>
        <v>0.48599999999999999</v>
      </c>
      <c r="G60" s="343"/>
    </row>
    <row r="61" spans="5:7" x14ac:dyDescent="0.3">
      <c r="E61" s="344">
        <v>55</v>
      </c>
      <c r="F61" s="348">
        <f t="shared" si="0"/>
        <v>0.49499999999999994</v>
      </c>
      <c r="G61" s="343"/>
    </row>
    <row r="62" spans="5:7" x14ac:dyDescent="0.3">
      <c r="E62" s="344">
        <v>56</v>
      </c>
      <c r="F62" s="348">
        <f t="shared" si="0"/>
        <v>0.504</v>
      </c>
      <c r="G62" s="343"/>
    </row>
    <row r="63" spans="5:7" x14ac:dyDescent="0.3">
      <c r="E63" s="344">
        <v>57</v>
      </c>
      <c r="F63" s="348">
        <f t="shared" si="0"/>
        <v>0.51300000000000001</v>
      </c>
      <c r="G63" s="343"/>
    </row>
    <row r="64" spans="5:7" x14ac:dyDescent="0.3">
      <c r="E64" s="344">
        <v>58</v>
      </c>
      <c r="F64" s="348">
        <f t="shared" si="0"/>
        <v>0.52199999999999991</v>
      </c>
      <c r="G64" s="343"/>
    </row>
    <row r="65" spans="5:7" x14ac:dyDescent="0.3">
      <c r="E65" s="344">
        <v>59</v>
      </c>
      <c r="F65" s="348">
        <f t="shared" si="0"/>
        <v>0.53099999999999992</v>
      </c>
      <c r="G65" s="343"/>
    </row>
    <row r="66" spans="5:7" x14ac:dyDescent="0.3">
      <c r="E66" s="344">
        <v>60</v>
      </c>
      <c r="F66" s="348">
        <f t="shared" si="0"/>
        <v>0.53999999999999992</v>
      </c>
      <c r="G66" s="343"/>
    </row>
    <row r="67" spans="5:7" x14ac:dyDescent="0.3">
      <c r="E67" s="344">
        <v>61</v>
      </c>
      <c r="F67" s="348">
        <f t="shared" si="0"/>
        <v>0.54899999999999993</v>
      </c>
      <c r="G67" s="343"/>
    </row>
    <row r="68" spans="5:7" x14ac:dyDescent="0.3">
      <c r="E68" s="344">
        <v>62</v>
      </c>
      <c r="F68" s="348">
        <f t="shared" si="0"/>
        <v>0.55799999999999994</v>
      </c>
      <c r="G68" s="343"/>
    </row>
    <row r="69" spans="5:7" x14ac:dyDescent="0.3">
      <c r="E69" s="344">
        <v>63</v>
      </c>
      <c r="F69" s="348">
        <f t="shared" si="0"/>
        <v>0.56699999999999995</v>
      </c>
      <c r="G69" s="343"/>
    </row>
    <row r="70" spans="5:7" x14ac:dyDescent="0.3">
      <c r="E70" s="344">
        <v>64</v>
      </c>
      <c r="F70" s="348">
        <f t="shared" ref="F70:F122" si="1">E70*0.009</f>
        <v>0.57599999999999996</v>
      </c>
      <c r="G70" s="343"/>
    </row>
    <row r="71" spans="5:7" x14ac:dyDescent="0.3">
      <c r="E71" s="344">
        <v>65</v>
      </c>
      <c r="F71" s="348">
        <f t="shared" si="1"/>
        <v>0.58499999999999996</v>
      </c>
      <c r="G71" s="343"/>
    </row>
    <row r="72" spans="5:7" x14ac:dyDescent="0.3">
      <c r="E72" s="344">
        <v>66</v>
      </c>
      <c r="F72" s="348">
        <f t="shared" si="1"/>
        <v>0.59399999999999997</v>
      </c>
      <c r="G72" s="343"/>
    </row>
    <row r="73" spans="5:7" x14ac:dyDescent="0.3">
      <c r="E73" s="344">
        <v>67</v>
      </c>
      <c r="F73" s="348">
        <f t="shared" si="1"/>
        <v>0.60299999999999998</v>
      </c>
      <c r="G73" s="343"/>
    </row>
    <row r="74" spans="5:7" x14ac:dyDescent="0.3">
      <c r="E74" s="344">
        <v>68</v>
      </c>
      <c r="F74" s="348">
        <f t="shared" si="1"/>
        <v>0.61199999999999999</v>
      </c>
      <c r="G74" s="343"/>
    </row>
    <row r="75" spans="5:7" x14ac:dyDescent="0.3">
      <c r="E75" s="344">
        <v>69</v>
      </c>
      <c r="F75" s="348">
        <f t="shared" si="1"/>
        <v>0.621</v>
      </c>
      <c r="G75" s="343"/>
    </row>
    <row r="76" spans="5:7" x14ac:dyDescent="0.3">
      <c r="E76" s="344">
        <v>70</v>
      </c>
      <c r="F76" s="348">
        <f t="shared" si="1"/>
        <v>0.63</v>
      </c>
      <c r="G76" s="343"/>
    </row>
    <row r="77" spans="5:7" x14ac:dyDescent="0.3">
      <c r="E77" s="344">
        <v>71</v>
      </c>
      <c r="F77" s="348">
        <f t="shared" si="1"/>
        <v>0.6389999999999999</v>
      </c>
      <c r="G77" s="343"/>
    </row>
    <row r="78" spans="5:7" x14ac:dyDescent="0.3">
      <c r="E78" s="344">
        <v>72</v>
      </c>
      <c r="F78" s="348">
        <f t="shared" si="1"/>
        <v>0.64799999999999991</v>
      </c>
      <c r="G78" s="343"/>
    </row>
    <row r="79" spans="5:7" x14ac:dyDescent="0.3">
      <c r="E79" s="344">
        <v>73</v>
      </c>
      <c r="F79" s="348">
        <f t="shared" si="1"/>
        <v>0.65699999999999992</v>
      </c>
      <c r="G79" s="343"/>
    </row>
    <row r="80" spans="5:7" x14ac:dyDescent="0.3">
      <c r="E80" s="344">
        <v>74</v>
      </c>
      <c r="F80" s="348">
        <f t="shared" si="1"/>
        <v>0.66599999999999993</v>
      </c>
      <c r="G80" s="343"/>
    </row>
    <row r="81" spans="5:7" x14ac:dyDescent="0.3">
      <c r="E81" s="344">
        <v>75</v>
      </c>
      <c r="F81" s="348">
        <f t="shared" si="1"/>
        <v>0.67499999999999993</v>
      </c>
      <c r="G81" s="343"/>
    </row>
    <row r="82" spans="5:7" x14ac:dyDescent="0.3">
      <c r="E82" s="344">
        <v>77</v>
      </c>
      <c r="F82" s="348">
        <f t="shared" si="1"/>
        <v>0.69299999999999995</v>
      </c>
      <c r="G82" s="343"/>
    </row>
    <row r="83" spans="5:7" x14ac:dyDescent="0.3">
      <c r="E83" s="344">
        <v>78</v>
      </c>
      <c r="F83" s="348">
        <f t="shared" si="1"/>
        <v>0.70199999999999996</v>
      </c>
      <c r="G83" s="343"/>
    </row>
    <row r="84" spans="5:7" x14ac:dyDescent="0.3">
      <c r="E84" s="344">
        <v>79</v>
      </c>
      <c r="F84" s="348">
        <f t="shared" si="1"/>
        <v>0.71099999999999997</v>
      </c>
      <c r="G84" s="343"/>
    </row>
    <row r="85" spans="5:7" x14ac:dyDescent="0.3">
      <c r="E85" s="344">
        <v>80</v>
      </c>
      <c r="F85" s="348">
        <f t="shared" si="1"/>
        <v>0.72</v>
      </c>
      <c r="G85" s="343"/>
    </row>
    <row r="86" spans="5:7" x14ac:dyDescent="0.3">
      <c r="E86" s="344">
        <v>81</v>
      </c>
      <c r="F86" s="348">
        <f t="shared" si="1"/>
        <v>0.72899999999999998</v>
      </c>
      <c r="G86" s="343"/>
    </row>
    <row r="87" spans="5:7" x14ac:dyDescent="0.3">
      <c r="E87" s="344">
        <v>78</v>
      </c>
      <c r="F87" s="348">
        <f t="shared" si="1"/>
        <v>0.70199999999999996</v>
      </c>
      <c r="G87" s="343"/>
    </row>
    <row r="88" spans="5:7" x14ac:dyDescent="0.3">
      <c r="E88" s="344">
        <v>79</v>
      </c>
      <c r="F88" s="348">
        <f t="shared" si="1"/>
        <v>0.71099999999999997</v>
      </c>
      <c r="G88" s="343"/>
    </row>
    <row r="89" spans="5:7" x14ac:dyDescent="0.3">
      <c r="E89" s="344">
        <v>80</v>
      </c>
      <c r="F89" s="348">
        <f t="shared" si="1"/>
        <v>0.72</v>
      </c>
      <c r="G89" s="343"/>
    </row>
    <row r="90" spans="5:7" x14ac:dyDescent="0.3">
      <c r="E90" s="344">
        <v>81</v>
      </c>
      <c r="F90" s="348">
        <f t="shared" si="1"/>
        <v>0.72899999999999998</v>
      </c>
      <c r="G90" s="343"/>
    </row>
    <row r="91" spans="5:7" x14ac:dyDescent="0.3">
      <c r="E91" s="344">
        <v>78</v>
      </c>
      <c r="F91" s="348">
        <f t="shared" si="1"/>
        <v>0.70199999999999996</v>
      </c>
      <c r="G91" s="343"/>
    </row>
    <row r="92" spans="5:7" x14ac:dyDescent="0.3">
      <c r="E92" s="344">
        <v>79</v>
      </c>
      <c r="F92" s="348">
        <f t="shared" si="1"/>
        <v>0.71099999999999997</v>
      </c>
      <c r="G92" s="343"/>
    </row>
    <row r="93" spans="5:7" x14ac:dyDescent="0.3">
      <c r="E93" s="344">
        <v>79</v>
      </c>
      <c r="F93" s="348">
        <f t="shared" si="1"/>
        <v>0.71099999999999997</v>
      </c>
      <c r="G93" s="343"/>
    </row>
    <row r="94" spans="5:7" x14ac:dyDescent="0.3">
      <c r="E94" s="344">
        <v>80</v>
      </c>
      <c r="F94" s="348">
        <f t="shared" si="1"/>
        <v>0.72</v>
      </c>
      <c r="G94" s="343"/>
    </row>
    <row r="95" spans="5:7" x14ac:dyDescent="0.3">
      <c r="E95" s="344">
        <v>81</v>
      </c>
      <c r="F95" s="348">
        <f t="shared" si="1"/>
        <v>0.72899999999999998</v>
      </c>
      <c r="G95" s="343"/>
    </row>
    <row r="96" spans="5:7" x14ac:dyDescent="0.3">
      <c r="E96" s="344">
        <v>78</v>
      </c>
      <c r="F96" s="348">
        <f>E96*0.009</f>
        <v>0.70199999999999996</v>
      </c>
      <c r="G96" s="343"/>
    </row>
    <row r="97" spans="5:7" x14ac:dyDescent="0.3">
      <c r="E97" s="344">
        <v>79</v>
      </c>
      <c r="F97" s="348">
        <f>E97*0.009</f>
        <v>0.71099999999999997</v>
      </c>
      <c r="G97" s="343"/>
    </row>
    <row r="98" spans="5:7" x14ac:dyDescent="0.3">
      <c r="E98" s="344">
        <v>79</v>
      </c>
      <c r="F98" s="348">
        <f>E98*0.009</f>
        <v>0.71099999999999997</v>
      </c>
      <c r="G98" s="343"/>
    </row>
    <row r="99" spans="5:7" x14ac:dyDescent="0.3">
      <c r="E99" s="344">
        <v>80</v>
      </c>
      <c r="F99" s="348">
        <f>E99*0.009</f>
        <v>0.72</v>
      </c>
      <c r="G99" s="343"/>
    </row>
    <row r="100" spans="5:7" x14ac:dyDescent="0.3">
      <c r="E100" s="344">
        <v>81</v>
      </c>
      <c r="F100" s="348">
        <f>E100*0.009</f>
        <v>0.72899999999999998</v>
      </c>
      <c r="G100" s="343"/>
    </row>
    <row r="101" spans="5:7" x14ac:dyDescent="0.3">
      <c r="E101" s="344">
        <v>91</v>
      </c>
      <c r="F101" s="348">
        <f t="shared" si="1"/>
        <v>0.81899999999999995</v>
      </c>
      <c r="G101" s="343"/>
    </row>
    <row r="102" spans="5:7" x14ac:dyDescent="0.3">
      <c r="E102" s="344">
        <v>92</v>
      </c>
      <c r="F102" s="348">
        <f t="shared" si="1"/>
        <v>0.82799999999999996</v>
      </c>
      <c r="G102" s="343"/>
    </row>
    <row r="103" spans="5:7" x14ac:dyDescent="0.3">
      <c r="E103" s="344">
        <v>93</v>
      </c>
      <c r="F103" s="348">
        <f t="shared" si="1"/>
        <v>0.83699999999999997</v>
      </c>
      <c r="G103" s="343"/>
    </row>
    <row r="104" spans="5:7" x14ac:dyDescent="0.3">
      <c r="E104" s="344">
        <v>94</v>
      </c>
      <c r="F104" s="348">
        <f t="shared" si="1"/>
        <v>0.84599999999999997</v>
      </c>
      <c r="G104" s="343"/>
    </row>
    <row r="105" spans="5:7" x14ac:dyDescent="0.3">
      <c r="E105" s="344">
        <v>95</v>
      </c>
      <c r="F105" s="348">
        <f t="shared" si="1"/>
        <v>0.85499999999999998</v>
      </c>
      <c r="G105" s="343"/>
    </row>
    <row r="106" spans="5:7" x14ac:dyDescent="0.3">
      <c r="E106" s="344">
        <v>91</v>
      </c>
      <c r="F106" s="348">
        <f t="shared" si="1"/>
        <v>0.81899999999999995</v>
      </c>
      <c r="G106" s="343"/>
    </row>
    <row r="107" spans="5:7" x14ac:dyDescent="0.3">
      <c r="E107" s="344">
        <v>92</v>
      </c>
      <c r="F107" s="348">
        <f t="shared" si="1"/>
        <v>0.82799999999999996</v>
      </c>
      <c r="G107" s="343"/>
    </row>
    <row r="108" spans="5:7" x14ac:dyDescent="0.3">
      <c r="E108" s="344">
        <v>93</v>
      </c>
      <c r="F108" s="348">
        <f t="shared" si="1"/>
        <v>0.83699999999999997</v>
      </c>
      <c r="G108" s="343"/>
    </row>
    <row r="109" spans="5:7" x14ac:dyDescent="0.3">
      <c r="E109" s="344"/>
      <c r="F109" s="348"/>
      <c r="G109" s="343"/>
    </row>
    <row r="110" spans="5:7" x14ac:dyDescent="0.3">
      <c r="E110" s="344">
        <v>94</v>
      </c>
      <c r="F110" s="348">
        <f t="shared" si="1"/>
        <v>0.84599999999999997</v>
      </c>
      <c r="G110" s="343"/>
    </row>
    <row r="111" spans="5:7" x14ac:dyDescent="0.3">
      <c r="E111" s="344">
        <v>95</v>
      </c>
      <c r="F111" s="348">
        <f t="shared" si="1"/>
        <v>0.85499999999999998</v>
      </c>
      <c r="G111" s="343"/>
    </row>
    <row r="112" spans="5:7" x14ac:dyDescent="0.3">
      <c r="E112" s="344">
        <v>101</v>
      </c>
      <c r="F112" s="348">
        <f t="shared" si="1"/>
        <v>0.90899999999999992</v>
      </c>
      <c r="G112" s="343"/>
    </row>
    <row r="113" spans="5:7" x14ac:dyDescent="0.3">
      <c r="E113" s="344">
        <v>102</v>
      </c>
      <c r="F113" s="348">
        <f t="shared" si="1"/>
        <v>0.91799999999999993</v>
      </c>
      <c r="G113" s="343"/>
    </row>
    <row r="114" spans="5:7" x14ac:dyDescent="0.3">
      <c r="E114" s="344">
        <v>103</v>
      </c>
      <c r="F114" s="348">
        <f t="shared" si="1"/>
        <v>0.92699999999999994</v>
      </c>
      <c r="G114" s="343"/>
    </row>
    <row r="115" spans="5:7" x14ac:dyDescent="0.3">
      <c r="E115" s="344">
        <v>104</v>
      </c>
      <c r="F115" s="348">
        <f t="shared" si="1"/>
        <v>0.93599999999999994</v>
      </c>
      <c r="G115" s="343"/>
    </row>
    <row r="116" spans="5:7" x14ac:dyDescent="0.3">
      <c r="E116" s="344">
        <v>105</v>
      </c>
      <c r="F116" s="348">
        <f t="shared" si="1"/>
        <v>0.94499999999999995</v>
      </c>
      <c r="G116" s="343"/>
    </row>
    <row r="117" spans="5:7" x14ac:dyDescent="0.3">
      <c r="E117" s="344">
        <v>106</v>
      </c>
      <c r="F117" s="348">
        <f t="shared" si="1"/>
        <v>0.95399999999999996</v>
      </c>
      <c r="G117" s="343"/>
    </row>
    <row r="118" spans="5:7" x14ac:dyDescent="0.3">
      <c r="E118" s="344">
        <v>107</v>
      </c>
      <c r="F118" s="348">
        <f t="shared" si="1"/>
        <v>0.96299999999999997</v>
      </c>
      <c r="G118" s="343"/>
    </row>
    <row r="119" spans="5:7" x14ac:dyDescent="0.3">
      <c r="E119" s="344">
        <v>108</v>
      </c>
      <c r="F119" s="348">
        <f t="shared" si="1"/>
        <v>0.97199999999999998</v>
      </c>
      <c r="G119" s="343"/>
    </row>
    <row r="120" spans="5:7" x14ac:dyDescent="0.3">
      <c r="E120" s="344">
        <v>109</v>
      </c>
      <c r="F120" s="348">
        <f t="shared" si="1"/>
        <v>0.98099999999999987</v>
      </c>
      <c r="G120" s="343"/>
    </row>
    <row r="121" spans="5:7" x14ac:dyDescent="0.3">
      <c r="E121" s="344">
        <v>110</v>
      </c>
      <c r="F121" s="348">
        <f t="shared" si="1"/>
        <v>0.98999999999999988</v>
      </c>
      <c r="G121" s="343"/>
    </row>
    <row r="122" spans="5:7" x14ac:dyDescent="0.3">
      <c r="E122" s="344">
        <v>111</v>
      </c>
      <c r="F122" s="348">
        <f t="shared" si="1"/>
        <v>0.99899999999999989</v>
      </c>
      <c r="G122" s="343"/>
    </row>
    <row r="123" spans="5:7" x14ac:dyDescent="0.3">
      <c r="E123" s="344">
        <v>112</v>
      </c>
      <c r="F123" s="348">
        <v>1</v>
      </c>
      <c r="G123" s="343"/>
    </row>
    <row r="124" spans="5:7" x14ac:dyDescent="0.3">
      <c r="E124" s="344">
        <v>113</v>
      </c>
      <c r="F124" s="348">
        <v>1</v>
      </c>
      <c r="G124" s="343"/>
    </row>
    <row r="125" spans="5:7" x14ac:dyDescent="0.3">
      <c r="E125" s="344">
        <v>114</v>
      </c>
      <c r="F125" s="348">
        <v>1</v>
      </c>
      <c r="G125" s="343"/>
    </row>
    <row r="126" spans="5:7" x14ac:dyDescent="0.3">
      <c r="E126" s="344">
        <v>115</v>
      </c>
      <c r="F126" s="348">
        <v>1</v>
      </c>
      <c r="G126" s="343"/>
    </row>
    <row r="127" spans="5:7" x14ac:dyDescent="0.3">
      <c r="E127" s="344">
        <v>116</v>
      </c>
      <c r="F127" s="348">
        <v>1</v>
      </c>
      <c r="G127" s="343"/>
    </row>
    <row r="128" spans="5:7" x14ac:dyDescent="0.3">
      <c r="E128" s="344">
        <v>117</v>
      </c>
      <c r="F128" s="348">
        <v>1</v>
      </c>
      <c r="G128" s="343"/>
    </row>
    <row r="129" spans="5:7" x14ac:dyDescent="0.3">
      <c r="E129" s="344">
        <v>118</v>
      </c>
      <c r="F129" s="348">
        <v>1</v>
      </c>
      <c r="G129" s="343"/>
    </row>
    <row r="130" spans="5:7" x14ac:dyDescent="0.3">
      <c r="E130" s="344">
        <v>119</v>
      </c>
      <c r="F130" s="348">
        <v>1</v>
      </c>
      <c r="G130" s="343"/>
    </row>
    <row r="131" spans="5:7" x14ac:dyDescent="0.3">
      <c r="E131" s="344">
        <v>120</v>
      </c>
      <c r="F131" s="348">
        <v>1</v>
      </c>
      <c r="G131" s="343"/>
    </row>
    <row r="132" spans="5:7" x14ac:dyDescent="0.3">
      <c r="E132" s="344">
        <v>121</v>
      </c>
      <c r="F132" s="348">
        <v>1</v>
      </c>
      <c r="G132" s="343"/>
    </row>
    <row r="133" spans="5:7" x14ac:dyDescent="0.3">
      <c r="E133" s="344">
        <v>122</v>
      </c>
      <c r="F133" s="348">
        <v>1</v>
      </c>
      <c r="G133" s="343"/>
    </row>
    <row r="134" spans="5:7" x14ac:dyDescent="0.3">
      <c r="E134" s="344">
        <v>123</v>
      </c>
      <c r="F134" s="348">
        <v>1</v>
      </c>
      <c r="G134" s="343"/>
    </row>
    <row r="135" spans="5:7" x14ac:dyDescent="0.3">
      <c r="E135" s="344">
        <v>124</v>
      </c>
      <c r="F135" s="348"/>
      <c r="G135" s="343"/>
    </row>
    <row r="136" spans="5:7" x14ac:dyDescent="0.3">
      <c r="E136" s="344">
        <v>125</v>
      </c>
      <c r="F136" s="348"/>
      <c r="G136" s="343"/>
    </row>
    <row r="137" spans="5:7" x14ac:dyDescent="0.3">
      <c r="E137" s="344">
        <v>126</v>
      </c>
      <c r="F137" s="348"/>
      <c r="G137" s="343"/>
    </row>
    <row r="138" spans="5:7" x14ac:dyDescent="0.3">
      <c r="E138" s="344">
        <v>127</v>
      </c>
      <c r="F138" s="348"/>
      <c r="G138" s="343"/>
    </row>
    <row r="139" spans="5:7" x14ac:dyDescent="0.3">
      <c r="E139" s="344">
        <v>128</v>
      </c>
      <c r="F139" s="348"/>
      <c r="G139" s="343"/>
    </row>
    <row r="140" spans="5:7" x14ac:dyDescent="0.3">
      <c r="E140" s="344">
        <v>129</v>
      </c>
      <c r="F140" s="348"/>
      <c r="G140" s="343"/>
    </row>
    <row r="141" spans="5:7" x14ac:dyDescent="0.3">
      <c r="E141" s="344">
        <v>130</v>
      </c>
      <c r="F141" s="348"/>
      <c r="G141" s="343"/>
    </row>
    <row r="142" spans="5:7" x14ac:dyDescent="0.3">
      <c r="E142" s="344">
        <v>131</v>
      </c>
      <c r="F142" s="348"/>
      <c r="G142" s="343"/>
    </row>
    <row r="143" spans="5:7" x14ac:dyDescent="0.3">
      <c r="E143" s="344">
        <v>132</v>
      </c>
      <c r="F143" s="348"/>
      <c r="G143" s="343"/>
    </row>
    <row r="144" spans="5:7" x14ac:dyDescent="0.3">
      <c r="E144" s="344">
        <v>133</v>
      </c>
      <c r="F144" s="348"/>
      <c r="G144" s="343"/>
    </row>
    <row r="145" spans="5:7" x14ac:dyDescent="0.3">
      <c r="E145" s="344">
        <v>134</v>
      </c>
      <c r="F145" s="348"/>
      <c r="G145" s="343"/>
    </row>
    <row r="146" spans="5:7" x14ac:dyDescent="0.3">
      <c r="E146" s="344">
        <v>135</v>
      </c>
      <c r="F146" s="348"/>
      <c r="G146" s="343"/>
    </row>
    <row r="147" spans="5:7" x14ac:dyDescent="0.3">
      <c r="E147" s="344">
        <v>136</v>
      </c>
      <c r="F147" s="348"/>
      <c r="G147" s="343"/>
    </row>
    <row r="148" spans="5:7" x14ac:dyDescent="0.3">
      <c r="E148" s="344">
        <v>137</v>
      </c>
      <c r="F148" s="348"/>
      <c r="G148" s="343"/>
    </row>
    <row r="149" spans="5:7" x14ac:dyDescent="0.3">
      <c r="E149" s="344">
        <v>138</v>
      </c>
      <c r="F149" s="348"/>
      <c r="G149" s="343"/>
    </row>
    <row r="150" spans="5:7" x14ac:dyDescent="0.3">
      <c r="E150" s="344">
        <v>139</v>
      </c>
      <c r="F150" s="348"/>
      <c r="G150" s="343"/>
    </row>
    <row r="151" spans="5:7" x14ac:dyDescent="0.3">
      <c r="E151" s="344">
        <v>140</v>
      </c>
      <c r="F151" s="348"/>
      <c r="G151" s="343"/>
    </row>
    <row r="152" spans="5:7" x14ac:dyDescent="0.3">
      <c r="E152" s="344">
        <v>141</v>
      </c>
      <c r="F152" s="348"/>
      <c r="G152" s="343"/>
    </row>
    <row r="153" spans="5:7" x14ac:dyDescent="0.3">
      <c r="E153" s="344">
        <v>142</v>
      </c>
      <c r="F153" s="348"/>
      <c r="G153" s="343"/>
    </row>
    <row r="154" spans="5:7" x14ac:dyDescent="0.3">
      <c r="E154" s="344">
        <v>143</v>
      </c>
      <c r="F154" s="348"/>
      <c r="G154" s="343"/>
    </row>
    <row r="155" spans="5:7" x14ac:dyDescent="0.3">
      <c r="E155" s="344">
        <v>144</v>
      </c>
      <c r="F155" s="348"/>
      <c r="G155" s="343"/>
    </row>
    <row r="156" spans="5:7" x14ac:dyDescent="0.3">
      <c r="E156" s="344">
        <v>145</v>
      </c>
      <c r="F156" s="348"/>
      <c r="G156" s="343"/>
    </row>
    <row r="157" spans="5:7" x14ac:dyDescent="0.3">
      <c r="E157" s="344">
        <v>146</v>
      </c>
      <c r="F157" s="348"/>
      <c r="G157" s="343"/>
    </row>
    <row r="158" spans="5:7" x14ac:dyDescent="0.3">
      <c r="E158" s="344">
        <v>147</v>
      </c>
      <c r="F158" s="348"/>
      <c r="G158" s="343"/>
    </row>
    <row r="159" spans="5:7" x14ac:dyDescent="0.3">
      <c r="E159" s="344">
        <v>148</v>
      </c>
      <c r="F159" s="348"/>
      <c r="G159" s="343"/>
    </row>
    <row r="160" spans="5:7" x14ac:dyDescent="0.3">
      <c r="E160" s="344">
        <v>149</v>
      </c>
      <c r="F160" s="348"/>
      <c r="G160" s="343"/>
    </row>
    <row r="161" spans="5:7" x14ac:dyDescent="0.3">
      <c r="E161" s="344">
        <v>150</v>
      </c>
      <c r="F161" s="348"/>
      <c r="G161" s="343"/>
    </row>
    <row r="162" spans="5:7" x14ac:dyDescent="0.3">
      <c r="E162" s="344">
        <v>151</v>
      </c>
      <c r="F162" s="349"/>
      <c r="G162" s="346"/>
    </row>
  </sheetData>
  <mergeCells count="1">
    <mergeCell ref="F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1"/>
  <sheetViews>
    <sheetView zoomScale="85" zoomScaleNormal="50" workbookViewId="0">
      <pane xSplit="16" ySplit="6" topLeftCell="T7" activePane="bottomRight" state="frozen"/>
      <selection pane="topRight" activeCell="Q1" sqref="Q1"/>
      <selection pane="bottomLeft" activeCell="A7" sqref="A7"/>
      <selection pane="bottomRight" activeCell="AJ8" sqref="AJ8"/>
    </sheetView>
  </sheetViews>
  <sheetFormatPr defaultColWidth="8.77734375" defaultRowHeight="13.2" x14ac:dyDescent="0.25"/>
  <cols>
    <col min="1" max="1" width="9.109375" customWidth="1"/>
    <col min="2" max="2" width="13.44140625" customWidth="1"/>
    <col min="3" max="3" width="15.6640625" style="109" customWidth="1"/>
    <col min="4" max="4" width="12" customWidth="1"/>
    <col min="5" max="6" width="10.6640625" customWidth="1"/>
    <col min="7" max="7" width="20.44140625" style="77" customWidth="1"/>
    <col min="8" max="8" width="7.6640625" style="85" hidden="1" customWidth="1"/>
    <col min="9" max="9" width="7" hidden="1" customWidth="1"/>
    <col min="10" max="10" width="9" hidden="1" customWidth="1"/>
    <col min="11" max="11" width="9.44140625" hidden="1" customWidth="1"/>
    <col min="12" max="15" width="9" hidden="1" customWidth="1"/>
    <col min="16" max="16" width="15.109375" style="84" hidden="1" customWidth="1"/>
    <col min="17" max="17" width="8" style="85" customWidth="1"/>
    <col min="18" max="18" width="7.109375" customWidth="1"/>
    <col min="19" max="19" width="11.33203125" customWidth="1"/>
    <col min="20" max="20" width="9.77734375" customWidth="1"/>
    <col min="21" max="21" width="7.44140625" customWidth="1"/>
    <col min="22" max="24" width="11.33203125" customWidth="1"/>
    <col min="25" max="25" width="10.33203125" style="170" customWidth="1"/>
    <col min="26" max="26" width="7.44140625" customWidth="1"/>
    <col min="27" max="27" width="11" style="170" customWidth="1"/>
    <col min="28" max="28" width="18.33203125" style="61" customWidth="1"/>
    <col min="29" max="29" width="10" customWidth="1"/>
    <col min="30" max="30" width="12.44140625" customWidth="1"/>
    <col min="31" max="31" width="11" style="73" customWidth="1"/>
    <col min="32" max="32" width="14.109375" style="78" customWidth="1"/>
    <col min="33" max="33" width="12.109375" style="77" customWidth="1"/>
    <col min="34" max="36" width="11.44140625" customWidth="1"/>
    <col min="37" max="37" width="19.77734375" style="250" customWidth="1"/>
    <col min="38" max="38" width="12.44140625" customWidth="1"/>
    <col min="39" max="39" width="14.77734375" customWidth="1"/>
    <col min="40" max="40" width="12" customWidth="1"/>
    <col min="41" max="41" width="12" style="287" hidden="1" customWidth="1"/>
    <col min="42" max="42" width="12.6640625" style="304" hidden="1" customWidth="1"/>
    <col min="43" max="43" width="27.6640625" style="287" hidden="1" customWidth="1"/>
    <col min="44" max="44" width="12" style="304" hidden="1" customWidth="1"/>
    <col min="45" max="45" width="16.33203125" style="287" hidden="1" customWidth="1"/>
    <col min="46" max="46" width="16.33203125" style="304" hidden="1" customWidth="1"/>
    <col min="47" max="47" width="10.6640625" style="79" hidden="1" customWidth="1"/>
    <col min="48" max="48" width="14.44140625" hidden="1" customWidth="1"/>
    <col min="49" max="49" width="10.109375" hidden="1" customWidth="1"/>
    <col min="50" max="50" width="9.109375" hidden="1" customWidth="1"/>
    <col min="51" max="51" width="12.109375" style="61" hidden="1" customWidth="1"/>
    <col min="52" max="52" width="13.33203125" hidden="1" customWidth="1"/>
    <col min="53" max="53" width="11.109375" style="78" hidden="1" customWidth="1"/>
    <col min="54" max="54" width="9.109375" style="117" customWidth="1"/>
    <col min="55" max="55" width="9.109375" style="117" hidden="1" customWidth="1"/>
    <col min="56" max="56" width="9.109375" style="117" customWidth="1"/>
    <col min="57" max="57" width="9.109375" style="112" customWidth="1"/>
    <col min="58" max="59" width="11.44140625" style="112" customWidth="1"/>
    <col min="60" max="61" width="11.33203125" style="112" customWidth="1"/>
    <col min="62" max="62" width="11.6640625" style="112" customWidth="1"/>
    <col min="63" max="63" width="9.109375" style="112" customWidth="1"/>
    <col min="64" max="73" width="9.109375"/>
    <col min="75" max="79" width="9.109375" customWidth="1"/>
    <col min="80" max="80" width="11.33203125" customWidth="1"/>
    <col min="81" max="82" width="9.109375" customWidth="1"/>
    <col min="89" max="89" width="2.109375" customWidth="1"/>
    <col min="93" max="94" width="16.44140625" customWidth="1"/>
    <col min="95" max="95" width="13.44140625" customWidth="1"/>
    <col min="99" max="99" width="15.77734375" customWidth="1"/>
    <col min="100" max="100" width="16.109375" customWidth="1"/>
  </cols>
  <sheetData>
    <row r="1" spans="1:73" s="134" customFormat="1" ht="82.5" customHeight="1" thickTop="1" thickBot="1" x14ac:dyDescent="0.3">
      <c r="A1" s="133"/>
      <c r="B1" s="134" t="s">
        <v>226</v>
      </c>
      <c r="C1" s="135"/>
      <c r="F1" s="251"/>
      <c r="H1" s="137" t="s">
        <v>186</v>
      </c>
      <c r="I1" s="137"/>
      <c r="J1" s="137"/>
      <c r="K1" s="137"/>
      <c r="L1" s="137"/>
      <c r="M1" s="137"/>
      <c r="N1" s="137"/>
      <c r="O1" s="137"/>
      <c r="P1" s="138"/>
      <c r="Q1" s="136" t="s">
        <v>227</v>
      </c>
      <c r="R1" s="137"/>
      <c r="S1" s="137"/>
      <c r="T1" s="137"/>
      <c r="U1" s="137"/>
      <c r="V1" s="137"/>
      <c r="W1" s="137"/>
      <c r="X1" s="137"/>
      <c r="Y1" s="166"/>
      <c r="Z1" s="137" t="s">
        <v>184</v>
      </c>
      <c r="AA1" s="166"/>
      <c r="AB1" s="165" t="s">
        <v>190</v>
      </c>
      <c r="AC1" s="134" t="s">
        <v>152</v>
      </c>
      <c r="AE1" s="276"/>
      <c r="AF1" s="138">
        <v>50</v>
      </c>
      <c r="AG1" s="282" t="s">
        <v>136</v>
      </c>
      <c r="AH1" s="283" t="s">
        <v>189</v>
      </c>
      <c r="AI1" s="283">
        <v>0.55000000000000004</v>
      </c>
      <c r="AJ1" s="283" t="s">
        <v>116</v>
      </c>
      <c r="AK1" s="246"/>
      <c r="AL1" s="246"/>
      <c r="AM1" s="246" t="s">
        <v>152</v>
      </c>
      <c r="AN1" s="246">
        <v>50</v>
      </c>
      <c r="AO1" s="284"/>
      <c r="AP1" s="301"/>
      <c r="AQ1" s="285" t="s">
        <v>224</v>
      </c>
      <c r="AR1" s="301"/>
      <c r="AS1" s="284"/>
      <c r="AT1" s="301"/>
      <c r="AU1" s="133" t="s">
        <v>136</v>
      </c>
      <c r="AW1" s="134">
        <v>1</v>
      </c>
      <c r="AY1" s="160"/>
      <c r="AZ1" s="134" t="s">
        <v>151</v>
      </c>
      <c r="BA1" s="138">
        <v>50</v>
      </c>
      <c r="BB1" s="139" t="s">
        <v>156</v>
      </c>
      <c r="BC1" s="140"/>
      <c r="BD1" s="141"/>
      <c r="BE1" s="142" t="s">
        <v>164</v>
      </c>
      <c r="BF1" s="143"/>
      <c r="BG1" s="144"/>
      <c r="BH1" s="143"/>
      <c r="BI1" s="143"/>
      <c r="BJ1" s="143"/>
      <c r="BK1" s="145"/>
    </row>
    <row r="2" spans="1:73" s="147" customFormat="1" ht="116.25" customHeight="1" thickTop="1" thickBot="1" x14ac:dyDescent="0.3">
      <c r="A2" s="133"/>
      <c r="B2" s="147" t="s">
        <v>129</v>
      </c>
      <c r="C2" s="148" t="s">
        <v>13</v>
      </c>
      <c r="D2" s="147" t="s">
        <v>138</v>
      </c>
      <c r="E2" s="147" t="s">
        <v>137</v>
      </c>
      <c r="F2" s="150" t="s">
        <v>192</v>
      </c>
      <c r="G2" s="252" t="s">
        <v>217</v>
      </c>
      <c r="H2" s="150" t="s">
        <v>183</v>
      </c>
      <c r="I2" s="150" t="s">
        <v>185</v>
      </c>
      <c r="J2" s="150" t="s">
        <v>188</v>
      </c>
      <c r="K2" s="150" t="s">
        <v>172</v>
      </c>
      <c r="L2" s="150" t="s">
        <v>185</v>
      </c>
      <c r="M2" s="150" t="s">
        <v>188</v>
      </c>
      <c r="N2" s="150" t="s">
        <v>180</v>
      </c>
      <c r="O2" s="150" t="s">
        <v>185</v>
      </c>
      <c r="P2" s="151" t="s">
        <v>188</v>
      </c>
      <c r="Q2" s="149" t="s">
        <v>183</v>
      </c>
      <c r="R2" s="150" t="s">
        <v>185</v>
      </c>
      <c r="S2" s="150" t="s">
        <v>216</v>
      </c>
      <c r="T2" s="150" t="s">
        <v>172</v>
      </c>
      <c r="U2" s="150" t="s">
        <v>185</v>
      </c>
      <c r="V2" s="150"/>
      <c r="W2" s="150" t="s">
        <v>180</v>
      </c>
      <c r="X2" s="150" t="s">
        <v>185</v>
      </c>
      <c r="Y2" s="167" t="s">
        <v>216</v>
      </c>
      <c r="Z2" s="150" t="s">
        <v>185</v>
      </c>
      <c r="AA2" s="167" t="s">
        <v>187</v>
      </c>
      <c r="AB2" s="161" t="s">
        <v>130</v>
      </c>
      <c r="AC2" s="147" t="s">
        <v>155</v>
      </c>
      <c r="AD2" s="147" t="s">
        <v>154</v>
      </c>
      <c r="AE2" s="147" t="s">
        <v>126</v>
      </c>
      <c r="AF2" s="152" t="s">
        <v>135</v>
      </c>
      <c r="AG2" s="281" t="s">
        <v>147</v>
      </c>
      <c r="AH2" s="147" t="s">
        <v>119</v>
      </c>
      <c r="AJ2" s="147" t="s">
        <v>130</v>
      </c>
      <c r="AK2" s="288" t="s">
        <v>229</v>
      </c>
      <c r="AL2" s="150" t="s">
        <v>230</v>
      </c>
      <c r="AM2" s="150" t="s">
        <v>228</v>
      </c>
      <c r="AN2" s="147" t="s">
        <v>135</v>
      </c>
      <c r="AO2" s="285" t="s">
        <v>220</v>
      </c>
      <c r="AP2" s="302" t="s">
        <v>221</v>
      </c>
      <c r="AQ2" s="285" t="s">
        <v>225</v>
      </c>
      <c r="AR2" s="302" t="s">
        <v>219</v>
      </c>
      <c r="AS2" s="289" t="s">
        <v>221</v>
      </c>
      <c r="AT2" s="302" t="s">
        <v>222</v>
      </c>
      <c r="AU2" s="146" t="s">
        <v>147</v>
      </c>
      <c r="AV2" s="147" t="s">
        <v>146</v>
      </c>
      <c r="AW2" s="147" t="s">
        <v>119</v>
      </c>
      <c r="AX2" s="147" t="s">
        <v>150</v>
      </c>
      <c r="AY2" s="161" t="s">
        <v>153</v>
      </c>
      <c r="AZ2" s="147" t="s">
        <v>148</v>
      </c>
      <c r="BA2" s="152" t="s">
        <v>149</v>
      </c>
      <c r="BB2" s="153"/>
      <c r="BC2" s="154" t="s">
        <v>157</v>
      </c>
      <c r="BD2" s="155" t="s">
        <v>157</v>
      </c>
      <c r="BE2" s="156" t="s">
        <v>165</v>
      </c>
      <c r="BF2" s="157"/>
      <c r="BG2" s="158" t="s">
        <v>167</v>
      </c>
      <c r="BH2" s="157"/>
      <c r="BI2" s="158" t="s">
        <v>166</v>
      </c>
      <c r="BJ2" s="157"/>
      <c r="BK2" s="159" t="s">
        <v>168</v>
      </c>
      <c r="BL2" s="150" t="s">
        <v>218</v>
      </c>
      <c r="BM2" s="150"/>
      <c r="BN2" s="150"/>
      <c r="BO2" s="150"/>
      <c r="BP2" s="150"/>
      <c r="BQ2" s="150"/>
      <c r="BR2" s="150"/>
      <c r="BS2" s="150"/>
      <c r="BT2" s="150"/>
      <c r="BU2" s="150"/>
    </row>
    <row r="3" spans="1:73" s="108" customFormat="1" ht="13.8" thickTop="1" x14ac:dyDescent="0.25">
      <c r="C3" s="110"/>
      <c r="G3" s="126"/>
      <c r="H3" s="131"/>
      <c r="P3" s="132"/>
      <c r="Q3" s="131"/>
      <c r="Y3" s="168"/>
      <c r="AA3" s="168"/>
      <c r="AB3" s="130"/>
      <c r="AF3" s="129"/>
      <c r="AG3" s="126"/>
      <c r="AK3" s="247"/>
      <c r="AO3" s="286"/>
      <c r="AP3" s="303"/>
      <c r="AQ3" s="286"/>
      <c r="AR3" s="303"/>
      <c r="AS3" s="286"/>
      <c r="AT3" s="303"/>
      <c r="AU3" s="128"/>
      <c r="AY3" s="130"/>
      <c r="BA3" s="129"/>
      <c r="BB3" s="118"/>
      <c r="BC3" s="119"/>
      <c r="BD3" s="118"/>
      <c r="BE3" s="113"/>
      <c r="BF3" s="114"/>
      <c r="BG3" s="113"/>
      <c r="BH3" s="114"/>
      <c r="BI3" s="113"/>
      <c r="BJ3" s="114"/>
      <c r="BK3" s="113"/>
      <c r="BL3" s="124"/>
      <c r="BM3" s="124"/>
      <c r="BN3" s="124"/>
      <c r="BO3" s="124"/>
      <c r="BP3" s="124"/>
      <c r="BQ3" s="124"/>
      <c r="BR3" s="124"/>
      <c r="BS3" s="124"/>
      <c r="BT3" s="124"/>
      <c r="BU3" s="124"/>
    </row>
    <row r="4" spans="1:73" s="174" customFormat="1" x14ac:dyDescent="0.25">
      <c r="A4" s="171">
        <v>1982</v>
      </c>
      <c r="B4" s="172">
        <f>C4-DATE(YEAR(C4),1,1)+1</f>
        <v>1</v>
      </c>
      <c r="C4" s="173">
        <v>29952</v>
      </c>
      <c r="E4" s="172">
        <f>VLOOKUP(C4,'Historic Daily flows'!$A$1:$B$37941,2)</f>
        <v>5.93</v>
      </c>
      <c r="F4" s="172"/>
      <c r="G4" s="171">
        <v>0</v>
      </c>
      <c r="H4" s="175"/>
      <c r="P4" s="176"/>
      <c r="Q4" s="175"/>
      <c r="Y4" s="177"/>
      <c r="AA4" s="177"/>
      <c r="AB4" s="178"/>
      <c r="AF4" s="179"/>
      <c r="AG4" s="171">
        <v>0</v>
      </c>
      <c r="AK4" s="247"/>
      <c r="AO4" s="286"/>
      <c r="AP4" s="303"/>
      <c r="AQ4" s="286"/>
      <c r="AR4" s="303"/>
      <c r="AS4" s="286"/>
      <c r="AT4" s="303"/>
      <c r="AU4" s="180"/>
      <c r="AY4" s="178"/>
      <c r="BA4" s="179"/>
      <c r="BC4" s="181"/>
      <c r="BE4" s="181"/>
      <c r="BG4" s="181"/>
      <c r="BI4" s="181"/>
      <c r="BK4" s="181"/>
      <c r="BL4" s="181"/>
      <c r="BM4" s="181"/>
      <c r="BN4" s="181"/>
      <c r="BO4" s="181"/>
      <c r="BP4" s="181"/>
      <c r="BQ4" s="181"/>
      <c r="BR4" s="181"/>
      <c r="BS4" s="181"/>
      <c r="BT4" s="181"/>
      <c r="BU4" s="181"/>
    </row>
    <row r="5" spans="1:73" s="174" customFormat="1" x14ac:dyDescent="0.25">
      <c r="A5" s="171">
        <v>1982</v>
      </c>
      <c r="B5" s="172">
        <f>C5-DATE(YEAR(C5),1,1)+1</f>
        <v>112</v>
      </c>
      <c r="C5" s="182">
        <v>30063</v>
      </c>
      <c r="E5" s="172">
        <f>VLOOKUP(C5,'Historic Daily flows'!$A$1:$B$37941,2)</f>
        <v>10.1</v>
      </c>
      <c r="F5" s="172">
        <v>0.05</v>
      </c>
      <c r="G5" s="171">
        <f>AA5</f>
        <v>185.89743589743588</v>
      </c>
      <c r="H5" s="175"/>
      <c r="N5" s="174">
        <v>145</v>
      </c>
      <c r="O5" s="174">
        <f>VLOOKUP(B5,$CJ$101:$CP$257, 7)</f>
        <v>0.62480000000000002</v>
      </c>
      <c r="P5" s="176">
        <f>N5/O5</f>
        <v>232.07426376440461</v>
      </c>
      <c r="Q5" s="175"/>
      <c r="W5" s="174">
        <v>145</v>
      </c>
      <c r="X5" s="174">
        <f>VLOOKUP(B5,$CJ$98:$CV$254, 13)</f>
        <v>0.78</v>
      </c>
      <c r="Y5" s="177">
        <f>W5/X5</f>
        <v>185.89743589743588</v>
      </c>
      <c r="Z5" s="174">
        <f>VLOOKUP(B5,$CG$86:$CI$242,2)</f>
        <v>1</v>
      </c>
      <c r="AA5" s="177">
        <f>Y5/Z5</f>
        <v>185.89743589743588</v>
      </c>
      <c r="AB5" s="178">
        <f>0.5*($B6-$B4)*G5</f>
        <v>13942.307692307691</v>
      </c>
      <c r="AC5" s="183">
        <f>AF5/$AF$1</f>
        <v>278.84615384615381</v>
      </c>
      <c r="AD5" s="174">
        <f>G5</f>
        <v>185.89743589743588</v>
      </c>
      <c r="AE5" s="206">
        <f>AC5/AD5</f>
        <v>1.5</v>
      </c>
      <c r="AF5" s="179">
        <f>AB5</f>
        <v>13942.307692307691</v>
      </c>
      <c r="AG5" s="171">
        <f>G5/AH5</f>
        <v>337.99533799533793</v>
      </c>
      <c r="AH5" s="174">
        <f>$AI$1</f>
        <v>0.55000000000000004</v>
      </c>
      <c r="AJ5" s="174">
        <f>AB5/AH5</f>
        <v>25349.650349650346</v>
      </c>
      <c r="AK5" s="248">
        <f>AN5/$AF$1</f>
        <v>506.99300699300693</v>
      </c>
      <c r="AL5" s="174">
        <f>AD5/AH5</f>
        <v>337.99533799533793</v>
      </c>
      <c r="AM5" s="181">
        <f>AK5/AL5</f>
        <v>1.5</v>
      </c>
      <c r="AN5" s="174">
        <f>AF5/AH5</f>
        <v>25349.650349650346</v>
      </c>
      <c r="AO5" s="286"/>
      <c r="AP5" s="303"/>
      <c r="AQ5" s="286">
        <f>AL5*$AP$188</f>
        <v>0</v>
      </c>
      <c r="AR5" s="303"/>
      <c r="AS5" s="286"/>
      <c r="AT5" s="303">
        <f>AL5*$AS$177</f>
        <v>0</v>
      </c>
      <c r="AU5" s="180"/>
      <c r="AY5" s="178"/>
      <c r="BA5" s="179"/>
      <c r="BC5" s="181"/>
      <c r="BE5" s="181"/>
      <c r="BG5" s="181"/>
      <c r="BI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</row>
    <row r="6" spans="1:73" s="174" customFormat="1" x14ac:dyDescent="0.25">
      <c r="A6" s="171">
        <v>1982</v>
      </c>
      <c r="B6" s="172">
        <f>C6-DATE(YEAR(C6),1,1)+1</f>
        <v>151</v>
      </c>
      <c r="C6" s="173">
        <v>30102</v>
      </c>
      <c r="E6" s="172">
        <f>VLOOKUP(C6,'Historic Daily flows'!$A$1:$B$37941,2)</f>
        <v>17.7</v>
      </c>
      <c r="F6" s="172"/>
      <c r="G6" s="171">
        <f>AA6</f>
        <v>0</v>
      </c>
      <c r="H6" s="175"/>
      <c r="P6" s="176"/>
      <c r="Q6" s="175"/>
      <c r="Y6" s="177"/>
      <c r="AA6" s="177"/>
      <c r="AB6" s="178"/>
      <c r="AC6" s="183"/>
      <c r="AE6" s="206"/>
      <c r="AF6" s="179"/>
      <c r="AG6" s="171">
        <f>G6/AH6</f>
        <v>0</v>
      </c>
      <c r="AH6" s="174">
        <f t="shared" ref="AH6:AH86" si="0">$AI$1</f>
        <v>0.55000000000000004</v>
      </c>
      <c r="AJ6" s="174">
        <f t="shared" ref="AJ6:AJ69" si="1">AB6/AH6</f>
        <v>0</v>
      </c>
      <c r="AK6" s="248"/>
      <c r="AL6" s="174">
        <f t="shared" ref="AL6:AL69" si="2">AD6/AH6</f>
        <v>0</v>
      </c>
      <c r="AN6" s="174">
        <f t="shared" ref="AN6:AN69" si="3">AF6/AH6</f>
        <v>0</v>
      </c>
      <c r="AO6" s="286"/>
      <c r="AP6" s="303"/>
      <c r="AQ6" s="286"/>
      <c r="AR6" s="303"/>
      <c r="AS6" s="286"/>
      <c r="AT6" s="303"/>
      <c r="AU6" s="180"/>
      <c r="AY6" s="178"/>
      <c r="BA6" s="179"/>
      <c r="BC6" s="181"/>
      <c r="BE6" s="181"/>
      <c r="BG6" s="181"/>
      <c r="BI6" s="181"/>
      <c r="BK6" s="181"/>
      <c r="BL6" s="181"/>
      <c r="BM6" s="181"/>
      <c r="BN6" s="181"/>
      <c r="BO6" s="181"/>
      <c r="BP6" s="181"/>
      <c r="BQ6" s="181"/>
      <c r="BR6" s="181"/>
      <c r="BS6" s="181"/>
      <c r="BT6" s="181"/>
      <c r="BU6" s="181"/>
    </row>
    <row r="7" spans="1:73" s="108" customFormat="1" x14ac:dyDescent="0.25">
      <c r="A7" s="126">
        <v>1983</v>
      </c>
      <c r="B7">
        <f t="shared" ref="B7:B15" si="4">C7-DATE(YEAR(C7),1,1)+1</f>
        <v>1</v>
      </c>
      <c r="C7" s="110">
        <v>30317</v>
      </c>
      <c r="E7">
        <f>VLOOKUP(C7,'Historic Daily flows'!$A$1:$B$37941,2)</f>
        <v>6.27</v>
      </c>
      <c r="F7"/>
      <c r="G7" s="126">
        <v>0</v>
      </c>
      <c r="H7" s="131"/>
      <c r="P7" s="132"/>
      <c r="Q7" s="131"/>
      <c r="Y7" s="168"/>
      <c r="AA7" s="168"/>
      <c r="AB7" s="130"/>
      <c r="AC7" s="61"/>
      <c r="AE7" s="73"/>
      <c r="AF7" s="129"/>
      <c r="AG7" s="171">
        <f>AHM77</f>
        <v>0</v>
      </c>
      <c r="AH7" s="108">
        <f t="shared" si="0"/>
        <v>0.55000000000000004</v>
      </c>
      <c r="AJ7" s="174">
        <f t="shared" si="1"/>
        <v>0</v>
      </c>
      <c r="AK7" s="248"/>
      <c r="AL7" s="174">
        <f t="shared" si="2"/>
        <v>0</v>
      </c>
      <c r="AN7" s="174">
        <f t="shared" si="3"/>
        <v>0</v>
      </c>
      <c r="AO7" s="286"/>
      <c r="AP7" s="303"/>
      <c r="AQ7" s="286"/>
      <c r="AR7" s="303"/>
      <c r="AS7" s="286"/>
      <c r="AT7" s="303"/>
      <c r="AU7" s="128"/>
      <c r="AY7" s="130"/>
      <c r="BA7" s="129"/>
      <c r="BB7" s="118"/>
      <c r="BC7" s="119"/>
      <c r="BD7" s="118"/>
      <c r="BE7" s="113"/>
      <c r="BF7" s="114"/>
      <c r="BG7" s="113"/>
      <c r="BH7" s="114"/>
      <c r="BI7" s="113"/>
      <c r="BJ7" s="114"/>
      <c r="BK7" s="113"/>
      <c r="BL7" s="124"/>
      <c r="BM7" s="124"/>
      <c r="BN7" s="124"/>
      <c r="BO7" s="124"/>
      <c r="BP7" s="124"/>
      <c r="BQ7" s="124"/>
      <c r="BR7" s="124"/>
      <c r="BS7" s="124"/>
      <c r="BT7" s="124"/>
      <c r="BU7" s="124"/>
    </row>
    <row r="8" spans="1:73" s="108" customFormat="1" x14ac:dyDescent="0.25">
      <c r="A8" s="126">
        <v>1983</v>
      </c>
      <c r="B8">
        <f t="shared" si="4"/>
        <v>83</v>
      </c>
      <c r="C8" s="127">
        <v>30399</v>
      </c>
      <c r="E8">
        <f>VLOOKUP(C8,'Historic Daily flows'!$A$1:$B$37941,2)</f>
        <v>9.44</v>
      </c>
      <c r="F8">
        <v>0.1</v>
      </c>
      <c r="G8" s="126">
        <f>S8</f>
        <v>212.67605633802819</v>
      </c>
      <c r="H8" s="131">
        <v>151</v>
      </c>
      <c r="I8" s="108">
        <f>VLOOKUP(B8,$CJ$97:$CP$253, 6)</f>
        <v>0.77490000000000003</v>
      </c>
      <c r="J8" s="108">
        <f>H8/I8</f>
        <v>194.86385340043876</v>
      </c>
      <c r="P8" s="132"/>
      <c r="Q8" s="131">
        <v>151</v>
      </c>
      <c r="R8" s="108">
        <f>VLOOKUP(B8,CJ61:CV227, 12)</f>
        <v>0.71</v>
      </c>
      <c r="S8" s="108">
        <f>Q8/R8</f>
        <v>212.67605633802819</v>
      </c>
      <c r="Y8" s="168"/>
      <c r="Z8" s="108">
        <f>VLOOKUP(B8,$CG$86:$CI$242,2)</f>
        <v>0.72899999999999998</v>
      </c>
      <c r="AA8" s="168">
        <f>S8/Z8</f>
        <v>291.73670279564908</v>
      </c>
      <c r="AB8" s="130">
        <f>0.5*(B8-B7)*G8</f>
        <v>8719.7183098591559</v>
      </c>
      <c r="AC8" s="61">
        <f>AF8/$AF$1</f>
        <v>461.34066368170022</v>
      </c>
      <c r="AD8" s="108">
        <f>G10</f>
        <v>326.39061765275358</v>
      </c>
      <c r="AE8" s="73">
        <f>AC8/AD8</f>
        <v>1.4134617808546193</v>
      </c>
      <c r="AF8" s="129">
        <f>SUM(AB8:AB11)</f>
        <v>23067.033184085012</v>
      </c>
      <c r="AG8" s="171">
        <f>G8/AH8</f>
        <v>386.68373879641484</v>
      </c>
      <c r="AH8" s="108">
        <f t="shared" si="0"/>
        <v>0.55000000000000004</v>
      </c>
      <c r="AJ8" s="174">
        <f>AB8/AH8</f>
        <v>15854.033290653009</v>
      </c>
      <c r="AK8" s="248">
        <f>AN8/$AN$1</f>
        <v>838.80120669400048</v>
      </c>
      <c r="AL8" s="174">
        <f t="shared" si="2"/>
        <v>593.43748664137013</v>
      </c>
      <c r="AM8" s="108">
        <f>AK8/AL8</f>
        <v>1.4134617808546195</v>
      </c>
      <c r="AN8" s="174">
        <f t="shared" si="3"/>
        <v>41940.060334700021</v>
      </c>
      <c r="AO8" s="286"/>
      <c r="AP8" s="303"/>
      <c r="AQ8" s="286">
        <f>AL8*$AP$188</f>
        <v>0</v>
      </c>
      <c r="AR8" s="303"/>
      <c r="AS8" s="286"/>
      <c r="AT8" s="303">
        <f>AL8*$AS$177</f>
        <v>0</v>
      </c>
      <c r="AU8" s="128"/>
      <c r="AY8" s="130"/>
      <c r="BA8" s="129"/>
      <c r="BB8" s="118"/>
      <c r="BC8" s="119"/>
      <c r="BD8" s="118"/>
      <c r="BE8" s="113"/>
      <c r="BF8" s="114"/>
      <c r="BG8" s="113"/>
      <c r="BH8" s="114"/>
      <c r="BI8" s="113"/>
      <c r="BJ8" s="114"/>
      <c r="BK8" s="113"/>
      <c r="BL8" s="124"/>
      <c r="BM8" s="124"/>
      <c r="BN8" s="124"/>
      <c r="BO8" s="124"/>
      <c r="BP8" s="124"/>
      <c r="BQ8" s="124"/>
      <c r="BR8" s="124"/>
      <c r="BS8" s="124"/>
      <c r="BT8" s="124"/>
      <c r="BU8" s="124"/>
    </row>
    <row r="9" spans="1:73" s="108" customFormat="1" x14ac:dyDescent="0.25">
      <c r="A9" s="126">
        <v>1983</v>
      </c>
      <c r="B9">
        <f t="shared" si="4"/>
        <v>103</v>
      </c>
      <c r="C9" s="127">
        <v>30419</v>
      </c>
      <c r="E9">
        <f>VLOOKUP(C9,'Historic Daily flows'!$A$1:$B$37941,2)</f>
        <v>6.98</v>
      </c>
      <c r="F9">
        <v>0.15</v>
      </c>
      <c r="G9" s="126">
        <f>Y9</f>
        <v>302.56410256410254</v>
      </c>
      <c r="H9" s="131"/>
      <c r="N9" s="108">
        <v>236</v>
      </c>
      <c r="O9" s="108">
        <f>VLOOKUP(B9,$CJ$101:$CP$257, 7)</f>
        <v>0.65810000000000002</v>
      </c>
      <c r="P9" s="132">
        <f>N9/O9</f>
        <v>358.60811426834829</v>
      </c>
      <c r="Q9" s="131"/>
      <c r="W9" s="108">
        <v>236</v>
      </c>
      <c r="X9" s="108">
        <f>VLOOKUP(B9,$CJ$98:$CV$254, 13)</f>
        <v>0.78</v>
      </c>
      <c r="Y9" s="168">
        <f>W9/X9</f>
        <v>302.56410256410254</v>
      </c>
      <c r="Z9" s="108">
        <f>VLOOKUP(B9,$CG$86:$CI$242,2)</f>
        <v>0.92699999999999994</v>
      </c>
      <c r="AA9" s="168">
        <f>Y9/Z9</f>
        <v>326.39061765275358</v>
      </c>
      <c r="AB9" s="130">
        <f>((B9-B8)*G9)-((B9-B8)*(G9-G8)*0.5)</f>
        <v>5152.4015890213068</v>
      </c>
      <c r="AC9" s="61"/>
      <c r="AE9" s="73"/>
      <c r="AF9" s="129"/>
      <c r="AG9" s="171">
        <f t="shared" ref="AG9:AG16" si="5">G9/AH9</f>
        <v>550.11655011655</v>
      </c>
      <c r="AH9" s="108">
        <f t="shared" si="0"/>
        <v>0.55000000000000004</v>
      </c>
      <c r="AJ9" s="174">
        <f t="shared" si="1"/>
        <v>9368.0028891296479</v>
      </c>
      <c r="AK9" s="248"/>
      <c r="AL9" s="174">
        <f t="shared" si="2"/>
        <v>0</v>
      </c>
      <c r="AN9" s="174">
        <f t="shared" si="3"/>
        <v>0</v>
      </c>
      <c r="AO9" s="286"/>
      <c r="AP9" s="303"/>
      <c r="AQ9" s="286"/>
      <c r="AR9" s="303"/>
      <c r="AS9" s="286"/>
      <c r="AT9" s="303"/>
      <c r="AU9" s="128"/>
      <c r="AY9" s="130"/>
      <c r="BA9" s="129"/>
      <c r="BB9" s="118"/>
      <c r="BC9" s="119"/>
      <c r="BD9" s="118"/>
      <c r="BE9" s="113"/>
      <c r="BF9" s="114"/>
      <c r="BG9" s="113"/>
      <c r="BH9" s="114"/>
      <c r="BI9" s="113"/>
      <c r="BJ9" s="114"/>
      <c r="BK9" s="113"/>
      <c r="BL9" s="124"/>
      <c r="BM9" s="124"/>
      <c r="BN9" s="124"/>
      <c r="BO9" s="124"/>
      <c r="BP9" s="124"/>
      <c r="BQ9" s="124"/>
      <c r="BR9" s="124"/>
      <c r="BS9" s="124"/>
      <c r="BT9" s="124"/>
      <c r="BU9" s="124"/>
    </row>
    <row r="10" spans="1:73" s="163" customFormat="1" x14ac:dyDescent="0.25">
      <c r="A10" s="253">
        <v>1983</v>
      </c>
      <c r="B10" s="125">
        <f t="shared" si="4"/>
        <v>112</v>
      </c>
      <c r="C10" s="254">
        <v>30428</v>
      </c>
      <c r="E10" s="125">
        <f>VLOOKUP(C10,'Historic Daily flows'!$A$1:$B$37941,2)</f>
        <v>7.6</v>
      </c>
      <c r="F10" s="125">
        <v>0.15</v>
      </c>
      <c r="G10" s="253">
        <f>AA9</f>
        <v>326.39061765275358</v>
      </c>
      <c r="H10" s="255"/>
      <c r="P10" s="256"/>
      <c r="Q10" s="255"/>
      <c r="Y10" s="257"/>
      <c r="AA10" s="257"/>
      <c r="AB10" s="130">
        <f>((B10-B9)*G10)-((B10-B9)*(G10-G9)*0.5)</f>
        <v>2830.2962409758525</v>
      </c>
      <c r="AC10" s="259"/>
      <c r="AE10" s="277"/>
      <c r="AF10" s="260"/>
      <c r="AG10" s="171">
        <f t="shared" si="5"/>
        <v>593.43748664137013</v>
      </c>
      <c r="AH10" s="108">
        <f t="shared" si="0"/>
        <v>0.55000000000000004</v>
      </c>
      <c r="AJ10" s="174">
        <f t="shared" si="1"/>
        <v>5145.9931654106404</v>
      </c>
      <c r="AK10" s="261"/>
      <c r="AL10" s="174">
        <f t="shared" si="2"/>
        <v>0</v>
      </c>
      <c r="AN10" s="174">
        <f t="shared" si="3"/>
        <v>0</v>
      </c>
      <c r="AO10" s="286"/>
      <c r="AP10" s="303"/>
      <c r="AQ10" s="286"/>
      <c r="AR10" s="303"/>
      <c r="AS10" s="286"/>
      <c r="AT10" s="303"/>
      <c r="AU10" s="262"/>
      <c r="AY10" s="258"/>
      <c r="BA10" s="260"/>
      <c r="BB10" s="263"/>
      <c r="BC10" s="263"/>
      <c r="BD10" s="263"/>
      <c r="BE10" s="264"/>
      <c r="BF10" s="264"/>
      <c r="BG10" s="264"/>
      <c r="BH10" s="264"/>
      <c r="BI10" s="264"/>
      <c r="BJ10" s="264"/>
      <c r="BK10" s="264"/>
    </row>
    <row r="11" spans="1:73" s="108" customFormat="1" x14ac:dyDescent="0.25">
      <c r="A11" s="126">
        <v>1983</v>
      </c>
      <c r="B11">
        <f t="shared" si="4"/>
        <v>151</v>
      </c>
      <c r="C11" s="110">
        <v>30467</v>
      </c>
      <c r="E11">
        <f>VLOOKUP(C11,'Historic Daily flows'!$A$1:$B$37941,2)</f>
        <v>11.3</v>
      </c>
      <c r="F11"/>
      <c r="G11" s="126">
        <v>0</v>
      </c>
      <c r="H11" s="131"/>
      <c r="P11" s="132"/>
      <c r="Q11" s="131"/>
      <c r="Y11" s="168"/>
      <c r="AA11" s="168"/>
      <c r="AB11" s="130">
        <f>0.5*(B11-B10)*G10</f>
        <v>6364.6170442286948</v>
      </c>
      <c r="AC11" s="61"/>
      <c r="AE11" s="73"/>
      <c r="AF11" s="129"/>
      <c r="AG11" s="171">
        <f t="shared" si="5"/>
        <v>0</v>
      </c>
      <c r="AH11" s="108">
        <f t="shared" si="0"/>
        <v>0.55000000000000004</v>
      </c>
      <c r="AJ11" s="174">
        <f t="shared" si="1"/>
        <v>11572.030989506717</v>
      </c>
      <c r="AK11" s="248"/>
      <c r="AL11" s="174">
        <f t="shared" si="2"/>
        <v>0</v>
      </c>
      <c r="AN11" s="174">
        <f t="shared" si="3"/>
        <v>0</v>
      </c>
      <c r="AO11" s="286"/>
      <c r="AP11" s="303"/>
      <c r="AQ11" s="286"/>
      <c r="AR11" s="303"/>
      <c r="AS11" s="286"/>
      <c r="AT11" s="303"/>
      <c r="AU11" s="128"/>
      <c r="AY11" s="130"/>
      <c r="BA11" s="129"/>
      <c r="BB11" s="118"/>
      <c r="BC11" s="119"/>
      <c r="BD11" s="118"/>
      <c r="BE11" s="113"/>
      <c r="BF11" s="114"/>
      <c r="BG11" s="113"/>
      <c r="BH11" s="114"/>
      <c r="BI11" s="113"/>
      <c r="BJ11" s="114"/>
      <c r="BK11" s="113"/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</row>
    <row r="12" spans="1:73" s="174" customFormat="1" x14ac:dyDescent="0.25">
      <c r="A12" s="171">
        <v>1984</v>
      </c>
      <c r="B12" s="172">
        <f t="shared" si="4"/>
        <v>1</v>
      </c>
      <c r="C12" s="173">
        <v>30682</v>
      </c>
      <c r="E12" s="172">
        <f>VLOOKUP(C12,'Historic Daily flows'!$A$1:$B$37941,2)</f>
        <v>13.7</v>
      </c>
      <c r="F12" s="172"/>
      <c r="G12" s="171">
        <f>AA12</f>
        <v>0</v>
      </c>
      <c r="H12" s="175"/>
      <c r="P12" s="176"/>
      <c r="Q12" s="175"/>
      <c r="Y12" s="177"/>
      <c r="AA12" s="177"/>
      <c r="AB12" s="178"/>
      <c r="AC12" s="183"/>
      <c r="AE12" s="206"/>
      <c r="AF12" s="179"/>
      <c r="AG12" s="171">
        <f t="shared" si="5"/>
        <v>0</v>
      </c>
      <c r="AH12" s="108">
        <f t="shared" si="0"/>
        <v>0.55000000000000004</v>
      </c>
      <c r="AJ12" s="174">
        <f t="shared" si="1"/>
        <v>0</v>
      </c>
      <c r="AK12" s="248"/>
      <c r="AL12" s="174">
        <f t="shared" si="2"/>
        <v>0</v>
      </c>
      <c r="AN12" s="174">
        <f t="shared" si="3"/>
        <v>0</v>
      </c>
      <c r="AO12" s="286"/>
      <c r="AP12" s="303"/>
      <c r="AQ12" s="286"/>
      <c r="AR12" s="303"/>
      <c r="AS12" s="286"/>
      <c r="AT12" s="303"/>
      <c r="AU12" s="180"/>
      <c r="AY12" s="178"/>
      <c r="BA12" s="179"/>
      <c r="BC12" s="181"/>
      <c r="BE12" s="181"/>
      <c r="BG12" s="181"/>
      <c r="BI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</row>
    <row r="13" spans="1:73" s="174" customFormat="1" x14ac:dyDescent="0.25">
      <c r="A13" s="171">
        <v>1984</v>
      </c>
      <c r="B13" s="172">
        <f t="shared" si="4"/>
        <v>93</v>
      </c>
      <c r="C13" s="182">
        <v>30774</v>
      </c>
      <c r="E13" s="172">
        <f>VLOOKUP(C13,'Historic Daily flows'!$A$1:$B$37941,2)</f>
        <v>6.12</v>
      </c>
      <c r="F13" s="172">
        <v>0.26</v>
      </c>
      <c r="G13" s="171">
        <f>S13</f>
        <v>297.64705882352939</v>
      </c>
      <c r="H13" s="175">
        <v>253</v>
      </c>
      <c r="I13" s="184">
        <v>0.85</v>
      </c>
      <c r="J13" s="174">
        <f>H13/I13</f>
        <v>297.64705882352939</v>
      </c>
      <c r="P13" s="176"/>
      <c r="Q13" s="175">
        <v>253</v>
      </c>
      <c r="R13" s="184">
        <v>0.85</v>
      </c>
      <c r="S13" s="174">
        <f>Q13/R13</f>
        <v>297.64705882352939</v>
      </c>
      <c r="Y13" s="177"/>
      <c r="Z13" s="174">
        <f>VLOOKUP(B13,$CG$86:$CI$242,2)</f>
        <v>0.83699999999999997</v>
      </c>
      <c r="AA13" s="177">
        <f>S13/Z13</f>
        <v>355.61177876168387</v>
      </c>
      <c r="AB13" s="178">
        <f>0.5*($B15-$B12)*$G13</f>
        <v>22472.352941176468</v>
      </c>
      <c r="AC13" s="183">
        <f>AF13/$AF$1</f>
        <v>718.78742005762865</v>
      </c>
      <c r="AD13" s="174">
        <f>G14</f>
        <v>355.61177876168387</v>
      </c>
      <c r="AE13" s="206">
        <f>AC13/AD13</f>
        <v>2.0212699999999999</v>
      </c>
      <c r="AF13" s="179">
        <f>SUM(AB12:AB15)</f>
        <v>35939.371002881431</v>
      </c>
      <c r="AG13" s="171">
        <f>G13/AH13</f>
        <v>541.17647058823525</v>
      </c>
      <c r="AH13" s="108">
        <f t="shared" si="0"/>
        <v>0.55000000000000004</v>
      </c>
      <c r="AJ13" s="174">
        <f t="shared" si="1"/>
        <v>40858.823529411755</v>
      </c>
      <c r="AK13" s="248">
        <f>AN13/$AF$1</f>
        <v>1306.8862182865973</v>
      </c>
      <c r="AL13" s="174">
        <f>AD13/AH13</f>
        <v>646.56687047578885</v>
      </c>
      <c r="AM13" s="174">
        <f>AK13/AL13</f>
        <v>2.0212699999999995</v>
      </c>
      <c r="AN13" s="174">
        <f t="shared" si="3"/>
        <v>65344.310914329872</v>
      </c>
      <c r="AO13" s="286"/>
      <c r="AP13" s="303"/>
      <c r="AQ13" s="286">
        <f>AL13*$AP$188</f>
        <v>0</v>
      </c>
      <c r="AR13" s="303"/>
      <c r="AS13" s="286"/>
      <c r="AT13" s="303">
        <f>AL13*$AS$177</f>
        <v>0</v>
      </c>
      <c r="AU13" s="180"/>
      <c r="AY13" s="178"/>
      <c r="BA13" s="179"/>
      <c r="BC13" s="181"/>
      <c r="BE13" s="181"/>
      <c r="BG13" s="181"/>
      <c r="BI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1"/>
    </row>
    <row r="14" spans="1:73" s="184" customFormat="1" x14ac:dyDescent="0.25">
      <c r="A14" s="265">
        <v>1984</v>
      </c>
      <c r="B14" s="186">
        <f>C14-DATE(YEAR(C14),1,1)+1</f>
        <v>113</v>
      </c>
      <c r="C14" s="266">
        <v>30794</v>
      </c>
      <c r="E14" s="186">
        <f>VLOOKUP(C14,'Historic Daily flows'!$A$1:$B$37941,2)</f>
        <v>9.81</v>
      </c>
      <c r="F14" s="186">
        <v>0.26</v>
      </c>
      <c r="G14" s="265">
        <f>AA13</f>
        <v>355.61177876168387</v>
      </c>
      <c r="H14" s="267"/>
      <c r="P14" s="268"/>
      <c r="Q14" s="267"/>
      <c r="Y14" s="269"/>
      <c r="AA14" s="269"/>
      <c r="AB14" s="178">
        <f>((B14-B13)*G14)-((B14-B13)*(G14-G13)*0.5)</f>
        <v>6532.5883758521322</v>
      </c>
      <c r="AC14" s="271"/>
      <c r="AE14" s="278"/>
      <c r="AF14" s="272"/>
      <c r="AG14" s="171">
        <f>G14/AH14</f>
        <v>646.56687047578885</v>
      </c>
      <c r="AH14" s="108">
        <f t="shared" si="0"/>
        <v>0.55000000000000004</v>
      </c>
      <c r="AJ14" s="174">
        <f>AB14/AH14</f>
        <v>11877.43341064024</v>
      </c>
      <c r="AK14" s="261"/>
      <c r="AL14" s="174">
        <f t="shared" si="2"/>
        <v>0</v>
      </c>
      <c r="AN14" s="174">
        <f t="shared" si="3"/>
        <v>0</v>
      </c>
      <c r="AO14" s="286"/>
      <c r="AP14" s="303"/>
      <c r="AQ14" s="286"/>
      <c r="AR14" s="303"/>
      <c r="AS14" s="286"/>
      <c r="AT14" s="303"/>
      <c r="AU14" s="273"/>
      <c r="AY14" s="270"/>
      <c r="BA14" s="272"/>
    </row>
    <row r="15" spans="1:73" s="174" customFormat="1" x14ac:dyDescent="0.25">
      <c r="A15" s="171">
        <v>1984</v>
      </c>
      <c r="B15" s="172">
        <f t="shared" si="4"/>
        <v>152</v>
      </c>
      <c r="C15" s="173">
        <v>30833</v>
      </c>
      <c r="E15" s="172">
        <f>VLOOKUP(C15,'Historic Daily flows'!$A$1:$B$37941,2)</f>
        <v>13.1</v>
      </c>
      <c r="F15" s="172"/>
      <c r="G15" s="171">
        <f>AA15</f>
        <v>0</v>
      </c>
      <c r="H15" s="175"/>
      <c r="I15" s="184"/>
      <c r="P15" s="176"/>
      <c r="Q15" s="175"/>
      <c r="R15" s="185" t="s">
        <v>191</v>
      </c>
      <c r="Y15" s="177"/>
      <c r="AA15" s="177"/>
      <c r="AB15" s="274">
        <f>0.5*(B15-B14)*G14</f>
        <v>6934.4296858528351</v>
      </c>
      <c r="AC15" s="183"/>
      <c r="AE15" s="206"/>
      <c r="AF15" s="179"/>
      <c r="AG15" s="171">
        <f t="shared" si="5"/>
        <v>0</v>
      </c>
      <c r="AH15" s="108">
        <f t="shared" si="0"/>
        <v>0.55000000000000004</v>
      </c>
      <c r="AJ15" s="174">
        <f t="shared" si="1"/>
        <v>12608.05397427788</v>
      </c>
      <c r="AK15" s="248"/>
      <c r="AL15" s="174">
        <f t="shared" si="2"/>
        <v>0</v>
      </c>
      <c r="AN15" s="174">
        <f t="shared" si="3"/>
        <v>0</v>
      </c>
      <c r="AO15" s="286"/>
      <c r="AP15" s="303"/>
      <c r="AQ15" s="286"/>
      <c r="AR15" s="303"/>
      <c r="AS15" s="286"/>
      <c r="AT15" s="303"/>
      <c r="AU15" s="180"/>
      <c r="AY15" s="178"/>
      <c r="BA15" s="179"/>
      <c r="BC15" s="181"/>
      <c r="BE15" s="181"/>
      <c r="BG15" s="181"/>
      <c r="BI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</row>
    <row r="16" spans="1:73" s="108" customFormat="1" x14ac:dyDescent="0.25">
      <c r="A16" s="126">
        <v>1985</v>
      </c>
      <c r="B16">
        <f t="shared" ref="B16:B23" si="6">C16-DATE(YEAR(C16),1,1)+1</f>
        <v>1</v>
      </c>
      <c r="C16" s="110">
        <v>31048</v>
      </c>
      <c r="E16">
        <f>VLOOKUP(C16,'Historic Daily flows'!$A$1:$B$37941,2)</f>
        <v>3.52</v>
      </c>
      <c r="F16"/>
      <c r="G16" s="126">
        <v>0</v>
      </c>
      <c r="H16" s="131"/>
      <c r="I16" s="163"/>
      <c r="P16" s="132"/>
      <c r="Q16" s="131"/>
      <c r="Y16" s="168"/>
      <c r="AA16" s="168"/>
      <c r="AB16" s="130"/>
      <c r="AC16" s="61"/>
      <c r="AE16" s="73"/>
      <c r="AF16" s="129"/>
      <c r="AG16" s="171">
        <f t="shared" si="5"/>
        <v>0</v>
      </c>
      <c r="AH16" s="108">
        <f t="shared" si="0"/>
        <v>0.55000000000000004</v>
      </c>
      <c r="AJ16" s="174">
        <f t="shared" si="1"/>
        <v>0</v>
      </c>
      <c r="AK16" s="248"/>
      <c r="AL16" s="174">
        <f t="shared" si="2"/>
        <v>0</v>
      </c>
      <c r="AN16" s="174">
        <f t="shared" si="3"/>
        <v>0</v>
      </c>
      <c r="AO16" s="286"/>
      <c r="AP16" s="303"/>
      <c r="AQ16" s="286"/>
      <c r="AR16" s="303"/>
      <c r="AS16" s="286"/>
      <c r="AT16" s="303"/>
      <c r="AU16" s="128"/>
      <c r="AY16" s="130"/>
      <c r="BA16" s="129"/>
      <c r="BB16" s="118"/>
      <c r="BC16" s="119"/>
      <c r="BD16" s="118"/>
      <c r="BE16" s="113"/>
      <c r="BF16" s="114"/>
      <c r="BG16" s="113"/>
      <c r="BH16" s="114"/>
      <c r="BI16" s="113"/>
      <c r="BJ16" s="114"/>
      <c r="BK16" s="113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</row>
    <row r="17" spans="1:73" s="108" customFormat="1" x14ac:dyDescent="0.25">
      <c r="A17" s="126">
        <v>1985</v>
      </c>
      <c r="B17">
        <f t="shared" si="6"/>
        <v>101</v>
      </c>
      <c r="C17" s="127">
        <v>31148</v>
      </c>
      <c r="E17">
        <f>VLOOKUP(C17,'Historic Daily flows'!$A$1:$B$37941,2)</f>
        <v>22.8</v>
      </c>
      <c r="F17">
        <v>0.28000000000000003</v>
      </c>
      <c r="G17" s="126">
        <v>471</v>
      </c>
      <c r="H17" s="131"/>
      <c r="I17" s="163"/>
      <c r="P17" s="132"/>
      <c r="Q17" s="131"/>
      <c r="S17" s="108">
        <v>471</v>
      </c>
      <c r="Y17" s="168"/>
      <c r="Z17" s="108">
        <f>VLOOKUP(B17,$CG$86:$CI$242,2)</f>
        <v>0.90899999999999992</v>
      </c>
      <c r="AA17" s="168">
        <f>S17/Z17</f>
        <v>518.15181518151815</v>
      </c>
      <c r="AB17" s="130">
        <f>0.5*($B19-$B16)*$G17</f>
        <v>35325</v>
      </c>
      <c r="AC17" s="61">
        <f>AF17/$AF$1</f>
        <v>1017.3859075907592</v>
      </c>
      <c r="AD17" s="108">
        <f>G18</f>
        <v>518.15181518151815</v>
      </c>
      <c r="AE17" s="73">
        <f>AC17/AD17</f>
        <v>1.9634900000000002</v>
      </c>
      <c r="AF17" s="129">
        <f>SUM(AB17:AB19)</f>
        <v>50869.295379537958</v>
      </c>
      <c r="AG17" s="171">
        <f t="shared" ref="AG17:AG80" si="7">G17/AH17</f>
        <v>856.36363636363626</v>
      </c>
      <c r="AH17" s="108">
        <f t="shared" si="0"/>
        <v>0.55000000000000004</v>
      </c>
      <c r="AJ17" s="174">
        <f t="shared" si="1"/>
        <v>64227.272727272721</v>
      </c>
      <c r="AK17" s="248">
        <f>AN17/$AN$1</f>
        <v>1849.7925592559257</v>
      </c>
      <c r="AL17" s="174">
        <f>AD17/AH17</f>
        <v>942.09420942094198</v>
      </c>
      <c r="AM17" s="108">
        <f>AK17/AL17</f>
        <v>1.9634900000000004</v>
      </c>
      <c r="AN17" s="174">
        <f t="shared" si="3"/>
        <v>92489.627962796279</v>
      </c>
      <c r="AO17" s="286"/>
      <c r="AP17" s="303"/>
      <c r="AQ17" s="286">
        <f>AL17*$AP$188</f>
        <v>0</v>
      </c>
      <c r="AR17" s="303"/>
      <c r="AS17" s="286"/>
      <c r="AT17" s="303">
        <f>AL17*$AS$177</f>
        <v>0</v>
      </c>
      <c r="AU17" s="128"/>
      <c r="AY17" s="130"/>
      <c r="BA17" s="129"/>
      <c r="BB17" s="118"/>
      <c r="BC17" s="119"/>
      <c r="BD17" s="118"/>
      <c r="BE17" s="113"/>
      <c r="BF17" s="114"/>
      <c r="BG17" s="113"/>
      <c r="BH17" s="114"/>
      <c r="BI17" s="113"/>
      <c r="BJ17" s="114"/>
      <c r="BK17" s="113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</row>
    <row r="18" spans="1:73" s="163" customFormat="1" x14ac:dyDescent="0.25">
      <c r="A18" s="253">
        <v>1985</v>
      </c>
      <c r="B18" s="125">
        <f t="shared" si="6"/>
        <v>112</v>
      </c>
      <c r="C18" s="254">
        <v>31159</v>
      </c>
      <c r="E18" s="125">
        <f>VLOOKUP(C18,'Historic Daily flows'!$A$1:$B$37941,2)</f>
        <v>6.06</v>
      </c>
      <c r="F18" s="125">
        <v>0.28000000000000003</v>
      </c>
      <c r="G18" s="253">
        <f>AA17</f>
        <v>518.15181518151815</v>
      </c>
      <c r="H18" s="255"/>
      <c r="P18" s="256"/>
      <c r="Q18" s="255"/>
      <c r="Y18" s="257"/>
      <c r="AA18" s="257"/>
      <c r="AB18" s="275">
        <f>((B18-B17)*G18)-((B18-B17)*(G18-G17)*0.5)</f>
        <v>5440.3349834983492</v>
      </c>
      <c r="AC18" s="259"/>
      <c r="AE18" s="277"/>
      <c r="AF18" s="260"/>
      <c r="AG18" s="171">
        <f t="shared" si="7"/>
        <v>942.09420942094198</v>
      </c>
      <c r="AH18" s="108">
        <f t="shared" si="0"/>
        <v>0.55000000000000004</v>
      </c>
      <c r="AJ18" s="174">
        <f t="shared" si="1"/>
        <v>9891.5181518151803</v>
      </c>
      <c r="AK18" s="261"/>
      <c r="AL18" s="174">
        <f t="shared" si="2"/>
        <v>0</v>
      </c>
      <c r="AN18" s="174">
        <f t="shared" si="3"/>
        <v>0</v>
      </c>
      <c r="AO18" s="286"/>
      <c r="AP18" s="303"/>
      <c r="AQ18" s="286"/>
      <c r="AR18" s="303"/>
      <c r="AS18" s="286"/>
      <c r="AT18" s="303"/>
      <c r="AU18" s="262"/>
      <c r="AY18" s="258"/>
      <c r="BA18" s="260"/>
      <c r="BB18" s="263"/>
      <c r="BC18" s="263"/>
      <c r="BD18" s="263"/>
      <c r="BE18" s="264"/>
      <c r="BF18" s="264"/>
      <c r="BG18" s="264"/>
      <c r="BH18" s="264"/>
      <c r="BI18" s="264"/>
      <c r="BJ18" s="264"/>
      <c r="BK18" s="264"/>
    </row>
    <row r="19" spans="1:73" s="108" customFormat="1" x14ac:dyDescent="0.25">
      <c r="A19" s="126">
        <v>1985</v>
      </c>
      <c r="B19">
        <f t="shared" si="6"/>
        <v>151</v>
      </c>
      <c r="C19" s="110">
        <v>31198</v>
      </c>
      <c r="E19">
        <f>VLOOKUP(C19,'Historic Daily flows'!$A$1:$B$37941,2)</f>
        <v>7.54</v>
      </c>
      <c r="F19"/>
      <c r="G19" s="126">
        <v>0</v>
      </c>
      <c r="H19" s="131"/>
      <c r="I19" s="163"/>
      <c r="P19" s="132"/>
      <c r="Q19" s="131"/>
      <c r="Y19" s="168"/>
      <c r="AA19" s="168"/>
      <c r="AB19" s="130">
        <f>0.5*(B19-B18)*G18</f>
        <v>10103.960396039603</v>
      </c>
      <c r="AC19" s="61"/>
      <c r="AE19" s="73"/>
      <c r="AF19" s="129"/>
      <c r="AG19" s="171">
        <f t="shared" si="7"/>
        <v>0</v>
      </c>
      <c r="AH19" s="108">
        <f t="shared" si="0"/>
        <v>0.55000000000000004</v>
      </c>
      <c r="AJ19" s="174">
        <f t="shared" si="1"/>
        <v>18370.837083708368</v>
      </c>
      <c r="AK19" s="248"/>
      <c r="AL19" s="174">
        <f t="shared" si="2"/>
        <v>0</v>
      </c>
      <c r="AN19" s="174">
        <f t="shared" si="3"/>
        <v>0</v>
      </c>
      <c r="AO19" s="286"/>
      <c r="AP19" s="303"/>
      <c r="AQ19" s="286"/>
      <c r="AR19" s="303"/>
      <c r="AS19" s="286"/>
      <c r="AT19" s="303"/>
      <c r="AU19" s="128"/>
      <c r="AY19" s="130"/>
      <c r="BA19" s="129"/>
      <c r="BB19" s="118"/>
      <c r="BC19" s="119"/>
      <c r="BD19" s="118"/>
      <c r="BE19" s="113"/>
      <c r="BF19" s="114"/>
      <c r="BG19" s="113"/>
      <c r="BH19" s="114"/>
      <c r="BI19" s="113"/>
      <c r="BJ19" s="114"/>
      <c r="BK19" s="113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</row>
    <row r="20" spans="1:73" s="174" customFormat="1" x14ac:dyDescent="0.25">
      <c r="A20" s="171">
        <v>1986</v>
      </c>
      <c r="B20" s="172">
        <f t="shared" si="6"/>
        <v>1</v>
      </c>
      <c r="C20" s="173">
        <v>31413</v>
      </c>
      <c r="E20" s="172">
        <f>VLOOKUP(C20,'Historic Daily flows'!$A$1:$B$37941,2)</f>
        <v>3.62</v>
      </c>
      <c r="F20" s="172"/>
      <c r="G20" s="171">
        <f>AA20</f>
        <v>0</v>
      </c>
      <c r="H20" s="175"/>
      <c r="I20" s="184"/>
      <c r="P20" s="176"/>
      <c r="Q20" s="175"/>
      <c r="Y20" s="177"/>
      <c r="AA20" s="177"/>
      <c r="AB20" s="178"/>
      <c r="AC20" s="183"/>
      <c r="AE20" s="206"/>
      <c r="AF20" s="179"/>
      <c r="AG20" s="171">
        <f t="shared" si="7"/>
        <v>0</v>
      </c>
      <c r="AH20" s="108">
        <f t="shared" si="0"/>
        <v>0.55000000000000004</v>
      </c>
      <c r="AJ20" s="174">
        <f t="shared" si="1"/>
        <v>0</v>
      </c>
      <c r="AK20" s="248"/>
      <c r="AL20" s="174">
        <f t="shared" si="2"/>
        <v>0</v>
      </c>
      <c r="AN20" s="174">
        <f t="shared" si="3"/>
        <v>0</v>
      </c>
      <c r="AO20" s="286"/>
      <c r="AP20" s="303"/>
      <c r="AQ20" s="286"/>
      <c r="AR20" s="303"/>
      <c r="AS20" s="286"/>
      <c r="AT20" s="303"/>
      <c r="AU20" s="180"/>
      <c r="AY20" s="178"/>
      <c r="BA20" s="179"/>
      <c r="BC20" s="181"/>
      <c r="BE20" s="181"/>
      <c r="BG20" s="181"/>
      <c r="BI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</row>
    <row r="21" spans="1:73" s="174" customFormat="1" x14ac:dyDescent="0.25">
      <c r="A21" s="171">
        <v>1986</v>
      </c>
      <c r="B21" s="172">
        <f t="shared" si="6"/>
        <v>40</v>
      </c>
      <c r="C21" s="182">
        <v>31452</v>
      </c>
      <c r="E21" s="172">
        <f>VLOOKUP(C21,'Historic Daily flows'!$A$1:$B$37941,2)</f>
        <v>9.15</v>
      </c>
      <c r="F21" s="186">
        <f>(F17+F25)/2</f>
        <v>0.36499999999999999</v>
      </c>
      <c r="G21" s="171">
        <f>S21</f>
        <v>78.873239436619727</v>
      </c>
      <c r="H21" s="175">
        <v>56</v>
      </c>
      <c r="I21" s="174">
        <f>VLOOKUP(B21,$CJ$97:$CP$253, 6)</f>
        <v>0.81179999999999997</v>
      </c>
      <c r="J21" s="174">
        <f>H21/I21</f>
        <v>68.982508006898257</v>
      </c>
      <c r="P21" s="176"/>
      <c r="Q21" s="175">
        <v>56</v>
      </c>
      <c r="R21" s="174">
        <f>VLOOKUP(B21,CJ61:CV227, 12)</f>
        <v>0.71</v>
      </c>
      <c r="S21" s="174">
        <f>Q21/R21</f>
        <v>78.873239436619727</v>
      </c>
      <c r="Y21" s="177"/>
      <c r="Z21" s="174">
        <f>VLOOKUP(B21,$CG$86:$CI$242,2)</f>
        <v>0.36</v>
      </c>
      <c r="AA21" s="177">
        <f>S21/Z21</f>
        <v>219.09233176838814</v>
      </c>
      <c r="AB21" s="178">
        <f>0.5*($B23-$B20)*$G21</f>
        <v>5915.4929577464791</v>
      </c>
      <c r="AC21" s="183">
        <f>AF21/$AF$1</f>
        <v>418.29107981220659</v>
      </c>
      <c r="AD21" s="174">
        <f>G22</f>
        <v>219.09233176838814</v>
      </c>
      <c r="AE21" s="206">
        <f>AC21/AD21</f>
        <v>1.9091999999999998</v>
      </c>
      <c r="AF21" s="179">
        <f>SUM(AB21:AB23)</f>
        <v>20914.553990610329</v>
      </c>
      <c r="AG21" s="171">
        <f t="shared" si="7"/>
        <v>143.40588988476313</v>
      </c>
      <c r="AH21" s="108">
        <f t="shared" si="0"/>
        <v>0.55000000000000004</v>
      </c>
      <c r="AJ21" s="174">
        <f t="shared" si="1"/>
        <v>10755.441741357234</v>
      </c>
      <c r="AK21" s="248">
        <f>AN21/$AF$1</f>
        <v>760.5292360221938</v>
      </c>
      <c r="AL21" s="174">
        <f t="shared" si="2"/>
        <v>398.34969412434202</v>
      </c>
      <c r="AM21" s="174">
        <f>AK21/AL21</f>
        <v>1.9092</v>
      </c>
      <c r="AN21" s="174">
        <f t="shared" si="3"/>
        <v>38026.46180110969</v>
      </c>
      <c r="AO21" s="286"/>
      <c r="AP21" s="303"/>
      <c r="AQ21" s="286">
        <f>AL21*$AP$188</f>
        <v>0</v>
      </c>
      <c r="AR21" s="303"/>
      <c r="AS21" s="286"/>
      <c r="AT21" s="303">
        <f>AL21*$AS$177</f>
        <v>0</v>
      </c>
      <c r="AU21" s="180"/>
      <c r="AY21" s="178"/>
      <c r="BA21" s="179"/>
      <c r="BC21" s="181"/>
      <c r="BE21" s="181"/>
      <c r="BG21" s="181"/>
      <c r="BI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</row>
    <row r="22" spans="1:73" s="184" customFormat="1" x14ac:dyDescent="0.25">
      <c r="A22" s="265">
        <v>1986</v>
      </c>
      <c r="B22" s="186">
        <f>C22-DATE(YEAR(C22),1,1)+1</f>
        <v>112</v>
      </c>
      <c r="C22" s="266">
        <v>31524</v>
      </c>
      <c r="E22" s="186">
        <f>VLOOKUP(C22,'Historic Daily flows'!$A$1:$B$37941,2)</f>
        <v>7.04</v>
      </c>
      <c r="F22" s="186">
        <f>(F18+F27)/2</f>
        <v>0.14000000000000001</v>
      </c>
      <c r="G22" s="265">
        <f>AA21</f>
        <v>219.09233176838814</v>
      </c>
      <c r="H22" s="267"/>
      <c r="P22" s="268"/>
      <c r="Q22" s="267"/>
      <c r="Y22" s="269"/>
      <c r="AA22" s="269"/>
      <c r="AB22" s="178">
        <f>((B22-B21)*G22)-((B22-B21)*(G22-G21)*0.5)</f>
        <v>10726.760563380283</v>
      </c>
      <c r="AC22" s="271"/>
      <c r="AE22" s="278"/>
      <c r="AF22" s="272"/>
      <c r="AG22" s="171">
        <f t="shared" si="7"/>
        <v>398.34969412434202</v>
      </c>
      <c r="AH22" s="108">
        <f t="shared" si="0"/>
        <v>0.55000000000000004</v>
      </c>
      <c r="AJ22" s="174">
        <f t="shared" si="1"/>
        <v>19503.201024327787</v>
      </c>
      <c r="AK22" s="261"/>
      <c r="AL22" s="174">
        <f t="shared" si="2"/>
        <v>0</v>
      </c>
      <c r="AN22" s="174">
        <f t="shared" si="3"/>
        <v>0</v>
      </c>
      <c r="AO22" s="286"/>
      <c r="AP22" s="303"/>
      <c r="AQ22" s="286"/>
      <c r="AR22" s="303"/>
      <c r="AS22" s="286"/>
      <c r="AT22" s="303"/>
      <c r="AU22" s="273"/>
      <c r="AY22" s="270"/>
      <c r="BA22" s="272"/>
    </row>
    <row r="23" spans="1:73" s="174" customFormat="1" x14ac:dyDescent="0.25">
      <c r="A23" s="171">
        <v>1986</v>
      </c>
      <c r="B23" s="172">
        <f t="shared" si="6"/>
        <v>151</v>
      </c>
      <c r="C23" s="173">
        <v>31563</v>
      </c>
      <c r="E23" s="172">
        <f>VLOOKUP(C23,'Historic Daily flows'!$A$1:$B$37941,2)</f>
        <v>9.2200000000000006</v>
      </c>
      <c r="F23" s="172"/>
      <c r="G23" s="171">
        <f>AA23</f>
        <v>0</v>
      </c>
      <c r="H23" s="175"/>
      <c r="P23" s="176"/>
      <c r="Q23" s="175"/>
      <c r="Y23" s="177"/>
      <c r="AA23" s="177"/>
      <c r="AB23" s="274">
        <f>0.5*(B23-B22)*G22</f>
        <v>4272.300469483569</v>
      </c>
      <c r="AC23" s="183"/>
      <c r="AE23" s="206"/>
      <c r="AF23" s="179"/>
      <c r="AG23" s="171">
        <f t="shared" si="7"/>
        <v>0</v>
      </c>
      <c r="AH23" s="108">
        <f t="shared" si="0"/>
        <v>0.55000000000000004</v>
      </c>
      <c r="AJ23" s="174">
        <f t="shared" si="1"/>
        <v>7767.8190354246699</v>
      </c>
      <c r="AK23" s="248"/>
      <c r="AL23" s="174">
        <f t="shared" si="2"/>
        <v>0</v>
      </c>
      <c r="AN23" s="174">
        <f t="shared" si="3"/>
        <v>0</v>
      </c>
      <c r="AO23" s="286"/>
      <c r="AP23" s="303"/>
      <c r="AQ23" s="286"/>
      <c r="AR23" s="303"/>
      <c r="AS23" s="286"/>
      <c r="AT23" s="303"/>
      <c r="AU23" s="180"/>
      <c r="AY23" s="178"/>
      <c r="BA23" s="179"/>
      <c r="BC23" s="181"/>
      <c r="BE23" s="181"/>
      <c r="BG23" s="181"/>
      <c r="BI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</row>
    <row r="24" spans="1:73" s="108" customFormat="1" x14ac:dyDescent="0.25">
      <c r="A24" s="126">
        <v>1987</v>
      </c>
      <c r="B24">
        <f t="shared" ref="B24:B40" si="8">C24-DATE(YEAR(C24),1,1)+1</f>
        <v>1</v>
      </c>
      <c r="C24" s="110">
        <v>31778</v>
      </c>
      <c r="E24">
        <f>VLOOKUP(C24,'Historic Daily flows'!$A$1:$B$37941,2)</f>
        <v>34.6</v>
      </c>
      <c r="F24"/>
      <c r="G24" s="126">
        <v>0</v>
      </c>
      <c r="H24" s="131"/>
      <c r="P24" s="132"/>
      <c r="Q24" s="131"/>
      <c r="Y24" s="168"/>
      <c r="AA24" s="168"/>
      <c r="AB24" s="130"/>
      <c r="AC24" s="61"/>
      <c r="AE24" s="73"/>
      <c r="AF24" s="129"/>
      <c r="AG24" s="171">
        <f t="shared" si="7"/>
        <v>0</v>
      </c>
      <c r="AH24" s="108">
        <f t="shared" si="0"/>
        <v>0.55000000000000004</v>
      </c>
      <c r="AJ24" s="174">
        <f t="shared" si="1"/>
        <v>0</v>
      </c>
      <c r="AK24" s="248"/>
      <c r="AL24" s="174">
        <f t="shared" si="2"/>
        <v>0</v>
      </c>
      <c r="AN24" s="174">
        <f t="shared" si="3"/>
        <v>0</v>
      </c>
      <c r="AO24" s="286"/>
      <c r="AP24" s="303"/>
      <c r="AQ24" s="286"/>
      <c r="AR24" s="303"/>
      <c r="AS24" s="286"/>
      <c r="AT24" s="303"/>
      <c r="AU24" s="128"/>
      <c r="AY24" s="130"/>
      <c r="BA24" s="129"/>
      <c r="BB24" s="118"/>
      <c r="BC24" s="119"/>
      <c r="BD24" s="118"/>
      <c r="BE24" s="113"/>
      <c r="BF24" s="114"/>
      <c r="BG24" s="113"/>
      <c r="BH24" s="114"/>
      <c r="BI24" s="113"/>
      <c r="BJ24" s="114"/>
      <c r="BK24" s="113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</row>
    <row r="25" spans="1:73" s="108" customFormat="1" x14ac:dyDescent="0.25">
      <c r="A25" s="126">
        <v>1987</v>
      </c>
      <c r="B25">
        <f t="shared" si="8"/>
        <v>86</v>
      </c>
      <c r="C25" s="127">
        <v>31863</v>
      </c>
      <c r="E25">
        <f>VLOOKUP(C25,'Historic Daily flows'!$A$1:$B$37941,2)</f>
        <v>7.49</v>
      </c>
      <c r="F25" s="108">
        <v>0.45</v>
      </c>
      <c r="G25" s="126">
        <f>V25</f>
        <v>328</v>
      </c>
      <c r="H25" s="131"/>
      <c r="K25" s="108">
        <v>164</v>
      </c>
      <c r="L25" s="108">
        <f>VLOOKUP(B25,$CJ$101:$CR$257, 4)</f>
        <v>0.53190000000000004</v>
      </c>
      <c r="M25" s="108">
        <f>K25/L25</f>
        <v>308.32863320172964</v>
      </c>
      <c r="P25" s="132"/>
      <c r="Q25" s="131"/>
      <c r="T25" s="108">
        <v>164</v>
      </c>
      <c r="U25" s="108">
        <f>VLOOKUP(B25,$CJ$101:$CV$257, 10)</f>
        <v>0.5</v>
      </c>
      <c r="V25" s="108">
        <f>T25/U25</f>
        <v>328</v>
      </c>
      <c r="Y25" s="168"/>
      <c r="Z25" s="108">
        <f>VLOOKUP(B25,$CG$86:$CI$242,2)</f>
        <v>0.72899999999999998</v>
      </c>
      <c r="AA25" s="168">
        <f>V25/Z25</f>
        <v>449.93141289437585</v>
      </c>
      <c r="AB25" s="130">
        <f>0.5*($B27-$B24)*$G25</f>
        <v>24600</v>
      </c>
      <c r="AC25" s="61">
        <f>AF25/$AF$1</f>
        <v>869.7354183813444</v>
      </c>
      <c r="AD25" s="108">
        <f>G26</f>
        <v>449.93141289437585</v>
      </c>
      <c r="AE25" s="73">
        <f>AC25/AD25</f>
        <v>1.9330400000000003</v>
      </c>
      <c r="AF25" s="129">
        <f>SUM(AB25:AB27)</f>
        <v>43486.770919067218</v>
      </c>
      <c r="AG25" s="171">
        <f t="shared" si="7"/>
        <v>596.36363636363626</v>
      </c>
      <c r="AH25" s="108">
        <f t="shared" si="0"/>
        <v>0.55000000000000004</v>
      </c>
      <c r="AJ25" s="174">
        <f>AB25/AH25</f>
        <v>44727.272727272721</v>
      </c>
      <c r="AK25" s="248">
        <f>AN25/$AN$1</f>
        <v>1581.337124329717</v>
      </c>
      <c r="AL25" s="174">
        <f t="shared" si="2"/>
        <v>818.05711435341061</v>
      </c>
      <c r="AM25" s="108">
        <f>AK25/AL25</f>
        <v>1.9330400000000001</v>
      </c>
      <c r="AN25" s="174">
        <f t="shared" si="3"/>
        <v>79066.856216485845</v>
      </c>
      <c r="AO25" s="286"/>
      <c r="AP25" s="303"/>
      <c r="AQ25" s="286">
        <f>AL25*$AP$188</f>
        <v>0</v>
      </c>
      <c r="AR25" s="303"/>
      <c r="AS25" s="286"/>
      <c r="AT25" s="303">
        <f>AL25*$AS$177</f>
        <v>0</v>
      </c>
      <c r="AU25" s="128"/>
      <c r="AY25" s="130"/>
      <c r="BA25" s="129"/>
      <c r="BB25" s="118"/>
      <c r="BC25" s="119"/>
      <c r="BD25" s="118"/>
      <c r="BE25" s="113"/>
      <c r="BF25" s="114"/>
      <c r="BG25" s="113"/>
      <c r="BH25" s="114"/>
      <c r="BI25" s="113"/>
      <c r="BJ25" s="114"/>
      <c r="BK25" s="113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</row>
    <row r="26" spans="1:73" s="163" customFormat="1" x14ac:dyDescent="0.25">
      <c r="A26" s="253">
        <v>1987</v>
      </c>
      <c r="B26" s="125">
        <f>C26-DATE(YEAR(C26),1,1)+1</f>
        <v>112</v>
      </c>
      <c r="C26" s="254">
        <v>31889</v>
      </c>
      <c r="E26" s="125">
        <f>VLOOKUP(C26,'Historic Daily flows'!$A$1:$B$37941,2)</f>
        <v>6.98</v>
      </c>
      <c r="F26" s="163">
        <v>0.45</v>
      </c>
      <c r="G26" s="253">
        <f>AA25</f>
        <v>449.93141289437585</v>
      </c>
      <c r="H26" s="255"/>
      <c r="P26" s="256"/>
      <c r="Q26" s="255"/>
      <c r="Y26" s="257"/>
      <c r="AA26" s="257"/>
      <c r="AB26" s="130">
        <f>((B26-B25)*G26)-((B26-B25)*(G26-G25)*0.5)</f>
        <v>10113.108367626886</v>
      </c>
      <c r="AC26" s="259"/>
      <c r="AE26" s="277"/>
      <c r="AF26" s="260"/>
      <c r="AG26" s="171">
        <f t="shared" si="7"/>
        <v>818.05711435341061</v>
      </c>
      <c r="AH26" s="108">
        <f t="shared" si="0"/>
        <v>0.55000000000000004</v>
      </c>
      <c r="AJ26" s="174">
        <f t="shared" si="1"/>
        <v>18387.469759321611</v>
      </c>
      <c r="AK26" s="261"/>
      <c r="AL26" s="174">
        <f t="shared" si="2"/>
        <v>0</v>
      </c>
      <c r="AN26" s="174">
        <f t="shared" si="3"/>
        <v>0</v>
      </c>
      <c r="AO26" s="286"/>
      <c r="AP26" s="303"/>
      <c r="AQ26" s="286"/>
      <c r="AR26" s="303"/>
      <c r="AS26" s="286"/>
      <c r="AT26" s="303"/>
      <c r="AU26" s="262"/>
      <c r="AY26" s="258"/>
      <c r="BA26" s="260"/>
      <c r="BB26" s="263"/>
      <c r="BC26" s="263"/>
      <c r="BD26" s="263"/>
      <c r="BE26" s="264"/>
      <c r="BF26" s="264"/>
      <c r="BG26" s="264"/>
      <c r="BH26" s="264"/>
      <c r="BI26" s="264"/>
      <c r="BJ26" s="264"/>
      <c r="BK26" s="264"/>
    </row>
    <row r="27" spans="1:73" s="108" customFormat="1" x14ac:dyDescent="0.25">
      <c r="A27" s="126">
        <v>1987</v>
      </c>
      <c r="B27">
        <f t="shared" si="8"/>
        <v>151</v>
      </c>
      <c r="C27" s="110">
        <v>31928</v>
      </c>
      <c r="E27">
        <f>VLOOKUP(C27,'Historic Daily flows'!$A$1:$B$37941,2)</f>
        <v>18.8</v>
      </c>
      <c r="F27"/>
      <c r="G27" s="126">
        <v>0</v>
      </c>
      <c r="H27" s="131"/>
      <c r="P27" s="132"/>
      <c r="Q27" s="131"/>
      <c r="Y27" s="168"/>
      <c r="AA27" s="168"/>
      <c r="AB27" s="130">
        <f>0.5*(B27-B26)*G26</f>
        <v>8773.6625514403295</v>
      </c>
      <c r="AC27" s="61"/>
      <c r="AE27" s="73"/>
      <c r="AF27" s="129"/>
      <c r="AG27" s="171">
        <f t="shared" si="7"/>
        <v>0</v>
      </c>
      <c r="AH27" s="108">
        <f t="shared" si="0"/>
        <v>0.55000000000000004</v>
      </c>
      <c r="AJ27" s="174">
        <f t="shared" si="1"/>
        <v>15952.113729891507</v>
      </c>
      <c r="AK27" s="248"/>
      <c r="AL27" s="174">
        <f t="shared" si="2"/>
        <v>0</v>
      </c>
      <c r="AN27" s="174">
        <f t="shared" si="3"/>
        <v>0</v>
      </c>
      <c r="AO27" s="286"/>
      <c r="AP27" s="303"/>
      <c r="AQ27" s="286"/>
      <c r="AR27" s="303"/>
      <c r="AS27" s="286"/>
      <c r="AT27" s="303"/>
      <c r="AU27" s="128"/>
      <c r="AY27" s="130"/>
      <c r="BA27" s="129"/>
      <c r="BB27" s="118"/>
      <c r="BC27" s="119"/>
      <c r="BD27" s="118"/>
      <c r="BE27" s="113"/>
      <c r="BF27" s="114"/>
      <c r="BG27" s="113"/>
      <c r="BH27" s="114"/>
      <c r="BI27" s="113"/>
      <c r="BJ27" s="114"/>
      <c r="BK27" s="113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</row>
    <row r="28" spans="1:73" s="174" customFormat="1" x14ac:dyDescent="0.25">
      <c r="A28" s="171">
        <v>1988</v>
      </c>
      <c r="B28" s="172">
        <f t="shared" si="8"/>
        <v>1</v>
      </c>
      <c r="C28" s="173">
        <v>32143</v>
      </c>
      <c r="E28" s="172">
        <f>VLOOKUP(C28,'Historic Daily flows'!$A$1:$B$37941,2)</f>
        <v>3.28</v>
      </c>
      <c r="F28" s="172"/>
      <c r="G28" s="171">
        <f>AA28</f>
        <v>0</v>
      </c>
      <c r="H28" s="175"/>
      <c r="P28" s="176"/>
      <c r="Q28" s="175"/>
      <c r="Y28" s="177"/>
      <c r="AA28" s="177"/>
      <c r="AB28" s="178"/>
      <c r="AC28" s="183"/>
      <c r="AE28" s="206"/>
      <c r="AF28" s="179"/>
      <c r="AG28" s="171">
        <f t="shared" si="7"/>
        <v>0</v>
      </c>
      <c r="AH28" s="108">
        <f t="shared" si="0"/>
        <v>0.55000000000000004</v>
      </c>
      <c r="AJ28" s="174">
        <f t="shared" si="1"/>
        <v>0</v>
      </c>
      <c r="AK28" s="248"/>
      <c r="AL28" s="174">
        <f t="shared" si="2"/>
        <v>0</v>
      </c>
      <c r="AN28" s="174">
        <f t="shared" si="3"/>
        <v>0</v>
      </c>
      <c r="AO28" s="286"/>
      <c r="AP28" s="303"/>
      <c r="AQ28" s="286"/>
      <c r="AR28" s="303"/>
      <c r="AS28" s="286"/>
      <c r="AT28" s="303"/>
      <c r="AU28" s="180"/>
      <c r="AY28" s="178"/>
      <c r="BA28" s="179"/>
      <c r="BC28" s="181"/>
      <c r="BE28" s="181"/>
      <c r="BG28" s="181"/>
      <c r="BI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</row>
    <row r="29" spans="1:73" s="174" customFormat="1" x14ac:dyDescent="0.25">
      <c r="A29" s="171">
        <v>1988</v>
      </c>
      <c r="B29" s="172">
        <f t="shared" si="8"/>
        <v>55</v>
      </c>
      <c r="C29" s="182">
        <v>32197</v>
      </c>
      <c r="E29" s="172">
        <f>VLOOKUP(C29,'Historic Daily flows'!$A$1:$B$37941,2)</f>
        <v>6.52</v>
      </c>
      <c r="F29" s="172">
        <v>0.23</v>
      </c>
      <c r="G29" s="171">
        <f>S29</f>
        <v>250.7042253521127</v>
      </c>
      <c r="H29" s="175">
        <v>178</v>
      </c>
      <c r="I29" s="174">
        <f>VLOOKUP(B29,$CJ$97:$CP$253, 6)</f>
        <v>0.79830000000000001</v>
      </c>
      <c r="J29" s="174">
        <f>H29/I29</f>
        <v>222.97381936615307</v>
      </c>
      <c r="P29" s="176"/>
      <c r="Q29" s="174">
        <v>178</v>
      </c>
      <c r="R29" s="174">
        <f>VLOOKUP(B29,CJ74:CV233, 12)</f>
        <v>0.71</v>
      </c>
      <c r="S29" s="174">
        <f>Q29/R29</f>
        <v>250.7042253521127</v>
      </c>
      <c r="Y29" s="177"/>
      <c r="Z29" s="174">
        <f>VLOOKUP(B29,$CG$101:$CI$257,2)</f>
        <v>0.49499999999999994</v>
      </c>
      <c r="AA29" s="177">
        <f>S29/Z29</f>
        <v>506.47318252952067</v>
      </c>
      <c r="AB29" s="178">
        <f>0.5*($B31-$B28)*$G29</f>
        <v>18928.169014084509</v>
      </c>
      <c r="AC29" s="183">
        <f>AF29/$AF$1</f>
        <v>1012.7437757860295</v>
      </c>
      <c r="AD29" s="174">
        <f>G30</f>
        <v>506.47318252952067</v>
      </c>
      <c r="AE29" s="206">
        <f>AC29/AD29</f>
        <v>1.9995999999999998</v>
      </c>
      <c r="AF29" s="179">
        <f>SUM(AB29:AB31)</f>
        <v>50637.188789301472</v>
      </c>
      <c r="AG29" s="171">
        <f t="shared" si="7"/>
        <v>455.8258642765685</v>
      </c>
      <c r="AH29" s="108">
        <f t="shared" si="0"/>
        <v>0.55000000000000004</v>
      </c>
      <c r="AJ29" s="174">
        <f t="shared" si="1"/>
        <v>34414.852752880921</v>
      </c>
      <c r="AK29" s="248">
        <f>AN29/$AF$1</f>
        <v>1841.3523196109627</v>
      </c>
      <c r="AL29" s="174">
        <f t="shared" si="2"/>
        <v>920.86033187185569</v>
      </c>
      <c r="AM29" s="174">
        <f>AK29/AL29</f>
        <v>1.9996</v>
      </c>
      <c r="AN29" s="174">
        <f t="shared" si="3"/>
        <v>92067.615980548129</v>
      </c>
      <c r="AO29" s="286"/>
      <c r="AP29" s="303"/>
      <c r="AQ29" s="286">
        <f>AL29*$AP$188</f>
        <v>0</v>
      </c>
      <c r="AR29" s="303"/>
      <c r="AS29" s="286"/>
      <c r="AT29" s="303">
        <f>AL29*$AS$177</f>
        <v>0</v>
      </c>
      <c r="AU29" s="180"/>
      <c r="AY29" s="178"/>
      <c r="BA29" s="179"/>
      <c r="BC29" s="181"/>
      <c r="BE29" s="181"/>
      <c r="BG29" s="181"/>
      <c r="BI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</row>
    <row r="30" spans="1:73" s="184" customFormat="1" x14ac:dyDescent="0.25">
      <c r="A30" s="265">
        <v>1988</v>
      </c>
      <c r="B30" s="186">
        <f>C30-DATE(YEAR(C30),1,1)+1</f>
        <v>112</v>
      </c>
      <c r="C30" s="266">
        <v>31524</v>
      </c>
      <c r="E30" s="186">
        <f>VLOOKUP(C30,'Historic Daily flows'!$A$1:$B$37941,2)</f>
        <v>7.04</v>
      </c>
      <c r="F30" s="186">
        <v>0.23</v>
      </c>
      <c r="G30" s="265">
        <f>AA29</f>
        <v>506.47318252952067</v>
      </c>
      <c r="H30" s="267"/>
      <c r="P30" s="268"/>
      <c r="Y30" s="269"/>
      <c r="AA30" s="269"/>
      <c r="AB30" s="178">
        <f>((B30-B29)*G30)-((B30-B29)*(G30-G29)*0.5)</f>
        <v>21579.55612462655</v>
      </c>
      <c r="AC30" s="271"/>
      <c r="AE30" s="278"/>
      <c r="AF30" s="272"/>
      <c r="AG30" s="171">
        <f t="shared" si="7"/>
        <v>920.86033187185569</v>
      </c>
      <c r="AH30" s="108">
        <f t="shared" si="0"/>
        <v>0.55000000000000004</v>
      </c>
      <c r="AJ30" s="174">
        <f t="shared" si="1"/>
        <v>39235.556590230088</v>
      </c>
      <c r="AK30" s="261"/>
      <c r="AL30" s="174">
        <f t="shared" si="2"/>
        <v>0</v>
      </c>
      <c r="AN30" s="174">
        <f t="shared" si="3"/>
        <v>0</v>
      </c>
      <c r="AO30" s="286"/>
      <c r="AP30" s="303"/>
      <c r="AQ30" s="286"/>
      <c r="AR30" s="303"/>
      <c r="AS30" s="286"/>
      <c r="AT30" s="303"/>
      <c r="AU30" s="273"/>
      <c r="AY30" s="270"/>
      <c r="BA30" s="272"/>
    </row>
    <row r="31" spans="1:73" s="174" customFormat="1" x14ac:dyDescent="0.25">
      <c r="A31" s="171">
        <v>1988</v>
      </c>
      <c r="B31" s="172">
        <f t="shared" si="8"/>
        <v>152</v>
      </c>
      <c r="C31" s="173">
        <v>32294</v>
      </c>
      <c r="E31" s="172">
        <f>VLOOKUP(C31,'Historic Daily flows'!$A$1:$B$37941,2)</f>
        <v>8.86</v>
      </c>
      <c r="F31" s="172"/>
      <c r="G31" s="171">
        <f>AA31</f>
        <v>0</v>
      </c>
      <c r="H31" s="175"/>
      <c r="P31" s="176"/>
      <c r="Q31" s="175"/>
      <c r="Y31" s="177"/>
      <c r="AA31" s="177"/>
      <c r="AB31" s="274">
        <f>0.5*(B31-B30)*G30</f>
        <v>10129.463650590413</v>
      </c>
      <c r="AC31" s="183"/>
      <c r="AE31" s="206"/>
      <c r="AF31" s="179"/>
      <c r="AG31" s="171">
        <f t="shared" si="7"/>
        <v>0</v>
      </c>
      <c r="AH31" s="108">
        <f t="shared" si="0"/>
        <v>0.55000000000000004</v>
      </c>
      <c r="AJ31" s="174">
        <f t="shared" si="1"/>
        <v>18417.206637437113</v>
      </c>
      <c r="AK31" s="248"/>
      <c r="AL31" s="174">
        <f t="shared" si="2"/>
        <v>0</v>
      </c>
      <c r="AN31" s="174">
        <f>AF31/AH31</f>
        <v>0</v>
      </c>
      <c r="AO31" s="286"/>
      <c r="AP31" s="303"/>
      <c r="AQ31" s="286"/>
      <c r="AR31" s="303"/>
      <c r="AS31" s="286"/>
      <c r="AT31" s="303"/>
      <c r="AU31" s="180"/>
      <c r="AY31" s="178"/>
      <c r="BA31" s="179"/>
      <c r="BC31" s="181"/>
      <c r="BE31" s="181"/>
      <c r="BG31" s="181"/>
      <c r="BI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</row>
    <row r="32" spans="1:73" s="108" customFormat="1" x14ac:dyDescent="0.25">
      <c r="A32" s="164">
        <v>1989</v>
      </c>
      <c r="B32">
        <f t="shared" si="8"/>
        <v>1</v>
      </c>
      <c r="C32" s="110">
        <v>32509</v>
      </c>
      <c r="E32">
        <f>VLOOKUP(C32,'Historic Daily flows'!$A$1:$B$37941,2)</f>
        <v>16</v>
      </c>
      <c r="F32"/>
      <c r="G32" s="126">
        <v>0</v>
      </c>
      <c r="H32" s="131"/>
      <c r="P32" s="132"/>
      <c r="Q32" s="131"/>
      <c r="Y32" s="168"/>
      <c r="AA32" s="168"/>
      <c r="AB32" s="130"/>
      <c r="AC32" s="61"/>
      <c r="AE32" s="73"/>
      <c r="AF32" s="129"/>
      <c r="AG32" s="171">
        <f t="shared" si="7"/>
        <v>0</v>
      </c>
      <c r="AH32" s="108">
        <f t="shared" si="0"/>
        <v>0.55000000000000004</v>
      </c>
      <c r="AJ32" s="174">
        <f t="shared" si="1"/>
        <v>0</v>
      </c>
      <c r="AK32" s="248"/>
      <c r="AL32" s="174">
        <f t="shared" si="2"/>
        <v>0</v>
      </c>
      <c r="AN32" s="174">
        <f t="shared" si="3"/>
        <v>0</v>
      </c>
      <c r="AO32" s="286"/>
      <c r="AP32" s="303"/>
      <c r="AQ32" s="286"/>
      <c r="AR32" s="303"/>
      <c r="AS32" s="286"/>
      <c r="AT32" s="303"/>
      <c r="AU32" s="128"/>
      <c r="AY32" s="130"/>
      <c r="BA32" s="129"/>
      <c r="BB32" s="118"/>
      <c r="BC32" s="119"/>
      <c r="BD32" s="118"/>
      <c r="BE32" s="113"/>
      <c r="BF32" s="114"/>
      <c r="BG32" s="113"/>
      <c r="BH32" s="114"/>
      <c r="BI32" s="113"/>
      <c r="BJ32" s="114"/>
      <c r="BK32" s="113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</row>
    <row r="33" spans="1:73" s="108" customFormat="1" x14ac:dyDescent="0.25">
      <c r="A33" s="164">
        <v>1989</v>
      </c>
      <c r="B33">
        <f t="shared" si="8"/>
        <v>40</v>
      </c>
      <c r="C33" s="110">
        <v>32548</v>
      </c>
      <c r="E33">
        <f>VLOOKUP(C33,'Historic Daily flows'!$A$1:$B$37941,2)</f>
        <v>5.95</v>
      </c>
      <c r="F33" s="125">
        <f>(F29+F38)/2</f>
        <v>0.36499999999999999</v>
      </c>
      <c r="G33" s="126">
        <f>V33</f>
        <v>80</v>
      </c>
      <c r="H33" s="131"/>
      <c r="K33" s="108">
        <v>40</v>
      </c>
      <c r="L33" s="108">
        <f>VLOOKUP(B33,$CJ$101:$CR$257, 4)</f>
        <v>0.69179999999999997</v>
      </c>
      <c r="M33" s="108">
        <f>K33/L33</f>
        <v>57.820179242555653</v>
      </c>
      <c r="P33" s="132"/>
      <c r="Q33" s="131"/>
      <c r="T33" s="108">
        <v>40</v>
      </c>
      <c r="U33" s="108">
        <f>VLOOKUP(B33,CJ100:CV256, 10)</f>
        <v>0.5</v>
      </c>
      <c r="V33" s="108">
        <f>T33/U33</f>
        <v>80</v>
      </c>
      <c r="Y33" s="168"/>
      <c r="Z33" s="108">
        <f>VLOOKUP(B33,$CG$101:$CI$257,2)</f>
        <v>0.36</v>
      </c>
      <c r="AA33" s="168">
        <f>V33/Z33</f>
        <v>222.22222222222223</v>
      </c>
      <c r="AB33" s="130">
        <f>0.5*(B33-B32)*G33</f>
        <v>1560</v>
      </c>
      <c r="AC33" s="61">
        <f>AF33/$AF$1</f>
        <v>153.02814814814815</v>
      </c>
      <c r="AD33" s="108">
        <f>G35</f>
        <v>81.481481481481495</v>
      </c>
      <c r="AE33" s="73">
        <f>AC33/AD33</f>
        <v>1.8780727272727269</v>
      </c>
      <c r="AF33" s="129">
        <f>SUM(AB33:AB36)</f>
        <v>7651.4074074074069</v>
      </c>
      <c r="AG33" s="171">
        <f t="shared" si="7"/>
        <v>145.45454545454544</v>
      </c>
      <c r="AH33" s="108">
        <f t="shared" si="0"/>
        <v>0.55000000000000004</v>
      </c>
      <c r="AJ33" s="174">
        <f t="shared" si="1"/>
        <v>2836.363636363636</v>
      </c>
      <c r="AK33" s="248">
        <f>AN33/$AN$1</f>
        <v>278.23299663299656</v>
      </c>
      <c r="AL33" s="174">
        <f t="shared" si="2"/>
        <v>148.14814814814815</v>
      </c>
      <c r="AM33" s="108">
        <f>AK33/AL33</f>
        <v>1.8780727272727267</v>
      </c>
      <c r="AN33" s="174">
        <f t="shared" si="3"/>
        <v>13911.649831649829</v>
      </c>
      <c r="AO33" s="286"/>
      <c r="AP33" s="303"/>
      <c r="AQ33" s="286">
        <f>AL33*$AP$188</f>
        <v>0</v>
      </c>
      <c r="AR33" s="303"/>
      <c r="AS33" s="286"/>
      <c r="AT33" s="303">
        <f>AL33*$AS$177</f>
        <v>0</v>
      </c>
      <c r="AU33" s="128"/>
      <c r="AY33" s="130"/>
      <c r="BA33" s="129"/>
      <c r="BB33" s="118"/>
      <c r="BC33" s="119"/>
      <c r="BD33" s="118"/>
      <c r="BE33" s="113"/>
      <c r="BF33" s="114"/>
      <c r="BG33" s="113"/>
      <c r="BH33" s="114"/>
      <c r="BI33" s="113"/>
      <c r="BJ33" s="114"/>
      <c r="BK33" s="113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</row>
    <row r="34" spans="1:73" s="108" customFormat="1" x14ac:dyDescent="0.25">
      <c r="A34" s="164">
        <v>1989</v>
      </c>
      <c r="B34">
        <f t="shared" si="8"/>
        <v>60</v>
      </c>
      <c r="C34" s="110">
        <v>32568</v>
      </c>
      <c r="E34">
        <f>VLOOKUP(C34,'Historic Daily flows'!$A$1:$B$37941,2)</f>
        <v>9.08</v>
      </c>
      <c r="F34" s="125">
        <v>0.36499999999999999</v>
      </c>
      <c r="G34" s="126">
        <f>V34</f>
        <v>44</v>
      </c>
      <c r="H34" s="131"/>
      <c r="K34" s="108">
        <v>22</v>
      </c>
      <c r="L34" s="108">
        <f>VLOOKUP(B34,$CJ$101:$CR$257, 4)</f>
        <v>0.61380000000000001</v>
      </c>
      <c r="M34" s="108">
        <f>K34/L34</f>
        <v>35.842293906810035</v>
      </c>
      <c r="P34" s="132"/>
      <c r="Q34" s="131"/>
      <c r="T34" s="108">
        <v>22</v>
      </c>
      <c r="U34" s="108">
        <f>VLOOKUP(B34,CJ101:CV257, 10)</f>
        <v>0.5</v>
      </c>
      <c r="V34" s="108">
        <f>T34/U34</f>
        <v>44</v>
      </c>
      <c r="Y34" s="168"/>
      <c r="Z34" s="108">
        <f>VLOOKUP(B34,$CG$101:$CI$257,2)</f>
        <v>0.53999999999999992</v>
      </c>
      <c r="AA34" s="168">
        <f>V34/Z34</f>
        <v>81.481481481481495</v>
      </c>
      <c r="AB34" s="130">
        <f>((B34-B33)*G34)-((B34-B33)*(G34-G33)*0.5)</f>
        <v>1240</v>
      </c>
      <c r="AC34" s="61"/>
      <c r="AE34" s="73"/>
      <c r="AF34" s="129"/>
      <c r="AG34" s="171">
        <f t="shared" si="7"/>
        <v>80</v>
      </c>
      <c r="AH34" s="108">
        <f t="shared" si="0"/>
        <v>0.55000000000000004</v>
      </c>
      <c r="AJ34" s="174">
        <f t="shared" si="1"/>
        <v>2254.5454545454545</v>
      </c>
      <c r="AK34" s="248"/>
      <c r="AL34" s="174">
        <f t="shared" si="2"/>
        <v>0</v>
      </c>
      <c r="AN34" s="174">
        <f t="shared" si="3"/>
        <v>0</v>
      </c>
      <c r="AO34" s="286"/>
      <c r="AP34" s="303"/>
      <c r="AQ34" s="286"/>
      <c r="AR34" s="303"/>
      <c r="AS34" s="286"/>
      <c r="AT34" s="303"/>
      <c r="AU34" s="128"/>
      <c r="AY34" s="130"/>
      <c r="BA34" s="129"/>
      <c r="BB34" s="118"/>
      <c r="BC34" s="119"/>
      <c r="BD34" s="118"/>
      <c r="BE34" s="113"/>
      <c r="BF34" s="114"/>
      <c r="BG34" s="113"/>
      <c r="BH34" s="114"/>
      <c r="BI34" s="113"/>
      <c r="BJ34" s="114"/>
      <c r="BK34" s="113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</row>
    <row r="35" spans="1:73" s="163" customFormat="1" x14ac:dyDescent="0.25">
      <c r="A35" s="253">
        <v>1989</v>
      </c>
      <c r="B35" s="125">
        <f>C35-DATE(YEAR(C35),1,1)+1</f>
        <v>112</v>
      </c>
      <c r="C35" s="254">
        <v>32620</v>
      </c>
      <c r="E35" s="125">
        <f>VLOOKUP(C35,'Historic Daily flows'!$A$1:$B$37941,2)</f>
        <v>15.9</v>
      </c>
      <c r="F35" s="125">
        <v>0.36499999999999999</v>
      </c>
      <c r="G35" s="253">
        <f>AA34</f>
        <v>81.481481481481495</v>
      </c>
      <c r="H35" s="255"/>
      <c r="P35" s="256"/>
      <c r="Q35" s="255"/>
      <c r="Y35" s="257"/>
      <c r="AA35" s="257"/>
      <c r="AB35" s="130">
        <f>((B35-B34)*G35)-((B35-B34)*(G35-G34)*0.5)</f>
        <v>3262.5185185185182</v>
      </c>
      <c r="AC35" s="259"/>
      <c r="AE35" s="277"/>
      <c r="AF35" s="260"/>
      <c r="AG35" s="171">
        <f t="shared" si="7"/>
        <v>148.14814814814815</v>
      </c>
      <c r="AH35" s="108">
        <f t="shared" si="0"/>
        <v>0.55000000000000004</v>
      </c>
      <c r="AJ35" s="174">
        <f t="shared" si="1"/>
        <v>5931.8518518518513</v>
      </c>
      <c r="AK35" s="261"/>
      <c r="AL35" s="174">
        <f t="shared" si="2"/>
        <v>0</v>
      </c>
      <c r="AN35" s="174">
        <f t="shared" si="3"/>
        <v>0</v>
      </c>
      <c r="AO35" s="286"/>
      <c r="AP35" s="303"/>
      <c r="AQ35" s="286"/>
      <c r="AR35" s="303"/>
      <c r="AS35" s="286"/>
      <c r="AT35" s="303"/>
      <c r="AU35" s="262"/>
      <c r="AY35" s="258"/>
      <c r="BA35" s="260"/>
      <c r="BB35" s="263"/>
      <c r="BC35" s="263"/>
      <c r="BD35" s="263"/>
      <c r="BE35" s="264"/>
      <c r="BF35" s="264"/>
      <c r="BG35" s="264"/>
      <c r="BH35" s="264"/>
      <c r="BI35" s="264"/>
      <c r="BJ35" s="264"/>
      <c r="BK35" s="264"/>
    </row>
    <row r="36" spans="1:73" s="108" customFormat="1" x14ac:dyDescent="0.25">
      <c r="A36" s="164">
        <v>1989</v>
      </c>
      <c r="B36">
        <f t="shared" si="8"/>
        <v>151</v>
      </c>
      <c r="C36" s="110">
        <v>32659</v>
      </c>
      <c r="E36">
        <f>VLOOKUP(C36,'Historic Daily flows'!$A$1:$B$37941,2)</f>
        <v>7.25</v>
      </c>
      <c r="F36"/>
      <c r="G36" s="126">
        <v>0</v>
      </c>
      <c r="H36" s="131"/>
      <c r="P36" s="132"/>
      <c r="Q36" s="131"/>
      <c r="Y36" s="168"/>
      <c r="AA36" s="168"/>
      <c r="AB36" s="130">
        <f>0.5*(B36-B35)*G35</f>
        <v>1588.8888888888891</v>
      </c>
      <c r="AC36" s="61"/>
      <c r="AE36" s="73"/>
      <c r="AF36" s="129"/>
      <c r="AG36" s="171">
        <f t="shared" si="7"/>
        <v>0</v>
      </c>
      <c r="AH36" s="108">
        <f t="shared" si="0"/>
        <v>0.55000000000000004</v>
      </c>
      <c r="AJ36" s="174">
        <f t="shared" si="1"/>
        <v>2888.8888888888891</v>
      </c>
      <c r="AK36" s="248"/>
      <c r="AL36" s="174">
        <f t="shared" si="2"/>
        <v>0</v>
      </c>
      <c r="AN36" s="174">
        <f>AF36/AH36</f>
        <v>0</v>
      </c>
      <c r="AO36" s="286"/>
      <c r="AP36" s="303"/>
      <c r="AQ36" s="286"/>
      <c r="AR36" s="303"/>
      <c r="AS36" s="286"/>
      <c r="AT36" s="303"/>
      <c r="AU36" s="128"/>
      <c r="AY36" s="130"/>
      <c r="BA36" s="129"/>
      <c r="BB36" s="118"/>
      <c r="BC36" s="119"/>
      <c r="BD36" s="118"/>
      <c r="BE36" s="113"/>
      <c r="BF36" s="114"/>
      <c r="BG36" s="113"/>
      <c r="BH36" s="114"/>
      <c r="BI36" s="113"/>
      <c r="BJ36" s="114"/>
      <c r="BK36" s="113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</row>
    <row r="37" spans="1:73" s="174" customFormat="1" x14ac:dyDescent="0.25">
      <c r="A37" s="187">
        <v>1990</v>
      </c>
      <c r="B37" s="172">
        <f t="shared" si="8"/>
        <v>1</v>
      </c>
      <c r="C37" s="173">
        <v>32874</v>
      </c>
      <c r="E37" s="172">
        <f>VLOOKUP(C37,'Historic Daily flows'!$A$1:$B$37941,2)</f>
        <v>7.21</v>
      </c>
      <c r="F37" s="172"/>
      <c r="G37" s="171">
        <f>AA37</f>
        <v>0</v>
      </c>
      <c r="H37" s="175"/>
      <c r="P37" s="176"/>
      <c r="Q37" s="175"/>
      <c r="Y37" s="177"/>
      <c r="AA37" s="177"/>
      <c r="AB37" s="178"/>
      <c r="AC37" s="183"/>
      <c r="AE37" s="206"/>
      <c r="AF37" s="179"/>
      <c r="AG37" s="171">
        <f t="shared" si="7"/>
        <v>0</v>
      </c>
      <c r="AH37" s="108">
        <f t="shared" si="0"/>
        <v>0.55000000000000004</v>
      </c>
      <c r="AJ37" s="174">
        <f t="shared" si="1"/>
        <v>0</v>
      </c>
      <c r="AK37" s="248"/>
      <c r="AL37" s="174">
        <f t="shared" si="2"/>
        <v>0</v>
      </c>
      <c r="AN37" s="174">
        <f t="shared" si="3"/>
        <v>0</v>
      </c>
      <c r="AO37" s="286"/>
      <c r="AP37" s="303"/>
      <c r="AQ37" s="286"/>
      <c r="AR37" s="303"/>
      <c r="AS37" s="286"/>
      <c r="AT37" s="303"/>
      <c r="AU37" s="180"/>
      <c r="AY37" s="178"/>
      <c r="BA37" s="179"/>
      <c r="BC37" s="181"/>
      <c r="BE37" s="181"/>
      <c r="BG37" s="181"/>
      <c r="BI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1"/>
    </row>
    <row r="38" spans="1:73" s="174" customFormat="1" x14ac:dyDescent="0.25">
      <c r="A38" s="187">
        <v>1990</v>
      </c>
      <c r="B38" s="172">
        <f t="shared" si="8"/>
        <v>50</v>
      </c>
      <c r="C38" s="182">
        <v>32923</v>
      </c>
      <c r="E38" s="172">
        <f>VLOOKUP(C38,'Historic Daily flows'!$A$1:$B$37941,2)</f>
        <v>6.9</v>
      </c>
      <c r="F38" s="172">
        <v>0.5</v>
      </c>
      <c r="G38" s="171">
        <f>V38</f>
        <v>88</v>
      </c>
      <c r="H38" s="175"/>
      <c r="K38" s="174">
        <v>44</v>
      </c>
      <c r="L38" s="174">
        <f>VLOOKUP(B38,$CJ$101:$CR$257, 4)</f>
        <v>0.65280000000000005</v>
      </c>
      <c r="M38" s="174">
        <f>K38/L38</f>
        <v>67.401960784313715</v>
      </c>
      <c r="P38" s="176"/>
      <c r="Q38" s="175"/>
      <c r="T38" s="174">
        <v>44</v>
      </c>
      <c r="U38" s="174">
        <f>VLOOKUP(B38,CJ104:CV260, 10)</f>
        <v>0.5</v>
      </c>
      <c r="V38" s="174">
        <f>T38/U38</f>
        <v>88</v>
      </c>
      <c r="Y38" s="177"/>
      <c r="Z38" s="174">
        <f>VLOOKUP(B38,$CG$86:$CI$242,2)</f>
        <v>0.44999999999999996</v>
      </c>
      <c r="AA38" s="314">
        <f>V38/Z38</f>
        <v>195.55555555555557</v>
      </c>
      <c r="AB38" s="178">
        <f>0.5*(B38-B37)*G38</f>
        <v>2156</v>
      </c>
      <c r="AC38" s="183">
        <f>AF38/$AF$1</f>
        <v>295.19111111111113</v>
      </c>
      <c r="AD38" s="174">
        <f>G39</f>
        <v>195.55555555555557</v>
      </c>
      <c r="AE38" s="206">
        <f>AC38/AD38</f>
        <v>1.5095000000000001</v>
      </c>
      <c r="AF38" s="179">
        <f>SUM(AB37:AB40)</f>
        <v>14759.555555555557</v>
      </c>
      <c r="AG38" s="171">
        <f t="shared" si="7"/>
        <v>160</v>
      </c>
      <c r="AH38" s="108">
        <f t="shared" si="0"/>
        <v>0.55000000000000004</v>
      </c>
      <c r="AJ38" s="174">
        <f>AB38/AH38</f>
        <v>3919.9999999999995</v>
      </c>
      <c r="AK38" s="248">
        <f>AN38/$AF$1</f>
        <v>536.71111111111111</v>
      </c>
      <c r="AL38" s="174">
        <f t="shared" si="2"/>
        <v>355.55555555555554</v>
      </c>
      <c r="AM38" s="174">
        <f>AK38/AL38</f>
        <v>1.5095000000000001</v>
      </c>
      <c r="AN38" s="174">
        <f t="shared" si="3"/>
        <v>26835.555555555555</v>
      </c>
      <c r="AO38" s="286"/>
      <c r="AP38" s="303"/>
      <c r="AQ38" s="286">
        <f>AL38*$AP$188</f>
        <v>0</v>
      </c>
      <c r="AR38" s="303"/>
      <c r="AS38" s="286"/>
      <c r="AT38" s="303">
        <f>AL38*$AS$177</f>
        <v>0</v>
      </c>
      <c r="AU38" s="180"/>
      <c r="AY38" s="178"/>
      <c r="BA38" s="179"/>
      <c r="BC38" s="181"/>
      <c r="BE38" s="181"/>
      <c r="BG38" s="181"/>
      <c r="BI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1"/>
    </row>
    <row r="39" spans="1:73" s="184" customFormat="1" x14ac:dyDescent="0.25">
      <c r="A39" s="265">
        <v>1990</v>
      </c>
      <c r="B39" s="186">
        <f t="shared" si="8"/>
        <v>112</v>
      </c>
      <c r="C39" s="266">
        <v>32985</v>
      </c>
      <c r="E39" s="186">
        <f>VLOOKUP(C39,'Historic Daily flows'!$A$1:$B$37941,2)</f>
        <v>10.5</v>
      </c>
      <c r="F39" s="186">
        <v>0.5</v>
      </c>
      <c r="G39" s="265">
        <f>AA38</f>
        <v>195.55555555555557</v>
      </c>
      <c r="H39" s="267"/>
      <c r="P39" s="268"/>
      <c r="Q39" s="267"/>
      <c r="Y39" s="269"/>
      <c r="AA39" s="269"/>
      <c r="AB39" s="178">
        <f>((B39-B38)*G39)-((B39-B38)*(G39-G38)*0.5)</f>
        <v>8790.2222222222226</v>
      </c>
      <c r="AC39" s="271"/>
      <c r="AE39" s="278"/>
      <c r="AF39" s="272"/>
      <c r="AG39" s="171">
        <f t="shared" si="7"/>
        <v>355.55555555555554</v>
      </c>
      <c r="AH39" s="108">
        <f t="shared" si="0"/>
        <v>0.55000000000000004</v>
      </c>
      <c r="AJ39" s="174">
        <f>AB39/AH39</f>
        <v>15982.222222222221</v>
      </c>
      <c r="AK39" s="261"/>
      <c r="AL39" s="174">
        <f t="shared" si="2"/>
        <v>0</v>
      </c>
      <c r="AN39" s="174">
        <f t="shared" si="3"/>
        <v>0</v>
      </c>
      <c r="AO39" s="286"/>
      <c r="AP39" s="303"/>
      <c r="AQ39" s="286"/>
      <c r="AR39" s="303"/>
      <c r="AS39" s="286"/>
      <c r="AT39" s="303"/>
      <c r="AU39" s="273"/>
      <c r="AY39" s="270"/>
      <c r="BA39" s="272"/>
    </row>
    <row r="40" spans="1:73" s="174" customFormat="1" x14ac:dyDescent="0.25">
      <c r="A40" s="187">
        <v>1990</v>
      </c>
      <c r="B40" s="172">
        <f t="shared" si="8"/>
        <v>151</v>
      </c>
      <c r="C40" s="173">
        <v>33024</v>
      </c>
      <c r="E40" s="172">
        <f>VLOOKUP(C40,'Historic Daily flows'!$A$1:$B$37941,2)</f>
        <v>4.6500000000000004</v>
      </c>
      <c r="F40" s="172"/>
      <c r="G40" s="171">
        <f>AA40</f>
        <v>0</v>
      </c>
      <c r="H40" s="175"/>
      <c r="P40" s="176"/>
      <c r="Q40" s="175"/>
      <c r="Y40" s="177"/>
      <c r="AA40" s="177"/>
      <c r="AB40" s="274">
        <f>0.5*(B40-B39)*G39</f>
        <v>3813.3333333333335</v>
      </c>
      <c r="AC40" s="183"/>
      <c r="AE40" s="206"/>
      <c r="AF40" s="179"/>
      <c r="AG40" s="171">
        <f t="shared" si="7"/>
        <v>0</v>
      </c>
      <c r="AH40" s="108">
        <f t="shared" si="0"/>
        <v>0.55000000000000004</v>
      </c>
      <c r="AJ40" s="174">
        <f t="shared" si="1"/>
        <v>6933.333333333333</v>
      </c>
      <c r="AK40" s="248"/>
      <c r="AL40" s="174">
        <f t="shared" si="2"/>
        <v>0</v>
      </c>
      <c r="AN40" s="174">
        <f t="shared" si="3"/>
        <v>0</v>
      </c>
      <c r="AO40" s="286"/>
      <c r="AP40" s="303"/>
      <c r="AQ40" s="286"/>
      <c r="AR40" s="303"/>
      <c r="AS40" s="286"/>
      <c r="AT40" s="303"/>
      <c r="AU40" s="180"/>
      <c r="AY40" s="178"/>
      <c r="BA40" s="179"/>
      <c r="BC40" s="181"/>
      <c r="BE40" s="181"/>
      <c r="BG40" s="181"/>
      <c r="BI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</row>
    <row r="41" spans="1:73" s="108" customFormat="1" x14ac:dyDescent="0.25">
      <c r="A41" s="126">
        <v>1991</v>
      </c>
      <c r="B41">
        <f>C41-DATE(YEAR(C41),1,1)+1</f>
        <v>1</v>
      </c>
      <c r="C41" s="110">
        <v>33239</v>
      </c>
      <c r="E41">
        <f>VLOOKUP(C41,'Historic Daily flows'!$A$1:$B$37941,2)</f>
        <v>11.8</v>
      </c>
      <c r="F41"/>
      <c r="G41" s="126">
        <v>0</v>
      </c>
      <c r="H41" s="131"/>
      <c r="P41" s="132"/>
      <c r="Q41" s="131"/>
      <c r="Y41" s="168"/>
      <c r="AA41" s="168"/>
      <c r="AB41" s="130">
        <f>0.5*(B41-B40)*G41</f>
        <v>0</v>
      </c>
      <c r="AC41" s="61">
        <f>AF41/$AF$1</f>
        <v>131.21449487045732</v>
      </c>
      <c r="AD41" s="108">
        <f>G44</f>
        <v>81.14530806236597</v>
      </c>
      <c r="AE41" s="73">
        <f>AC41/AD41</f>
        <v>1.6170312</v>
      </c>
      <c r="AF41" s="129">
        <f>SUM(AB41:AB45)</f>
        <v>6560.7247435228655</v>
      </c>
      <c r="AG41" s="171">
        <f t="shared" si="7"/>
        <v>0</v>
      </c>
      <c r="AH41" s="108">
        <f t="shared" si="0"/>
        <v>0.55000000000000004</v>
      </c>
      <c r="AJ41" s="174">
        <f t="shared" si="1"/>
        <v>0</v>
      </c>
      <c r="AK41" s="247"/>
      <c r="AL41" s="174">
        <f>AD41/AH41</f>
        <v>147.53692374975628</v>
      </c>
      <c r="AM41" s="108">
        <f>AK42/AL41</f>
        <v>1.6170312</v>
      </c>
      <c r="AN41" s="174">
        <f t="shared" si="3"/>
        <v>11928.590442768846</v>
      </c>
      <c r="AO41" s="286"/>
      <c r="AP41" s="303"/>
      <c r="AQ41" s="286">
        <f>AL41*$AP$188</f>
        <v>0</v>
      </c>
      <c r="AR41" s="303"/>
      <c r="AS41" s="286"/>
      <c r="AT41" s="303">
        <f>AL41*$AS$177</f>
        <v>0</v>
      </c>
      <c r="AU41" s="128"/>
      <c r="AY41" s="130"/>
      <c r="BA41" s="129"/>
      <c r="BB41" s="118"/>
      <c r="BC41" s="119"/>
      <c r="BD41" s="118"/>
      <c r="BE41" s="113"/>
      <c r="BF41" s="114"/>
      <c r="BG41" s="113"/>
      <c r="BH41" s="114"/>
      <c r="BI41" s="113"/>
      <c r="BJ41" s="114"/>
      <c r="BK41" s="113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</row>
    <row r="42" spans="1:73" s="108" customFormat="1" x14ac:dyDescent="0.25">
      <c r="A42" s="126">
        <v>1991</v>
      </c>
      <c r="B42">
        <f>C42-DATE(YEAR(C42),1,1)+1</f>
        <v>29</v>
      </c>
      <c r="C42" s="110">
        <v>33267</v>
      </c>
      <c r="E42">
        <f>VLOOKUP(C42,'Historic Daily flows'!$A$1:$B$37941,2)</f>
        <v>6</v>
      </c>
      <c r="F42">
        <v>0.5</v>
      </c>
      <c r="G42" s="126">
        <f>V42</f>
        <v>34</v>
      </c>
      <c r="H42" s="131"/>
      <c r="K42" s="108">
        <v>17</v>
      </c>
      <c r="L42" s="108">
        <f>VLOOKUP(B42,$CJ$101:$CR$257, 4)</f>
        <v>0.73470000000000002</v>
      </c>
      <c r="M42" s="108">
        <f>K42/L42</f>
        <v>23.138696066421669</v>
      </c>
      <c r="P42" s="132"/>
      <c r="Q42" s="131"/>
      <c r="T42" s="108">
        <v>17</v>
      </c>
      <c r="U42" s="108">
        <f>VLOOKUP(B42,CJ107:CV263, 10)</f>
        <v>0.5</v>
      </c>
      <c r="V42" s="108">
        <f>T42/U42</f>
        <v>34</v>
      </c>
      <c r="Y42" s="168"/>
      <c r="Z42" s="108">
        <f>VLOOKUP(B42,$CG$86:$CI$242,2)</f>
        <v>0.26099999999999995</v>
      </c>
      <c r="AA42" s="168">
        <f>V42/Z42</f>
        <v>130.2681992337165</v>
      </c>
      <c r="AB42" s="130">
        <f>0.5*(B42-B41)*G42</f>
        <v>476</v>
      </c>
      <c r="AC42" s="61"/>
      <c r="AE42" s="73"/>
      <c r="AF42" s="129"/>
      <c r="AG42" s="171">
        <f t="shared" si="7"/>
        <v>61.818181818181813</v>
      </c>
      <c r="AH42" s="108">
        <f t="shared" si="0"/>
        <v>0.55000000000000004</v>
      </c>
      <c r="AJ42" s="174">
        <f t="shared" si="1"/>
        <v>865.45454545454538</v>
      </c>
      <c r="AK42" s="248">
        <f>AN41/$AN$1</f>
        <v>238.5718088553769</v>
      </c>
      <c r="AL42" s="174">
        <f>AD42/AH42</f>
        <v>0</v>
      </c>
      <c r="AN42" s="174">
        <f t="shared" si="3"/>
        <v>0</v>
      </c>
      <c r="AO42" s="286"/>
      <c r="AP42" s="303"/>
      <c r="AQ42" s="286"/>
      <c r="AR42" s="303"/>
      <c r="AS42" s="286"/>
      <c r="AT42" s="303"/>
      <c r="AU42" s="128"/>
      <c r="AY42" s="130"/>
      <c r="BA42" s="129"/>
      <c r="BB42" s="118"/>
      <c r="BC42" s="119"/>
      <c r="BD42" s="118"/>
      <c r="BE42" s="113"/>
      <c r="BF42" s="114"/>
      <c r="BG42" s="113"/>
      <c r="BH42" s="114"/>
      <c r="BI42" s="113"/>
      <c r="BJ42" s="114"/>
      <c r="BK42" s="113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</row>
    <row r="43" spans="1:73" s="108" customFormat="1" x14ac:dyDescent="0.25">
      <c r="A43" s="126">
        <v>1991</v>
      </c>
      <c r="B43">
        <f>C43-DATE(YEAR(C43),1,1)+1</f>
        <v>85</v>
      </c>
      <c r="C43" s="127">
        <v>33323</v>
      </c>
      <c r="E43">
        <f>VLOOKUP(C43,'Historic Daily flows'!$A$1:$B$37941,2)</f>
        <v>5.69</v>
      </c>
      <c r="F43">
        <v>0.5</v>
      </c>
      <c r="G43" s="126">
        <f>S43</f>
        <v>59.154929577464792</v>
      </c>
      <c r="H43" s="131">
        <v>42</v>
      </c>
      <c r="I43" s="108">
        <f>VLOOKUP(B43,$CJ$97:$CP$253, 6)</f>
        <v>0.77490000000000003</v>
      </c>
      <c r="J43" s="108">
        <f>H43/I43</f>
        <v>54.200542005420054</v>
      </c>
      <c r="P43" s="132"/>
      <c r="Q43" s="131">
        <v>42</v>
      </c>
      <c r="R43" s="108">
        <f>VLOOKUP(B43,CJ78:CV236, 12)</f>
        <v>0.71</v>
      </c>
      <c r="S43" s="108">
        <f>Q43/R43</f>
        <v>59.154929577464792</v>
      </c>
      <c r="Y43" s="168"/>
      <c r="Z43" s="108">
        <f>VLOOKUP(B43,$CG$86:$CI$242,2)</f>
        <v>0.72899999999999998</v>
      </c>
      <c r="AA43" s="168">
        <f>S43/Z43</f>
        <v>81.14530806236597</v>
      </c>
      <c r="AB43" s="130">
        <f>((B43-B42)*G43)-((B43-B42)*(G43-G42)*0.5)</f>
        <v>2608.3380281690143</v>
      </c>
      <c r="AC43" s="61"/>
      <c r="AE43" s="73"/>
      <c r="AF43" s="129"/>
      <c r="AG43" s="171">
        <f t="shared" si="7"/>
        <v>107.55441741357234</v>
      </c>
      <c r="AH43" s="108">
        <f t="shared" si="0"/>
        <v>0.55000000000000004</v>
      </c>
      <c r="AJ43" s="174">
        <f t="shared" si="1"/>
        <v>4742.4327784891166</v>
      </c>
      <c r="AK43" s="248"/>
      <c r="AL43" s="174">
        <f t="shared" si="2"/>
        <v>0</v>
      </c>
      <c r="AN43" s="174">
        <f>AF43/AH43</f>
        <v>0</v>
      </c>
      <c r="AO43" s="286"/>
      <c r="AP43" s="303"/>
      <c r="AQ43" s="286"/>
      <c r="AR43" s="303"/>
      <c r="AS43" s="286"/>
      <c r="AT43" s="303"/>
      <c r="AU43" s="128"/>
      <c r="AY43" s="130"/>
      <c r="BA43" s="129"/>
      <c r="BB43" s="118"/>
      <c r="BC43" s="119"/>
      <c r="BD43" s="118"/>
      <c r="BE43" s="113"/>
      <c r="BF43" s="114"/>
      <c r="BG43" s="113"/>
      <c r="BH43" s="114"/>
      <c r="BI43" s="113"/>
      <c r="BJ43" s="114"/>
      <c r="BK43" s="113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</row>
    <row r="44" spans="1:73" s="163" customFormat="1" x14ac:dyDescent="0.25">
      <c r="A44" s="253">
        <v>1991</v>
      </c>
      <c r="B44" s="125">
        <f>C44-DATE(YEAR(C44),1,1)+1</f>
        <v>112</v>
      </c>
      <c r="C44" s="254">
        <v>33350</v>
      </c>
      <c r="E44" s="125">
        <f>VLOOKUP(C44,'Historic Daily flows'!$A$1:$B$37941,2)</f>
        <v>9.9600000000000009</v>
      </c>
      <c r="F44" s="125">
        <v>0.5</v>
      </c>
      <c r="G44" s="253">
        <f>AA43</f>
        <v>81.14530806236597</v>
      </c>
      <c r="H44" s="255"/>
      <c r="P44" s="256"/>
      <c r="Q44" s="255"/>
      <c r="Y44" s="257"/>
      <c r="AA44" s="257"/>
      <c r="AB44" s="275">
        <f>((B44-B43)*G44)-((B44-B43)*(G44-G43)*0.5)</f>
        <v>1894.0532081377153</v>
      </c>
      <c r="AC44" s="259"/>
      <c r="AE44" s="277"/>
      <c r="AF44" s="260"/>
      <c r="AG44" s="171">
        <f t="shared" si="7"/>
        <v>147.53692374975628</v>
      </c>
      <c r="AH44" s="108">
        <f t="shared" si="0"/>
        <v>0.55000000000000004</v>
      </c>
      <c r="AJ44" s="174">
        <f t="shared" si="1"/>
        <v>3443.7331057049364</v>
      </c>
      <c r="AK44" s="261"/>
      <c r="AL44" s="174">
        <f t="shared" si="2"/>
        <v>0</v>
      </c>
      <c r="AN44" s="174">
        <f t="shared" si="3"/>
        <v>0</v>
      </c>
      <c r="AO44" s="286"/>
      <c r="AP44" s="303"/>
      <c r="AQ44" s="286"/>
      <c r="AR44" s="303"/>
      <c r="AS44" s="286"/>
      <c r="AT44" s="303"/>
      <c r="AU44" s="262"/>
      <c r="AY44" s="258"/>
      <c r="BA44" s="260"/>
      <c r="BB44" s="263"/>
      <c r="BC44" s="263"/>
      <c r="BD44" s="263"/>
      <c r="BE44" s="264"/>
      <c r="BF44" s="264"/>
      <c r="BG44" s="264"/>
      <c r="BH44" s="264"/>
      <c r="BI44" s="264"/>
      <c r="BJ44" s="264"/>
      <c r="BK44" s="264"/>
    </row>
    <row r="45" spans="1:73" s="108" customFormat="1" x14ac:dyDescent="0.25">
      <c r="A45" s="126">
        <v>1991</v>
      </c>
      <c r="B45">
        <f>C45-DATE(YEAR(C45),1,1)+1</f>
        <v>151</v>
      </c>
      <c r="C45" s="110">
        <v>33389</v>
      </c>
      <c r="E45">
        <f>VLOOKUP(C45,'Historic Daily flows'!$A$1:$B$37941,2)</f>
        <v>2.76</v>
      </c>
      <c r="F45"/>
      <c r="G45" s="126">
        <v>0</v>
      </c>
      <c r="H45" s="131"/>
      <c r="P45" s="132"/>
      <c r="Q45" s="131"/>
      <c r="Y45" s="168"/>
      <c r="AA45" s="168"/>
      <c r="AB45" s="130">
        <f>0.5*(B45-B44)*G44</f>
        <v>1582.3335072161365</v>
      </c>
      <c r="AC45" s="61"/>
      <c r="AE45" s="73"/>
      <c r="AF45" s="129"/>
      <c r="AG45" s="171">
        <f t="shared" si="7"/>
        <v>0</v>
      </c>
      <c r="AH45" s="108">
        <f t="shared" si="0"/>
        <v>0.55000000000000004</v>
      </c>
      <c r="AJ45" s="174">
        <f t="shared" si="1"/>
        <v>2876.970013120248</v>
      </c>
      <c r="AK45" s="248"/>
      <c r="AL45" s="174">
        <f t="shared" si="2"/>
        <v>0</v>
      </c>
      <c r="AN45" s="174">
        <f t="shared" si="3"/>
        <v>0</v>
      </c>
      <c r="AO45" s="286"/>
      <c r="AP45" s="303"/>
      <c r="AQ45" s="286"/>
      <c r="AR45" s="303"/>
      <c r="AS45" s="286"/>
      <c r="AT45" s="303"/>
      <c r="AU45" s="128"/>
      <c r="AY45" s="130"/>
      <c r="BA45" s="129"/>
      <c r="BB45" s="118"/>
      <c r="BC45" s="119"/>
      <c r="BD45" s="118"/>
      <c r="BE45" s="113"/>
      <c r="BF45" s="114"/>
      <c r="BG45" s="113"/>
      <c r="BH45" s="114"/>
      <c r="BI45" s="113"/>
      <c r="BJ45" s="114"/>
      <c r="BK45" s="113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</row>
    <row r="46" spans="1:73" s="174" customFormat="1" x14ac:dyDescent="0.25">
      <c r="A46" s="171">
        <v>1992</v>
      </c>
      <c r="B46" s="172">
        <f t="shared" ref="B46:B51" si="9">C46-DATE(YEAR(C46),1,1)+1</f>
        <v>1</v>
      </c>
      <c r="C46" s="173">
        <v>33604</v>
      </c>
      <c r="E46" s="172">
        <f>VLOOKUP(C46,'Historic Daily flows'!$A$1:$B$37941,2)</f>
        <v>47.6</v>
      </c>
      <c r="F46" s="172"/>
      <c r="G46" s="171">
        <f>AA46</f>
        <v>0</v>
      </c>
      <c r="H46" s="175"/>
      <c r="P46" s="176"/>
      <c r="Q46" s="175"/>
      <c r="Y46" s="177"/>
      <c r="AA46" s="177"/>
      <c r="AB46" s="178"/>
      <c r="AC46" s="183"/>
      <c r="AE46" s="206"/>
      <c r="AF46" s="179"/>
      <c r="AG46" s="171">
        <f t="shared" si="7"/>
        <v>0</v>
      </c>
      <c r="AH46" s="108">
        <f t="shared" si="0"/>
        <v>0.55000000000000004</v>
      </c>
      <c r="AJ46" s="174">
        <f t="shared" si="1"/>
        <v>0</v>
      </c>
      <c r="AK46" s="248"/>
      <c r="AL46" s="174">
        <f t="shared" si="2"/>
        <v>0</v>
      </c>
      <c r="AN46" s="174">
        <f t="shared" si="3"/>
        <v>0</v>
      </c>
      <c r="AO46" s="286"/>
      <c r="AP46" s="303"/>
      <c r="AQ46" s="286"/>
      <c r="AR46" s="303"/>
      <c r="AS46" s="286"/>
      <c r="AT46" s="303"/>
      <c r="AU46" s="180"/>
      <c r="AY46" s="178"/>
      <c r="BA46" s="179"/>
      <c r="BC46" s="181"/>
      <c r="BE46" s="181"/>
      <c r="BG46" s="181"/>
      <c r="BI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</row>
    <row r="47" spans="1:73" s="174" customFormat="1" x14ac:dyDescent="0.25">
      <c r="A47" s="171">
        <v>1992</v>
      </c>
      <c r="B47" s="172">
        <f t="shared" si="9"/>
        <v>71</v>
      </c>
      <c r="C47" s="173">
        <v>33674</v>
      </c>
      <c r="E47" s="172">
        <f>VLOOKUP(C47,'Historic Daily flows'!$A$1:$B$37941,2)</f>
        <v>7.81</v>
      </c>
      <c r="F47" s="172">
        <v>0.48</v>
      </c>
      <c r="G47" s="171">
        <f>S47</f>
        <v>116.90140845070422</v>
      </c>
      <c r="H47" s="175">
        <v>83</v>
      </c>
      <c r="I47" s="174">
        <f>VLOOKUP(B47,$CJ$97:$CP$253, 6)</f>
        <v>0.78389999999999993</v>
      </c>
      <c r="J47" s="174">
        <f>H47/I47</f>
        <v>105.88085214950887</v>
      </c>
      <c r="P47" s="176"/>
      <c r="Q47" s="175">
        <v>83</v>
      </c>
      <c r="R47" s="174">
        <f>VLOOKUP(B47,CJ83:CV239, 12)</f>
        <v>0.71</v>
      </c>
      <c r="S47" s="174">
        <f>Q47/R47</f>
        <v>116.90140845070422</v>
      </c>
      <c r="Y47" s="177"/>
      <c r="Z47" s="174">
        <f>VLOOKUP(B47,$CG$86:$CI$242,2)</f>
        <v>0.6389999999999999</v>
      </c>
      <c r="AA47" s="177">
        <f>S47/Z47</f>
        <v>182.94430117481102</v>
      </c>
      <c r="AB47" s="178">
        <f>0.5*($B49-$B46)*$G47</f>
        <v>8826.0563380281692</v>
      </c>
      <c r="AC47" s="183">
        <f>AF47/$AF$1</f>
        <v>373.80460226145607</v>
      </c>
      <c r="AD47" s="174">
        <f>G48</f>
        <v>182.94430117481102</v>
      </c>
      <c r="AE47" s="206">
        <f>AC47/AD47</f>
        <v>2.0432699999999997</v>
      </c>
      <c r="AF47" s="179">
        <f>SUM(AB47:AB49)</f>
        <v>18690.230113072805</v>
      </c>
      <c r="AG47" s="171">
        <f t="shared" si="7"/>
        <v>212.54801536491675</v>
      </c>
      <c r="AH47" s="108">
        <f t="shared" si="0"/>
        <v>0.55000000000000004</v>
      </c>
      <c r="AJ47" s="174">
        <f t="shared" si="1"/>
        <v>16047.375160051215</v>
      </c>
      <c r="AK47" s="248">
        <f>AN47/$AF$1</f>
        <v>679.64473138446556</v>
      </c>
      <c r="AL47" s="174">
        <f t="shared" si="2"/>
        <v>332.62600213602002</v>
      </c>
      <c r="AM47" s="174">
        <f>AK47/AL47</f>
        <v>2.0432699999999997</v>
      </c>
      <c r="AN47" s="174">
        <f t="shared" si="3"/>
        <v>33982.236569223278</v>
      </c>
      <c r="AO47" s="286"/>
      <c r="AP47" s="303"/>
      <c r="AQ47" s="286">
        <f>AL47*$AP$188</f>
        <v>0</v>
      </c>
      <c r="AR47" s="303"/>
      <c r="AS47" s="286"/>
      <c r="AT47" s="303">
        <f>AL47*$AS$177</f>
        <v>0</v>
      </c>
      <c r="AU47" s="180"/>
      <c r="AY47" s="178"/>
      <c r="BA47" s="179"/>
      <c r="BC47" s="181"/>
      <c r="BE47" s="181"/>
      <c r="BG47" s="181"/>
      <c r="BI47" s="181"/>
      <c r="BK47" s="181"/>
      <c r="BL47" s="181"/>
      <c r="BM47" s="181"/>
      <c r="BN47" s="181"/>
      <c r="BO47" s="181"/>
      <c r="BP47" s="181"/>
      <c r="BQ47" s="181"/>
      <c r="BR47" s="181"/>
      <c r="BS47" s="181"/>
      <c r="BT47" s="181"/>
      <c r="BU47" s="181"/>
    </row>
    <row r="48" spans="1:73" s="184" customFormat="1" x14ac:dyDescent="0.25">
      <c r="A48" s="265">
        <v>1992</v>
      </c>
      <c r="B48" s="186">
        <f>C48-DATE(YEAR(C48),1,1)+1</f>
        <v>113</v>
      </c>
      <c r="C48" s="266">
        <v>33716</v>
      </c>
      <c r="E48" s="186">
        <f>VLOOKUP(C48,'Historic Daily flows'!$A$1:$B$37941,2)</f>
        <v>5.65</v>
      </c>
      <c r="F48" s="186">
        <v>0.48</v>
      </c>
      <c r="G48" s="265">
        <f>AA47</f>
        <v>182.94430117481102</v>
      </c>
      <c r="H48" s="267"/>
      <c r="P48" s="268"/>
      <c r="Q48" s="267"/>
      <c r="Y48" s="269"/>
      <c r="AA48" s="269"/>
      <c r="AB48" s="178">
        <f>((B48-B47)*G48)-((B48-B47)*(G48-G47)*0.5)</f>
        <v>6296.7599021358201</v>
      </c>
      <c r="AC48" s="271"/>
      <c r="AE48" s="278"/>
      <c r="AF48" s="272"/>
      <c r="AG48" s="171">
        <f t="shared" si="7"/>
        <v>332.62600213602002</v>
      </c>
      <c r="AH48" s="108">
        <f t="shared" si="0"/>
        <v>0.55000000000000004</v>
      </c>
      <c r="AJ48" s="174">
        <f t="shared" si="1"/>
        <v>11448.654367519672</v>
      </c>
      <c r="AK48" s="261"/>
      <c r="AL48" s="174">
        <f t="shared" si="2"/>
        <v>0</v>
      </c>
      <c r="AN48" s="174">
        <f t="shared" si="3"/>
        <v>0</v>
      </c>
      <c r="AO48" s="286"/>
      <c r="AP48" s="303"/>
      <c r="AQ48" s="286"/>
      <c r="AR48" s="303"/>
      <c r="AS48" s="286"/>
      <c r="AT48" s="303"/>
      <c r="AU48" s="273"/>
      <c r="AY48" s="270"/>
      <c r="BA48" s="272"/>
    </row>
    <row r="49" spans="1:73" s="174" customFormat="1" x14ac:dyDescent="0.25">
      <c r="A49" s="171">
        <v>1992</v>
      </c>
      <c r="B49" s="172">
        <f t="shared" si="9"/>
        <v>152</v>
      </c>
      <c r="C49" s="173">
        <v>33755</v>
      </c>
      <c r="E49" s="172">
        <f>VLOOKUP(C49,'Historic Daily flows'!$A$1:$B$37941,2)</f>
        <v>1.83</v>
      </c>
      <c r="F49" s="172"/>
      <c r="G49" s="171">
        <f>AA49</f>
        <v>0</v>
      </c>
      <c r="H49" s="175"/>
      <c r="P49" s="176"/>
      <c r="Q49" s="175"/>
      <c r="Y49" s="177"/>
      <c r="AA49" s="177"/>
      <c r="AB49" s="274">
        <f>0.5*(B49-B48)*G48</f>
        <v>3567.4138729088149</v>
      </c>
      <c r="AC49" s="183"/>
      <c r="AE49" s="206"/>
      <c r="AF49" s="179"/>
      <c r="AG49" s="171">
        <f t="shared" si="7"/>
        <v>0</v>
      </c>
      <c r="AH49" s="108">
        <f t="shared" si="0"/>
        <v>0.55000000000000004</v>
      </c>
      <c r="AJ49" s="174">
        <f t="shared" si="1"/>
        <v>6486.2070416523902</v>
      </c>
      <c r="AK49" s="248"/>
      <c r="AL49" s="174">
        <f t="shared" si="2"/>
        <v>0</v>
      </c>
      <c r="AN49" s="174">
        <f>AF49/AH49</f>
        <v>0</v>
      </c>
      <c r="AO49" s="286"/>
      <c r="AP49" s="303"/>
      <c r="AQ49" s="286"/>
      <c r="AR49" s="303"/>
      <c r="AS49" s="286"/>
      <c r="AT49" s="303"/>
      <c r="AU49" s="180"/>
      <c r="AY49" s="178"/>
      <c r="BA49" s="179"/>
      <c r="BC49" s="181"/>
      <c r="BE49" s="181"/>
      <c r="BG49" s="181"/>
      <c r="BI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1"/>
    </row>
    <row r="50" spans="1:73" s="108" customFormat="1" x14ac:dyDescent="0.25">
      <c r="A50" s="126">
        <v>1993</v>
      </c>
      <c r="B50">
        <f t="shared" si="9"/>
        <v>1</v>
      </c>
      <c r="C50" s="110">
        <v>33970</v>
      </c>
      <c r="E50">
        <f>VLOOKUP(C50,'Historic Daily flows'!$A$1:$B$37941,2)</f>
        <v>3.97</v>
      </c>
      <c r="F50"/>
      <c r="G50" s="126">
        <v>0</v>
      </c>
      <c r="H50" s="131"/>
      <c r="P50" s="132"/>
      <c r="Q50" s="131"/>
      <c r="Y50" s="168"/>
      <c r="AA50" s="168"/>
      <c r="AB50" s="130"/>
      <c r="AC50" s="61"/>
      <c r="AE50" s="73"/>
      <c r="AF50" s="129"/>
      <c r="AG50" s="171">
        <f t="shared" si="7"/>
        <v>0</v>
      </c>
      <c r="AH50" s="108">
        <f t="shared" si="0"/>
        <v>0.55000000000000004</v>
      </c>
      <c r="AJ50" s="174">
        <f t="shared" si="1"/>
        <v>0</v>
      </c>
      <c r="AK50" s="248"/>
      <c r="AL50" s="174">
        <f t="shared" si="2"/>
        <v>0</v>
      </c>
      <c r="AN50" s="174">
        <f t="shared" si="3"/>
        <v>0</v>
      </c>
      <c r="AO50" s="286"/>
      <c r="AP50" s="303"/>
      <c r="AQ50" s="286"/>
      <c r="AR50" s="303"/>
      <c r="AS50" s="286"/>
      <c r="AT50" s="303"/>
      <c r="AU50" s="128"/>
      <c r="AY50" s="130"/>
      <c r="BA50" s="129"/>
      <c r="BB50" s="118"/>
      <c r="BC50" s="119"/>
      <c r="BD50" s="118"/>
      <c r="BE50" s="113"/>
      <c r="BF50" s="114"/>
      <c r="BG50" s="113"/>
      <c r="BH50" s="114"/>
      <c r="BI50" s="113"/>
      <c r="BJ50" s="114"/>
      <c r="BK50" s="113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</row>
    <row r="51" spans="1:73" s="108" customFormat="1" x14ac:dyDescent="0.25">
      <c r="A51" s="126">
        <v>1993</v>
      </c>
      <c r="B51">
        <f t="shared" si="9"/>
        <v>56</v>
      </c>
      <c r="C51" s="110">
        <v>34025</v>
      </c>
      <c r="E51">
        <f>VLOOKUP(C51,'Historic Daily flows'!$A$1:$B$37941,2)</f>
        <v>2.68</v>
      </c>
      <c r="F51">
        <v>0.33</v>
      </c>
      <c r="G51" s="126">
        <f>S51</f>
        <v>101.40845070422536</v>
      </c>
      <c r="H51" s="131">
        <v>72</v>
      </c>
      <c r="I51" s="108">
        <f>VLOOKUP(B51,$CJ$97:$CP$253, 6)</f>
        <v>0.7974</v>
      </c>
      <c r="J51" s="108">
        <f>H51/I51</f>
        <v>90.293453724604973</v>
      </c>
      <c r="P51" s="132"/>
      <c r="Q51" s="131">
        <v>72</v>
      </c>
      <c r="R51" s="108">
        <f>VLOOKUP(B51,CJ80:CV238, 12)</f>
        <v>0.71</v>
      </c>
      <c r="S51" s="108">
        <f>Q51/R51</f>
        <v>101.40845070422536</v>
      </c>
      <c r="Y51" s="168"/>
      <c r="Z51" s="108">
        <f>VLOOKUP(B51,$CG$86:$CI$242,2)</f>
        <v>0.504</v>
      </c>
      <c r="AA51" s="168">
        <f>S51/Z51</f>
        <v>201.2072434607646</v>
      </c>
      <c r="AB51" s="130">
        <f>0.5*(B51-B50)*G51</f>
        <v>2788.7323943661972</v>
      </c>
      <c r="AC51" s="61">
        <f>AF51/$AF$1</f>
        <v>123.96955470194908</v>
      </c>
      <c r="AD51" s="108">
        <f>G51</f>
        <v>101.40845070422536</v>
      </c>
      <c r="AE51" s="73">
        <f>AC51/AD51</f>
        <v>1.2224775533108867</v>
      </c>
      <c r="AF51" s="129">
        <f>SUM(AB51:AB53)</f>
        <v>6198.4777350974537</v>
      </c>
      <c r="AG51" s="171">
        <f t="shared" si="7"/>
        <v>184.37900128040974</v>
      </c>
      <c r="AH51" s="108">
        <f t="shared" si="0"/>
        <v>0.55000000000000004</v>
      </c>
      <c r="AJ51" s="174">
        <f t="shared" si="1"/>
        <v>5070.4225352112671</v>
      </c>
      <c r="AK51" s="248">
        <f>AN51/$AN$1</f>
        <v>225.39919036718013</v>
      </c>
      <c r="AL51" s="174">
        <f t="shared" si="2"/>
        <v>184.37900128040974</v>
      </c>
      <c r="AM51" s="108">
        <f>AK51/AL51</f>
        <v>1.2224775533108867</v>
      </c>
      <c r="AN51" s="174">
        <f t="shared" si="3"/>
        <v>11269.959518359006</v>
      </c>
      <c r="AO51" s="286"/>
      <c r="AP51" s="303"/>
      <c r="AQ51" s="286">
        <f>AL51*$AP$188</f>
        <v>0</v>
      </c>
      <c r="AR51" s="303"/>
      <c r="AS51" s="286"/>
      <c r="AT51" s="303">
        <f>AL51*$AS$177</f>
        <v>0</v>
      </c>
      <c r="AU51" s="128"/>
      <c r="AY51" s="130"/>
      <c r="BA51" s="129"/>
      <c r="BB51" s="118"/>
      <c r="BC51" s="119"/>
      <c r="BD51" s="118"/>
      <c r="BE51" s="113"/>
      <c r="BF51" s="114"/>
      <c r="BG51" s="113"/>
      <c r="BH51" s="114"/>
      <c r="BI51" s="113"/>
      <c r="BJ51" s="114"/>
      <c r="BK51" s="113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</row>
    <row r="52" spans="1:73" s="108" customFormat="1" x14ac:dyDescent="0.25">
      <c r="A52" s="126">
        <v>1993</v>
      </c>
      <c r="B52">
        <f t="shared" ref="B52:B57" si="10">C52-DATE(YEAR(C52),1,1)+1</f>
        <v>110</v>
      </c>
      <c r="C52" s="110">
        <v>34079</v>
      </c>
      <c r="E52">
        <f>VLOOKUP(C52,'Historic Daily flows'!$A$1:$B$37941,2)</f>
        <v>12.4</v>
      </c>
      <c r="F52">
        <v>0.33</v>
      </c>
      <c r="G52" s="126">
        <f>AA52</f>
        <v>14.141414141414144</v>
      </c>
      <c r="H52" s="131"/>
      <c r="K52" s="108">
        <v>7</v>
      </c>
      <c r="L52" s="108">
        <f>VLOOKUP(B52,$CJ$101:$CR$257, 4)</f>
        <v>0.41880000000000001</v>
      </c>
      <c r="M52" s="108">
        <f>K52/L52</f>
        <v>16.714422158548231</v>
      </c>
      <c r="P52" s="132"/>
      <c r="Q52" s="131"/>
      <c r="T52" s="108">
        <v>7</v>
      </c>
      <c r="U52" s="108">
        <f>VLOOKUP(B52,CJ114:CV270, 10)</f>
        <v>0.5</v>
      </c>
      <c r="V52" s="108">
        <f>T52/U52</f>
        <v>14</v>
      </c>
      <c r="Y52" s="168"/>
      <c r="Z52" s="108">
        <f>VLOOKUP(B52,$CG$86:$CI$242,2)</f>
        <v>0.98999999999999988</v>
      </c>
      <c r="AA52" s="168">
        <f>V52/Z52</f>
        <v>14.141414141414144</v>
      </c>
      <c r="AB52" s="130">
        <f>((B52-B51)*G52)-((B52-B51)*(G52-G51)*0.5)</f>
        <v>3119.8463508322666</v>
      </c>
      <c r="AC52" s="61"/>
      <c r="AE52" s="73"/>
      <c r="AF52" s="129"/>
      <c r="AG52" s="171">
        <f t="shared" si="7"/>
        <v>25.711662075298442</v>
      </c>
      <c r="AH52" s="108">
        <f t="shared" si="0"/>
        <v>0.55000000000000004</v>
      </c>
      <c r="AJ52" s="174">
        <f t="shared" si="1"/>
        <v>5672.4479106041208</v>
      </c>
      <c r="AK52" s="248"/>
      <c r="AL52" s="174">
        <f t="shared" si="2"/>
        <v>0</v>
      </c>
      <c r="AN52" s="174">
        <f t="shared" si="3"/>
        <v>0</v>
      </c>
      <c r="AO52" s="286"/>
      <c r="AP52" s="303"/>
      <c r="AQ52" s="286"/>
      <c r="AR52" s="303"/>
      <c r="AS52" s="286"/>
      <c r="AT52" s="303"/>
      <c r="AU52" s="128"/>
      <c r="AY52" s="130"/>
      <c r="BA52" s="129"/>
      <c r="BB52" s="118"/>
      <c r="BC52" s="119"/>
      <c r="BD52" s="118"/>
      <c r="BE52" s="113"/>
      <c r="BF52" s="114"/>
      <c r="BG52" s="113"/>
      <c r="BH52" s="114"/>
      <c r="BI52" s="113"/>
      <c r="BJ52" s="114"/>
      <c r="BK52" s="113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</row>
    <row r="53" spans="1:73" s="108" customFormat="1" x14ac:dyDescent="0.25">
      <c r="A53" s="126">
        <v>1993</v>
      </c>
      <c r="B53">
        <f t="shared" si="10"/>
        <v>151</v>
      </c>
      <c r="C53" s="110">
        <v>34120</v>
      </c>
      <c r="E53">
        <f>VLOOKUP(C53,'Historic Daily flows'!$A$1:$B$37941,2)</f>
        <v>8.73</v>
      </c>
      <c r="F53"/>
      <c r="G53" s="126">
        <v>0</v>
      </c>
      <c r="H53" s="131"/>
      <c r="P53" s="132"/>
      <c r="Q53" s="131"/>
      <c r="Y53" s="168"/>
      <c r="AA53" s="168"/>
      <c r="AB53" s="130">
        <f>0.5*(B53-B52)*G52</f>
        <v>289.89898989898995</v>
      </c>
      <c r="AC53" s="61"/>
      <c r="AE53" s="73"/>
      <c r="AF53" s="129"/>
      <c r="AG53" s="171">
        <f t="shared" si="7"/>
        <v>0</v>
      </c>
      <c r="AH53" s="108">
        <f t="shared" si="0"/>
        <v>0.55000000000000004</v>
      </c>
      <c r="AJ53" s="174">
        <f t="shared" si="1"/>
        <v>527.08907254361804</v>
      </c>
      <c r="AK53" s="248"/>
      <c r="AL53" s="174">
        <f t="shared" si="2"/>
        <v>0</v>
      </c>
      <c r="AN53" s="174">
        <f t="shared" si="3"/>
        <v>0</v>
      </c>
      <c r="AO53" s="286"/>
      <c r="AP53" s="303"/>
      <c r="AQ53" s="286"/>
      <c r="AR53" s="303"/>
      <c r="AS53" s="286"/>
      <c r="AT53" s="303"/>
      <c r="AU53" s="128"/>
      <c r="AY53" s="130"/>
      <c r="BA53" s="129"/>
      <c r="BB53" s="118"/>
      <c r="BC53" s="119"/>
      <c r="BD53" s="118"/>
      <c r="BE53" s="113"/>
      <c r="BF53" s="114"/>
      <c r="BG53" s="113"/>
      <c r="BH53" s="114"/>
      <c r="BI53" s="113"/>
      <c r="BJ53" s="114"/>
      <c r="BK53" s="113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</row>
    <row r="54" spans="1:73" s="174" customFormat="1" x14ac:dyDescent="0.25">
      <c r="A54" s="171">
        <v>1994</v>
      </c>
      <c r="B54" s="172">
        <f t="shared" si="10"/>
        <v>1</v>
      </c>
      <c r="C54" s="173">
        <v>34335</v>
      </c>
      <c r="E54" s="172">
        <f>VLOOKUP(C54,'Historic Daily flows'!$A$1:$B$37941,2)</f>
        <v>20.5</v>
      </c>
      <c r="F54" s="172"/>
      <c r="G54" s="171">
        <f>AA54</f>
        <v>0</v>
      </c>
      <c r="H54" s="175"/>
      <c r="P54" s="176"/>
      <c r="Q54" s="175"/>
      <c r="Y54" s="177"/>
      <c r="AA54" s="177"/>
      <c r="AB54" s="178"/>
      <c r="AC54" s="183"/>
      <c r="AE54" s="206"/>
      <c r="AF54" s="179"/>
      <c r="AG54" s="171">
        <f t="shared" si="7"/>
        <v>0</v>
      </c>
      <c r="AH54" s="108">
        <f t="shared" si="0"/>
        <v>0.55000000000000004</v>
      </c>
      <c r="AJ54" s="174">
        <f t="shared" si="1"/>
        <v>0</v>
      </c>
      <c r="AK54" s="248"/>
      <c r="AL54" s="174">
        <f t="shared" si="2"/>
        <v>0</v>
      </c>
      <c r="AN54" s="174">
        <f t="shared" si="3"/>
        <v>0</v>
      </c>
      <c r="AO54" s="286"/>
      <c r="AP54" s="303"/>
      <c r="AQ54" s="286"/>
      <c r="AR54" s="303"/>
      <c r="AS54" s="286"/>
      <c r="AT54" s="303"/>
      <c r="AU54" s="180"/>
      <c r="AY54" s="178"/>
      <c r="BA54" s="179"/>
      <c r="BC54" s="181"/>
      <c r="BE54" s="181"/>
      <c r="BG54" s="181"/>
      <c r="BI54" s="181"/>
      <c r="BK54" s="181"/>
      <c r="BL54" s="181"/>
      <c r="BM54" s="181"/>
      <c r="BN54" s="181"/>
      <c r="BO54" s="181"/>
      <c r="BP54" s="181"/>
      <c r="BQ54" s="181"/>
      <c r="BR54" s="181"/>
      <c r="BS54" s="181"/>
      <c r="BT54" s="181"/>
      <c r="BU54" s="181"/>
    </row>
    <row r="55" spans="1:73" s="174" customFormat="1" x14ac:dyDescent="0.25">
      <c r="A55" s="171">
        <v>1994</v>
      </c>
      <c r="B55" s="172">
        <f t="shared" si="10"/>
        <v>87</v>
      </c>
      <c r="C55" s="173">
        <v>34421</v>
      </c>
      <c r="E55" s="172">
        <f>VLOOKUP(C55,'Historic Daily flows'!$A$1:$B$37941,2)</f>
        <v>14.3</v>
      </c>
      <c r="F55" s="172">
        <v>0.25</v>
      </c>
      <c r="G55" s="171">
        <f>S55</f>
        <v>23.943661971830988</v>
      </c>
      <c r="H55" s="175">
        <v>17</v>
      </c>
      <c r="I55" s="174">
        <f>VLOOKUP(B55,$CJ$97:$CP$253, 6)</f>
        <v>0.77490000000000003</v>
      </c>
      <c r="J55" s="174">
        <f>H55/I55</f>
        <v>21.938314621241449</v>
      </c>
      <c r="P55" s="176"/>
      <c r="Q55" s="175">
        <v>17</v>
      </c>
      <c r="R55" s="174">
        <f>VLOOKUP(B55,CJ86:CV242, 12)</f>
        <v>0.71</v>
      </c>
      <c r="S55" s="174">
        <f>Q55/R55</f>
        <v>23.943661971830988</v>
      </c>
      <c r="Y55" s="177"/>
      <c r="Z55" s="174">
        <f>VLOOKUP(B55,$CG$86:$CI$242,2)</f>
        <v>0.72899999999999998</v>
      </c>
      <c r="AA55" s="177">
        <f>S55/Z55</f>
        <v>32.8445294538148</v>
      </c>
      <c r="AB55" s="178">
        <f>0.5*($B55-$B54)*$G55</f>
        <v>1029.5774647887324</v>
      </c>
      <c r="AC55" s="183">
        <f>AF55/$AF$1</f>
        <v>47.597963639173869</v>
      </c>
      <c r="AD55" s="174">
        <f>G56</f>
        <v>32.8445294538148</v>
      </c>
      <c r="AE55" s="206">
        <f>AC55/AD55</f>
        <v>1.44919</v>
      </c>
      <c r="AF55" s="179">
        <f>SUM(AB55:AB57)</f>
        <v>2379.8981819586934</v>
      </c>
      <c r="AG55" s="171">
        <f t="shared" si="7"/>
        <v>43.533930857874523</v>
      </c>
      <c r="AH55" s="108">
        <f t="shared" si="0"/>
        <v>0.55000000000000004</v>
      </c>
      <c r="AJ55" s="174">
        <f t="shared" si="1"/>
        <v>1871.9590268886043</v>
      </c>
      <c r="AK55" s="248">
        <f>AN55/$AF$1</f>
        <v>86.541752071225204</v>
      </c>
      <c r="AL55" s="174">
        <f t="shared" si="2"/>
        <v>59.717326279663268</v>
      </c>
      <c r="AM55" s="174">
        <f>AK55/AL55</f>
        <v>1.44919</v>
      </c>
      <c r="AN55" s="174">
        <f t="shared" si="3"/>
        <v>4327.08760356126</v>
      </c>
      <c r="AO55" s="286"/>
      <c r="AP55" s="303"/>
      <c r="AQ55" s="286">
        <f>AL55*$AP$188</f>
        <v>0</v>
      </c>
      <c r="AR55" s="303"/>
      <c r="AS55" s="286"/>
      <c r="AT55" s="303">
        <f>AL55*$AS$177</f>
        <v>0</v>
      </c>
      <c r="AU55" s="180"/>
      <c r="AY55" s="178"/>
      <c r="BA55" s="179"/>
      <c r="BC55" s="181"/>
      <c r="BE55" s="181"/>
      <c r="BG55" s="181"/>
      <c r="BI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1"/>
    </row>
    <row r="56" spans="1:73" s="184" customFormat="1" x14ac:dyDescent="0.25">
      <c r="A56" s="265">
        <v>1994</v>
      </c>
      <c r="B56" s="186">
        <f>C56-DATE(YEAR(C56),1,1)+1</f>
        <v>112</v>
      </c>
      <c r="C56" s="266">
        <v>34446</v>
      </c>
      <c r="E56" s="186">
        <f>VLOOKUP(C56,'Historic Daily flows'!$A$1:$B$37941,2)</f>
        <v>12.1</v>
      </c>
      <c r="F56" s="186">
        <v>0.25</v>
      </c>
      <c r="G56" s="265">
        <f>AA55</f>
        <v>32.8445294538148</v>
      </c>
      <c r="H56" s="267"/>
      <c r="P56" s="268"/>
      <c r="Q56" s="267"/>
      <c r="Y56" s="269"/>
      <c r="AA56" s="269"/>
      <c r="AB56" s="178">
        <f>((B56-B55)*G56)-((B56-B55)*(G56-G55)*0.5)</f>
        <v>709.85239282057239</v>
      </c>
      <c r="AC56" s="271"/>
      <c r="AE56" s="278"/>
      <c r="AF56" s="272"/>
      <c r="AG56" s="171">
        <f t="shared" si="7"/>
        <v>59.717326279663268</v>
      </c>
      <c r="AH56" s="108">
        <f t="shared" si="0"/>
        <v>0.55000000000000004</v>
      </c>
      <c r="AJ56" s="174">
        <f t="shared" si="1"/>
        <v>1290.6407142192224</v>
      </c>
      <c r="AK56" s="261"/>
      <c r="AL56" s="174">
        <f t="shared" si="2"/>
        <v>0</v>
      </c>
      <c r="AN56" s="174">
        <f t="shared" si="3"/>
        <v>0</v>
      </c>
      <c r="AO56" s="286"/>
      <c r="AP56" s="303"/>
      <c r="AQ56" s="286"/>
      <c r="AR56" s="303"/>
      <c r="AS56" s="286"/>
      <c r="AT56" s="303"/>
      <c r="AU56" s="273"/>
      <c r="AY56" s="270"/>
      <c r="BA56" s="272"/>
    </row>
    <row r="57" spans="1:73" s="174" customFormat="1" x14ac:dyDescent="0.25">
      <c r="A57" s="171">
        <v>1994</v>
      </c>
      <c r="B57" s="172">
        <f t="shared" si="10"/>
        <v>151</v>
      </c>
      <c r="C57" s="173">
        <v>34485</v>
      </c>
      <c r="E57" s="172">
        <f>VLOOKUP(C57,'Historic Daily flows'!$A$1:$B$37941,2)</f>
        <v>4.2</v>
      </c>
      <c r="F57" s="172"/>
      <c r="G57" s="171">
        <f>AA57</f>
        <v>0</v>
      </c>
      <c r="H57" s="175"/>
      <c r="P57" s="176"/>
      <c r="Q57" s="175"/>
      <c r="Y57" s="177"/>
      <c r="AA57" s="177"/>
      <c r="AB57" s="274">
        <f>0.5*(B57-B56)*G56</f>
        <v>640.46832434938858</v>
      </c>
      <c r="AC57" s="183"/>
      <c r="AE57" s="206"/>
      <c r="AF57" s="179"/>
      <c r="AG57" s="171">
        <f t="shared" si="7"/>
        <v>0</v>
      </c>
      <c r="AH57" s="108">
        <f t="shared" si="0"/>
        <v>0.55000000000000004</v>
      </c>
      <c r="AJ57" s="174">
        <f t="shared" si="1"/>
        <v>1164.4878624534338</v>
      </c>
      <c r="AK57" s="248"/>
      <c r="AL57" s="174">
        <f t="shared" si="2"/>
        <v>0</v>
      </c>
      <c r="AN57" s="174">
        <f t="shared" si="3"/>
        <v>0</v>
      </c>
      <c r="AO57" s="286"/>
      <c r="AP57" s="303"/>
      <c r="AQ57" s="286"/>
      <c r="AR57" s="303"/>
      <c r="AS57" s="286"/>
      <c r="AT57" s="303"/>
      <c r="AU57" s="180"/>
      <c r="AY57" s="178"/>
      <c r="BA57" s="179"/>
      <c r="BC57" s="181"/>
      <c r="BE57" s="181"/>
      <c r="BG57" s="181"/>
      <c r="BI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1"/>
    </row>
    <row r="58" spans="1:73" s="108" customFormat="1" x14ac:dyDescent="0.25">
      <c r="A58" s="126">
        <v>1995</v>
      </c>
      <c r="B58">
        <f>C58-DATE(YEAR(C58),1,1)+1</f>
        <v>1</v>
      </c>
      <c r="C58" s="110">
        <v>34700</v>
      </c>
      <c r="E58">
        <f>VLOOKUP(C58,'Historic Daily flows'!$A$1:$B$37941,2)</f>
        <v>12.3</v>
      </c>
      <c r="F58"/>
      <c r="G58" s="126">
        <v>0</v>
      </c>
      <c r="H58" s="131"/>
      <c r="P58" s="132"/>
      <c r="Q58" s="131"/>
      <c r="Y58" s="168"/>
      <c r="AA58" s="168"/>
      <c r="AB58" s="130"/>
      <c r="AC58" s="61"/>
      <c r="AE58" s="73"/>
      <c r="AF58" s="129"/>
      <c r="AG58" s="171">
        <f t="shared" si="7"/>
        <v>0</v>
      </c>
      <c r="AH58" s="108">
        <f t="shared" si="0"/>
        <v>0.55000000000000004</v>
      </c>
      <c r="AJ58" s="174">
        <f t="shared" si="1"/>
        <v>0</v>
      </c>
      <c r="AK58" s="248"/>
      <c r="AL58" s="174">
        <f t="shared" si="2"/>
        <v>0</v>
      </c>
      <c r="AN58" s="174">
        <f t="shared" si="3"/>
        <v>0</v>
      </c>
      <c r="AO58" s="286"/>
      <c r="AP58" s="303"/>
      <c r="AQ58" s="286"/>
      <c r="AR58" s="303"/>
      <c r="AS58" s="286"/>
      <c r="AT58" s="303"/>
      <c r="AU58" s="128"/>
      <c r="AY58" s="130"/>
      <c r="BA58" s="129"/>
      <c r="BB58" s="118"/>
      <c r="BC58" s="119"/>
      <c r="BD58" s="118"/>
      <c r="BE58" s="113"/>
      <c r="BF58" s="114"/>
      <c r="BG58" s="113"/>
      <c r="BH58" s="114"/>
      <c r="BI58" s="113"/>
      <c r="BJ58" s="114"/>
      <c r="BK58" s="113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</row>
    <row r="59" spans="1:73" s="108" customFormat="1" x14ac:dyDescent="0.25">
      <c r="A59" s="126">
        <v>1995</v>
      </c>
      <c r="B59">
        <f>C59-DATE(YEAR(C59),1,1)+1</f>
        <v>60</v>
      </c>
      <c r="C59" s="110">
        <v>34759</v>
      </c>
      <c r="E59">
        <f>VLOOKUP(C59,'Historic Daily flows'!$A$1:$B$37941,2)</f>
        <v>9.43</v>
      </c>
      <c r="F59">
        <v>0.27</v>
      </c>
      <c r="G59" s="126">
        <f>S59</f>
        <v>50.70422535211268</v>
      </c>
      <c r="H59" s="162">
        <v>36</v>
      </c>
      <c r="I59" s="108">
        <f>VLOOKUP(B59,$CJ$97:$CP$253, 6)</f>
        <v>0.79380000000000006</v>
      </c>
      <c r="J59" s="108">
        <f>H59/I59</f>
        <v>45.351473922902493</v>
      </c>
      <c r="P59" s="132"/>
      <c r="Q59" s="131">
        <v>36</v>
      </c>
      <c r="R59" s="108">
        <f>VLOOKUP(B59,CJ89:CV245, 12)</f>
        <v>0.71</v>
      </c>
      <c r="S59" s="108">
        <f>Q59/R59</f>
        <v>50.70422535211268</v>
      </c>
      <c r="Y59" s="168"/>
      <c r="Z59" s="108">
        <f>VLOOKUP(B59,CG89:CI245,2)</f>
        <v>0.53999999999999992</v>
      </c>
      <c r="AA59" s="168">
        <f>S59/Z59</f>
        <v>93.896713615023501</v>
      </c>
      <c r="AB59" s="130">
        <f>0.5*($B61-$B58)*$G59</f>
        <v>3802.816901408451</v>
      </c>
      <c r="AC59" s="61">
        <f>AF59/$AF$1</f>
        <v>187.86854460093898</v>
      </c>
      <c r="AD59" s="108">
        <f>G60</f>
        <v>93.896713615023501</v>
      </c>
      <c r="AE59" s="73">
        <f>AC59/AD59</f>
        <v>2.0007999999999995</v>
      </c>
      <c r="AF59" s="129">
        <f>SUM(AB58:AB61)</f>
        <v>9393.4272300469493</v>
      </c>
      <c r="AG59" s="171">
        <f t="shared" si="7"/>
        <v>92.189500640204869</v>
      </c>
      <c r="AH59" s="108">
        <f t="shared" si="0"/>
        <v>0.55000000000000004</v>
      </c>
      <c r="AJ59" s="174">
        <f t="shared" si="1"/>
        <v>6914.2125480153645</v>
      </c>
      <c r="AK59" s="248">
        <f>AN59/$AN$1</f>
        <v>341.57917200170721</v>
      </c>
      <c r="AL59" s="174">
        <f t="shared" si="2"/>
        <v>170.72129748186089</v>
      </c>
      <c r="AM59" s="108">
        <f>AK59/AL59</f>
        <v>2.0007999999999995</v>
      </c>
      <c r="AN59" s="174">
        <f t="shared" si="3"/>
        <v>17078.95860008536</v>
      </c>
      <c r="AO59" s="286"/>
      <c r="AP59" s="303"/>
      <c r="AQ59" s="286">
        <f>AL59*$AP$188</f>
        <v>0</v>
      </c>
      <c r="AR59" s="303"/>
      <c r="AS59" s="286"/>
      <c r="AT59" s="303">
        <f>AL59*$AS$177</f>
        <v>0</v>
      </c>
      <c r="AU59" s="128"/>
      <c r="AY59" s="130"/>
      <c r="BA59" s="129"/>
      <c r="BB59" s="118"/>
      <c r="BC59" s="119"/>
      <c r="BD59" s="118"/>
      <c r="BE59" s="113"/>
      <c r="BF59" s="114"/>
      <c r="BG59" s="113"/>
      <c r="BH59" s="114"/>
      <c r="BI59" s="113"/>
      <c r="BJ59" s="114"/>
      <c r="BK59" s="113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</row>
    <row r="60" spans="1:73" s="163" customFormat="1" x14ac:dyDescent="0.25">
      <c r="A60" s="253">
        <v>1995</v>
      </c>
      <c r="B60" s="125">
        <f>C60-DATE(YEAR(C60),1,1)+1</f>
        <v>112</v>
      </c>
      <c r="C60" s="254">
        <v>34811</v>
      </c>
      <c r="E60" s="125">
        <f>VLOOKUP(C60,'Historic Daily flows'!$A$1:$B$37941,2)</f>
        <v>6.01</v>
      </c>
      <c r="F60" s="125">
        <v>0.27</v>
      </c>
      <c r="G60" s="253">
        <f>AA59</f>
        <v>93.896713615023501</v>
      </c>
      <c r="H60" s="255"/>
      <c r="P60" s="256"/>
      <c r="Q60" s="255"/>
      <c r="Y60" s="257"/>
      <c r="AA60" s="257"/>
      <c r="AB60" s="275">
        <f>((B60-B59)*G60)-((B60-B59)*(G60-G59)*0.5)</f>
        <v>3759.6244131455405</v>
      </c>
      <c r="AC60" s="259"/>
      <c r="AE60" s="277"/>
      <c r="AF60" s="260"/>
      <c r="AG60" s="171">
        <f t="shared" si="7"/>
        <v>170.72129748186089</v>
      </c>
      <c r="AH60" s="108">
        <f t="shared" si="0"/>
        <v>0.55000000000000004</v>
      </c>
      <c r="AJ60" s="174">
        <f t="shared" si="1"/>
        <v>6835.6807511737097</v>
      </c>
      <c r="AK60" s="261"/>
      <c r="AL60" s="174">
        <f t="shared" si="2"/>
        <v>0</v>
      </c>
      <c r="AN60" s="174">
        <f t="shared" si="3"/>
        <v>0</v>
      </c>
      <c r="AO60" s="286"/>
      <c r="AP60" s="303"/>
      <c r="AQ60" s="286"/>
      <c r="AR60" s="303"/>
      <c r="AS60" s="286"/>
      <c r="AT60" s="303"/>
      <c r="AU60" s="262"/>
      <c r="AY60" s="258"/>
      <c r="BA60" s="260"/>
      <c r="BB60" s="263"/>
      <c r="BC60" s="263"/>
      <c r="BD60" s="263"/>
      <c r="BE60" s="264"/>
      <c r="BF60" s="264"/>
      <c r="BG60" s="264"/>
      <c r="BH60" s="264"/>
      <c r="BI60" s="264"/>
      <c r="BJ60" s="264"/>
      <c r="BK60" s="264"/>
    </row>
    <row r="61" spans="1:73" s="108" customFormat="1" x14ac:dyDescent="0.25">
      <c r="A61" s="126">
        <v>1995</v>
      </c>
      <c r="B61">
        <f>C61-DATE(YEAR(C61),1,1)+1</f>
        <v>151</v>
      </c>
      <c r="C61" s="110">
        <v>34850</v>
      </c>
      <c r="E61">
        <f>VLOOKUP(C61,'Historic Daily flows'!$A$1:$B$37941,2)</f>
        <v>6.2</v>
      </c>
      <c r="F61"/>
      <c r="G61" s="126">
        <v>0</v>
      </c>
      <c r="H61" s="131"/>
      <c r="P61" s="132"/>
      <c r="Q61" s="131"/>
      <c r="Y61" s="168"/>
      <c r="AA61" s="168"/>
      <c r="AB61" s="130">
        <f>0.5*(B61-B60)*G60</f>
        <v>1830.9859154929582</v>
      </c>
      <c r="AC61" s="61"/>
      <c r="AE61" s="73"/>
      <c r="AF61" s="129"/>
      <c r="AG61" s="171">
        <f t="shared" si="7"/>
        <v>0</v>
      </c>
      <c r="AH61" s="108">
        <f t="shared" si="0"/>
        <v>0.55000000000000004</v>
      </c>
      <c r="AJ61" s="174">
        <f t="shared" si="1"/>
        <v>3329.0653008962872</v>
      </c>
      <c r="AK61" s="248"/>
      <c r="AL61" s="174">
        <f t="shared" si="2"/>
        <v>0</v>
      </c>
      <c r="AN61" s="174">
        <f t="shared" si="3"/>
        <v>0</v>
      </c>
      <c r="AO61" s="286"/>
      <c r="AP61" s="303"/>
      <c r="AQ61" s="286"/>
      <c r="AR61" s="303"/>
      <c r="AS61" s="286"/>
      <c r="AT61" s="303"/>
      <c r="AU61" s="128"/>
      <c r="AY61" s="130"/>
      <c r="BA61" s="129"/>
      <c r="BB61" s="118"/>
      <c r="BC61" s="119"/>
      <c r="BD61" s="118"/>
      <c r="BE61" s="113"/>
      <c r="BF61" s="114"/>
      <c r="BG61" s="113"/>
      <c r="BH61" s="114"/>
      <c r="BI61" s="113"/>
      <c r="BJ61" s="114"/>
      <c r="BK61" s="113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</row>
    <row r="62" spans="1:73" s="174" customFormat="1" x14ac:dyDescent="0.25">
      <c r="A62" s="171">
        <v>1996</v>
      </c>
      <c r="B62" s="172">
        <f t="shared" ref="B62:B78" si="11">C62-DATE(YEAR(C62),1,1)+1</f>
        <v>1</v>
      </c>
      <c r="C62" s="173">
        <v>35065</v>
      </c>
      <c r="E62" s="172">
        <f>VLOOKUP(C62,'Historic Daily flows'!$A$1:$B$37941,2)</f>
        <v>21.3</v>
      </c>
      <c r="F62" s="172"/>
      <c r="G62" s="171">
        <f>AA62</f>
        <v>0</v>
      </c>
      <c r="H62" s="175"/>
      <c r="P62" s="176"/>
      <c r="Q62" s="175"/>
      <c r="Y62" s="177"/>
      <c r="AA62" s="177"/>
      <c r="AB62" s="178"/>
      <c r="AC62" s="183"/>
      <c r="AE62" s="206"/>
      <c r="AF62" s="179"/>
      <c r="AG62" s="171">
        <f t="shared" si="7"/>
        <v>0</v>
      </c>
      <c r="AH62" s="108">
        <f t="shared" si="0"/>
        <v>0.55000000000000004</v>
      </c>
      <c r="AJ62" s="174">
        <f t="shared" si="1"/>
        <v>0</v>
      </c>
      <c r="AK62" s="248"/>
      <c r="AL62" s="174">
        <f t="shared" si="2"/>
        <v>0</v>
      </c>
      <c r="AN62" s="174">
        <f t="shared" si="3"/>
        <v>0</v>
      </c>
      <c r="AO62" s="286"/>
      <c r="AP62" s="303"/>
      <c r="AQ62" s="286"/>
      <c r="AR62" s="303"/>
      <c r="AS62" s="286"/>
      <c r="AT62" s="303"/>
      <c r="AU62" s="180"/>
      <c r="AY62" s="178"/>
      <c r="BA62" s="179"/>
      <c r="BC62" s="181"/>
      <c r="BE62" s="181"/>
      <c r="BG62" s="181"/>
      <c r="BI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1"/>
      <c r="BU62" s="181"/>
    </row>
    <row r="63" spans="1:73" s="174" customFormat="1" x14ac:dyDescent="0.25">
      <c r="A63" s="171">
        <v>1996</v>
      </c>
      <c r="B63" s="172">
        <f>C63-DATE(YEAR(C63),1,1)+1</f>
        <v>88</v>
      </c>
      <c r="C63" s="173">
        <v>35152</v>
      </c>
      <c r="E63" s="172">
        <f>VLOOKUP(C63,'Historic Daily flows'!$A$1:$B$37941,2)</f>
        <v>5.99</v>
      </c>
      <c r="F63" s="172">
        <v>0.15</v>
      </c>
      <c r="G63" s="171">
        <f>S63</f>
        <v>42.253521126760567</v>
      </c>
      <c r="H63" s="175">
        <v>30</v>
      </c>
      <c r="I63" s="174">
        <f>VLOOKUP(B63,$CJ$97:$CP$253, 6)</f>
        <v>0.77490000000000003</v>
      </c>
      <c r="J63" s="174">
        <f>H63/I63</f>
        <v>38.714672861014321</v>
      </c>
      <c r="P63" s="176"/>
      <c r="Q63" s="175">
        <v>30</v>
      </c>
      <c r="R63" s="174">
        <f>VLOOKUP(B63,CJ92:CV248, 12)</f>
        <v>0.71</v>
      </c>
      <c r="S63" s="174">
        <f>Q63/R63</f>
        <v>42.253521126760567</v>
      </c>
      <c r="Y63" s="177"/>
      <c r="Z63" s="174">
        <f>VLOOKUP(B63,CG92:CI248,2)</f>
        <v>0.72899999999999998</v>
      </c>
      <c r="AA63" s="177">
        <f>S63/Z63</f>
        <v>57.960934330261409</v>
      </c>
      <c r="AB63" s="178">
        <f>0.5*($B65-$B62)*$G63</f>
        <v>3190.140845070423</v>
      </c>
      <c r="AC63" s="183">
        <f>AF63/$AF$1</f>
        <v>111.4611951544659</v>
      </c>
      <c r="AD63" s="174">
        <f>G64</f>
        <v>57.960934330261409</v>
      </c>
      <c r="AE63" s="206">
        <f>AC63/AD63</f>
        <v>1.9230399999999999</v>
      </c>
      <c r="AF63" s="179">
        <f>SUM(AB63:AB65)</f>
        <v>5573.0597577232948</v>
      </c>
      <c r="AG63" s="171">
        <f t="shared" si="7"/>
        <v>76.824583866837386</v>
      </c>
      <c r="AH63" s="108">
        <f t="shared" si="0"/>
        <v>0.55000000000000004</v>
      </c>
      <c r="AJ63" s="174">
        <f t="shared" si="1"/>
        <v>5800.2560819462233</v>
      </c>
      <c r="AK63" s="248">
        <f>AN63/$AF$1</f>
        <v>202.65671846266522</v>
      </c>
      <c r="AL63" s="174">
        <f t="shared" si="2"/>
        <v>105.38351696411165</v>
      </c>
      <c r="AM63" s="174">
        <f>AK63/AL63</f>
        <v>1.9230399999999996</v>
      </c>
      <c r="AN63" s="174">
        <f t="shared" si="3"/>
        <v>10132.835923133262</v>
      </c>
      <c r="AO63" s="286"/>
      <c r="AP63" s="303"/>
      <c r="AQ63" s="286">
        <f>AL63*$AP$188</f>
        <v>0</v>
      </c>
      <c r="AR63" s="303"/>
      <c r="AS63" s="286"/>
      <c r="AT63" s="303">
        <f>AL63*$AS$177</f>
        <v>0</v>
      </c>
      <c r="AU63" s="180"/>
      <c r="AY63" s="178"/>
      <c r="BA63" s="179"/>
      <c r="BC63" s="181"/>
      <c r="BE63" s="181"/>
      <c r="BG63" s="181"/>
      <c r="BI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</row>
    <row r="64" spans="1:73" s="184" customFormat="1" x14ac:dyDescent="0.25">
      <c r="A64" s="265">
        <v>1996</v>
      </c>
      <c r="B64" s="186">
        <f>C64-DATE(YEAR(C64),1,1)+1</f>
        <v>113</v>
      </c>
      <c r="C64" s="266">
        <v>35177</v>
      </c>
      <c r="E64" s="186">
        <f>VLOOKUP(C64,'Historic Daily flows'!$A$1:$B$37941,2)</f>
        <v>10</v>
      </c>
      <c r="F64" s="186">
        <v>0.15</v>
      </c>
      <c r="G64" s="265">
        <f>AA63</f>
        <v>57.960934330261409</v>
      </c>
      <c r="H64" s="267"/>
      <c r="P64" s="268"/>
      <c r="Q64" s="267"/>
      <c r="Y64" s="269"/>
      <c r="AA64" s="269"/>
      <c r="AB64" s="178">
        <f>((B64-B63)*G64)-((B64-B63)*(G64-G63)*0.5)</f>
        <v>1252.6806932127747</v>
      </c>
      <c r="AC64" s="271"/>
      <c r="AE64" s="278"/>
      <c r="AF64" s="272"/>
      <c r="AG64" s="171">
        <f t="shared" si="7"/>
        <v>105.38351696411165</v>
      </c>
      <c r="AH64" s="108">
        <f t="shared" si="0"/>
        <v>0.55000000000000004</v>
      </c>
      <c r="AJ64" s="174">
        <f t="shared" si="1"/>
        <v>2277.601260386863</v>
      </c>
      <c r="AK64" s="261"/>
      <c r="AL64" s="174">
        <f t="shared" si="2"/>
        <v>0</v>
      </c>
      <c r="AN64" s="174">
        <f t="shared" si="3"/>
        <v>0</v>
      </c>
      <c r="AO64" s="286"/>
      <c r="AP64" s="303"/>
      <c r="AQ64" s="286"/>
      <c r="AR64" s="303"/>
      <c r="AS64" s="286"/>
      <c r="AT64" s="303"/>
      <c r="AU64" s="273"/>
      <c r="AY64" s="270"/>
      <c r="BA64" s="272"/>
    </row>
    <row r="65" spans="1:73" s="174" customFormat="1" x14ac:dyDescent="0.25">
      <c r="A65" s="171">
        <v>1996</v>
      </c>
      <c r="B65" s="172">
        <f t="shared" si="11"/>
        <v>152</v>
      </c>
      <c r="C65" s="173">
        <v>35216</v>
      </c>
      <c r="E65" s="172">
        <f>VLOOKUP(C65,'Historic Daily flows'!$A$1:$B$37941,2)</f>
        <v>5.3</v>
      </c>
      <c r="F65" s="172"/>
      <c r="G65" s="171">
        <f>AA65</f>
        <v>0</v>
      </c>
      <c r="H65" s="175"/>
      <c r="P65" s="176"/>
      <c r="Q65" s="175"/>
      <c r="Y65" s="177"/>
      <c r="AA65" s="177"/>
      <c r="AB65" s="274">
        <f>0.5*(B65-B64)*G64</f>
        <v>1130.2382194400975</v>
      </c>
      <c r="AC65" s="183"/>
      <c r="AE65" s="206"/>
      <c r="AF65" s="179"/>
      <c r="AG65" s="171">
        <f t="shared" si="7"/>
        <v>0</v>
      </c>
      <c r="AH65" s="108">
        <f t="shared" si="0"/>
        <v>0.55000000000000004</v>
      </c>
      <c r="AJ65" s="174">
        <f t="shared" si="1"/>
        <v>2054.978580800177</v>
      </c>
      <c r="AK65" s="248"/>
      <c r="AL65" s="174">
        <f t="shared" si="2"/>
        <v>0</v>
      </c>
      <c r="AN65" s="174">
        <f t="shared" si="3"/>
        <v>0</v>
      </c>
      <c r="AO65" s="286"/>
      <c r="AP65" s="303"/>
      <c r="AQ65" s="286"/>
      <c r="AR65" s="303"/>
      <c r="AS65" s="286"/>
      <c r="AT65" s="303"/>
      <c r="AU65" s="180"/>
      <c r="AY65" s="178"/>
      <c r="BA65" s="179"/>
      <c r="BC65" s="181"/>
      <c r="BE65" s="181"/>
      <c r="BG65" s="181"/>
      <c r="BI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1"/>
    </row>
    <row r="66" spans="1:73" s="108" customFormat="1" x14ac:dyDescent="0.25">
      <c r="A66" s="126">
        <v>1998</v>
      </c>
      <c r="B66">
        <f t="shared" si="11"/>
        <v>1</v>
      </c>
      <c r="C66" s="110">
        <v>72321</v>
      </c>
      <c r="E66">
        <f>VLOOKUP(C66,'Historic Daily flows'!$A$1:$B$37941,2)</f>
        <v>1.2609999999999999</v>
      </c>
      <c r="F66"/>
      <c r="G66" s="126">
        <v>0</v>
      </c>
      <c r="H66" s="131"/>
      <c r="P66" s="132"/>
      <c r="Q66" s="131"/>
      <c r="Y66" s="168"/>
      <c r="AA66" s="168"/>
      <c r="AB66" s="130"/>
      <c r="AC66" s="61"/>
      <c r="AE66" s="73"/>
      <c r="AF66" s="129"/>
      <c r="AG66" s="171">
        <f t="shared" si="7"/>
        <v>0</v>
      </c>
      <c r="AH66" s="108">
        <f t="shared" si="0"/>
        <v>0.55000000000000004</v>
      </c>
      <c r="AJ66" s="174">
        <f t="shared" si="1"/>
        <v>0</v>
      </c>
      <c r="AK66" s="248"/>
      <c r="AL66" s="174">
        <f t="shared" si="2"/>
        <v>0</v>
      </c>
      <c r="AN66" s="174">
        <f t="shared" si="3"/>
        <v>0</v>
      </c>
      <c r="AO66" s="286"/>
      <c r="AP66" s="303"/>
      <c r="AQ66" s="286"/>
      <c r="AR66" s="303"/>
      <c r="AS66" s="286"/>
      <c r="AT66" s="303"/>
      <c r="AU66" s="128"/>
      <c r="AY66" s="130"/>
      <c r="BA66" s="129"/>
      <c r="BB66" s="118"/>
      <c r="BC66" s="119"/>
      <c r="BD66" s="118"/>
      <c r="BE66" s="113"/>
      <c r="BF66" s="114"/>
      <c r="BG66" s="113"/>
      <c r="BH66" s="114"/>
      <c r="BI66" s="113"/>
      <c r="BJ66" s="114"/>
      <c r="BK66" s="113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</row>
    <row r="67" spans="1:73" s="108" customFormat="1" x14ac:dyDescent="0.25">
      <c r="A67" s="126">
        <v>1998</v>
      </c>
      <c r="B67">
        <f t="shared" si="11"/>
        <v>63</v>
      </c>
      <c r="C67" s="110">
        <v>35858</v>
      </c>
      <c r="E67">
        <f>VLOOKUP(C67,'Historic Daily flows'!$A$1:$B$37941,2)</f>
        <v>10.1</v>
      </c>
      <c r="F67">
        <v>0.25</v>
      </c>
      <c r="G67" s="126">
        <f>S67</f>
        <v>5.6338028169014089</v>
      </c>
      <c r="H67" s="131">
        <v>4</v>
      </c>
      <c r="P67" s="132"/>
      <c r="Q67" s="131">
        <v>4</v>
      </c>
      <c r="R67" s="108">
        <f>VLOOKUP(B67,CJ95:CV251, 12)</f>
        <v>0.71</v>
      </c>
      <c r="S67" s="108">
        <f>Q67/R67</f>
        <v>5.6338028169014089</v>
      </c>
      <c r="Y67" s="168"/>
      <c r="Z67" s="108">
        <f>VLOOKUP(B67,CG92:CI248,2)</f>
        <v>0.56699999999999995</v>
      </c>
      <c r="AA67" s="168">
        <f>S67/Z67</f>
        <v>9.9361601709019567</v>
      </c>
      <c r="AB67" s="130">
        <f>0.5*($B69-$B66)*$G67</f>
        <v>422.53521126760569</v>
      </c>
      <c r="AC67" s="61">
        <f>AF67/$AF$1</f>
        <v>19.955088556027526</v>
      </c>
      <c r="AD67" s="108">
        <f>G68</f>
        <v>9.9361601709019567</v>
      </c>
      <c r="AE67" s="73">
        <f>AC67/AD67</f>
        <v>2.0083299999999999</v>
      </c>
      <c r="AF67" s="129">
        <f>SUM(AB67:AB69)</f>
        <v>997.75442780137632</v>
      </c>
      <c r="AG67" s="171">
        <f t="shared" si="7"/>
        <v>10.243277848911651</v>
      </c>
      <c r="AH67" s="108">
        <f t="shared" si="0"/>
        <v>0.55000000000000004</v>
      </c>
      <c r="AJ67" s="174">
        <f t="shared" si="1"/>
        <v>768.24583866837395</v>
      </c>
      <c r="AK67" s="248">
        <f>AN67/$AN$1</f>
        <v>36.281979192777314</v>
      </c>
      <c r="AL67" s="174">
        <f t="shared" si="2"/>
        <v>18.065745765276283</v>
      </c>
      <c r="AM67" s="108">
        <f>AK67/AL67</f>
        <v>2.0083299999999999</v>
      </c>
      <c r="AN67" s="174">
        <f t="shared" si="3"/>
        <v>1814.0989596388658</v>
      </c>
      <c r="AO67" s="286"/>
      <c r="AP67" s="303"/>
      <c r="AQ67" s="286">
        <f>AL67*$AP$188</f>
        <v>0</v>
      </c>
      <c r="AR67" s="303"/>
      <c r="AS67" s="286"/>
      <c r="AT67" s="303">
        <f>AL67*$AS$177</f>
        <v>0</v>
      </c>
      <c r="AU67" s="128"/>
      <c r="AY67" s="130"/>
      <c r="BA67" s="129"/>
      <c r="BB67" s="118"/>
      <c r="BC67" s="119"/>
      <c r="BD67" s="118"/>
      <c r="BE67" s="113"/>
      <c r="BF67" s="114"/>
      <c r="BG67" s="113"/>
      <c r="BH67" s="114"/>
      <c r="BI67" s="113"/>
      <c r="BJ67" s="114"/>
      <c r="BK67" s="113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</row>
    <row r="68" spans="1:73" s="163" customFormat="1" x14ac:dyDescent="0.25">
      <c r="A68" s="253">
        <v>1998</v>
      </c>
      <c r="B68" s="125">
        <f>C68-DATE(YEAR(C68),1,1)+1</f>
        <v>112</v>
      </c>
      <c r="C68" s="254">
        <v>35907</v>
      </c>
      <c r="E68" s="125">
        <f>VLOOKUP(C68,'Historic Daily flows'!$A$1:$B$37941,2)</f>
        <v>5.62</v>
      </c>
      <c r="F68" s="125">
        <v>0.25</v>
      </c>
      <c r="G68" s="253">
        <f>AA67</f>
        <v>9.9361601709019567</v>
      </c>
      <c r="H68" s="255"/>
      <c r="P68" s="256"/>
      <c r="Q68" s="255"/>
      <c r="Y68" s="257"/>
      <c r="AA68" s="257"/>
      <c r="AB68" s="275">
        <f>((B68-B67)*G68)-((B68-B67)*(G68-G67)*0.5)</f>
        <v>381.46409320118249</v>
      </c>
      <c r="AC68" s="259"/>
      <c r="AE68" s="277"/>
      <c r="AF68" s="260"/>
      <c r="AG68" s="171">
        <f t="shared" si="7"/>
        <v>18.065745765276283</v>
      </c>
      <c r="AH68" s="108">
        <f t="shared" si="0"/>
        <v>0.55000000000000004</v>
      </c>
      <c r="AJ68" s="174">
        <f t="shared" si="1"/>
        <v>693.57107854760443</v>
      </c>
      <c r="AK68" s="261"/>
      <c r="AL68" s="174">
        <f t="shared" si="2"/>
        <v>0</v>
      </c>
      <c r="AN68" s="174">
        <f t="shared" si="3"/>
        <v>0</v>
      </c>
      <c r="AO68" s="286"/>
      <c r="AP68" s="303"/>
      <c r="AQ68" s="286"/>
      <c r="AR68" s="303"/>
      <c r="AS68" s="286"/>
      <c r="AT68" s="303"/>
      <c r="AU68" s="262"/>
      <c r="AY68" s="258"/>
      <c r="BA68" s="260"/>
      <c r="BB68" s="263"/>
      <c r="BC68" s="263"/>
      <c r="BD68" s="263"/>
      <c r="BE68" s="264"/>
      <c r="BF68" s="264"/>
      <c r="BG68" s="264"/>
      <c r="BH68" s="264"/>
      <c r="BI68" s="264"/>
      <c r="BJ68" s="264"/>
      <c r="BK68" s="264"/>
    </row>
    <row r="69" spans="1:73" s="108" customFormat="1" x14ac:dyDescent="0.25">
      <c r="A69" s="126">
        <v>1998</v>
      </c>
      <c r="B69">
        <f t="shared" si="11"/>
        <v>151</v>
      </c>
      <c r="C69" s="127">
        <v>35946</v>
      </c>
      <c r="E69">
        <f>VLOOKUP(C69,'Historic Daily flows'!$A$1:$B$37941,2)</f>
        <v>6.61</v>
      </c>
      <c r="F69"/>
      <c r="G69" s="126">
        <v>0</v>
      </c>
      <c r="H69" s="131"/>
      <c r="P69" s="132"/>
      <c r="Q69" s="131"/>
      <c r="Y69" s="168"/>
      <c r="AA69" s="168"/>
      <c r="AB69" s="130">
        <f>0.5*(B69-B68)*G68</f>
        <v>193.75512333258814</v>
      </c>
      <c r="AC69" s="61"/>
      <c r="AE69" s="73"/>
      <c r="AF69" s="129"/>
      <c r="AG69" s="171">
        <f t="shared" si="7"/>
        <v>0</v>
      </c>
      <c r="AH69" s="108">
        <f t="shared" si="0"/>
        <v>0.55000000000000004</v>
      </c>
      <c r="AJ69" s="174">
        <f t="shared" si="1"/>
        <v>352.28204242288751</v>
      </c>
      <c r="AK69" s="248"/>
      <c r="AL69" s="174">
        <f t="shared" si="2"/>
        <v>0</v>
      </c>
      <c r="AN69" s="174">
        <f t="shared" si="3"/>
        <v>0</v>
      </c>
      <c r="AO69" s="286"/>
      <c r="AP69" s="303"/>
      <c r="AQ69" s="286"/>
      <c r="AR69" s="303"/>
      <c r="AS69" s="286"/>
      <c r="AT69" s="303"/>
      <c r="AU69" s="128"/>
      <c r="AY69" s="130"/>
      <c r="BA69" s="129"/>
      <c r="BB69" s="118"/>
      <c r="BC69" s="119"/>
      <c r="BD69" s="118"/>
      <c r="BE69" s="113"/>
      <c r="BF69" s="114"/>
      <c r="BG69" s="113"/>
      <c r="BH69" s="114"/>
      <c r="BI69" s="113"/>
      <c r="BJ69" s="114"/>
      <c r="BK69" s="113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</row>
    <row r="70" spans="1:73" s="174" customFormat="1" x14ac:dyDescent="0.25">
      <c r="A70" s="171">
        <v>1999</v>
      </c>
      <c r="B70" s="172">
        <f t="shared" si="11"/>
        <v>1</v>
      </c>
      <c r="C70" s="173">
        <v>72686</v>
      </c>
      <c r="E70" s="172">
        <f>VLOOKUP(C70,'Historic Daily flows'!$A$1:$B$37941,2)</f>
        <v>1.2609999999999999</v>
      </c>
      <c r="F70" s="172"/>
      <c r="G70" s="171">
        <v>0</v>
      </c>
      <c r="H70" s="175"/>
      <c r="P70" s="176"/>
      <c r="Q70" s="175"/>
      <c r="Y70" s="177"/>
      <c r="AA70" s="177"/>
      <c r="AB70" s="178"/>
      <c r="AC70" s="183"/>
      <c r="AE70" s="206"/>
      <c r="AF70" s="179"/>
      <c r="AG70" s="171">
        <f t="shared" si="7"/>
        <v>0</v>
      </c>
      <c r="AH70" s="108">
        <f t="shared" si="0"/>
        <v>0.55000000000000004</v>
      </c>
      <c r="AJ70" s="174">
        <f t="shared" ref="AJ70:AJ83" si="12">AB70/AH70</f>
        <v>0</v>
      </c>
      <c r="AK70" s="248"/>
      <c r="AL70" s="174">
        <f t="shared" ref="AL70:AL82" si="13">AD70/AH70</f>
        <v>0</v>
      </c>
      <c r="AN70" s="174">
        <f t="shared" ref="AN70:AN83" si="14">AF70/AH70</f>
        <v>0</v>
      </c>
      <c r="AO70" s="286"/>
      <c r="AP70" s="303"/>
      <c r="AQ70" s="286"/>
      <c r="AR70" s="303"/>
      <c r="AS70" s="286"/>
      <c r="AT70" s="303"/>
      <c r="AU70" s="180"/>
      <c r="AY70" s="178"/>
      <c r="BA70" s="179"/>
      <c r="BC70" s="181"/>
      <c r="BE70" s="181"/>
      <c r="BG70" s="181"/>
      <c r="BI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1"/>
    </row>
    <row r="71" spans="1:73" s="174" customFormat="1" x14ac:dyDescent="0.25">
      <c r="A71" s="171">
        <v>1999</v>
      </c>
      <c r="B71" s="172">
        <f t="shared" si="11"/>
        <v>67</v>
      </c>
      <c r="C71" s="173">
        <v>36227</v>
      </c>
      <c r="E71" s="172">
        <f>VLOOKUP(C71,'Historic Daily flows'!$A$1:$B$37941,2)</f>
        <v>14.4</v>
      </c>
      <c r="F71" s="172"/>
      <c r="G71" s="171">
        <f>AA71</f>
        <v>39.70756545908953</v>
      </c>
      <c r="H71" s="175">
        <v>17</v>
      </c>
      <c r="I71" s="174">
        <f>VLOOKUP(B71,CJ95:CP251, 6)</f>
        <v>0.78750000000000009</v>
      </c>
      <c r="J71" s="174">
        <f>H71/I71</f>
        <v>21.587301587301585</v>
      </c>
      <c r="P71" s="176"/>
      <c r="Q71" s="175">
        <v>17</v>
      </c>
      <c r="R71" s="174">
        <f>VLOOKUP(B71,CJ95:CV251, 12)</f>
        <v>0.71</v>
      </c>
      <c r="S71" s="174">
        <f>Q71/R71</f>
        <v>23.943661971830988</v>
      </c>
      <c r="Y71" s="177"/>
      <c r="Z71" s="174">
        <f>VLOOKUP(B71,CG95:CI251,2)</f>
        <v>0.60299999999999998</v>
      </c>
      <c r="AA71" s="177">
        <f>S71/Z71</f>
        <v>39.70756545908953</v>
      </c>
      <c r="AB71" s="178">
        <f>0.5*($B74-$B70)*$G71</f>
        <v>2978.0674094317146</v>
      </c>
      <c r="AC71" s="183">
        <f>AF71/$AF$1</f>
        <v>178.85899757451932</v>
      </c>
      <c r="AD71" s="174">
        <f>G73</f>
        <v>116.95906432748538</v>
      </c>
      <c r="AE71" s="206">
        <f>AC71/AD71</f>
        <v>1.5292444292621401</v>
      </c>
      <c r="AF71" s="179">
        <f>SUM(AB71:AB74)</f>
        <v>8942.9498787259654</v>
      </c>
      <c r="AG71" s="171">
        <f t="shared" si="7"/>
        <v>72.19557356198095</v>
      </c>
      <c r="AH71" s="108">
        <f t="shared" si="0"/>
        <v>0.55000000000000004</v>
      </c>
      <c r="AJ71" s="174">
        <f>AB71/AH71</f>
        <v>5414.6680171485714</v>
      </c>
      <c r="AK71" s="248">
        <f>AN71/$AF$1</f>
        <v>325.19817740821691</v>
      </c>
      <c r="AL71" s="174">
        <f t="shared" si="13"/>
        <v>212.65284423179159</v>
      </c>
      <c r="AM71" s="174">
        <f>AK71/AL71</f>
        <v>1.5292444292621401</v>
      </c>
      <c r="AN71" s="174">
        <f t="shared" si="14"/>
        <v>16259.908870410845</v>
      </c>
      <c r="AO71" s="286"/>
      <c r="AP71" s="303"/>
      <c r="AQ71" s="286">
        <f>AL71*$AP$188</f>
        <v>0</v>
      </c>
      <c r="AR71" s="303"/>
      <c r="AS71" s="286"/>
      <c r="AT71" s="303">
        <f>AL71*$AS$177</f>
        <v>0</v>
      </c>
      <c r="AU71" s="180"/>
      <c r="AY71" s="178"/>
      <c r="BA71" s="179"/>
      <c r="BC71" s="181"/>
      <c r="BE71" s="181"/>
      <c r="BG71" s="181"/>
      <c r="BI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1"/>
    </row>
    <row r="72" spans="1:73" s="174" customFormat="1" x14ac:dyDescent="0.25">
      <c r="A72" s="171">
        <v>1999</v>
      </c>
      <c r="B72" s="172">
        <f t="shared" si="11"/>
        <v>98</v>
      </c>
      <c r="C72" s="182">
        <v>36258</v>
      </c>
      <c r="E72" s="172">
        <f>VLOOKUP(C72,'Historic Daily flows'!$A$1:$B$37941,2)</f>
        <v>12.5</v>
      </c>
      <c r="F72" s="172">
        <v>0.15</v>
      </c>
      <c r="G72" s="171">
        <f>V72</f>
        <v>100</v>
      </c>
      <c r="H72" s="175"/>
      <c r="K72" s="174">
        <v>50</v>
      </c>
      <c r="L72" s="174">
        <f>VLOOKUP(B72,$CJ$101:$CR$257, 4)</f>
        <v>0.4773</v>
      </c>
      <c r="M72" s="174">
        <f>K72/L72</f>
        <v>104.75591870940708</v>
      </c>
      <c r="P72" s="176"/>
      <c r="Q72" s="175"/>
      <c r="T72" s="174">
        <v>50</v>
      </c>
      <c r="U72" s="174">
        <f>VLOOKUP(B72,$CJ$101:$CV$257, 10)</f>
        <v>0.5</v>
      </c>
      <c r="V72" s="174">
        <f>T72/U72</f>
        <v>100</v>
      </c>
      <c r="Y72" s="177"/>
      <c r="Z72" s="174">
        <f>VLOOKUP(B72,CG96:CI252,2)</f>
        <v>0.85499999999999998</v>
      </c>
      <c r="AA72" s="177">
        <f>V72/Z72</f>
        <v>116.95906432748538</v>
      </c>
      <c r="AB72" s="178">
        <f>((B72-B71)*G72)-((B72-B71)*(G72-G71)*0.5)</f>
        <v>2165.4672646158879</v>
      </c>
      <c r="AC72" s="183"/>
      <c r="AE72" s="206"/>
      <c r="AF72" s="179"/>
      <c r="AG72" s="171">
        <f t="shared" si="7"/>
        <v>181.81818181818181</v>
      </c>
      <c r="AH72" s="108">
        <f t="shared" si="0"/>
        <v>0.55000000000000004</v>
      </c>
      <c r="AJ72" s="174">
        <f t="shared" si="12"/>
        <v>3937.213208392523</v>
      </c>
      <c r="AK72" s="248"/>
      <c r="AL72" s="174">
        <f t="shared" si="13"/>
        <v>0</v>
      </c>
      <c r="AN72" s="174">
        <f t="shared" si="14"/>
        <v>0</v>
      </c>
      <c r="AO72" s="286"/>
      <c r="AP72" s="303"/>
      <c r="AQ72" s="286"/>
      <c r="AR72" s="303"/>
      <c r="AS72" s="286"/>
      <c r="AT72" s="303"/>
      <c r="AU72" s="180"/>
      <c r="AY72" s="178"/>
      <c r="BA72" s="179"/>
      <c r="BC72" s="181"/>
      <c r="BE72" s="181"/>
      <c r="BG72" s="181"/>
      <c r="BI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1"/>
    </row>
    <row r="73" spans="1:73" s="184" customFormat="1" x14ac:dyDescent="0.25">
      <c r="A73" s="265">
        <v>1999</v>
      </c>
      <c r="B73" s="186">
        <f>C73-DATE(YEAR(C73),1,1)+1</f>
        <v>112</v>
      </c>
      <c r="C73" s="266">
        <v>36272</v>
      </c>
      <c r="E73" s="186">
        <f>VLOOKUP(C73,'Historic Daily flows'!$A$1:$B$37941,2)</f>
        <v>19.7</v>
      </c>
      <c r="F73" s="186">
        <v>0.15</v>
      </c>
      <c r="G73" s="265">
        <f>AA72</f>
        <v>116.95906432748538</v>
      </c>
      <c r="H73" s="267"/>
      <c r="P73" s="268"/>
      <c r="Q73" s="267"/>
      <c r="Y73" s="269"/>
      <c r="AA73" s="269"/>
      <c r="AB73" s="178">
        <f>((B73-B72)*G73)-((B73-B72)*(G73-G72)*0.5)</f>
        <v>1518.7134502923975</v>
      </c>
      <c r="AC73" s="271"/>
      <c r="AE73" s="278"/>
      <c r="AF73" s="272"/>
      <c r="AG73" s="171">
        <f t="shared" si="7"/>
        <v>212.65284423179159</v>
      </c>
      <c r="AH73" s="108">
        <f t="shared" si="0"/>
        <v>0.55000000000000004</v>
      </c>
      <c r="AJ73" s="174">
        <f t="shared" si="12"/>
        <v>2761.2971823498133</v>
      </c>
      <c r="AK73" s="261"/>
      <c r="AL73" s="174">
        <f t="shared" si="13"/>
        <v>0</v>
      </c>
      <c r="AN73" s="174">
        <f t="shared" si="14"/>
        <v>0</v>
      </c>
      <c r="AO73" s="286"/>
      <c r="AP73" s="303"/>
      <c r="AQ73" s="286"/>
      <c r="AR73" s="303"/>
      <c r="AS73" s="286"/>
      <c r="AT73" s="303"/>
      <c r="AU73" s="273"/>
      <c r="AY73" s="270"/>
      <c r="BA73" s="272"/>
    </row>
    <row r="74" spans="1:73" s="174" customFormat="1" x14ac:dyDescent="0.25">
      <c r="A74" s="171">
        <v>1999</v>
      </c>
      <c r="B74" s="172">
        <f t="shared" si="11"/>
        <v>151</v>
      </c>
      <c r="C74" s="182">
        <v>36311</v>
      </c>
      <c r="E74" s="172">
        <f>VLOOKUP(C74,'Historic Daily flows'!$A$1:$B$37941,2)</f>
        <v>26.6</v>
      </c>
      <c r="F74" s="172"/>
      <c r="G74" s="171">
        <v>0</v>
      </c>
      <c r="H74" s="175"/>
      <c r="P74" s="176"/>
      <c r="Q74" s="175"/>
      <c r="Y74" s="177"/>
      <c r="AA74" s="177"/>
      <c r="AB74" s="274">
        <f>0.5*(B74-B73)*G73</f>
        <v>2280.7017543859647</v>
      </c>
      <c r="AC74" s="183"/>
      <c r="AE74" s="206"/>
      <c r="AF74" s="179"/>
      <c r="AG74" s="171">
        <f t="shared" si="7"/>
        <v>0</v>
      </c>
      <c r="AH74" s="108">
        <f t="shared" si="0"/>
        <v>0.55000000000000004</v>
      </c>
      <c r="AJ74" s="174">
        <f t="shared" si="12"/>
        <v>4146.7304625199358</v>
      </c>
      <c r="AK74" s="248"/>
      <c r="AL74" s="174">
        <f t="shared" si="13"/>
        <v>0</v>
      </c>
      <c r="AN74" s="174">
        <f t="shared" si="14"/>
        <v>0</v>
      </c>
      <c r="AO74" s="286"/>
      <c r="AP74" s="303"/>
      <c r="AQ74" s="286"/>
      <c r="AR74" s="303"/>
      <c r="AS74" s="286"/>
      <c r="AT74" s="303"/>
      <c r="AU74" s="180"/>
      <c r="AY74" s="178"/>
      <c r="BA74" s="179"/>
      <c r="BC74" s="181"/>
      <c r="BE74" s="181"/>
      <c r="BG74" s="181"/>
      <c r="BI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</row>
    <row r="75" spans="1:73" s="108" customFormat="1" x14ac:dyDescent="0.25">
      <c r="A75" s="126">
        <v>2000</v>
      </c>
      <c r="B75">
        <f t="shared" si="11"/>
        <v>1</v>
      </c>
      <c r="C75" s="110">
        <v>36526</v>
      </c>
      <c r="E75">
        <f>VLOOKUP(C75,'Historic Daily flows'!$A$1:$B$37941,2)</f>
        <v>6.72</v>
      </c>
      <c r="F75"/>
      <c r="G75" s="126">
        <v>0</v>
      </c>
      <c r="H75" s="131"/>
      <c r="P75" s="132"/>
      <c r="Q75" s="131"/>
      <c r="Y75" s="168"/>
      <c r="AA75" s="168"/>
      <c r="AB75" s="130"/>
      <c r="AC75" s="61"/>
      <c r="AE75" s="73"/>
      <c r="AF75" s="129"/>
      <c r="AG75" s="171">
        <f t="shared" si="7"/>
        <v>0</v>
      </c>
      <c r="AH75" s="108">
        <f t="shared" si="0"/>
        <v>0.55000000000000004</v>
      </c>
      <c r="AJ75" s="174">
        <f t="shared" si="12"/>
        <v>0</v>
      </c>
      <c r="AK75" s="248"/>
      <c r="AL75" s="174">
        <f t="shared" si="13"/>
        <v>0</v>
      </c>
      <c r="AN75" s="174">
        <f>AF75/AH75</f>
        <v>0</v>
      </c>
      <c r="AO75" s="286"/>
      <c r="AP75" s="303"/>
      <c r="AQ75" s="286"/>
      <c r="AR75" s="303"/>
      <c r="AS75" s="286"/>
      <c r="AT75" s="303"/>
      <c r="AU75" s="128"/>
      <c r="AY75" s="130"/>
      <c r="BA75" s="129"/>
      <c r="BB75" s="118"/>
      <c r="BC75" s="119"/>
      <c r="BD75" s="118"/>
      <c r="BE75" s="113"/>
      <c r="BF75" s="114"/>
      <c r="BG75" s="113"/>
      <c r="BH75" s="114"/>
      <c r="BI75" s="113"/>
      <c r="BJ75" s="114"/>
      <c r="BK75" s="113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</row>
    <row r="76" spans="1:73" s="108" customFormat="1" x14ac:dyDescent="0.25">
      <c r="A76" s="126">
        <v>2000</v>
      </c>
      <c r="B76">
        <f t="shared" si="11"/>
        <v>88</v>
      </c>
      <c r="C76" s="110">
        <v>36613</v>
      </c>
      <c r="D76" s="108">
        <v>4.67</v>
      </c>
      <c r="E76">
        <f>VLOOKUP(C76,'Historic Daily flows'!$A$1:$B$37941,2)</f>
        <v>9.4</v>
      </c>
      <c r="F76"/>
      <c r="G76" s="126">
        <f>V76</f>
        <v>14</v>
      </c>
      <c r="H76" s="131"/>
      <c r="K76" s="108">
        <v>7</v>
      </c>
      <c r="L76" s="108">
        <f>VLOOKUP(B76,$CJ$101:$CR$257, 4)</f>
        <v>0.53190000000000004</v>
      </c>
      <c r="M76" s="108">
        <f>K76/L76</f>
        <v>13.160368490317728</v>
      </c>
      <c r="P76" s="132"/>
      <c r="Q76" s="131"/>
      <c r="T76" s="108">
        <v>7</v>
      </c>
      <c r="U76" s="108">
        <f>VLOOKUP(B76,$CJ$101:$CV$257, 10)</f>
        <v>0.5</v>
      </c>
      <c r="V76" s="108">
        <f>T76/U76</f>
        <v>14</v>
      </c>
      <c r="Y76" s="168"/>
      <c r="Z76" s="108">
        <f>VLOOKUP(B76,$CG$98:$CI$254,2)</f>
        <v>0.72899999999999998</v>
      </c>
      <c r="AA76" s="168">
        <f>M76/Z76</f>
        <v>18.052631673961219</v>
      </c>
      <c r="AB76" s="130">
        <f>0.5*($B78-$B75)*$G76</f>
        <v>1057</v>
      </c>
      <c r="AC76" s="61">
        <f>AF76/$AF$1</f>
        <v>36.193684271335179</v>
      </c>
      <c r="AD76" s="108">
        <f>G77</f>
        <v>18.052631673961219</v>
      </c>
      <c r="AE76" s="73">
        <f>AC76/AD76</f>
        <v>2.0048979519999999</v>
      </c>
      <c r="AF76" s="129">
        <f>SUM(AB76:AB78)</f>
        <v>1809.6842135667591</v>
      </c>
      <c r="AG76" s="171">
        <f t="shared" si="7"/>
        <v>25.454545454545453</v>
      </c>
      <c r="AH76" s="108">
        <f t="shared" si="0"/>
        <v>0.55000000000000004</v>
      </c>
      <c r="AJ76" s="174">
        <f t="shared" si="12"/>
        <v>1921.8181818181818</v>
      </c>
      <c r="AK76" s="248">
        <f>AN76/$AN$1</f>
        <v>65.806698675154877</v>
      </c>
      <c r="AL76" s="174">
        <f>AD76/AH76</f>
        <v>32.822966679929486</v>
      </c>
      <c r="AM76" s="108">
        <f>AK76/AL76</f>
        <v>2.0048979520000003</v>
      </c>
      <c r="AN76" s="174">
        <f t="shared" si="14"/>
        <v>3290.3349337577438</v>
      </c>
      <c r="AO76" s="286"/>
      <c r="AP76" s="303"/>
      <c r="AQ76" s="286">
        <f>AL76*$AP$188</f>
        <v>0</v>
      </c>
      <c r="AR76" s="303"/>
      <c r="AS76" s="286"/>
      <c r="AT76" s="303">
        <f>AL76*$AS$177</f>
        <v>0</v>
      </c>
      <c r="AU76" s="128">
        <f>AD76/AW76</f>
        <v>18.611344227676053</v>
      </c>
      <c r="AV76">
        <f>B76/D76</f>
        <v>18.843683083511777</v>
      </c>
      <c r="AW76">
        <f>VLOOKUP(AV76,$CB$102:$CC$271,2)</f>
        <v>0.96998000000000006</v>
      </c>
      <c r="AX76" s="108">
        <f>AZ76/$BA$1</f>
        <v>28.103129783790841</v>
      </c>
      <c r="AY76" s="61">
        <f>AX76/AD76</f>
        <v>1.5567331285181136</v>
      </c>
      <c r="AZ76">
        <f>0.5*(B78-B75)*AU76</f>
        <v>1405.1564891895421</v>
      </c>
      <c r="BA76" s="129">
        <f>AZ76</f>
        <v>1405.1564891895421</v>
      </c>
      <c r="BB76" s="118"/>
      <c r="BC76" s="119"/>
      <c r="BD76" s="118"/>
      <c r="BE76" s="113"/>
      <c r="BF76" s="114"/>
      <c r="BG76" s="113"/>
      <c r="BH76" s="114"/>
      <c r="BI76" s="113"/>
      <c r="BJ76" s="114"/>
      <c r="BK76" s="113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</row>
    <row r="77" spans="1:73" s="163" customFormat="1" x14ac:dyDescent="0.25">
      <c r="A77" s="253">
        <v>2000</v>
      </c>
      <c r="B77" s="125">
        <f>C77-DATE(YEAR(C77),1,1)+1</f>
        <v>113</v>
      </c>
      <c r="C77" s="254">
        <v>36638</v>
      </c>
      <c r="D77" s="163">
        <v>5.67</v>
      </c>
      <c r="E77" s="125">
        <f>VLOOKUP(C77,'Historic Daily flows'!$A$1:$B$37941,2)</f>
        <v>12.7</v>
      </c>
      <c r="F77" s="125"/>
      <c r="G77" s="253">
        <f>AA76</f>
        <v>18.052631673961219</v>
      </c>
      <c r="H77" s="255"/>
      <c r="P77" s="256"/>
      <c r="Q77" s="255"/>
      <c r="Y77" s="257"/>
      <c r="AA77" s="257"/>
      <c r="AB77" s="275">
        <f>((B77-B76)*G77)-((B77-B76)*(G77-G76)*0.5)</f>
        <v>400.65789592451523</v>
      </c>
      <c r="AC77" s="259"/>
      <c r="AE77" s="277"/>
      <c r="AF77" s="260"/>
      <c r="AG77" s="171">
        <f t="shared" si="7"/>
        <v>32.822966679929486</v>
      </c>
      <c r="AH77" s="108">
        <f t="shared" si="0"/>
        <v>0.55000000000000004</v>
      </c>
      <c r="AJ77" s="174">
        <f t="shared" si="12"/>
        <v>728.46890168093671</v>
      </c>
      <c r="AK77" s="261"/>
      <c r="AL77" s="174">
        <f t="shared" si="13"/>
        <v>0</v>
      </c>
      <c r="AN77" s="174">
        <f t="shared" si="14"/>
        <v>0</v>
      </c>
      <c r="AO77" s="286"/>
      <c r="AP77" s="303"/>
      <c r="AQ77" s="286"/>
      <c r="AR77" s="303"/>
      <c r="AS77" s="286"/>
      <c r="AT77" s="303"/>
      <c r="AU77" s="262"/>
      <c r="AV77" s="125"/>
      <c r="AW77" s="125"/>
      <c r="AY77" s="259"/>
      <c r="AZ77" s="125"/>
      <c r="BA77" s="260"/>
      <c r="BB77" s="263"/>
      <c r="BC77" s="263"/>
      <c r="BD77" s="263"/>
      <c r="BE77" s="264"/>
      <c r="BF77" s="264"/>
      <c r="BG77" s="264"/>
      <c r="BH77" s="264"/>
      <c r="BI77" s="264"/>
      <c r="BJ77" s="264"/>
      <c r="BK77" s="264"/>
    </row>
    <row r="78" spans="1:73" s="108" customFormat="1" x14ac:dyDescent="0.25">
      <c r="A78" s="126">
        <v>2000</v>
      </c>
      <c r="B78">
        <f t="shared" si="11"/>
        <v>152</v>
      </c>
      <c r="C78" s="127">
        <v>36677</v>
      </c>
      <c r="E78">
        <f>VLOOKUP(C78,'Historic Daily flows'!$A$1:$B$37941,2)</f>
        <v>9.51</v>
      </c>
      <c r="F78"/>
      <c r="G78" s="126">
        <v>0</v>
      </c>
      <c r="H78" s="131"/>
      <c r="P78" s="132"/>
      <c r="Q78" s="131"/>
      <c r="Y78" s="168"/>
      <c r="AA78" s="168"/>
      <c r="AB78" s="130">
        <f>0.5*(B78-B77)*G77</f>
        <v>352.02631764224378</v>
      </c>
      <c r="AC78" s="61"/>
      <c r="AE78" s="73"/>
      <c r="AF78" s="129"/>
      <c r="AG78" s="171">
        <f t="shared" si="7"/>
        <v>0</v>
      </c>
      <c r="AH78" s="108">
        <f t="shared" si="0"/>
        <v>0.55000000000000004</v>
      </c>
      <c r="AJ78" s="174">
        <f t="shared" si="12"/>
        <v>640.04785025862498</v>
      </c>
      <c r="AK78" s="248"/>
      <c r="AL78" s="174">
        <f t="shared" si="13"/>
        <v>0</v>
      </c>
      <c r="AN78" s="174">
        <f t="shared" si="14"/>
        <v>0</v>
      </c>
      <c r="AO78" s="286"/>
      <c r="AP78" s="303"/>
      <c r="AQ78" s="286"/>
      <c r="AR78" s="303"/>
      <c r="AS78" s="286"/>
      <c r="AT78" s="303"/>
      <c r="AU78" s="128"/>
      <c r="AV78"/>
      <c r="AW78"/>
      <c r="AY78" s="61"/>
      <c r="AZ78"/>
      <c r="BA78" s="129"/>
      <c r="BB78" s="118"/>
      <c r="BC78" s="119"/>
      <c r="BD78" s="118"/>
      <c r="BE78" s="113"/>
      <c r="BF78" s="114"/>
      <c r="BG78" s="113"/>
      <c r="BH78" s="114"/>
      <c r="BI78" s="113"/>
      <c r="BJ78" s="114"/>
      <c r="BK78" s="113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</row>
    <row r="79" spans="1:73" s="174" customFormat="1" x14ac:dyDescent="0.25">
      <c r="A79" s="172">
        <v>2001</v>
      </c>
      <c r="B79" s="172">
        <f t="shared" ref="B79:B84" si="15">C79-DATE(YEAR(C79),1,1)+1</f>
        <v>1</v>
      </c>
      <c r="C79" s="173">
        <v>36892</v>
      </c>
      <c r="E79" s="172">
        <f>VLOOKUP(C79,'Historic Daily flows'!$A$1:$B$37941,2)</f>
        <v>12.5</v>
      </c>
      <c r="F79" s="172"/>
      <c r="G79" s="171">
        <v>0</v>
      </c>
      <c r="H79" s="175"/>
      <c r="P79" s="176"/>
      <c r="Q79" s="175"/>
      <c r="Y79" s="177"/>
      <c r="AA79" s="177"/>
      <c r="AG79" s="171">
        <f t="shared" si="7"/>
        <v>0</v>
      </c>
      <c r="AH79" s="108">
        <f t="shared" si="0"/>
        <v>0.55000000000000004</v>
      </c>
      <c r="AJ79" s="174">
        <f t="shared" si="12"/>
        <v>0</v>
      </c>
      <c r="AK79" s="248"/>
      <c r="AL79" s="174">
        <f t="shared" si="13"/>
        <v>0</v>
      </c>
      <c r="AN79" s="174">
        <f t="shared" si="14"/>
        <v>0</v>
      </c>
      <c r="AO79" s="286"/>
      <c r="AP79" s="303"/>
      <c r="AQ79" s="286"/>
      <c r="AR79" s="303"/>
      <c r="AS79" s="286"/>
      <c r="AT79" s="303"/>
      <c r="AU79" s="180"/>
      <c r="AV79" s="172"/>
      <c r="AW79" s="172"/>
      <c r="AY79" s="183"/>
      <c r="AZ79" s="172"/>
      <c r="BA79" s="179"/>
      <c r="BC79" s="181"/>
      <c r="BE79" s="181"/>
      <c r="BG79" s="181"/>
      <c r="BI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1"/>
    </row>
    <row r="80" spans="1:73" s="174" customFormat="1" x14ac:dyDescent="0.25">
      <c r="A80" s="172">
        <v>2001</v>
      </c>
      <c r="B80" s="172">
        <f t="shared" si="15"/>
        <v>71</v>
      </c>
      <c r="C80" s="182">
        <v>36962</v>
      </c>
      <c r="D80" s="174">
        <v>4.67</v>
      </c>
      <c r="E80" s="172">
        <f>VLOOKUP(C80,'Historic Daily flows'!$A$1:$B$37941,2)</f>
        <v>4.0999999999999996</v>
      </c>
      <c r="F80" s="172"/>
      <c r="G80" s="171">
        <f>S80</f>
        <v>76.056338028169023</v>
      </c>
      <c r="H80" s="175">
        <v>54</v>
      </c>
      <c r="I80" s="174">
        <f>VLOOKUP(B80,CJ101:CP257, 6)</f>
        <v>0.78389999999999993</v>
      </c>
      <c r="J80" s="174">
        <f>H80/I80</f>
        <v>68.886337543053969</v>
      </c>
      <c r="Q80" s="175">
        <v>54</v>
      </c>
      <c r="R80" s="174">
        <f>VLOOKUP(B80,CJ101:CV257, 12)</f>
        <v>0.71</v>
      </c>
      <c r="S80" s="174">
        <f>Q80/R80</f>
        <v>76.056338028169023</v>
      </c>
      <c r="Y80" s="177"/>
      <c r="Z80" s="174">
        <f>VLOOKUP(B80,CG101:CI257,2)</f>
        <v>0.6389999999999999</v>
      </c>
      <c r="AA80" s="177">
        <f>S80/Z80</f>
        <v>119.02400317397345</v>
      </c>
      <c r="AB80" s="183">
        <f>0.5*(B80-B79)*G80</f>
        <v>2661.9718309859159</v>
      </c>
      <c r="AC80" s="183">
        <f>AF80/$AF$1</f>
        <v>122.99217527386543</v>
      </c>
      <c r="AD80" s="174">
        <f>G80</f>
        <v>76.056338028169023</v>
      </c>
      <c r="AE80" s="206">
        <f>AC80/AD80</f>
        <v>1.6171193415637859</v>
      </c>
      <c r="AF80" s="179">
        <f>SUM(AB80:AB83)</f>
        <v>6149.6087636932716</v>
      </c>
      <c r="AG80" s="171">
        <f t="shared" si="7"/>
        <v>138.2842509603073</v>
      </c>
      <c r="AH80" s="108">
        <f t="shared" si="0"/>
        <v>0.55000000000000004</v>
      </c>
      <c r="AJ80" s="174">
        <f t="shared" si="12"/>
        <v>4839.9487836107555</v>
      </c>
      <c r="AK80" s="248">
        <f>AN80/$AF$1</f>
        <v>223.62213686157349</v>
      </c>
      <c r="AL80" s="174">
        <f>AD80/AH80</f>
        <v>138.2842509603073</v>
      </c>
      <c r="AM80" s="174">
        <f>AK80/AL80</f>
        <v>1.6171193415637861</v>
      </c>
      <c r="AN80" s="174">
        <f>AF80/AH80</f>
        <v>11181.106843078675</v>
      </c>
      <c r="AO80" s="286"/>
      <c r="AP80" s="303"/>
      <c r="AQ80" s="286">
        <f>AL80*$AP$188</f>
        <v>0</v>
      </c>
      <c r="AR80" s="303"/>
      <c r="AS80" s="286"/>
      <c r="AT80" s="303">
        <f>AL80*$AS$177</f>
        <v>0</v>
      </c>
      <c r="AU80" s="180">
        <f>AD81/AW80</f>
        <v>0</v>
      </c>
      <c r="AV80" s="172">
        <f>B80/D80</f>
        <v>15.203426124197003</v>
      </c>
      <c r="AW80" s="172">
        <f>VLOOKUP(AV80,$CB$102:$CC$271,2)</f>
        <v>0.79215999999999998</v>
      </c>
      <c r="AX80" s="174">
        <f>AZ80/$BA$1</f>
        <v>0</v>
      </c>
      <c r="AY80" s="183" t="e">
        <f>AX80/AD81</f>
        <v>#DIV/0!</v>
      </c>
      <c r="AZ80" s="172">
        <f>0.5*(B83-B79)*AU80</f>
        <v>0</v>
      </c>
      <c r="BA80" s="179">
        <f>AZ80</f>
        <v>0</v>
      </c>
      <c r="BC80" s="181"/>
      <c r="BE80" s="181"/>
      <c r="BG80" s="181"/>
      <c r="BI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1"/>
    </row>
    <row r="81" spans="1:96" s="174" customFormat="1" x14ac:dyDescent="0.25">
      <c r="A81" s="171">
        <v>2001</v>
      </c>
      <c r="B81" s="172">
        <f>C81-DATE(YEAR(C81),1,1)+1</f>
        <v>96</v>
      </c>
      <c r="C81" s="182">
        <v>36987</v>
      </c>
      <c r="D81" s="174">
        <v>7</v>
      </c>
      <c r="E81" s="172">
        <f>VLOOKUP(C81,'Historic Daily flows'!$A$1:$B$37941,2)</f>
        <v>7.03</v>
      </c>
      <c r="F81" s="172"/>
      <c r="G81" s="171">
        <f>S81</f>
        <v>53.521126760563384</v>
      </c>
      <c r="H81" s="175">
        <v>38</v>
      </c>
      <c r="I81" s="174">
        <f>VLOOKUP(B81,CJ102:CP258, 6)</f>
        <v>0.76229999999999998</v>
      </c>
      <c r="J81" s="174">
        <f>H81/I81</f>
        <v>49.84914075823167</v>
      </c>
      <c r="Q81" s="175">
        <v>38</v>
      </c>
      <c r="R81" s="174">
        <f>VLOOKUP(B81,CJ102:CV258, 12)</f>
        <v>0.71</v>
      </c>
      <c r="S81" s="174">
        <f>Q81/R81</f>
        <v>53.521126760563384</v>
      </c>
      <c r="Y81" s="177"/>
      <c r="Z81" s="174">
        <f>VLOOKUP(B81,CG102:CI258,2)</f>
        <v>0.85499999999999998</v>
      </c>
      <c r="AA81" s="177">
        <f>S81/Z81</f>
        <v>62.597809076682324</v>
      </c>
      <c r="AB81" s="183">
        <f>((B81-B80)*G81)-((B80-B80)*(G80-G80)*0.5)</f>
        <v>1338.0281690140846</v>
      </c>
      <c r="AC81" s="183"/>
      <c r="AE81" s="206"/>
      <c r="AF81" s="179"/>
      <c r="AG81" s="171">
        <f>G81/AH81</f>
        <v>97.311139564660692</v>
      </c>
      <c r="AH81" s="108">
        <f t="shared" si="0"/>
        <v>0.55000000000000004</v>
      </c>
      <c r="AJ81" s="174">
        <f t="shared" si="12"/>
        <v>2432.7784891165174</v>
      </c>
      <c r="AK81" s="248"/>
      <c r="AL81" s="174">
        <f t="shared" si="13"/>
        <v>0</v>
      </c>
      <c r="AN81" s="174">
        <f t="shared" si="14"/>
        <v>0</v>
      </c>
      <c r="AO81" s="286"/>
      <c r="AP81" s="303"/>
      <c r="AQ81" s="286"/>
      <c r="AR81" s="303"/>
      <c r="AS81" s="286"/>
      <c r="AT81" s="303"/>
      <c r="AU81" s="180"/>
      <c r="AV81" s="172"/>
      <c r="AW81" s="172"/>
      <c r="AY81" s="183"/>
      <c r="AZ81" s="172"/>
      <c r="BA81" s="179"/>
      <c r="BC81" s="181"/>
      <c r="BE81" s="181"/>
      <c r="BG81" s="181"/>
      <c r="BI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1"/>
    </row>
    <row r="82" spans="1:96" s="184" customFormat="1" x14ac:dyDescent="0.25">
      <c r="A82" s="265">
        <v>2001</v>
      </c>
      <c r="B82" s="186">
        <f>C82-DATE(YEAR(C82),1,1)+1</f>
        <v>112</v>
      </c>
      <c r="C82" s="266">
        <v>37003</v>
      </c>
      <c r="D82" s="184">
        <v>8</v>
      </c>
      <c r="E82" s="186">
        <f>VLOOKUP(C82,'Historic Daily flows'!$A$1:$B$37941,2)</f>
        <v>7.9</v>
      </c>
      <c r="F82" s="186"/>
      <c r="G82" s="265">
        <f>AA81</f>
        <v>62.597809076682324</v>
      </c>
      <c r="H82" s="267"/>
      <c r="Q82" s="267"/>
      <c r="Y82" s="269"/>
      <c r="AA82" s="269"/>
      <c r="AB82" s="178">
        <f>((B82-B81)*G82)-((B82-B81)*(G82-G81)*0.5)</f>
        <v>928.95148669796572</v>
      </c>
      <c r="AC82" s="271"/>
      <c r="AE82" s="278"/>
      <c r="AF82" s="272"/>
      <c r="AG82" s="171">
        <f>G82/AH82</f>
        <v>113.81419832124058</v>
      </c>
      <c r="AH82" s="108">
        <f t="shared" si="0"/>
        <v>0.55000000000000004</v>
      </c>
      <c r="AJ82" s="174">
        <f t="shared" si="12"/>
        <v>1689.0027030872102</v>
      </c>
      <c r="AK82" s="261"/>
      <c r="AL82" s="174">
        <f t="shared" si="13"/>
        <v>0</v>
      </c>
      <c r="AN82" s="174">
        <f t="shared" si="14"/>
        <v>0</v>
      </c>
      <c r="AO82" s="286"/>
      <c r="AP82" s="303"/>
      <c r="AQ82" s="286"/>
      <c r="AR82" s="303"/>
      <c r="AS82" s="286"/>
      <c r="AT82" s="303"/>
      <c r="AU82" s="273"/>
      <c r="AV82" s="186"/>
      <c r="AW82" s="186"/>
      <c r="AY82" s="271"/>
      <c r="AZ82" s="186"/>
      <c r="BA82" s="272"/>
    </row>
    <row r="83" spans="1:96" s="174" customFormat="1" x14ac:dyDescent="0.25">
      <c r="A83" s="172">
        <v>2001</v>
      </c>
      <c r="B83" s="172">
        <f>C83-DATE(YEAR(C83),1,1)+1</f>
        <v>151</v>
      </c>
      <c r="C83" s="182">
        <v>37042</v>
      </c>
      <c r="E83" s="172">
        <f>VLOOKUP(C83,'Historic Daily flows'!$A$1:$B$37941,2)</f>
        <v>4.45</v>
      </c>
      <c r="F83" s="172"/>
      <c r="G83" s="171">
        <v>0</v>
      </c>
      <c r="H83" s="188"/>
      <c r="I83" s="171"/>
      <c r="J83" s="171"/>
      <c r="K83" s="171"/>
      <c r="L83" s="171"/>
      <c r="M83" s="171"/>
      <c r="N83" s="171"/>
      <c r="O83" s="171"/>
      <c r="P83" s="189"/>
      <c r="Q83" s="188"/>
      <c r="R83" s="171"/>
      <c r="S83" s="171"/>
      <c r="T83" s="171"/>
      <c r="U83" s="171"/>
      <c r="V83" s="171"/>
      <c r="W83" s="171"/>
      <c r="X83" s="171"/>
      <c r="Y83" s="190"/>
      <c r="Z83" s="171"/>
      <c r="AA83" s="190"/>
      <c r="AB83" s="183">
        <f>0.5*(B83-B82)*G82</f>
        <v>1220.6572769953054</v>
      </c>
      <c r="AC83" s="183"/>
      <c r="AE83" s="206"/>
      <c r="AF83" s="179"/>
      <c r="AG83" s="171">
        <f t="shared" ref="AG83:AG114" si="16">G83/AH83</f>
        <v>0</v>
      </c>
      <c r="AH83" s="174">
        <f t="shared" si="0"/>
        <v>0.55000000000000004</v>
      </c>
      <c r="AJ83" s="174">
        <f t="shared" si="12"/>
        <v>2219.3768672641913</v>
      </c>
      <c r="AK83" s="248"/>
      <c r="AL83" s="174">
        <f>AD83/AH83</f>
        <v>0</v>
      </c>
      <c r="AN83" s="174">
        <f t="shared" si="14"/>
        <v>0</v>
      </c>
      <c r="AO83" s="286"/>
      <c r="AP83" s="303"/>
      <c r="AQ83" s="286"/>
      <c r="AR83" s="303"/>
      <c r="AS83" s="286"/>
      <c r="AT83" s="303"/>
      <c r="AU83" s="180"/>
      <c r="AV83" s="172"/>
      <c r="AW83" s="172"/>
      <c r="AY83" s="183"/>
      <c r="AZ83" s="172"/>
      <c r="BA83" s="179"/>
      <c r="BC83" s="181"/>
      <c r="BE83" s="181"/>
      <c r="BG83" s="181"/>
      <c r="BI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1"/>
    </row>
    <row r="84" spans="1:96" x14ac:dyDescent="0.25">
      <c r="A84">
        <v>2002</v>
      </c>
      <c r="B84">
        <f t="shared" si="15"/>
        <v>1</v>
      </c>
      <c r="C84" s="109">
        <v>37257</v>
      </c>
      <c r="E84">
        <f>VLOOKUP(C84,'Historic Daily flows'!$A$1:$B$37941,2)</f>
        <v>9.4600000000000009</v>
      </c>
      <c r="G84" s="77">
        <v>0</v>
      </c>
      <c r="H84" s="93"/>
      <c r="I84" s="77"/>
      <c r="J84" s="77"/>
      <c r="K84" s="77"/>
      <c r="L84" s="77"/>
      <c r="M84" s="77"/>
      <c r="N84" s="77"/>
      <c r="O84" s="77"/>
      <c r="P84" s="94"/>
      <c r="Q84" s="93"/>
      <c r="R84" s="77"/>
      <c r="S84" s="77"/>
      <c r="T84" s="77"/>
      <c r="U84" s="77"/>
      <c r="V84" s="77"/>
      <c r="W84" s="77"/>
      <c r="X84" s="77"/>
      <c r="Y84" s="169"/>
      <c r="Z84" s="77"/>
      <c r="AA84" s="169"/>
      <c r="AC84" s="61"/>
      <c r="AD84">
        <f t="shared" ref="AD84:AD89" si="17">AD85</f>
        <v>73</v>
      </c>
      <c r="AG84" s="171">
        <f t="shared" si="16"/>
        <v>0</v>
      </c>
      <c r="AH84" s="108">
        <f t="shared" si="0"/>
        <v>0.55000000000000004</v>
      </c>
      <c r="AI84" s="108"/>
      <c r="AJ84" s="108"/>
      <c r="AK84" s="249"/>
      <c r="AL84" s="77">
        <f>MAX($G$84:$G$91)/AH84</f>
        <v>132.72727272727272</v>
      </c>
      <c r="AN84" s="108"/>
      <c r="AO84" s="286"/>
      <c r="AP84" s="303"/>
      <c r="AQ84" s="286"/>
      <c r="AR84" s="303"/>
      <c r="AS84" s="286"/>
      <c r="AT84" s="303">
        <f>AL84*$AS$177</f>
        <v>0</v>
      </c>
      <c r="AU84" s="79">
        <v>0</v>
      </c>
      <c r="BC84" s="120" t="s">
        <v>158</v>
      </c>
      <c r="BD84" s="120" t="s">
        <v>159</v>
      </c>
      <c r="BE84" s="115"/>
      <c r="BF84" s="115"/>
      <c r="BG84" s="115"/>
      <c r="BH84" s="115"/>
      <c r="BI84" s="115"/>
      <c r="BJ84" s="115"/>
      <c r="BK84" s="115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</row>
    <row r="85" spans="1:96" x14ac:dyDescent="0.25">
      <c r="A85">
        <v>2002</v>
      </c>
      <c r="B85">
        <f>C85-DATE(YEAR(C85),1,1)+1</f>
        <v>18</v>
      </c>
      <c r="C85" s="109">
        <v>37274</v>
      </c>
      <c r="D85">
        <v>15</v>
      </c>
      <c r="E85">
        <f>VLOOKUP(C85,'Historic Daily flows'!$A$1:$B$37941,2)</f>
        <v>8.7200000000000006</v>
      </c>
      <c r="G85" s="77">
        <v>17</v>
      </c>
      <c r="AB85" s="61">
        <f>0.5*($B85-$B84)*$G85</f>
        <v>144.5</v>
      </c>
      <c r="AD85">
        <f t="shared" si="17"/>
        <v>73</v>
      </c>
      <c r="AG85" s="171">
        <f t="shared" si="16"/>
        <v>30.909090909090907</v>
      </c>
      <c r="AH85" s="108">
        <f t="shared" si="0"/>
        <v>0.55000000000000004</v>
      </c>
      <c r="AI85" s="108"/>
      <c r="AJ85" s="108">
        <f>0.5*($B85-$B84)*$AG85</f>
        <v>262.72727272727269</v>
      </c>
      <c r="AK85" s="249"/>
      <c r="AL85" s="77">
        <f t="shared" ref="AL85:AL91" si="18">MAX($G$84:$G$91)/AH85</f>
        <v>132.72727272727272</v>
      </c>
      <c r="AM85" s="73"/>
      <c r="AN85" s="108"/>
      <c r="AO85" s="286"/>
      <c r="AP85" s="303"/>
      <c r="AQ85" s="286"/>
      <c r="AR85" s="303"/>
      <c r="AS85" s="286"/>
      <c r="AT85" s="303"/>
      <c r="AU85" s="79">
        <f t="shared" ref="AU85:AU90" si="19">G85/AW85</f>
        <v>68</v>
      </c>
      <c r="AV85">
        <f t="shared" ref="AV85:AV90" si="20">B85/D85</f>
        <v>1.2</v>
      </c>
      <c r="AW85">
        <f t="shared" ref="AW85:AW90" si="21">VLOOKUP(AV85,$CB$102:$CC$271,2)</f>
        <v>0.25</v>
      </c>
      <c r="AZ85">
        <f>0.5*(B85-B84)*AU85</f>
        <v>578</v>
      </c>
      <c r="BB85" s="117">
        <f t="shared" ref="BB85:BB90" si="22">B85</f>
        <v>18</v>
      </c>
      <c r="BC85" s="117">
        <f t="shared" ref="BC85:BC90" si="23">G85/AD85</f>
        <v>0.23287671232876711</v>
      </c>
      <c r="BD85" s="117">
        <v>0.23287671232876711</v>
      </c>
      <c r="BE85" s="112">
        <v>5</v>
      </c>
      <c r="BF85" s="112">
        <f>5/17</f>
        <v>0.29411764705882354</v>
      </c>
      <c r="BG85" s="112">
        <v>11</v>
      </c>
      <c r="BH85" s="112">
        <f>11/17</f>
        <v>0.6470588235294118</v>
      </c>
      <c r="BI85" s="112">
        <v>1</v>
      </c>
      <c r="BJ85" s="112">
        <f>1/17</f>
        <v>5.8823529411764705E-2</v>
      </c>
      <c r="BK85" s="112">
        <f>0/17</f>
        <v>0</v>
      </c>
    </row>
    <row r="86" spans="1:96" x14ac:dyDescent="0.25">
      <c r="A86">
        <v>2002</v>
      </c>
      <c r="B86">
        <f t="shared" ref="B86:B144" si="24">C86-DATE(YEAR(C86),1,1)+1</f>
        <v>44</v>
      </c>
      <c r="C86" s="109">
        <v>37300</v>
      </c>
      <c r="D86">
        <v>12.5</v>
      </c>
      <c r="E86">
        <f>VLOOKUP(C86,'Historic Daily flows'!$A$1:$B$37941,2)</f>
        <v>8.67</v>
      </c>
      <c r="G86" s="77">
        <v>16</v>
      </c>
      <c r="AB86" s="61">
        <f>((B86-B85)*G86)-((B86-B85)*(G86-G85)*0.5)</f>
        <v>429</v>
      </c>
      <c r="AD86">
        <f t="shared" si="17"/>
        <v>73</v>
      </c>
      <c r="AG86" s="171">
        <f t="shared" si="16"/>
        <v>29.09090909090909</v>
      </c>
      <c r="AH86" s="108">
        <f t="shared" si="0"/>
        <v>0.55000000000000004</v>
      </c>
      <c r="AI86" s="108"/>
      <c r="AJ86" s="108">
        <f>((B86-B85)*AG86)-((B86-B85)*(AG86-AG85)*0.5)</f>
        <v>780</v>
      </c>
      <c r="AK86" s="249"/>
      <c r="AL86" s="77">
        <f t="shared" si="18"/>
        <v>132.72727272727272</v>
      </c>
      <c r="AM86" s="73"/>
      <c r="AN86" s="108"/>
      <c r="AO86" s="286"/>
      <c r="AP86" s="303"/>
      <c r="AQ86" s="286"/>
      <c r="AR86" s="303"/>
      <c r="AS86" s="286"/>
      <c r="AT86" s="303"/>
      <c r="AU86" s="79">
        <f t="shared" si="19"/>
        <v>64</v>
      </c>
      <c r="AV86">
        <f t="shared" si="20"/>
        <v>3.52</v>
      </c>
      <c r="AW86">
        <f t="shared" si="21"/>
        <v>0.25</v>
      </c>
      <c r="AZ86">
        <f>((B86-B85)*AU86)-((B86-B85)*(AU86-AU85)*0.5)</f>
        <v>1716</v>
      </c>
      <c r="BB86" s="117">
        <f t="shared" si="22"/>
        <v>44</v>
      </c>
      <c r="BC86" s="117">
        <f t="shared" si="23"/>
        <v>0.21917808219178081</v>
      </c>
      <c r="BD86" s="117">
        <v>0.21917808219178081</v>
      </c>
      <c r="BE86" s="112">
        <v>4</v>
      </c>
      <c r="BF86" s="112">
        <f>4/16</f>
        <v>0.25</v>
      </c>
      <c r="BG86" s="112">
        <v>12</v>
      </c>
      <c r="BH86" s="112">
        <f>12/16</f>
        <v>0.75</v>
      </c>
      <c r="BI86" s="112">
        <v>0</v>
      </c>
      <c r="BJ86" s="112">
        <f>0/15</f>
        <v>0</v>
      </c>
      <c r="BK86" s="112">
        <f>0/16</f>
        <v>0</v>
      </c>
      <c r="CB86" t="s">
        <v>134</v>
      </c>
    </row>
    <row r="87" spans="1:96" x14ac:dyDescent="0.25">
      <c r="A87">
        <v>2002</v>
      </c>
      <c r="B87">
        <f t="shared" si="24"/>
        <v>68</v>
      </c>
      <c r="C87" s="109">
        <v>37324</v>
      </c>
      <c r="D87">
        <v>9</v>
      </c>
      <c r="E87">
        <f>VLOOKUP(C87,'Historic Daily flows'!$A$1:$B$37941,2)</f>
        <v>4.54</v>
      </c>
      <c r="G87" s="77">
        <v>46</v>
      </c>
      <c r="AB87" s="61">
        <f>((B87-B86)*G87)-((B87-B86)*(G87-G86)*0.5)</f>
        <v>744</v>
      </c>
      <c r="AD87">
        <f t="shared" si="17"/>
        <v>73</v>
      </c>
      <c r="AG87" s="171">
        <f t="shared" si="16"/>
        <v>83.636363636363626</v>
      </c>
      <c r="AH87" s="108">
        <f t="shared" ref="AH87:AH150" si="25">$AI$1</f>
        <v>0.55000000000000004</v>
      </c>
      <c r="AI87" s="108"/>
      <c r="AJ87" s="108">
        <f>((B87-B86)*AG87)-((B87-B86)*(AG87-AG86)*0.5)</f>
        <v>1352.7272727272725</v>
      </c>
      <c r="AK87" s="249"/>
      <c r="AL87" s="77">
        <f t="shared" si="18"/>
        <v>132.72727272727272</v>
      </c>
      <c r="AM87" s="73"/>
      <c r="AN87" s="108"/>
      <c r="AO87" s="286"/>
      <c r="AP87" s="303"/>
      <c r="AQ87" s="286"/>
      <c r="AR87" s="303"/>
      <c r="AS87" s="286"/>
      <c r="AT87" s="303"/>
      <c r="AU87" s="79">
        <f t="shared" si="19"/>
        <v>119.7230753214306</v>
      </c>
      <c r="AV87">
        <f t="shared" si="20"/>
        <v>7.5555555555555554</v>
      </c>
      <c r="AW87">
        <f t="shared" si="21"/>
        <v>0.38421999999999945</v>
      </c>
      <c r="AZ87">
        <f>((B87-B86)*AU87)-((B87-B86)*(AU87-AU86)*0.5)</f>
        <v>2204.6769038571674</v>
      </c>
      <c r="BB87" s="117">
        <f t="shared" si="22"/>
        <v>68</v>
      </c>
      <c r="BC87" s="117">
        <f t="shared" si="23"/>
        <v>0.63013698630136983</v>
      </c>
      <c r="BD87" s="117">
        <v>0.63013698630136983</v>
      </c>
      <c r="BE87" s="112">
        <v>11</v>
      </c>
      <c r="BF87" s="112">
        <f>11/46</f>
        <v>0.2391304347826087</v>
      </c>
      <c r="BG87" s="112">
        <v>29</v>
      </c>
      <c r="BH87" s="112">
        <f>29/46</f>
        <v>0.63043478260869568</v>
      </c>
      <c r="BI87" s="112">
        <v>6</v>
      </c>
      <c r="BJ87" s="112">
        <f>6/46</f>
        <v>0.13043478260869565</v>
      </c>
      <c r="BK87" s="112">
        <v>0</v>
      </c>
    </row>
    <row r="88" spans="1:96" x14ac:dyDescent="0.25">
      <c r="A88">
        <v>2002</v>
      </c>
      <c r="B88">
        <f t="shared" si="24"/>
        <v>81</v>
      </c>
      <c r="C88" s="109">
        <v>37337</v>
      </c>
      <c r="D88">
        <v>10.5</v>
      </c>
      <c r="E88">
        <f>VLOOKUP(C88,'Historic Daily flows'!$A$1:$B$37941,2)</f>
        <v>6.22</v>
      </c>
      <c r="G88" s="77">
        <v>50</v>
      </c>
      <c r="AB88" s="61">
        <f>((B88-B87)*G88)-((B88-B87)*(G88-G87)*0.5)</f>
        <v>624</v>
      </c>
      <c r="AD88">
        <f t="shared" si="17"/>
        <v>73</v>
      </c>
      <c r="AG88" s="171">
        <f t="shared" si="16"/>
        <v>90.909090909090907</v>
      </c>
      <c r="AH88" s="108">
        <f t="shared" si="25"/>
        <v>0.55000000000000004</v>
      </c>
      <c r="AI88" s="108"/>
      <c r="AJ88" s="108">
        <f>((B88-B87)*AG88)-((B88-B87)*(AG88-AG87)*0.5)</f>
        <v>1134.5454545454545</v>
      </c>
      <c r="AK88" s="249"/>
      <c r="AL88" s="77">
        <f t="shared" si="18"/>
        <v>132.72727272727272</v>
      </c>
      <c r="AM88" s="73"/>
      <c r="AN88" s="108"/>
      <c r="AO88" s="286"/>
      <c r="AP88" s="303"/>
      <c r="AQ88" s="286"/>
      <c r="AR88" s="303"/>
      <c r="AS88" s="286"/>
      <c r="AT88" s="303"/>
      <c r="AU88" s="79">
        <f t="shared" si="19"/>
        <v>126.68490929360513</v>
      </c>
      <c r="AV88">
        <f t="shared" si="20"/>
        <v>7.7142857142857144</v>
      </c>
      <c r="AW88">
        <f t="shared" si="21"/>
        <v>0.39467999999999942</v>
      </c>
      <c r="AZ88">
        <f>((B88-B87)*AU88)-((B88-B87)*(AU88-AU87)*0.5)</f>
        <v>1601.6518999977322</v>
      </c>
      <c r="BB88" s="117">
        <f t="shared" si="22"/>
        <v>81</v>
      </c>
      <c r="BC88" s="117">
        <f t="shared" si="23"/>
        <v>0.68493150684931503</v>
      </c>
      <c r="BD88" s="117">
        <v>0.68493150684931503</v>
      </c>
      <c r="BE88" s="112">
        <v>9</v>
      </c>
      <c r="BF88" s="112">
        <f>9/50</f>
        <v>0.18</v>
      </c>
      <c r="BG88" s="112">
        <v>30</v>
      </c>
      <c r="BH88" s="111">
        <f>30/50</f>
        <v>0.6</v>
      </c>
      <c r="BI88" s="111">
        <v>11</v>
      </c>
      <c r="BJ88" s="112">
        <f>11/50</f>
        <v>0.22</v>
      </c>
      <c r="BK88" s="112">
        <f>0/72</f>
        <v>0</v>
      </c>
      <c r="CB88" t="s">
        <v>133</v>
      </c>
    </row>
    <row r="89" spans="1:96" x14ac:dyDescent="0.25">
      <c r="A89">
        <v>2002</v>
      </c>
      <c r="B89">
        <f t="shared" si="24"/>
        <v>116</v>
      </c>
      <c r="C89" s="109">
        <v>37372</v>
      </c>
      <c r="D89">
        <v>7.62</v>
      </c>
      <c r="E89">
        <f>VLOOKUP(C89,'Historic Daily flows'!$A$1:$B$37941,2)</f>
        <v>9.19</v>
      </c>
      <c r="G89" s="77">
        <v>73</v>
      </c>
      <c r="AB89" s="61">
        <f>((B89-B88)*G89)-((B89-B88)*(G89-G88)*0.5)</f>
        <v>2152.5</v>
      </c>
      <c r="AD89">
        <f t="shared" si="17"/>
        <v>73</v>
      </c>
      <c r="AG89" s="171">
        <f>G89/AH89</f>
        <v>132.72727272727272</v>
      </c>
      <c r="AH89" s="108">
        <f t="shared" si="25"/>
        <v>0.55000000000000004</v>
      </c>
      <c r="AI89" s="108"/>
      <c r="AJ89" s="108">
        <f>((B89-B88)*AG89)-((B89-B88)*(AG89-AG88)*0.5)</f>
        <v>3913.6363636363631</v>
      </c>
      <c r="AK89" s="249"/>
      <c r="AL89" s="77">
        <f t="shared" si="18"/>
        <v>132.72727272727272</v>
      </c>
      <c r="AM89" s="73"/>
      <c r="AN89" s="108"/>
      <c r="AO89" s="286"/>
      <c r="AP89" s="303"/>
      <c r="AQ89" s="286"/>
      <c r="AR89" s="303"/>
      <c r="AS89" s="286"/>
      <c r="AT89" s="303"/>
      <c r="AU89" s="79">
        <f t="shared" si="19"/>
        <v>92.153100383760858</v>
      </c>
      <c r="AV89">
        <f t="shared" si="20"/>
        <v>15.223097112860891</v>
      </c>
      <c r="AW89">
        <f t="shared" si="21"/>
        <v>0.79215999999999998</v>
      </c>
      <c r="AZ89">
        <f>((B89-B88)*AU89)-((B89-B88)*(AU89-AU88)*0.5)</f>
        <v>3829.6651693539047</v>
      </c>
      <c r="BB89" s="117">
        <f t="shared" si="22"/>
        <v>116</v>
      </c>
      <c r="BC89" s="117">
        <f t="shared" si="23"/>
        <v>1</v>
      </c>
      <c r="BD89" s="117">
        <v>1</v>
      </c>
      <c r="BE89" s="112">
        <v>10</v>
      </c>
      <c r="BF89" s="112">
        <f>10/72</f>
        <v>0.1388888888888889</v>
      </c>
      <c r="BG89" s="112">
        <v>23</v>
      </c>
      <c r="BH89" s="112">
        <f>23/72</f>
        <v>0.31944444444444442</v>
      </c>
      <c r="BI89" s="111">
        <v>34</v>
      </c>
      <c r="BJ89" s="112">
        <f>34/72</f>
        <v>0.47222222222222221</v>
      </c>
      <c r="BK89" s="112">
        <v>3</v>
      </c>
      <c r="CB89">
        <v>5.2299999999999999E-2</v>
      </c>
      <c r="CC89">
        <v>2.8E-3</v>
      </c>
    </row>
    <row r="90" spans="1:96" x14ac:dyDescent="0.25">
      <c r="A90">
        <v>2002</v>
      </c>
      <c r="B90">
        <f t="shared" si="24"/>
        <v>134</v>
      </c>
      <c r="C90" s="109">
        <v>37390</v>
      </c>
      <c r="D90">
        <v>10.6</v>
      </c>
      <c r="E90">
        <f>VLOOKUP(C90,'Historic Daily flows'!$A$1:$B$37941,2)</f>
        <v>10.6</v>
      </c>
      <c r="G90" s="77">
        <v>29</v>
      </c>
      <c r="AB90" s="61">
        <f>((B90-B89)*G90)-((B90-B89)*(G90-G89)*0.5)</f>
        <v>918</v>
      </c>
      <c r="AD90">
        <f>AD91</f>
        <v>73</v>
      </c>
      <c r="AG90" s="171">
        <f t="shared" si="16"/>
        <v>52.72727272727272</v>
      </c>
      <c r="AH90" s="108">
        <f t="shared" si="25"/>
        <v>0.55000000000000004</v>
      </c>
      <c r="AI90" s="108"/>
      <c r="AJ90" s="108">
        <f>((B90-B89)*AG90)-((B90-B89)*(AG90-AG89)*0.5)</f>
        <v>1669.090909090909</v>
      </c>
      <c r="AK90" s="249"/>
      <c r="AL90" s="77">
        <f t="shared" si="18"/>
        <v>132.72727272727272</v>
      </c>
      <c r="AM90" s="73"/>
      <c r="AN90" s="108"/>
      <c r="AO90" s="286"/>
      <c r="AP90" s="303"/>
      <c r="AQ90" s="286"/>
      <c r="AR90" s="303"/>
      <c r="AS90" s="286"/>
      <c r="AT90" s="303"/>
      <c r="AU90" s="79">
        <f t="shared" si="19"/>
        <v>44.195190344112895</v>
      </c>
      <c r="AV90">
        <f t="shared" si="20"/>
        <v>12.641509433962264</v>
      </c>
      <c r="AW90">
        <f t="shared" si="21"/>
        <v>0.65617999999999999</v>
      </c>
      <c r="AZ90">
        <f>((B90-B89)*AU90)-((B90-B89)*(AU90-AU89)*0.5)</f>
        <v>1227.1346165508639</v>
      </c>
      <c r="BB90" s="117">
        <f t="shared" si="22"/>
        <v>134</v>
      </c>
      <c r="BC90" s="117">
        <f t="shared" si="23"/>
        <v>0.39726027397260272</v>
      </c>
      <c r="BE90" s="112">
        <v>3</v>
      </c>
      <c r="BF90" s="112">
        <f>3/28</f>
        <v>0.10714285714285714</v>
      </c>
      <c r="BG90" s="112">
        <v>9</v>
      </c>
      <c r="BH90" s="112">
        <f>9/28</f>
        <v>0.32142857142857145</v>
      </c>
      <c r="BI90" s="111">
        <v>16</v>
      </c>
      <c r="BJ90" s="112">
        <f>16/28</f>
        <v>0.5714285714285714</v>
      </c>
    </row>
    <row r="91" spans="1:96" x14ac:dyDescent="0.25">
      <c r="A91">
        <v>2002</v>
      </c>
      <c r="B91">
        <f t="shared" si="24"/>
        <v>151</v>
      </c>
      <c r="C91" s="109">
        <v>37407</v>
      </c>
      <c r="E91">
        <f>VLOOKUP(C91,'Historic Daily flows'!$A$1:$B$37941,2)</f>
        <v>10.7</v>
      </c>
      <c r="G91" s="77">
        <v>0</v>
      </c>
      <c r="AB91" s="61">
        <f>0.5*(B91-B90)*G90</f>
        <v>246.5</v>
      </c>
      <c r="AC91">
        <f>AF91/$AF$1</f>
        <v>6.8</v>
      </c>
      <c r="AD91">
        <f>MAX(G84:G91)</f>
        <v>73</v>
      </c>
      <c r="AE91" s="73">
        <f>AC91/AD91</f>
        <v>9.3150684931506841E-2</v>
      </c>
      <c r="AF91" s="279">
        <v>340</v>
      </c>
      <c r="AG91" s="171">
        <f t="shared" si="16"/>
        <v>0</v>
      </c>
      <c r="AH91" s="108">
        <f t="shared" si="25"/>
        <v>0.55000000000000004</v>
      </c>
      <c r="AI91" s="108"/>
      <c r="AJ91" s="108">
        <f>0.5*(B91-B90)*AG90</f>
        <v>448.18181818181813</v>
      </c>
      <c r="AK91" s="248">
        <f>AN91/$AN$1</f>
        <v>191.21818181818179</v>
      </c>
      <c r="AL91" s="77">
        <f t="shared" si="18"/>
        <v>132.72727272727272</v>
      </c>
      <c r="AM91" s="73">
        <f>AK91/AL91</f>
        <v>1.4406849315068493</v>
      </c>
      <c r="AN91" s="108">
        <f>SUM(AJ85:AJ91)</f>
        <v>9560.9090909090901</v>
      </c>
      <c r="AO91" s="286">
        <v>340</v>
      </c>
      <c r="AP91" s="303">
        <v>4.57</v>
      </c>
      <c r="AQ91" s="290">
        <f>AO91</f>
        <v>340</v>
      </c>
      <c r="AR91" s="303">
        <v>340</v>
      </c>
      <c r="AS91" s="286">
        <v>4.6500000000000004</v>
      </c>
      <c r="AT91" s="303">
        <f>AL91*$AS$177</f>
        <v>0</v>
      </c>
      <c r="AU91" s="79">
        <v>0</v>
      </c>
      <c r="AX91">
        <f>BA91/BA1</f>
        <v>230.65575415369256</v>
      </c>
      <c r="AY91" s="61">
        <f>AX91/AD91</f>
        <v>3.1596678651190762</v>
      </c>
      <c r="AZ91">
        <f>0.5*(B91-B90)*AU90</f>
        <v>375.65911792495962</v>
      </c>
      <c r="BA91" s="78">
        <f>SUM(AZ85:AZ91)</f>
        <v>11532.787707684627</v>
      </c>
    </row>
    <row r="92" spans="1:96" s="172" customFormat="1" x14ac:dyDescent="0.25">
      <c r="A92" s="172">
        <v>2003</v>
      </c>
      <c r="B92" s="172">
        <f t="shared" si="24"/>
        <v>1</v>
      </c>
      <c r="C92" s="191">
        <v>37622</v>
      </c>
      <c r="E92" s="172">
        <f>VLOOKUP(C92,'Historic Daily flows'!$A$1:$B$37941,2)</f>
        <v>14.6</v>
      </c>
      <c r="G92" s="192">
        <v>0</v>
      </c>
      <c r="H92" s="193"/>
      <c r="P92" s="194"/>
      <c r="Q92" s="193"/>
      <c r="Y92" s="195"/>
      <c r="AA92" s="195"/>
      <c r="AB92" s="183"/>
      <c r="AD92" s="172">
        <f t="shared" ref="AD92:AD97" si="26">AD93</f>
        <v>50</v>
      </c>
      <c r="AE92" s="206"/>
      <c r="AF92" s="196"/>
      <c r="AG92" s="171">
        <f t="shared" si="16"/>
        <v>0</v>
      </c>
      <c r="AH92" s="174">
        <f t="shared" si="25"/>
        <v>0.55000000000000004</v>
      </c>
      <c r="AI92" s="174"/>
      <c r="AJ92" s="174"/>
      <c r="AK92" s="249"/>
      <c r="AL92" s="192">
        <f>MAX($G$92:$G$99)/AH92</f>
        <v>90.909090909090907</v>
      </c>
      <c r="AM92" s="206"/>
      <c r="AN92" s="174"/>
      <c r="AO92" s="286"/>
      <c r="AP92" s="303"/>
      <c r="AQ92" s="286"/>
      <c r="AR92" s="303"/>
      <c r="AS92" s="286"/>
      <c r="AT92" s="303"/>
      <c r="AU92" s="197">
        <v>0</v>
      </c>
      <c r="AY92" s="183"/>
      <c r="BA92" s="196"/>
    </row>
    <row r="93" spans="1:96" s="172" customFormat="1" x14ac:dyDescent="0.25">
      <c r="A93" s="172">
        <v>2003</v>
      </c>
      <c r="B93" s="172">
        <f t="shared" si="24"/>
        <v>20</v>
      </c>
      <c r="C93" s="191">
        <v>37641</v>
      </c>
      <c r="D93" s="172">
        <v>11</v>
      </c>
      <c r="E93" s="172">
        <f>VLOOKUP(C93,'Historic Daily flows'!$A$1:$B$37941,2)</f>
        <v>8.27</v>
      </c>
      <c r="G93" s="192">
        <v>5</v>
      </c>
      <c r="H93" s="193"/>
      <c r="P93" s="194"/>
      <c r="Q93" s="193"/>
      <c r="Y93" s="195"/>
      <c r="AA93" s="195"/>
      <c r="AB93" s="183">
        <f>0.5*(B93-B92)*G93</f>
        <v>47.5</v>
      </c>
      <c r="AD93" s="172">
        <f t="shared" si="26"/>
        <v>50</v>
      </c>
      <c r="AE93" s="206"/>
      <c r="AF93" s="196"/>
      <c r="AG93" s="171">
        <f t="shared" si="16"/>
        <v>9.0909090909090899</v>
      </c>
      <c r="AH93" s="174">
        <f t="shared" si="25"/>
        <v>0.55000000000000004</v>
      </c>
      <c r="AI93" s="174"/>
      <c r="AJ93" s="174">
        <f>0.5*($B93-$B92)*$AG93</f>
        <v>86.36363636363636</v>
      </c>
      <c r="AK93" s="249"/>
      <c r="AL93" s="192">
        <f t="shared" ref="AL93:AL99" si="27">MAX($G$92:$G$99)/AH93</f>
        <v>90.909090909090907</v>
      </c>
      <c r="AM93" s="206"/>
      <c r="AN93" s="174"/>
      <c r="AO93" s="286"/>
      <c r="AP93" s="303"/>
      <c r="AQ93" s="286"/>
      <c r="AR93" s="303"/>
      <c r="AS93" s="286"/>
      <c r="AT93" s="303"/>
      <c r="AU93" s="197">
        <f t="shared" ref="AU93:AU98" si="28">G93/AW93</f>
        <v>20</v>
      </c>
      <c r="AV93" s="172">
        <f t="shared" ref="AV93:AV98" si="29">B93/D93</f>
        <v>1.8181818181818181</v>
      </c>
      <c r="AW93" s="172">
        <f t="shared" ref="AW93:AW98" si="30">VLOOKUP(AV93,$CB$102:$CC$271,2)</f>
        <v>0.25</v>
      </c>
      <c r="AY93" s="183"/>
      <c r="AZ93" s="172">
        <f>0.5*(B93-B92)*AU93</f>
        <v>190</v>
      </c>
      <c r="BA93" s="196"/>
      <c r="BB93" s="172">
        <f t="shared" ref="BB93:BB98" si="31">B93</f>
        <v>20</v>
      </c>
      <c r="BC93" s="172">
        <f t="shared" ref="BC93:BC98" si="32">G93/AD93</f>
        <v>0.1</v>
      </c>
      <c r="BD93" s="172">
        <v>0.1</v>
      </c>
      <c r="BH93" s="198"/>
      <c r="BI93" s="198"/>
      <c r="CF93" s="199" t="s">
        <v>160</v>
      </c>
      <c r="CL93" s="199" t="s">
        <v>178</v>
      </c>
    </row>
    <row r="94" spans="1:96" s="172" customFormat="1" x14ac:dyDescent="0.25">
      <c r="A94" s="172">
        <v>2003</v>
      </c>
      <c r="B94" s="172">
        <f t="shared" si="24"/>
        <v>43</v>
      </c>
      <c r="C94" s="191">
        <v>37664</v>
      </c>
      <c r="D94" s="172">
        <v>7.5</v>
      </c>
      <c r="E94" s="172">
        <f>VLOOKUP(C94,'Historic Daily flows'!$A$1:$B$37941,2)</f>
        <v>4.29</v>
      </c>
      <c r="G94" s="192">
        <v>19</v>
      </c>
      <c r="H94" s="193"/>
      <c r="P94" s="194"/>
      <c r="Q94" s="193"/>
      <c r="Y94" s="195"/>
      <c r="AA94" s="195"/>
      <c r="AB94" s="183">
        <f>((B94-B93)*G94)-((B94-B93)*(G94-G93)*0.5)</f>
        <v>276</v>
      </c>
      <c r="AD94" s="172">
        <f t="shared" si="26"/>
        <v>50</v>
      </c>
      <c r="AE94" s="206"/>
      <c r="AF94" s="196"/>
      <c r="AG94" s="171">
        <f t="shared" si="16"/>
        <v>34.54545454545454</v>
      </c>
      <c r="AH94" s="174">
        <f t="shared" si="25"/>
        <v>0.55000000000000004</v>
      </c>
      <c r="AI94" s="174"/>
      <c r="AJ94" s="174">
        <f>((B94-B93)*AG94)-((B94-B93)*(AG94-AG93)*0.5)</f>
        <v>501.8181818181817</v>
      </c>
      <c r="AK94" s="249"/>
      <c r="AL94" s="192">
        <f t="shared" si="27"/>
        <v>90.909090909090907</v>
      </c>
      <c r="AM94" s="206"/>
      <c r="AN94" s="174"/>
      <c r="AO94" s="286"/>
      <c r="AP94" s="303"/>
      <c r="AQ94" s="286"/>
      <c r="AR94" s="303"/>
      <c r="AS94" s="286"/>
      <c r="AT94" s="303"/>
      <c r="AU94" s="197">
        <f t="shared" si="28"/>
        <v>65.499172642029791</v>
      </c>
      <c r="AV94" s="172">
        <f t="shared" si="29"/>
        <v>5.7333333333333334</v>
      </c>
      <c r="AW94" s="172">
        <f t="shared" si="30"/>
        <v>0.29007999999999995</v>
      </c>
      <c r="AY94" s="183"/>
      <c r="AZ94" s="172">
        <f>((B94-B93)*AU94)-((B94-B93)*(AU94-AU93)*0.5)</f>
        <v>983.24048538334262</v>
      </c>
      <c r="BA94" s="196"/>
      <c r="BB94" s="172">
        <f t="shared" si="31"/>
        <v>43</v>
      </c>
      <c r="BC94" s="172">
        <f t="shared" si="32"/>
        <v>0.38</v>
      </c>
      <c r="BD94" s="172">
        <v>0.38</v>
      </c>
      <c r="BE94" s="172">
        <v>1</v>
      </c>
      <c r="BF94" s="172">
        <f>1/19</f>
        <v>5.2631578947368418E-2</v>
      </c>
      <c r="BG94" s="172">
        <v>15</v>
      </c>
      <c r="BH94" s="172">
        <f>15/19</f>
        <v>0.78947368421052633</v>
      </c>
      <c r="BI94" s="172">
        <v>3</v>
      </c>
      <c r="BJ94" s="172">
        <f>3/19</f>
        <v>0.15789473684210525</v>
      </c>
    </row>
    <row r="95" spans="1:96" s="172" customFormat="1" x14ac:dyDescent="0.25">
      <c r="A95" s="172">
        <v>2003</v>
      </c>
      <c r="B95" s="172">
        <f t="shared" si="24"/>
        <v>66</v>
      </c>
      <c r="C95" s="191">
        <v>37687</v>
      </c>
      <c r="D95" s="172">
        <v>3.5</v>
      </c>
      <c r="E95" s="172">
        <f>VLOOKUP(C95,'Historic Daily flows'!$A$1:$B$37941,2)</f>
        <v>2.4500000000000002</v>
      </c>
      <c r="G95" s="192">
        <v>21</v>
      </c>
      <c r="H95" s="193"/>
      <c r="P95" s="194"/>
      <c r="Q95" s="193"/>
      <c r="Y95" s="195"/>
      <c r="AA95" s="195"/>
      <c r="AB95" s="183">
        <f>((B95-B94)*G95)-((B95-B94)*(G95-G94)*0.5)</f>
        <v>460</v>
      </c>
      <c r="AD95" s="172">
        <f t="shared" si="26"/>
        <v>50</v>
      </c>
      <c r="AE95" s="206"/>
      <c r="AF95" s="196"/>
      <c r="AG95" s="171">
        <f t="shared" si="16"/>
        <v>38.18181818181818</v>
      </c>
      <c r="AH95" s="174">
        <f t="shared" si="25"/>
        <v>0.55000000000000004</v>
      </c>
      <c r="AI95" s="174"/>
      <c r="AJ95" s="174">
        <f>((B95-B94)*AG95)-((B95-B94)*(AG95-AG94)*0.5)</f>
        <v>836.36363636363626</v>
      </c>
      <c r="AK95" s="249"/>
      <c r="AL95" s="192">
        <f t="shared" si="27"/>
        <v>90.909090909090907</v>
      </c>
      <c r="AM95" s="206"/>
      <c r="AN95" s="174"/>
      <c r="AO95" s="286"/>
      <c r="AP95" s="303"/>
      <c r="AQ95" s="286"/>
      <c r="AR95" s="303"/>
      <c r="AS95" s="286"/>
      <c r="AT95" s="303"/>
      <c r="AU95" s="197">
        <f t="shared" si="28"/>
        <v>21.649930926410853</v>
      </c>
      <c r="AV95" s="172">
        <f t="shared" si="29"/>
        <v>18.857142857142858</v>
      </c>
      <c r="AW95" s="172">
        <f t="shared" si="30"/>
        <v>0.96998000000000006</v>
      </c>
      <c r="AY95" s="183"/>
      <c r="AZ95" s="172">
        <f>((B95-B94)*AU95)-((B95-B94)*(AU95-AU94)*0.5)</f>
        <v>1002.2146910370675</v>
      </c>
      <c r="BA95" s="196"/>
      <c r="BB95" s="172">
        <f t="shared" si="31"/>
        <v>66</v>
      </c>
      <c r="BC95" s="172">
        <f t="shared" si="32"/>
        <v>0.42</v>
      </c>
      <c r="BD95" s="172">
        <v>0.42</v>
      </c>
      <c r="BE95" s="172">
        <v>6</v>
      </c>
      <c r="BF95" s="200">
        <f>6/21</f>
        <v>0.2857142857142857</v>
      </c>
      <c r="BG95" s="200">
        <v>13</v>
      </c>
      <c r="BH95" s="172">
        <f>13/21</f>
        <v>0.61904761904761907</v>
      </c>
      <c r="BI95" s="172">
        <v>2</v>
      </c>
      <c r="BJ95" s="172">
        <f>2/21</f>
        <v>9.5238095238095233E-2</v>
      </c>
      <c r="BK95" s="172">
        <f>0/21</f>
        <v>0</v>
      </c>
      <c r="CF95" s="199" t="s">
        <v>162</v>
      </c>
      <c r="CL95" s="199" t="s">
        <v>169</v>
      </c>
      <c r="CR95" s="172" t="s">
        <v>169</v>
      </c>
    </row>
    <row r="96" spans="1:96" s="172" customFormat="1" x14ac:dyDescent="0.25">
      <c r="A96" s="172">
        <v>2003</v>
      </c>
      <c r="B96" s="172">
        <f t="shared" si="24"/>
        <v>97</v>
      </c>
      <c r="C96" s="191">
        <v>37718</v>
      </c>
      <c r="D96" s="172">
        <v>12.7</v>
      </c>
      <c r="E96" s="172">
        <f>VLOOKUP(C96,'Historic Daily flows'!$A$1:$B$37941,2)</f>
        <v>23.2</v>
      </c>
      <c r="G96" s="192">
        <v>46</v>
      </c>
      <c r="H96" s="193"/>
      <c r="P96" s="194"/>
      <c r="Q96" s="193"/>
      <c r="Y96" s="195"/>
      <c r="AA96" s="195"/>
      <c r="AB96" s="183">
        <f>((B96-B95)*G96)-((B96-B95)*(G96-G95)*0.5)</f>
        <v>1038.5</v>
      </c>
      <c r="AD96" s="172">
        <f t="shared" si="26"/>
        <v>50</v>
      </c>
      <c r="AE96" s="206"/>
      <c r="AF96" s="196"/>
      <c r="AG96" s="171">
        <f t="shared" si="16"/>
        <v>83.636363636363626</v>
      </c>
      <c r="AH96" s="174">
        <f t="shared" si="25"/>
        <v>0.55000000000000004</v>
      </c>
      <c r="AI96" s="174"/>
      <c r="AJ96" s="174">
        <f>((B96-B95)*AG96)-((B96-B95)*(AG96-AG95)*0.5)</f>
        <v>1888.181818181818</v>
      </c>
      <c r="AK96" s="249"/>
      <c r="AL96" s="192">
        <f t="shared" si="27"/>
        <v>90.909090909090907</v>
      </c>
      <c r="AM96" s="206"/>
      <c r="AN96" s="174"/>
      <c r="AO96" s="286"/>
      <c r="AP96" s="303"/>
      <c r="AQ96" s="286"/>
      <c r="AR96" s="303"/>
      <c r="AS96" s="286"/>
      <c r="AT96" s="303"/>
      <c r="AU96" s="197">
        <f t="shared" si="28"/>
        <v>116.55011655011673</v>
      </c>
      <c r="AV96" s="172">
        <f t="shared" si="29"/>
        <v>7.6377952755905518</v>
      </c>
      <c r="AW96" s="172">
        <f t="shared" si="30"/>
        <v>0.39467999999999942</v>
      </c>
      <c r="AY96" s="183"/>
      <c r="AZ96" s="172">
        <f>((B96-B95)*AU96)-((B96-B95)*(AU96-AU95)*0.5)</f>
        <v>2142.1007358861771</v>
      </c>
      <c r="BA96" s="196"/>
      <c r="BB96" s="172">
        <f t="shared" si="31"/>
        <v>97</v>
      </c>
      <c r="BC96" s="172">
        <f t="shared" si="32"/>
        <v>0.92</v>
      </c>
      <c r="BD96" s="172">
        <v>0.92</v>
      </c>
      <c r="BE96" s="172">
        <v>10</v>
      </c>
      <c r="BF96" s="172">
        <f>10/46</f>
        <v>0.21739130434782608</v>
      </c>
      <c r="BG96" s="172">
        <v>16</v>
      </c>
      <c r="BH96" s="172">
        <f>16/46</f>
        <v>0.34782608695652173</v>
      </c>
      <c r="BI96" s="172">
        <v>20</v>
      </c>
      <c r="BJ96" s="172">
        <f>20/46</f>
        <v>0.43478260869565216</v>
      </c>
      <c r="BK96" s="172">
        <f>0/46</f>
        <v>0</v>
      </c>
      <c r="CF96" s="199" t="s">
        <v>163</v>
      </c>
    </row>
    <row r="97" spans="1:100" s="172" customFormat="1" x14ac:dyDescent="0.25">
      <c r="A97" s="172">
        <v>2003</v>
      </c>
      <c r="B97" s="172">
        <f t="shared" si="24"/>
        <v>113</v>
      </c>
      <c r="C97" s="191">
        <v>37734</v>
      </c>
      <c r="D97" s="172">
        <v>10.5</v>
      </c>
      <c r="E97" s="172">
        <f>VLOOKUP(C97,'Historic Daily flows'!$A$1:$B$37941,2)</f>
        <v>8.0399999999999991</v>
      </c>
      <c r="G97" s="192">
        <v>50</v>
      </c>
      <c r="H97" s="193"/>
      <c r="P97" s="194"/>
      <c r="Q97" s="193"/>
      <c r="Y97" s="195"/>
      <c r="AA97" s="195"/>
      <c r="AB97" s="183">
        <f>((B97-B96)*G97)-((B97-B96)*(G97-G96)*0.5)</f>
        <v>768</v>
      </c>
      <c r="AD97" s="172">
        <f t="shared" si="26"/>
        <v>50</v>
      </c>
      <c r="AE97" s="206"/>
      <c r="AF97" s="196"/>
      <c r="AG97" s="171">
        <f t="shared" si="16"/>
        <v>90.909090909090907</v>
      </c>
      <c r="AH97" s="174">
        <f t="shared" si="25"/>
        <v>0.55000000000000004</v>
      </c>
      <c r="AI97" s="174"/>
      <c r="AJ97" s="174">
        <f>((B97-B96)*AG97)-((B97-B96)*(AG97-AG96)*0.5)</f>
        <v>1396.3636363636363</v>
      </c>
      <c r="AK97" s="249"/>
      <c r="AL97" s="192">
        <f t="shared" si="27"/>
        <v>90.909090909090907</v>
      </c>
      <c r="AM97" s="206"/>
      <c r="AN97" s="174"/>
      <c r="AO97" s="286"/>
      <c r="AP97" s="303"/>
      <c r="AQ97" s="286"/>
      <c r="AR97" s="303"/>
      <c r="AS97" s="286"/>
      <c r="AT97" s="303"/>
      <c r="AU97" s="197">
        <f t="shared" si="28"/>
        <v>90.648681968164183</v>
      </c>
      <c r="AV97" s="172">
        <f t="shared" si="29"/>
        <v>10.761904761904763</v>
      </c>
      <c r="AW97" s="172">
        <f t="shared" si="30"/>
        <v>0.55157999999999996</v>
      </c>
      <c r="AY97" s="183"/>
      <c r="AZ97" s="172">
        <f>((B97-B96)*AU97)-((B97-B96)*(AU97-AU96)*0.5)</f>
        <v>1657.5903881462473</v>
      </c>
      <c r="BA97" s="196"/>
      <c r="BB97" s="172">
        <f t="shared" si="31"/>
        <v>113</v>
      </c>
      <c r="BC97" s="172">
        <f t="shared" si="32"/>
        <v>1</v>
      </c>
      <c r="BD97" s="172">
        <v>1</v>
      </c>
      <c r="BE97" s="172">
        <v>14</v>
      </c>
      <c r="BF97" s="172">
        <f>14/46</f>
        <v>0.30434782608695654</v>
      </c>
      <c r="BG97" s="172">
        <v>13</v>
      </c>
      <c r="BH97" s="172">
        <f>13/46</f>
        <v>0.28260869565217389</v>
      </c>
      <c r="BI97" s="172">
        <v>19</v>
      </c>
      <c r="BJ97" s="172">
        <f>19/36</f>
        <v>0.52777777777777779</v>
      </c>
      <c r="BK97" s="172">
        <f>4</f>
        <v>4</v>
      </c>
      <c r="CL97" s="201">
        <v>1</v>
      </c>
      <c r="CM97" s="201">
        <v>2</v>
      </c>
      <c r="CN97" s="201">
        <v>3</v>
      </c>
      <c r="CO97" s="201">
        <v>4</v>
      </c>
      <c r="CP97" s="201">
        <v>5</v>
      </c>
      <c r="CR97" s="201">
        <v>1</v>
      </c>
      <c r="CS97" s="201">
        <v>2</v>
      </c>
      <c r="CT97" s="201">
        <v>3</v>
      </c>
      <c r="CU97" s="201">
        <v>4</v>
      </c>
      <c r="CV97" s="201">
        <v>5</v>
      </c>
    </row>
    <row r="98" spans="1:100" s="172" customFormat="1" x14ac:dyDescent="0.25">
      <c r="A98" s="172">
        <v>2003</v>
      </c>
      <c r="B98" s="172">
        <f t="shared" si="24"/>
        <v>134</v>
      </c>
      <c r="C98" s="191">
        <v>37755</v>
      </c>
      <c r="D98" s="172">
        <v>6.1</v>
      </c>
      <c r="E98" s="172">
        <f>VLOOKUP(C98,'Historic Daily flows'!$A$1:$B$37941,2)</f>
        <v>5.99</v>
      </c>
      <c r="G98" s="192">
        <v>20</v>
      </c>
      <c r="H98" s="193"/>
      <c r="P98" s="194"/>
      <c r="Q98" s="193"/>
      <c r="Y98" s="195"/>
      <c r="AA98" s="195"/>
      <c r="AB98" s="183">
        <f>((B98-B97)*G98)-((B98-B97)*(G98-G97)*0.5)</f>
        <v>735</v>
      </c>
      <c r="AD98" s="172">
        <f>AD99</f>
        <v>50</v>
      </c>
      <c r="AE98" s="206"/>
      <c r="AF98" s="196"/>
      <c r="AG98" s="171">
        <f t="shared" si="16"/>
        <v>36.36363636363636</v>
      </c>
      <c r="AH98" s="174">
        <f t="shared" si="25"/>
        <v>0.55000000000000004</v>
      </c>
      <c r="AI98" s="174"/>
      <c r="AJ98" s="174">
        <f>((B98-B97)*AG98)-((B98-B97)*(AG98-AG97)*0.5)</f>
        <v>1336.3636363636363</v>
      </c>
      <c r="AK98" s="249"/>
      <c r="AL98" s="192">
        <f t="shared" si="27"/>
        <v>90.909090909090907</v>
      </c>
      <c r="AM98" s="206"/>
      <c r="AN98" s="174"/>
      <c r="AO98" s="286"/>
      <c r="AP98" s="303"/>
      <c r="AQ98" s="286"/>
      <c r="AR98" s="303"/>
      <c r="AS98" s="286"/>
      <c r="AT98" s="303"/>
      <c r="AU98" s="197">
        <f t="shared" si="28"/>
        <v>20</v>
      </c>
      <c r="AV98" s="172">
        <f t="shared" si="29"/>
        <v>21.967213114754099</v>
      </c>
      <c r="AW98" s="172">
        <f t="shared" si="30"/>
        <v>1</v>
      </c>
      <c r="AY98" s="183"/>
      <c r="AZ98" s="172">
        <f>((B98-B97)*AU98)-((B98-B97)*(AU98-AU97)*0.5)</f>
        <v>1161.8111606657239</v>
      </c>
      <c r="BA98" s="196"/>
      <c r="BB98" s="172">
        <f t="shared" si="31"/>
        <v>134</v>
      </c>
      <c r="BC98" s="172">
        <f t="shared" si="32"/>
        <v>0.4</v>
      </c>
      <c r="BF98" s="172">
        <f>12/20</f>
        <v>0.6</v>
      </c>
      <c r="BG98" s="172">
        <v>0</v>
      </c>
      <c r="BH98" s="172">
        <f>0/20</f>
        <v>0</v>
      </c>
      <c r="BI98" s="172">
        <v>8</v>
      </c>
      <c r="BJ98" s="172">
        <f>8/20</f>
        <v>0.4</v>
      </c>
      <c r="BK98" s="172">
        <f>0/20</f>
        <v>0</v>
      </c>
      <c r="CL98" s="202" t="s">
        <v>179</v>
      </c>
      <c r="CM98" s="203"/>
      <c r="CN98" s="203"/>
      <c r="CO98" s="204"/>
      <c r="CP98" s="204"/>
      <c r="CR98" s="202" t="s">
        <v>182</v>
      </c>
      <c r="CS98" s="203"/>
      <c r="CT98" s="203"/>
      <c r="CU98" s="204"/>
      <c r="CV98" s="204"/>
    </row>
    <row r="99" spans="1:100" s="172" customFormat="1" x14ac:dyDescent="0.25">
      <c r="A99" s="172">
        <v>2003</v>
      </c>
      <c r="B99" s="172">
        <f t="shared" si="24"/>
        <v>151</v>
      </c>
      <c r="C99" s="191">
        <v>37772</v>
      </c>
      <c r="E99" s="172">
        <f>VLOOKUP(C99,'Historic Daily flows'!$A$1:$B$37941,2)</f>
        <v>5.24</v>
      </c>
      <c r="G99" s="192">
        <v>0</v>
      </c>
      <c r="H99" s="193"/>
      <c r="P99" s="194"/>
      <c r="Q99" s="193"/>
      <c r="Y99" s="195"/>
      <c r="AA99" s="195"/>
      <c r="AB99" s="183">
        <f>0.5*(B99-B98)*G98</f>
        <v>170</v>
      </c>
      <c r="AC99" s="172">
        <f>AF99/$AF$1</f>
        <v>69.900000000000006</v>
      </c>
      <c r="AD99" s="172">
        <f>MAX(G92:G99)</f>
        <v>50</v>
      </c>
      <c r="AE99" s="206">
        <f>AC99/AD99</f>
        <v>1.3980000000000001</v>
      </c>
      <c r="AF99" s="280">
        <f>SUM(AB93:AB99)</f>
        <v>3495</v>
      </c>
      <c r="AG99" s="171">
        <f t="shared" si="16"/>
        <v>0</v>
      </c>
      <c r="AH99" s="174">
        <f t="shared" si="25"/>
        <v>0.55000000000000004</v>
      </c>
      <c r="AI99" s="174"/>
      <c r="AJ99" s="174">
        <f>0.5*(B99-B98)*AG98</f>
        <v>309.09090909090907</v>
      </c>
      <c r="AK99" s="248">
        <f>AN99/$AF$1</f>
        <v>127.09090909090907</v>
      </c>
      <c r="AL99" s="192">
        <f t="shared" si="27"/>
        <v>90.909090909090907</v>
      </c>
      <c r="AM99" s="206">
        <f>AK99/AL99</f>
        <v>1.3979999999999997</v>
      </c>
      <c r="AN99" s="174">
        <f>SUM(AJ93:AJ99)</f>
        <v>6354.5454545454531</v>
      </c>
      <c r="AO99" s="286">
        <v>158</v>
      </c>
      <c r="AP99" s="303">
        <v>3.14</v>
      </c>
      <c r="AQ99" s="290">
        <f>AO99</f>
        <v>158</v>
      </c>
      <c r="AR99" s="303">
        <v>158</v>
      </c>
      <c r="AS99" s="286">
        <v>3.16</v>
      </c>
      <c r="AT99" s="303">
        <f>AL99*$AS$177</f>
        <v>0</v>
      </c>
      <c r="AU99" s="197">
        <v>0</v>
      </c>
      <c r="AX99" s="172">
        <f>BA99/$BA$1</f>
        <v>146.13914922237117</v>
      </c>
      <c r="AY99" s="183">
        <f>AX99/AD99</f>
        <v>2.9227829844474233</v>
      </c>
      <c r="AZ99" s="172">
        <f>0.5*(B99-B98)*AU98</f>
        <v>170</v>
      </c>
      <c r="BA99" s="196">
        <f>SUM(AZ93:AZ99)</f>
        <v>7306.9574611185581</v>
      </c>
      <c r="CH99" s="199" t="s">
        <v>161</v>
      </c>
      <c r="CL99" s="205" t="s">
        <v>170</v>
      </c>
      <c r="CM99" s="205" t="s">
        <v>172</v>
      </c>
      <c r="CN99" s="205" t="s">
        <v>174</v>
      </c>
      <c r="CO99" s="205" t="s">
        <v>176</v>
      </c>
      <c r="CP99" s="205" t="s">
        <v>180</v>
      </c>
      <c r="CQ99" s="199"/>
      <c r="CR99" s="205" t="s">
        <v>170</v>
      </c>
      <c r="CS99" s="205" t="s">
        <v>172</v>
      </c>
      <c r="CT99" s="205" t="s">
        <v>174</v>
      </c>
      <c r="CU99" s="205" t="s">
        <v>176</v>
      </c>
      <c r="CV99" s="205" t="s">
        <v>180</v>
      </c>
    </row>
    <row r="100" spans="1:100" x14ac:dyDescent="0.25">
      <c r="A100">
        <v>2004</v>
      </c>
      <c r="B100">
        <f t="shared" si="24"/>
        <v>1</v>
      </c>
      <c r="C100" s="109">
        <v>37987</v>
      </c>
      <c r="E100">
        <f>VLOOKUP(C100,'Historic Daily flows'!$A$1:$B$37941,2)</f>
        <v>9.0299999999999994</v>
      </c>
      <c r="G100" s="77">
        <v>0</v>
      </c>
      <c r="AD100">
        <f t="shared" ref="AD100:AD105" si="33">AD101</f>
        <v>45</v>
      </c>
      <c r="AG100" s="171">
        <f t="shared" si="16"/>
        <v>0</v>
      </c>
      <c r="AH100" s="108">
        <f t="shared" si="25"/>
        <v>0.55000000000000004</v>
      </c>
      <c r="AI100" s="108"/>
      <c r="AJ100" s="108"/>
      <c r="AK100" s="249"/>
      <c r="AL100" s="77">
        <f>MAX($G$100:$G$107)/AH100</f>
        <v>81.818181818181813</v>
      </c>
      <c r="AM100" s="73"/>
      <c r="AN100" s="108"/>
      <c r="AO100" s="286"/>
      <c r="AP100" s="303"/>
      <c r="AQ100" s="286"/>
      <c r="AR100" s="303"/>
      <c r="AS100" s="286"/>
      <c r="AT100" s="303"/>
      <c r="AU100" s="79">
        <v>0</v>
      </c>
      <c r="CG100" s="75" t="s">
        <v>120</v>
      </c>
      <c r="CH100" s="75"/>
      <c r="CI100" s="75"/>
      <c r="CJ100" s="75" t="s">
        <v>120</v>
      </c>
      <c r="CK100" s="75"/>
      <c r="CL100" s="123" t="s">
        <v>171</v>
      </c>
      <c r="CM100" s="123" t="s">
        <v>173</v>
      </c>
      <c r="CN100" s="123" t="s">
        <v>175</v>
      </c>
      <c r="CO100" s="123" t="s">
        <v>177</v>
      </c>
      <c r="CP100" s="123" t="s">
        <v>181</v>
      </c>
      <c r="CQ100" s="75"/>
      <c r="CR100" s="123" t="s">
        <v>171</v>
      </c>
      <c r="CS100" s="123" t="s">
        <v>173</v>
      </c>
      <c r="CT100" s="123" t="s">
        <v>175</v>
      </c>
      <c r="CU100" s="123" t="s">
        <v>177</v>
      </c>
      <c r="CV100" s="123" t="s">
        <v>181</v>
      </c>
    </row>
    <row r="101" spans="1:100" x14ac:dyDescent="0.25">
      <c r="A101">
        <v>2004</v>
      </c>
      <c r="B101">
        <f t="shared" si="24"/>
        <v>36</v>
      </c>
      <c r="C101" s="109">
        <v>38022</v>
      </c>
      <c r="D101">
        <v>11</v>
      </c>
      <c r="E101">
        <f>VLOOKUP(C101,'Historic Daily flows'!$A$1:$B$37941,2)</f>
        <v>12.1</v>
      </c>
      <c r="G101" s="77">
        <v>6</v>
      </c>
      <c r="AB101" s="61">
        <f>0.5*(B101-B100)*G101</f>
        <v>105</v>
      </c>
      <c r="AD101">
        <f t="shared" si="33"/>
        <v>45</v>
      </c>
      <c r="AG101" s="171">
        <f t="shared" si="16"/>
        <v>10.909090909090908</v>
      </c>
      <c r="AH101" s="108">
        <f t="shared" si="25"/>
        <v>0.55000000000000004</v>
      </c>
      <c r="AI101" s="108"/>
      <c r="AJ101" s="108">
        <f>0.5*($B101-$B100)*$AG101</f>
        <v>190.90909090909091</v>
      </c>
      <c r="AK101" s="249"/>
      <c r="AL101" s="77">
        <f t="shared" ref="AL101:AL107" si="34">MAX($G$100:$G$107)/AH101</f>
        <v>81.818181818181813</v>
      </c>
      <c r="AM101" s="73"/>
      <c r="AN101" s="108"/>
      <c r="AO101" s="286"/>
      <c r="AP101" s="303"/>
      <c r="AQ101" s="286"/>
      <c r="AR101" s="303"/>
      <c r="AS101" s="286"/>
      <c r="AT101" s="303"/>
      <c r="AU101" s="79">
        <f t="shared" ref="AU101:AU106" si="35">G101/AW101</f>
        <v>24</v>
      </c>
      <c r="AV101">
        <f t="shared" ref="AV101:AV106" si="36">B101/D101</f>
        <v>3.2727272727272729</v>
      </c>
      <c r="AW101">
        <f t="shared" ref="AW101:AW106" si="37">VLOOKUP(AV101,$CB$102:$CC$271,2)</f>
        <v>0.25</v>
      </c>
      <c r="AZ101">
        <f>0.5*(B101-B100)*AU101</f>
        <v>420</v>
      </c>
      <c r="BB101" s="117">
        <f t="shared" ref="BB101:BB106" si="38">B101</f>
        <v>36</v>
      </c>
      <c r="BC101" s="117">
        <f t="shared" ref="BC101:BC106" si="39">G101/AD101</f>
        <v>0.13333333333333333</v>
      </c>
      <c r="BD101" s="117">
        <v>0.13333333333333333</v>
      </c>
      <c r="BE101" s="112">
        <v>2</v>
      </c>
      <c r="BF101" s="112">
        <f>2/5</f>
        <v>0.4</v>
      </c>
      <c r="BG101" s="112">
        <v>3</v>
      </c>
      <c r="BH101" s="112">
        <f>3/6</f>
        <v>0.5</v>
      </c>
      <c r="BI101" s="112">
        <v>1</v>
      </c>
      <c r="BJ101" s="112">
        <f>1/6</f>
        <v>0.16666666666666666</v>
      </c>
      <c r="CB101" t="s">
        <v>132</v>
      </c>
      <c r="CC101" t="s">
        <v>131</v>
      </c>
      <c r="CG101">
        <v>1</v>
      </c>
      <c r="CH101">
        <f t="shared" ref="CH101:CH132" si="40">CG101*0.009</f>
        <v>8.9999999999999993E-3</v>
      </c>
      <c r="CJ101">
        <v>1</v>
      </c>
      <c r="CL101">
        <f>((0.003)*CJ101)</f>
        <v>3.0000000000000001E-3</v>
      </c>
      <c r="CM101">
        <f>((-0.0039)*CJ101)+0.8478</f>
        <v>0.84389999999999998</v>
      </c>
      <c r="CN101">
        <f t="shared" ref="CN101:CN132" si="41">(0.0002*CJ101)+0.1914</f>
        <v>0.19159999999999999</v>
      </c>
      <c r="CO101">
        <f>CL101+CM101</f>
        <v>0.84689999999999999</v>
      </c>
      <c r="CP101">
        <f>CM101+CN101</f>
        <v>1.0354999999999999</v>
      </c>
      <c r="CR101">
        <v>0.21</v>
      </c>
      <c r="CS101">
        <v>0.5</v>
      </c>
      <c r="CT101">
        <v>0.28000000000000003</v>
      </c>
      <c r="CU101">
        <f>CR101+CS101</f>
        <v>0.71</v>
      </c>
      <c r="CV101">
        <f>CS101+CT101</f>
        <v>0.78</v>
      </c>
    </row>
    <row r="102" spans="1:100" x14ac:dyDescent="0.25">
      <c r="A102">
        <v>2004</v>
      </c>
      <c r="B102">
        <f t="shared" si="24"/>
        <v>62</v>
      </c>
      <c r="C102" s="109">
        <v>38048</v>
      </c>
      <c r="D102">
        <v>6.6</v>
      </c>
      <c r="E102">
        <f>VLOOKUP(C102,'Historic Daily flows'!$A$1:$B$37941,2)</f>
        <v>8.5399999999999991</v>
      </c>
      <c r="G102" s="77">
        <v>21</v>
      </c>
      <c r="AB102" s="61">
        <f>((B102-B101)*G102)-((B102-B101)*(G102-G101)*0.5)</f>
        <v>351</v>
      </c>
      <c r="AD102">
        <f t="shared" si="33"/>
        <v>45</v>
      </c>
      <c r="AG102" s="171">
        <f t="shared" si="16"/>
        <v>38.18181818181818</v>
      </c>
      <c r="AH102" s="108">
        <f t="shared" si="25"/>
        <v>0.55000000000000004</v>
      </c>
      <c r="AI102" s="108"/>
      <c r="AJ102" s="108">
        <f>((B102-B101)*AG102)-((B102-B101)*(AG102-AG101)*0.5)</f>
        <v>638.18181818181802</v>
      </c>
      <c r="AK102" s="249"/>
      <c r="AL102" s="77">
        <f t="shared" si="34"/>
        <v>81.818181818181813</v>
      </c>
      <c r="AM102" s="73"/>
      <c r="AN102" s="108"/>
      <c r="AO102" s="286"/>
      <c r="AP102" s="303"/>
      <c r="AQ102" s="286"/>
      <c r="AR102" s="303"/>
      <c r="AS102" s="286"/>
      <c r="AT102" s="303"/>
      <c r="AU102" s="79">
        <f t="shared" si="35"/>
        <v>43.899991638096878</v>
      </c>
      <c r="AV102">
        <f t="shared" si="36"/>
        <v>9.3939393939393945</v>
      </c>
      <c r="AW102">
        <f t="shared" si="37"/>
        <v>0.47835999999999945</v>
      </c>
      <c r="AZ102">
        <f>((B102-B101)*AU102)-((B102-B101)*(AU102-AU101)*0.5)</f>
        <v>882.69989129525948</v>
      </c>
      <c r="BB102" s="117">
        <f t="shared" si="38"/>
        <v>62</v>
      </c>
      <c r="BC102" s="117">
        <f t="shared" si="39"/>
        <v>0.46666666666666667</v>
      </c>
      <c r="BD102" s="117">
        <v>0.53333333333333333</v>
      </c>
      <c r="BE102" s="112">
        <v>1</v>
      </c>
      <c r="BF102" s="112">
        <f>1/21</f>
        <v>4.7619047619047616E-2</v>
      </c>
      <c r="BG102" s="112">
        <v>20</v>
      </c>
      <c r="BH102" s="112">
        <f>20/21</f>
        <v>0.95238095238095233</v>
      </c>
      <c r="BI102" s="112">
        <v>0</v>
      </c>
      <c r="BJ102" s="112">
        <f>0/21</f>
        <v>0</v>
      </c>
      <c r="CB102">
        <v>0</v>
      </c>
      <c r="CC102">
        <v>0.25</v>
      </c>
      <c r="CG102">
        <v>2</v>
      </c>
      <c r="CH102">
        <f t="shared" si="40"/>
        <v>1.7999999999999999E-2</v>
      </c>
      <c r="CJ102">
        <v>2</v>
      </c>
      <c r="CL102">
        <f t="shared" ref="CL102:CL165" si="42">((0.003)*CJ102)</f>
        <v>6.0000000000000001E-3</v>
      </c>
      <c r="CM102">
        <f t="shared" ref="CM102:CM165" si="43">((-0.0039)*CJ102)+0.8478</f>
        <v>0.84</v>
      </c>
      <c r="CN102">
        <f t="shared" si="41"/>
        <v>0.1918</v>
      </c>
      <c r="CO102">
        <f t="shared" ref="CO102:CO165" si="44">CL102+CM102</f>
        <v>0.84599999999999997</v>
      </c>
      <c r="CP102">
        <f t="shared" ref="CP102:CP165" si="45">CM102+CN102</f>
        <v>1.0318000000000001</v>
      </c>
      <c r="CR102">
        <v>0.21</v>
      </c>
      <c r="CS102">
        <v>0.5</v>
      </c>
      <c r="CT102">
        <v>0.28000000000000003</v>
      </c>
      <c r="CU102">
        <f t="shared" ref="CU102:CU165" si="46">CR102+CS102</f>
        <v>0.71</v>
      </c>
      <c r="CV102">
        <f t="shared" ref="CV102:CV165" si="47">CS102+CT102</f>
        <v>0.78</v>
      </c>
    </row>
    <row r="103" spans="1:100" x14ac:dyDescent="0.25">
      <c r="A103">
        <v>2004</v>
      </c>
      <c r="B103">
        <f t="shared" si="24"/>
        <v>83</v>
      </c>
      <c r="C103" s="109">
        <v>38069</v>
      </c>
      <c r="D103">
        <v>9.1</v>
      </c>
      <c r="E103">
        <f>VLOOKUP(C103,'Historic Daily flows'!$A$1:$B$37941,2)</f>
        <v>10.9</v>
      </c>
      <c r="G103" s="77">
        <v>24</v>
      </c>
      <c r="AB103" s="61">
        <f>((B103-B102)*G103)-((B103-B102)*(G103-G102)*0.5)</f>
        <v>472.5</v>
      </c>
      <c r="AD103">
        <f t="shared" si="33"/>
        <v>45</v>
      </c>
      <c r="AG103" s="171">
        <f t="shared" si="16"/>
        <v>43.636363636363633</v>
      </c>
      <c r="AH103" s="108">
        <f t="shared" si="25"/>
        <v>0.55000000000000004</v>
      </c>
      <c r="AI103" s="108"/>
      <c r="AJ103" s="108">
        <f>((B103-B102)*AG103)-((B103-B102)*(AG103-AG102)*0.5)</f>
        <v>859.09090909090901</v>
      </c>
      <c r="AK103" s="249"/>
      <c r="AL103" s="77">
        <f t="shared" si="34"/>
        <v>81.818181818181813</v>
      </c>
      <c r="AM103" s="73"/>
      <c r="AN103" s="108"/>
      <c r="AO103" s="286"/>
      <c r="AP103" s="303"/>
      <c r="AQ103" s="286"/>
      <c r="AR103" s="303"/>
      <c r="AS103" s="286"/>
      <c r="AT103" s="303"/>
      <c r="AU103" s="79">
        <f t="shared" si="35"/>
        <v>51.293011327206727</v>
      </c>
      <c r="AV103">
        <f t="shared" si="36"/>
        <v>9.1208791208791204</v>
      </c>
      <c r="AW103">
        <f t="shared" si="37"/>
        <v>0.46789999999999943</v>
      </c>
      <c r="AZ103">
        <f>((B103-B102)*AU103)-((B103-B102)*(AU103-AU102)*0.5)</f>
        <v>999.52653113568795</v>
      </c>
      <c r="BB103" s="117">
        <f t="shared" si="38"/>
        <v>83</v>
      </c>
      <c r="BC103" s="117">
        <f t="shared" si="39"/>
        <v>0.53333333333333333</v>
      </c>
      <c r="BD103" s="117">
        <v>0.53333333333333333</v>
      </c>
      <c r="BE103" s="112">
        <v>6</v>
      </c>
      <c r="BF103" s="112">
        <f>6/24</f>
        <v>0.25</v>
      </c>
      <c r="BG103" s="112">
        <v>13</v>
      </c>
      <c r="BH103" s="112">
        <f>13/24</f>
        <v>0.54166666666666663</v>
      </c>
      <c r="BI103" s="112">
        <v>5</v>
      </c>
      <c r="BJ103" s="112">
        <f>5/24</f>
        <v>0.20833333333333334</v>
      </c>
      <c r="CB103">
        <v>0.2</v>
      </c>
      <c r="CC103">
        <v>0.25</v>
      </c>
      <c r="CG103">
        <v>3</v>
      </c>
      <c r="CH103">
        <f t="shared" si="40"/>
        <v>2.6999999999999996E-2</v>
      </c>
      <c r="CJ103">
        <v>3</v>
      </c>
      <c r="CL103">
        <f t="shared" si="42"/>
        <v>9.0000000000000011E-3</v>
      </c>
      <c r="CM103">
        <f t="shared" si="43"/>
        <v>0.83609999999999995</v>
      </c>
      <c r="CN103">
        <f t="shared" si="41"/>
        <v>0.19199999999999998</v>
      </c>
      <c r="CO103">
        <f t="shared" si="44"/>
        <v>0.84509999999999996</v>
      </c>
      <c r="CP103">
        <f t="shared" si="45"/>
        <v>1.0281</v>
      </c>
      <c r="CR103">
        <v>0.21</v>
      </c>
      <c r="CS103">
        <v>0.5</v>
      </c>
      <c r="CT103">
        <v>0.28000000000000003</v>
      </c>
      <c r="CU103">
        <f t="shared" si="46"/>
        <v>0.71</v>
      </c>
      <c r="CV103">
        <f t="shared" si="47"/>
        <v>0.78</v>
      </c>
    </row>
    <row r="104" spans="1:100" x14ac:dyDescent="0.25">
      <c r="A104">
        <v>2004</v>
      </c>
      <c r="B104">
        <f t="shared" si="24"/>
        <v>105</v>
      </c>
      <c r="C104" s="109">
        <v>38091</v>
      </c>
      <c r="D104">
        <v>11.6</v>
      </c>
      <c r="E104">
        <f>VLOOKUP(C104,'Historic Daily flows'!$A$1:$B$37941,2)</f>
        <v>11.6</v>
      </c>
      <c r="G104" s="77">
        <v>45</v>
      </c>
      <c r="AB104" s="61">
        <f>((B104-B103)*G104)-((B104-B103)*(G104-G103)*0.5)</f>
        <v>759</v>
      </c>
      <c r="AD104">
        <f t="shared" si="33"/>
        <v>45</v>
      </c>
      <c r="AG104" s="171">
        <f t="shared" si="16"/>
        <v>81.818181818181813</v>
      </c>
      <c r="AH104" s="108">
        <f t="shared" si="25"/>
        <v>0.55000000000000004</v>
      </c>
      <c r="AI104" s="108"/>
      <c r="AJ104" s="108">
        <f>((B104-B103)*AG104)-((B104-B103)*(AG104-AG103)*0.5)</f>
        <v>1380</v>
      </c>
      <c r="AK104" s="249"/>
      <c r="AL104" s="77">
        <f t="shared" si="34"/>
        <v>81.818181818181813</v>
      </c>
      <c r="AM104" s="73"/>
      <c r="AN104" s="108"/>
      <c r="AO104" s="286"/>
      <c r="AP104" s="303"/>
      <c r="AQ104" s="286"/>
      <c r="AR104" s="303"/>
      <c r="AS104" s="286"/>
      <c r="AT104" s="303"/>
      <c r="AU104" s="79">
        <f t="shared" si="35"/>
        <v>96.174396238512614</v>
      </c>
      <c r="AV104">
        <f t="shared" si="36"/>
        <v>9.0517241379310356</v>
      </c>
      <c r="AW104">
        <f t="shared" si="37"/>
        <v>0.46789999999999943</v>
      </c>
      <c r="AZ104">
        <f>((B104-B103)*AU104)-((B104-B103)*(AU104-AU103)*0.5)</f>
        <v>1622.1414832229129</v>
      </c>
      <c r="BB104" s="117">
        <f t="shared" si="38"/>
        <v>105</v>
      </c>
      <c r="BC104" s="117">
        <f t="shared" si="39"/>
        <v>1</v>
      </c>
      <c r="BD104" s="117">
        <v>1</v>
      </c>
      <c r="BE104" s="112">
        <v>15</v>
      </c>
      <c r="BF104" s="112">
        <f>15/38</f>
        <v>0.39473684210526316</v>
      </c>
      <c r="BG104" s="112">
        <v>12</v>
      </c>
      <c r="BH104" s="112">
        <f>12/38</f>
        <v>0.31578947368421051</v>
      </c>
      <c r="BI104" s="112">
        <v>11</v>
      </c>
      <c r="BJ104" s="112">
        <f>11/38</f>
        <v>0.28947368421052633</v>
      </c>
      <c r="BK104" s="112">
        <v>7</v>
      </c>
      <c r="CB104">
        <v>0.4</v>
      </c>
      <c r="CC104">
        <v>0.25</v>
      </c>
      <c r="CG104">
        <v>4</v>
      </c>
      <c r="CH104">
        <f t="shared" si="40"/>
        <v>3.5999999999999997E-2</v>
      </c>
      <c r="CJ104">
        <v>4</v>
      </c>
      <c r="CL104">
        <f t="shared" si="42"/>
        <v>1.2E-2</v>
      </c>
      <c r="CM104">
        <f t="shared" si="43"/>
        <v>0.83220000000000005</v>
      </c>
      <c r="CN104">
        <f t="shared" si="41"/>
        <v>0.19219999999999998</v>
      </c>
      <c r="CO104">
        <f t="shared" si="44"/>
        <v>0.84420000000000006</v>
      </c>
      <c r="CP104">
        <f t="shared" si="45"/>
        <v>1.0244</v>
      </c>
      <c r="CR104">
        <v>0.21</v>
      </c>
      <c r="CS104">
        <v>0.5</v>
      </c>
      <c r="CT104">
        <v>0.28000000000000003</v>
      </c>
      <c r="CU104">
        <f t="shared" si="46"/>
        <v>0.71</v>
      </c>
      <c r="CV104">
        <f t="shared" si="47"/>
        <v>0.78</v>
      </c>
    </row>
    <row r="105" spans="1:100" x14ac:dyDescent="0.25">
      <c r="A105">
        <v>2004</v>
      </c>
      <c r="B105">
        <f t="shared" si="24"/>
        <v>120</v>
      </c>
      <c r="C105" s="109">
        <v>38106</v>
      </c>
      <c r="D105">
        <v>8.9600000000000009</v>
      </c>
      <c r="E105">
        <f>VLOOKUP(C105,'Historic Daily flows'!$A$1:$B$37941,2)</f>
        <v>8.0299999999999994</v>
      </c>
      <c r="G105" s="77">
        <v>41</v>
      </c>
      <c r="AB105" s="61">
        <f>((B105-B104)*G105)-((B105-B104)*(G105-G104)*0.5)</f>
        <v>645</v>
      </c>
      <c r="AD105">
        <f t="shared" si="33"/>
        <v>45</v>
      </c>
      <c r="AG105" s="171">
        <f t="shared" si="16"/>
        <v>74.545454545454533</v>
      </c>
      <c r="AH105" s="108">
        <f t="shared" si="25"/>
        <v>0.55000000000000004</v>
      </c>
      <c r="AI105" s="108"/>
      <c r="AJ105" s="108">
        <f>((B105-B104)*AG105)-((B105-B104)*(AG105-AG104)*0.5)</f>
        <v>1172.7272727272725</v>
      </c>
      <c r="AK105" s="249"/>
      <c r="AL105" s="77">
        <f t="shared" si="34"/>
        <v>81.818181818181813</v>
      </c>
      <c r="AM105" s="73"/>
      <c r="AN105" s="108"/>
      <c r="AO105" s="286"/>
      <c r="AP105" s="303"/>
      <c r="AQ105" s="286"/>
      <c r="AR105" s="303"/>
      <c r="AS105" s="286"/>
      <c r="AT105" s="303"/>
      <c r="AU105" s="79">
        <f t="shared" si="35"/>
        <v>59.631159462446917</v>
      </c>
      <c r="AV105">
        <f t="shared" si="36"/>
        <v>13.392857142857142</v>
      </c>
      <c r="AW105">
        <f t="shared" si="37"/>
        <v>0.68755999999999995</v>
      </c>
      <c r="AZ105">
        <f>((B105-B104)*AU105)-((B105-B104)*(AU105-AU104)*0.5)</f>
        <v>1168.5416677571966</v>
      </c>
      <c r="BB105" s="117">
        <f t="shared" si="38"/>
        <v>120</v>
      </c>
      <c r="BC105" s="117">
        <f t="shared" si="39"/>
        <v>0.91111111111111109</v>
      </c>
      <c r="BE105" s="112">
        <v>4</v>
      </c>
      <c r="BF105" s="112">
        <f>4/40</f>
        <v>0.1</v>
      </c>
      <c r="BG105" s="112">
        <v>28</v>
      </c>
      <c r="BH105" s="112">
        <f>28/40</f>
        <v>0.7</v>
      </c>
      <c r="BI105" s="112">
        <v>8</v>
      </c>
      <c r="BJ105" s="112">
        <f>8/40</f>
        <v>0.2</v>
      </c>
      <c r="BK105" s="112">
        <v>1</v>
      </c>
      <c r="CB105">
        <v>0.6</v>
      </c>
      <c r="CC105">
        <v>0.25</v>
      </c>
      <c r="CG105">
        <v>5</v>
      </c>
      <c r="CH105">
        <f t="shared" si="40"/>
        <v>4.4999999999999998E-2</v>
      </c>
      <c r="CJ105">
        <v>5</v>
      </c>
      <c r="CL105">
        <f t="shared" si="42"/>
        <v>1.4999999999999999E-2</v>
      </c>
      <c r="CM105">
        <f t="shared" si="43"/>
        <v>0.82830000000000004</v>
      </c>
      <c r="CN105">
        <f t="shared" si="41"/>
        <v>0.19239999999999999</v>
      </c>
      <c r="CO105">
        <f t="shared" si="44"/>
        <v>0.84330000000000005</v>
      </c>
      <c r="CP105">
        <f t="shared" si="45"/>
        <v>1.0206999999999999</v>
      </c>
      <c r="CR105">
        <v>0.21</v>
      </c>
      <c r="CS105">
        <v>0.5</v>
      </c>
      <c r="CT105">
        <v>0.28000000000000003</v>
      </c>
      <c r="CU105">
        <f t="shared" si="46"/>
        <v>0.71</v>
      </c>
      <c r="CV105">
        <f t="shared" si="47"/>
        <v>0.78</v>
      </c>
    </row>
    <row r="106" spans="1:100" x14ac:dyDescent="0.25">
      <c r="A106">
        <v>2004</v>
      </c>
      <c r="B106">
        <f t="shared" si="24"/>
        <v>135</v>
      </c>
      <c r="C106" s="109">
        <v>38121</v>
      </c>
      <c r="D106">
        <v>5.93</v>
      </c>
      <c r="E106">
        <f>VLOOKUP(C106,'Historic Daily flows'!$A$1:$B$37941,2)</f>
        <v>5.84</v>
      </c>
      <c r="G106" s="77">
        <v>26</v>
      </c>
      <c r="AB106" s="61">
        <f>((B106-B105)*G106)-((B106-B105)*(G106-G105)*0.5)</f>
        <v>502.5</v>
      </c>
      <c r="AD106">
        <f>AD107</f>
        <v>45</v>
      </c>
      <c r="AG106" s="171">
        <f t="shared" si="16"/>
        <v>47.272727272727266</v>
      </c>
      <c r="AH106" s="108">
        <f t="shared" si="25"/>
        <v>0.55000000000000004</v>
      </c>
      <c r="AI106" s="108"/>
      <c r="AJ106" s="108">
        <f>((B106-B105)*AG106)-((B106-B105)*(AG106-AG105)*0.5)</f>
        <v>913.63636363636351</v>
      </c>
      <c r="AK106" s="249"/>
      <c r="AL106" s="77">
        <f t="shared" si="34"/>
        <v>81.818181818181813</v>
      </c>
      <c r="AM106" s="73"/>
      <c r="AN106" s="108"/>
      <c r="AO106" s="286"/>
      <c r="AP106" s="303"/>
      <c r="AQ106" s="286"/>
      <c r="AR106" s="303"/>
      <c r="AS106" s="286"/>
      <c r="AT106" s="303"/>
      <c r="AU106" s="79">
        <f t="shared" si="35"/>
        <v>26</v>
      </c>
      <c r="AV106">
        <f t="shared" si="36"/>
        <v>22.765598650927487</v>
      </c>
      <c r="AW106">
        <f t="shared" si="37"/>
        <v>1</v>
      </c>
      <c r="AZ106">
        <f>((B106-B105)*AU106)-((B106-B105)*(AU106-AU105)*0.5)</f>
        <v>642.23369596835187</v>
      </c>
      <c r="BB106" s="117">
        <f t="shared" si="38"/>
        <v>135</v>
      </c>
      <c r="BC106" s="117">
        <f t="shared" si="39"/>
        <v>0.57777777777777772</v>
      </c>
      <c r="BE106" s="112">
        <v>4</v>
      </c>
      <c r="BF106" s="112">
        <f>4/26</f>
        <v>0.15384615384615385</v>
      </c>
      <c r="BG106" s="112">
        <v>7</v>
      </c>
      <c r="BH106" s="112">
        <f>7/26</f>
        <v>0.26923076923076922</v>
      </c>
      <c r="BI106" s="112">
        <v>15</v>
      </c>
      <c r="BJ106" s="112">
        <f>15/26</f>
        <v>0.57692307692307687</v>
      </c>
      <c r="CB106">
        <v>0.8</v>
      </c>
      <c r="CC106">
        <v>0.25</v>
      </c>
      <c r="CG106">
        <v>6</v>
      </c>
      <c r="CH106">
        <f t="shared" si="40"/>
        <v>5.3999999999999992E-2</v>
      </c>
      <c r="CJ106">
        <v>6</v>
      </c>
      <c r="CL106">
        <f t="shared" si="42"/>
        <v>1.8000000000000002E-2</v>
      </c>
      <c r="CM106">
        <f t="shared" si="43"/>
        <v>0.82440000000000002</v>
      </c>
      <c r="CN106">
        <f t="shared" si="41"/>
        <v>0.19259999999999999</v>
      </c>
      <c r="CO106">
        <f t="shared" si="44"/>
        <v>0.84240000000000004</v>
      </c>
      <c r="CP106">
        <f t="shared" si="45"/>
        <v>1.0169999999999999</v>
      </c>
      <c r="CR106">
        <v>0.21</v>
      </c>
      <c r="CS106">
        <v>0.5</v>
      </c>
      <c r="CT106">
        <v>0.28000000000000003</v>
      </c>
      <c r="CU106">
        <f t="shared" si="46"/>
        <v>0.71</v>
      </c>
      <c r="CV106">
        <f t="shared" si="47"/>
        <v>0.78</v>
      </c>
    </row>
    <row r="107" spans="1:100" x14ac:dyDescent="0.25">
      <c r="A107">
        <v>2004</v>
      </c>
      <c r="B107">
        <f t="shared" si="24"/>
        <v>152</v>
      </c>
      <c r="C107" s="109">
        <v>38138</v>
      </c>
      <c r="E107">
        <f>VLOOKUP(C107,'Historic Daily flows'!$A$1:$B$37941,2)</f>
        <v>3.61</v>
      </c>
      <c r="G107" s="77">
        <v>0</v>
      </c>
      <c r="AB107" s="61">
        <f>0.5*(B107-B106)*G106</f>
        <v>221</v>
      </c>
      <c r="AC107">
        <f>AF107/$AF$1</f>
        <v>61.12</v>
      </c>
      <c r="AD107">
        <f>MAX(G100:G107)</f>
        <v>45</v>
      </c>
      <c r="AE107" s="73">
        <f>AC107/AD107</f>
        <v>1.3582222222222222</v>
      </c>
      <c r="AF107" s="279">
        <f>SUM(AB101:AB107)</f>
        <v>3056</v>
      </c>
      <c r="AG107" s="171">
        <f t="shared" si="16"/>
        <v>0</v>
      </c>
      <c r="AH107" s="108">
        <f t="shared" si="25"/>
        <v>0.55000000000000004</v>
      </c>
      <c r="AI107" s="108"/>
      <c r="AJ107" s="108">
        <f>0.5*(B107-B106)*AG106</f>
        <v>401.81818181818176</v>
      </c>
      <c r="AK107" s="248">
        <f>AN107/$AN$1</f>
        <v>111.12727272727273</v>
      </c>
      <c r="AL107" s="77">
        <f t="shared" si="34"/>
        <v>81.818181818181813</v>
      </c>
      <c r="AM107" s="73">
        <f>AK107/AL107</f>
        <v>1.3582222222222222</v>
      </c>
      <c r="AN107" s="108">
        <f>SUM(AJ101:AJ107)</f>
        <v>5556.363636363636</v>
      </c>
      <c r="AO107" s="286">
        <v>334</v>
      </c>
      <c r="AP107" s="303">
        <v>3</v>
      </c>
      <c r="AQ107" s="290">
        <f>AO107</f>
        <v>334</v>
      </c>
      <c r="AR107" s="303">
        <v>132</v>
      </c>
      <c r="AS107" s="286">
        <v>2.93</v>
      </c>
      <c r="AT107" s="303">
        <f>AL107*$AS$177</f>
        <v>0</v>
      </c>
      <c r="AU107" s="79">
        <v>0</v>
      </c>
      <c r="AX107">
        <f>BA107/$BA$1</f>
        <v>119.12286538758818</v>
      </c>
      <c r="AY107" s="61">
        <f>AX107/AD107</f>
        <v>2.6471747863908486</v>
      </c>
      <c r="AZ107">
        <f>0.5*(B107-B106)*AU106</f>
        <v>221</v>
      </c>
      <c r="BA107" s="78">
        <f>SUM(AZ100:AZ107)</f>
        <v>5956.1432693794086</v>
      </c>
      <c r="CB107">
        <v>1</v>
      </c>
      <c r="CC107">
        <v>0.25</v>
      </c>
      <c r="CG107">
        <v>7</v>
      </c>
      <c r="CH107">
        <f t="shared" si="40"/>
        <v>6.3E-2</v>
      </c>
      <c r="CJ107">
        <v>7</v>
      </c>
      <c r="CL107">
        <f t="shared" si="42"/>
        <v>2.1000000000000001E-2</v>
      </c>
      <c r="CM107">
        <f t="shared" si="43"/>
        <v>0.82050000000000001</v>
      </c>
      <c r="CN107">
        <f t="shared" si="41"/>
        <v>0.1928</v>
      </c>
      <c r="CO107">
        <f t="shared" si="44"/>
        <v>0.84150000000000003</v>
      </c>
      <c r="CP107">
        <f t="shared" si="45"/>
        <v>1.0133000000000001</v>
      </c>
      <c r="CR107">
        <v>0.21</v>
      </c>
      <c r="CS107">
        <v>0.5</v>
      </c>
      <c r="CT107">
        <v>0.28000000000000003</v>
      </c>
      <c r="CU107">
        <f t="shared" si="46"/>
        <v>0.71</v>
      </c>
      <c r="CV107">
        <f t="shared" si="47"/>
        <v>0.78</v>
      </c>
    </row>
    <row r="108" spans="1:100" s="172" customFormat="1" x14ac:dyDescent="0.25">
      <c r="A108" s="172">
        <v>2005</v>
      </c>
      <c r="B108" s="172">
        <f t="shared" si="24"/>
        <v>1</v>
      </c>
      <c r="C108" s="191">
        <v>38353</v>
      </c>
      <c r="E108" s="172">
        <f>VLOOKUP(C108,'Historic Daily flows'!$A$1:$B$37941,2)</f>
        <v>9.7100000000000009</v>
      </c>
      <c r="G108" s="192">
        <v>0</v>
      </c>
      <c r="H108" s="193"/>
      <c r="P108" s="194"/>
      <c r="Q108" s="193"/>
      <c r="Y108" s="195"/>
      <c r="AA108" s="195"/>
      <c r="AB108" s="183"/>
      <c r="AD108" s="172">
        <f>AD109</f>
        <v>61</v>
      </c>
      <c r="AE108" s="206"/>
      <c r="AF108" s="196"/>
      <c r="AG108" s="171">
        <f t="shared" si="16"/>
        <v>0</v>
      </c>
      <c r="AH108" s="174">
        <f t="shared" si="25"/>
        <v>0.55000000000000004</v>
      </c>
      <c r="AI108" s="174"/>
      <c r="AJ108" s="174"/>
      <c r="AK108" s="249"/>
      <c r="AL108" s="192">
        <f t="shared" ref="AL108:AL113" si="48">MAX($G$108:$G$113)/AH108</f>
        <v>110.90909090909091</v>
      </c>
      <c r="AM108" s="206"/>
      <c r="AN108" s="174"/>
      <c r="AO108" s="286"/>
      <c r="AP108" s="303"/>
      <c r="AQ108" s="286"/>
      <c r="AR108" s="303"/>
      <c r="AS108" s="286"/>
      <c r="AT108" s="303"/>
      <c r="AU108" s="197">
        <v>0</v>
      </c>
      <c r="AY108" s="183"/>
      <c r="BA108" s="196"/>
      <c r="CB108" s="172">
        <v>1.2</v>
      </c>
      <c r="CC108" s="172">
        <v>0.25</v>
      </c>
      <c r="CG108" s="172">
        <v>8</v>
      </c>
      <c r="CH108" s="172">
        <f t="shared" si="40"/>
        <v>7.1999999999999995E-2</v>
      </c>
      <c r="CJ108" s="172">
        <v>8</v>
      </c>
      <c r="CL108" s="172">
        <f t="shared" si="42"/>
        <v>2.4E-2</v>
      </c>
      <c r="CM108" s="172">
        <f t="shared" si="43"/>
        <v>0.81659999999999999</v>
      </c>
      <c r="CN108" s="172">
        <f t="shared" si="41"/>
        <v>0.19299999999999998</v>
      </c>
      <c r="CO108" s="172">
        <f t="shared" si="44"/>
        <v>0.84060000000000001</v>
      </c>
      <c r="CP108" s="172">
        <f t="shared" si="45"/>
        <v>1.0096000000000001</v>
      </c>
      <c r="CR108" s="172">
        <v>0.21</v>
      </c>
      <c r="CS108" s="172">
        <v>0.5</v>
      </c>
      <c r="CT108" s="172">
        <v>0.28000000000000003</v>
      </c>
      <c r="CU108" s="172">
        <f t="shared" si="46"/>
        <v>0.71</v>
      </c>
      <c r="CV108" s="172">
        <f t="shared" si="47"/>
        <v>0.78</v>
      </c>
    </row>
    <row r="109" spans="1:100" s="172" customFormat="1" x14ac:dyDescent="0.25">
      <c r="A109" s="172">
        <v>2005</v>
      </c>
      <c r="B109" s="172">
        <f t="shared" si="24"/>
        <v>42</v>
      </c>
      <c r="C109" s="191">
        <v>38394</v>
      </c>
      <c r="D109" s="172">
        <v>12</v>
      </c>
      <c r="E109" s="172">
        <f>VLOOKUP(C109,'Historic Daily flows'!$A$1:$B$37941,2)</f>
        <v>6.61</v>
      </c>
      <c r="G109" s="192">
        <v>9</v>
      </c>
      <c r="H109" s="193"/>
      <c r="P109" s="194"/>
      <c r="Q109" s="193"/>
      <c r="Y109" s="195"/>
      <c r="AA109" s="195"/>
      <c r="AB109" s="183">
        <f>0.5*(B109-B108)*G109</f>
        <v>184.5</v>
      </c>
      <c r="AD109" s="172">
        <f>AD110</f>
        <v>61</v>
      </c>
      <c r="AE109" s="206"/>
      <c r="AF109" s="196"/>
      <c r="AG109" s="171">
        <f t="shared" si="16"/>
        <v>16.363636363636363</v>
      </c>
      <c r="AH109" s="174">
        <f t="shared" si="25"/>
        <v>0.55000000000000004</v>
      </c>
      <c r="AI109" s="174"/>
      <c r="AJ109" s="174">
        <v>86.36363636363636</v>
      </c>
      <c r="AK109" s="249"/>
      <c r="AL109" s="192">
        <f t="shared" si="48"/>
        <v>110.90909090909091</v>
      </c>
      <c r="AM109" s="206"/>
      <c r="AN109" s="174"/>
      <c r="AO109" s="286"/>
      <c r="AP109" s="303"/>
      <c r="AQ109" s="286"/>
      <c r="AR109" s="303"/>
      <c r="AS109" s="286"/>
      <c r="AT109" s="303"/>
      <c r="AU109" s="197">
        <f t="shared" ref="AU109:AU118" si="49">G109/AW109</f>
        <v>36</v>
      </c>
      <c r="AV109" s="172">
        <f>B109/D109</f>
        <v>3.5</v>
      </c>
      <c r="AW109" s="172">
        <f t="shared" ref="AW109:AW118" si="50">VLOOKUP(AV109,$CB$102:$CC$271,2)</f>
        <v>0.25</v>
      </c>
      <c r="AY109" s="183"/>
      <c r="AZ109" s="172">
        <f>0.5*(B109-B108)*AU109</f>
        <v>738</v>
      </c>
      <c r="BA109" s="196"/>
      <c r="BB109" s="172">
        <f>B109</f>
        <v>42</v>
      </c>
      <c r="BC109" s="172">
        <f>G109/AD109</f>
        <v>0.14754098360655737</v>
      </c>
      <c r="BD109" s="172">
        <v>0.14754098360655737</v>
      </c>
      <c r="BE109" s="172">
        <v>1</v>
      </c>
      <c r="BF109" s="172">
        <f>1/9</f>
        <v>0.1111111111111111</v>
      </c>
      <c r="BG109" s="172">
        <v>6</v>
      </c>
      <c r="BH109" s="172">
        <f>6/9</f>
        <v>0.66666666666666663</v>
      </c>
      <c r="BI109" s="172">
        <v>1</v>
      </c>
      <c r="BJ109" s="172">
        <f>1/9</f>
        <v>0.1111111111111111</v>
      </c>
      <c r="CB109" s="172">
        <v>1.4</v>
      </c>
      <c r="CC109" s="172">
        <v>0.25</v>
      </c>
      <c r="CG109" s="172">
        <v>9</v>
      </c>
      <c r="CH109" s="172">
        <f t="shared" si="40"/>
        <v>8.0999999999999989E-2</v>
      </c>
      <c r="CJ109" s="172">
        <v>9</v>
      </c>
      <c r="CL109" s="172">
        <f t="shared" si="42"/>
        <v>2.7E-2</v>
      </c>
      <c r="CM109" s="172">
        <f t="shared" si="43"/>
        <v>0.81269999999999998</v>
      </c>
      <c r="CN109" s="172">
        <f t="shared" si="41"/>
        <v>0.19319999999999998</v>
      </c>
      <c r="CO109" s="172">
        <f t="shared" si="44"/>
        <v>0.8397</v>
      </c>
      <c r="CP109" s="172">
        <f t="shared" si="45"/>
        <v>1.0059</v>
      </c>
      <c r="CR109" s="172">
        <v>0.21</v>
      </c>
      <c r="CS109" s="172">
        <v>0.5</v>
      </c>
      <c r="CT109" s="172">
        <v>0.28000000000000003</v>
      </c>
      <c r="CU109" s="172">
        <f t="shared" si="46"/>
        <v>0.71</v>
      </c>
      <c r="CV109" s="172">
        <f t="shared" si="47"/>
        <v>0.78</v>
      </c>
    </row>
    <row r="110" spans="1:100" s="172" customFormat="1" x14ac:dyDescent="0.25">
      <c r="A110" s="172">
        <v>2005</v>
      </c>
      <c r="B110" s="172">
        <f t="shared" si="24"/>
        <v>67</v>
      </c>
      <c r="C110" s="191">
        <v>38419</v>
      </c>
      <c r="D110" s="172">
        <v>10.4</v>
      </c>
      <c r="E110" s="172">
        <f>VLOOKUP(C110,'Historic Daily flows'!$A$1:$B$37941,2)</f>
        <v>6.32</v>
      </c>
      <c r="G110" s="192">
        <v>32</v>
      </c>
      <c r="H110" s="193"/>
      <c r="P110" s="194"/>
      <c r="Q110" s="193"/>
      <c r="Y110" s="195"/>
      <c r="AA110" s="195"/>
      <c r="AB110" s="183">
        <f>((B110-B109)*G110)-((B110-B109)*(G110-G109)*0.5)</f>
        <v>512.5</v>
      </c>
      <c r="AD110" s="172">
        <f>AD111</f>
        <v>61</v>
      </c>
      <c r="AE110" s="206"/>
      <c r="AF110" s="196"/>
      <c r="AG110" s="171">
        <f t="shared" si="16"/>
        <v>58.18181818181818</v>
      </c>
      <c r="AH110" s="174">
        <f t="shared" si="25"/>
        <v>0.55000000000000004</v>
      </c>
      <c r="AI110" s="174"/>
      <c r="AJ110" s="174">
        <f>((B110-B109)*AG110)-((B110-B109)*(AG110-AG109)*0.5)</f>
        <v>931.81818181818187</v>
      </c>
      <c r="AK110" s="249"/>
      <c r="AL110" s="192">
        <f t="shared" si="48"/>
        <v>110.90909090909091</v>
      </c>
      <c r="AM110" s="206"/>
      <c r="AN110" s="174"/>
      <c r="AO110" s="286"/>
      <c r="AP110" s="303"/>
      <c r="AQ110" s="286"/>
      <c r="AR110" s="303"/>
      <c r="AS110" s="286"/>
      <c r="AT110" s="303"/>
      <c r="AU110" s="197">
        <f t="shared" si="49"/>
        <v>96.408773198361047</v>
      </c>
      <c r="AV110" s="172">
        <f>B110/D110</f>
        <v>6.4423076923076925</v>
      </c>
      <c r="AW110" s="172">
        <f t="shared" si="50"/>
        <v>0.33191999999999999</v>
      </c>
      <c r="AY110" s="183"/>
      <c r="AZ110" s="172">
        <f>((B110-B109)*AU110)-((B110-B109)*(AU110-AU109)*0.5)</f>
        <v>1655.1096649795131</v>
      </c>
      <c r="BA110" s="196"/>
      <c r="BB110" s="172">
        <f>B110</f>
        <v>67</v>
      </c>
      <c r="BC110" s="172">
        <f>G110/AD110</f>
        <v>0.52459016393442626</v>
      </c>
      <c r="BD110" s="172">
        <v>0.52459016393442626</v>
      </c>
      <c r="BE110" s="172">
        <v>3</v>
      </c>
      <c r="BF110" s="172">
        <f>3/32</f>
        <v>9.375E-2</v>
      </c>
      <c r="BG110" s="172">
        <v>18</v>
      </c>
      <c r="BH110" s="172">
        <f>18/32</f>
        <v>0.5625</v>
      </c>
      <c r="BI110" s="172">
        <v>10</v>
      </c>
      <c r="BJ110" s="172">
        <f>10/32</f>
        <v>0.3125</v>
      </c>
      <c r="CB110" s="172">
        <v>1.6</v>
      </c>
      <c r="CC110" s="172">
        <v>0.25</v>
      </c>
      <c r="CG110" s="172">
        <v>10</v>
      </c>
      <c r="CH110" s="172">
        <f t="shared" si="40"/>
        <v>0.09</v>
      </c>
      <c r="CJ110" s="172">
        <v>10</v>
      </c>
      <c r="CL110" s="172">
        <f t="shared" si="42"/>
        <v>0.03</v>
      </c>
      <c r="CM110" s="172">
        <f t="shared" si="43"/>
        <v>0.80879999999999996</v>
      </c>
      <c r="CN110" s="172">
        <f t="shared" si="41"/>
        <v>0.19339999999999999</v>
      </c>
      <c r="CO110" s="172">
        <f t="shared" si="44"/>
        <v>0.83879999999999999</v>
      </c>
      <c r="CP110" s="172">
        <f t="shared" si="45"/>
        <v>1.0022</v>
      </c>
      <c r="CR110" s="172">
        <v>0.21</v>
      </c>
      <c r="CS110" s="172">
        <v>0.5</v>
      </c>
      <c r="CT110" s="172">
        <v>0.28000000000000003</v>
      </c>
      <c r="CU110" s="172">
        <f t="shared" si="46"/>
        <v>0.71</v>
      </c>
      <c r="CV110" s="172">
        <f t="shared" si="47"/>
        <v>0.78</v>
      </c>
    </row>
    <row r="111" spans="1:100" s="172" customFormat="1" x14ac:dyDescent="0.25">
      <c r="A111" s="172">
        <v>2005</v>
      </c>
      <c r="B111" s="172">
        <f t="shared" si="24"/>
        <v>105</v>
      </c>
      <c r="C111" s="191">
        <v>38457</v>
      </c>
      <c r="D111" s="172">
        <v>14.63</v>
      </c>
      <c r="E111" s="172">
        <f>VLOOKUP(C111,'Historic Daily flows'!$A$1:$B$37941,2)</f>
        <v>11.9</v>
      </c>
      <c r="G111" s="192">
        <v>61</v>
      </c>
      <c r="H111" s="193"/>
      <c r="P111" s="194"/>
      <c r="Q111" s="193"/>
      <c r="Y111" s="195"/>
      <c r="AA111" s="195"/>
      <c r="AB111" s="183">
        <f>((B111-B110)*G111)-((B111-B110)*(G111-G110)*0.5)</f>
        <v>1767</v>
      </c>
      <c r="AD111" s="172">
        <f>AD112</f>
        <v>61</v>
      </c>
      <c r="AE111" s="206"/>
      <c r="AF111" s="196"/>
      <c r="AG111" s="171">
        <f t="shared" si="16"/>
        <v>110.90909090909091</v>
      </c>
      <c r="AH111" s="174">
        <f t="shared" si="25"/>
        <v>0.55000000000000004</v>
      </c>
      <c r="AI111" s="174"/>
      <c r="AJ111" s="174">
        <f>((B111-B110)*AG111)-((B111-B110)*(AG111-AG110)*0.5)</f>
        <v>3212.7272727272721</v>
      </c>
      <c r="AK111" s="249"/>
      <c r="AL111" s="192">
        <f t="shared" si="48"/>
        <v>110.90909090909091</v>
      </c>
      <c r="AM111" s="206"/>
      <c r="AN111" s="174"/>
      <c r="AO111" s="286"/>
      <c r="AP111" s="303"/>
      <c r="AQ111" s="286"/>
      <c r="AR111" s="303"/>
      <c r="AS111" s="286"/>
      <c r="AT111" s="303"/>
      <c r="AU111" s="197">
        <f t="shared" si="49"/>
        <v>167.90531241398318</v>
      </c>
      <c r="AV111" s="172">
        <f>B111/D111</f>
        <v>7.1770334928229662</v>
      </c>
      <c r="AW111" s="172">
        <f t="shared" si="50"/>
        <v>0.36329999999999946</v>
      </c>
      <c r="AY111" s="183"/>
      <c r="AZ111" s="172">
        <f>((B111-B110)*AU111)-((B111-B110)*(AU111-AU110)*0.5)</f>
        <v>5021.9676266345405</v>
      </c>
      <c r="BA111" s="196"/>
      <c r="BB111" s="172">
        <f>B111</f>
        <v>105</v>
      </c>
      <c r="BC111" s="172">
        <f>G111/AD111</f>
        <v>1</v>
      </c>
      <c r="BD111" s="172">
        <v>1</v>
      </c>
      <c r="BE111" s="172">
        <v>11</v>
      </c>
      <c r="BF111" s="172">
        <f>11/59</f>
        <v>0.1864406779661017</v>
      </c>
      <c r="BG111" s="172">
        <v>29</v>
      </c>
      <c r="BH111" s="172">
        <f>29/59</f>
        <v>0.49152542372881358</v>
      </c>
      <c r="BI111" s="172">
        <v>19</v>
      </c>
      <c r="BJ111" s="172">
        <f>19/59</f>
        <v>0.32203389830508472</v>
      </c>
      <c r="BK111" s="172">
        <v>2</v>
      </c>
      <c r="CB111" s="172">
        <v>1.8</v>
      </c>
      <c r="CC111" s="172">
        <v>0.25</v>
      </c>
      <c r="CG111" s="172">
        <v>11</v>
      </c>
      <c r="CH111" s="172">
        <f t="shared" si="40"/>
        <v>9.8999999999999991E-2</v>
      </c>
      <c r="CJ111" s="172">
        <v>11</v>
      </c>
      <c r="CL111" s="172">
        <f t="shared" si="42"/>
        <v>3.3000000000000002E-2</v>
      </c>
      <c r="CM111" s="172">
        <f t="shared" si="43"/>
        <v>0.80489999999999995</v>
      </c>
      <c r="CN111" s="172">
        <f t="shared" si="41"/>
        <v>0.19359999999999999</v>
      </c>
      <c r="CO111" s="172">
        <f t="shared" si="44"/>
        <v>0.83789999999999998</v>
      </c>
      <c r="CP111" s="172">
        <f t="shared" si="45"/>
        <v>0.99849999999999994</v>
      </c>
      <c r="CR111" s="172">
        <v>0.21</v>
      </c>
      <c r="CS111" s="172">
        <v>0.5</v>
      </c>
      <c r="CT111" s="172">
        <v>0.28000000000000003</v>
      </c>
      <c r="CU111" s="172">
        <f t="shared" si="46"/>
        <v>0.71</v>
      </c>
      <c r="CV111" s="172">
        <f t="shared" si="47"/>
        <v>0.78</v>
      </c>
    </row>
    <row r="112" spans="1:100" s="172" customFormat="1" x14ac:dyDescent="0.25">
      <c r="A112" s="172">
        <v>2005</v>
      </c>
      <c r="B112" s="172">
        <f t="shared" si="24"/>
        <v>119</v>
      </c>
      <c r="C112" s="191">
        <v>38471</v>
      </c>
      <c r="D112" s="172">
        <v>16.3</v>
      </c>
      <c r="E112" s="172">
        <f>VLOOKUP(C112,'Historic Daily flows'!$A$1:$B$37941,2)</f>
        <v>9.09</v>
      </c>
      <c r="G112" s="192">
        <v>47</v>
      </c>
      <c r="H112" s="193"/>
      <c r="P112" s="194"/>
      <c r="Q112" s="193"/>
      <c r="Y112" s="195"/>
      <c r="AA112" s="195"/>
      <c r="AB112" s="183">
        <f>((B112-B111)*G112)-((B112-B111)*(G112-G111)*0.5)</f>
        <v>756</v>
      </c>
      <c r="AD112" s="172">
        <f>AD113</f>
        <v>61</v>
      </c>
      <c r="AE112" s="206"/>
      <c r="AF112" s="196"/>
      <c r="AG112" s="171">
        <f t="shared" si="16"/>
        <v>85.454545454545453</v>
      </c>
      <c r="AH112" s="174">
        <f t="shared" si="25"/>
        <v>0.55000000000000004</v>
      </c>
      <c r="AI112" s="174"/>
      <c r="AJ112" s="174">
        <f>((B112-B111)*AG112)-((B112-B111)*(AG112-AG111)*0.5)</f>
        <v>1374.5454545454545</v>
      </c>
      <c r="AK112" s="249"/>
      <c r="AL112" s="192">
        <f t="shared" si="48"/>
        <v>110.90909090909091</v>
      </c>
      <c r="AM112" s="206"/>
      <c r="AN112" s="174"/>
      <c r="AO112" s="286"/>
      <c r="AP112" s="303"/>
      <c r="AQ112" s="286"/>
      <c r="AR112" s="303"/>
      <c r="AS112" s="286"/>
      <c r="AT112" s="303"/>
      <c r="AU112" s="197">
        <f t="shared" si="49"/>
        <v>125.74914383561661</v>
      </c>
      <c r="AV112" s="172">
        <f>B112/D112</f>
        <v>7.3006134969325149</v>
      </c>
      <c r="AW112" s="172">
        <f t="shared" si="50"/>
        <v>0.37375999999999948</v>
      </c>
      <c r="AY112" s="183"/>
      <c r="AZ112" s="172">
        <f>((B112-B111)*AU112)-((B112-B111)*(AU112-AU111)*0.5)</f>
        <v>2055.5811937471985</v>
      </c>
      <c r="BA112" s="196"/>
      <c r="BB112" s="172">
        <f>B112</f>
        <v>119</v>
      </c>
      <c r="BC112" s="172">
        <f>G112/AD112</f>
        <v>0.77049180327868849</v>
      </c>
      <c r="BE112" s="172">
        <v>10</v>
      </c>
      <c r="BF112" s="172">
        <f>10/45</f>
        <v>0.22222222222222221</v>
      </c>
      <c r="BG112" s="172">
        <v>16</v>
      </c>
      <c r="BH112" s="172">
        <f>16/45</f>
        <v>0.35555555555555557</v>
      </c>
      <c r="BI112" s="172">
        <v>19</v>
      </c>
      <c r="BJ112" s="172">
        <f>19/45</f>
        <v>0.42222222222222222</v>
      </c>
      <c r="BK112" s="172">
        <v>2</v>
      </c>
      <c r="CB112" s="172">
        <v>2</v>
      </c>
      <c r="CC112" s="172">
        <v>0.25</v>
      </c>
      <c r="CG112" s="172">
        <v>12</v>
      </c>
      <c r="CH112" s="172">
        <f t="shared" si="40"/>
        <v>0.10799999999999998</v>
      </c>
      <c r="CJ112" s="172">
        <v>12</v>
      </c>
      <c r="CL112" s="172">
        <f t="shared" si="42"/>
        <v>3.6000000000000004E-2</v>
      </c>
      <c r="CM112" s="172">
        <f t="shared" si="43"/>
        <v>0.80100000000000005</v>
      </c>
      <c r="CN112" s="172">
        <f t="shared" si="41"/>
        <v>0.1938</v>
      </c>
      <c r="CO112" s="172">
        <f t="shared" si="44"/>
        <v>0.83700000000000008</v>
      </c>
      <c r="CP112" s="172">
        <f t="shared" si="45"/>
        <v>0.99480000000000002</v>
      </c>
      <c r="CR112" s="172">
        <v>0.21</v>
      </c>
      <c r="CS112" s="172">
        <v>0.5</v>
      </c>
      <c r="CT112" s="172">
        <v>0.28000000000000003</v>
      </c>
      <c r="CU112" s="172">
        <f t="shared" si="46"/>
        <v>0.71</v>
      </c>
      <c r="CV112" s="172">
        <f t="shared" si="47"/>
        <v>0.78</v>
      </c>
    </row>
    <row r="113" spans="1:100" s="172" customFormat="1" x14ac:dyDescent="0.25">
      <c r="A113" s="172">
        <v>2005</v>
      </c>
      <c r="B113" s="172">
        <f t="shared" si="24"/>
        <v>151</v>
      </c>
      <c r="C113" s="191">
        <v>38503</v>
      </c>
      <c r="E113" s="172">
        <f>VLOOKUP(C113,'Historic Daily flows'!$A$1:$B$37941,2)</f>
        <v>5.82</v>
      </c>
      <c r="G113" s="192">
        <v>0</v>
      </c>
      <c r="H113" s="193"/>
      <c r="P113" s="194"/>
      <c r="Q113" s="193"/>
      <c r="Y113" s="195"/>
      <c r="AA113" s="195"/>
      <c r="AB113" s="183">
        <f>0.5*(B113-B112)*G112</f>
        <v>752</v>
      </c>
      <c r="AC113" s="172">
        <f>AF113/$AF$1</f>
        <v>79.44</v>
      </c>
      <c r="AD113" s="172">
        <f>MAX(G108:G113)</f>
        <v>61</v>
      </c>
      <c r="AE113" s="206">
        <f>AC113/AD113</f>
        <v>1.302295081967213</v>
      </c>
      <c r="AF113" s="280">
        <f>SUM(AB108:AB113)</f>
        <v>3972</v>
      </c>
      <c r="AG113" s="171">
        <f t="shared" si="16"/>
        <v>0</v>
      </c>
      <c r="AH113" s="174">
        <f t="shared" si="25"/>
        <v>0.55000000000000004</v>
      </c>
      <c r="AI113" s="174"/>
      <c r="AJ113" s="174">
        <f>0.5*(B113-B112)*AG112</f>
        <v>1367.2727272727273</v>
      </c>
      <c r="AK113" s="249">
        <f>AN113/$AN$1</f>
        <v>139.45454545454541</v>
      </c>
      <c r="AL113" s="192">
        <f t="shared" si="48"/>
        <v>110.90909090909091</v>
      </c>
      <c r="AM113" s="206">
        <f>AK113/AL113</f>
        <v>1.2573770491803276</v>
      </c>
      <c r="AN113" s="174">
        <f>SUM(AJ108:AJ113)</f>
        <v>6972.7272727272712</v>
      </c>
      <c r="AO113" s="286">
        <v>157</v>
      </c>
      <c r="AP113" s="303">
        <v>2.64</v>
      </c>
      <c r="AQ113" s="290">
        <f>AO113</f>
        <v>157</v>
      </c>
      <c r="AR113" s="303">
        <v>161</v>
      </c>
      <c r="AS113" s="286">
        <v>2.64</v>
      </c>
      <c r="AT113" s="303">
        <f>AL113*$AS$177</f>
        <v>0</v>
      </c>
      <c r="AU113" s="197">
        <f t="shared" si="49"/>
        <v>0</v>
      </c>
      <c r="AW113" s="172">
        <f t="shared" si="50"/>
        <v>0.25</v>
      </c>
      <c r="AX113" s="172">
        <f>BA113/$BA$1</f>
        <v>229.65289573462235</v>
      </c>
      <c r="AY113" s="183">
        <f>AX113/AD113</f>
        <v>3.7648015694200385</v>
      </c>
      <c r="AZ113" s="172">
        <f>0.5*(B113-B112)*AU112</f>
        <v>2011.9863013698657</v>
      </c>
      <c r="BA113" s="196">
        <f>SUM(AZ108:AZ113)</f>
        <v>11482.644786731118</v>
      </c>
      <c r="CB113" s="172">
        <v>2.2000000000000002</v>
      </c>
      <c r="CC113" s="172">
        <v>0.25</v>
      </c>
      <c r="CG113" s="172">
        <v>13</v>
      </c>
      <c r="CH113" s="172">
        <f t="shared" si="40"/>
        <v>0.11699999999999999</v>
      </c>
      <c r="CJ113" s="172">
        <v>13</v>
      </c>
      <c r="CL113" s="172">
        <f t="shared" si="42"/>
        <v>3.9E-2</v>
      </c>
      <c r="CM113" s="172">
        <f t="shared" si="43"/>
        <v>0.79710000000000003</v>
      </c>
      <c r="CN113" s="172">
        <f t="shared" si="41"/>
        <v>0.19399999999999998</v>
      </c>
      <c r="CO113" s="172">
        <f t="shared" si="44"/>
        <v>0.83610000000000007</v>
      </c>
      <c r="CP113" s="172">
        <f t="shared" si="45"/>
        <v>0.99109999999999998</v>
      </c>
      <c r="CR113" s="172">
        <v>0.21</v>
      </c>
      <c r="CS113" s="172">
        <v>0.5</v>
      </c>
      <c r="CT113" s="172">
        <v>0.28000000000000003</v>
      </c>
      <c r="CU113" s="172">
        <f t="shared" si="46"/>
        <v>0.71</v>
      </c>
      <c r="CV113" s="172">
        <f t="shared" si="47"/>
        <v>0.78</v>
      </c>
    </row>
    <row r="114" spans="1:100" x14ac:dyDescent="0.25">
      <c r="A114">
        <v>2006</v>
      </c>
      <c r="B114">
        <f t="shared" si="24"/>
        <v>1</v>
      </c>
      <c r="C114" s="109">
        <v>38718</v>
      </c>
      <c r="E114">
        <f>VLOOKUP(C114,'Historic Daily flows'!$A$1:$B$37941,2)</f>
        <v>58.1</v>
      </c>
      <c r="G114" s="77">
        <v>0</v>
      </c>
      <c r="AD114">
        <f>AD115</f>
        <v>62</v>
      </c>
      <c r="AG114" s="171">
        <f t="shared" si="16"/>
        <v>0</v>
      </c>
      <c r="AH114" s="108">
        <f t="shared" si="25"/>
        <v>0.55000000000000004</v>
      </c>
      <c r="AI114" s="108"/>
      <c r="AJ114" s="108"/>
      <c r="AK114" s="249"/>
      <c r="AL114" s="77">
        <f t="shared" ref="AL114:AL119" si="51">MAX($G$114:$G$119)/AH114</f>
        <v>112.72727272727272</v>
      </c>
      <c r="AM114" s="73"/>
      <c r="AN114" s="108"/>
      <c r="AO114" s="286"/>
      <c r="AP114" s="303"/>
      <c r="AQ114" s="286"/>
      <c r="AR114" s="303"/>
      <c r="AS114" s="286"/>
      <c r="AT114" s="303"/>
      <c r="AU114" s="79">
        <f t="shared" si="49"/>
        <v>0</v>
      </c>
      <c r="AW114">
        <f t="shared" si="50"/>
        <v>0.25</v>
      </c>
      <c r="CB114">
        <v>2.4</v>
      </c>
      <c r="CC114">
        <v>0.25</v>
      </c>
      <c r="CG114">
        <v>14</v>
      </c>
      <c r="CH114">
        <f t="shared" si="40"/>
        <v>0.126</v>
      </c>
      <c r="CJ114">
        <v>14</v>
      </c>
      <c r="CL114">
        <f t="shared" si="42"/>
        <v>4.2000000000000003E-2</v>
      </c>
      <c r="CM114">
        <f t="shared" si="43"/>
        <v>0.79320000000000002</v>
      </c>
      <c r="CN114">
        <f t="shared" si="41"/>
        <v>0.19419999999999998</v>
      </c>
      <c r="CO114">
        <f t="shared" si="44"/>
        <v>0.83520000000000005</v>
      </c>
      <c r="CP114">
        <f t="shared" si="45"/>
        <v>0.98740000000000006</v>
      </c>
      <c r="CR114">
        <v>0.21</v>
      </c>
      <c r="CS114">
        <v>0.5</v>
      </c>
      <c r="CT114">
        <v>0.28000000000000003</v>
      </c>
      <c r="CU114">
        <f t="shared" si="46"/>
        <v>0.71</v>
      </c>
      <c r="CV114">
        <f t="shared" si="47"/>
        <v>0.78</v>
      </c>
    </row>
    <row r="115" spans="1:100" x14ac:dyDescent="0.25">
      <c r="A115">
        <v>2006</v>
      </c>
      <c r="B115">
        <f t="shared" si="24"/>
        <v>46</v>
      </c>
      <c r="C115" s="109">
        <v>38763</v>
      </c>
      <c r="D115">
        <v>6.8</v>
      </c>
      <c r="E115">
        <f>VLOOKUP(C115,'Historic Daily flows'!$A$1:$B$37941,2)</f>
        <v>8.6999999999999993</v>
      </c>
      <c r="G115" s="77">
        <v>32</v>
      </c>
      <c r="AB115" s="61">
        <f>0.5*(B115-B114)*G115</f>
        <v>720</v>
      </c>
      <c r="AD115">
        <f>AD116</f>
        <v>62</v>
      </c>
      <c r="AG115" s="171">
        <f t="shared" ref="AG115:AG146" si="52">G115/AH115</f>
        <v>58.18181818181818</v>
      </c>
      <c r="AH115" s="108">
        <f t="shared" si="25"/>
        <v>0.55000000000000004</v>
      </c>
      <c r="AI115" s="108"/>
      <c r="AJ115" s="108">
        <f>0.5*($B115-$B114)*$AG115</f>
        <v>1309.090909090909</v>
      </c>
      <c r="AK115" s="249"/>
      <c r="AL115" s="77">
        <f t="shared" si="51"/>
        <v>112.72727272727272</v>
      </c>
      <c r="AM115" s="73"/>
      <c r="AN115" s="108"/>
      <c r="AO115" s="286"/>
      <c r="AP115" s="303"/>
      <c r="AQ115" s="286"/>
      <c r="AR115" s="303"/>
      <c r="AS115" s="286"/>
      <c r="AT115" s="303"/>
      <c r="AU115" s="79">
        <f t="shared" si="49"/>
        <v>93.46340323617035</v>
      </c>
      <c r="AV115">
        <f>B115/D115</f>
        <v>6.7647058823529411</v>
      </c>
      <c r="AW115">
        <f t="shared" si="50"/>
        <v>0.34237999999999996</v>
      </c>
      <c r="AZ115">
        <f>0.5*(B115-B114)*AU115</f>
        <v>2102.926572813833</v>
      </c>
      <c r="BB115" s="117">
        <f>B115</f>
        <v>46</v>
      </c>
      <c r="BC115" s="117">
        <f>G115/AD115</f>
        <v>0.5161290322580645</v>
      </c>
      <c r="BD115" s="117">
        <v>0.5161290322580645</v>
      </c>
      <c r="BE115" s="112">
        <v>12</v>
      </c>
      <c r="BF115" s="112">
        <f>12/32</f>
        <v>0.375</v>
      </c>
      <c r="BG115" s="112">
        <v>17</v>
      </c>
      <c r="BH115" s="112">
        <f>17/32</f>
        <v>0.53125</v>
      </c>
      <c r="BI115" s="112">
        <v>3</v>
      </c>
      <c r="BJ115" s="112">
        <f>3/32</f>
        <v>9.375E-2</v>
      </c>
      <c r="CB115">
        <v>2.6</v>
      </c>
      <c r="CC115">
        <v>0.25</v>
      </c>
      <c r="CG115">
        <v>15</v>
      </c>
      <c r="CH115">
        <f t="shared" si="40"/>
        <v>0.13499999999999998</v>
      </c>
      <c r="CJ115">
        <v>15</v>
      </c>
      <c r="CL115">
        <f t="shared" si="42"/>
        <v>4.4999999999999998E-2</v>
      </c>
      <c r="CM115">
        <f t="shared" si="43"/>
        <v>0.7893</v>
      </c>
      <c r="CN115">
        <f t="shared" si="41"/>
        <v>0.19439999999999999</v>
      </c>
      <c r="CO115">
        <f t="shared" si="44"/>
        <v>0.83430000000000004</v>
      </c>
      <c r="CP115">
        <f t="shared" si="45"/>
        <v>0.98370000000000002</v>
      </c>
      <c r="CR115">
        <v>0.21</v>
      </c>
      <c r="CS115">
        <v>0.5</v>
      </c>
      <c r="CT115">
        <v>0.28000000000000003</v>
      </c>
      <c r="CU115">
        <f t="shared" si="46"/>
        <v>0.71</v>
      </c>
      <c r="CV115">
        <f t="shared" si="47"/>
        <v>0.78</v>
      </c>
    </row>
    <row r="116" spans="1:100" x14ac:dyDescent="0.25">
      <c r="A116">
        <v>2006</v>
      </c>
      <c r="B116">
        <f t="shared" si="24"/>
        <v>80</v>
      </c>
      <c r="C116" s="109">
        <v>38797</v>
      </c>
      <c r="D116">
        <v>5</v>
      </c>
      <c r="E116">
        <f>VLOOKUP(C116,'Historic Daily flows'!$A$1:$B$37941,2)</f>
        <v>6.67</v>
      </c>
      <c r="G116" s="77">
        <v>59</v>
      </c>
      <c r="AB116" s="61">
        <f>((B116-B115)*G116)-((B116-B115)*(G116-G115)*0.5)</f>
        <v>1547</v>
      </c>
      <c r="AD116">
        <f>AD117</f>
        <v>62</v>
      </c>
      <c r="AG116" s="171">
        <f t="shared" si="52"/>
        <v>107.27272727272727</v>
      </c>
      <c r="AH116" s="108">
        <f t="shared" si="25"/>
        <v>0.55000000000000004</v>
      </c>
      <c r="AI116" s="108"/>
      <c r="AJ116" s="108">
        <f>((B116-B115)*AG116)-((B116-B115)*(AG116-AG115)*0.5)</f>
        <v>2812.7272727272725</v>
      </c>
      <c r="AK116" s="249"/>
      <c r="AL116" s="77">
        <f t="shared" si="51"/>
        <v>112.72727272727272</v>
      </c>
      <c r="AM116" s="73"/>
      <c r="AN116" s="108"/>
      <c r="AO116" s="286"/>
      <c r="AP116" s="303"/>
      <c r="AQ116" s="286"/>
      <c r="AR116" s="303"/>
      <c r="AS116" s="286"/>
      <c r="AT116" s="303"/>
      <c r="AU116" s="79">
        <f t="shared" si="49"/>
        <v>71.64193603225101</v>
      </c>
      <c r="AV116">
        <f>B116/D116</f>
        <v>16</v>
      </c>
      <c r="AW116">
        <f t="shared" si="50"/>
        <v>0.82354000000000005</v>
      </c>
      <c r="AZ116">
        <f>((B116-B115)*G116)-((B116-B115)*(AW116-G115)*0.5)</f>
        <v>2535.99982</v>
      </c>
      <c r="BB116" s="117">
        <f>B116</f>
        <v>80</v>
      </c>
      <c r="BC116" s="117">
        <f>G116/AD116</f>
        <v>0.95161290322580649</v>
      </c>
      <c r="BD116" s="117">
        <v>0.95161290322580649</v>
      </c>
      <c r="BE116" s="112">
        <v>17</v>
      </c>
      <c r="BF116" s="112">
        <f>17/59</f>
        <v>0.28813559322033899</v>
      </c>
      <c r="BG116" s="112">
        <v>32</v>
      </c>
      <c r="BH116" s="112">
        <f>32/59</f>
        <v>0.5423728813559322</v>
      </c>
      <c r="BI116" s="112">
        <v>10</v>
      </c>
      <c r="BJ116" s="112">
        <f>10/59</f>
        <v>0.16949152542372881</v>
      </c>
      <c r="CB116">
        <v>2.8</v>
      </c>
      <c r="CC116">
        <v>0.25</v>
      </c>
      <c r="CG116">
        <v>16</v>
      </c>
      <c r="CH116">
        <f t="shared" si="40"/>
        <v>0.14399999999999999</v>
      </c>
      <c r="CJ116">
        <v>16</v>
      </c>
      <c r="CL116">
        <f t="shared" si="42"/>
        <v>4.8000000000000001E-2</v>
      </c>
      <c r="CM116">
        <f t="shared" si="43"/>
        <v>0.78539999999999999</v>
      </c>
      <c r="CN116">
        <f t="shared" si="41"/>
        <v>0.1946</v>
      </c>
      <c r="CO116">
        <f t="shared" si="44"/>
        <v>0.83340000000000003</v>
      </c>
      <c r="CP116">
        <f t="shared" si="45"/>
        <v>0.98</v>
      </c>
      <c r="CR116">
        <v>0.21</v>
      </c>
      <c r="CS116">
        <v>0.5</v>
      </c>
      <c r="CT116">
        <v>0.28000000000000003</v>
      </c>
      <c r="CU116">
        <f t="shared" si="46"/>
        <v>0.71</v>
      </c>
      <c r="CV116">
        <f t="shared" si="47"/>
        <v>0.78</v>
      </c>
    </row>
    <row r="117" spans="1:100" x14ac:dyDescent="0.25">
      <c r="A117">
        <v>2006</v>
      </c>
      <c r="B117">
        <f t="shared" si="24"/>
        <v>103</v>
      </c>
      <c r="C117" s="109">
        <v>38820</v>
      </c>
      <c r="D117">
        <v>12</v>
      </c>
      <c r="E117">
        <f>VLOOKUP(C117,'Historic Daily flows'!$A$1:$B$37941,2)</f>
        <v>13.2</v>
      </c>
      <c r="G117" s="77">
        <v>62</v>
      </c>
      <c r="AB117" s="61">
        <f>((B117-B116)*G117)-((B117-B116)*(G117-G116)*0.5)</f>
        <v>1391.5</v>
      </c>
      <c r="AD117">
        <f>AD118</f>
        <v>62</v>
      </c>
      <c r="AG117" s="171">
        <f t="shared" si="52"/>
        <v>112.72727272727272</v>
      </c>
      <c r="AH117" s="108">
        <f t="shared" si="25"/>
        <v>0.55000000000000004</v>
      </c>
      <c r="AI117" s="108"/>
      <c r="AJ117" s="108">
        <f>((B117-B116)*AG117)-((B117-B116)*(AG117-AG116)*0.5)</f>
        <v>2530</v>
      </c>
      <c r="AK117" s="249"/>
      <c r="AL117" s="77">
        <f t="shared" si="51"/>
        <v>112.72727272727272</v>
      </c>
      <c r="AM117" s="73"/>
      <c r="AN117" s="108"/>
      <c r="AO117" s="286"/>
      <c r="AP117" s="303"/>
      <c r="AQ117" s="286"/>
      <c r="AR117" s="303"/>
      <c r="AS117" s="286"/>
      <c r="AT117" s="303"/>
      <c r="AU117" s="79">
        <f t="shared" si="49"/>
        <v>142.03243837624871</v>
      </c>
      <c r="AV117">
        <f>B117/D117</f>
        <v>8.5833333333333339</v>
      </c>
      <c r="AW117">
        <f t="shared" si="50"/>
        <v>0.43651999999999941</v>
      </c>
      <c r="AZ117">
        <f>((B117-B116)*G117)-((B117-B116)*(AW117-G116)*0.5)</f>
        <v>2099.48002</v>
      </c>
      <c r="BB117" s="117">
        <f>B117</f>
        <v>103</v>
      </c>
      <c r="BC117" s="117">
        <f>G117/AD117</f>
        <v>1</v>
      </c>
      <c r="BD117" s="117">
        <v>1</v>
      </c>
      <c r="BE117" s="112">
        <v>6</v>
      </c>
      <c r="BF117" s="112">
        <f>6/62</f>
        <v>9.6774193548387094E-2</v>
      </c>
      <c r="BG117" s="112">
        <v>25</v>
      </c>
      <c r="BH117" s="112">
        <f>25/62</f>
        <v>0.40322580645161288</v>
      </c>
      <c r="BI117" s="112">
        <v>24</v>
      </c>
      <c r="BJ117" s="112">
        <f>24/62</f>
        <v>0.38709677419354838</v>
      </c>
      <c r="CB117">
        <v>3</v>
      </c>
      <c r="CC117">
        <v>0.25</v>
      </c>
      <c r="CG117">
        <v>17</v>
      </c>
      <c r="CH117">
        <f t="shared" si="40"/>
        <v>0.153</v>
      </c>
      <c r="CJ117">
        <v>17</v>
      </c>
      <c r="CL117">
        <f t="shared" si="42"/>
        <v>5.1000000000000004E-2</v>
      </c>
      <c r="CM117">
        <f t="shared" si="43"/>
        <v>0.78149999999999997</v>
      </c>
      <c r="CN117">
        <f t="shared" si="41"/>
        <v>0.19479999999999997</v>
      </c>
      <c r="CO117">
        <f t="shared" si="44"/>
        <v>0.83250000000000002</v>
      </c>
      <c r="CP117">
        <f t="shared" si="45"/>
        <v>0.97629999999999995</v>
      </c>
      <c r="CR117">
        <v>0.21</v>
      </c>
      <c r="CS117">
        <v>0.5</v>
      </c>
      <c r="CT117">
        <v>0.28000000000000003</v>
      </c>
      <c r="CU117">
        <f t="shared" si="46"/>
        <v>0.71</v>
      </c>
      <c r="CV117">
        <f t="shared" si="47"/>
        <v>0.78</v>
      </c>
    </row>
    <row r="118" spans="1:100" x14ac:dyDescent="0.25">
      <c r="A118">
        <v>2006</v>
      </c>
      <c r="B118">
        <f t="shared" si="24"/>
        <v>125</v>
      </c>
      <c r="C118" s="109">
        <v>38842</v>
      </c>
      <c r="D118">
        <v>8</v>
      </c>
      <c r="E118">
        <f>VLOOKUP(C118,'Historic Daily flows'!$A$1:$B$37941,2)</f>
        <v>11.5</v>
      </c>
      <c r="G118" s="77">
        <v>62</v>
      </c>
      <c r="AB118" s="61">
        <f>((B118-B117)*G118)-((B118-B117)*(G118-G117)*0.5)</f>
        <v>1364</v>
      </c>
      <c r="AD118">
        <f>AD119</f>
        <v>62</v>
      </c>
      <c r="AG118" s="171">
        <f t="shared" si="52"/>
        <v>112.72727272727272</v>
      </c>
      <c r="AH118" s="108">
        <f t="shared" si="25"/>
        <v>0.55000000000000004</v>
      </c>
      <c r="AI118" s="108"/>
      <c r="AJ118" s="108">
        <f>((B118-B117)*AG118)-((B118-B117)*(AG118-AG117)*0.5)</f>
        <v>2480</v>
      </c>
      <c r="AK118" s="249"/>
      <c r="AL118" s="77">
        <f t="shared" si="51"/>
        <v>112.72727272727272</v>
      </c>
      <c r="AM118" s="73"/>
      <c r="AN118" s="108"/>
      <c r="AO118" s="286"/>
      <c r="AP118" s="303"/>
      <c r="AQ118" s="291" t="s">
        <v>223</v>
      </c>
      <c r="AR118" s="303"/>
      <c r="AS118" s="286"/>
      <c r="AT118" s="303"/>
      <c r="AU118" s="79">
        <f t="shared" si="49"/>
        <v>76.253259211885677</v>
      </c>
      <c r="AV118">
        <f>B118/D118</f>
        <v>15.625</v>
      </c>
      <c r="AW118">
        <f t="shared" si="50"/>
        <v>0.81307999999999991</v>
      </c>
      <c r="AZ118">
        <f>((B118-B117)*G118)-((B118-B117)*(AW118-G117)*0.5)</f>
        <v>2037.05612</v>
      </c>
      <c r="BB118" s="117">
        <f>B118</f>
        <v>125</v>
      </c>
      <c r="BC118" s="117">
        <f>G118/AD118</f>
        <v>1</v>
      </c>
      <c r="BD118" s="117">
        <v>1</v>
      </c>
      <c r="BE118" s="112">
        <v>12</v>
      </c>
      <c r="BF118" s="112">
        <f>12/62</f>
        <v>0.19354838709677419</v>
      </c>
      <c r="BG118" s="112">
        <v>20</v>
      </c>
      <c r="BH118" s="112">
        <f>20/62</f>
        <v>0.32258064516129031</v>
      </c>
      <c r="BI118" s="112">
        <v>30</v>
      </c>
      <c r="BJ118" s="112">
        <f>30/62</f>
        <v>0.4838709677419355</v>
      </c>
      <c r="CB118">
        <v>3.2</v>
      </c>
      <c r="CC118">
        <v>0.25</v>
      </c>
      <c r="CG118">
        <v>18</v>
      </c>
      <c r="CH118">
        <f t="shared" si="40"/>
        <v>0.16199999999999998</v>
      </c>
      <c r="CJ118">
        <v>18</v>
      </c>
      <c r="CL118">
        <f t="shared" si="42"/>
        <v>5.3999999999999999E-2</v>
      </c>
      <c r="CM118">
        <f t="shared" si="43"/>
        <v>0.77759999999999996</v>
      </c>
      <c r="CN118">
        <f t="shared" si="41"/>
        <v>0.19499999999999998</v>
      </c>
      <c r="CO118">
        <f t="shared" si="44"/>
        <v>0.83160000000000001</v>
      </c>
      <c r="CP118">
        <f t="shared" si="45"/>
        <v>0.97259999999999991</v>
      </c>
      <c r="CR118">
        <v>0.21</v>
      </c>
      <c r="CS118">
        <v>0.5</v>
      </c>
      <c r="CT118">
        <v>0.28000000000000003</v>
      </c>
      <c r="CU118">
        <f t="shared" si="46"/>
        <v>0.71</v>
      </c>
      <c r="CV118">
        <f t="shared" si="47"/>
        <v>0.78</v>
      </c>
    </row>
    <row r="119" spans="1:100" x14ac:dyDescent="0.25">
      <c r="A119">
        <v>2006</v>
      </c>
      <c r="B119">
        <f t="shared" si="24"/>
        <v>151</v>
      </c>
      <c r="C119" s="109">
        <v>38868</v>
      </c>
      <c r="E119">
        <f>VLOOKUP(C119,'Historic Daily flows'!$A$1:$B$37941,2)</f>
        <v>8.41</v>
      </c>
      <c r="G119" s="77">
        <v>0</v>
      </c>
      <c r="AB119" s="61">
        <f>0.5*(B119-B118)*G118</f>
        <v>806</v>
      </c>
      <c r="AC119">
        <f>AF119/$AF$1</f>
        <v>116.57</v>
      </c>
      <c r="AD119">
        <f>MAX(G114:G119)</f>
        <v>62</v>
      </c>
      <c r="AE119" s="73">
        <f>AC119/AD119</f>
        <v>1.8801612903225806</v>
      </c>
      <c r="AF119" s="279">
        <f>SUM(AB114:AB119)</f>
        <v>5828.5</v>
      </c>
      <c r="AG119" s="171">
        <f t="shared" si="52"/>
        <v>0</v>
      </c>
      <c r="AH119" s="108">
        <f t="shared" si="25"/>
        <v>0.55000000000000004</v>
      </c>
      <c r="AI119" s="108"/>
      <c r="AJ119" s="108">
        <f>0.5*(B119-B118)*AG118</f>
        <v>1465.4545454545453</v>
      </c>
      <c r="AK119" s="248">
        <f>AN119/$AN$1</f>
        <v>211.94545454545457</v>
      </c>
      <c r="AL119" s="77">
        <f t="shared" si="51"/>
        <v>112.72727272727272</v>
      </c>
      <c r="AM119" s="73">
        <f>AK119/AL119</f>
        <v>1.8801612903225811</v>
      </c>
      <c r="AN119" s="108">
        <f>SUM(AJ114:AJ119)</f>
        <v>10597.272727272728</v>
      </c>
      <c r="AO119" s="286">
        <v>135</v>
      </c>
      <c r="AP119" s="303">
        <v>8.1300000000000008</v>
      </c>
      <c r="AQ119" s="291">
        <f>AL119*$AP$177</f>
        <v>0</v>
      </c>
      <c r="AR119" s="303">
        <v>412</v>
      </c>
      <c r="AS119" s="286">
        <v>6.64</v>
      </c>
      <c r="AT119" s="303">
        <f>AL119*$AS$177</f>
        <v>0</v>
      </c>
      <c r="AU119" s="79">
        <v>0</v>
      </c>
      <c r="AX119">
        <f>BA119/$BA$1</f>
        <v>195.33509805136694</v>
      </c>
      <c r="AY119" s="61">
        <f>AX119/AD119</f>
        <v>3.1505660976026926</v>
      </c>
      <c r="AZ119">
        <f>0.5*(B119-B118)*AU118</f>
        <v>991.29236975451386</v>
      </c>
      <c r="BA119" s="78">
        <f>SUM(AZ115:AZ119)</f>
        <v>9766.7549025683475</v>
      </c>
      <c r="CB119">
        <v>3.4</v>
      </c>
      <c r="CC119">
        <v>0.25</v>
      </c>
      <c r="CG119">
        <v>19</v>
      </c>
      <c r="CH119">
        <f t="shared" si="40"/>
        <v>0.17099999999999999</v>
      </c>
      <c r="CJ119">
        <v>19</v>
      </c>
      <c r="CL119">
        <f t="shared" si="42"/>
        <v>5.7000000000000002E-2</v>
      </c>
      <c r="CM119">
        <f t="shared" si="43"/>
        <v>0.77370000000000005</v>
      </c>
      <c r="CN119">
        <f t="shared" si="41"/>
        <v>0.19519999999999998</v>
      </c>
      <c r="CO119">
        <f t="shared" si="44"/>
        <v>0.8307000000000001</v>
      </c>
      <c r="CP119">
        <f t="shared" si="45"/>
        <v>0.96890000000000009</v>
      </c>
      <c r="CR119">
        <v>0.21</v>
      </c>
      <c r="CS119">
        <v>0.5</v>
      </c>
      <c r="CT119">
        <v>0.28000000000000003</v>
      </c>
      <c r="CU119">
        <f t="shared" si="46"/>
        <v>0.71</v>
      </c>
      <c r="CV119">
        <f t="shared" si="47"/>
        <v>0.78</v>
      </c>
    </row>
    <row r="120" spans="1:100" s="172" customFormat="1" x14ac:dyDescent="0.25">
      <c r="A120" s="172">
        <v>2007</v>
      </c>
      <c r="B120" s="172">
        <f t="shared" si="24"/>
        <v>1</v>
      </c>
      <c r="C120" s="191">
        <v>39083</v>
      </c>
      <c r="E120" s="172">
        <f>VLOOKUP(C120,'Historic Daily flows'!$A$1:$B$37941,2)</f>
        <v>48.7</v>
      </c>
      <c r="G120" s="192">
        <v>0</v>
      </c>
      <c r="H120" s="193"/>
      <c r="P120" s="194"/>
      <c r="Q120" s="193"/>
      <c r="Y120" s="195"/>
      <c r="AA120" s="195"/>
      <c r="AB120" s="183"/>
      <c r="AD120" s="172">
        <f>AD121</f>
        <v>60</v>
      </c>
      <c r="AE120" s="206"/>
      <c r="AF120" s="196"/>
      <c r="AG120" s="171">
        <f t="shared" si="52"/>
        <v>0</v>
      </c>
      <c r="AH120" s="174">
        <f t="shared" si="25"/>
        <v>0.55000000000000004</v>
      </c>
      <c r="AI120" s="174"/>
      <c r="AJ120" s="174"/>
      <c r="AK120" s="249"/>
      <c r="AL120" s="192">
        <f>MAX($G$120:$G$124)/AH120</f>
        <v>109.09090909090908</v>
      </c>
      <c r="AM120" s="206"/>
      <c r="AN120" s="174"/>
      <c r="AO120" s="286"/>
      <c r="AP120" s="303"/>
      <c r="AQ120" s="286"/>
      <c r="AR120" s="303"/>
      <c r="AS120" s="286"/>
      <c r="AT120" s="303"/>
      <c r="AU120" s="197">
        <v>0</v>
      </c>
      <c r="AY120" s="183"/>
      <c r="BA120" s="196"/>
      <c r="CB120" s="172">
        <v>3.6</v>
      </c>
      <c r="CC120" s="172">
        <v>0.25</v>
      </c>
      <c r="CG120" s="172">
        <v>20</v>
      </c>
      <c r="CH120" s="172">
        <f t="shared" si="40"/>
        <v>0.18</v>
      </c>
      <c r="CJ120" s="172">
        <v>20</v>
      </c>
      <c r="CL120" s="172">
        <f t="shared" si="42"/>
        <v>0.06</v>
      </c>
      <c r="CM120" s="172">
        <f t="shared" si="43"/>
        <v>0.76980000000000004</v>
      </c>
      <c r="CN120" s="172">
        <f t="shared" si="41"/>
        <v>0.19539999999999999</v>
      </c>
      <c r="CO120" s="172">
        <f t="shared" si="44"/>
        <v>0.82980000000000009</v>
      </c>
      <c r="CP120" s="172">
        <f t="shared" si="45"/>
        <v>0.96520000000000006</v>
      </c>
      <c r="CR120" s="172">
        <v>0.21</v>
      </c>
      <c r="CS120" s="172">
        <v>0.5</v>
      </c>
      <c r="CT120" s="172">
        <v>0.28000000000000003</v>
      </c>
      <c r="CU120" s="172">
        <f t="shared" si="46"/>
        <v>0.71</v>
      </c>
      <c r="CV120" s="172">
        <f t="shared" si="47"/>
        <v>0.78</v>
      </c>
    </row>
    <row r="121" spans="1:100" s="172" customFormat="1" x14ac:dyDescent="0.25">
      <c r="A121" s="172">
        <v>2007</v>
      </c>
      <c r="B121" s="172">
        <f t="shared" si="24"/>
        <v>54</v>
      </c>
      <c r="C121" s="191">
        <v>39136</v>
      </c>
      <c r="D121" s="172">
        <v>9.5</v>
      </c>
      <c r="E121" s="172">
        <f>VLOOKUP(C121,'Historic Daily flows'!$A$1:$B$37941,2)</f>
        <v>12.5</v>
      </c>
      <c r="G121" s="192">
        <v>18</v>
      </c>
      <c r="H121" s="193"/>
      <c r="P121" s="194"/>
      <c r="Q121" s="193"/>
      <c r="Y121" s="195"/>
      <c r="AA121" s="195"/>
      <c r="AB121" s="183">
        <f>0.5*(B121-B120)*G121</f>
        <v>477</v>
      </c>
      <c r="AD121" s="172">
        <f>AD122</f>
        <v>60</v>
      </c>
      <c r="AE121" s="206"/>
      <c r="AF121" s="196"/>
      <c r="AG121" s="171">
        <f t="shared" si="52"/>
        <v>32.727272727272727</v>
      </c>
      <c r="AH121" s="174">
        <f t="shared" si="25"/>
        <v>0.55000000000000004</v>
      </c>
      <c r="AI121" s="174"/>
      <c r="AJ121" s="174">
        <f>0.5*($B121-$B120)*$AG121</f>
        <v>867.27272727272725</v>
      </c>
      <c r="AK121" s="249"/>
      <c r="AL121" s="192">
        <f>MAX($G$120:$G$124)/AH121</f>
        <v>109.09090909090908</v>
      </c>
      <c r="AM121" s="206"/>
      <c r="AN121" s="174"/>
      <c r="AO121" s="286"/>
      <c r="AP121" s="303"/>
      <c r="AQ121" s="286"/>
      <c r="AR121" s="303"/>
      <c r="AS121" s="286"/>
      <c r="AT121" s="303"/>
      <c r="AU121" s="197">
        <f>G121/AW121</f>
        <v>62.051847766133491</v>
      </c>
      <c r="AV121" s="172">
        <f>B121/D121</f>
        <v>5.6842105263157894</v>
      </c>
      <c r="AW121" s="172">
        <f>VLOOKUP(AV121,$CB$102:$CC$271,2)</f>
        <v>0.29007999999999995</v>
      </c>
      <c r="AY121" s="183"/>
      <c r="AZ121" s="172">
        <f>0.5*(B121-B120)*AU121</f>
        <v>1644.3739658025374</v>
      </c>
      <c r="BA121" s="196"/>
      <c r="BB121" s="172">
        <f>B121</f>
        <v>54</v>
      </c>
      <c r="BC121" s="172">
        <f>G121/AD121</f>
        <v>0.3</v>
      </c>
      <c r="BD121" s="172">
        <v>0.3</v>
      </c>
      <c r="BE121" s="172">
        <v>4</v>
      </c>
      <c r="BF121" s="172">
        <f>4/18</f>
        <v>0.22222222222222221</v>
      </c>
      <c r="BG121" s="172">
        <v>13</v>
      </c>
      <c r="BH121" s="172">
        <f>13/18</f>
        <v>0.72222222222222221</v>
      </c>
      <c r="BI121" s="172">
        <v>1</v>
      </c>
      <c r="BJ121" s="172">
        <f>1/18</f>
        <v>5.5555555555555552E-2</v>
      </c>
      <c r="CB121" s="172">
        <v>3.8</v>
      </c>
      <c r="CC121" s="172">
        <v>0.25</v>
      </c>
      <c r="CG121" s="172">
        <v>21</v>
      </c>
      <c r="CH121" s="172">
        <f t="shared" si="40"/>
        <v>0.18899999999999997</v>
      </c>
      <c r="CJ121" s="172">
        <v>21</v>
      </c>
      <c r="CL121" s="172">
        <f t="shared" si="42"/>
        <v>6.3E-2</v>
      </c>
      <c r="CM121" s="172">
        <f t="shared" si="43"/>
        <v>0.76590000000000003</v>
      </c>
      <c r="CN121" s="172">
        <f t="shared" si="41"/>
        <v>0.1956</v>
      </c>
      <c r="CO121" s="172">
        <f t="shared" si="44"/>
        <v>0.82889999999999997</v>
      </c>
      <c r="CP121" s="172">
        <f t="shared" si="45"/>
        <v>0.96150000000000002</v>
      </c>
      <c r="CR121" s="172">
        <v>0.21</v>
      </c>
      <c r="CS121" s="172">
        <v>0.5</v>
      </c>
      <c r="CT121" s="172">
        <v>0.28000000000000003</v>
      </c>
      <c r="CU121" s="172">
        <f t="shared" si="46"/>
        <v>0.71</v>
      </c>
      <c r="CV121" s="172">
        <f t="shared" si="47"/>
        <v>0.78</v>
      </c>
    </row>
    <row r="122" spans="1:100" s="172" customFormat="1" x14ac:dyDescent="0.25">
      <c r="A122" s="172">
        <v>2007</v>
      </c>
      <c r="B122" s="172">
        <f t="shared" si="24"/>
        <v>88</v>
      </c>
      <c r="C122" s="191">
        <v>39170</v>
      </c>
      <c r="D122" s="172">
        <v>9.5</v>
      </c>
      <c r="E122" s="172">
        <f>VLOOKUP(C122,'Historic Daily flows'!$A$1:$B$37941,2)</f>
        <v>10.7</v>
      </c>
      <c r="G122" s="192">
        <v>50</v>
      </c>
      <c r="H122" s="193"/>
      <c r="P122" s="194"/>
      <c r="Q122" s="193"/>
      <c r="Y122" s="195"/>
      <c r="AA122" s="195"/>
      <c r="AB122" s="183">
        <f>((B122-B121)*G122)-((B122-B121)*(G122-G121)*0.5)</f>
        <v>1156</v>
      </c>
      <c r="AD122" s="172">
        <f>AD123</f>
        <v>60</v>
      </c>
      <c r="AE122" s="206"/>
      <c r="AF122" s="196"/>
      <c r="AG122" s="171">
        <f t="shared" si="52"/>
        <v>90.909090909090907</v>
      </c>
      <c r="AH122" s="174">
        <f t="shared" si="25"/>
        <v>0.55000000000000004</v>
      </c>
      <c r="AI122" s="174"/>
      <c r="AJ122" s="174">
        <v>780</v>
      </c>
      <c r="AK122" s="249"/>
      <c r="AL122" s="192">
        <f>MAX($G$120:$G$124)/AH122</f>
        <v>109.09090909090908</v>
      </c>
      <c r="AM122" s="206"/>
      <c r="AN122" s="174"/>
      <c r="AO122" s="286"/>
      <c r="AP122" s="303"/>
      <c r="AQ122" s="286"/>
      <c r="AR122" s="303"/>
      <c r="AS122" s="286"/>
      <c r="AT122" s="303"/>
      <c r="AU122" s="197">
        <f>G122/AW122</f>
        <v>104.52378961451639</v>
      </c>
      <c r="AV122" s="172">
        <f>B122/D122</f>
        <v>9.2631578947368425</v>
      </c>
      <c r="AW122" s="172">
        <f>VLOOKUP(AV122,$CB$102:$CC$271,2)</f>
        <v>0.47835999999999945</v>
      </c>
      <c r="AY122" s="183"/>
      <c r="AZ122" s="172">
        <f>((B122-B121)*AU122)-((B122-B121)*(AU122-AU121)*0.5)</f>
        <v>2831.7858354710479</v>
      </c>
      <c r="BA122" s="196"/>
      <c r="BB122" s="172">
        <f>B122</f>
        <v>88</v>
      </c>
      <c r="BC122" s="172">
        <f>G122/AD122</f>
        <v>0.83333333333333337</v>
      </c>
      <c r="BD122" s="172">
        <v>0.83333333333333337</v>
      </c>
      <c r="BE122" s="172">
        <v>6</v>
      </c>
      <c r="BF122" s="172">
        <f>6/50</f>
        <v>0.12</v>
      </c>
      <c r="BG122" s="172">
        <v>29</v>
      </c>
      <c r="BH122" s="172">
        <f>29/50</f>
        <v>0.57999999999999996</v>
      </c>
      <c r="BI122" s="172">
        <v>15</v>
      </c>
      <c r="BJ122" s="172">
        <f>15/50</f>
        <v>0.3</v>
      </c>
      <c r="CB122" s="172">
        <v>4</v>
      </c>
      <c r="CC122" s="172">
        <v>0.25</v>
      </c>
      <c r="CG122" s="172">
        <v>22</v>
      </c>
      <c r="CH122" s="172">
        <f t="shared" si="40"/>
        <v>0.19799999999999998</v>
      </c>
      <c r="CJ122" s="172">
        <v>22</v>
      </c>
      <c r="CL122" s="172">
        <f t="shared" si="42"/>
        <v>6.6000000000000003E-2</v>
      </c>
      <c r="CM122" s="172">
        <f t="shared" si="43"/>
        <v>0.76200000000000001</v>
      </c>
      <c r="CN122" s="172">
        <f t="shared" si="41"/>
        <v>0.19579999999999997</v>
      </c>
      <c r="CO122" s="172">
        <f t="shared" si="44"/>
        <v>0.82800000000000007</v>
      </c>
      <c r="CP122" s="172">
        <f t="shared" si="45"/>
        <v>0.95779999999999998</v>
      </c>
      <c r="CR122" s="172">
        <v>0.21</v>
      </c>
      <c r="CS122" s="172">
        <v>0.5</v>
      </c>
      <c r="CT122" s="172">
        <v>0.28000000000000003</v>
      </c>
      <c r="CU122" s="172">
        <f t="shared" si="46"/>
        <v>0.71</v>
      </c>
      <c r="CV122" s="172">
        <f t="shared" si="47"/>
        <v>0.78</v>
      </c>
    </row>
    <row r="123" spans="1:100" s="172" customFormat="1" x14ac:dyDescent="0.25">
      <c r="A123" s="172">
        <v>2007</v>
      </c>
      <c r="B123" s="172">
        <f t="shared" si="24"/>
        <v>110</v>
      </c>
      <c r="C123" s="191">
        <v>39192</v>
      </c>
      <c r="D123" s="172">
        <v>9.51</v>
      </c>
      <c r="E123" s="172">
        <f>VLOOKUP(C123,'Historic Daily flows'!$A$1:$B$37941,2)</f>
        <v>9.51</v>
      </c>
      <c r="G123" s="192">
        <v>60</v>
      </c>
      <c r="H123" s="193"/>
      <c r="P123" s="194"/>
      <c r="Q123" s="193"/>
      <c r="Y123" s="195"/>
      <c r="AA123" s="195"/>
      <c r="AB123" s="183">
        <f>((B123-B122)*G123)-((B123-B122)*(G123-G122)*0.5)</f>
        <v>1210</v>
      </c>
      <c r="AD123" s="172">
        <f>AD124</f>
        <v>60</v>
      </c>
      <c r="AE123" s="206"/>
      <c r="AF123" s="196"/>
      <c r="AG123" s="171">
        <f t="shared" si="52"/>
        <v>109.09090909090908</v>
      </c>
      <c r="AH123" s="174">
        <f t="shared" si="25"/>
        <v>0.55000000000000004</v>
      </c>
      <c r="AI123" s="174"/>
      <c r="AJ123" s="174">
        <f>((B123-B122)*AG123)-((B123-B122)*(AG123-AG122)*0.5)</f>
        <v>2199.9999999999995</v>
      </c>
      <c r="AK123" s="249"/>
      <c r="AL123" s="192">
        <f>MAX($G$120:$G$124)/AH123</f>
        <v>109.09090909090908</v>
      </c>
      <c r="AM123" s="206"/>
      <c r="AN123" s="174"/>
      <c r="AO123" s="286"/>
      <c r="AP123" s="303"/>
      <c r="AQ123" s="286"/>
      <c r="AR123" s="303"/>
      <c r="AS123" s="286"/>
      <c r="AT123" s="303"/>
      <c r="AU123" s="197">
        <f>G123/AW123</f>
        <v>101.10882680057971</v>
      </c>
      <c r="AV123" s="172">
        <f>B123/D123</f>
        <v>11.566771819137751</v>
      </c>
      <c r="AW123" s="172">
        <f>VLOOKUP(AV123,$CB$102:$CC$271,2)</f>
        <v>0.59341999999999995</v>
      </c>
      <c r="AY123" s="183"/>
      <c r="AZ123" s="172">
        <f>((B123-B122)*AU123)-((B123-B122)*(AU123-AU122)*0.5)</f>
        <v>2261.9587805660572</v>
      </c>
      <c r="BA123" s="196"/>
      <c r="BB123" s="172">
        <f>B123</f>
        <v>110</v>
      </c>
      <c r="BC123" s="172">
        <f>G123/AD123</f>
        <v>1</v>
      </c>
      <c r="BD123" s="172">
        <v>1</v>
      </c>
      <c r="BE123" s="172">
        <v>10</v>
      </c>
      <c r="BF123" s="172">
        <f>10/60</f>
        <v>0.16666666666666666</v>
      </c>
      <c r="BG123" s="172">
        <v>53</v>
      </c>
      <c r="BH123" s="172">
        <f>53/60</f>
        <v>0.8833333333333333</v>
      </c>
      <c r="BI123" s="172">
        <v>17</v>
      </c>
      <c r="BJ123" s="172">
        <f>17/60</f>
        <v>0.28333333333333333</v>
      </c>
      <c r="CB123" s="172">
        <v>4.2</v>
      </c>
      <c r="CC123" s="172">
        <v>0.25</v>
      </c>
      <c r="CG123" s="172">
        <v>23</v>
      </c>
      <c r="CH123" s="172">
        <f t="shared" si="40"/>
        <v>0.20699999999999999</v>
      </c>
      <c r="CJ123" s="172">
        <v>23</v>
      </c>
      <c r="CL123" s="172">
        <f t="shared" si="42"/>
        <v>6.9000000000000006E-2</v>
      </c>
      <c r="CM123" s="172">
        <f t="shared" si="43"/>
        <v>0.7581</v>
      </c>
      <c r="CN123" s="172">
        <f t="shared" si="41"/>
        <v>0.19599999999999998</v>
      </c>
      <c r="CO123" s="172">
        <f t="shared" si="44"/>
        <v>0.82709999999999995</v>
      </c>
      <c r="CP123" s="172">
        <f t="shared" si="45"/>
        <v>0.95409999999999995</v>
      </c>
      <c r="CR123" s="172">
        <v>0.21</v>
      </c>
      <c r="CS123" s="172">
        <v>0.5</v>
      </c>
      <c r="CT123" s="172">
        <v>0.28000000000000003</v>
      </c>
      <c r="CU123" s="172">
        <f t="shared" si="46"/>
        <v>0.71</v>
      </c>
      <c r="CV123" s="172">
        <f t="shared" si="47"/>
        <v>0.78</v>
      </c>
    </row>
    <row r="124" spans="1:100" s="172" customFormat="1" x14ac:dyDescent="0.25">
      <c r="A124" s="172">
        <v>2007</v>
      </c>
      <c r="B124" s="172">
        <f t="shared" si="24"/>
        <v>151</v>
      </c>
      <c r="C124" s="191">
        <v>39233</v>
      </c>
      <c r="E124" s="172">
        <f>VLOOKUP(C124,'Historic Daily flows'!$A$1:$B$37941,2)</f>
        <v>11</v>
      </c>
      <c r="G124" s="192">
        <v>0</v>
      </c>
      <c r="H124" s="193"/>
      <c r="P124" s="194"/>
      <c r="Q124" s="193"/>
      <c r="Y124" s="195"/>
      <c r="AA124" s="195"/>
      <c r="AB124" s="183">
        <f>0.5*(B124-B123)*G123</f>
        <v>1230</v>
      </c>
      <c r="AC124" s="172">
        <f>AF124/$AF$1</f>
        <v>81.459999999999994</v>
      </c>
      <c r="AD124" s="172">
        <f>MAX(G120:G124)</f>
        <v>60</v>
      </c>
      <c r="AE124" s="206">
        <f>AC124/AD124</f>
        <v>1.3576666666666666</v>
      </c>
      <c r="AF124" s="280">
        <f>SUM(AB120:AB124)</f>
        <v>4073</v>
      </c>
      <c r="AG124" s="171">
        <f t="shared" si="52"/>
        <v>0</v>
      </c>
      <c r="AH124" s="174">
        <f t="shared" si="25"/>
        <v>0.55000000000000004</v>
      </c>
      <c r="AI124" s="174"/>
      <c r="AJ124" s="174">
        <f>0.5*(B124-B123)*AG123</f>
        <v>2236.363636363636</v>
      </c>
      <c r="AK124" s="249">
        <f>AN124/$AN$1</f>
        <v>121.67272727272726</v>
      </c>
      <c r="AL124" s="192">
        <f>MAX($G$120:$G$124)/AH124</f>
        <v>109.09090909090908</v>
      </c>
      <c r="AM124" s="206">
        <f>AK124/AL124</f>
        <v>1.1153333333333333</v>
      </c>
      <c r="AN124" s="174">
        <f>SUM(AJ120:AJ124)</f>
        <v>6083.6363636363631</v>
      </c>
      <c r="AO124" s="286">
        <v>161</v>
      </c>
      <c r="AP124" s="303">
        <v>3.36</v>
      </c>
      <c r="AQ124" s="290">
        <f>AO124</f>
        <v>161</v>
      </c>
      <c r="AR124" s="303">
        <v>171</v>
      </c>
      <c r="AS124" s="286">
        <v>2.85</v>
      </c>
      <c r="AT124" s="303">
        <f>AL124*$AS$177</f>
        <v>0</v>
      </c>
      <c r="AU124" s="197">
        <v>0</v>
      </c>
      <c r="AX124" s="172">
        <f>BA124/$BA$1</f>
        <v>176.21699062503052</v>
      </c>
      <c r="AY124" s="183">
        <f>AX124/AD124</f>
        <v>2.9369498437505088</v>
      </c>
      <c r="AZ124" s="172">
        <f>0.5*(B124-B123)*AU123</f>
        <v>2072.730949411884</v>
      </c>
      <c r="BA124" s="196">
        <f>SUM(AZ120:AZ124)</f>
        <v>8810.8495312515261</v>
      </c>
      <c r="CB124" s="172">
        <v>4.4000000000000004</v>
      </c>
      <c r="CC124" s="172">
        <v>0.25</v>
      </c>
      <c r="CG124" s="172">
        <v>24</v>
      </c>
      <c r="CH124" s="172">
        <f t="shared" si="40"/>
        <v>0.21599999999999997</v>
      </c>
      <c r="CJ124" s="172">
        <v>24</v>
      </c>
      <c r="CL124" s="172">
        <f t="shared" si="42"/>
        <v>7.2000000000000008E-2</v>
      </c>
      <c r="CM124" s="172">
        <f t="shared" si="43"/>
        <v>0.75419999999999998</v>
      </c>
      <c r="CN124" s="172">
        <f t="shared" si="41"/>
        <v>0.19619999999999999</v>
      </c>
      <c r="CO124" s="172">
        <f t="shared" si="44"/>
        <v>0.82620000000000005</v>
      </c>
      <c r="CP124" s="172">
        <f t="shared" si="45"/>
        <v>0.95039999999999991</v>
      </c>
      <c r="CR124" s="172">
        <v>0.21</v>
      </c>
      <c r="CS124" s="172">
        <v>0.5</v>
      </c>
      <c r="CT124" s="172">
        <v>0.28000000000000003</v>
      </c>
      <c r="CU124" s="172">
        <f t="shared" si="46"/>
        <v>0.71</v>
      </c>
      <c r="CV124" s="172">
        <f t="shared" si="47"/>
        <v>0.78</v>
      </c>
    </row>
    <row r="125" spans="1:100" x14ac:dyDescent="0.25">
      <c r="A125">
        <v>2008</v>
      </c>
      <c r="B125">
        <f t="shared" si="24"/>
        <v>1</v>
      </c>
      <c r="C125" s="109">
        <v>39448</v>
      </c>
      <c r="E125">
        <f>VLOOKUP(C125,'Historic Daily flows'!$A$1:$B$37941,2)</f>
        <v>5.19</v>
      </c>
      <c r="G125" s="77">
        <v>0</v>
      </c>
      <c r="AD125">
        <f>AD126</f>
        <v>18</v>
      </c>
      <c r="AG125" s="171">
        <f t="shared" si="52"/>
        <v>0</v>
      </c>
      <c r="AH125" s="108">
        <f t="shared" si="25"/>
        <v>0.55000000000000004</v>
      </c>
      <c r="AI125" s="108"/>
      <c r="AJ125" s="108"/>
      <c r="AK125" s="249"/>
      <c r="AL125" s="77">
        <f>MAX($G$125:$G$128)/AH125</f>
        <v>32.727272727272727</v>
      </c>
      <c r="AM125" s="73"/>
      <c r="AN125" s="108"/>
      <c r="AO125" s="286"/>
      <c r="AP125" s="303"/>
      <c r="AQ125" s="286"/>
      <c r="AR125" s="303"/>
      <c r="AS125" s="286"/>
      <c r="AT125" s="303"/>
      <c r="AU125" s="79">
        <v>0</v>
      </c>
      <c r="CB125">
        <v>4.5999999999999996</v>
      </c>
      <c r="CC125">
        <v>0.25</v>
      </c>
      <c r="CG125">
        <v>25</v>
      </c>
      <c r="CH125">
        <f t="shared" si="40"/>
        <v>0.22499999999999998</v>
      </c>
      <c r="CJ125">
        <v>25</v>
      </c>
      <c r="CL125">
        <f t="shared" si="42"/>
        <v>7.4999999999999997E-2</v>
      </c>
      <c r="CM125">
        <f t="shared" si="43"/>
        <v>0.75029999999999997</v>
      </c>
      <c r="CN125">
        <f t="shared" si="41"/>
        <v>0.19639999999999999</v>
      </c>
      <c r="CO125">
        <f t="shared" si="44"/>
        <v>0.82529999999999992</v>
      </c>
      <c r="CP125">
        <f t="shared" si="45"/>
        <v>0.94669999999999999</v>
      </c>
      <c r="CR125">
        <v>0.21</v>
      </c>
      <c r="CS125">
        <v>0.5</v>
      </c>
      <c r="CT125">
        <v>0.28000000000000003</v>
      </c>
      <c r="CU125">
        <f t="shared" si="46"/>
        <v>0.71</v>
      </c>
      <c r="CV125">
        <f t="shared" si="47"/>
        <v>0.78</v>
      </c>
    </row>
    <row r="126" spans="1:100" x14ac:dyDescent="0.25">
      <c r="A126">
        <v>2008</v>
      </c>
      <c r="B126">
        <f t="shared" si="24"/>
        <v>68</v>
      </c>
      <c r="C126" s="109">
        <v>39515</v>
      </c>
      <c r="D126">
        <v>8.25</v>
      </c>
      <c r="E126">
        <f>VLOOKUP(C126,'Historic Daily flows'!$A$1:$B$37941,2)</f>
        <v>7.13</v>
      </c>
      <c r="G126" s="77">
        <v>18</v>
      </c>
      <c r="AB126" s="61">
        <f>0.5*(B126-B125)*G126</f>
        <v>603</v>
      </c>
      <c r="AD126">
        <f>AD127</f>
        <v>18</v>
      </c>
      <c r="AG126" s="171">
        <f t="shared" si="52"/>
        <v>32.727272727272727</v>
      </c>
      <c r="AH126" s="108">
        <f t="shared" si="25"/>
        <v>0.55000000000000004</v>
      </c>
      <c r="AI126" s="108"/>
      <c r="AJ126" s="108">
        <f>0.5*($B126-$B125)*$AG126</f>
        <v>1096.3636363636363</v>
      </c>
      <c r="AK126" s="249"/>
      <c r="AL126" s="77">
        <f>MAX($G$125:$G$128)/AH126</f>
        <v>32.727272727272727</v>
      </c>
      <c r="AM126" s="73"/>
      <c r="AN126" s="108"/>
      <c r="AO126" s="286"/>
      <c r="AP126" s="303"/>
      <c r="AQ126" s="286"/>
      <c r="AR126" s="303"/>
      <c r="AS126" s="286"/>
      <c r="AT126" s="303"/>
      <c r="AU126" s="79">
        <f>G126/AW126</f>
        <v>42.247570764681079</v>
      </c>
      <c r="AV126">
        <f>B126/D126</f>
        <v>8.2424242424242422</v>
      </c>
      <c r="AW126">
        <f>VLOOKUP(AV126,$CB$102:$CC$271,2)</f>
        <v>0.42605999999999949</v>
      </c>
      <c r="AZ126">
        <f>0.5*(B126-B125)*AU126</f>
        <v>1415.293620616816</v>
      </c>
      <c r="BB126" s="117">
        <f>B126</f>
        <v>68</v>
      </c>
      <c r="BC126" s="117">
        <f>G126/AD126</f>
        <v>1</v>
      </c>
      <c r="BD126" s="117">
        <v>1</v>
      </c>
      <c r="BE126" s="112">
        <v>2</v>
      </c>
      <c r="BF126" s="112">
        <f>BE126/AD126</f>
        <v>0.1111111111111111</v>
      </c>
      <c r="BG126" s="112">
        <v>15</v>
      </c>
      <c r="BH126" s="112">
        <f>BG126/AD126</f>
        <v>0.83333333333333337</v>
      </c>
      <c r="BI126" s="112">
        <v>1</v>
      </c>
      <c r="BJ126" s="112">
        <f>BI126/AD126</f>
        <v>5.5555555555555552E-2</v>
      </c>
      <c r="CB126">
        <v>4.8</v>
      </c>
      <c r="CC126">
        <v>0.25</v>
      </c>
      <c r="CG126">
        <v>26</v>
      </c>
      <c r="CH126">
        <f t="shared" si="40"/>
        <v>0.23399999999999999</v>
      </c>
      <c r="CJ126">
        <v>26</v>
      </c>
      <c r="CL126">
        <f t="shared" si="42"/>
        <v>7.8E-2</v>
      </c>
      <c r="CM126">
        <f t="shared" si="43"/>
        <v>0.74639999999999995</v>
      </c>
      <c r="CN126">
        <f t="shared" si="41"/>
        <v>0.1966</v>
      </c>
      <c r="CO126">
        <f t="shared" si="44"/>
        <v>0.82439999999999991</v>
      </c>
      <c r="CP126">
        <f t="shared" si="45"/>
        <v>0.94299999999999995</v>
      </c>
      <c r="CR126">
        <v>0.21</v>
      </c>
      <c r="CS126">
        <v>0.5</v>
      </c>
      <c r="CT126">
        <v>0.28000000000000003</v>
      </c>
      <c r="CU126">
        <f t="shared" si="46"/>
        <v>0.71</v>
      </c>
      <c r="CV126">
        <f t="shared" si="47"/>
        <v>0.78</v>
      </c>
    </row>
    <row r="127" spans="1:100" x14ac:dyDescent="0.25">
      <c r="A127">
        <v>2008</v>
      </c>
      <c r="B127">
        <f t="shared" si="24"/>
        <v>108</v>
      </c>
      <c r="C127" s="109">
        <v>39555</v>
      </c>
      <c r="D127">
        <v>9.8000000000000007</v>
      </c>
      <c r="E127">
        <f>VLOOKUP(C127,'Historic Daily flows'!$A$1:$B$37941,2)</f>
        <v>7.36</v>
      </c>
      <c r="G127" s="77">
        <v>17</v>
      </c>
      <c r="AB127" s="61">
        <f>((B127-B126)*G127)-((B127-B126)*(G127-G126)*0.5)</f>
        <v>700</v>
      </c>
      <c r="AD127">
        <f>AD128</f>
        <v>18</v>
      </c>
      <c r="AG127" s="171">
        <f t="shared" si="52"/>
        <v>30.909090909090907</v>
      </c>
      <c r="AH127" s="108">
        <f t="shared" si="25"/>
        <v>0.55000000000000004</v>
      </c>
      <c r="AI127" s="108"/>
      <c r="AJ127" s="108">
        <f>((B127-B126)*AG127)-((B127-B126)*(AG127-AG126)*0.5)</f>
        <v>1272.7272727272727</v>
      </c>
      <c r="AK127" s="249"/>
      <c r="AL127" s="77">
        <f>MAX($G$125:$G$128)/AH127</f>
        <v>32.727272727272727</v>
      </c>
      <c r="AM127" s="73"/>
      <c r="AN127" s="108"/>
      <c r="AO127" s="286"/>
      <c r="AP127" s="303"/>
      <c r="AQ127" s="291" t="s">
        <v>223</v>
      </c>
      <c r="AR127" s="303"/>
      <c r="AS127" s="286"/>
      <c r="AT127" s="303"/>
      <c r="AU127" s="79">
        <f>G127/AW127</f>
        <v>29.694323144104803</v>
      </c>
      <c r="AV127">
        <f>B127/D127</f>
        <v>11.020408163265305</v>
      </c>
      <c r="AW127">
        <f>VLOOKUP(AV127,$CB$102:$CC$271,2)</f>
        <v>0.57250000000000001</v>
      </c>
      <c r="AZ127">
        <f>((B127-B126)*AU127)-((B127-B126)*(AU127-AU126)*0.5)</f>
        <v>1438.8378781757178</v>
      </c>
      <c r="BB127" s="117">
        <f>B127</f>
        <v>108</v>
      </c>
      <c r="BC127" s="117">
        <f>G127/AD127</f>
        <v>0.94444444444444442</v>
      </c>
      <c r="BE127" s="112">
        <v>1</v>
      </c>
      <c r="BF127" s="112">
        <f>BE127/AD127</f>
        <v>5.5555555555555552E-2</v>
      </c>
      <c r="BG127" s="112">
        <v>6</v>
      </c>
      <c r="BH127" s="112">
        <f>BG127/AD127</f>
        <v>0.33333333333333331</v>
      </c>
      <c r="BI127" s="112">
        <v>11</v>
      </c>
      <c r="BJ127" s="112">
        <f>BI127/AD127</f>
        <v>0.61111111111111116</v>
      </c>
      <c r="CB127">
        <v>5</v>
      </c>
      <c r="CC127">
        <f t="shared" ref="CC127:CC181" si="53">(($CB$89)*CB127)-($CC$89)</f>
        <v>0.25869999999999999</v>
      </c>
      <c r="CG127">
        <v>27</v>
      </c>
      <c r="CH127">
        <f t="shared" si="40"/>
        <v>0.24299999999999999</v>
      </c>
      <c r="CJ127">
        <v>27</v>
      </c>
      <c r="CL127">
        <f t="shared" si="42"/>
        <v>8.1000000000000003E-2</v>
      </c>
      <c r="CM127">
        <f t="shared" si="43"/>
        <v>0.74250000000000005</v>
      </c>
      <c r="CN127">
        <f t="shared" si="41"/>
        <v>0.19679999999999997</v>
      </c>
      <c r="CO127">
        <f t="shared" si="44"/>
        <v>0.82350000000000001</v>
      </c>
      <c r="CP127">
        <f t="shared" si="45"/>
        <v>0.93930000000000002</v>
      </c>
      <c r="CR127">
        <v>0.21</v>
      </c>
      <c r="CS127">
        <v>0.5</v>
      </c>
      <c r="CT127">
        <v>0.28000000000000003</v>
      </c>
      <c r="CU127">
        <f t="shared" si="46"/>
        <v>0.71</v>
      </c>
      <c r="CV127">
        <f t="shared" si="47"/>
        <v>0.78</v>
      </c>
    </row>
    <row r="128" spans="1:100" x14ac:dyDescent="0.25">
      <c r="A128">
        <v>2008</v>
      </c>
      <c r="B128">
        <f t="shared" si="24"/>
        <v>152</v>
      </c>
      <c r="C128" s="109">
        <v>39599</v>
      </c>
      <c r="E128">
        <f>VLOOKUP(C128,'Historic Daily flows'!$A$1:$B$37941,2)</f>
        <v>9.67</v>
      </c>
      <c r="G128" s="77">
        <v>0</v>
      </c>
      <c r="AB128" s="61">
        <f>0.5*(B128-B127)*G127</f>
        <v>374</v>
      </c>
      <c r="AC128">
        <f>AF128/$AF$1</f>
        <v>33.54</v>
      </c>
      <c r="AD128">
        <f>MAX(G125:G128)</f>
        <v>18</v>
      </c>
      <c r="AE128" s="73">
        <f>AC128/AD128</f>
        <v>1.8633333333333333</v>
      </c>
      <c r="AF128" s="78">
        <f>SUM(AB126:AB128)</f>
        <v>1677</v>
      </c>
      <c r="AG128" s="171">
        <f t="shared" si="52"/>
        <v>0</v>
      </c>
      <c r="AH128" s="108">
        <f t="shared" si="25"/>
        <v>0.55000000000000004</v>
      </c>
      <c r="AI128" s="108"/>
      <c r="AJ128" s="108">
        <f>0.5*(B128-B127)*AG127</f>
        <v>680</v>
      </c>
      <c r="AK128" s="248">
        <f>AN128/$AN$1</f>
        <v>60.981818181818177</v>
      </c>
      <c r="AL128" s="77">
        <f>MAX($G$125:$G$128)/AH128</f>
        <v>32.727272727272727</v>
      </c>
      <c r="AM128" s="73">
        <f>AK128/AL128</f>
        <v>1.8633333333333333</v>
      </c>
      <c r="AN128" s="108">
        <f>SUM(AJ126:AJ128)</f>
        <v>3049.090909090909</v>
      </c>
      <c r="AO128" s="286">
        <v>504</v>
      </c>
      <c r="AP128" s="303">
        <v>11.03</v>
      </c>
      <c r="AQ128" s="291">
        <f>AL128*AP188</f>
        <v>0</v>
      </c>
      <c r="AR128" s="303">
        <v>569</v>
      </c>
      <c r="AS128" s="286">
        <v>31.61</v>
      </c>
      <c r="AT128" s="303">
        <f>AL128*$AS$177</f>
        <v>0</v>
      </c>
      <c r="AU128" s="79">
        <v>0</v>
      </c>
      <c r="AX128">
        <f>BA128/$BA$1</f>
        <v>70.148132159256789</v>
      </c>
      <c r="AY128" s="61">
        <f>AX128/AD128</f>
        <v>3.8971184532920438</v>
      </c>
      <c r="AZ128">
        <f>0.5*(B128-B127)*AU127</f>
        <v>653.27510917030565</v>
      </c>
      <c r="BA128" s="78">
        <f>SUM(AZ126:AZ128)</f>
        <v>3507.4066079628396</v>
      </c>
      <c r="CB128">
        <v>5.2</v>
      </c>
      <c r="CC128">
        <f t="shared" si="53"/>
        <v>0.26915999999999995</v>
      </c>
      <c r="CG128">
        <v>28</v>
      </c>
      <c r="CH128">
        <f t="shared" si="40"/>
        <v>0.252</v>
      </c>
      <c r="CJ128">
        <v>28</v>
      </c>
      <c r="CL128">
        <f t="shared" si="42"/>
        <v>8.4000000000000005E-2</v>
      </c>
      <c r="CM128">
        <f t="shared" si="43"/>
        <v>0.73860000000000003</v>
      </c>
      <c r="CN128">
        <f t="shared" si="41"/>
        <v>0.19699999999999998</v>
      </c>
      <c r="CO128">
        <f t="shared" si="44"/>
        <v>0.8226</v>
      </c>
      <c r="CP128">
        <f t="shared" si="45"/>
        <v>0.93559999999999999</v>
      </c>
      <c r="CR128">
        <v>0.21</v>
      </c>
      <c r="CS128">
        <v>0.5</v>
      </c>
      <c r="CT128">
        <v>0.28000000000000003</v>
      </c>
      <c r="CU128">
        <f t="shared" si="46"/>
        <v>0.71</v>
      </c>
      <c r="CV128">
        <f t="shared" si="47"/>
        <v>0.78</v>
      </c>
    </row>
    <row r="129" spans="1:100" s="172" customFormat="1" x14ac:dyDescent="0.25">
      <c r="A129" s="172">
        <v>2009</v>
      </c>
      <c r="B129" s="172">
        <f t="shared" si="24"/>
        <v>1</v>
      </c>
      <c r="C129" s="191">
        <v>39814</v>
      </c>
      <c r="E129" s="172">
        <f>VLOOKUP(C129,'Historic Daily flows'!$A$1:$B$37941,2)</f>
        <v>5.33</v>
      </c>
      <c r="G129" s="192">
        <v>0</v>
      </c>
      <c r="H129" s="193"/>
      <c r="P129" s="194"/>
      <c r="Q129" s="193"/>
      <c r="Y129" s="195"/>
      <c r="AA129" s="195"/>
      <c r="AB129" s="183"/>
      <c r="AD129" s="172">
        <f>AD130</f>
        <v>38</v>
      </c>
      <c r="AE129" s="206"/>
      <c r="AF129" s="196"/>
      <c r="AG129" s="171">
        <f t="shared" si="52"/>
        <v>0</v>
      </c>
      <c r="AH129" s="174">
        <f t="shared" si="25"/>
        <v>0.55000000000000004</v>
      </c>
      <c r="AI129" s="174"/>
      <c r="AJ129" s="174"/>
      <c r="AK129" s="249"/>
      <c r="AL129" s="192">
        <f>MAX($G$129:$G$132)/AH129</f>
        <v>69.090909090909079</v>
      </c>
      <c r="AM129" s="206"/>
      <c r="AN129" s="174"/>
      <c r="AO129" s="286"/>
      <c r="AP129" s="303"/>
      <c r="AQ129" s="286"/>
      <c r="AR129" s="303"/>
      <c r="AS129" s="286"/>
      <c r="AT129" s="303"/>
      <c r="AU129" s="197">
        <v>0</v>
      </c>
      <c r="AY129" s="183"/>
      <c r="BA129" s="196"/>
      <c r="CB129" s="172">
        <v>5.4</v>
      </c>
      <c r="CC129" s="172">
        <f t="shared" si="53"/>
        <v>0.27961999999999998</v>
      </c>
      <c r="CG129" s="172">
        <v>29</v>
      </c>
      <c r="CH129" s="172">
        <f t="shared" si="40"/>
        <v>0.26099999999999995</v>
      </c>
      <c r="CJ129" s="172">
        <v>29</v>
      </c>
      <c r="CL129" s="172">
        <f t="shared" si="42"/>
        <v>8.7000000000000008E-2</v>
      </c>
      <c r="CM129" s="172">
        <f t="shared" si="43"/>
        <v>0.73470000000000002</v>
      </c>
      <c r="CN129" s="172">
        <f t="shared" si="41"/>
        <v>0.19719999999999999</v>
      </c>
      <c r="CO129" s="172">
        <f t="shared" si="44"/>
        <v>0.82169999999999999</v>
      </c>
      <c r="CP129" s="172">
        <f t="shared" si="45"/>
        <v>0.93189999999999995</v>
      </c>
      <c r="CR129" s="172">
        <v>0.21</v>
      </c>
      <c r="CS129" s="172">
        <v>0.5</v>
      </c>
      <c r="CT129" s="172">
        <v>0.28000000000000003</v>
      </c>
      <c r="CU129" s="172">
        <f t="shared" si="46"/>
        <v>0.71</v>
      </c>
      <c r="CV129" s="172">
        <f t="shared" si="47"/>
        <v>0.78</v>
      </c>
    </row>
    <row r="130" spans="1:100" s="172" customFormat="1" x14ac:dyDescent="0.25">
      <c r="A130" s="172">
        <v>2009</v>
      </c>
      <c r="B130" s="172">
        <f t="shared" si="24"/>
        <v>85</v>
      </c>
      <c r="C130" s="191">
        <v>39898</v>
      </c>
      <c r="D130" s="172">
        <v>8.1</v>
      </c>
      <c r="E130" s="172">
        <f>VLOOKUP(C130,'Historic Daily flows'!$A$1:$B$37941,2)</f>
        <v>8.18</v>
      </c>
      <c r="G130" s="192">
        <v>24</v>
      </c>
      <c r="H130" s="193"/>
      <c r="P130" s="194"/>
      <c r="Q130" s="193"/>
      <c r="Y130" s="195"/>
      <c r="AA130" s="195"/>
      <c r="AB130" s="183">
        <f>0.5*(B130-B129)*G130</f>
        <v>1008</v>
      </c>
      <c r="AD130" s="172">
        <f>AD131</f>
        <v>38</v>
      </c>
      <c r="AE130" s="206"/>
      <c r="AF130" s="196"/>
      <c r="AG130" s="171">
        <f t="shared" si="52"/>
        <v>43.636363636363633</v>
      </c>
      <c r="AH130" s="174">
        <f t="shared" si="25"/>
        <v>0.55000000000000004</v>
      </c>
      <c r="AI130" s="174"/>
      <c r="AJ130" s="174">
        <f>0.5*($B130-$B129)*$AG130</f>
        <v>1832.7272727272725</v>
      </c>
      <c r="AK130" s="249"/>
      <c r="AL130" s="192">
        <f>MAX($G$129:$G$132)/AH130</f>
        <v>69.090909090909079</v>
      </c>
      <c r="AM130" s="206"/>
      <c r="AN130" s="174"/>
      <c r="AO130" s="286"/>
      <c r="AP130" s="303"/>
      <c r="AQ130" s="286"/>
      <c r="AR130" s="303"/>
      <c r="AS130" s="286"/>
      <c r="AT130" s="303"/>
      <c r="AU130" s="197">
        <f>G130/AW130</f>
        <v>44.352454169130695</v>
      </c>
      <c r="AV130" s="172">
        <f>B130/D130</f>
        <v>10.493827160493828</v>
      </c>
      <c r="AW130" s="172">
        <f>VLOOKUP(AV130,$CB$102:$CC$271,2)</f>
        <v>0.54111999999999993</v>
      </c>
      <c r="AY130" s="183"/>
      <c r="AZ130" s="172">
        <f>0.5*(B130-B129)*AU130</f>
        <v>1862.8030751034892</v>
      </c>
      <c r="BA130" s="196"/>
      <c r="BB130" s="172">
        <f>B130</f>
        <v>85</v>
      </c>
      <c r="BC130" s="172">
        <f>G130/AD130</f>
        <v>0.63157894736842102</v>
      </c>
      <c r="BD130" s="172">
        <v>0.63157894736842102</v>
      </c>
      <c r="BE130" s="172">
        <v>5</v>
      </c>
      <c r="BF130" s="172">
        <f>BE130/AD130</f>
        <v>0.13157894736842105</v>
      </c>
      <c r="BG130" s="172">
        <v>18</v>
      </c>
      <c r="BH130" s="172">
        <f>BG130/AD130</f>
        <v>0.47368421052631576</v>
      </c>
      <c r="BI130" s="172">
        <v>1</v>
      </c>
      <c r="BJ130" s="172">
        <f>BI130/AD130</f>
        <v>2.6315789473684209E-2</v>
      </c>
      <c r="CB130" s="172">
        <v>5.6</v>
      </c>
      <c r="CC130" s="172">
        <f t="shared" si="53"/>
        <v>0.29007999999999995</v>
      </c>
      <c r="CG130" s="172">
        <v>30</v>
      </c>
      <c r="CH130" s="172">
        <f t="shared" si="40"/>
        <v>0.26999999999999996</v>
      </c>
      <c r="CJ130" s="172">
        <v>30</v>
      </c>
      <c r="CL130" s="172">
        <f t="shared" si="42"/>
        <v>0.09</v>
      </c>
      <c r="CM130" s="172">
        <f t="shared" si="43"/>
        <v>0.73080000000000001</v>
      </c>
      <c r="CN130" s="172">
        <f t="shared" si="41"/>
        <v>0.19739999999999999</v>
      </c>
      <c r="CO130" s="172">
        <f t="shared" si="44"/>
        <v>0.82079999999999997</v>
      </c>
      <c r="CP130" s="172">
        <f t="shared" si="45"/>
        <v>0.92820000000000003</v>
      </c>
      <c r="CR130" s="172">
        <v>0.21</v>
      </c>
      <c r="CS130" s="172">
        <v>0.5</v>
      </c>
      <c r="CT130" s="172">
        <v>0.28000000000000003</v>
      </c>
      <c r="CU130" s="172">
        <f t="shared" si="46"/>
        <v>0.71</v>
      </c>
      <c r="CV130" s="172">
        <f t="shared" si="47"/>
        <v>0.78</v>
      </c>
    </row>
    <row r="131" spans="1:100" s="172" customFormat="1" x14ac:dyDescent="0.25">
      <c r="A131" s="172">
        <v>2009</v>
      </c>
      <c r="B131" s="172">
        <f t="shared" si="24"/>
        <v>117</v>
      </c>
      <c r="C131" s="191">
        <v>39930</v>
      </c>
      <c r="D131" s="172">
        <v>7.5</v>
      </c>
      <c r="E131" s="172">
        <f>VLOOKUP(C131,'Historic Daily flows'!$A$1:$B$37941,2)</f>
        <v>7.35</v>
      </c>
      <c r="G131" s="192">
        <v>38</v>
      </c>
      <c r="H131" s="193"/>
      <c r="P131" s="194"/>
      <c r="Q131" s="193"/>
      <c r="Y131" s="195"/>
      <c r="AA131" s="195"/>
      <c r="AB131" s="183">
        <f>((B131-B130)*G131)-((B131-B130)*(G131-G130)*0.5)</f>
        <v>992</v>
      </c>
      <c r="AD131" s="172">
        <f>AD132</f>
        <v>38</v>
      </c>
      <c r="AE131" s="206"/>
      <c r="AF131" s="196"/>
      <c r="AG131" s="171">
        <f t="shared" si="52"/>
        <v>69.090909090909079</v>
      </c>
      <c r="AH131" s="174">
        <f t="shared" si="25"/>
        <v>0.55000000000000004</v>
      </c>
      <c r="AI131" s="174"/>
      <c r="AJ131" s="174">
        <f>((B131-B130)*AG131)-((B131-B130)*(AG131-AG130)*0.5)</f>
        <v>1803.6363636363635</v>
      </c>
      <c r="AK131" s="249"/>
      <c r="AL131" s="192">
        <f>MAX($G$129:$G$132)/AH131</f>
        <v>69.090909090909079</v>
      </c>
      <c r="AM131" s="206"/>
      <c r="AN131" s="174"/>
      <c r="AO131" s="286"/>
      <c r="AP131" s="303"/>
      <c r="AQ131" s="291" t="s">
        <v>223</v>
      </c>
      <c r="AR131" s="303"/>
      <c r="AS131" s="286"/>
      <c r="AT131" s="303"/>
      <c r="AU131" s="197">
        <f>G131/AW131</f>
        <v>46.735868549220257</v>
      </c>
      <c r="AV131" s="172">
        <f>B131/D131</f>
        <v>15.6</v>
      </c>
      <c r="AW131" s="172">
        <f>VLOOKUP(AV131,$CB$102:$CC$271,2)</f>
        <v>0.81307999999999991</v>
      </c>
      <c r="AY131" s="183"/>
      <c r="AZ131" s="172">
        <f>((B131-B130)*AU131)-((B131-B130)*(AU131-AU130)*0.5)</f>
        <v>1457.4131634936152</v>
      </c>
      <c r="BA131" s="196"/>
      <c r="BB131" s="172">
        <f>B131</f>
        <v>117</v>
      </c>
      <c r="BC131" s="172">
        <f>G131/AD131</f>
        <v>1</v>
      </c>
      <c r="BD131" s="172">
        <v>1</v>
      </c>
      <c r="BE131" s="172">
        <v>12</v>
      </c>
      <c r="BF131" s="172">
        <f>BE131/AD131</f>
        <v>0.31578947368421051</v>
      </c>
      <c r="BG131" s="172">
        <v>20</v>
      </c>
      <c r="BH131" s="172">
        <f>BG131/AD131</f>
        <v>0.52631578947368418</v>
      </c>
      <c r="BI131" s="172">
        <v>6</v>
      </c>
      <c r="BJ131" s="172">
        <f>BI131/AD131</f>
        <v>0.15789473684210525</v>
      </c>
      <c r="CB131" s="172">
        <v>5.8</v>
      </c>
      <c r="CC131" s="172">
        <f t="shared" si="53"/>
        <v>0.30053999999999997</v>
      </c>
      <c r="CG131" s="172">
        <v>31</v>
      </c>
      <c r="CH131" s="172">
        <f t="shared" si="40"/>
        <v>0.27899999999999997</v>
      </c>
      <c r="CJ131" s="172">
        <v>31</v>
      </c>
      <c r="CL131" s="172">
        <f t="shared" si="42"/>
        <v>9.2999999999999999E-2</v>
      </c>
      <c r="CM131" s="172">
        <f t="shared" si="43"/>
        <v>0.72689999999999999</v>
      </c>
      <c r="CN131" s="172">
        <f t="shared" si="41"/>
        <v>0.1976</v>
      </c>
      <c r="CO131" s="172">
        <f t="shared" si="44"/>
        <v>0.81989999999999996</v>
      </c>
      <c r="CP131" s="172">
        <f t="shared" si="45"/>
        <v>0.92449999999999999</v>
      </c>
      <c r="CR131" s="172">
        <v>0.21</v>
      </c>
      <c r="CS131" s="172">
        <v>0.5</v>
      </c>
      <c r="CT131" s="172">
        <v>0.28000000000000003</v>
      </c>
      <c r="CU131" s="172">
        <f t="shared" si="46"/>
        <v>0.71</v>
      </c>
      <c r="CV131" s="172">
        <f t="shared" si="47"/>
        <v>0.78</v>
      </c>
    </row>
    <row r="132" spans="1:100" s="172" customFormat="1" x14ac:dyDescent="0.25">
      <c r="A132" s="172">
        <v>2009</v>
      </c>
      <c r="B132" s="172">
        <f t="shared" si="24"/>
        <v>151</v>
      </c>
      <c r="C132" s="191">
        <v>39964</v>
      </c>
      <c r="E132" s="172">
        <f>VLOOKUP(C132,'Historic Daily flows'!$A$1:$B$37941,2)</f>
        <v>6.37</v>
      </c>
      <c r="G132" s="192">
        <v>0</v>
      </c>
      <c r="H132" s="193"/>
      <c r="P132" s="194"/>
      <c r="Q132" s="193"/>
      <c r="Y132" s="195"/>
      <c r="AA132" s="195"/>
      <c r="AB132" s="183">
        <f>0.5*(B132-B131)*G131</f>
        <v>646</v>
      </c>
      <c r="AC132" s="172">
        <f>AF132/$AF$1</f>
        <v>52.92</v>
      </c>
      <c r="AD132" s="172">
        <f>MAX(G129:G132)</f>
        <v>38</v>
      </c>
      <c r="AE132" s="206">
        <f>AC132/AD132</f>
        <v>1.3926315789473684</v>
      </c>
      <c r="AF132" s="196">
        <f>SUM(AB129:AB132)</f>
        <v>2646</v>
      </c>
      <c r="AG132" s="171">
        <f t="shared" si="52"/>
        <v>0</v>
      </c>
      <c r="AH132" s="174">
        <f t="shared" si="25"/>
        <v>0.55000000000000004</v>
      </c>
      <c r="AI132" s="174"/>
      <c r="AJ132" s="174">
        <f>0.5*(B132-B131)*AG131</f>
        <v>1174.5454545454543</v>
      </c>
      <c r="AK132" s="249">
        <f>AN132/$AN$1</f>
        <v>96.218181818181804</v>
      </c>
      <c r="AL132" s="192">
        <f>MAX($G$129:$G$132)/AH132</f>
        <v>69.090909090909079</v>
      </c>
      <c r="AM132" s="206">
        <f>AK132/AL132</f>
        <v>1.3926315789473684</v>
      </c>
      <c r="AN132" s="174">
        <f>SUM(AJ129:AJ132)</f>
        <v>4810.9090909090901</v>
      </c>
      <c r="AO132" s="286">
        <v>201</v>
      </c>
      <c r="AP132" s="303">
        <v>5.13</v>
      </c>
      <c r="AQ132" s="291">
        <f>AL132*AP188</f>
        <v>0</v>
      </c>
      <c r="AR132" s="303">
        <v>72</v>
      </c>
      <c r="AS132" s="286">
        <v>1.88</v>
      </c>
      <c r="AT132" s="303">
        <f>AL132*$AS$188</f>
        <v>0</v>
      </c>
      <c r="AU132" s="197">
        <v>0</v>
      </c>
      <c r="AX132" s="172">
        <f>BA132/$BA$1</f>
        <v>82.294520078676982</v>
      </c>
      <c r="AY132" s="183">
        <f>AX132/AD132</f>
        <v>2.1656452652283416</v>
      </c>
      <c r="AZ132" s="172">
        <f>0.5*(B132-B131)*AU131</f>
        <v>794.50976533674441</v>
      </c>
      <c r="BA132" s="196">
        <f>SUM(AZ130:AZ132)</f>
        <v>4114.7260039338489</v>
      </c>
      <c r="CB132" s="172">
        <v>6</v>
      </c>
      <c r="CC132" s="172">
        <f t="shared" si="53"/>
        <v>0.31099999999999994</v>
      </c>
      <c r="CG132" s="172">
        <v>32</v>
      </c>
      <c r="CH132" s="172">
        <f t="shared" si="40"/>
        <v>0.28799999999999998</v>
      </c>
      <c r="CJ132" s="172">
        <v>32</v>
      </c>
      <c r="CL132" s="172">
        <f t="shared" si="42"/>
        <v>9.6000000000000002E-2</v>
      </c>
      <c r="CM132" s="172">
        <f t="shared" si="43"/>
        <v>0.72299999999999998</v>
      </c>
      <c r="CN132" s="172">
        <f t="shared" si="41"/>
        <v>0.19779999999999998</v>
      </c>
      <c r="CO132" s="172">
        <f t="shared" si="44"/>
        <v>0.81899999999999995</v>
      </c>
      <c r="CP132" s="172">
        <f t="shared" si="45"/>
        <v>0.92079999999999995</v>
      </c>
      <c r="CR132" s="172">
        <v>0.21</v>
      </c>
      <c r="CS132" s="172">
        <v>0.5</v>
      </c>
      <c r="CT132" s="172">
        <v>0.28000000000000003</v>
      </c>
      <c r="CU132" s="172">
        <f t="shared" si="46"/>
        <v>0.71</v>
      </c>
      <c r="CV132" s="172">
        <f t="shared" si="47"/>
        <v>0.78</v>
      </c>
    </row>
    <row r="133" spans="1:100" x14ac:dyDescent="0.25">
      <c r="A133">
        <v>2010</v>
      </c>
      <c r="B133">
        <f t="shared" si="24"/>
        <v>1</v>
      </c>
      <c r="C133" s="109">
        <v>40179</v>
      </c>
      <c r="E133">
        <f>VLOOKUP(C133,'Historic Daily flows'!$A$1:$B$37941,2)</f>
        <v>14.4</v>
      </c>
      <c r="G133" s="77">
        <v>0</v>
      </c>
      <c r="AD133">
        <f>AD134</f>
        <v>54</v>
      </c>
      <c r="AG133" s="171">
        <f t="shared" si="52"/>
        <v>0</v>
      </c>
      <c r="AH133" s="108">
        <f t="shared" si="25"/>
        <v>0.55000000000000004</v>
      </c>
      <c r="AI133" s="108"/>
      <c r="AJ133" s="108"/>
      <c r="AK133" s="249"/>
      <c r="AL133" s="77">
        <f>MAX($G$133:$G$136)</f>
        <v>54</v>
      </c>
      <c r="AM133" s="73"/>
      <c r="AN133" s="108"/>
      <c r="AO133" s="286"/>
      <c r="AP133" s="303"/>
      <c r="AQ133" s="286"/>
      <c r="AR133" s="303"/>
      <c r="AS133" s="286"/>
      <c r="AT133" s="303"/>
      <c r="AU133" s="79">
        <v>0</v>
      </c>
      <c r="CB133">
        <v>6.2</v>
      </c>
      <c r="CC133">
        <f t="shared" si="53"/>
        <v>0.32145999999999997</v>
      </c>
      <c r="CG133">
        <v>33</v>
      </c>
      <c r="CH133">
        <f t="shared" ref="CH133:CH165" si="54">CG133*0.009</f>
        <v>0.29699999999999999</v>
      </c>
      <c r="CJ133">
        <v>33</v>
      </c>
      <c r="CL133">
        <f t="shared" si="42"/>
        <v>9.9000000000000005E-2</v>
      </c>
      <c r="CM133">
        <f t="shared" si="43"/>
        <v>0.71910000000000007</v>
      </c>
      <c r="CN133">
        <f t="shared" ref="CN133:CN164" si="55">(0.0002*CJ133)+0.1914</f>
        <v>0.19799999999999998</v>
      </c>
      <c r="CO133">
        <f t="shared" si="44"/>
        <v>0.81810000000000005</v>
      </c>
      <c r="CP133">
        <f t="shared" si="45"/>
        <v>0.91710000000000003</v>
      </c>
      <c r="CR133">
        <v>0.21</v>
      </c>
      <c r="CS133">
        <v>0.5</v>
      </c>
      <c r="CT133">
        <v>0.28000000000000003</v>
      </c>
      <c r="CU133">
        <f t="shared" si="46"/>
        <v>0.71</v>
      </c>
      <c r="CV133">
        <f t="shared" si="47"/>
        <v>0.78</v>
      </c>
    </row>
    <row r="134" spans="1:100" x14ac:dyDescent="0.25">
      <c r="A134">
        <v>2010</v>
      </c>
      <c r="B134">
        <f t="shared" si="24"/>
        <v>69</v>
      </c>
      <c r="C134" s="109">
        <v>40247</v>
      </c>
      <c r="D134">
        <v>6.2</v>
      </c>
      <c r="E134">
        <f>VLOOKUP(C134,'Historic Daily flows'!$A$1:$B$37941,2)</f>
        <v>6.2</v>
      </c>
      <c r="G134" s="77">
        <v>42</v>
      </c>
      <c r="AB134" s="61">
        <f>0.5*(B134-B133)*G134</f>
        <v>1428</v>
      </c>
      <c r="AD134">
        <f>AD135</f>
        <v>54</v>
      </c>
      <c r="AG134" s="171">
        <f t="shared" si="52"/>
        <v>76.36363636363636</v>
      </c>
      <c r="AH134" s="108">
        <f t="shared" si="25"/>
        <v>0.55000000000000004</v>
      </c>
      <c r="AI134" s="108"/>
      <c r="AJ134" s="108">
        <f>0.5*($B134-$B133)*$AG134</f>
        <v>2596.363636363636</v>
      </c>
      <c r="AK134" s="249"/>
      <c r="AL134" s="77">
        <f>MAX($G$133:$G$136)</f>
        <v>54</v>
      </c>
      <c r="AM134" s="73"/>
      <c r="AN134" s="108"/>
      <c r="AO134" s="286"/>
      <c r="AP134" s="303"/>
      <c r="AQ134" s="286"/>
      <c r="AR134" s="303"/>
      <c r="AS134" s="286"/>
      <c r="AT134" s="303"/>
      <c r="AU134" s="79">
        <f>G134/AW134</f>
        <v>73.362445414847159</v>
      </c>
      <c r="AV134">
        <f>B134/D134</f>
        <v>11.129032258064516</v>
      </c>
      <c r="AW134">
        <f>VLOOKUP(AV134,$CB$102:$CC$271,2)</f>
        <v>0.57250000000000001</v>
      </c>
      <c r="AZ134">
        <f>0.5*(B134-B133)*AU134</f>
        <v>2494.3231441048033</v>
      </c>
      <c r="BB134" s="117">
        <f>B134</f>
        <v>69</v>
      </c>
      <c r="BC134" s="117">
        <f>G134/AD134</f>
        <v>0.77777777777777779</v>
      </c>
      <c r="BD134" s="117">
        <v>0.77777777777777779</v>
      </c>
      <c r="BE134" s="121"/>
      <c r="BG134" s="121"/>
      <c r="BI134" s="121"/>
      <c r="BK134" s="12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CB134">
        <v>6.4</v>
      </c>
      <c r="CC134">
        <f t="shared" si="53"/>
        <v>0.33191999999999999</v>
      </c>
      <c r="CG134">
        <v>34</v>
      </c>
      <c r="CH134">
        <f t="shared" si="54"/>
        <v>0.30599999999999999</v>
      </c>
      <c r="CJ134">
        <v>34</v>
      </c>
      <c r="CL134">
        <f t="shared" si="42"/>
        <v>0.10200000000000001</v>
      </c>
      <c r="CM134">
        <f t="shared" si="43"/>
        <v>0.71520000000000006</v>
      </c>
      <c r="CN134">
        <f t="shared" si="55"/>
        <v>0.19819999999999999</v>
      </c>
      <c r="CO134">
        <f t="shared" si="44"/>
        <v>0.81720000000000004</v>
      </c>
      <c r="CP134">
        <f t="shared" si="45"/>
        <v>0.91339999999999999</v>
      </c>
      <c r="CR134">
        <v>0.21</v>
      </c>
      <c r="CS134">
        <v>0.5</v>
      </c>
      <c r="CT134">
        <v>0.28000000000000003</v>
      </c>
      <c r="CU134">
        <f t="shared" si="46"/>
        <v>0.71</v>
      </c>
      <c r="CV134">
        <f t="shared" si="47"/>
        <v>0.78</v>
      </c>
    </row>
    <row r="135" spans="1:100" x14ac:dyDescent="0.25">
      <c r="A135">
        <v>2010</v>
      </c>
      <c r="B135">
        <f t="shared" si="24"/>
        <v>105</v>
      </c>
      <c r="C135" s="109">
        <v>40283</v>
      </c>
      <c r="D135">
        <v>13</v>
      </c>
      <c r="E135">
        <f>VLOOKUP(C135,'Historic Daily flows'!$A$1:$B$37941,2)</f>
        <v>11.6</v>
      </c>
      <c r="G135" s="77">
        <v>54</v>
      </c>
      <c r="AB135" s="61">
        <f>((B135-B134)*G135)-((B135-B134)*(G135-G134)*0.5)</f>
        <v>1728</v>
      </c>
      <c r="AD135">
        <f>AD136</f>
        <v>54</v>
      </c>
      <c r="AG135" s="171">
        <f t="shared" si="52"/>
        <v>98.181818181818173</v>
      </c>
      <c r="AH135" s="108">
        <f t="shared" si="25"/>
        <v>0.55000000000000004</v>
      </c>
      <c r="AI135" s="108"/>
      <c r="AJ135" s="108">
        <f>((B135-B134)*AG135)-((B135-B134)*(AG135-AG134)*0.5)</f>
        <v>3141.8181818181815</v>
      </c>
      <c r="AK135" s="249"/>
      <c r="AL135" s="77">
        <f>MAX($G$133:$G$136)</f>
        <v>54</v>
      </c>
      <c r="AM135" s="73"/>
      <c r="AN135" s="108"/>
      <c r="AO135" s="286"/>
      <c r="AP135" s="303"/>
      <c r="AQ135" s="286"/>
      <c r="AR135" s="303"/>
      <c r="AS135" s="286"/>
      <c r="AT135" s="303"/>
      <c r="AU135" s="79">
        <f>G135/AW135</f>
        <v>129.93262752646791</v>
      </c>
      <c r="AV135">
        <f>B135/D135</f>
        <v>8.0769230769230766</v>
      </c>
      <c r="AW135">
        <f>VLOOKUP(AV135,$CB$102:$CC$271,2)</f>
        <v>0.41559999999999947</v>
      </c>
      <c r="AZ135">
        <f>((B135-B134)*AU135)-((B135-B134)*(AW135-AU134)*0.5)</f>
        <v>5990.6178084200938</v>
      </c>
      <c r="BB135" s="117">
        <f>B135</f>
        <v>105</v>
      </c>
      <c r="BC135" s="117">
        <f>G135/AD135</f>
        <v>1</v>
      </c>
      <c r="BD135" s="117">
        <v>1</v>
      </c>
      <c r="BE135" s="112">
        <v>24</v>
      </c>
      <c r="BF135" s="112">
        <f>BE135/AD135</f>
        <v>0.44444444444444442</v>
      </c>
      <c r="BG135" s="112">
        <v>26</v>
      </c>
      <c r="BH135" s="112">
        <f>BG135/AD135</f>
        <v>0.48148148148148145</v>
      </c>
      <c r="BI135" s="112">
        <v>4</v>
      </c>
      <c r="BJ135" s="112">
        <f>BI135/AD135</f>
        <v>7.407407407407407E-2</v>
      </c>
      <c r="CB135">
        <v>6.6</v>
      </c>
      <c r="CC135">
        <f t="shared" si="53"/>
        <v>0.34237999999999996</v>
      </c>
      <c r="CG135">
        <v>35</v>
      </c>
      <c r="CH135">
        <f t="shared" si="54"/>
        <v>0.315</v>
      </c>
      <c r="CJ135">
        <v>35</v>
      </c>
      <c r="CL135">
        <f t="shared" si="42"/>
        <v>0.105</v>
      </c>
      <c r="CM135">
        <f t="shared" si="43"/>
        <v>0.71130000000000004</v>
      </c>
      <c r="CN135">
        <f t="shared" si="55"/>
        <v>0.19839999999999999</v>
      </c>
      <c r="CO135">
        <f t="shared" si="44"/>
        <v>0.81630000000000003</v>
      </c>
      <c r="CP135">
        <f t="shared" si="45"/>
        <v>0.90970000000000006</v>
      </c>
      <c r="CR135">
        <v>0.21</v>
      </c>
      <c r="CS135">
        <v>0.5</v>
      </c>
      <c r="CT135">
        <v>0.28000000000000003</v>
      </c>
      <c r="CU135">
        <f t="shared" si="46"/>
        <v>0.71</v>
      </c>
      <c r="CV135">
        <f t="shared" si="47"/>
        <v>0.78</v>
      </c>
    </row>
    <row r="136" spans="1:100" x14ac:dyDescent="0.25">
      <c r="A136">
        <v>2010</v>
      </c>
      <c r="B136">
        <f t="shared" si="24"/>
        <v>151</v>
      </c>
      <c r="C136" s="109">
        <v>40329</v>
      </c>
      <c r="E136">
        <f>VLOOKUP(C136,'Historic Daily flows'!$A$1:$B$37941,2)</f>
        <v>19.899999999999999</v>
      </c>
      <c r="G136" s="77">
        <v>0</v>
      </c>
      <c r="AB136" s="61">
        <f>0.5*(B136-B135)*G135</f>
        <v>1242</v>
      </c>
      <c r="AC136">
        <f>AF136/$AF$1</f>
        <v>87.96</v>
      </c>
      <c r="AD136">
        <f>MAX(G133:G136)</f>
        <v>54</v>
      </c>
      <c r="AE136" s="73">
        <f>AC136/AD136</f>
        <v>1.6288888888888888</v>
      </c>
      <c r="AF136" s="279">
        <f>SUM(AB134:AB136)</f>
        <v>4398</v>
      </c>
      <c r="AG136" s="171">
        <f t="shared" si="52"/>
        <v>0</v>
      </c>
      <c r="AH136" s="108">
        <f t="shared" si="25"/>
        <v>0.55000000000000004</v>
      </c>
      <c r="AI136" s="108"/>
      <c r="AJ136" s="108">
        <f>0.5*(B136-B135)*AG135</f>
        <v>2258.181818181818</v>
      </c>
      <c r="AK136" s="248">
        <f>AN136/$AN$1</f>
        <v>159.92727272727271</v>
      </c>
      <c r="AL136" s="77">
        <f>MAX($G$133:$G$136)</f>
        <v>54</v>
      </c>
      <c r="AM136" s="73">
        <f>AK136/AL136</f>
        <v>2.9616161616161611</v>
      </c>
      <c r="AN136" s="108">
        <f>SUM(AJ134:AJ136)</f>
        <v>7996.363636363636</v>
      </c>
      <c r="AO136" s="286">
        <v>198</v>
      </c>
      <c r="AP136" s="303">
        <v>3.84</v>
      </c>
      <c r="AQ136" s="290">
        <f>AO136</f>
        <v>198</v>
      </c>
      <c r="AR136" s="303">
        <v>228</v>
      </c>
      <c r="AS136" s="286">
        <v>4.2300000000000004</v>
      </c>
      <c r="AT136" s="303">
        <f>AL136*$AS$188</f>
        <v>0</v>
      </c>
      <c r="AU136" s="79">
        <v>0</v>
      </c>
      <c r="AX136">
        <f>BA136/$BA$1</f>
        <v>229.46782771267317</v>
      </c>
      <c r="AY136" s="61">
        <f>AX136/AD136</f>
        <v>4.2494042169013548</v>
      </c>
      <c r="AZ136">
        <f>0.5*(B136-B135)*AU135</f>
        <v>2988.4504331087619</v>
      </c>
      <c r="BA136" s="78">
        <f>SUM(AZ133:AZ136)</f>
        <v>11473.391385633659</v>
      </c>
      <c r="CB136">
        <v>6.8</v>
      </c>
      <c r="CC136">
        <f t="shared" si="53"/>
        <v>0.35283999999999999</v>
      </c>
      <c r="CG136">
        <v>36</v>
      </c>
      <c r="CH136">
        <f t="shared" si="54"/>
        <v>0.32399999999999995</v>
      </c>
      <c r="CJ136">
        <v>36</v>
      </c>
      <c r="CL136">
        <f t="shared" si="42"/>
        <v>0.108</v>
      </c>
      <c r="CM136">
        <f t="shared" si="43"/>
        <v>0.70740000000000003</v>
      </c>
      <c r="CN136">
        <f t="shared" si="55"/>
        <v>0.1986</v>
      </c>
      <c r="CO136">
        <f t="shared" si="44"/>
        <v>0.81540000000000001</v>
      </c>
      <c r="CP136">
        <f t="shared" si="45"/>
        <v>0.90600000000000003</v>
      </c>
      <c r="CR136">
        <v>0.21</v>
      </c>
      <c r="CS136">
        <v>0.5</v>
      </c>
      <c r="CT136">
        <v>0.28000000000000003</v>
      </c>
      <c r="CU136">
        <f t="shared" si="46"/>
        <v>0.71</v>
      </c>
      <c r="CV136">
        <f t="shared" si="47"/>
        <v>0.78</v>
      </c>
    </row>
    <row r="137" spans="1:100" s="172" customFormat="1" x14ac:dyDescent="0.25">
      <c r="A137" s="172">
        <v>2011</v>
      </c>
      <c r="B137" s="172">
        <f t="shared" si="24"/>
        <v>1</v>
      </c>
      <c r="C137" s="191">
        <v>40544</v>
      </c>
      <c r="E137" s="172">
        <f>VLOOKUP(C137,'Historic Daily flows'!$A$1:$B$37941,2)</f>
        <v>10.8</v>
      </c>
      <c r="G137" s="192">
        <v>0</v>
      </c>
      <c r="H137" s="193"/>
      <c r="P137" s="194"/>
      <c r="Q137" s="193"/>
      <c r="Y137" s="195"/>
      <c r="AA137" s="195"/>
      <c r="AB137" s="183"/>
      <c r="AD137" s="172">
        <f>AD138</f>
        <v>103</v>
      </c>
      <c r="AE137" s="206"/>
      <c r="AF137" s="196"/>
      <c r="AG137" s="171">
        <f t="shared" si="52"/>
        <v>0</v>
      </c>
      <c r="AH137" s="174">
        <f t="shared" si="25"/>
        <v>0.55000000000000004</v>
      </c>
      <c r="AI137" s="174"/>
      <c r="AJ137" s="174"/>
      <c r="AK137" s="249"/>
      <c r="AL137" s="192">
        <f>MAX($G$137:$G$140)/AH137</f>
        <v>187.27272727272725</v>
      </c>
      <c r="AM137" s="206"/>
      <c r="AN137" s="174"/>
      <c r="AO137" s="286"/>
      <c r="AP137" s="303"/>
      <c r="AQ137" s="286"/>
      <c r="AR137" s="303"/>
      <c r="AS137" s="286"/>
      <c r="AT137" s="303"/>
      <c r="AU137" s="197">
        <v>0</v>
      </c>
      <c r="AY137" s="183"/>
      <c r="BA137" s="196"/>
      <c r="CB137" s="172">
        <v>6.9999999999999902</v>
      </c>
      <c r="CC137" s="172">
        <f t="shared" si="53"/>
        <v>0.36329999999999946</v>
      </c>
      <c r="CG137" s="172">
        <v>37</v>
      </c>
      <c r="CH137" s="172">
        <f t="shared" si="54"/>
        <v>0.33299999999999996</v>
      </c>
      <c r="CJ137" s="172">
        <v>37</v>
      </c>
      <c r="CL137" s="172">
        <f t="shared" si="42"/>
        <v>0.111</v>
      </c>
      <c r="CM137" s="172">
        <f t="shared" si="43"/>
        <v>0.70350000000000001</v>
      </c>
      <c r="CN137" s="172">
        <f t="shared" si="55"/>
        <v>0.19879999999999998</v>
      </c>
      <c r="CO137" s="172">
        <f t="shared" si="44"/>
        <v>0.8145</v>
      </c>
      <c r="CP137" s="172">
        <f t="shared" si="45"/>
        <v>0.90229999999999999</v>
      </c>
      <c r="CR137" s="172">
        <v>0.21</v>
      </c>
      <c r="CS137" s="172">
        <v>0.5</v>
      </c>
      <c r="CT137" s="172">
        <v>0.28000000000000003</v>
      </c>
      <c r="CU137" s="172">
        <f t="shared" si="46"/>
        <v>0.71</v>
      </c>
      <c r="CV137" s="172">
        <f t="shared" si="47"/>
        <v>0.78</v>
      </c>
    </row>
    <row r="138" spans="1:100" s="172" customFormat="1" x14ac:dyDescent="0.25">
      <c r="A138" s="172">
        <v>2011</v>
      </c>
      <c r="B138" s="172">
        <f t="shared" si="24"/>
        <v>87</v>
      </c>
      <c r="C138" s="191">
        <v>40630</v>
      </c>
      <c r="D138" s="172">
        <v>9.4</v>
      </c>
      <c r="E138" s="172">
        <f>VLOOKUP(C138,'Historic Daily flows'!$A$1:$B$37941,2)</f>
        <v>10.8</v>
      </c>
      <c r="G138" s="192">
        <v>68</v>
      </c>
      <c r="H138" s="193"/>
      <c r="P138" s="194"/>
      <c r="Q138" s="193"/>
      <c r="Y138" s="195"/>
      <c r="AA138" s="195"/>
      <c r="AB138" s="183">
        <f>0.5*(B138-B137)*G138</f>
        <v>2924</v>
      </c>
      <c r="AD138" s="172">
        <f>AD139</f>
        <v>103</v>
      </c>
      <c r="AE138" s="206"/>
      <c r="AF138" s="196"/>
      <c r="AG138" s="171">
        <f t="shared" si="52"/>
        <v>123.63636363636363</v>
      </c>
      <c r="AH138" s="174">
        <f t="shared" si="25"/>
        <v>0.55000000000000004</v>
      </c>
      <c r="AI138" s="174"/>
      <c r="AJ138" s="174">
        <f>0.5*($B138-$B137)*$AG138</f>
        <v>5316.363636363636</v>
      </c>
      <c r="AK138" s="249"/>
      <c r="AL138" s="192">
        <f>MAX($G$137:$G$140)/AH138</f>
        <v>187.27272727272725</v>
      </c>
      <c r="AM138" s="206"/>
      <c r="AN138" s="174"/>
      <c r="AO138" s="286"/>
      <c r="AP138" s="303"/>
      <c r="AQ138" s="286"/>
      <c r="AR138" s="303"/>
      <c r="AS138" s="286"/>
      <c r="AT138" s="303"/>
      <c r="AU138" s="197">
        <f>G138/AW138</f>
        <v>142.15235387574228</v>
      </c>
      <c r="AV138" s="172">
        <f>B138/D138</f>
        <v>9.2553191489361701</v>
      </c>
      <c r="AW138" s="172">
        <f>VLOOKUP(AV138,$CB$102:$CC$271,2)</f>
        <v>0.47835999999999945</v>
      </c>
      <c r="AY138" s="183"/>
      <c r="AZ138" s="172">
        <f>0.5*(B138-B137)*AU138</f>
        <v>6112.5512166569179</v>
      </c>
      <c r="BA138" s="196"/>
      <c r="BB138" s="172">
        <f>B138</f>
        <v>87</v>
      </c>
      <c r="BC138" s="172">
        <f>G138/AD138</f>
        <v>0.66019417475728159</v>
      </c>
      <c r="BD138" s="172">
        <v>0.66019417475728159</v>
      </c>
      <c r="BE138" s="172">
        <v>6</v>
      </c>
      <c r="BF138" s="172">
        <f>BE138/AD138</f>
        <v>5.8252427184466021E-2</v>
      </c>
      <c r="BG138" s="172">
        <v>51</v>
      </c>
      <c r="BH138" s="172">
        <f>BG138/AD138</f>
        <v>0.49514563106796117</v>
      </c>
      <c r="BI138" s="172">
        <v>11</v>
      </c>
      <c r="BJ138" s="172">
        <f>BI138/AD138</f>
        <v>0.10679611650485436</v>
      </c>
      <c r="CB138" s="172">
        <v>7.1999999999999904</v>
      </c>
      <c r="CC138" s="172">
        <f t="shared" si="53"/>
        <v>0.37375999999999948</v>
      </c>
      <c r="CG138" s="172">
        <v>38</v>
      </c>
      <c r="CH138" s="172">
        <f t="shared" si="54"/>
        <v>0.34199999999999997</v>
      </c>
      <c r="CJ138" s="172">
        <v>38</v>
      </c>
      <c r="CL138" s="172">
        <f t="shared" si="42"/>
        <v>0.114</v>
      </c>
      <c r="CM138" s="172">
        <f t="shared" si="43"/>
        <v>0.6996</v>
      </c>
      <c r="CN138" s="172">
        <f t="shared" si="55"/>
        <v>0.19899999999999998</v>
      </c>
      <c r="CO138" s="172">
        <f t="shared" si="44"/>
        <v>0.81359999999999999</v>
      </c>
      <c r="CP138" s="172">
        <f t="shared" si="45"/>
        <v>0.89859999999999995</v>
      </c>
      <c r="CR138" s="172">
        <v>0.21</v>
      </c>
      <c r="CS138" s="172">
        <v>0.5</v>
      </c>
      <c r="CT138" s="172">
        <v>0.28000000000000003</v>
      </c>
      <c r="CU138" s="172">
        <f t="shared" si="46"/>
        <v>0.71</v>
      </c>
      <c r="CV138" s="172">
        <f t="shared" si="47"/>
        <v>0.78</v>
      </c>
    </row>
    <row r="139" spans="1:100" s="172" customFormat="1" x14ac:dyDescent="0.25">
      <c r="A139" s="172">
        <v>2011</v>
      </c>
      <c r="B139" s="172">
        <f t="shared" si="24"/>
        <v>109</v>
      </c>
      <c r="C139" s="191">
        <v>40652</v>
      </c>
      <c r="D139" s="172">
        <v>5.2</v>
      </c>
      <c r="E139" s="172">
        <f>VLOOKUP(C139,'Historic Daily flows'!$A$1:$B$37941,2)</f>
        <v>7.19</v>
      </c>
      <c r="G139" s="192">
        <v>103</v>
      </c>
      <c r="H139" s="193"/>
      <c r="P139" s="194"/>
      <c r="Q139" s="193"/>
      <c r="Y139" s="195"/>
      <c r="AA139" s="195"/>
      <c r="AB139" s="183">
        <f>((B139-B138)*G139)-((B139-B138)*(G139-G138)*0.5)</f>
        <v>1881</v>
      </c>
      <c r="AD139" s="172">
        <f>AD140</f>
        <v>103</v>
      </c>
      <c r="AE139" s="206"/>
      <c r="AF139" s="196"/>
      <c r="AG139" s="171">
        <f t="shared" si="52"/>
        <v>187.27272727272725</v>
      </c>
      <c r="AH139" s="174">
        <f t="shared" si="25"/>
        <v>0.55000000000000004</v>
      </c>
      <c r="AI139" s="174"/>
      <c r="AJ139" s="174">
        <f>((B139-B138)*AG139)-((B139-B138)*(AG139-AG138)*0.5)</f>
        <v>3420</v>
      </c>
      <c r="AK139" s="249"/>
      <c r="AL139" s="192">
        <f>MAX($G$137:$G$140)/AH139</f>
        <v>187.27272727272725</v>
      </c>
      <c r="AM139" s="206"/>
      <c r="AN139" s="174"/>
      <c r="AO139" s="286"/>
      <c r="AP139" s="303"/>
      <c r="AQ139" s="286"/>
      <c r="AR139" s="303"/>
      <c r="AS139" s="286"/>
      <c r="AT139" s="303"/>
      <c r="AU139" s="197">
        <f>G139/AW139</f>
        <v>103</v>
      </c>
      <c r="AV139" s="172">
        <f>B139/D139</f>
        <v>20.96153846153846</v>
      </c>
      <c r="AW139" s="172">
        <f>VLOOKUP(AV139,$CB$102:$CC$271,2)</f>
        <v>1</v>
      </c>
      <c r="AY139" s="183"/>
      <c r="AZ139" s="172">
        <f>((B139-B138)*AU139)-((B139-B138)*(AU139-AU138)*0.5)</f>
        <v>2696.6758926331649</v>
      </c>
      <c r="BA139" s="196"/>
      <c r="BB139" s="172">
        <f>B139</f>
        <v>109</v>
      </c>
      <c r="BC139" s="172">
        <f>G139/AD139</f>
        <v>1</v>
      </c>
      <c r="BD139" s="172">
        <v>1</v>
      </c>
      <c r="BE139" s="172">
        <v>19</v>
      </c>
      <c r="BF139" s="172">
        <f>BE139/AD139</f>
        <v>0.18446601941747573</v>
      </c>
      <c r="BG139" s="172">
        <v>60</v>
      </c>
      <c r="BH139" s="172">
        <f>BG139/AD139</f>
        <v>0.58252427184466016</v>
      </c>
      <c r="BI139" s="172">
        <v>24</v>
      </c>
      <c r="BJ139" s="172">
        <f>BI139/AD139</f>
        <v>0.23300970873786409</v>
      </c>
      <c r="CB139" s="172">
        <v>7.3999999999999897</v>
      </c>
      <c r="CC139" s="172">
        <f t="shared" si="53"/>
        <v>0.38421999999999945</v>
      </c>
      <c r="CG139" s="172">
        <v>39</v>
      </c>
      <c r="CH139" s="172">
        <f t="shared" si="54"/>
        <v>0.35099999999999998</v>
      </c>
      <c r="CJ139" s="172">
        <v>39</v>
      </c>
      <c r="CL139" s="172">
        <f t="shared" si="42"/>
        <v>0.11700000000000001</v>
      </c>
      <c r="CM139" s="172">
        <f t="shared" si="43"/>
        <v>0.69569999999999999</v>
      </c>
      <c r="CN139" s="172">
        <f t="shared" si="55"/>
        <v>0.19919999999999999</v>
      </c>
      <c r="CO139" s="172">
        <f t="shared" si="44"/>
        <v>0.81269999999999998</v>
      </c>
      <c r="CP139" s="172">
        <f t="shared" si="45"/>
        <v>0.89490000000000003</v>
      </c>
      <c r="CR139" s="172">
        <v>0.21</v>
      </c>
      <c r="CS139" s="172">
        <v>0.5</v>
      </c>
      <c r="CT139" s="172">
        <v>0.28000000000000003</v>
      </c>
      <c r="CU139" s="172">
        <f t="shared" si="46"/>
        <v>0.71</v>
      </c>
      <c r="CV139" s="172">
        <f t="shared" si="47"/>
        <v>0.78</v>
      </c>
    </row>
    <row r="140" spans="1:100" s="172" customFormat="1" x14ac:dyDescent="0.25">
      <c r="A140" s="172">
        <v>2011</v>
      </c>
      <c r="B140" s="172">
        <f t="shared" si="24"/>
        <v>151</v>
      </c>
      <c r="C140" s="191">
        <v>40694</v>
      </c>
      <c r="E140" s="172">
        <f>VLOOKUP(C140,'Historic Daily flows'!$A$1:$B$37941,2)</f>
        <v>14.7</v>
      </c>
      <c r="G140" s="192">
        <v>0</v>
      </c>
      <c r="H140" s="193"/>
      <c r="P140" s="194"/>
      <c r="Q140" s="193"/>
      <c r="Y140" s="195"/>
      <c r="AA140" s="195"/>
      <c r="AB140" s="183">
        <f>0.5*(B140-B139)*G139</f>
        <v>2163</v>
      </c>
      <c r="AC140" s="172">
        <f>AF140/$AF$1</f>
        <v>139.36000000000001</v>
      </c>
      <c r="AD140" s="172">
        <f>MAX(G137:G140)</f>
        <v>103</v>
      </c>
      <c r="AE140" s="206">
        <f>AC140/AD140</f>
        <v>1.3530097087378643</v>
      </c>
      <c r="AF140" s="196">
        <f>SUM(AB138:AB140)</f>
        <v>6968</v>
      </c>
      <c r="AG140" s="171">
        <f t="shared" si="52"/>
        <v>0</v>
      </c>
      <c r="AH140" s="174">
        <f t="shared" si="25"/>
        <v>0.55000000000000004</v>
      </c>
      <c r="AI140" s="174"/>
      <c r="AJ140" s="174">
        <f>0.5*(B140-B139)*AG139</f>
        <v>3932.7272727272721</v>
      </c>
      <c r="AK140" s="249">
        <f>AN140/$AN$1</f>
        <v>253.38181818181818</v>
      </c>
      <c r="AL140" s="192">
        <f>MAX($G$137:$G$140)/AH140</f>
        <v>187.27272727272725</v>
      </c>
      <c r="AM140" s="206">
        <f>AK140/AL140</f>
        <v>1.3530097087378643</v>
      </c>
      <c r="AN140" s="174">
        <f>SUM(AJ138:AJ140)</f>
        <v>12669.090909090908</v>
      </c>
      <c r="AO140" s="286">
        <v>195</v>
      </c>
      <c r="AP140" s="303">
        <v>2.04</v>
      </c>
      <c r="AQ140" s="290">
        <f>AO140</f>
        <v>195</v>
      </c>
      <c r="AR140" s="303">
        <v>194</v>
      </c>
      <c r="AS140" s="286">
        <v>1.88</v>
      </c>
      <c r="AT140" s="303">
        <f>AL140*$AS$188</f>
        <v>0</v>
      </c>
      <c r="AU140" s="197">
        <v>0</v>
      </c>
      <c r="AX140" s="172">
        <f>BA140/$BA$1</f>
        <v>219.44454218580165</v>
      </c>
      <c r="AY140" s="183">
        <f>AX140/AD140</f>
        <v>2.1305295357844822</v>
      </c>
      <c r="AZ140" s="172">
        <f>0.5*(B140-B139)*AU139</f>
        <v>2163</v>
      </c>
      <c r="BA140" s="196">
        <f>SUM(AZ138:AZ140)</f>
        <v>10972.227109290083</v>
      </c>
      <c r="CB140" s="172">
        <v>7.5999999999999899</v>
      </c>
      <c r="CC140" s="172">
        <f t="shared" si="53"/>
        <v>0.39467999999999942</v>
      </c>
      <c r="CG140" s="172">
        <v>40</v>
      </c>
      <c r="CH140" s="172">
        <f t="shared" si="54"/>
        <v>0.36</v>
      </c>
      <c r="CJ140" s="172">
        <v>40</v>
      </c>
      <c r="CL140" s="172">
        <f t="shared" si="42"/>
        <v>0.12</v>
      </c>
      <c r="CM140" s="172">
        <f t="shared" si="43"/>
        <v>0.69179999999999997</v>
      </c>
      <c r="CN140" s="172">
        <f t="shared" si="55"/>
        <v>0.19939999999999999</v>
      </c>
      <c r="CO140" s="172">
        <f t="shared" si="44"/>
        <v>0.81179999999999997</v>
      </c>
      <c r="CP140" s="172">
        <f t="shared" si="45"/>
        <v>0.89119999999999999</v>
      </c>
      <c r="CR140" s="172">
        <v>0.21</v>
      </c>
      <c r="CS140" s="172">
        <v>0.5</v>
      </c>
      <c r="CT140" s="172">
        <v>0.28000000000000003</v>
      </c>
      <c r="CU140" s="172">
        <f t="shared" si="46"/>
        <v>0.71</v>
      </c>
      <c r="CV140" s="172">
        <f t="shared" si="47"/>
        <v>0.78</v>
      </c>
    </row>
    <row r="141" spans="1:100" x14ac:dyDescent="0.25">
      <c r="A141">
        <v>2012</v>
      </c>
      <c r="B141">
        <f t="shared" si="24"/>
        <v>1</v>
      </c>
      <c r="C141" s="109">
        <v>40909</v>
      </c>
      <c r="E141">
        <f>VLOOKUP(C141,'Historic Daily flows'!$A$1:$B$37941,2)</f>
        <v>16.8</v>
      </c>
      <c r="G141" s="77">
        <v>0</v>
      </c>
      <c r="AD141">
        <f>AD142</f>
        <v>42</v>
      </c>
      <c r="AG141" s="171">
        <f t="shared" si="52"/>
        <v>0</v>
      </c>
      <c r="AH141" s="108">
        <f t="shared" si="25"/>
        <v>0.55000000000000004</v>
      </c>
      <c r="AI141" s="108"/>
      <c r="AJ141" s="108"/>
      <c r="AK141" s="249"/>
      <c r="AL141" s="77">
        <f t="shared" ref="AL141:AL146" si="56">MAX($G$141:$G$146)/AH141</f>
        <v>76.36363636363636</v>
      </c>
      <c r="AM141" s="73"/>
      <c r="AN141" s="108"/>
      <c r="AO141" s="286"/>
      <c r="AP141" s="303"/>
      <c r="AQ141" s="286"/>
      <c r="AR141" s="303"/>
      <c r="AS141" s="286"/>
      <c r="AT141" s="303"/>
      <c r="AU141" s="79">
        <v>0</v>
      </c>
      <c r="CB141">
        <v>7.7999999999999901</v>
      </c>
      <c r="CC141">
        <f t="shared" si="53"/>
        <v>0.40513999999999945</v>
      </c>
      <c r="CG141">
        <v>41</v>
      </c>
      <c r="CH141">
        <f t="shared" si="54"/>
        <v>0.36899999999999999</v>
      </c>
      <c r="CJ141">
        <v>41</v>
      </c>
      <c r="CL141">
        <f t="shared" si="42"/>
        <v>0.123</v>
      </c>
      <c r="CM141">
        <f t="shared" si="43"/>
        <v>0.68789999999999996</v>
      </c>
      <c r="CN141">
        <f t="shared" si="55"/>
        <v>0.1996</v>
      </c>
      <c r="CO141">
        <f t="shared" si="44"/>
        <v>0.81089999999999995</v>
      </c>
      <c r="CP141">
        <f t="shared" si="45"/>
        <v>0.88749999999999996</v>
      </c>
      <c r="CR141">
        <v>0.21</v>
      </c>
      <c r="CS141">
        <v>0.5</v>
      </c>
      <c r="CT141">
        <v>0.28000000000000003</v>
      </c>
      <c r="CU141">
        <f t="shared" si="46"/>
        <v>0.71</v>
      </c>
      <c r="CV141">
        <f t="shared" si="47"/>
        <v>0.78</v>
      </c>
    </row>
    <row r="142" spans="1:100" x14ac:dyDescent="0.25">
      <c r="A142">
        <v>2012</v>
      </c>
      <c r="B142">
        <f t="shared" si="24"/>
        <v>83</v>
      </c>
      <c r="C142" s="109">
        <v>40991</v>
      </c>
      <c r="D142">
        <v>11.3</v>
      </c>
      <c r="E142">
        <f>VLOOKUP(C142,'Historic Daily flows'!$A$1:$B$37941,2)</f>
        <v>10.199999999999999</v>
      </c>
      <c r="G142" s="77">
        <v>35</v>
      </c>
      <c r="AB142" s="61">
        <f>0.5*(B142-B141)*G142</f>
        <v>1435</v>
      </c>
      <c r="AD142">
        <f>AD143</f>
        <v>42</v>
      </c>
      <c r="AG142" s="171">
        <f t="shared" si="52"/>
        <v>63.636363636363633</v>
      </c>
      <c r="AH142" s="108">
        <f t="shared" si="25"/>
        <v>0.55000000000000004</v>
      </c>
      <c r="AI142" s="108"/>
      <c r="AJ142" s="108">
        <f>0.5*($B142-$B141)*$AG142</f>
        <v>2609.090909090909</v>
      </c>
      <c r="AK142" s="249"/>
      <c r="AL142" s="77">
        <f t="shared" si="56"/>
        <v>76.36363636363636</v>
      </c>
      <c r="AM142" s="73"/>
      <c r="AN142" s="108"/>
      <c r="AO142" s="286"/>
      <c r="AP142" s="303"/>
      <c r="AQ142" s="286"/>
      <c r="AR142" s="303"/>
      <c r="AS142" s="286"/>
      <c r="AT142" s="303"/>
      <c r="AU142" s="79">
        <f>G142/AW142</f>
        <v>93.642979452054931</v>
      </c>
      <c r="AV142">
        <f>B142/D142</f>
        <v>7.3451327433628313</v>
      </c>
      <c r="AW142">
        <f>VLOOKUP(AV142,$CB$102:$CC$271,2)</f>
        <v>0.37375999999999948</v>
      </c>
      <c r="AZ142">
        <f>0.5*(B142-B141)*AU142</f>
        <v>3839.3621575342522</v>
      </c>
      <c r="BB142" s="117">
        <f>B142</f>
        <v>83</v>
      </c>
      <c r="BC142" s="117">
        <f>G142/AD142</f>
        <v>0.83333333333333337</v>
      </c>
      <c r="BD142" s="117">
        <v>0.7857142857142857</v>
      </c>
      <c r="BE142" s="112">
        <v>11</v>
      </c>
      <c r="BF142" s="112">
        <f>BE142/AD142</f>
        <v>0.26190476190476192</v>
      </c>
      <c r="BG142" s="112">
        <v>15</v>
      </c>
      <c r="BH142" s="112">
        <f>BG142/AD142</f>
        <v>0.35714285714285715</v>
      </c>
      <c r="BI142" s="112">
        <v>9</v>
      </c>
      <c r="BJ142" s="112">
        <f>BI142/AD142</f>
        <v>0.21428571428571427</v>
      </c>
      <c r="CB142">
        <v>7.9999999999999902</v>
      </c>
      <c r="CC142">
        <f t="shared" si="53"/>
        <v>0.41559999999999947</v>
      </c>
      <c r="CG142">
        <v>42</v>
      </c>
      <c r="CH142">
        <f t="shared" si="54"/>
        <v>0.37799999999999995</v>
      </c>
      <c r="CJ142">
        <v>42</v>
      </c>
      <c r="CL142">
        <f t="shared" si="42"/>
        <v>0.126</v>
      </c>
      <c r="CM142">
        <f t="shared" si="43"/>
        <v>0.68399999999999994</v>
      </c>
      <c r="CN142">
        <f t="shared" si="55"/>
        <v>0.19979999999999998</v>
      </c>
      <c r="CO142">
        <f t="shared" si="44"/>
        <v>0.80999999999999994</v>
      </c>
      <c r="CP142">
        <f t="shared" si="45"/>
        <v>0.88379999999999992</v>
      </c>
      <c r="CR142">
        <v>0.21</v>
      </c>
      <c r="CS142">
        <v>0.5</v>
      </c>
      <c r="CT142">
        <v>0.28000000000000003</v>
      </c>
      <c r="CU142">
        <f t="shared" si="46"/>
        <v>0.71</v>
      </c>
      <c r="CV142">
        <f t="shared" si="47"/>
        <v>0.78</v>
      </c>
    </row>
    <row r="143" spans="1:100" x14ac:dyDescent="0.25">
      <c r="A143">
        <v>2012</v>
      </c>
      <c r="B143">
        <f t="shared" si="24"/>
        <v>113</v>
      </c>
      <c r="C143" s="109">
        <v>41021</v>
      </c>
      <c r="D143">
        <v>14.7</v>
      </c>
      <c r="E143">
        <f>VLOOKUP(C143,'Historic Daily flows'!$A$1:$B$37941,2)</f>
        <v>17.2</v>
      </c>
      <c r="G143" s="77">
        <v>39</v>
      </c>
      <c r="AB143" s="61">
        <f>((B143-B142)*G143)-((B143-B142)*(G143-G142)*0.5)</f>
        <v>1110</v>
      </c>
      <c r="AD143">
        <f>AD144</f>
        <v>42</v>
      </c>
      <c r="AG143" s="171">
        <f t="shared" si="52"/>
        <v>70.909090909090907</v>
      </c>
      <c r="AH143" s="108">
        <f t="shared" si="25"/>
        <v>0.55000000000000004</v>
      </c>
      <c r="AI143" s="108"/>
      <c r="AJ143" s="108">
        <f>((B143-B142)*AG143)-((B143-B142)*(AG143-AG142)*0.5)</f>
        <v>2018.181818181818</v>
      </c>
      <c r="AK143" s="249"/>
      <c r="AL143" s="77">
        <f t="shared" si="56"/>
        <v>76.36363636363636</v>
      </c>
      <c r="AM143" s="73"/>
      <c r="AN143" s="108"/>
      <c r="AO143" s="286"/>
      <c r="AP143" s="303"/>
      <c r="AQ143" s="286"/>
      <c r="AR143" s="303"/>
      <c r="AS143" s="286"/>
      <c r="AT143" s="303"/>
      <c r="AU143" s="79">
        <f>G143/AW143</f>
        <v>98.814229249012001</v>
      </c>
      <c r="AV143">
        <f>B143/D143</f>
        <v>7.6870748299319729</v>
      </c>
      <c r="AW143">
        <f>VLOOKUP(AV143,$CB$102:$CC$271,2)</f>
        <v>0.39467999999999942</v>
      </c>
      <c r="AZ143">
        <f>((B143-B142)*AU143)-((B143-B142)*(AU143-AU142)*0.5)</f>
        <v>2886.8581305160042</v>
      </c>
      <c r="BB143" s="117">
        <f>B143</f>
        <v>113</v>
      </c>
      <c r="BC143" s="117">
        <f>G143/AD143</f>
        <v>0.9285714285714286</v>
      </c>
      <c r="BD143" s="117">
        <v>0.90476190476190477</v>
      </c>
      <c r="BE143" s="112">
        <v>9</v>
      </c>
      <c r="BF143" s="112">
        <f>BE143/AD143</f>
        <v>0.21428571428571427</v>
      </c>
      <c r="BG143" s="112">
        <v>21</v>
      </c>
      <c r="BH143" s="112">
        <f>BG143/AD143</f>
        <v>0.5</v>
      </c>
      <c r="BI143" s="112">
        <v>9</v>
      </c>
      <c r="BJ143" s="112">
        <f>BI143/AD143</f>
        <v>0.21428571428571427</v>
      </c>
      <c r="CB143">
        <v>8.1999999999999904</v>
      </c>
      <c r="CC143">
        <f t="shared" si="53"/>
        <v>0.42605999999999949</v>
      </c>
      <c r="CG143">
        <v>43</v>
      </c>
      <c r="CH143">
        <f t="shared" si="54"/>
        <v>0.38699999999999996</v>
      </c>
      <c r="CJ143">
        <v>43</v>
      </c>
      <c r="CL143">
        <f t="shared" si="42"/>
        <v>0.129</v>
      </c>
      <c r="CM143">
        <f t="shared" si="43"/>
        <v>0.68010000000000004</v>
      </c>
      <c r="CN143">
        <f t="shared" si="55"/>
        <v>0.19999999999999998</v>
      </c>
      <c r="CO143">
        <f t="shared" si="44"/>
        <v>0.80910000000000004</v>
      </c>
      <c r="CP143">
        <f t="shared" si="45"/>
        <v>0.88009999999999999</v>
      </c>
      <c r="CR143">
        <v>0.21</v>
      </c>
      <c r="CS143">
        <v>0.5</v>
      </c>
      <c r="CT143">
        <v>0.28000000000000003</v>
      </c>
      <c r="CU143">
        <f t="shared" si="46"/>
        <v>0.71</v>
      </c>
      <c r="CV143">
        <f t="shared" si="47"/>
        <v>0.78</v>
      </c>
    </row>
    <row r="144" spans="1:100" x14ac:dyDescent="0.25">
      <c r="A144">
        <v>2012</v>
      </c>
      <c r="B144">
        <f t="shared" si="24"/>
        <v>128</v>
      </c>
      <c r="C144" s="109">
        <v>41036</v>
      </c>
      <c r="D144">
        <v>10.9</v>
      </c>
      <c r="E144">
        <f>VLOOKUP(C144,'Historic Daily flows'!$A$1:$B$37941,2)</f>
        <v>13.2</v>
      </c>
      <c r="G144" s="77">
        <v>42</v>
      </c>
      <c r="AB144" s="61">
        <f>((B144-B143)*G144)-((B144-B143)*(G144-G143)*0.5)</f>
        <v>607.5</v>
      </c>
      <c r="AD144">
        <f>AD146</f>
        <v>42</v>
      </c>
      <c r="AG144" s="171">
        <f t="shared" si="52"/>
        <v>76.36363636363636</v>
      </c>
      <c r="AH144" s="108">
        <f t="shared" si="25"/>
        <v>0.55000000000000004</v>
      </c>
      <c r="AI144" s="108"/>
      <c r="AJ144" s="108">
        <f>0.5*(B144-B143)*AG143</f>
        <v>531.81818181818176</v>
      </c>
      <c r="AK144" s="249"/>
      <c r="AL144" s="77">
        <f t="shared" si="56"/>
        <v>76.36363636363636</v>
      </c>
      <c r="AM144" s="73"/>
      <c r="AN144" s="108"/>
      <c r="AO144" s="286"/>
      <c r="AP144" s="303"/>
      <c r="AQ144" s="286"/>
      <c r="AR144" s="303"/>
      <c r="AS144" s="286"/>
      <c r="AT144" s="303"/>
      <c r="AU144" s="79">
        <f>G144/AW144</f>
        <v>69.550241769888061</v>
      </c>
      <c r="AV144">
        <f>B144/D144</f>
        <v>11.743119266055045</v>
      </c>
      <c r="AW144">
        <f>VLOOKUP(AV144,$CB$102:$CC$271,2)</f>
        <v>0.60387999999999997</v>
      </c>
      <c r="AZ144">
        <f>((B144-B143)*AU144)-((B144-B143)*(AU144-AU143)*0.5)</f>
        <v>1262.7335326417503</v>
      </c>
      <c r="BB144" s="117">
        <f>B144</f>
        <v>128</v>
      </c>
      <c r="BC144" s="117">
        <f>G144/AD144</f>
        <v>1</v>
      </c>
      <c r="BD144" s="117">
        <v>1</v>
      </c>
      <c r="BE144" s="112">
        <v>5</v>
      </c>
      <c r="BF144" s="112">
        <f>BE144/AD144</f>
        <v>0.11904761904761904</v>
      </c>
      <c r="BG144" s="112">
        <v>15</v>
      </c>
      <c r="BH144" s="112">
        <f>BG144/AD144</f>
        <v>0.35714285714285715</v>
      </c>
      <c r="BI144" s="112">
        <v>26</v>
      </c>
      <c r="BJ144" s="112">
        <f>BI144/AD144</f>
        <v>0.61904761904761907</v>
      </c>
      <c r="CB144">
        <v>8.3999999999999897</v>
      </c>
      <c r="CC144">
        <f t="shared" si="53"/>
        <v>0.43651999999999941</v>
      </c>
      <c r="CG144">
        <v>44</v>
      </c>
      <c r="CH144">
        <f t="shared" si="54"/>
        <v>0.39599999999999996</v>
      </c>
      <c r="CJ144">
        <v>44</v>
      </c>
      <c r="CL144">
        <f t="shared" si="42"/>
        <v>0.13200000000000001</v>
      </c>
      <c r="CM144">
        <f t="shared" si="43"/>
        <v>0.67620000000000002</v>
      </c>
      <c r="CN144">
        <f t="shared" si="55"/>
        <v>0.20019999999999999</v>
      </c>
      <c r="CO144">
        <f t="shared" si="44"/>
        <v>0.80820000000000003</v>
      </c>
      <c r="CP144">
        <f t="shared" si="45"/>
        <v>0.87640000000000007</v>
      </c>
      <c r="CR144">
        <v>0.21</v>
      </c>
      <c r="CS144">
        <v>0.5</v>
      </c>
      <c r="CT144">
        <v>0.28000000000000003</v>
      </c>
      <c r="CU144">
        <f t="shared" si="46"/>
        <v>0.71</v>
      </c>
      <c r="CV144">
        <f t="shared" si="47"/>
        <v>0.78</v>
      </c>
    </row>
    <row r="145" spans="1:100" x14ac:dyDescent="0.25">
      <c r="A145">
        <v>2012</v>
      </c>
      <c r="B145">
        <f t="shared" ref="B145:B173" si="57">C145-DATE(YEAR(C145),1,1)+1</f>
        <v>146</v>
      </c>
      <c r="C145" s="109">
        <v>41054</v>
      </c>
      <c r="E145">
        <f>VLOOKUP(C145,'Historic Daily flows'!$A$1:$B$37941,2)</f>
        <v>10.4</v>
      </c>
      <c r="G145" s="77">
        <v>27</v>
      </c>
      <c r="AB145" s="61">
        <f>0.5*(B146-B145)*G145</f>
        <v>81</v>
      </c>
      <c r="AD145">
        <v>42</v>
      </c>
      <c r="AG145" s="171">
        <f t="shared" si="52"/>
        <v>49.090909090909086</v>
      </c>
      <c r="AH145" s="108">
        <f t="shared" si="25"/>
        <v>0.55000000000000004</v>
      </c>
      <c r="AI145" s="108"/>
      <c r="AJ145" s="108">
        <f>((B145-B144)*AG145)-((B145-B144)*(AG145-AG144)*0.5)</f>
        <v>1129.090909090909</v>
      </c>
      <c r="AK145" s="249"/>
      <c r="AL145" s="77">
        <f t="shared" si="56"/>
        <v>76.36363636363636</v>
      </c>
      <c r="AM145" s="73"/>
      <c r="AN145" s="108"/>
      <c r="AO145" s="286"/>
      <c r="AP145" s="303"/>
      <c r="AQ145" s="286"/>
      <c r="AR145" s="303"/>
      <c r="AS145" s="286"/>
      <c r="AT145" s="303"/>
      <c r="BE145" s="112">
        <v>6</v>
      </c>
      <c r="BF145" s="112">
        <f>BE145/AD145</f>
        <v>0.14285714285714285</v>
      </c>
      <c r="BG145" s="112">
        <v>6</v>
      </c>
      <c r="BH145" s="112">
        <f>BG145/AD145</f>
        <v>0.14285714285714285</v>
      </c>
      <c r="BI145" s="112">
        <v>15</v>
      </c>
      <c r="BJ145" s="112">
        <f>BI145/AD145</f>
        <v>0.35714285714285715</v>
      </c>
      <c r="CL145">
        <f t="shared" si="42"/>
        <v>0</v>
      </c>
      <c r="CM145">
        <f t="shared" si="43"/>
        <v>0.8478</v>
      </c>
      <c r="CN145">
        <f t="shared" si="55"/>
        <v>0.19139999999999999</v>
      </c>
      <c r="CO145">
        <f t="shared" si="44"/>
        <v>0.8478</v>
      </c>
      <c r="CP145">
        <f t="shared" si="45"/>
        <v>1.0391999999999999</v>
      </c>
      <c r="CR145">
        <v>0.21</v>
      </c>
      <c r="CS145">
        <v>0.5</v>
      </c>
      <c r="CT145">
        <v>0.28000000000000003</v>
      </c>
      <c r="CU145">
        <f t="shared" si="46"/>
        <v>0.71</v>
      </c>
      <c r="CV145">
        <f t="shared" si="47"/>
        <v>0.78</v>
      </c>
    </row>
    <row r="146" spans="1:100" x14ac:dyDescent="0.25">
      <c r="A146">
        <v>2012</v>
      </c>
      <c r="B146">
        <f t="shared" si="57"/>
        <v>152</v>
      </c>
      <c r="C146" s="109">
        <v>41060</v>
      </c>
      <c r="E146">
        <f>VLOOKUP(C146,'Historic Daily flows'!$A$1:$B$37941,2)</f>
        <v>11.6</v>
      </c>
      <c r="G146" s="77">
        <v>0</v>
      </c>
      <c r="AC146">
        <f>AF146/$AF$1</f>
        <v>64.67</v>
      </c>
      <c r="AD146">
        <f>MAX(G141:G146)</f>
        <v>42</v>
      </c>
      <c r="AE146" s="73">
        <f>AC146/AD146</f>
        <v>1.5397619047619049</v>
      </c>
      <c r="AF146" s="279">
        <f>SUM(AB142:AB146)</f>
        <v>3233.5</v>
      </c>
      <c r="AG146" s="171">
        <f t="shared" si="52"/>
        <v>0</v>
      </c>
      <c r="AH146" s="108">
        <f t="shared" si="25"/>
        <v>0.55000000000000004</v>
      </c>
      <c r="AI146" s="108"/>
      <c r="AJ146" s="108">
        <f>0.5*(B146-B145)*AG145</f>
        <v>147.27272727272725</v>
      </c>
      <c r="AK146" s="248">
        <f>AN146/$AN$1</f>
        <v>128.70909090909089</v>
      </c>
      <c r="AL146" s="77">
        <f t="shared" si="56"/>
        <v>76.36363636363636</v>
      </c>
      <c r="AM146" s="73">
        <f>AK146/AL146</f>
        <v>1.6854761904761904</v>
      </c>
      <c r="AN146" s="108">
        <f>SUM(AJ142:AJ146)</f>
        <v>6435.454545454545</v>
      </c>
      <c r="AO146" s="286">
        <v>165</v>
      </c>
      <c r="AP146" s="303">
        <v>3.93</v>
      </c>
      <c r="AQ146" s="290">
        <f>AO146</f>
        <v>165</v>
      </c>
      <c r="AR146" s="303">
        <v>392</v>
      </c>
      <c r="AS146" s="286">
        <v>9.34</v>
      </c>
      <c r="AT146" s="303">
        <f>AL146*$AS$188</f>
        <v>0</v>
      </c>
      <c r="AU146" s="79">
        <v>0</v>
      </c>
      <c r="AX146">
        <f>BA146/$BA$1</f>
        <v>176.47113443861326</v>
      </c>
      <c r="AY146" s="61">
        <f>AX146/AD146</f>
        <v>4.2016936771098399</v>
      </c>
      <c r="AZ146">
        <f>0.5*(B146-B144)*AU144</f>
        <v>834.60290123865673</v>
      </c>
      <c r="BA146" s="78">
        <f>SUM(AZ142:AZ146)</f>
        <v>8823.5567219306631</v>
      </c>
      <c r="CB146">
        <v>8.5999999999999908</v>
      </c>
      <c r="CC146">
        <f t="shared" si="53"/>
        <v>0.44697999999999949</v>
      </c>
      <c r="CG146">
        <v>45</v>
      </c>
      <c r="CH146">
        <f t="shared" si="54"/>
        <v>0.40499999999999997</v>
      </c>
      <c r="CJ146">
        <v>45</v>
      </c>
      <c r="CL146">
        <f t="shared" si="42"/>
        <v>0.13500000000000001</v>
      </c>
      <c r="CM146">
        <f t="shared" si="43"/>
        <v>0.67230000000000001</v>
      </c>
      <c r="CN146">
        <f t="shared" si="55"/>
        <v>0.20039999999999999</v>
      </c>
      <c r="CO146">
        <f t="shared" si="44"/>
        <v>0.80730000000000002</v>
      </c>
      <c r="CP146">
        <f t="shared" si="45"/>
        <v>0.87270000000000003</v>
      </c>
      <c r="CR146">
        <v>0.21</v>
      </c>
      <c r="CS146">
        <v>0.5</v>
      </c>
      <c r="CT146">
        <v>0.28000000000000003</v>
      </c>
      <c r="CU146">
        <f t="shared" si="46"/>
        <v>0.71</v>
      </c>
      <c r="CV146">
        <f t="shared" si="47"/>
        <v>0.78</v>
      </c>
    </row>
    <row r="147" spans="1:100" s="172" customFormat="1" x14ac:dyDescent="0.25">
      <c r="A147" s="172">
        <v>2013</v>
      </c>
      <c r="B147" s="172">
        <f t="shared" si="57"/>
        <v>1</v>
      </c>
      <c r="C147" s="191">
        <v>41275</v>
      </c>
      <c r="E147" s="172">
        <f>VLOOKUP(C147,'Historic Daily flows'!$A$1:$B$37941,2)</f>
        <v>7.47</v>
      </c>
      <c r="G147" s="192">
        <v>0</v>
      </c>
      <c r="H147" s="193"/>
      <c r="P147" s="194"/>
      <c r="Q147" s="193"/>
      <c r="Y147" s="195"/>
      <c r="AA147" s="195"/>
      <c r="AB147" s="183"/>
      <c r="AD147" s="172">
        <f t="shared" ref="AD147:AD152" si="58">AD148</f>
        <v>93</v>
      </c>
      <c r="AE147" s="206"/>
      <c r="AF147" s="196"/>
      <c r="AG147" s="171">
        <f t="shared" ref="AG147:AG168" si="59">G147/AH147</f>
        <v>0</v>
      </c>
      <c r="AH147" s="174">
        <f t="shared" si="25"/>
        <v>0.55000000000000004</v>
      </c>
      <c r="AI147" s="174"/>
      <c r="AJ147" s="174"/>
      <c r="AK147" s="249"/>
      <c r="AL147" s="192">
        <f>MAX($G$147:$G$153)/AH147</f>
        <v>169.09090909090907</v>
      </c>
      <c r="AM147" s="206"/>
      <c r="AN147" s="174"/>
      <c r="AO147" s="286"/>
      <c r="AP147" s="303"/>
      <c r="AQ147" s="286"/>
      <c r="AR147" s="303"/>
      <c r="AS147" s="286"/>
      <c r="AT147" s="303"/>
      <c r="AU147" s="197">
        <v>0</v>
      </c>
      <c r="AY147" s="183"/>
      <c r="BA147" s="196"/>
      <c r="CB147" s="172">
        <v>8.7999999999999901</v>
      </c>
      <c r="CC147" s="172">
        <f t="shared" si="53"/>
        <v>0.45743999999999946</v>
      </c>
      <c r="CG147" s="172">
        <v>46</v>
      </c>
      <c r="CH147" s="172">
        <f t="shared" si="54"/>
        <v>0.41399999999999998</v>
      </c>
      <c r="CJ147" s="172">
        <v>46</v>
      </c>
      <c r="CL147" s="172">
        <f t="shared" si="42"/>
        <v>0.13800000000000001</v>
      </c>
      <c r="CM147" s="172">
        <f t="shared" si="43"/>
        <v>0.66839999999999999</v>
      </c>
      <c r="CN147" s="172">
        <f t="shared" si="55"/>
        <v>0.2006</v>
      </c>
      <c r="CO147" s="172">
        <f t="shared" si="44"/>
        <v>0.80640000000000001</v>
      </c>
      <c r="CP147" s="172">
        <f t="shared" si="45"/>
        <v>0.86899999999999999</v>
      </c>
      <c r="CR147" s="172">
        <v>0.21</v>
      </c>
      <c r="CS147" s="172">
        <v>0.5</v>
      </c>
      <c r="CT147" s="172">
        <v>0.28000000000000003</v>
      </c>
      <c r="CU147" s="172">
        <f t="shared" si="46"/>
        <v>0.71</v>
      </c>
      <c r="CV147" s="172">
        <f t="shared" si="47"/>
        <v>0.78</v>
      </c>
    </row>
    <row r="148" spans="1:100" s="172" customFormat="1" x14ac:dyDescent="0.25">
      <c r="A148" s="172">
        <v>2013</v>
      </c>
      <c r="B148" s="172">
        <f t="shared" si="57"/>
        <v>85</v>
      </c>
      <c r="C148" s="191">
        <v>41359</v>
      </c>
      <c r="D148" s="172">
        <v>9.5</v>
      </c>
      <c r="E148" s="172">
        <f>VLOOKUP(C148,'Historic Daily flows'!$A$1:$B$37941,2)</f>
        <v>8.6999999999999993</v>
      </c>
      <c r="G148" s="192">
        <v>84</v>
      </c>
      <c r="H148" s="193"/>
      <c r="P148" s="194"/>
      <c r="Q148" s="193"/>
      <c r="Y148" s="195"/>
      <c r="AA148" s="195"/>
      <c r="AB148" s="183">
        <f>0.5*(B148-B147)*G148</f>
        <v>3528</v>
      </c>
      <c r="AD148" s="172">
        <f t="shared" si="58"/>
        <v>93</v>
      </c>
      <c r="AE148" s="206"/>
      <c r="AF148" s="196"/>
      <c r="AG148" s="171">
        <f t="shared" si="59"/>
        <v>152.72727272727272</v>
      </c>
      <c r="AH148" s="174">
        <f t="shared" si="25"/>
        <v>0.55000000000000004</v>
      </c>
      <c r="AI148" s="174"/>
      <c r="AJ148" s="174">
        <f>0.5*($B148-$B147)*$AG148</f>
        <v>6414.545454545454</v>
      </c>
      <c r="AK148" s="249"/>
      <c r="AL148" s="192">
        <f t="shared" ref="AL148:AL153" si="60">MAX($G$147:$G$153)/AH148</f>
        <v>169.09090909090907</v>
      </c>
      <c r="AM148" s="206"/>
      <c r="AN148" s="174"/>
      <c r="AO148" s="286"/>
      <c r="AP148" s="303"/>
      <c r="AQ148" s="286"/>
      <c r="AR148" s="303"/>
      <c r="AS148" s="286"/>
      <c r="AT148" s="303"/>
      <c r="AU148" s="197">
        <f>G148/AW148</f>
        <v>183.63064008394565</v>
      </c>
      <c r="AV148" s="172">
        <f>B148/D148</f>
        <v>8.9473684210526319</v>
      </c>
      <c r="AW148" s="172">
        <f>VLOOKUP(AV148,$CB$102:$CC$271,2)</f>
        <v>0.45743999999999946</v>
      </c>
      <c r="AY148" s="183"/>
      <c r="AZ148" s="172">
        <f>0.5*(B148-B147)*AU148</f>
        <v>7712.4868835257175</v>
      </c>
      <c r="BA148" s="196"/>
      <c r="BB148" s="172">
        <f>B148</f>
        <v>85</v>
      </c>
      <c r="BC148" s="172">
        <f>G148/AD148</f>
        <v>0.90322580645161288</v>
      </c>
      <c r="BD148" s="172">
        <v>0.9438202247191011</v>
      </c>
      <c r="BE148" s="172">
        <v>22</v>
      </c>
      <c r="BF148" s="172">
        <f>BE148/AD148</f>
        <v>0.23655913978494625</v>
      </c>
      <c r="BG148" s="172">
        <v>42</v>
      </c>
      <c r="BH148" s="172">
        <f>BG148/AD148</f>
        <v>0.45161290322580644</v>
      </c>
      <c r="BI148" s="172">
        <v>20</v>
      </c>
      <c r="BJ148" s="172">
        <f>BI148/AD148</f>
        <v>0.21505376344086022</v>
      </c>
      <c r="CB148" s="172">
        <v>8.9999999999999893</v>
      </c>
      <c r="CC148" s="172">
        <f t="shared" si="53"/>
        <v>0.46789999999999943</v>
      </c>
      <c r="CG148" s="172">
        <v>47</v>
      </c>
      <c r="CH148" s="172">
        <f t="shared" si="54"/>
        <v>0.42299999999999999</v>
      </c>
      <c r="CJ148" s="172">
        <v>47</v>
      </c>
      <c r="CL148" s="172">
        <f t="shared" si="42"/>
        <v>0.14100000000000001</v>
      </c>
      <c r="CM148" s="172">
        <f t="shared" si="43"/>
        <v>0.66449999999999998</v>
      </c>
      <c r="CN148" s="172">
        <f t="shared" si="55"/>
        <v>0.20079999999999998</v>
      </c>
      <c r="CO148" s="172">
        <f t="shared" si="44"/>
        <v>0.80549999999999999</v>
      </c>
      <c r="CP148" s="172">
        <f t="shared" si="45"/>
        <v>0.86529999999999996</v>
      </c>
      <c r="CR148" s="172">
        <v>0.21</v>
      </c>
      <c r="CS148" s="172">
        <v>0.5</v>
      </c>
      <c r="CT148" s="172">
        <v>0.28000000000000003</v>
      </c>
      <c r="CU148" s="172">
        <f t="shared" si="46"/>
        <v>0.71</v>
      </c>
      <c r="CV148" s="172">
        <f t="shared" si="47"/>
        <v>0.78</v>
      </c>
    </row>
    <row r="149" spans="1:100" s="172" customFormat="1" x14ac:dyDescent="0.25">
      <c r="A149" s="172">
        <v>2013</v>
      </c>
      <c r="B149" s="172">
        <f t="shared" si="57"/>
        <v>86</v>
      </c>
      <c r="C149" s="191">
        <v>41360</v>
      </c>
      <c r="D149" s="172">
        <v>8.8000000000000007</v>
      </c>
      <c r="E149" s="172">
        <f>VLOOKUP(C149,'Historic Daily flows'!$A$1:$B$37941,2)</f>
        <v>8.02</v>
      </c>
      <c r="G149" s="192">
        <v>87</v>
      </c>
      <c r="H149" s="193"/>
      <c r="P149" s="194"/>
      <c r="Q149" s="193"/>
      <c r="Y149" s="195"/>
      <c r="AA149" s="195"/>
      <c r="AB149" s="183">
        <f>((B149-B148)*G149)-((B149-B148)*(G149-G148)*0.5)</f>
        <v>85.5</v>
      </c>
      <c r="AD149" s="172">
        <f t="shared" si="58"/>
        <v>93</v>
      </c>
      <c r="AE149" s="206"/>
      <c r="AF149" s="196"/>
      <c r="AG149" s="171">
        <f t="shared" si="59"/>
        <v>158.18181818181816</v>
      </c>
      <c r="AH149" s="174">
        <f t="shared" si="25"/>
        <v>0.55000000000000004</v>
      </c>
      <c r="AI149" s="174"/>
      <c r="AJ149" s="174">
        <f>((B149-B148)*AG149)-((B149-B148)*(AG149-AG148)*0.5)</f>
        <v>155.45454545454544</v>
      </c>
      <c r="AK149" s="249"/>
      <c r="AL149" s="192">
        <f t="shared" si="60"/>
        <v>169.09090909090907</v>
      </c>
      <c r="AM149" s="206"/>
      <c r="AN149" s="174"/>
      <c r="AO149" s="286"/>
      <c r="AP149" s="303"/>
      <c r="AQ149" s="286"/>
      <c r="AR149" s="303"/>
      <c r="AS149" s="286"/>
      <c r="AT149" s="303"/>
      <c r="AU149" s="197">
        <f>G149/AW149</f>
        <v>174.25092132671062</v>
      </c>
      <c r="AV149" s="172">
        <f>B149/D149</f>
        <v>9.7727272727272716</v>
      </c>
      <c r="AW149" s="172">
        <f>VLOOKUP(AV149,$CB$102:$CC$271,2)</f>
        <v>0.4992799999999995</v>
      </c>
      <c r="AY149" s="183"/>
      <c r="AZ149" s="172">
        <f>((B149-B148)*AU149)-((B149-B148)*(AU149-AU148)*0.5)</f>
        <v>178.94078070532814</v>
      </c>
      <c r="BA149" s="196"/>
      <c r="BB149" s="172">
        <f>B149</f>
        <v>86</v>
      </c>
      <c r="BC149" s="172">
        <f>G149/AD149</f>
        <v>0.93548387096774188</v>
      </c>
      <c r="BD149" s="172">
        <v>0.97752808988764039</v>
      </c>
      <c r="BE149" s="172">
        <v>22</v>
      </c>
      <c r="BF149" s="172">
        <f>BE149/AD149</f>
        <v>0.23655913978494625</v>
      </c>
      <c r="BG149" s="172">
        <v>33</v>
      </c>
      <c r="BH149" s="172">
        <f>BG149/AD149</f>
        <v>0.35483870967741937</v>
      </c>
      <c r="BI149" s="172">
        <v>32</v>
      </c>
      <c r="BJ149" s="172">
        <f>BI149/AD149</f>
        <v>0.34408602150537637</v>
      </c>
      <c r="CB149" s="172">
        <v>9.1999999999999904</v>
      </c>
      <c r="CC149" s="172">
        <f t="shared" si="53"/>
        <v>0.47835999999999945</v>
      </c>
      <c r="CG149" s="172">
        <v>48</v>
      </c>
      <c r="CH149" s="172">
        <f t="shared" si="54"/>
        <v>0.43199999999999994</v>
      </c>
      <c r="CJ149" s="172">
        <v>48</v>
      </c>
      <c r="CL149" s="172">
        <f t="shared" si="42"/>
        <v>0.14400000000000002</v>
      </c>
      <c r="CM149" s="172">
        <f t="shared" si="43"/>
        <v>0.66060000000000008</v>
      </c>
      <c r="CN149" s="172">
        <f t="shared" si="55"/>
        <v>0.20099999999999998</v>
      </c>
      <c r="CO149" s="172">
        <f t="shared" si="44"/>
        <v>0.80460000000000009</v>
      </c>
      <c r="CP149" s="172">
        <f t="shared" si="45"/>
        <v>0.86160000000000003</v>
      </c>
      <c r="CR149" s="172">
        <v>0.21</v>
      </c>
      <c r="CS149" s="172">
        <v>0.5</v>
      </c>
      <c r="CT149" s="172">
        <v>0.28000000000000003</v>
      </c>
      <c r="CU149" s="172">
        <f t="shared" si="46"/>
        <v>0.71</v>
      </c>
      <c r="CV149" s="172">
        <f t="shared" si="47"/>
        <v>0.78</v>
      </c>
    </row>
    <row r="150" spans="1:100" s="172" customFormat="1" x14ac:dyDescent="0.25">
      <c r="A150" s="172">
        <v>2013</v>
      </c>
      <c r="B150" s="172">
        <f t="shared" si="57"/>
        <v>107</v>
      </c>
      <c r="C150" s="191">
        <v>41381</v>
      </c>
      <c r="D150" s="172">
        <v>7.7</v>
      </c>
      <c r="E150" s="172">
        <f>VLOOKUP(C150,'Historic Daily flows'!$A$1:$B$37941,2)</f>
        <v>7.01</v>
      </c>
      <c r="G150" s="192">
        <v>93</v>
      </c>
      <c r="H150" s="193"/>
      <c r="P150" s="194"/>
      <c r="Q150" s="193"/>
      <c r="Y150" s="195"/>
      <c r="AA150" s="195"/>
      <c r="AB150" s="183">
        <f>((B150-B149)*G150)-((B150-B149)*(G150-G149)*0.5)</f>
        <v>1890</v>
      </c>
      <c r="AD150" s="172">
        <f t="shared" si="58"/>
        <v>93</v>
      </c>
      <c r="AE150" s="206"/>
      <c r="AF150" s="196"/>
      <c r="AG150" s="171">
        <f t="shared" si="59"/>
        <v>169.09090909090907</v>
      </c>
      <c r="AH150" s="174">
        <f t="shared" si="25"/>
        <v>0.55000000000000004</v>
      </c>
      <c r="AI150" s="174"/>
      <c r="AJ150" s="174">
        <f>((B150-B149)*AG150)-((B150-B149)*(AG150-AG149)*0.5)</f>
        <v>3436.363636363636</v>
      </c>
      <c r="AK150" s="249"/>
      <c r="AL150" s="192">
        <f t="shared" si="60"/>
        <v>169.09090909090907</v>
      </c>
      <c r="AM150" s="206"/>
      <c r="AN150" s="174"/>
      <c r="AO150" s="286"/>
      <c r="AP150" s="303"/>
      <c r="AQ150" s="286"/>
      <c r="AR150" s="303"/>
      <c r="AS150" s="286"/>
      <c r="AT150" s="303"/>
      <c r="AU150" s="197">
        <f>G150/AW150</f>
        <v>129.35710907725263</v>
      </c>
      <c r="AV150" s="172">
        <f>B150/D150</f>
        <v>13.896103896103895</v>
      </c>
      <c r="AW150" s="172">
        <f>VLOOKUP(AV150,$CB$102:$CC$271,2)</f>
        <v>0.71894000000000002</v>
      </c>
      <c r="AY150" s="183"/>
      <c r="AZ150" s="172">
        <f>((B150-B149)*AU150)-((B150-B149)*(AU150-AU149)*0.5)</f>
        <v>3187.8843192416143</v>
      </c>
      <c r="BA150" s="196"/>
      <c r="BB150" s="172">
        <f>B150</f>
        <v>107</v>
      </c>
      <c r="BC150" s="172">
        <f>G150/AD150</f>
        <v>1</v>
      </c>
      <c r="BD150" s="172">
        <v>1</v>
      </c>
      <c r="BE150" s="172">
        <v>14</v>
      </c>
      <c r="BF150" s="172">
        <f>BE150/AD150</f>
        <v>0.15053763440860216</v>
      </c>
      <c r="BG150" s="172">
        <v>36</v>
      </c>
      <c r="BH150" s="172">
        <f>BG150/AD150</f>
        <v>0.38709677419354838</v>
      </c>
      <c r="BI150" s="172">
        <v>43</v>
      </c>
      <c r="BJ150" s="172">
        <f>BI150/AD150</f>
        <v>0.46236559139784944</v>
      </c>
      <c r="CB150" s="172">
        <v>9.3999999999999897</v>
      </c>
      <c r="CC150" s="172">
        <f t="shared" si="53"/>
        <v>0.48881999999999942</v>
      </c>
      <c r="CG150" s="172">
        <v>49</v>
      </c>
      <c r="CH150" s="172">
        <f t="shared" si="54"/>
        <v>0.44099999999999995</v>
      </c>
      <c r="CJ150" s="172">
        <v>49</v>
      </c>
      <c r="CL150" s="172">
        <f t="shared" si="42"/>
        <v>0.14699999999999999</v>
      </c>
      <c r="CM150" s="172">
        <f t="shared" si="43"/>
        <v>0.65670000000000006</v>
      </c>
      <c r="CN150" s="172">
        <f t="shared" si="55"/>
        <v>0.20119999999999999</v>
      </c>
      <c r="CO150" s="172">
        <f t="shared" si="44"/>
        <v>0.80370000000000008</v>
      </c>
      <c r="CP150" s="172">
        <f t="shared" si="45"/>
        <v>0.85790000000000011</v>
      </c>
      <c r="CR150" s="172">
        <v>0.21</v>
      </c>
      <c r="CS150" s="172">
        <v>0.5</v>
      </c>
      <c r="CT150" s="172">
        <v>0.28000000000000003</v>
      </c>
      <c r="CU150" s="172">
        <f t="shared" si="46"/>
        <v>0.71</v>
      </c>
      <c r="CV150" s="172">
        <f t="shared" si="47"/>
        <v>0.78</v>
      </c>
    </row>
    <row r="151" spans="1:100" s="172" customFormat="1" x14ac:dyDescent="0.25">
      <c r="A151" s="172">
        <v>2013</v>
      </c>
      <c r="B151" s="172">
        <f t="shared" si="57"/>
        <v>115</v>
      </c>
      <c r="C151" s="191">
        <v>41389</v>
      </c>
      <c r="D151" s="172">
        <v>7.9</v>
      </c>
      <c r="E151" s="172">
        <f>VLOOKUP(C151,'Historic Daily flows'!$A$1:$B$37941,2)</f>
        <v>7.38</v>
      </c>
      <c r="G151" s="192">
        <v>89</v>
      </c>
      <c r="H151" s="193"/>
      <c r="P151" s="194"/>
      <c r="Q151" s="193"/>
      <c r="Y151" s="195"/>
      <c r="AA151" s="195"/>
      <c r="AB151" s="183">
        <f>((B151-B150)*G151)-((B151-B150)*(G151-G150)*0.5)</f>
        <v>728</v>
      </c>
      <c r="AD151" s="172">
        <f t="shared" si="58"/>
        <v>93</v>
      </c>
      <c r="AE151" s="206"/>
      <c r="AF151" s="196"/>
      <c r="AG151" s="171">
        <f t="shared" si="59"/>
        <v>161.81818181818181</v>
      </c>
      <c r="AH151" s="174">
        <f t="shared" ref="AH151:AH206" si="61">$AI$1</f>
        <v>0.55000000000000004</v>
      </c>
      <c r="AI151" s="174"/>
      <c r="AJ151" s="174">
        <f>((B151-B150)*AG151)-((B151-B150)*(AG151-AG150)*0.5)</f>
        <v>1323.6363636363635</v>
      </c>
      <c r="AK151" s="249"/>
      <c r="AL151" s="192">
        <f t="shared" si="60"/>
        <v>169.09090909090907</v>
      </c>
      <c r="AM151" s="206"/>
      <c r="AN151" s="174"/>
      <c r="AO151" s="286"/>
      <c r="AP151" s="303"/>
      <c r="AQ151" s="286"/>
      <c r="AR151" s="303"/>
      <c r="AS151" s="286"/>
      <c r="AT151" s="303"/>
      <c r="AU151" s="197">
        <f>G151/AW151</f>
        <v>118.61605714894978</v>
      </c>
      <c r="AV151" s="172">
        <f>B151/D151</f>
        <v>14.556962025316455</v>
      </c>
      <c r="AW151" s="172">
        <f>VLOOKUP(AV151,$CB$102:$CC$271,2)</f>
        <v>0.75031999999999999</v>
      </c>
      <c r="AY151" s="183"/>
      <c r="AZ151" s="172">
        <f>((B151-B150)*AU151)-((B151-B150)*(AU151-AU150)*0.5)</f>
        <v>991.89266490480964</v>
      </c>
      <c r="BA151" s="196"/>
      <c r="BB151" s="172">
        <f>B151</f>
        <v>115</v>
      </c>
      <c r="BC151" s="172">
        <f>G151/AD151</f>
        <v>0.956989247311828</v>
      </c>
      <c r="BD151" s="172">
        <v>1</v>
      </c>
      <c r="BE151" s="172">
        <v>32</v>
      </c>
      <c r="BF151" s="172">
        <f>BE151/AD151</f>
        <v>0.34408602150537637</v>
      </c>
      <c r="BG151" s="172">
        <v>25</v>
      </c>
      <c r="BH151" s="172">
        <f>BG151/AD151</f>
        <v>0.26881720430107525</v>
      </c>
      <c r="BI151" s="172">
        <v>32</v>
      </c>
      <c r="BJ151" s="172">
        <f>BI151/AD151</f>
        <v>0.34408602150537637</v>
      </c>
      <c r="CB151" s="172">
        <v>9.5999999999999908</v>
      </c>
      <c r="CC151" s="172">
        <f t="shared" si="53"/>
        <v>0.4992799999999995</v>
      </c>
      <c r="CG151" s="172">
        <v>50</v>
      </c>
      <c r="CH151" s="172">
        <f t="shared" si="54"/>
        <v>0.44999999999999996</v>
      </c>
      <c r="CJ151" s="172">
        <v>50</v>
      </c>
      <c r="CL151" s="172">
        <f t="shared" si="42"/>
        <v>0.15</v>
      </c>
      <c r="CM151" s="172">
        <f t="shared" si="43"/>
        <v>0.65280000000000005</v>
      </c>
      <c r="CN151" s="172">
        <f t="shared" si="55"/>
        <v>0.2014</v>
      </c>
      <c r="CO151" s="172">
        <f t="shared" si="44"/>
        <v>0.80280000000000007</v>
      </c>
      <c r="CP151" s="172">
        <f t="shared" si="45"/>
        <v>0.85420000000000007</v>
      </c>
      <c r="CR151" s="172">
        <v>0.21</v>
      </c>
      <c r="CS151" s="172">
        <v>0.5</v>
      </c>
      <c r="CT151" s="172">
        <v>0.28000000000000003</v>
      </c>
      <c r="CU151" s="172">
        <f t="shared" si="46"/>
        <v>0.71</v>
      </c>
      <c r="CV151" s="172">
        <f t="shared" si="47"/>
        <v>0.78</v>
      </c>
    </row>
    <row r="152" spans="1:100" s="172" customFormat="1" x14ac:dyDescent="0.25">
      <c r="A152" s="172">
        <v>2013</v>
      </c>
      <c r="B152" s="172">
        <f t="shared" si="57"/>
        <v>123</v>
      </c>
      <c r="C152" s="191">
        <v>41397</v>
      </c>
      <c r="D152" s="172">
        <v>6.2</v>
      </c>
      <c r="E152" s="172">
        <f>VLOOKUP(C152,'Historic Daily flows'!$A$1:$B$37941,2)</f>
        <v>5.62</v>
      </c>
      <c r="G152" s="192">
        <v>89</v>
      </c>
      <c r="H152" s="193"/>
      <c r="P152" s="194"/>
      <c r="Q152" s="193"/>
      <c r="Y152" s="195"/>
      <c r="AA152" s="195"/>
      <c r="AB152" s="183">
        <f>0.5*(B153-B152)*G152</f>
        <v>1246</v>
      </c>
      <c r="AD152" s="172">
        <f t="shared" si="58"/>
        <v>93</v>
      </c>
      <c r="AE152" s="206"/>
      <c r="AF152" s="196"/>
      <c r="AG152" s="171">
        <f t="shared" si="59"/>
        <v>161.81818181818181</v>
      </c>
      <c r="AH152" s="174">
        <f t="shared" si="61"/>
        <v>0.55000000000000004</v>
      </c>
      <c r="AI152" s="174"/>
      <c r="AJ152" s="174">
        <f>((B152-B151)*AG152)-((B152-B151)*(AG152-AG151)*0.5)</f>
        <v>1294.5454545454545</v>
      </c>
      <c r="AK152" s="249"/>
      <c r="AL152" s="192">
        <f t="shared" si="60"/>
        <v>169.09090909090907</v>
      </c>
      <c r="AM152" s="206"/>
      <c r="AN152" s="174"/>
      <c r="AO152" s="286"/>
      <c r="AP152" s="303"/>
      <c r="AQ152" s="286"/>
      <c r="AR152" s="303"/>
      <c r="AS152" s="286"/>
      <c r="AT152" s="303"/>
      <c r="AU152" s="197">
        <f>G152/AW152</f>
        <v>89</v>
      </c>
      <c r="AV152" s="172">
        <f>B152/D152</f>
        <v>19.838709677419356</v>
      </c>
      <c r="AW152" s="172">
        <f>VLOOKUP(AV152,$CB$102:$CC$271,2)</f>
        <v>1</v>
      </c>
      <c r="AY152" s="183"/>
      <c r="AZ152" s="172">
        <f>((B152-B151)*AU152)-((B152-B151)*(AU152-AU151)*0.5)</f>
        <v>830.46422859579911</v>
      </c>
      <c r="BA152" s="196"/>
      <c r="BB152" s="172">
        <f>B152</f>
        <v>123</v>
      </c>
      <c r="BC152" s="172">
        <f>G152/AD152</f>
        <v>0.956989247311828</v>
      </c>
      <c r="BD152" s="172">
        <v>1</v>
      </c>
      <c r="BE152" s="172">
        <v>45</v>
      </c>
      <c r="BF152" s="172">
        <f>BE152/AD152</f>
        <v>0.4838709677419355</v>
      </c>
      <c r="BG152" s="172">
        <v>24</v>
      </c>
      <c r="BH152" s="172">
        <f>BG152/AD152</f>
        <v>0.25806451612903225</v>
      </c>
      <c r="BI152" s="172">
        <v>20</v>
      </c>
      <c r="BJ152" s="172">
        <f>BI152/AD152</f>
        <v>0.21505376344086022</v>
      </c>
      <c r="CB152" s="172">
        <v>9.7999999999999901</v>
      </c>
      <c r="CC152" s="172">
        <f t="shared" si="53"/>
        <v>0.50973999999999942</v>
      </c>
      <c r="CG152" s="172">
        <v>51</v>
      </c>
      <c r="CH152" s="172">
        <f t="shared" si="54"/>
        <v>0.45899999999999996</v>
      </c>
      <c r="CJ152" s="172">
        <v>51</v>
      </c>
      <c r="CL152" s="172">
        <f t="shared" si="42"/>
        <v>0.153</v>
      </c>
      <c r="CM152" s="172">
        <f t="shared" si="43"/>
        <v>0.64890000000000003</v>
      </c>
      <c r="CN152" s="172">
        <f t="shared" si="55"/>
        <v>0.2016</v>
      </c>
      <c r="CO152" s="172">
        <f t="shared" si="44"/>
        <v>0.80190000000000006</v>
      </c>
      <c r="CP152" s="172">
        <f t="shared" si="45"/>
        <v>0.85050000000000003</v>
      </c>
      <c r="CR152" s="172">
        <v>0.21</v>
      </c>
      <c r="CS152" s="172">
        <v>0.5</v>
      </c>
      <c r="CT152" s="172">
        <v>0.28000000000000003</v>
      </c>
      <c r="CU152" s="172">
        <f t="shared" si="46"/>
        <v>0.71</v>
      </c>
      <c r="CV152" s="172">
        <f t="shared" si="47"/>
        <v>0.78</v>
      </c>
    </row>
    <row r="153" spans="1:100" s="172" customFormat="1" x14ac:dyDescent="0.25">
      <c r="A153" s="172">
        <v>2013</v>
      </c>
      <c r="B153" s="172">
        <f t="shared" si="57"/>
        <v>151</v>
      </c>
      <c r="C153" s="191">
        <v>41425</v>
      </c>
      <c r="E153" s="172">
        <f>VLOOKUP(C153,'Historic Daily flows'!$A$1:$B$37941,2)</f>
        <v>10.5</v>
      </c>
      <c r="G153" s="192">
        <v>0</v>
      </c>
      <c r="H153" s="193"/>
      <c r="P153" s="194"/>
      <c r="Q153" s="193"/>
      <c r="Y153" s="195"/>
      <c r="AA153" s="195"/>
      <c r="AB153" s="183"/>
      <c r="AC153" s="172">
        <f>AF153/$AF$1</f>
        <v>149.55000000000001</v>
      </c>
      <c r="AD153" s="172">
        <f>MAX(G147:G153)</f>
        <v>93</v>
      </c>
      <c r="AE153" s="206">
        <f>AC153/AD153</f>
        <v>1.6080645161290323</v>
      </c>
      <c r="AF153" s="280">
        <f>SUM(AB148:AB153)</f>
        <v>7477.5</v>
      </c>
      <c r="AG153" s="171">
        <f t="shared" si="59"/>
        <v>0</v>
      </c>
      <c r="AH153" s="174">
        <f t="shared" si="61"/>
        <v>0.55000000000000004</v>
      </c>
      <c r="AI153" s="174"/>
      <c r="AJ153" s="174">
        <f>0.5*(B153-B152)*AG152</f>
        <v>2265.4545454545455</v>
      </c>
      <c r="AK153" s="249">
        <f>AN153/$AN$1</f>
        <v>297.8</v>
      </c>
      <c r="AL153" s="192">
        <f t="shared" si="60"/>
        <v>169.09090909090907</v>
      </c>
      <c r="AM153" s="206">
        <f>AK153/AL153</f>
        <v>1.761182795698925</v>
      </c>
      <c r="AN153" s="174">
        <f>SUM(AJ148:AJ153)</f>
        <v>14890</v>
      </c>
      <c r="AO153" s="286">
        <v>124</v>
      </c>
      <c r="AP153" s="303">
        <v>1.39</v>
      </c>
      <c r="AQ153" s="290">
        <f>AO153</f>
        <v>124</v>
      </c>
      <c r="AR153" s="303">
        <v>834</v>
      </c>
      <c r="AS153" s="286">
        <v>9.3699999999999992</v>
      </c>
      <c r="AT153" s="303">
        <f>AL153*$AS$188</f>
        <v>0</v>
      </c>
      <c r="AU153" s="197">
        <v>0</v>
      </c>
      <c r="AX153" s="172">
        <f>BA153/$BA$1</f>
        <v>149.22999999999999</v>
      </c>
      <c r="AY153" s="183">
        <f>AX153/AD153</f>
        <v>1.6046236559139784</v>
      </c>
      <c r="AZ153" s="172">
        <f>0.5*(B153-B152)*AU152</f>
        <v>1246</v>
      </c>
      <c r="BA153" s="196">
        <v>7461.5</v>
      </c>
      <c r="CB153" s="172">
        <v>9.9999999999999893</v>
      </c>
      <c r="CC153" s="172">
        <f t="shared" si="53"/>
        <v>0.52019999999999944</v>
      </c>
      <c r="CG153" s="172">
        <v>52</v>
      </c>
      <c r="CH153" s="172">
        <f t="shared" si="54"/>
        <v>0.46799999999999997</v>
      </c>
      <c r="CJ153" s="172">
        <v>52</v>
      </c>
      <c r="CL153" s="172">
        <f t="shared" si="42"/>
        <v>0.156</v>
      </c>
      <c r="CM153" s="172">
        <f t="shared" si="43"/>
        <v>0.64500000000000002</v>
      </c>
      <c r="CN153" s="172">
        <f t="shared" si="55"/>
        <v>0.20179999999999998</v>
      </c>
      <c r="CO153" s="172">
        <f t="shared" si="44"/>
        <v>0.80100000000000005</v>
      </c>
      <c r="CP153" s="172">
        <f t="shared" si="45"/>
        <v>0.8468</v>
      </c>
      <c r="CR153" s="172">
        <v>0.21</v>
      </c>
      <c r="CS153" s="172">
        <v>0.5</v>
      </c>
      <c r="CT153" s="172">
        <v>0.28000000000000003</v>
      </c>
      <c r="CU153" s="172">
        <f t="shared" si="46"/>
        <v>0.71</v>
      </c>
      <c r="CV153" s="172">
        <f t="shared" si="47"/>
        <v>0.78</v>
      </c>
    </row>
    <row r="154" spans="1:100" x14ac:dyDescent="0.25">
      <c r="A154">
        <v>2014</v>
      </c>
      <c r="B154">
        <f t="shared" si="57"/>
        <v>1</v>
      </c>
      <c r="C154" s="109">
        <v>41275</v>
      </c>
      <c r="G154" s="77">
        <v>0</v>
      </c>
      <c r="AD154">
        <f>AD155</f>
        <v>68</v>
      </c>
      <c r="AG154" s="171">
        <f t="shared" si="59"/>
        <v>0</v>
      </c>
      <c r="AH154" s="108">
        <f t="shared" si="61"/>
        <v>0.55000000000000004</v>
      </c>
      <c r="AI154" s="108"/>
      <c r="AJ154" s="108"/>
      <c r="AK154" s="249"/>
      <c r="AL154" s="77">
        <f>MAX($G$154:$G$158)/AH154</f>
        <v>123.63636363636363</v>
      </c>
      <c r="AM154" s="73"/>
      <c r="AN154" s="108"/>
      <c r="AO154" s="286"/>
      <c r="AP154" s="303"/>
      <c r="AQ154" s="286"/>
      <c r="AR154" s="303"/>
      <c r="AS154" s="286"/>
      <c r="AT154" s="303"/>
      <c r="AU154" s="79">
        <v>0</v>
      </c>
      <c r="CB154">
        <v>10.199999999999999</v>
      </c>
      <c r="CC154">
        <f t="shared" si="53"/>
        <v>0.53065999999999991</v>
      </c>
      <c r="CG154">
        <v>53</v>
      </c>
      <c r="CH154">
        <f t="shared" si="54"/>
        <v>0.47699999999999998</v>
      </c>
      <c r="CJ154">
        <v>53</v>
      </c>
      <c r="CL154">
        <f t="shared" si="42"/>
        <v>0.159</v>
      </c>
      <c r="CM154">
        <f t="shared" si="43"/>
        <v>0.6411</v>
      </c>
      <c r="CN154">
        <f t="shared" si="55"/>
        <v>0.20199999999999999</v>
      </c>
      <c r="CO154">
        <f t="shared" si="44"/>
        <v>0.80010000000000003</v>
      </c>
      <c r="CP154">
        <f t="shared" si="45"/>
        <v>0.84309999999999996</v>
      </c>
      <c r="CR154">
        <v>0.21</v>
      </c>
      <c r="CS154">
        <v>0.5</v>
      </c>
      <c r="CT154">
        <v>0.28000000000000003</v>
      </c>
      <c r="CU154">
        <f t="shared" si="46"/>
        <v>0.71</v>
      </c>
      <c r="CV154">
        <f t="shared" si="47"/>
        <v>0.78</v>
      </c>
    </row>
    <row r="155" spans="1:100" x14ac:dyDescent="0.25">
      <c r="A155">
        <v>2014</v>
      </c>
      <c r="B155">
        <f t="shared" si="57"/>
        <v>84</v>
      </c>
      <c r="C155" s="109">
        <v>41723</v>
      </c>
      <c r="D155">
        <v>7.9</v>
      </c>
      <c r="G155" s="77">
        <v>39</v>
      </c>
      <c r="AB155" s="61">
        <f>0.5*(B155-B154)*G155</f>
        <v>1618.5</v>
      </c>
      <c r="AD155">
        <f>AD156</f>
        <v>68</v>
      </c>
      <c r="AG155" s="171">
        <f t="shared" si="59"/>
        <v>70.909090909090907</v>
      </c>
      <c r="AH155" s="108">
        <f t="shared" si="61"/>
        <v>0.55000000000000004</v>
      </c>
      <c r="AI155" s="108"/>
      <c r="AJ155" s="108">
        <f>0.5*($B155-$B154)*$AG155</f>
        <v>2942.7272727272725</v>
      </c>
      <c r="AK155" s="249"/>
      <c r="AL155" s="77">
        <f>MAX($G$154:$G$158)/AH155</f>
        <v>123.63636363636363</v>
      </c>
      <c r="AM155" s="73"/>
      <c r="AN155" s="108"/>
      <c r="AO155" s="286"/>
      <c r="AP155" s="303"/>
      <c r="AQ155" s="286"/>
      <c r="AR155" s="303"/>
      <c r="AS155" s="286"/>
      <c r="AT155" s="303"/>
      <c r="AU155" s="79">
        <f>G155/AW155</f>
        <v>70.705971935168066</v>
      </c>
      <c r="AV155">
        <f>B155/D155</f>
        <v>10.632911392405063</v>
      </c>
      <c r="AW155">
        <f>VLOOKUP(AV155,$CB$102:$CC$271,2)</f>
        <v>0.55157999999999996</v>
      </c>
      <c r="AZ155">
        <f>0.5*(B155-B154)*AU155</f>
        <v>2934.2978353094745</v>
      </c>
      <c r="BB155" s="117">
        <f>B155</f>
        <v>84</v>
      </c>
      <c r="BC155" s="117">
        <f>G155/AD155</f>
        <v>0.57352941176470584</v>
      </c>
      <c r="BD155" s="117">
        <v>0.47058823529411764</v>
      </c>
      <c r="BE155" s="112">
        <v>4</v>
      </c>
      <c r="BF155" s="112">
        <f>BE155/AD155</f>
        <v>5.8823529411764705E-2</v>
      </c>
      <c r="BG155" s="112">
        <v>26</v>
      </c>
      <c r="BH155" s="112">
        <f>BG155/AD155</f>
        <v>0.38235294117647056</v>
      </c>
      <c r="BI155" s="112">
        <v>9</v>
      </c>
      <c r="BJ155" s="112">
        <f>BI155/AD155</f>
        <v>0.13235294117647059</v>
      </c>
      <c r="CB155">
        <v>10.4</v>
      </c>
      <c r="CC155">
        <f t="shared" si="53"/>
        <v>0.54111999999999993</v>
      </c>
      <c r="CG155">
        <v>54</v>
      </c>
      <c r="CH155">
        <f t="shared" si="54"/>
        <v>0.48599999999999999</v>
      </c>
      <c r="CJ155">
        <v>54</v>
      </c>
      <c r="CL155">
        <f t="shared" si="42"/>
        <v>0.16200000000000001</v>
      </c>
      <c r="CM155">
        <f t="shared" si="43"/>
        <v>0.63719999999999999</v>
      </c>
      <c r="CN155">
        <f t="shared" si="55"/>
        <v>0.20219999999999999</v>
      </c>
      <c r="CO155">
        <f t="shared" si="44"/>
        <v>0.79920000000000002</v>
      </c>
      <c r="CP155">
        <f t="shared" si="45"/>
        <v>0.83939999999999992</v>
      </c>
      <c r="CR155">
        <v>0.21</v>
      </c>
      <c r="CS155">
        <v>0.5</v>
      </c>
      <c r="CT155">
        <v>0.28000000000000003</v>
      </c>
      <c r="CU155">
        <f t="shared" si="46"/>
        <v>0.71</v>
      </c>
      <c r="CV155">
        <f t="shared" si="47"/>
        <v>0.78</v>
      </c>
    </row>
    <row r="156" spans="1:100" x14ac:dyDescent="0.25">
      <c r="A156">
        <v>2014</v>
      </c>
      <c r="B156">
        <f t="shared" si="57"/>
        <v>101</v>
      </c>
      <c r="C156" s="109">
        <v>41740</v>
      </c>
      <c r="D156">
        <v>8.9700000000000006</v>
      </c>
      <c r="G156" s="77">
        <v>68</v>
      </c>
      <c r="AB156" s="61">
        <f>((B156-B155)*G156)-((B156-B155)*(G156-G155)*0.5)</f>
        <v>909.5</v>
      </c>
      <c r="AD156">
        <f>AD157</f>
        <v>68</v>
      </c>
      <c r="AG156" s="171">
        <f t="shared" si="59"/>
        <v>123.63636363636363</v>
      </c>
      <c r="AH156" s="108">
        <f t="shared" si="61"/>
        <v>0.55000000000000004</v>
      </c>
      <c r="AI156" s="108"/>
      <c r="AJ156" s="108">
        <f>((B156-B155)*AG156)-((B156-B155)*(AG156-AG155)*0.5)</f>
        <v>1653.6363636363635</v>
      </c>
      <c r="AK156" s="249"/>
      <c r="AL156" s="77">
        <f>MAX($G$154:$G$158)/AH156</f>
        <v>123.63636363636363</v>
      </c>
      <c r="AM156" s="73"/>
      <c r="AN156" s="108"/>
      <c r="AO156" s="286"/>
      <c r="AP156" s="303"/>
      <c r="AQ156" s="286"/>
      <c r="AR156" s="303"/>
      <c r="AS156" s="286"/>
      <c r="AT156" s="303"/>
      <c r="AU156" s="79">
        <f>G156/AW156</f>
        <v>116.64608206394952</v>
      </c>
      <c r="AV156">
        <f>B156/D156</f>
        <v>11.259754738015607</v>
      </c>
      <c r="AW156">
        <f>VLOOKUP(AV156,$CB$102:$CC$271,2)</f>
        <v>0.58295999999999992</v>
      </c>
      <c r="AZ156">
        <f>((B156-B155)*AU156)-((B156-B155)*(AU156-AU155)*0.5)</f>
        <v>1592.4924589924995</v>
      </c>
      <c r="BB156" s="117">
        <f>B156</f>
        <v>101</v>
      </c>
      <c r="BC156" s="117">
        <f>G156/AD156</f>
        <v>1</v>
      </c>
      <c r="BD156" s="117">
        <v>1</v>
      </c>
      <c r="BE156" s="112">
        <v>17</v>
      </c>
      <c r="BF156" s="112">
        <f>BE156/AD156</f>
        <v>0.25</v>
      </c>
      <c r="BG156" s="112">
        <v>35</v>
      </c>
      <c r="BH156" s="112">
        <f>BG156/AD156</f>
        <v>0.51470588235294112</v>
      </c>
      <c r="BI156" s="112">
        <v>16</v>
      </c>
      <c r="BJ156" s="112">
        <f>BI156/AD156</f>
        <v>0.23529411764705882</v>
      </c>
      <c r="CB156">
        <v>10.6</v>
      </c>
      <c r="CC156">
        <f t="shared" si="53"/>
        <v>0.55157999999999996</v>
      </c>
      <c r="CG156">
        <v>55</v>
      </c>
      <c r="CH156">
        <f t="shared" si="54"/>
        <v>0.49499999999999994</v>
      </c>
      <c r="CJ156">
        <v>55</v>
      </c>
      <c r="CL156">
        <f t="shared" si="42"/>
        <v>0.16500000000000001</v>
      </c>
      <c r="CM156">
        <f t="shared" si="43"/>
        <v>0.63329999999999997</v>
      </c>
      <c r="CN156">
        <f t="shared" si="55"/>
        <v>0.2024</v>
      </c>
      <c r="CO156">
        <f t="shared" si="44"/>
        <v>0.79830000000000001</v>
      </c>
      <c r="CP156">
        <f t="shared" si="45"/>
        <v>0.8357</v>
      </c>
      <c r="CR156">
        <v>0.21</v>
      </c>
      <c r="CS156">
        <v>0.5</v>
      </c>
      <c r="CT156">
        <v>0.28000000000000003</v>
      </c>
      <c r="CU156">
        <f t="shared" si="46"/>
        <v>0.71</v>
      </c>
      <c r="CV156">
        <f t="shared" si="47"/>
        <v>0.78</v>
      </c>
    </row>
    <row r="157" spans="1:100" x14ac:dyDescent="0.25">
      <c r="A157">
        <v>2014</v>
      </c>
      <c r="B157">
        <f t="shared" si="57"/>
        <v>114</v>
      </c>
      <c r="C157" s="109">
        <v>41753</v>
      </c>
      <c r="D157">
        <v>13.5</v>
      </c>
      <c r="G157" s="77">
        <v>62</v>
      </c>
      <c r="AB157" s="61">
        <f>((B157-B156)*G157)-((B157-B156)*(G157-G156)*0.5)</f>
        <v>845</v>
      </c>
      <c r="AD157">
        <f>AD158</f>
        <v>68</v>
      </c>
      <c r="AG157" s="171">
        <f t="shared" si="59"/>
        <v>112.72727272727272</v>
      </c>
      <c r="AH157" s="108">
        <f t="shared" si="61"/>
        <v>0.55000000000000004</v>
      </c>
      <c r="AI157" s="108"/>
      <c r="AJ157" s="108">
        <f>((B157-B156)*AG157)-((B157-B156)*(AG157-AG156)*0.5)</f>
        <v>1536.3636363636363</v>
      </c>
      <c r="AK157" s="249"/>
      <c r="AL157" s="77">
        <f>MAX($G$154:$G$158)/AH157</f>
        <v>123.63636363636363</v>
      </c>
      <c r="AM157" s="73"/>
      <c r="AN157" s="108"/>
      <c r="AO157" s="286"/>
      <c r="AP157" s="303"/>
      <c r="AQ157" s="286"/>
      <c r="AR157" s="303"/>
      <c r="AS157" s="286"/>
      <c r="AT157" s="303"/>
      <c r="AU157" s="79">
        <f>G157/AW157</f>
        <v>142.03243837624871</v>
      </c>
      <c r="AV157">
        <f>B157/D157</f>
        <v>8.4444444444444446</v>
      </c>
      <c r="AW157">
        <f>VLOOKUP(AV157,$CB$102:$CC$271,2)</f>
        <v>0.43651999999999941</v>
      </c>
      <c r="AZ157">
        <f>((B157-B156)*AU157)-((B157-B156)*(AU157-AU156)*0.5)</f>
        <v>1681.4103828612883</v>
      </c>
      <c r="BB157" s="117">
        <f>B157</f>
        <v>114</v>
      </c>
      <c r="BC157" s="117">
        <f>G157/AD157</f>
        <v>0.91176470588235292</v>
      </c>
      <c r="BE157" s="112">
        <v>2</v>
      </c>
      <c r="BF157" s="112">
        <f>BE157/AD157</f>
        <v>2.9411764705882353E-2</v>
      </c>
      <c r="BG157" s="112">
        <v>40</v>
      </c>
      <c r="BH157" s="112">
        <f>BG157/AD157</f>
        <v>0.58823529411764708</v>
      </c>
      <c r="BI157" s="112">
        <v>20</v>
      </c>
      <c r="BJ157" s="112">
        <f>BI157/AD157</f>
        <v>0.29411764705882354</v>
      </c>
      <c r="CB157">
        <v>10.8</v>
      </c>
      <c r="CC157">
        <f t="shared" si="53"/>
        <v>0.56203999999999998</v>
      </c>
      <c r="CG157">
        <v>56</v>
      </c>
      <c r="CH157">
        <f t="shared" si="54"/>
        <v>0.504</v>
      </c>
      <c r="CJ157">
        <v>56</v>
      </c>
      <c r="CL157">
        <f t="shared" si="42"/>
        <v>0.16800000000000001</v>
      </c>
      <c r="CM157">
        <f t="shared" si="43"/>
        <v>0.62939999999999996</v>
      </c>
      <c r="CN157">
        <f t="shared" si="55"/>
        <v>0.20259999999999997</v>
      </c>
      <c r="CO157">
        <f t="shared" si="44"/>
        <v>0.7974</v>
      </c>
      <c r="CP157">
        <f t="shared" si="45"/>
        <v>0.83199999999999996</v>
      </c>
      <c r="CR157">
        <v>0.21</v>
      </c>
      <c r="CS157">
        <v>0.5</v>
      </c>
      <c r="CT157">
        <v>0.28000000000000003</v>
      </c>
      <c r="CU157">
        <f t="shared" si="46"/>
        <v>0.71</v>
      </c>
      <c r="CV157">
        <f t="shared" si="47"/>
        <v>0.78</v>
      </c>
    </row>
    <row r="158" spans="1:100" x14ac:dyDescent="0.25">
      <c r="A158">
        <v>2014</v>
      </c>
      <c r="B158">
        <f t="shared" si="57"/>
        <v>151</v>
      </c>
      <c r="C158" s="109">
        <v>41790</v>
      </c>
      <c r="G158" s="77">
        <v>0</v>
      </c>
      <c r="AB158" s="61">
        <f>((B158-B157)*G158)-((B158-B157)*(G158-G157)*0.5)</f>
        <v>1147</v>
      </c>
      <c r="AC158">
        <f>AF158/$AF$1</f>
        <v>90.4</v>
      </c>
      <c r="AD158">
        <f>MAX(G154:G158)</f>
        <v>68</v>
      </c>
      <c r="AE158" s="73">
        <f>AC158/AD158</f>
        <v>1.3294117647058825</v>
      </c>
      <c r="AF158" s="279">
        <f>SUM(AB155:AB158)</f>
        <v>4520</v>
      </c>
      <c r="AG158" s="171">
        <f t="shared" si="59"/>
        <v>0</v>
      </c>
      <c r="AH158" s="108">
        <f t="shared" si="61"/>
        <v>0.55000000000000004</v>
      </c>
      <c r="AI158" s="108"/>
      <c r="AJ158" s="108">
        <f>0.5*(B158-B157)*AG157</f>
        <v>2085.4545454545455</v>
      </c>
      <c r="AK158" s="248">
        <f>AN158/$AN$1</f>
        <v>164.36363636363637</v>
      </c>
      <c r="AL158" s="77">
        <f>MAX($G$154:$G$158)/AH158</f>
        <v>123.63636363636363</v>
      </c>
      <c r="AM158" s="73">
        <f>AK158/AL158</f>
        <v>1.3294117647058825</v>
      </c>
      <c r="AN158" s="108">
        <f>SUM(AJ155:AJ158)</f>
        <v>8218.181818181818</v>
      </c>
      <c r="AO158" s="286">
        <v>118</v>
      </c>
      <c r="AP158" s="303">
        <v>1.74</v>
      </c>
      <c r="AQ158" s="290">
        <f>AO158</f>
        <v>118</v>
      </c>
      <c r="AR158" s="303">
        <v>117</v>
      </c>
      <c r="AS158" s="286">
        <v>1.72</v>
      </c>
      <c r="AT158" s="303">
        <f>AL158*$AS$188</f>
        <v>0</v>
      </c>
      <c r="AU158" s="79">
        <v>0</v>
      </c>
      <c r="AX158">
        <f>BA158/$BA$1</f>
        <v>176.71601574247725</v>
      </c>
      <c r="AY158" s="61">
        <f>AX158/AD158</f>
        <v>2.5987649373893715</v>
      </c>
      <c r="AZ158">
        <f>0.5*(B158-B157)*AU157</f>
        <v>2627.600109960601</v>
      </c>
      <c r="BA158" s="78">
        <f>SUM(AZ154:AZ158)</f>
        <v>8835.8007871238624</v>
      </c>
      <c r="CB158">
        <v>11</v>
      </c>
      <c r="CC158">
        <f t="shared" si="53"/>
        <v>0.57250000000000001</v>
      </c>
      <c r="CG158">
        <v>57</v>
      </c>
      <c r="CH158">
        <f t="shared" si="54"/>
        <v>0.51300000000000001</v>
      </c>
      <c r="CJ158">
        <v>57</v>
      </c>
      <c r="CL158">
        <f t="shared" si="42"/>
        <v>0.17100000000000001</v>
      </c>
      <c r="CM158">
        <f t="shared" si="43"/>
        <v>0.62549999999999994</v>
      </c>
      <c r="CN158">
        <f t="shared" si="55"/>
        <v>0.20279999999999998</v>
      </c>
      <c r="CO158">
        <f t="shared" si="44"/>
        <v>0.79649999999999999</v>
      </c>
      <c r="CP158">
        <f t="shared" si="45"/>
        <v>0.82829999999999993</v>
      </c>
      <c r="CR158">
        <v>0.21</v>
      </c>
      <c r="CS158">
        <v>0.5</v>
      </c>
      <c r="CT158">
        <v>0.28000000000000003</v>
      </c>
      <c r="CU158">
        <f t="shared" si="46"/>
        <v>0.71</v>
      </c>
      <c r="CV158">
        <f t="shared" si="47"/>
        <v>0.78</v>
      </c>
    </row>
    <row r="159" spans="1:100" s="172" customFormat="1" x14ac:dyDescent="0.25">
      <c r="A159" s="172">
        <v>2015</v>
      </c>
      <c r="B159" s="172">
        <f t="shared" si="57"/>
        <v>1</v>
      </c>
      <c r="C159" s="191">
        <v>42005</v>
      </c>
      <c r="G159" s="192">
        <v>0</v>
      </c>
      <c r="H159" s="193"/>
      <c r="P159" s="194"/>
      <c r="Q159" s="193"/>
      <c r="Y159" s="195"/>
      <c r="AA159" s="195"/>
      <c r="AB159" s="183"/>
      <c r="AD159" s="172">
        <f>AD160</f>
        <v>109</v>
      </c>
      <c r="AE159" s="206"/>
      <c r="AF159" s="196"/>
      <c r="AG159" s="171">
        <f t="shared" si="59"/>
        <v>0</v>
      </c>
      <c r="AH159" s="174">
        <f t="shared" si="61"/>
        <v>0.55000000000000004</v>
      </c>
      <c r="AI159" s="174"/>
      <c r="AJ159" s="174"/>
      <c r="AK159" s="249"/>
      <c r="AL159" s="192">
        <f>MAX($G$159:$G$163)/AH159</f>
        <v>198.18181818181816</v>
      </c>
      <c r="AM159" s="206"/>
      <c r="AN159" s="174"/>
      <c r="AO159" s="286"/>
      <c r="AP159" s="303"/>
      <c r="AQ159" s="286"/>
      <c r="AR159" s="303"/>
      <c r="AS159" s="286"/>
      <c r="AT159" s="303"/>
      <c r="AU159" s="197">
        <v>0</v>
      </c>
      <c r="AY159" s="183"/>
      <c r="BA159" s="196"/>
      <c r="CB159" s="172">
        <v>11.2</v>
      </c>
      <c r="CC159" s="172">
        <f t="shared" si="53"/>
        <v>0.58295999999999992</v>
      </c>
      <c r="CG159" s="172">
        <v>58</v>
      </c>
      <c r="CH159" s="172">
        <f t="shared" si="54"/>
        <v>0.52199999999999991</v>
      </c>
      <c r="CJ159" s="172">
        <v>58</v>
      </c>
      <c r="CL159" s="172">
        <f t="shared" si="42"/>
        <v>0.17400000000000002</v>
      </c>
      <c r="CM159" s="172">
        <f t="shared" si="43"/>
        <v>0.62160000000000004</v>
      </c>
      <c r="CN159" s="172">
        <f t="shared" si="55"/>
        <v>0.20299999999999999</v>
      </c>
      <c r="CO159" s="172">
        <f t="shared" si="44"/>
        <v>0.79560000000000008</v>
      </c>
      <c r="CP159" s="172">
        <f t="shared" si="45"/>
        <v>0.8246</v>
      </c>
      <c r="CR159" s="172">
        <v>0.21</v>
      </c>
      <c r="CS159" s="172">
        <v>0.5</v>
      </c>
      <c r="CT159" s="172">
        <v>0.28000000000000003</v>
      </c>
      <c r="CU159" s="172">
        <f t="shared" si="46"/>
        <v>0.71</v>
      </c>
      <c r="CV159" s="172">
        <f t="shared" si="47"/>
        <v>0.78</v>
      </c>
    </row>
    <row r="160" spans="1:100" s="172" customFormat="1" x14ac:dyDescent="0.25">
      <c r="A160" s="172">
        <v>2015</v>
      </c>
      <c r="B160" s="172">
        <f t="shared" si="57"/>
        <v>86</v>
      </c>
      <c r="C160" s="191">
        <v>42090</v>
      </c>
      <c r="D160" s="172">
        <v>10</v>
      </c>
      <c r="E160" s="172">
        <v>12.1</v>
      </c>
      <c r="G160" s="192">
        <v>109</v>
      </c>
      <c r="H160" s="193"/>
      <c r="P160" s="194"/>
      <c r="Q160" s="193"/>
      <c r="Y160" s="195"/>
      <c r="AA160" s="195"/>
      <c r="AB160" s="183">
        <f>0.5*(B160-B159)*G160</f>
        <v>4632.5</v>
      </c>
      <c r="AD160" s="172">
        <f>AD161</f>
        <v>109</v>
      </c>
      <c r="AE160" s="206"/>
      <c r="AF160" s="196"/>
      <c r="AG160" s="171">
        <f t="shared" si="59"/>
        <v>198.18181818181816</v>
      </c>
      <c r="AH160" s="174">
        <f t="shared" si="61"/>
        <v>0.55000000000000004</v>
      </c>
      <c r="AI160" s="174"/>
      <c r="AJ160" s="174">
        <f>0.5*($B160-$B159)*$AG160</f>
        <v>8422.7272727272721</v>
      </c>
      <c r="AK160" s="249"/>
      <c r="AL160" s="192">
        <f>MAX($G$159:$G$163)/AH160</f>
        <v>198.18181818181816</v>
      </c>
      <c r="AM160" s="206"/>
      <c r="AN160" s="174"/>
      <c r="AO160" s="286"/>
      <c r="AP160" s="303"/>
      <c r="AQ160" s="286"/>
      <c r="AR160" s="303"/>
      <c r="AS160" s="286"/>
      <c r="AT160" s="303"/>
      <c r="AU160" s="197">
        <f>G160/AW160</f>
        <v>243.85878562799257</v>
      </c>
      <c r="AV160" s="172">
        <f>B160/D160</f>
        <v>8.6</v>
      </c>
      <c r="AW160" s="172">
        <f>VLOOKUP(AV160,$CB$102:$CC$271,2)</f>
        <v>0.44697999999999949</v>
      </c>
      <c r="AY160" s="183"/>
      <c r="AZ160" s="172">
        <f>0.5*(B160-B159)*AU160</f>
        <v>10363.998389189685</v>
      </c>
      <c r="BA160" s="196"/>
      <c r="BB160" s="172">
        <f>B160</f>
        <v>86</v>
      </c>
      <c r="BC160" s="172">
        <f>G160/AD160</f>
        <v>1</v>
      </c>
      <c r="BD160" s="172">
        <v>1</v>
      </c>
      <c r="CB160" s="172">
        <v>11.4</v>
      </c>
      <c r="CC160" s="172">
        <f t="shared" si="53"/>
        <v>0.59341999999999995</v>
      </c>
      <c r="CG160" s="172">
        <v>59</v>
      </c>
      <c r="CH160" s="172">
        <f t="shared" si="54"/>
        <v>0.53099999999999992</v>
      </c>
      <c r="CJ160" s="172">
        <v>59</v>
      </c>
      <c r="CL160" s="172">
        <f t="shared" si="42"/>
        <v>0.17699999999999999</v>
      </c>
      <c r="CM160" s="172">
        <f t="shared" si="43"/>
        <v>0.61770000000000003</v>
      </c>
      <c r="CN160" s="172">
        <f t="shared" si="55"/>
        <v>0.20319999999999999</v>
      </c>
      <c r="CO160" s="172">
        <f t="shared" si="44"/>
        <v>0.79469999999999996</v>
      </c>
      <c r="CP160" s="172">
        <f t="shared" si="45"/>
        <v>0.82089999999999996</v>
      </c>
      <c r="CR160" s="172">
        <v>0.21</v>
      </c>
      <c r="CS160" s="172">
        <v>0.5</v>
      </c>
      <c r="CT160" s="172">
        <v>0.28000000000000003</v>
      </c>
      <c r="CU160" s="172">
        <f t="shared" si="46"/>
        <v>0.71</v>
      </c>
      <c r="CV160" s="172">
        <f t="shared" si="47"/>
        <v>0.78</v>
      </c>
    </row>
    <row r="161" spans="1:100" s="172" customFormat="1" x14ac:dyDescent="0.25">
      <c r="A161" s="172">
        <v>2015</v>
      </c>
      <c r="B161" s="172">
        <f t="shared" si="57"/>
        <v>98</v>
      </c>
      <c r="C161" s="191">
        <v>42102</v>
      </c>
      <c r="D161" s="172">
        <v>6.2</v>
      </c>
      <c r="G161" s="192">
        <v>106</v>
      </c>
      <c r="H161" s="193"/>
      <c r="P161" s="194"/>
      <c r="Q161" s="193"/>
      <c r="Y161" s="195"/>
      <c r="AA161" s="195"/>
      <c r="AB161" s="183">
        <f>((B161-B160)*G161)-((B161-B160)*(G161-G160)*0.5)</f>
        <v>1290</v>
      </c>
      <c r="AD161" s="172">
        <f>AD162</f>
        <v>109</v>
      </c>
      <c r="AE161" s="206"/>
      <c r="AF161" s="196"/>
      <c r="AG161" s="171">
        <f t="shared" si="59"/>
        <v>192.72727272727272</v>
      </c>
      <c r="AH161" s="174">
        <f t="shared" si="61"/>
        <v>0.55000000000000004</v>
      </c>
      <c r="AI161" s="174"/>
      <c r="AJ161" s="174">
        <f>((B161-B160)*AG161)-((B161-B160)*(AG161-AG160)*0.5)</f>
        <v>2345.454545454545</v>
      </c>
      <c r="AK161" s="249"/>
      <c r="AL161" s="192">
        <f>MAX($G$159:$G$163)/AH161</f>
        <v>198.18181818181816</v>
      </c>
      <c r="AM161" s="206"/>
      <c r="AN161" s="174"/>
      <c r="AO161" s="286"/>
      <c r="AP161" s="303"/>
      <c r="AQ161" s="286"/>
      <c r="AR161" s="303"/>
      <c r="AS161" s="286"/>
      <c r="AT161" s="303"/>
      <c r="AU161" s="197">
        <f>G161/AW161</f>
        <v>128.71263083760351</v>
      </c>
      <c r="AV161" s="172">
        <f>B161/D161</f>
        <v>15.806451612903226</v>
      </c>
      <c r="AW161" s="172">
        <f>VLOOKUP(AV161,$CB$102:$CC$271,2)</f>
        <v>0.82354000000000005</v>
      </c>
      <c r="AY161" s="183"/>
      <c r="AZ161" s="172">
        <f>((B161-B160)*AU161)-((B161-B160)*(AU161-AU160)*0.5)</f>
        <v>2235.4284987935766</v>
      </c>
      <c r="BA161" s="196"/>
      <c r="BB161" s="172">
        <f>B161</f>
        <v>98</v>
      </c>
      <c r="BC161" s="172">
        <f>G161/AD161</f>
        <v>0.97247706422018354</v>
      </c>
      <c r="BE161" s="172">
        <v>2</v>
      </c>
      <c r="BF161" s="172">
        <f>BE161/AD161</f>
        <v>1.834862385321101E-2</v>
      </c>
      <c r="BG161" s="172">
        <v>57</v>
      </c>
      <c r="BH161" s="172">
        <f>BG161/AD161</f>
        <v>0.52293577981651373</v>
      </c>
      <c r="BI161" s="172">
        <v>47</v>
      </c>
      <c r="BJ161" s="172">
        <f>BI161/AD161</f>
        <v>0.43119266055045874</v>
      </c>
      <c r="CB161" s="172">
        <v>11.6</v>
      </c>
      <c r="CC161" s="172">
        <f t="shared" si="53"/>
        <v>0.60387999999999997</v>
      </c>
      <c r="CG161" s="172">
        <v>60</v>
      </c>
      <c r="CH161" s="172">
        <f t="shared" si="54"/>
        <v>0.53999999999999992</v>
      </c>
      <c r="CJ161" s="172">
        <v>60</v>
      </c>
      <c r="CL161" s="172">
        <f t="shared" si="42"/>
        <v>0.18</v>
      </c>
      <c r="CM161" s="172">
        <f t="shared" si="43"/>
        <v>0.61380000000000001</v>
      </c>
      <c r="CN161" s="172">
        <f t="shared" si="55"/>
        <v>0.2034</v>
      </c>
      <c r="CO161" s="172">
        <f t="shared" si="44"/>
        <v>0.79380000000000006</v>
      </c>
      <c r="CP161" s="172">
        <f t="shared" si="45"/>
        <v>0.81720000000000004</v>
      </c>
      <c r="CR161" s="172">
        <v>0.21</v>
      </c>
      <c r="CS161" s="172">
        <v>0.5</v>
      </c>
      <c r="CT161" s="172">
        <v>0.28000000000000003</v>
      </c>
      <c r="CU161" s="172">
        <f t="shared" si="46"/>
        <v>0.71</v>
      </c>
      <c r="CV161" s="172">
        <f t="shared" si="47"/>
        <v>0.78</v>
      </c>
    </row>
    <row r="162" spans="1:100" s="172" customFormat="1" x14ac:dyDescent="0.25">
      <c r="A162" s="172">
        <v>2015</v>
      </c>
      <c r="B162" s="172">
        <f t="shared" si="57"/>
        <v>117</v>
      </c>
      <c r="C162" s="191">
        <v>42121</v>
      </c>
      <c r="D162" s="172">
        <v>4.7</v>
      </c>
      <c r="G162" s="192">
        <v>81</v>
      </c>
      <c r="H162" s="193"/>
      <c r="P162" s="194"/>
      <c r="Q162" s="193"/>
      <c r="Y162" s="195"/>
      <c r="AA162" s="195"/>
      <c r="AB162" s="183">
        <f>((B162-B161)*G162)-((B162-B161)*(G162-G161)*0.5)</f>
        <v>1776.5</v>
      </c>
      <c r="AD162" s="172">
        <f>AD163</f>
        <v>109</v>
      </c>
      <c r="AE162" s="206"/>
      <c r="AF162" s="196"/>
      <c r="AG162" s="171">
        <f t="shared" si="59"/>
        <v>147.27272727272725</v>
      </c>
      <c r="AH162" s="174">
        <f t="shared" si="61"/>
        <v>0.55000000000000004</v>
      </c>
      <c r="AI162" s="174"/>
      <c r="AJ162" s="174">
        <f>((B162-B161)*AG162)-((B162-B161)*(AG162-AG161)*0.5)</f>
        <v>3230</v>
      </c>
      <c r="AK162" s="249"/>
      <c r="AL162" s="192">
        <f>MAX($G$159:$G$163)/AH162</f>
        <v>198.18181818181816</v>
      </c>
      <c r="AM162" s="206"/>
      <c r="AN162" s="174"/>
      <c r="AO162" s="286"/>
      <c r="AP162" s="303"/>
      <c r="AQ162" s="286"/>
      <c r="AR162" s="303"/>
      <c r="AS162" s="286"/>
      <c r="AT162" s="303"/>
      <c r="AU162" s="197">
        <f>G162/AW162</f>
        <v>81</v>
      </c>
      <c r="AV162" s="172">
        <f>B162/D162</f>
        <v>24.893617021276594</v>
      </c>
      <c r="AW162" s="172">
        <f>VLOOKUP(AV162,$CB$102:$CC$271,2)</f>
        <v>1</v>
      </c>
      <c r="AY162" s="183"/>
      <c r="AZ162" s="172">
        <f>((B162-B161)*AU162)-((B162-B161)*(AU162-AU161)*0.5)</f>
        <v>1992.2699929572334</v>
      </c>
      <c r="BA162" s="196"/>
      <c r="BB162" s="172">
        <f>B162</f>
        <v>117</v>
      </c>
      <c r="BC162" s="172">
        <f>G162/AD162</f>
        <v>0.74311926605504586</v>
      </c>
      <c r="BE162" s="172">
        <v>9</v>
      </c>
      <c r="BF162" s="172">
        <f>BE162/AD162</f>
        <v>8.2568807339449546E-2</v>
      </c>
      <c r="BG162" s="172">
        <v>44</v>
      </c>
      <c r="BH162" s="172">
        <f>BG162/AD162</f>
        <v>0.40366972477064222</v>
      </c>
      <c r="BI162" s="172">
        <v>28</v>
      </c>
      <c r="BJ162" s="172">
        <f>BI162/AD162</f>
        <v>0.25688073394495414</v>
      </c>
      <c r="CB162" s="172">
        <v>11.8</v>
      </c>
      <c r="CC162" s="172">
        <f t="shared" si="53"/>
        <v>0.61434</v>
      </c>
      <c r="CG162" s="172">
        <v>61</v>
      </c>
      <c r="CH162" s="172">
        <f t="shared" si="54"/>
        <v>0.54899999999999993</v>
      </c>
      <c r="CJ162" s="172">
        <v>61</v>
      </c>
      <c r="CL162" s="172">
        <f t="shared" si="42"/>
        <v>0.183</v>
      </c>
      <c r="CM162" s="172">
        <f t="shared" si="43"/>
        <v>0.6099</v>
      </c>
      <c r="CN162" s="172">
        <f t="shared" si="55"/>
        <v>0.20359999999999998</v>
      </c>
      <c r="CO162" s="172">
        <f t="shared" si="44"/>
        <v>0.79289999999999994</v>
      </c>
      <c r="CP162" s="172">
        <f t="shared" si="45"/>
        <v>0.8135</v>
      </c>
      <c r="CR162" s="172">
        <v>0.21</v>
      </c>
      <c r="CS162" s="172">
        <v>0.5</v>
      </c>
      <c r="CT162" s="172">
        <v>0.28000000000000003</v>
      </c>
      <c r="CU162" s="172">
        <f t="shared" si="46"/>
        <v>0.71</v>
      </c>
      <c r="CV162" s="172">
        <f t="shared" si="47"/>
        <v>0.78</v>
      </c>
    </row>
    <row r="163" spans="1:100" s="172" customFormat="1" x14ac:dyDescent="0.25">
      <c r="A163" s="172">
        <v>2015</v>
      </c>
      <c r="B163" s="172">
        <f t="shared" si="57"/>
        <v>151</v>
      </c>
      <c r="C163" s="191">
        <v>42155</v>
      </c>
      <c r="G163" s="192">
        <v>0</v>
      </c>
      <c r="H163" s="193"/>
      <c r="P163" s="194"/>
      <c r="Q163" s="193"/>
      <c r="Y163" s="195"/>
      <c r="AA163" s="195"/>
      <c r="AB163" s="183">
        <f>((B163-B162)*G163)-((B163-B162)*(G163-G162)*0.5)</f>
        <v>1377</v>
      </c>
      <c r="AC163" s="172">
        <f>AF163/$AF$1</f>
        <v>181.52</v>
      </c>
      <c r="AD163" s="172">
        <f>MAX(G159:G163)</f>
        <v>109</v>
      </c>
      <c r="AE163" s="206">
        <f>AC163/AD163</f>
        <v>1.6653211009174314</v>
      </c>
      <c r="AF163" s="280">
        <f>SUM(AB160:AB163)</f>
        <v>9076</v>
      </c>
      <c r="AG163" s="171">
        <f t="shared" si="59"/>
        <v>0</v>
      </c>
      <c r="AH163" s="174">
        <f t="shared" si="61"/>
        <v>0.55000000000000004</v>
      </c>
      <c r="AI163" s="174"/>
      <c r="AJ163" s="174">
        <f>0.5*(B163-B162)*AG162</f>
        <v>2503.6363636363631</v>
      </c>
      <c r="AK163" s="249">
        <f>AN163/$AN$1</f>
        <v>330.0363636363636</v>
      </c>
      <c r="AL163" s="192">
        <f>MAX($G$159:$G$163)/AH163</f>
        <v>198.18181818181816</v>
      </c>
      <c r="AM163" s="206">
        <f>AK163/AL163</f>
        <v>1.6653211009174311</v>
      </c>
      <c r="AN163" s="174">
        <f>SUM(AJ160:AJ163)</f>
        <v>16501.81818181818</v>
      </c>
      <c r="AO163" s="286">
        <v>196</v>
      </c>
      <c r="AP163" s="303">
        <v>1.79</v>
      </c>
      <c r="AQ163" s="290">
        <f>AO163</f>
        <v>196</v>
      </c>
      <c r="AR163" s="303">
        <v>196</v>
      </c>
      <c r="AS163" s="286">
        <v>1.8</v>
      </c>
      <c r="AT163" s="303">
        <f>AL163*$AS$188</f>
        <v>0</v>
      </c>
      <c r="AU163" s="197">
        <v>0</v>
      </c>
      <c r="AX163" s="172">
        <f>BA163/$BA$1</f>
        <v>319.37393761880992</v>
      </c>
      <c r="AY163" s="183">
        <f>AX163/AD163</f>
        <v>2.9300361249432103</v>
      </c>
      <c r="AZ163" s="172">
        <f>0.5*(B163-B162)*AU162</f>
        <v>1377</v>
      </c>
      <c r="BA163" s="196">
        <f>SUM(AZ160:AZ163)</f>
        <v>15968.696880940495</v>
      </c>
      <c r="CB163" s="172">
        <v>12</v>
      </c>
      <c r="CC163" s="172">
        <f t="shared" si="53"/>
        <v>0.62479999999999991</v>
      </c>
      <c r="CG163" s="172">
        <v>62</v>
      </c>
      <c r="CH163" s="172">
        <f t="shared" si="54"/>
        <v>0.55799999999999994</v>
      </c>
      <c r="CJ163" s="172">
        <v>62</v>
      </c>
      <c r="CL163" s="172">
        <f t="shared" si="42"/>
        <v>0.186</v>
      </c>
      <c r="CM163" s="172">
        <f t="shared" si="43"/>
        <v>0.60599999999999998</v>
      </c>
      <c r="CN163" s="172">
        <f t="shared" si="55"/>
        <v>0.20379999999999998</v>
      </c>
      <c r="CO163" s="172">
        <f t="shared" si="44"/>
        <v>0.79200000000000004</v>
      </c>
      <c r="CP163" s="172">
        <f t="shared" si="45"/>
        <v>0.80979999999999996</v>
      </c>
      <c r="CR163" s="172">
        <v>0.21</v>
      </c>
      <c r="CS163" s="172">
        <v>0.5</v>
      </c>
      <c r="CT163" s="172">
        <v>0.28000000000000003</v>
      </c>
      <c r="CU163" s="172">
        <f t="shared" si="46"/>
        <v>0.71</v>
      </c>
      <c r="CV163" s="172">
        <f t="shared" si="47"/>
        <v>0.78</v>
      </c>
    </row>
    <row r="164" spans="1:100" x14ac:dyDescent="0.25">
      <c r="A164">
        <v>2016</v>
      </c>
      <c r="B164">
        <f t="shared" si="57"/>
        <v>1</v>
      </c>
      <c r="C164" s="109">
        <v>42370</v>
      </c>
      <c r="G164" s="77">
        <v>0</v>
      </c>
      <c r="AD164">
        <f>AD165</f>
        <v>96</v>
      </c>
      <c r="AG164" s="171">
        <f t="shared" si="59"/>
        <v>0</v>
      </c>
      <c r="AH164" s="108">
        <f t="shared" si="61"/>
        <v>0.55000000000000004</v>
      </c>
      <c r="AI164" s="108"/>
      <c r="AJ164" s="108"/>
      <c r="AK164" s="249"/>
      <c r="AL164" s="77">
        <f>MAX($G$164:$G$168)/AH164</f>
        <v>174.54545454545453</v>
      </c>
      <c r="AM164" s="73"/>
      <c r="AN164" s="108"/>
      <c r="AO164" s="286"/>
      <c r="AP164" s="303"/>
      <c r="AQ164" s="286"/>
      <c r="AR164" s="303"/>
      <c r="AS164" s="286"/>
      <c r="AT164" s="303"/>
      <c r="AU164" s="79">
        <v>0</v>
      </c>
      <c r="CB164">
        <v>12.2</v>
      </c>
      <c r="CC164">
        <f t="shared" si="53"/>
        <v>0.63525999999999994</v>
      </c>
      <c r="CG164">
        <v>63</v>
      </c>
      <c r="CH164">
        <f t="shared" si="54"/>
        <v>0.56699999999999995</v>
      </c>
      <c r="CJ164">
        <v>63</v>
      </c>
      <c r="CL164">
        <f t="shared" si="42"/>
        <v>0.189</v>
      </c>
      <c r="CM164">
        <f t="shared" si="43"/>
        <v>0.60209999999999997</v>
      </c>
      <c r="CN164">
        <f t="shared" si="55"/>
        <v>0.20399999999999999</v>
      </c>
      <c r="CO164">
        <f t="shared" si="44"/>
        <v>0.79109999999999991</v>
      </c>
      <c r="CP164">
        <f t="shared" si="45"/>
        <v>0.80609999999999993</v>
      </c>
      <c r="CR164">
        <v>0.21</v>
      </c>
      <c r="CS164">
        <v>0.5</v>
      </c>
      <c r="CT164">
        <v>0.28000000000000003</v>
      </c>
      <c r="CU164">
        <f t="shared" si="46"/>
        <v>0.71</v>
      </c>
      <c r="CV164">
        <f t="shared" si="47"/>
        <v>0.78</v>
      </c>
    </row>
    <row r="165" spans="1:100" x14ac:dyDescent="0.25">
      <c r="A165">
        <v>2016</v>
      </c>
      <c r="B165">
        <f t="shared" si="57"/>
        <v>87</v>
      </c>
      <c r="C165" s="109">
        <v>42456</v>
      </c>
      <c r="D165">
        <v>9.83</v>
      </c>
      <c r="G165" s="77">
        <v>81</v>
      </c>
      <c r="AB165" s="61">
        <f>0.5*(B165-B164)*G165</f>
        <v>3483</v>
      </c>
      <c r="AD165">
        <f>AD166</f>
        <v>96</v>
      </c>
      <c r="AG165" s="171">
        <f t="shared" si="59"/>
        <v>147.27272727272725</v>
      </c>
      <c r="AH165" s="108">
        <f t="shared" si="61"/>
        <v>0.55000000000000004</v>
      </c>
      <c r="AI165" s="108"/>
      <c r="AJ165" s="108">
        <f>0.5*($B165-$B164)*$AG165</f>
        <v>6332.7272727272721</v>
      </c>
      <c r="AK165" s="249"/>
      <c r="AL165" s="77">
        <f>MAX($G$164:$G$168)/AH165</f>
        <v>174.54545454545453</v>
      </c>
      <c r="AM165" s="73"/>
      <c r="AN165" s="108"/>
      <c r="AO165" s="286"/>
      <c r="AP165" s="303"/>
      <c r="AQ165" s="286"/>
      <c r="AR165" s="303"/>
      <c r="AS165" s="286"/>
      <c r="AT165" s="303"/>
      <c r="AU165" s="79">
        <f>G165/AW165</f>
        <v>177.07240293809045</v>
      </c>
      <c r="AV165">
        <f>B165/D165</f>
        <v>8.8504577822990846</v>
      </c>
      <c r="AW165">
        <f>VLOOKUP(AV165,$CB$102:$CC$271,2)</f>
        <v>0.45743999999999946</v>
      </c>
      <c r="AZ165">
        <f>0.5*(B165-B164)*AU165</f>
        <v>7614.1133263378897</v>
      </c>
      <c r="BB165" s="117">
        <f>B165</f>
        <v>87</v>
      </c>
      <c r="BC165" s="117">
        <f>G165/AD165</f>
        <v>0.84375</v>
      </c>
      <c r="BD165" s="117">
        <v>0.84375</v>
      </c>
      <c r="BE165" s="112">
        <v>16</v>
      </c>
      <c r="BF165" s="112">
        <f>BE165/AD165</f>
        <v>0.16666666666666666</v>
      </c>
      <c r="BG165" s="112">
        <v>41</v>
      </c>
      <c r="BH165" s="112">
        <f>BG165/AD165</f>
        <v>0.42708333333333331</v>
      </c>
      <c r="BI165" s="112">
        <v>24</v>
      </c>
      <c r="BJ165" s="112">
        <f>BI165/AD165</f>
        <v>0.25</v>
      </c>
      <c r="CB165">
        <v>12.4</v>
      </c>
      <c r="CC165">
        <f t="shared" si="53"/>
        <v>0.64571999999999996</v>
      </c>
      <c r="CG165">
        <v>64</v>
      </c>
      <c r="CH165">
        <f t="shared" si="54"/>
        <v>0.57599999999999996</v>
      </c>
      <c r="CJ165">
        <v>64</v>
      </c>
      <c r="CL165">
        <f t="shared" si="42"/>
        <v>0.192</v>
      </c>
      <c r="CM165">
        <f t="shared" si="43"/>
        <v>0.59820000000000007</v>
      </c>
      <c r="CN165">
        <f t="shared" ref="CN165:CN200" si="62">(0.0002*CJ165)+0.1914</f>
        <v>0.20419999999999999</v>
      </c>
      <c r="CO165">
        <f t="shared" si="44"/>
        <v>0.79020000000000001</v>
      </c>
      <c r="CP165">
        <f t="shared" si="45"/>
        <v>0.8024</v>
      </c>
      <c r="CR165">
        <v>0.21</v>
      </c>
      <c r="CS165">
        <v>0.5</v>
      </c>
      <c r="CT165">
        <v>0.28000000000000003</v>
      </c>
      <c r="CU165">
        <f t="shared" si="46"/>
        <v>0.71</v>
      </c>
      <c r="CV165">
        <f t="shared" si="47"/>
        <v>0.78</v>
      </c>
    </row>
    <row r="166" spans="1:100" x14ac:dyDescent="0.25">
      <c r="A166">
        <v>2016</v>
      </c>
      <c r="B166">
        <f t="shared" si="57"/>
        <v>98</v>
      </c>
      <c r="C166" s="109">
        <v>42467</v>
      </c>
      <c r="D166">
        <v>11</v>
      </c>
      <c r="G166" s="77">
        <v>94</v>
      </c>
      <c r="AB166" s="61">
        <f>((B166-B165)*G166)-((B166-B165)*(G166-G165)*0.5)</f>
        <v>962.5</v>
      </c>
      <c r="AD166">
        <f>AD167</f>
        <v>96</v>
      </c>
      <c r="AG166" s="171">
        <f t="shared" si="59"/>
        <v>170.90909090909091</v>
      </c>
      <c r="AH166" s="108">
        <f t="shared" si="61"/>
        <v>0.55000000000000004</v>
      </c>
      <c r="AI166" s="108"/>
      <c r="AJ166" s="108">
        <f>((B166-B165)*AG166)-((B166-B165)*(AG166-AG165)*0.5)</f>
        <v>1750</v>
      </c>
      <c r="AK166" s="249"/>
      <c r="AL166" s="77">
        <f>MAX($G$164:$G$168)/AH166</f>
        <v>174.54545454545453</v>
      </c>
      <c r="AM166" s="73"/>
      <c r="AN166" s="108"/>
      <c r="AO166" s="286"/>
      <c r="AP166" s="303"/>
      <c r="AQ166" s="286"/>
      <c r="AR166" s="303"/>
      <c r="AS166" s="286"/>
      <c r="AT166" s="303"/>
      <c r="AU166" s="79">
        <f>G166/AW166</f>
        <v>205.49143057012967</v>
      </c>
      <c r="AV166">
        <f>B166/D166</f>
        <v>8.9090909090909083</v>
      </c>
      <c r="AW166">
        <f>VLOOKUP(AV166,$CB$102:$CC$271,2)</f>
        <v>0.45743999999999946</v>
      </c>
      <c r="AZ166">
        <f>((B166-B165)*AU166)-((B166-B165)*(AU166-AU165)*0.5)</f>
        <v>2104.1010842952105</v>
      </c>
      <c r="BB166" s="117">
        <f>B166</f>
        <v>98</v>
      </c>
      <c r="BC166" s="117">
        <f>G166/AD166</f>
        <v>0.97916666666666663</v>
      </c>
      <c r="BD166" s="117">
        <v>0.97916666666666663</v>
      </c>
      <c r="BE166" s="112">
        <v>16</v>
      </c>
      <c r="BF166" s="112">
        <f>BE166/AD166</f>
        <v>0.16666666666666666</v>
      </c>
      <c r="BG166" s="112">
        <v>40</v>
      </c>
      <c r="BH166" s="112">
        <f>BG166/AD166</f>
        <v>0.41666666666666669</v>
      </c>
      <c r="BI166" s="112">
        <v>38</v>
      </c>
      <c r="BJ166" s="112">
        <f>BI166/AD166</f>
        <v>0.39583333333333331</v>
      </c>
      <c r="CB166">
        <v>12.6</v>
      </c>
      <c r="CC166">
        <f t="shared" si="53"/>
        <v>0.65617999999999999</v>
      </c>
      <c r="CG166">
        <v>65</v>
      </c>
      <c r="CH166">
        <f t="shared" ref="CH166:CH200" si="63">CG166*0.009</f>
        <v>0.58499999999999996</v>
      </c>
      <c r="CJ166">
        <v>65</v>
      </c>
      <c r="CL166">
        <f t="shared" ref="CL166:CL234" si="64">((0.003)*CJ166)</f>
        <v>0.19500000000000001</v>
      </c>
      <c r="CM166">
        <f t="shared" ref="CM166:CM234" si="65">((-0.0039)*CJ166)+0.8478</f>
        <v>0.59430000000000005</v>
      </c>
      <c r="CN166">
        <f t="shared" si="62"/>
        <v>0.2044</v>
      </c>
      <c r="CO166">
        <f t="shared" ref="CO166:CP234" si="66">CL166+CM166</f>
        <v>0.78930000000000011</v>
      </c>
      <c r="CP166">
        <f t="shared" si="66"/>
        <v>0.79870000000000008</v>
      </c>
      <c r="CR166">
        <v>0.21</v>
      </c>
      <c r="CS166">
        <v>0.5</v>
      </c>
      <c r="CT166">
        <v>0.28000000000000003</v>
      </c>
      <c r="CU166">
        <f t="shared" ref="CU166:CU234" si="67">CR166+CS166</f>
        <v>0.71</v>
      </c>
      <c r="CV166">
        <f t="shared" ref="CV166:CV234" si="68">CS166+CT166</f>
        <v>0.78</v>
      </c>
    </row>
    <row r="167" spans="1:100" x14ac:dyDescent="0.25">
      <c r="A167">
        <v>2016</v>
      </c>
      <c r="B167">
        <f t="shared" si="57"/>
        <v>111</v>
      </c>
      <c r="C167" s="109">
        <v>42480</v>
      </c>
      <c r="D167">
        <v>11</v>
      </c>
      <c r="G167" s="77">
        <v>96</v>
      </c>
      <c r="AB167" s="61">
        <f>((B167-B166)*G167)-((B167-B166)*(G167-G166)*0.5)</f>
        <v>1235</v>
      </c>
      <c r="AD167">
        <f>AD168</f>
        <v>96</v>
      </c>
      <c r="AG167" s="171">
        <f t="shared" si="59"/>
        <v>174.54545454545453</v>
      </c>
      <c r="AH167" s="108">
        <f t="shared" si="61"/>
        <v>0.55000000000000004</v>
      </c>
      <c r="AI167" s="108"/>
      <c r="AJ167" s="108">
        <f>((B167-B166)*AG167)-((B167-B166)*(AG167-AG166)*0.5)</f>
        <v>2245.4545454545455</v>
      </c>
      <c r="AK167" s="249"/>
      <c r="AL167" s="77">
        <f>MAX($G$164:$G$168)/AH167</f>
        <v>174.54545454545453</v>
      </c>
      <c r="AM167" s="73"/>
      <c r="AN167" s="108"/>
      <c r="AO167" s="286"/>
      <c r="AP167" s="303"/>
      <c r="AQ167" s="286"/>
      <c r="AR167" s="303"/>
      <c r="AS167" s="286"/>
      <c r="AT167" s="303"/>
      <c r="AU167" s="79">
        <f>G167/AW167</f>
        <v>184.54440599769339</v>
      </c>
      <c r="AV167">
        <f>B167/D167</f>
        <v>10.090909090909092</v>
      </c>
      <c r="AW167">
        <f>VLOOKUP(AV167,$CB$102:$CC$271,2)</f>
        <v>0.52019999999999944</v>
      </c>
      <c r="AZ167">
        <f>((B167-B166)*AU167)-((B167-B166)*(AU167-AU166)*0.5)</f>
        <v>2535.2329376908501</v>
      </c>
      <c r="BB167" s="117">
        <f>B167</f>
        <v>111</v>
      </c>
      <c r="BC167" s="117">
        <f>G167/AD167</f>
        <v>1</v>
      </c>
      <c r="BD167" s="117">
        <v>1</v>
      </c>
      <c r="BE167" s="112">
        <v>30</v>
      </c>
      <c r="BF167" s="112">
        <f>BE167/AD167</f>
        <v>0.3125</v>
      </c>
      <c r="BG167" s="112">
        <v>32</v>
      </c>
      <c r="BH167" s="112">
        <f>BG167/AD167</f>
        <v>0.33333333333333331</v>
      </c>
      <c r="BI167" s="112">
        <v>34</v>
      </c>
      <c r="BJ167" s="112">
        <f>BI167/AD167</f>
        <v>0.35416666666666669</v>
      </c>
      <c r="CB167">
        <v>12.8</v>
      </c>
      <c r="CC167">
        <f t="shared" si="53"/>
        <v>0.66664000000000001</v>
      </c>
      <c r="CG167">
        <v>66</v>
      </c>
      <c r="CH167">
        <f t="shared" si="63"/>
        <v>0.59399999999999997</v>
      </c>
      <c r="CJ167">
        <v>66</v>
      </c>
      <c r="CL167">
        <f t="shared" si="64"/>
        <v>0.19800000000000001</v>
      </c>
      <c r="CM167">
        <f t="shared" si="65"/>
        <v>0.59040000000000004</v>
      </c>
      <c r="CN167">
        <f t="shared" si="62"/>
        <v>0.20459999999999998</v>
      </c>
      <c r="CO167">
        <f t="shared" si="66"/>
        <v>0.78839999999999999</v>
      </c>
      <c r="CP167">
        <f t="shared" si="66"/>
        <v>0.79500000000000004</v>
      </c>
      <c r="CR167">
        <v>0.21</v>
      </c>
      <c r="CS167">
        <v>0.5</v>
      </c>
      <c r="CT167">
        <v>0.28000000000000003</v>
      </c>
      <c r="CU167">
        <f t="shared" si="67"/>
        <v>0.71</v>
      </c>
      <c r="CV167">
        <f t="shared" si="68"/>
        <v>0.78</v>
      </c>
    </row>
    <row r="168" spans="1:100" x14ac:dyDescent="0.25">
      <c r="A168">
        <v>2016</v>
      </c>
      <c r="B168">
        <f t="shared" si="57"/>
        <v>152</v>
      </c>
      <c r="C168" s="109">
        <v>42521</v>
      </c>
      <c r="G168" s="77">
        <v>0</v>
      </c>
      <c r="AB168" s="61">
        <f>((B168-B167)*G168)-((B168-B167)*(G168-G167)*0.5)</f>
        <v>1968</v>
      </c>
      <c r="AC168">
        <f>AF168/$AF$1</f>
        <v>152.97</v>
      </c>
      <c r="AD168">
        <f>MAX(G164:G168)</f>
        <v>96</v>
      </c>
      <c r="AE168" s="73">
        <f>AC168/AD168</f>
        <v>1.5934375000000001</v>
      </c>
      <c r="AF168" s="279">
        <f>SUM(AB165:AB168)</f>
        <v>7648.5</v>
      </c>
      <c r="AG168" s="171">
        <f t="shared" si="59"/>
        <v>0</v>
      </c>
      <c r="AH168" s="108">
        <f t="shared" si="61"/>
        <v>0.55000000000000004</v>
      </c>
      <c r="AI168" s="108"/>
      <c r="AJ168" s="108">
        <f>0.5*(B168-B167)*AG167</f>
        <v>3578.181818181818</v>
      </c>
      <c r="AK168" s="248">
        <f>AN168/$AN$1</f>
        <v>278.12727272727273</v>
      </c>
      <c r="AL168" s="77">
        <f>MAX($G$164:$G$168)/AH168</f>
        <v>174.54545454545453</v>
      </c>
      <c r="AM168" s="73">
        <f>AK168/AL168</f>
        <v>1.5934375000000001</v>
      </c>
      <c r="AN168" s="108">
        <f>SUM(AJ165:AJ168)</f>
        <v>13906.363636363636</v>
      </c>
      <c r="AO168" s="286">
        <v>191</v>
      </c>
      <c r="AP168" s="303">
        <v>1.84</v>
      </c>
      <c r="AQ168" s="290">
        <f>AO168</f>
        <v>191</v>
      </c>
      <c r="AR168" s="303">
        <v>191</v>
      </c>
      <c r="AS168" s="286">
        <v>1.98</v>
      </c>
      <c r="AT168" s="303">
        <f>AL168*$AS$188</f>
        <v>0</v>
      </c>
      <c r="AU168" s="79">
        <v>0</v>
      </c>
      <c r="AX168">
        <f>BA168/$BA$1</f>
        <v>320.73215342553323</v>
      </c>
      <c r="AY168" s="61">
        <f>AX168/AD168</f>
        <v>3.3409599315159713</v>
      </c>
      <c r="AZ168">
        <f>0.5*(B168-B167)*AU167</f>
        <v>3783.1603229527145</v>
      </c>
      <c r="BA168" s="78">
        <f>SUM(AZ165:AZ168)</f>
        <v>16036.607671276663</v>
      </c>
      <c r="BC168" s="117">
        <f>G168/AD168</f>
        <v>0</v>
      </c>
      <c r="CB168">
        <v>13</v>
      </c>
      <c r="CC168">
        <f t="shared" si="53"/>
        <v>0.67709999999999992</v>
      </c>
      <c r="CG168">
        <v>67</v>
      </c>
      <c r="CH168">
        <f t="shared" si="63"/>
        <v>0.60299999999999998</v>
      </c>
      <c r="CJ168">
        <v>67</v>
      </c>
      <c r="CL168">
        <f t="shared" si="64"/>
        <v>0.20100000000000001</v>
      </c>
      <c r="CM168">
        <f t="shared" si="65"/>
        <v>0.58650000000000002</v>
      </c>
      <c r="CN168">
        <f t="shared" si="62"/>
        <v>0.20479999999999998</v>
      </c>
      <c r="CO168">
        <f t="shared" si="66"/>
        <v>0.78750000000000009</v>
      </c>
      <c r="CP168">
        <f t="shared" si="66"/>
        <v>0.7913</v>
      </c>
      <c r="CR168">
        <v>0.21</v>
      </c>
      <c r="CS168">
        <v>0.5</v>
      </c>
      <c r="CT168">
        <v>0.28000000000000003</v>
      </c>
      <c r="CU168">
        <f t="shared" si="67"/>
        <v>0.71</v>
      </c>
      <c r="CV168">
        <f t="shared" si="68"/>
        <v>0.78</v>
      </c>
    </row>
    <row r="169" spans="1:100" s="112" customFormat="1" x14ac:dyDescent="0.25">
      <c r="A169" s="112">
        <v>2017</v>
      </c>
      <c r="B169" s="112">
        <f t="shared" si="57"/>
        <v>1</v>
      </c>
      <c r="C169" s="292">
        <v>42736</v>
      </c>
      <c r="G169" s="293">
        <v>0</v>
      </c>
      <c r="H169" s="294"/>
      <c r="P169" s="295"/>
      <c r="Q169" s="294"/>
      <c r="Y169" s="296"/>
      <c r="AA169" s="296"/>
      <c r="AB169" s="297"/>
      <c r="AD169" s="112">
        <f>AD170</f>
        <v>41</v>
      </c>
      <c r="AE169" s="298"/>
      <c r="AF169" s="299"/>
      <c r="AG169" s="305">
        <f t="shared" ref="AG169:AG174" si="69">G169/AH169</f>
        <v>0</v>
      </c>
      <c r="AH169" s="114">
        <f t="shared" si="61"/>
        <v>0.55000000000000004</v>
      </c>
      <c r="AI169" s="114"/>
      <c r="AJ169" s="114"/>
      <c r="AK169" s="249"/>
      <c r="AL169" s="293">
        <f>MAX($G$169:$G$173)/AH169</f>
        <v>74.545454545454533</v>
      </c>
      <c r="AM169" s="298"/>
      <c r="AN169" s="114"/>
      <c r="AO169" s="286"/>
      <c r="AP169" s="114"/>
      <c r="AQ169" s="286"/>
      <c r="AR169" s="114"/>
      <c r="AS169" s="286"/>
      <c r="AT169" s="114"/>
      <c r="AU169" s="300">
        <v>1</v>
      </c>
      <c r="AY169" s="297"/>
      <c r="BA169" s="299"/>
      <c r="BL169" s="122"/>
      <c r="BM169" s="122"/>
      <c r="BN169" s="122"/>
      <c r="BO169" s="122"/>
      <c r="BP169" s="122"/>
      <c r="BQ169" s="122"/>
      <c r="BR169" s="122"/>
      <c r="BS169" s="122"/>
      <c r="BT169" s="122"/>
      <c r="BU169" s="122"/>
      <c r="CB169" s="112">
        <v>13.2</v>
      </c>
      <c r="CC169" s="112">
        <f t="shared" si="53"/>
        <v>0.68755999999999995</v>
      </c>
      <c r="CG169" s="112">
        <v>68</v>
      </c>
      <c r="CH169" s="112">
        <f t="shared" si="63"/>
        <v>0.61199999999999999</v>
      </c>
      <c r="CJ169" s="112">
        <v>68</v>
      </c>
      <c r="CL169" s="112">
        <f t="shared" si="64"/>
        <v>0.20400000000000001</v>
      </c>
      <c r="CM169" s="112">
        <f t="shared" si="65"/>
        <v>0.58260000000000001</v>
      </c>
      <c r="CN169" s="112">
        <f t="shared" si="62"/>
        <v>0.20499999999999999</v>
      </c>
      <c r="CO169" s="112">
        <f t="shared" si="66"/>
        <v>0.78659999999999997</v>
      </c>
      <c r="CP169" s="112">
        <f t="shared" si="66"/>
        <v>0.78759999999999997</v>
      </c>
      <c r="CR169" s="112">
        <v>0.21</v>
      </c>
      <c r="CS169" s="112">
        <v>0.5</v>
      </c>
      <c r="CT169" s="112">
        <v>0.28000000000000003</v>
      </c>
      <c r="CU169" s="112">
        <f t="shared" si="67"/>
        <v>0.71</v>
      </c>
      <c r="CV169" s="112">
        <f t="shared" si="68"/>
        <v>0.78</v>
      </c>
    </row>
    <row r="170" spans="1:100" s="112" customFormat="1" x14ac:dyDescent="0.25">
      <c r="A170" s="112">
        <v>2017</v>
      </c>
      <c r="B170" s="112">
        <f t="shared" si="57"/>
        <v>68</v>
      </c>
      <c r="C170" s="292">
        <v>42803</v>
      </c>
      <c r="G170" s="293">
        <v>41</v>
      </c>
      <c r="H170" s="294"/>
      <c r="P170" s="295"/>
      <c r="Q170" s="294"/>
      <c r="Y170" s="296"/>
      <c r="AA170" s="296"/>
      <c r="AB170" s="297">
        <f>0.5*(B170-B169)*G170</f>
        <v>1373.5</v>
      </c>
      <c r="AD170" s="112">
        <f>AD171</f>
        <v>41</v>
      </c>
      <c r="AE170" s="298"/>
      <c r="AF170" s="299"/>
      <c r="AG170" s="305">
        <f t="shared" si="69"/>
        <v>74.545454545454533</v>
      </c>
      <c r="AH170" s="114">
        <f t="shared" si="61"/>
        <v>0.55000000000000004</v>
      </c>
      <c r="AI170" s="114"/>
      <c r="AJ170" s="114">
        <f>0.5*($B170-$B169)*$AG170</f>
        <v>2497.272727272727</v>
      </c>
      <c r="AK170" s="249"/>
      <c r="AL170" s="293">
        <f>MAX($G$169:$G$173)/AH170</f>
        <v>74.545454545454533</v>
      </c>
      <c r="AM170" s="298"/>
      <c r="AN170" s="114"/>
      <c r="AO170" s="286"/>
      <c r="AP170" s="114"/>
      <c r="AQ170" s="286"/>
      <c r="AR170" s="114"/>
      <c r="AS170" s="286"/>
      <c r="AT170" s="114"/>
      <c r="AU170" s="300"/>
      <c r="AY170" s="297"/>
      <c r="BA170" s="299"/>
      <c r="BB170" s="112">
        <f>B170</f>
        <v>68</v>
      </c>
      <c r="BC170" s="112">
        <f>G170/AD170</f>
        <v>1</v>
      </c>
      <c r="BD170" s="112">
        <v>1.0972222222222201</v>
      </c>
      <c r="BE170" s="112">
        <v>34.6666666666667</v>
      </c>
      <c r="BF170" s="112">
        <f>BE170/AD170</f>
        <v>0.84552845528455367</v>
      </c>
      <c r="BG170" s="112">
        <v>28.6666666666667</v>
      </c>
      <c r="BH170" s="112">
        <f>BG170/AD170</f>
        <v>0.69918699186991951</v>
      </c>
      <c r="BI170" s="112">
        <v>42</v>
      </c>
      <c r="BJ170" s="112">
        <f>BI170/AD170</f>
        <v>1.024390243902439</v>
      </c>
      <c r="CB170" s="112">
        <v>13.4</v>
      </c>
      <c r="CC170" s="112">
        <f t="shared" si="53"/>
        <v>0.69801999999999997</v>
      </c>
      <c r="CG170" s="112">
        <v>69</v>
      </c>
      <c r="CH170" s="112">
        <f t="shared" si="63"/>
        <v>0.621</v>
      </c>
      <c r="CJ170" s="112">
        <v>69</v>
      </c>
      <c r="CL170" s="112">
        <f t="shared" si="64"/>
        <v>0.20700000000000002</v>
      </c>
      <c r="CM170" s="112">
        <f t="shared" si="65"/>
        <v>0.57869999999999999</v>
      </c>
      <c r="CN170" s="112">
        <f t="shared" si="62"/>
        <v>0.20519999999999999</v>
      </c>
      <c r="CO170" s="112">
        <f t="shared" si="66"/>
        <v>0.78570000000000007</v>
      </c>
      <c r="CP170" s="112">
        <f t="shared" si="66"/>
        <v>0.78390000000000004</v>
      </c>
      <c r="CR170" s="112">
        <v>0.21</v>
      </c>
      <c r="CS170" s="112">
        <v>0.5</v>
      </c>
      <c r="CT170" s="112">
        <v>0.28000000000000003</v>
      </c>
      <c r="CU170" s="112">
        <f t="shared" si="67"/>
        <v>0.71</v>
      </c>
      <c r="CV170" s="112">
        <f t="shared" si="68"/>
        <v>0.78</v>
      </c>
    </row>
    <row r="171" spans="1:100" s="112" customFormat="1" x14ac:dyDescent="0.25">
      <c r="A171" s="112">
        <v>2017</v>
      </c>
      <c r="B171" s="112">
        <f t="shared" si="57"/>
        <v>94</v>
      </c>
      <c r="C171" s="292">
        <v>42829</v>
      </c>
      <c r="G171" s="293">
        <v>34</v>
      </c>
      <c r="H171" s="294"/>
      <c r="P171" s="295"/>
      <c r="Q171" s="294"/>
      <c r="Y171" s="296"/>
      <c r="AA171" s="296"/>
      <c r="AB171" s="297">
        <f>((B171-B170)*G171)-((B171-B170)*(G171-G170)*0.5)</f>
        <v>975</v>
      </c>
      <c r="AD171" s="112">
        <f>AD172</f>
        <v>41</v>
      </c>
      <c r="AE171" s="298"/>
      <c r="AF171" s="299"/>
      <c r="AG171" s="305">
        <f t="shared" si="69"/>
        <v>61.818181818181813</v>
      </c>
      <c r="AH171" s="114">
        <f t="shared" si="61"/>
        <v>0.55000000000000004</v>
      </c>
      <c r="AI171" s="114"/>
      <c r="AJ171" s="114">
        <f>((B171-B170)*AG171)-((B171-B170)*(AG171-AG170)*0.5)</f>
        <v>1772.7272727272723</v>
      </c>
      <c r="AK171" s="249"/>
      <c r="AL171" s="293">
        <f>MAX($G$169:$G$173)/AH171</f>
        <v>74.545454545454533</v>
      </c>
      <c r="AM171" s="298"/>
      <c r="AN171" s="114"/>
      <c r="AO171" s="286"/>
      <c r="AP171" s="114"/>
      <c r="AQ171" s="286"/>
      <c r="AR171" s="114"/>
      <c r="AS171" s="286"/>
      <c r="AT171" s="114"/>
      <c r="AU171" s="300"/>
      <c r="AY171" s="297"/>
      <c r="BA171" s="299"/>
      <c r="BB171" s="112">
        <f>B171</f>
        <v>94</v>
      </c>
      <c r="BC171" s="112">
        <f>G171/AD171</f>
        <v>0.82926829268292679</v>
      </c>
      <c r="BD171" s="112">
        <v>1.1753472222222201</v>
      </c>
      <c r="BE171" s="112">
        <v>41.6666666666667</v>
      </c>
      <c r="BF171" s="112">
        <f>BE171/AD171</f>
        <v>1.0162601626016268</v>
      </c>
      <c r="BG171" s="112">
        <v>24.1666666666667</v>
      </c>
      <c r="BH171" s="112">
        <f>BG171/AD171</f>
        <v>0.58943089430894391</v>
      </c>
      <c r="BI171" s="112">
        <v>47</v>
      </c>
      <c r="BJ171" s="112">
        <f>BI171/AD171</f>
        <v>1.1463414634146341</v>
      </c>
      <c r="CB171" s="112">
        <v>13.6</v>
      </c>
      <c r="CC171" s="112">
        <f t="shared" si="53"/>
        <v>0.70848</v>
      </c>
      <c r="CG171" s="112">
        <v>70</v>
      </c>
      <c r="CH171" s="112">
        <f t="shared" si="63"/>
        <v>0.63</v>
      </c>
      <c r="CJ171" s="112">
        <v>70</v>
      </c>
      <c r="CL171" s="112">
        <f t="shared" si="64"/>
        <v>0.21</v>
      </c>
      <c r="CM171" s="112">
        <f t="shared" si="65"/>
        <v>0.57479999999999998</v>
      </c>
      <c r="CN171" s="112">
        <f t="shared" si="62"/>
        <v>0.2054</v>
      </c>
      <c r="CO171" s="112">
        <f t="shared" si="66"/>
        <v>0.78479999999999994</v>
      </c>
      <c r="CP171" s="112">
        <f t="shared" si="66"/>
        <v>0.7802</v>
      </c>
      <c r="CR171" s="112">
        <v>0.21</v>
      </c>
      <c r="CS171" s="112">
        <v>0.5</v>
      </c>
      <c r="CT171" s="112">
        <v>0.28000000000000003</v>
      </c>
      <c r="CU171" s="112">
        <f t="shared" si="67"/>
        <v>0.71</v>
      </c>
      <c r="CV171" s="112">
        <f t="shared" si="68"/>
        <v>0.78</v>
      </c>
    </row>
    <row r="172" spans="1:100" s="112" customFormat="1" x14ac:dyDescent="0.25">
      <c r="A172" s="112">
        <v>2017</v>
      </c>
      <c r="B172" s="112">
        <f t="shared" si="57"/>
        <v>121</v>
      </c>
      <c r="C172" s="292">
        <v>42856</v>
      </c>
      <c r="G172" s="293">
        <v>35</v>
      </c>
      <c r="H172" s="294"/>
      <c r="P172" s="295"/>
      <c r="Q172" s="294"/>
      <c r="Y172" s="296"/>
      <c r="AA172" s="296"/>
      <c r="AB172" s="297">
        <f>((B172-B171)*G172)-((B172-B171)*(G172-G171)*0.5)</f>
        <v>931.5</v>
      </c>
      <c r="AD172" s="112">
        <f>AD173</f>
        <v>41</v>
      </c>
      <c r="AE172" s="298"/>
      <c r="AF172" s="299"/>
      <c r="AG172" s="305">
        <f t="shared" si="69"/>
        <v>63.636363636363633</v>
      </c>
      <c r="AH172" s="114">
        <f t="shared" si="61"/>
        <v>0.55000000000000004</v>
      </c>
      <c r="AI172" s="114"/>
      <c r="AJ172" s="114">
        <f>((B172-B171)*AG172)-((B172-B171)*(AG172-AG171)*0.5)</f>
        <v>1693.6363636363635</v>
      </c>
      <c r="AK172" s="249"/>
      <c r="AL172" s="293">
        <f>MAX($G$169:$G$173)/AH172</f>
        <v>74.545454545454533</v>
      </c>
      <c r="AM172" s="298"/>
      <c r="AN172" s="114"/>
      <c r="AO172" s="286"/>
      <c r="AP172" s="114"/>
      <c r="AQ172" s="286"/>
      <c r="AR172" s="114"/>
      <c r="AS172" s="286"/>
      <c r="AT172" s="114"/>
      <c r="AU172" s="300"/>
      <c r="AY172" s="297"/>
      <c r="BA172" s="299"/>
      <c r="BB172" s="112">
        <f>B172</f>
        <v>121</v>
      </c>
      <c r="BC172" s="112">
        <f>G172/AD172</f>
        <v>0.85365853658536583</v>
      </c>
      <c r="BD172" s="112">
        <v>1.2534722222222201</v>
      </c>
      <c r="BE172" s="112">
        <v>48.6666666666667</v>
      </c>
      <c r="BF172" s="112">
        <f>BE172/AD172</f>
        <v>1.1869918699187001</v>
      </c>
      <c r="BG172" s="112">
        <v>19.6666666666667</v>
      </c>
      <c r="BH172" s="112">
        <f>BG172/AD172</f>
        <v>0.47967479674796831</v>
      </c>
      <c r="BI172" s="112">
        <v>52</v>
      </c>
      <c r="BJ172" s="112">
        <f>BI172/AD172</f>
        <v>1.2682926829268293</v>
      </c>
      <c r="CB172" s="112">
        <v>13.8</v>
      </c>
      <c r="CC172" s="112">
        <f t="shared" si="53"/>
        <v>0.71894000000000002</v>
      </c>
      <c r="CG172" s="112">
        <v>71</v>
      </c>
      <c r="CH172" s="112">
        <f t="shared" si="63"/>
        <v>0.6389999999999999</v>
      </c>
      <c r="CJ172" s="112">
        <v>71</v>
      </c>
      <c r="CL172" s="112">
        <f t="shared" si="64"/>
        <v>0.21299999999999999</v>
      </c>
      <c r="CM172" s="112">
        <f t="shared" si="65"/>
        <v>0.57089999999999996</v>
      </c>
      <c r="CN172" s="112">
        <f t="shared" si="62"/>
        <v>0.20559999999999998</v>
      </c>
      <c r="CO172" s="112">
        <f t="shared" si="66"/>
        <v>0.78389999999999993</v>
      </c>
      <c r="CP172" s="112">
        <f t="shared" si="66"/>
        <v>0.77649999999999997</v>
      </c>
      <c r="CR172" s="112">
        <v>0.21</v>
      </c>
      <c r="CS172" s="112">
        <v>0.5</v>
      </c>
      <c r="CT172" s="112">
        <v>0.28000000000000003</v>
      </c>
      <c r="CU172" s="112">
        <f t="shared" si="67"/>
        <v>0.71</v>
      </c>
      <c r="CV172" s="112">
        <f t="shared" si="68"/>
        <v>0.78</v>
      </c>
    </row>
    <row r="173" spans="1:100" s="112" customFormat="1" x14ac:dyDescent="0.25">
      <c r="A173" s="112">
        <v>2017</v>
      </c>
      <c r="B173" s="112">
        <f t="shared" si="57"/>
        <v>151</v>
      </c>
      <c r="C173" s="292">
        <v>42886</v>
      </c>
      <c r="G173" s="293">
        <v>0</v>
      </c>
      <c r="H173" s="294"/>
      <c r="P173" s="295"/>
      <c r="Q173" s="294"/>
      <c r="Y173" s="296"/>
      <c r="AA173" s="296"/>
      <c r="AB173" s="297">
        <f>((B173-B172)*G173)-((B173-B172)*(G173-G172)*0.5)</f>
        <v>525</v>
      </c>
      <c r="AC173" s="112">
        <f>AF173/$AF$1</f>
        <v>76.099999999999994</v>
      </c>
      <c r="AD173" s="112">
        <f>MAX(G169:G173)</f>
        <v>41</v>
      </c>
      <c r="AE173" s="298">
        <f>AC173/AD173</f>
        <v>1.8560975609756096</v>
      </c>
      <c r="AF173" s="306">
        <f>SUM(AB170:AB173)</f>
        <v>3805</v>
      </c>
      <c r="AG173" s="305">
        <f t="shared" si="69"/>
        <v>0</v>
      </c>
      <c r="AH173" s="114">
        <f t="shared" si="61"/>
        <v>0.55000000000000004</v>
      </c>
      <c r="AI173" s="114"/>
      <c r="AJ173" s="114">
        <f>0.5*(B173-B172)*AG172</f>
        <v>954.5454545454545</v>
      </c>
      <c r="AK173" s="248">
        <f>AN173/$AN$1</f>
        <v>138.36363636363632</v>
      </c>
      <c r="AL173" s="293">
        <f>MAX($G$169:$G$173)/AH173</f>
        <v>74.545454545454533</v>
      </c>
      <c r="AM173" s="298">
        <f>AK173/AL173</f>
        <v>1.8560975609756094</v>
      </c>
      <c r="AN173" s="114">
        <f>SUM(AJ170:AJ173)</f>
        <v>6918.1818181818162</v>
      </c>
      <c r="AO173" s="286"/>
      <c r="AP173" s="114"/>
      <c r="AQ173" s="290">
        <f>AL173*AP188</f>
        <v>0</v>
      </c>
      <c r="AR173" s="114"/>
      <c r="AS173" s="286"/>
      <c r="AT173" s="303">
        <f>AL173*$AS$188</f>
        <v>0</v>
      </c>
      <c r="AU173" s="300"/>
      <c r="AY173" s="297"/>
      <c r="BA173" s="299"/>
      <c r="BC173" s="112">
        <f>G173/AD173</f>
        <v>0</v>
      </c>
      <c r="CB173" s="112">
        <v>14</v>
      </c>
      <c r="CC173" s="112">
        <f t="shared" si="53"/>
        <v>0.72939999999999994</v>
      </c>
      <c r="CG173" s="112">
        <v>72</v>
      </c>
      <c r="CH173" s="112">
        <f t="shared" si="63"/>
        <v>0.64799999999999991</v>
      </c>
      <c r="CJ173" s="112">
        <v>72</v>
      </c>
      <c r="CL173" s="112">
        <f t="shared" si="64"/>
        <v>0.216</v>
      </c>
      <c r="CM173" s="112">
        <f t="shared" si="65"/>
        <v>0.56699999999999995</v>
      </c>
      <c r="CN173" s="112">
        <f t="shared" si="62"/>
        <v>0.20579999999999998</v>
      </c>
      <c r="CO173" s="112">
        <f t="shared" si="66"/>
        <v>0.78299999999999992</v>
      </c>
      <c r="CP173" s="112">
        <f t="shared" si="66"/>
        <v>0.77279999999999993</v>
      </c>
      <c r="CR173" s="112">
        <v>0.21</v>
      </c>
      <c r="CS173" s="112">
        <v>0.5</v>
      </c>
      <c r="CT173" s="112">
        <v>0.28000000000000003</v>
      </c>
      <c r="CU173" s="112">
        <f t="shared" si="67"/>
        <v>0.71</v>
      </c>
      <c r="CV173" s="112">
        <f t="shared" si="68"/>
        <v>0.78</v>
      </c>
    </row>
    <row r="174" spans="1:100" x14ac:dyDescent="0.25">
      <c r="A174">
        <v>2018</v>
      </c>
      <c r="B174">
        <f>C174-DATE(YEAR(C174),1,1)+1</f>
        <v>1</v>
      </c>
      <c r="C174" s="109">
        <v>43101</v>
      </c>
      <c r="G174" s="77">
        <v>0</v>
      </c>
      <c r="AD174">
        <v>27</v>
      </c>
      <c r="AG174" s="126">
        <f t="shared" si="69"/>
        <v>0</v>
      </c>
      <c r="AH174" s="108">
        <f t="shared" si="61"/>
        <v>0.55000000000000004</v>
      </c>
      <c r="AI174" s="108"/>
      <c r="AJ174" s="108"/>
      <c r="AK174" s="249"/>
      <c r="AL174" s="77">
        <f>MAX($G$174:$G$177)/AH174</f>
        <v>32.727272727272727</v>
      </c>
      <c r="AM174" s="73"/>
      <c r="AN174" s="108"/>
      <c r="AO174" s="286"/>
      <c r="AP174" s="108"/>
      <c r="AQ174" s="286"/>
      <c r="AR174" s="108"/>
      <c r="AS174" s="286"/>
      <c r="AT174" s="108"/>
      <c r="CB174">
        <v>14.2</v>
      </c>
      <c r="CC174">
        <f t="shared" si="53"/>
        <v>0.73985999999999996</v>
      </c>
      <c r="CG174">
        <v>73</v>
      </c>
      <c r="CH174">
        <f t="shared" si="63"/>
        <v>0.65699999999999992</v>
      </c>
      <c r="CJ174">
        <v>73</v>
      </c>
      <c r="CL174">
        <f t="shared" si="64"/>
        <v>0.219</v>
      </c>
      <c r="CM174">
        <f t="shared" si="65"/>
        <v>0.56309999999999993</v>
      </c>
      <c r="CN174">
        <f t="shared" si="62"/>
        <v>0.20599999999999999</v>
      </c>
      <c r="CO174">
        <f t="shared" si="66"/>
        <v>0.78209999999999991</v>
      </c>
      <c r="CP174">
        <f t="shared" si="66"/>
        <v>0.76909999999999989</v>
      </c>
      <c r="CR174">
        <v>0.21</v>
      </c>
      <c r="CS174">
        <v>0.5</v>
      </c>
      <c r="CT174">
        <v>0.28000000000000003</v>
      </c>
      <c r="CU174">
        <f t="shared" si="67"/>
        <v>0.71</v>
      </c>
      <c r="CV174">
        <f t="shared" si="68"/>
        <v>0.78</v>
      </c>
    </row>
    <row r="175" spans="1:100" x14ac:dyDescent="0.25">
      <c r="A175">
        <v>2018</v>
      </c>
      <c r="B175">
        <f>C175-DATE(YEAR(C175),1,1)+1</f>
        <v>75</v>
      </c>
      <c r="C175" s="109">
        <v>43175</v>
      </c>
      <c r="G175" s="77">
        <v>18</v>
      </c>
      <c r="AB175" s="61">
        <f>0.5*(B175-B174)*G175</f>
        <v>666</v>
      </c>
      <c r="AD175">
        <v>27</v>
      </c>
      <c r="AG175" s="126">
        <f t="shared" ref="AG175:AG189" si="70">G175/AH175</f>
        <v>32.727272727272727</v>
      </c>
      <c r="AH175" s="108">
        <f t="shared" si="61"/>
        <v>0.55000000000000004</v>
      </c>
      <c r="AI175" s="108"/>
      <c r="AJ175" s="108">
        <f>0.5*($B175-$B174)*$AG175</f>
        <v>1210.909090909091</v>
      </c>
      <c r="AK175" s="249"/>
      <c r="AL175" s="77">
        <f>MAX($G$174:$G$177)/AH175</f>
        <v>32.727272727272727</v>
      </c>
      <c r="AM175" s="73"/>
      <c r="AN175" s="108"/>
      <c r="AO175" s="286"/>
      <c r="AP175" s="108"/>
      <c r="AQ175" s="286"/>
      <c r="AR175" s="108"/>
      <c r="AS175" s="286"/>
      <c r="AT175" s="108"/>
      <c r="CB175">
        <v>14.4</v>
      </c>
      <c r="CC175">
        <f t="shared" si="53"/>
        <v>0.75031999999999999</v>
      </c>
      <c r="CG175">
        <v>74</v>
      </c>
      <c r="CH175">
        <f t="shared" si="63"/>
        <v>0.66599999999999993</v>
      </c>
      <c r="CJ175">
        <v>74</v>
      </c>
      <c r="CL175">
        <f t="shared" si="64"/>
        <v>0.222</v>
      </c>
      <c r="CM175">
        <f t="shared" si="65"/>
        <v>0.55920000000000003</v>
      </c>
      <c r="CN175">
        <f t="shared" si="62"/>
        <v>0.20619999999999999</v>
      </c>
      <c r="CO175">
        <f t="shared" si="66"/>
        <v>0.78120000000000001</v>
      </c>
      <c r="CP175">
        <f t="shared" si="66"/>
        <v>0.76540000000000008</v>
      </c>
      <c r="CR175">
        <v>0.21</v>
      </c>
      <c r="CS175">
        <v>0.5</v>
      </c>
      <c r="CT175">
        <v>0.28000000000000003</v>
      </c>
      <c r="CU175">
        <f t="shared" si="67"/>
        <v>0.71</v>
      </c>
      <c r="CV175">
        <f t="shared" si="68"/>
        <v>0.78</v>
      </c>
    </row>
    <row r="176" spans="1:100" x14ac:dyDescent="0.25">
      <c r="A176">
        <v>2018</v>
      </c>
      <c r="B176" s="311">
        <v>112</v>
      </c>
      <c r="C176" s="312">
        <v>43210</v>
      </c>
      <c r="D176" s="311"/>
      <c r="E176" s="311"/>
      <c r="F176" s="311"/>
      <c r="G176" s="313">
        <v>16</v>
      </c>
      <c r="AB176" s="61">
        <f>((B176-B175)*G176)-((B176-B175)*(G176-G175)*0.5)</f>
        <v>629</v>
      </c>
      <c r="AD176">
        <v>27</v>
      </c>
      <c r="AG176" s="126">
        <f t="shared" si="70"/>
        <v>29.09090909090909</v>
      </c>
      <c r="AH176" s="108">
        <f t="shared" si="61"/>
        <v>0.55000000000000004</v>
      </c>
      <c r="AI176" s="108"/>
      <c r="AJ176" s="108">
        <f>((B176-B175)*AG176)-((B176-B175)*(AG176-AG175)*0.5)</f>
        <v>1143.6363636363635</v>
      </c>
      <c r="AL176" s="77">
        <f>MAX($G$174:$G$177)/AH176</f>
        <v>32.727272727272727</v>
      </c>
      <c r="AM176" s="73"/>
      <c r="AN176" s="108"/>
      <c r="AO176" s="286"/>
      <c r="AP176" s="108"/>
      <c r="AQ176" s="286"/>
      <c r="AR176" s="108"/>
      <c r="AS176" s="286"/>
      <c r="AT176" s="108"/>
      <c r="CB176">
        <v>14.6</v>
      </c>
      <c r="CC176">
        <f t="shared" si="53"/>
        <v>0.7607799999999999</v>
      </c>
      <c r="CG176">
        <v>75</v>
      </c>
      <c r="CH176">
        <f t="shared" si="63"/>
        <v>0.67499999999999993</v>
      </c>
      <c r="CJ176">
        <v>75</v>
      </c>
      <c r="CL176">
        <f t="shared" si="64"/>
        <v>0.22500000000000001</v>
      </c>
      <c r="CM176">
        <f t="shared" si="65"/>
        <v>0.55530000000000002</v>
      </c>
      <c r="CN176">
        <f t="shared" si="62"/>
        <v>0.2064</v>
      </c>
      <c r="CO176">
        <f t="shared" si="66"/>
        <v>0.78029999999999999</v>
      </c>
      <c r="CP176">
        <f t="shared" si="66"/>
        <v>0.76170000000000004</v>
      </c>
      <c r="CR176">
        <v>0.21</v>
      </c>
      <c r="CS176">
        <v>0.5</v>
      </c>
      <c r="CT176">
        <v>0.28000000000000003</v>
      </c>
      <c r="CU176">
        <f t="shared" si="67"/>
        <v>0.71</v>
      </c>
      <c r="CV176">
        <f t="shared" si="68"/>
        <v>0.78</v>
      </c>
    </row>
    <row r="177" spans="1:100" x14ac:dyDescent="0.25">
      <c r="A177">
        <v>2018</v>
      </c>
      <c r="B177">
        <f t="shared" ref="B177:B190" si="71">C177-DATE(YEAR(C177),1,1)+1</f>
        <v>151</v>
      </c>
      <c r="C177" s="109">
        <v>42886</v>
      </c>
      <c r="G177" s="77">
        <v>0</v>
      </c>
      <c r="AB177" s="61">
        <f>((B177-B176)*G177)-((B177-B176)*(G177-G176)*0.5)</f>
        <v>312</v>
      </c>
      <c r="AC177">
        <f>AF177/$AF$1</f>
        <v>32.14</v>
      </c>
      <c r="AD177">
        <v>27</v>
      </c>
      <c r="AE177" s="73">
        <f>AC177/AD177</f>
        <v>1.1903703703703703</v>
      </c>
      <c r="AF177" s="279">
        <f>SUM(AB174:AB177)</f>
        <v>1607</v>
      </c>
      <c r="AG177" s="126">
        <f t="shared" si="70"/>
        <v>0</v>
      </c>
      <c r="AH177" s="108">
        <f t="shared" si="61"/>
        <v>0.55000000000000004</v>
      </c>
      <c r="AI177" s="108"/>
      <c r="AJ177" s="108">
        <f>0.5*(B177-B176)*AG176</f>
        <v>567.27272727272725</v>
      </c>
      <c r="AK177" s="248">
        <f>AN177/$AN$1</f>
        <v>58.436363636363637</v>
      </c>
      <c r="AL177" s="77">
        <f>MAX($G$174:$G$177)/AH177</f>
        <v>32.727272727272727</v>
      </c>
      <c r="AM177" s="73">
        <f>AK177/AL177</f>
        <v>1.7855555555555556</v>
      </c>
      <c r="AN177" s="108">
        <f>SUM(AJ174:AJ177)</f>
        <v>2921.818181818182</v>
      </c>
      <c r="AO177" s="286"/>
      <c r="AP177" s="108"/>
      <c r="AQ177" s="286">
        <f>AL176*AP188</f>
        <v>0</v>
      </c>
      <c r="AR177" s="108"/>
      <c r="AS177" s="286"/>
      <c r="AT177" s="108"/>
      <c r="CB177">
        <v>15</v>
      </c>
      <c r="CC177">
        <f t="shared" si="53"/>
        <v>0.78169999999999995</v>
      </c>
      <c r="CG177">
        <v>77</v>
      </c>
      <c r="CH177">
        <f t="shared" si="63"/>
        <v>0.69299999999999995</v>
      </c>
      <c r="CJ177">
        <v>77</v>
      </c>
      <c r="CL177">
        <f t="shared" si="64"/>
        <v>0.23100000000000001</v>
      </c>
      <c r="CM177">
        <f t="shared" si="65"/>
        <v>0.54749999999999999</v>
      </c>
      <c r="CN177">
        <f t="shared" si="62"/>
        <v>0.20679999999999998</v>
      </c>
      <c r="CO177">
        <f t="shared" si="66"/>
        <v>0.77849999999999997</v>
      </c>
      <c r="CP177">
        <f t="shared" si="66"/>
        <v>0.75429999999999997</v>
      </c>
      <c r="CR177">
        <v>0.21</v>
      </c>
      <c r="CS177">
        <v>0.5</v>
      </c>
      <c r="CT177">
        <v>0.28000000000000003</v>
      </c>
      <c r="CU177">
        <f t="shared" si="67"/>
        <v>0.71</v>
      </c>
      <c r="CV177">
        <f t="shared" si="68"/>
        <v>0.78</v>
      </c>
    </row>
    <row r="178" spans="1:100" s="112" customFormat="1" x14ac:dyDescent="0.25">
      <c r="A178" s="112">
        <v>2019</v>
      </c>
      <c r="B178" s="112">
        <f t="shared" si="71"/>
        <v>1</v>
      </c>
      <c r="C178" s="292">
        <v>43466</v>
      </c>
      <c r="G178" s="293">
        <v>0</v>
      </c>
      <c r="H178" s="294"/>
      <c r="P178" s="295"/>
      <c r="Q178" s="294"/>
      <c r="Y178" s="296"/>
      <c r="AA178" s="296"/>
      <c r="AB178" s="297"/>
      <c r="AD178" s="293">
        <f>MAX($G$178:$G$181)</f>
        <v>45</v>
      </c>
      <c r="AE178" s="298"/>
      <c r="AF178" s="299"/>
      <c r="AG178" s="305">
        <f t="shared" ref="AG178:AG184" si="72">G178/AH178</f>
        <v>0</v>
      </c>
      <c r="AH178" s="114">
        <f t="shared" si="61"/>
        <v>0.55000000000000004</v>
      </c>
      <c r="AI178" s="114"/>
      <c r="AJ178" s="114"/>
      <c r="AK178" s="250"/>
      <c r="AL178" s="293">
        <f>MAX($G$178:$G$181)/AH178</f>
        <v>81.818181818181813</v>
      </c>
      <c r="AM178" s="298"/>
      <c r="AO178" s="308"/>
      <c r="AP178" s="114"/>
      <c r="AQ178" s="309"/>
      <c r="AR178" s="114"/>
      <c r="AS178" s="308"/>
      <c r="AT178" s="114">
        <f>AL178*$AS$188</f>
        <v>0</v>
      </c>
      <c r="AU178" s="300"/>
      <c r="AY178" s="297"/>
      <c r="BA178" s="299"/>
      <c r="CB178" s="112">
        <v>15.2</v>
      </c>
      <c r="CC178" s="112">
        <f t="shared" si="53"/>
        <v>0.79215999999999998</v>
      </c>
      <c r="CG178" s="112">
        <v>78</v>
      </c>
      <c r="CH178" s="112">
        <f t="shared" si="63"/>
        <v>0.70199999999999996</v>
      </c>
      <c r="CJ178" s="112">
        <v>78</v>
      </c>
      <c r="CL178" s="112">
        <f t="shared" si="64"/>
        <v>0.23400000000000001</v>
      </c>
      <c r="CM178" s="112">
        <f t="shared" si="65"/>
        <v>0.54360000000000008</v>
      </c>
      <c r="CN178" s="112">
        <f t="shared" si="62"/>
        <v>0.20699999999999999</v>
      </c>
      <c r="CO178" s="112">
        <f t="shared" si="66"/>
        <v>0.77760000000000007</v>
      </c>
      <c r="CP178" s="112">
        <f t="shared" si="66"/>
        <v>0.75060000000000004</v>
      </c>
      <c r="CR178" s="112">
        <v>0.21</v>
      </c>
      <c r="CS178" s="112">
        <v>0.5</v>
      </c>
      <c r="CT178" s="112">
        <v>0.28000000000000003</v>
      </c>
      <c r="CU178" s="112">
        <f t="shared" si="67"/>
        <v>0.71</v>
      </c>
      <c r="CV178" s="112">
        <f t="shared" si="68"/>
        <v>0.78</v>
      </c>
    </row>
    <row r="179" spans="1:100" s="112" customFormat="1" x14ac:dyDescent="0.25">
      <c r="A179" s="112">
        <v>2019</v>
      </c>
      <c r="B179" s="112">
        <f t="shared" si="71"/>
        <v>92</v>
      </c>
      <c r="C179" s="292">
        <v>43557</v>
      </c>
      <c r="G179" s="293">
        <v>45</v>
      </c>
      <c r="H179" s="294"/>
      <c r="P179" s="295"/>
      <c r="Q179" s="294"/>
      <c r="Y179" s="296"/>
      <c r="AA179" s="296"/>
      <c r="AB179" s="297">
        <f>0.5*(B179-B178)*G179</f>
        <v>2047.5</v>
      </c>
      <c r="AD179" s="293">
        <f t="shared" ref="AD179:AD185" si="73">MAX($G$178:$G$181)</f>
        <v>45</v>
      </c>
      <c r="AE179" s="298"/>
      <c r="AF179" s="299"/>
      <c r="AG179" s="293">
        <f t="shared" si="72"/>
        <v>81.818181818181813</v>
      </c>
      <c r="AH179" s="114">
        <f t="shared" si="61"/>
        <v>0.55000000000000004</v>
      </c>
      <c r="AJ179" s="112">
        <f>0.5*($B179-$B178)*$AG179</f>
        <v>3722.7272727272725</v>
      </c>
      <c r="AK179" s="250"/>
      <c r="AL179" s="293">
        <f>MAX($G$178:$G$181)/AH179</f>
        <v>81.818181818181813</v>
      </c>
      <c r="AO179" s="307"/>
      <c r="AQ179" s="307"/>
      <c r="AS179" s="307"/>
      <c r="AU179" s="300"/>
      <c r="AY179" s="297"/>
      <c r="BA179" s="299"/>
      <c r="CB179" s="112">
        <v>15.4</v>
      </c>
      <c r="CC179" s="112">
        <f t="shared" si="53"/>
        <v>0.80262</v>
      </c>
      <c r="CG179" s="112">
        <v>79</v>
      </c>
      <c r="CH179" s="112">
        <f t="shared" si="63"/>
        <v>0.71099999999999997</v>
      </c>
      <c r="CJ179" s="112">
        <v>79</v>
      </c>
      <c r="CL179" s="112">
        <f t="shared" si="64"/>
        <v>0.23700000000000002</v>
      </c>
      <c r="CM179" s="112">
        <f t="shared" si="65"/>
        <v>0.53970000000000007</v>
      </c>
      <c r="CN179" s="112">
        <f t="shared" si="62"/>
        <v>0.2072</v>
      </c>
      <c r="CO179" s="112">
        <f t="shared" si="66"/>
        <v>0.77670000000000006</v>
      </c>
      <c r="CP179" s="112">
        <f t="shared" si="66"/>
        <v>0.74690000000000012</v>
      </c>
      <c r="CR179" s="112">
        <v>0.21</v>
      </c>
      <c r="CS179" s="112">
        <v>0.5</v>
      </c>
      <c r="CT179" s="112">
        <v>0.28000000000000003</v>
      </c>
      <c r="CU179" s="112">
        <f t="shared" si="67"/>
        <v>0.71</v>
      </c>
      <c r="CV179" s="112">
        <f t="shared" si="68"/>
        <v>0.78</v>
      </c>
    </row>
    <row r="180" spans="1:100" s="112" customFormat="1" x14ac:dyDescent="0.25">
      <c r="A180" s="112">
        <v>2019</v>
      </c>
      <c r="B180" s="112">
        <f t="shared" si="71"/>
        <v>116</v>
      </c>
      <c r="C180" s="292">
        <v>43581</v>
      </c>
      <c r="G180" s="293">
        <v>38</v>
      </c>
      <c r="H180" s="294"/>
      <c r="P180" s="295"/>
      <c r="Q180" s="294"/>
      <c r="Y180" s="296"/>
      <c r="AA180" s="296"/>
      <c r="AB180" s="297">
        <f>((B180-B179)*G180)-((B180-B179)*(G180-G179)*0.5)</f>
        <v>996</v>
      </c>
      <c r="AD180" s="293">
        <f t="shared" si="73"/>
        <v>45</v>
      </c>
      <c r="AE180" s="298"/>
      <c r="AF180" s="299"/>
      <c r="AG180" s="293">
        <f t="shared" si="72"/>
        <v>69.090909090909079</v>
      </c>
      <c r="AH180" s="114">
        <f t="shared" si="61"/>
        <v>0.55000000000000004</v>
      </c>
      <c r="AJ180" s="112">
        <f>((B180-B179)*AG180)-((B180-B179)*(AG180-AG179)*0.5)</f>
        <v>1810.9090909090908</v>
      </c>
      <c r="AK180" s="250"/>
      <c r="AL180" s="293">
        <f>MAX($G$178:$G$181)/AH180</f>
        <v>81.818181818181813</v>
      </c>
      <c r="AO180" s="307"/>
      <c r="AQ180" s="307"/>
      <c r="AS180" s="307"/>
      <c r="AU180" s="300"/>
      <c r="AY180" s="297"/>
      <c r="BA180" s="299"/>
      <c r="CB180" s="112">
        <v>15.6</v>
      </c>
      <c r="CC180" s="112">
        <f t="shared" si="53"/>
        <v>0.81307999999999991</v>
      </c>
      <c r="CG180" s="112">
        <v>80</v>
      </c>
      <c r="CH180" s="112">
        <f t="shared" si="63"/>
        <v>0.72</v>
      </c>
      <c r="CJ180" s="112">
        <v>80</v>
      </c>
      <c r="CL180" s="112">
        <f t="shared" si="64"/>
        <v>0.24</v>
      </c>
      <c r="CM180" s="112">
        <f t="shared" si="65"/>
        <v>0.53580000000000005</v>
      </c>
      <c r="CN180" s="112">
        <f t="shared" si="62"/>
        <v>0.20739999999999997</v>
      </c>
      <c r="CO180" s="112">
        <f t="shared" si="66"/>
        <v>0.77580000000000005</v>
      </c>
      <c r="CP180" s="112">
        <f t="shared" si="66"/>
        <v>0.74320000000000008</v>
      </c>
      <c r="CR180" s="112">
        <v>0.21</v>
      </c>
      <c r="CS180" s="112">
        <v>0.5</v>
      </c>
      <c r="CT180" s="112">
        <v>0.28000000000000003</v>
      </c>
      <c r="CU180" s="112">
        <f t="shared" si="67"/>
        <v>0.71</v>
      </c>
      <c r="CV180" s="112">
        <f t="shared" si="68"/>
        <v>0.78</v>
      </c>
    </row>
    <row r="181" spans="1:100" s="112" customFormat="1" x14ac:dyDescent="0.25">
      <c r="A181" s="112">
        <v>2019</v>
      </c>
      <c r="B181" s="112">
        <f t="shared" si="71"/>
        <v>151</v>
      </c>
      <c r="C181" s="292">
        <v>43616</v>
      </c>
      <c r="G181" s="293">
        <v>0</v>
      </c>
      <c r="H181" s="294"/>
      <c r="P181" s="295"/>
      <c r="Q181" s="294"/>
      <c r="Y181" s="296"/>
      <c r="AA181" s="296"/>
      <c r="AB181" s="297">
        <f>((B181-B180)*G181)-((B181-B180)*(G181-G180)*0.5)</f>
        <v>665</v>
      </c>
      <c r="AC181" s="112">
        <f>AF181/$AF$1</f>
        <v>74.17</v>
      </c>
      <c r="AD181" s="293">
        <f t="shared" si="73"/>
        <v>45</v>
      </c>
      <c r="AE181" s="298">
        <f>AC181/AD181</f>
        <v>1.6482222222222223</v>
      </c>
      <c r="AF181" s="306">
        <f>SUM(AB178:AB181)</f>
        <v>3708.5</v>
      </c>
      <c r="AG181" s="293">
        <f t="shared" si="72"/>
        <v>0</v>
      </c>
      <c r="AH181" s="114">
        <f t="shared" si="61"/>
        <v>0.55000000000000004</v>
      </c>
      <c r="AJ181" s="112">
        <f>0.5*(B181-B180)*AG180</f>
        <v>1209.0909090909088</v>
      </c>
      <c r="AK181" s="249">
        <f>AN181/$AN$1</f>
        <v>134.85454545454544</v>
      </c>
      <c r="AL181" s="293">
        <f>MAX($G$178:$G$181)/AH181</f>
        <v>81.818181818181813</v>
      </c>
      <c r="AM181" s="298">
        <f>AK181/AL181</f>
        <v>1.6482222222222223</v>
      </c>
      <c r="AN181" s="298">
        <f>SUM(AJ178:AJ181)</f>
        <v>6742.7272727272721</v>
      </c>
      <c r="AO181" s="307"/>
      <c r="AQ181" s="307">
        <f>AL181*AP188</f>
        <v>0</v>
      </c>
      <c r="AS181" s="307"/>
      <c r="AU181" s="300"/>
      <c r="AY181" s="297"/>
      <c r="BA181" s="299"/>
      <c r="CB181" s="112">
        <v>15.8</v>
      </c>
      <c r="CC181" s="112">
        <f t="shared" si="53"/>
        <v>0.82354000000000005</v>
      </c>
      <c r="CG181" s="112">
        <v>81</v>
      </c>
      <c r="CH181" s="112">
        <f t="shared" si="63"/>
        <v>0.72899999999999998</v>
      </c>
      <c r="CJ181" s="112">
        <v>81</v>
      </c>
      <c r="CL181" s="112">
        <f t="shared" si="64"/>
        <v>0.24299999999999999</v>
      </c>
      <c r="CM181" s="112">
        <f t="shared" si="65"/>
        <v>0.53190000000000004</v>
      </c>
      <c r="CN181" s="112">
        <f t="shared" si="62"/>
        <v>0.20759999999999998</v>
      </c>
      <c r="CO181" s="112">
        <f t="shared" si="66"/>
        <v>0.77490000000000003</v>
      </c>
      <c r="CP181" s="112">
        <f t="shared" si="66"/>
        <v>0.73950000000000005</v>
      </c>
      <c r="CR181" s="112">
        <v>0.21</v>
      </c>
      <c r="CS181" s="112">
        <v>0.5</v>
      </c>
      <c r="CT181" s="112">
        <v>0.28000000000000003</v>
      </c>
      <c r="CU181" s="112">
        <f t="shared" si="67"/>
        <v>0.71</v>
      </c>
      <c r="CV181" s="112">
        <f t="shared" si="68"/>
        <v>0.78</v>
      </c>
    </row>
    <row r="182" spans="1:100" x14ac:dyDescent="0.25">
      <c r="A182">
        <v>2020</v>
      </c>
      <c r="B182">
        <f t="shared" si="71"/>
        <v>1</v>
      </c>
      <c r="C182" s="109">
        <v>43466</v>
      </c>
      <c r="G182" s="77">
        <v>0</v>
      </c>
      <c r="AD182" s="77">
        <f>MAX($G$178:$G$181)</f>
        <v>45</v>
      </c>
      <c r="AG182" s="126">
        <f t="shared" si="72"/>
        <v>0</v>
      </c>
      <c r="AH182" s="108">
        <f t="shared" si="61"/>
        <v>0.55000000000000004</v>
      </c>
      <c r="AI182" s="108"/>
      <c r="AJ182" s="108"/>
      <c r="AL182" s="77">
        <f>MAX($G$182:$G$185)/AH182</f>
        <v>50.909090909090907</v>
      </c>
      <c r="AM182" s="73"/>
      <c r="AO182" s="108"/>
      <c r="AP182" s="108"/>
      <c r="AQ182" s="310"/>
      <c r="AR182" s="108"/>
      <c r="AS182" s="108"/>
      <c r="AT182" s="108">
        <f>AL182*$AS$188</f>
        <v>0</v>
      </c>
      <c r="BB182"/>
      <c r="BC182"/>
      <c r="BD182"/>
      <c r="BE182"/>
      <c r="BF182"/>
      <c r="BG182"/>
      <c r="BH182"/>
      <c r="BI182"/>
      <c r="BJ182"/>
      <c r="BK182"/>
      <c r="CB182">
        <v>15.2</v>
      </c>
      <c r="CC182">
        <f t="shared" ref="CC182:CC190" si="74">(($CB$89)*CB182)-($CC$89)</f>
        <v>0.79215999999999998</v>
      </c>
      <c r="CG182">
        <v>78</v>
      </c>
      <c r="CH182">
        <f t="shared" ref="CH182:CH190" si="75">CG182*0.009</f>
        <v>0.70199999999999996</v>
      </c>
      <c r="CJ182">
        <v>78</v>
      </c>
      <c r="CL182">
        <f t="shared" ref="CL182:CL190" si="76">((0.003)*CJ182)</f>
        <v>0.23400000000000001</v>
      </c>
      <c r="CM182">
        <f t="shared" ref="CM182:CM190" si="77">((-0.0039)*CJ182)+0.8478</f>
        <v>0.54360000000000008</v>
      </c>
      <c r="CN182">
        <f t="shared" ref="CN182:CN190" si="78">(0.0002*CJ182)+0.1914</f>
        <v>0.20699999999999999</v>
      </c>
      <c r="CO182">
        <f>CL182+CM182</f>
        <v>0.77760000000000007</v>
      </c>
      <c r="CP182">
        <f t="shared" si="66"/>
        <v>0.75060000000000004</v>
      </c>
      <c r="CR182">
        <v>0.21</v>
      </c>
      <c r="CS182">
        <v>0.5</v>
      </c>
      <c r="CT182">
        <v>0.28000000000000003</v>
      </c>
      <c r="CU182">
        <f t="shared" ref="CU182:CU190" si="79">CR182+CS182</f>
        <v>0.71</v>
      </c>
      <c r="CV182">
        <f t="shared" si="68"/>
        <v>0.78</v>
      </c>
    </row>
    <row r="183" spans="1:100" x14ac:dyDescent="0.25">
      <c r="A183">
        <v>2020</v>
      </c>
      <c r="B183">
        <f t="shared" si="71"/>
        <v>65</v>
      </c>
      <c r="C183" s="109">
        <v>43895</v>
      </c>
      <c r="G183" s="77">
        <v>7</v>
      </c>
      <c r="AB183" s="61">
        <f>0.5*(B183-B182)*G183</f>
        <v>224</v>
      </c>
      <c r="AD183" s="77">
        <f t="shared" si="73"/>
        <v>45</v>
      </c>
      <c r="AG183" s="77">
        <f t="shared" si="72"/>
        <v>12.727272727272727</v>
      </c>
      <c r="AH183" s="108">
        <f t="shared" si="61"/>
        <v>0.55000000000000004</v>
      </c>
      <c r="AJ183">
        <f>0.5*($B183-$B182)*$AG183</f>
        <v>407.27272727272725</v>
      </c>
      <c r="AL183" s="77">
        <f>MAX($G$182:$G$185)/AH183</f>
        <v>50.909090909090907</v>
      </c>
      <c r="AO183"/>
      <c r="AP183"/>
      <c r="AQ183"/>
      <c r="AR183"/>
      <c r="AS183"/>
      <c r="AT183"/>
      <c r="BB183"/>
      <c r="BC183"/>
      <c r="BD183"/>
      <c r="BE183"/>
      <c r="BF183"/>
      <c r="BG183"/>
      <c r="BH183"/>
      <c r="BI183"/>
      <c r="BJ183"/>
      <c r="BK183"/>
      <c r="CB183">
        <v>15.4</v>
      </c>
      <c r="CC183">
        <f t="shared" si="74"/>
        <v>0.80262</v>
      </c>
      <c r="CG183">
        <v>79</v>
      </c>
      <c r="CH183">
        <f t="shared" si="75"/>
        <v>0.71099999999999997</v>
      </c>
      <c r="CJ183">
        <v>79</v>
      </c>
      <c r="CL183">
        <f t="shared" si="76"/>
        <v>0.23700000000000002</v>
      </c>
      <c r="CM183">
        <f t="shared" si="77"/>
        <v>0.53970000000000007</v>
      </c>
      <c r="CN183">
        <f t="shared" si="78"/>
        <v>0.2072</v>
      </c>
      <c r="CO183">
        <f t="shared" si="66"/>
        <v>0.77670000000000006</v>
      </c>
      <c r="CP183">
        <f t="shared" si="66"/>
        <v>0.74690000000000012</v>
      </c>
      <c r="CR183">
        <v>0.21</v>
      </c>
      <c r="CS183">
        <v>0.5</v>
      </c>
      <c r="CT183">
        <v>0.28000000000000003</v>
      </c>
      <c r="CU183">
        <f t="shared" si="79"/>
        <v>0.71</v>
      </c>
      <c r="CV183">
        <f t="shared" si="68"/>
        <v>0.78</v>
      </c>
    </row>
    <row r="184" spans="1:100" x14ac:dyDescent="0.25">
      <c r="A184">
        <v>2020</v>
      </c>
      <c r="B184">
        <f t="shared" si="71"/>
        <v>98</v>
      </c>
      <c r="C184" s="109">
        <v>43928</v>
      </c>
      <c r="G184" s="77">
        <v>28</v>
      </c>
      <c r="AB184" s="61">
        <f>((B184-B183)*G184)-((B184-B183)*(G184-G183)*0.5)</f>
        <v>577.5</v>
      </c>
      <c r="AD184" s="77">
        <f t="shared" si="73"/>
        <v>45</v>
      </c>
      <c r="AG184" s="77">
        <f t="shared" si="72"/>
        <v>50.909090909090907</v>
      </c>
      <c r="AH184" s="108">
        <f t="shared" si="61"/>
        <v>0.55000000000000004</v>
      </c>
      <c r="AJ184">
        <f>((B184-B183)*AG184)-((B184-B183)*(AG184-AG183)*0.5)</f>
        <v>1050</v>
      </c>
      <c r="AL184" s="77">
        <f>MAX($G$182:$G$185)/AH184</f>
        <v>50.909090909090907</v>
      </c>
      <c r="AO184"/>
      <c r="AP184"/>
      <c r="AQ184"/>
      <c r="AR184"/>
      <c r="AS184"/>
      <c r="AT184"/>
      <c r="BB184"/>
      <c r="BC184"/>
      <c r="BD184"/>
      <c r="BE184"/>
      <c r="BF184"/>
      <c r="BG184"/>
      <c r="BH184"/>
      <c r="BI184"/>
      <c r="BJ184"/>
      <c r="BK184"/>
      <c r="CB184">
        <v>15.6</v>
      </c>
      <c r="CC184">
        <f t="shared" si="74"/>
        <v>0.81307999999999991</v>
      </c>
      <c r="CG184">
        <v>80</v>
      </c>
      <c r="CH184">
        <f t="shared" si="75"/>
        <v>0.72</v>
      </c>
      <c r="CJ184">
        <v>80</v>
      </c>
      <c r="CL184">
        <f t="shared" si="76"/>
        <v>0.24</v>
      </c>
      <c r="CM184">
        <f t="shared" si="77"/>
        <v>0.53580000000000005</v>
      </c>
      <c r="CN184">
        <f t="shared" si="78"/>
        <v>0.20739999999999997</v>
      </c>
      <c r="CO184">
        <f t="shared" si="66"/>
        <v>0.77580000000000005</v>
      </c>
      <c r="CP184">
        <f t="shared" si="66"/>
        <v>0.74320000000000008</v>
      </c>
      <c r="CR184">
        <v>0.21</v>
      </c>
      <c r="CS184">
        <v>0.5</v>
      </c>
      <c r="CT184">
        <v>0.28000000000000003</v>
      </c>
      <c r="CU184">
        <f t="shared" si="79"/>
        <v>0.71</v>
      </c>
      <c r="CV184">
        <f t="shared" si="68"/>
        <v>0.78</v>
      </c>
    </row>
    <row r="185" spans="1:100" x14ac:dyDescent="0.25">
      <c r="A185">
        <v>2020</v>
      </c>
      <c r="B185">
        <f t="shared" si="71"/>
        <v>151</v>
      </c>
      <c r="C185" s="109">
        <v>43616</v>
      </c>
      <c r="G185" s="77">
        <v>0</v>
      </c>
      <c r="AB185" s="61">
        <f>((B185-B184)*G185)-((B185-B184)*(G185-G184)*0.5)</f>
        <v>742</v>
      </c>
      <c r="AC185">
        <f>AF185/$AF$1</f>
        <v>30.87</v>
      </c>
      <c r="AD185" s="77">
        <f t="shared" si="73"/>
        <v>45</v>
      </c>
      <c r="AE185" s="73">
        <f>AC185/AD185</f>
        <v>0.68600000000000005</v>
      </c>
      <c r="AF185" s="279">
        <f>SUM(AB182:AB185)</f>
        <v>1543.5</v>
      </c>
      <c r="AG185" s="77">
        <f t="shared" si="70"/>
        <v>0</v>
      </c>
      <c r="AH185" s="108">
        <f t="shared" si="61"/>
        <v>0.55000000000000004</v>
      </c>
      <c r="AJ185">
        <f>0.5*(B185-B184)*AG184</f>
        <v>1349.090909090909</v>
      </c>
      <c r="AK185" s="249">
        <f>AN185/$AN$1</f>
        <v>56.127272727272718</v>
      </c>
      <c r="AL185" s="77">
        <f>MAX($G$182:$G$185)/AH185</f>
        <v>50.909090909090907</v>
      </c>
      <c r="AM185" s="73">
        <f>AK185/AL185</f>
        <v>1.1024999999999998</v>
      </c>
      <c r="AN185" s="73">
        <f>SUM(AJ182:AJ185)</f>
        <v>2806.363636363636</v>
      </c>
      <c r="AO185"/>
      <c r="AP185"/>
      <c r="AQ185">
        <f>AL185*AP192</f>
        <v>0</v>
      </c>
      <c r="AR185"/>
      <c r="AS185"/>
      <c r="AT185"/>
      <c r="BB185"/>
      <c r="BC185"/>
      <c r="BD185"/>
      <c r="BE185"/>
      <c r="BF185"/>
      <c r="BG185"/>
      <c r="BH185"/>
      <c r="BI185"/>
      <c r="BJ185"/>
      <c r="BK185"/>
      <c r="CB185">
        <v>15.8</v>
      </c>
      <c r="CC185">
        <f t="shared" si="74"/>
        <v>0.82354000000000005</v>
      </c>
      <c r="CG185">
        <v>81</v>
      </c>
      <c r="CH185">
        <f t="shared" si="75"/>
        <v>0.72899999999999998</v>
      </c>
      <c r="CJ185">
        <v>81</v>
      </c>
      <c r="CL185">
        <f t="shared" si="76"/>
        <v>0.24299999999999999</v>
      </c>
      <c r="CM185">
        <f t="shared" si="77"/>
        <v>0.53190000000000004</v>
      </c>
      <c r="CN185">
        <f t="shared" si="78"/>
        <v>0.20759999999999998</v>
      </c>
      <c r="CO185">
        <f t="shared" si="66"/>
        <v>0.77490000000000003</v>
      </c>
      <c r="CP185">
        <f t="shared" si="66"/>
        <v>0.73950000000000005</v>
      </c>
      <c r="CR185">
        <v>0.21</v>
      </c>
      <c r="CS185">
        <v>0.5</v>
      </c>
      <c r="CT185">
        <v>0.28000000000000003</v>
      </c>
      <c r="CU185">
        <f t="shared" si="79"/>
        <v>0.71</v>
      </c>
      <c r="CV185">
        <f t="shared" si="68"/>
        <v>0.78</v>
      </c>
    </row>
    <row r="186" spans="1:100" s="112" customFormat="1" x14ac:dyDescent="0.25">
      <c r="A186" s="112">
        <v>2021</v>
      </c>
      <c r="B186" s="112">
        <f t="shared" si="71"/>
        <v>1</v>
      </c>
      <c r="C186" s="292">
        <v>44197</v>
      </c>
      <c r="G186" s="293">
        <v>0</v>
      </c>
      <c r="H186" s="294"/>
      <c r="P186" s="295"/>
      <c r="Q186" s="294"/>
      <c r="Y186" s="296"/>
      <c r="AA186" s="296"/>
      <c r="AB186" s="297"/>
      <c r="AD186" s="293">
        <f t="shared" ref="AD186:AD206" si="80">MAX($G$186:$G$190)</f>
        <v>20</v>
      </c>
      <c r="AE186" s="298"/>
      <c r="AF186" s="299"/>
      <c r="AG186" s="305">
        <f t="shared" si="70"/>
        <v>0</v>
      </c>
      <c r="AH186" s="114">
        <f t="shared" si="61"/>
        <v>0.55000000000000004</v>
      </c>
      <c r="AI186" s="114"/>
      <c r="AJ186" s="114"/>
      <c r="AK186" s="250"/>
      <c r="AL186" s="293">
        <f>MAX($G$186:$G$189)/AH186</f>
        <v>36.36363636363636</v>
      </c>
      <c r="AM186" s="298"/>
      <c r="AO186" s="114"/>
      <c r="AP186" s="114"/>
      <c r="AQ186" s="315"/>
      <c r="AR186" s="114"/>
      <c r="AS186" s="114"/>
      <c r="AT186" s="114">
        <f>AL186*$AS$188</f>
        <v>0</v>
      </c>
      <c r="AU186" s="300"/>
      <c r="AY186" s="297"/>
      <c r="BA186" s="299"/>
      <c r="CB186" s="112">
        <v>15.2</v>
      </c>
      <c r="CC186" s="112">
        <f t="shared" si="74"/>
        <v>0.79215999999999998</v>
      </c>
      <c r="CG186" s="112">
        <v>78</v>
      </c>
      <c r="CH186" s="112">
        <f t="shared" si="75"/>
        <v>0.70199999999999996</v>
      </c>
      <c r="CJ186" s="112">
        <v>78</v>
      </c>
      <c r="CL186" s="112">
        <f t="shared" si="76"/>
        <v>0.23400000000000001</v>
      </c>
      <c r="CM186" s="112">
        <f t="shared" si="77"/>
        <v>0.54360000000000008</v>
      </c>
      <c r="CN186" s="112">
        <f t="shared" si="78"/>
        <v>0.20699999999999999</v>
      </c>
      <c r="CO186" s="112">
        <f t="shared" si="66"/>
        <v>0.77760000000000007</v>
      </c>
      <c r="CP186" s="112">
        <f t="shared" si="66"/>
        <v>0.75060000000000004</v>
      </c>
      <c r="CR186" s="112">
        <v>0.21</v>
      </c>
      <c r="CS186" s="112">
        <v>0.5</v>
      </c>
      <c r="CT186" s="112">
        <v>0.28000000000000003</v>
      </c>
      <c r="CU186" s="112">
        <f t="shared" si="79"/>
        <v>0.71</v>
      </c>
      <c r="CV186" s="112">
        <f t="shared" si="68"/>
        <v>0.78</v>
      </c>
    </row>
    <row r="187" spans="1:100" s="112" customFormat="1" x14ac:dyDescent="0.25">
      <c r="A187" s="112">
        <v>2021</v>
      </c>
      <c r="B187" s="112">
        <f t="shared" si="71"/>
        <v>69</v>
      </c>
      <c r="C187" s="292">
        <v>44265</v>
      </c>
      <c r="G187" s="293">
        <v>20</v>
      </c>
      <c r="H187" s="294"/>
      <c r="P187" s="295"/>
      <c r="Q187" s="294"/>
      <c r="Y187" s="296"/>
      <c r="AA187" s="296"/>
      <c r="AB187" s="297"/>
      <c r="AD187" s="293">
        <f t="shared" si="80"/>
        <v>20</v>
      </c>
      <c r="AE187" s="298"/>
      <c r="AF187" s="299"/>
      <c r="AG187" s="305">
        <f>G187/AH187</f>
        <v>36.36363636363636</v>
      </c>
      <c r="AH187" s="114">
        <f t="shared" si="61"/>
        <v>0.55000000000000004</v>
      </c>
      <c r="AI187" s="114"/>
      <c r="AJ187" s="112">
        <f>0.5*($B187-$B186)*$AG187</f>
        <v>1236.3636363636363</v>
      </c>
      <c r="AK187" s="250"/>
      <c r="AL187" s="293">
        <f>MAX($G$186:$G$189)/AH187</f>
        <v>36.36363636363636</v>
      </c>
      <c r="AM187" s="298"/>
      <c r="AO187" s="114"/>
      <c r="AP187" s="114"/>
      <c r="AQ187" s="315"/>
      <c r="AR187" s="114"/>
      <c r="AS187" s="114"/>
      <c r="AT187" s="114">
        <f>AL187*$AS$188</f>
        <v>0</v>
      </c>
      <c r="AU187" s="300"/>
      <c r="AY187" s="297"/>
      <c r="BA187" s="299"/>
      <c r="CB187" s="112">
        <v>16.2</v>
      </c>
      <c r="CC187" s="112">
        <f t="shared" si="74"/>
        <v>0.84445999999999988</v>
      </c>
      <c r="CG187" s="112">
        <v>79</v>
      </c>
      <c r="CH187" s="112">
        <f t="shared" si="75"/>
        <v>0.71099999999999997</v>
      </c>
      <c r="CJ187" s="112">
        <v>79</v>
      </c>
      <c r="CL187" s="112">
        <f t="shared" si="76"/>
        <v>0.23700000000000002</v>
      </c>
      <c r="CM187" s="112">
        <f t="shared" si="77"/>
        <v>0.53970000000000007</v>
      </c>
      <c r="CN187" s="112">
        <f t="shared" si="78"/>
        <v>0.2072</v>
      </c>
      <c r="CO187" s="112">
        <f t="shared" si="66"/>
        <v>0.77670000000000006</v>
      </c>
      <c r="CP187" s="112">
        <f t="shared" si="66"/>
        <v>0.74690000000000012</v>
      </c>
      <c r="CR187" s="112">
        <v>0.21</v>
      </c>
      <c r="CS187" s="112">
        <v>0.5</v>
      </c>
      <c r="CT187" s="112">
        <v>0.28000000000000003</v>
      </c>
      <c r="CU187" s="112">
        <f t="shared" si="79"/>
        <v>0.71</v>
      </c>
      <c r="CV187" s="112">
        <f t="shared" si="68"/>
        <v>0.78</v>
      </c>
    </row>
    <row r="188" spans="1:100" s="112" customFormat="1" x14ac:dyDescent="0.25">
      <c r="A188" s="112">
        <v>2021</v>
      </c>
      <c r="B188" s="112">
        <f t="shared" si="71"/>
        <v>90</v>
      </c>
      <c r="C188" s="292">
        <v>44286</v>
      </c>
      <c r="G188" s="293">
        <v>20</v>
      </c>
      <c r="H188" s="294"/>
      <c r="P188" s="295"/>
      <c r="Q188" s="294"/>
      <c r="Y188" s="296"/>
      <c r="AA188" s="296"/>
      <c r="AB188" s="297">
        <f>0.5*(B188-B186)*G188</f>
        <v>890</v>
      </c>
      <c r="AD188" s="293">
        <f t="shared" si="80"/>
        <v>20</v>
      </c>
      <c r="AE188" s="298"/>
      <c r="AF188" s="299"/>
      <c r="AG188" s="293">
        <f t="shared" si="70"/>
        <v>36.36363636363636</v>
      </c>
      <c r="AH188" s="114">
        <f t="shared" si="61"/>
        <v>0.55000000000000004</v>
      </c>
      <c r="AJ188" s="112">
        <f>((B188-B187)*AG188)-((B188-B187)*(AG188-AG187)*0.5)</f>
        <v>763.63636363636351</v>
      </c>
      <c r="AK188" s="250"/>
      <c r="AL188" s="293">
        <f>MAX($G$186:$G$189)/AH188</f>
        <v>36.36363636363636</v>
      </c>
      <c r="AU188" s="300"/>
      <c r="AY188" s="297"/>
      <c r="BA188" s="299"/>
      <c r="CB188" s="112">
        <v>15.4</v>
      </c>
      <c r="CC188" s="112">
        <f t="shared" si="74"/>
        <v>0.80262</v>
      </c>
      <c r="CG188" s="112">
        <v>79</v>
      </c>
      <c r="CH188" s="112">
        <f t="shared" si="75"/>
        <v>0.71099999999999997</v>
      </c>
      <c r="CJ188" s="112">
        <v>79</v>
      </c>
      <c r="CL188" s="112">
        <f t="shared" si="76"/>
        <v>0.23700000000000002</v>
      </c>
      <c r="CM188" s="112">
        <f t="shared" si="77"/>
        <v>0.53970000000000007</v>
      </c>
      <c r="CN188" s="112">
        <f t="shared" si="78"/>
        <v>0.2072</v>
      </c>
      <c r="CO188" s="112">
        <f t="shared" si="66"/>
        <v>0.77670000000000006</v>
      </c>
      <c r="CP188" s="112">
        <f t="shared" si="66"/>
        <v>0.74690000000000012</v>
      </c>
      <c r="CR188" s="112">
        <v>0.21</v>
      </c>
      <c r="CS188" s="112">
        <v>0.5</v>
      </c>
      <c r="CT188" s="112">
        <v>0.28000000000000003</v>
      </c>
      <c r="CU188" s="112">
        <f t="shared" si="79"/>
        <v>0.71</v>
      </c>
      <c r="CV188" s="112">
        <f t="shared" si="68"/>
        <v>0.78</v>
      </c>
    </row>
    <row r="189" spans="1:100" s="112" customFormat="1" x14ac:dyDescent="0.25">
      <c r="A189" s="112">
        <v>2021</v>
      </c>
      <c r="B189" s="112">
        <f t="shared" si="71"/>
        <v>127</v>
      </c>
      <c r="C189" s="292">
        <v>44323</v>
      </c>
      <c r="G189" s="293">
        <v>7</v>
      </c>
      <c r="H189" s="294"/>
      <c r="P189" s="295"/>
      <c r="Q189" s="294"/>
      <c r="Y189" s="296"/>
      <c r="AA189" s="296"/>
      <c r="AB189" s="297">
        <f>((B189-B188)*G189)-((B189-B188)*(G189-G188)*0.5)</f>
        <v>499.5</v>
      </c>
      <c r="AD189" s="293">
        <f t="shared" si="80"/>
        <v>20</v>
      </c>
      <c r="AE189" s="298"/>
      <c r="AF189" s="299"/>
      <c r="AG189" s="293">
        <f t="shared" si="70"/>
        <v>12.727272727272727</v>
      </c>
      <c r="AH189" s="114">
        <f t="shared" si="61"/>
        <v>0.55000000000000004</v>
      </c>
      <c r="AJ189" s="112">
        <f>((B189-B188)*AG189)-((B189-B188)*(AG189-AG188)*0.5)</f>
        <v>908.18181818181802</v>
      </c>
      <c r="AK189" s="250"/>
      <c r="AL189" s="293">
        <f>MAX($G$186:$G$189)/AH189</f>
        <v>36.36363636363636</v>
      </c>
      <c r="AU189" s="300"/>
      <c r="AY189" s="297"/>
      <c r="BA189" s="299"/>
      <c r="CB189" s="112">
        <v>15.6</v>
      </c>
      <c r="CC189" s="112">
        <f t="shared" si="74"/>
        <v>0.81307999999999991</v>
      </c>
      <c r="CG189" s="112">
        <v>80</v>
      </c>
      <c r="CH189" s="112">
        <f t="shared" si="75"/>
        <v>0.72</v>
      </c>
      <c r="CJ189" s="112">
        <v>80</v>
      </c>
      <c r="CL189" s="112">
        <f t="shared" si="76"/>
        <v>0.24</v>
      </c>
      <c r="CM189" s="112">
        <f t="shared" si="77"/>
        <v>0.53580000000000005</v>
      </c>
      <c r="CN189" s="112">
        <f t="shared" si="78"/>
        <v>0.20739999999999997</v>
      </c>
      <c r="CO189" s="112">
        <f t="shared" si="66"/>
        <v>0.77580000000000005</v>
      </c>
      <c r="CP189" s="112">
        <f t="shared" si="66"/>
        <v>0.74320000000000008</v>
      </c>
      <c r="CR189" s="112">
        <v>0.21</v>
      </c>
      <c r="CS189" s="112">
        <v>0.5</v>
      </c>
      <c r="CT189" s="112">
        <v>0.28000000000000003</v>
      </c>
      <c r="CU189" s="112">
        <f t="shared" si="79"/>
        <v>0.71</v>
      </c>
      <c r="CV189" s="112">
        <f t="shared" si="68"/>
        <v>0.78</v>
      </c>
    </row>
    <row r="190" spans="1:100" s="112" customFormat="1" x14ac:dyDescent="0.25">
      <c r="A190" s="112">
        <v>2021</v>
      </c>
      <c r="B190" s="112">
        <f t="shared" si="71"/>
        <v>151</v>
      </c>
      <c r="C190" s="292">
        <v>44347</v>
      </c>
      <c r="G190" s="293">
        <v>0</v>
      </c>
      <c r="H190" s="294"/>
      <c r="P190" s="295"/>
      <c r="Q190" s="294"/>
      <c r="Y190" s="296"/>
      <c r="AA190" s="296"/>
      <c r="AB190" s="297">
        <f>((B190-B189)*G190)-((B190-B189)*(G190-G189)*0.5)</f>
        <v>84</v>
      </c>
      <c r="AC190" s="112">
        <f>AF190/$AF$1</f>
        <v>29.47</v>
      </c>
      <c r="AD190" s="293">
        <f t="shared" si="80"/>
        <v>20</v>
      </c>
      <c r="AE190" s="298">
        <f>AC190/AD190</f>
        <v>1.4735</v>
      </c>
      <c r="AF190" s="306">
        <f>SUM(AB186:AB190)</f>
        <v>1473.5</v>
      </c>
      <c r="AG190" s="293">
        <f t="shared" ref="AG190:AG206" si="81">G190/AH190</f>
        <v>0</v>
      </c>
      <c r="AH190" s="114">
        <f t="shared" si="61"/>
        <v>0.55000000000000004</v>
      </c>
      <c r="AJ190" s="112">
        <f>0.5*(B190-B189)*AG189</f>
        <v>152.72727272727272</v>
      </c>
      <c r="AK190" s="249">
        <f>AN190/$AN$1</f>
        <v>61.218181818181812</v>
      </c>
      <c r="AL190" s="293">
        <f>MAX($G$186:$G$189)/AH190</f>
        <v>36.36363636363636</v>
      </c>
      <c r="AM190" s="298">
        <f>AK190/AL190</f>
        <v>1.6835</v>
      </c>
      <c r="AN190" s="298">
        <f>SUM(AJ186:AJ190)</f>
        <v>3060.9090909090905</v>
      </c>
      <c r="AQ190" s="112">
        <f>AL190*AP196</f>
        <v>0</v>
      </c>
      <c r="AU190" s="300"/>
      <c r="AY190" s="297"/>
      <c r="BA190" s="299"/>
      <c r="CB190" s="112">
        <v>15.8</v>
      </c>
      <c r="CC190" s="112">
        <f t="shared" si="74"/>
        <v>0.82354000000000005</v>
      </c>
      <c r="CG190" s="112">
        <v>81</v>
      </c>
      <c r="CH190" s="112">
        <f t="shared" si="75"/>
        <v>0.72899999999999998</v>
      </c>
      <c r="CJ190" s="112">
        <v>81</v>
      </c>
      <c r="CL190" s="112">
        <f t="shared" si="76"/>
        <v>0.24299999999999999</v>
      </c>
      <c r="CM190" s="112">
        <f t="shared" si="77"/>
        <v>0.53190000000000004</v>
      </c>
      <c r="CN190" s="112">
        <f t="shared" si="78"/>
        <v>0.20759999999999998</v>
      </c>
      <c r="CO190" s="112">
        <f t="shared" si="66"/>
        <v>0.77490000000000003</v>
      </c>
      <c r="CP190" s="112">
        <f t="shared" si="66"/>
        <v>0.73950000000000005</v>
      </c>
      <c r="CR190" s="112">
        <v>0.21</v>
      </c>
      <c r="CS190" s="112">
        <v>0.5</v>
      </c>
      <c r="CT190" s="112">
        <v>0.28000000000000003</v>
      </c>
      <c r="CU190" s="112">
        <f t="shared" si="79"/>
        <v>0.71</v>
      </c>
      <c r="CV190" s="112">
        <f t="shared" si="68"/>
        <v>0.78</v>
      </c>
    </row>
    <row r="191" spans="1:100" x14ac:dyDescent="0.25">
      <c r="A191">
        <v>2022</v>
      </c>
      <c r="B191">
        <f t="shared" ref="B191:B200" si="82">C191-DATE(YEAR(C191),1,1)+1</f>
        <v>1</v>
      </c>
      <c r="C191" s="109">
        <v>44562</v>
      </c>
      <c r="G191" s="77">
        <v>0</v>
      </c>
      <c r="AD191" s="77">
        <f t="shared" si="80"/>
        <v>20</v>
      </c>
      <c r="AG191" s="126">
        <f t="shared" si="81"/>
        <v>0</v>
      </c>
      <c r="AH191" s="108">
        <f t="shared" si="61"/>
        <v>0.55000000000000004</v>
      </c>
      <c r="AI191" s="108"/>
      <c r="AJ191" s="108"/>
      <c r="AL191" s="77">
        <f>MAX($G$191:$P$195)/AH191</f>
        <v>27.27272727272727</v>
      </c>
      <c r="AM191" s="73"/>
      <c r="AO191" s="108"/>
      <c r="AP191" s="108"/>
      <c r="AQ191" s="310"/>
      <c r="AR191" s="108"/>
      <c r="AS191" s="108"/>
      <c r="AT191" s="108">
        <f>AL191*$AS$188</f>
        <v>0</v>
      </c>
      <c r="BB191"/>
      <c r="BC191"/>
      <c r="BD191"/>
      <c r="BE191"/>
      <c r="BF191"/>
      <c r="BG191"/>
      <c r="BH191"/>
      <c r="BI191"/>
      <c r="BJ191"/>
      <c r="BK191"/>
      <c r="CB191">
        <v>15.2</v>
      </c>
      <c r="CC191">
        <f t="shared" ref="CC191:CC200" si="83">(($CB$89)*CB191)-($CC$89)</f>
        <v>0.79215999999999998</v>
      </c>
      <c r="CG191">
        <v>78</v>
      </c>
      <c r="CH191">
        <f>CG191*0.009</f>
        <v>0.70199999999999996</v>
      </c>
      <c r="CJ191">
        <v>78</v>
      </c>
      <c r="CL191">
        <f>((0.003)*CJ191)</f>
        <v>0.23400000000000001</v>
      </c>
      <c r="CM191">
        <f>((-0.0039)*CJ191)+0.8478</f>
        <v>0.54360000000000008</v>
      </c>
      <c r="CN191">
        <f>(0.0002*CJ191)+0.1914</f>
        <v>0.20699999999999999</v>
      </c>
      <c r="CO191">
        <f t="shared" ref="CO191:CP195" si="84">CL191+CM191</f>
        <v>0.77760000000000007</v>
      </c>
      <c r="CP191">
        <f t="shared" si="84"/>
        <v>0.75060000000000004</v>
      </c>
      <c r="CR191">
        <v>0.21</v>
      </c>
      <c r="CS191">
        <v>0.5</v>
      </c>
      <c r="CT191">
        <v>0.28000000000000003</v>
      </c>
      <c r="CU191">
        <f t="shared" ref="CU191:CV195" si="85">CR191+CS191</f>
        <v>0.71</v>
      </c>
      <c r="CV191">
        <f t="shared" si="85"/>
        <v>0.78</v>
      </c>
    </row>
    <row r="192" spans="1:100" x14ac:dyDescent="0.25">
      <c r="A192">
        <v>2022</v>
      </c>
      <c r="B192">
        <f t="shared" si="82"/>
        <v>67</v>
      </c>
      <c r="C192" s="109">
        <v>44628</v>
      </c>
      <c r="G192" s="77">
        <v>15</v>
      </c>
      <c r="AD192" s="77">
        <f t="shared" si="80"/>
        <v>20</v>
      </c>
      <c r="AG192" s="126">
        <f>G192/AH192</f>
        <v>27.27272727272727</v>
      </c>
      <c r="AH192" s="108">
        <f t="shared" si="61"/>
        <v>0.55000000000000004</v>
      </c>
      <c r="AI192" s="108"/>
      <c r="AJ192">
        <f>0.5*($B192-$B191)*$AG192</f>
        <v>899.99999999999989</v>
      </c>
      <c r="AL192" s="77">
        <f>MAX($G$191:$P$195)/AH192</f>
        <v>27.27272727272727</v>
      </c>
      <c r="AM192" s="73"/>
      <c r="AO192" s="108"/>
      <c r="AP192" s="108"/>
      <c r="AQ192" s="310"/>
      <c r="AR192" s="108"/>
      <c r="AS192" s="108"/>
      <c r="AT192" s="108">
        <f>AL192*$AS$188</f>
        <v>0</v>
      </c>
      <c r="BB192"/>
      <c r="BC192"/>
      <c r="BD192"/>
      <c r="BE192"/>
      <c r="BF192"/>
      <c r="BG192"/>
      <c r="BH192"/>
      <c r="BI192"/>
      <c r="BJ192"/>
      <c r="BK192"/>
      <c r="CB192">
        <v>16.2</v>
      </c>
      <c r="CC192">
        <f t="shared" si="83"/>
        <v>0.84445999999999988</v>
      </c>
      <c r="CG192">
        <v>79</v>
      </c>
      <c r="CH192">
        <f>CG192*0.009</f>
        <v>0.71099999999999997</v>
      </c>
      <c r="CJ192">
        <v>79</v>
      </c>
      <c r="CL192">
        <f>((0.003)*CJ192)</f>
        <v>0.23700000000000002</v>
      </c>
      <c r="CM192">
        <f>((-0.0039)*CJ192)+0.8478</f>
        <v>0.53970000000000007</v>
      </c>
      <c r="CN192">
        <f>(0.0002*CJ192)+0.1914</f>
        <v>0.2072</v>
      </c>
      <c r="CO192">
        <f t="shared" si="84"/>
        <v>0.77670000000000006</v>
      </c>
      <c r="CP192">
        <f t="shared" si="84"/>
        <v>0.74690000000000012</v>
      </c>
      <c r="CR192">
        <v>0.21</v>
      </c>
      <c r="CS192">
        <v>0.5</v>
      </c>
      <c r="CT192">
        <v>0.28000000000000003</v>
      </c>
      <c r="CU192">
        <f t="shared" si="85"/>
        <v>0.71</v>
      </c>
      <c r="CV192">
        <f t="shared" si="85"/>
        <v>0.78</v>
      </c>
    </row>
    <row r="193" spans="1:100" x14ac:dyDescent="0.25">
      <c r="A193">
        <v>2022</v>
      </c>
      <c r="B193">
        <f t="shared" si="82"/>
        <v>90</v>
      </c>
      <c r="C193" s="109">
        <v>44651</v>
      </c>
      <c r="G193" s="77">
        <v>15</v>
      </c>
      <c r="AB193" s="61">
        <f>0.5*(B193-B191)*G193</f>
        <v>667.5</v>
      </c>
      <c r="AD193" s="77">
        <f t="shared" si="80"/>
        <v>20</v>
      </c>
      <c r="AG193" s="77">
        <f t="shared" si="81"/>
        <v>27.27272727272727</v>
      </c>
      <c r="AH193" s="108">
        <f t="shared" si="61"/>
        <v>0.55000000000000004</v>
      </c>
      <c r="AJ193">
        <f>((B193-B192)*AG193)-((B193-B192)*(AG193-AG192)*0.5)</f>
        <v>627.27272727272725</v>
      </c>
      <c r="AL193" s="77">
        <f>MAX($G$191:$P$195)/AH193</f>
        <v>27.27272727272727</v>
      </c>
      <c r="AO193"/>
      <c r="AP193"/>
      <c r="AQ193"/>
      <c r="AR193"/>
      <c r="AS193"/>
      <c r="AT193"/>
      <c r="BB193"/>
      <c r="BC193"/>
      <c r="BD193"/>
      <c r="BE193"/>
      <c r="BF193"/>
      <c r="BG193"/>
      <c r="BH193"/>
      <c r="BI193"/>
      <c r="BJ193"/>
      <c r="BK193"/>
      <c r="CB193">
        <v>15.4</v>
      </c>
      <c r="CC193">
        <f t="shared" si="83"/>
        <v>0.80262</v>
      </c>
      <c r="CG193">
        <v>79</v>
      </c>
      <c r="CH193">
        <f>CG193*0.009</f>
        <v>0.71099999999999997</v>
      </c>
      <c r="CJ193">
        <v>79</v>
      </c>
      <c r="CL193">
        <f>((0.003)*CJ193)</f>
        <v>0.23700000000000002</v>
      </c>
      <c r="CM193">
        <f>((-0.0039)*CJ193)+0.8478</f>
        <v>0.53970000000000007</v>
      </c>
      <c r="CN193">
        <f>(0.0002*CJ193)+0.1914</f>
        <v>0.2072</v>
      </c>
      <c r="CO193">
        <f t="shared" si="84"/>
        <v>0.77670000000000006</v>
      </c>
      <c r="CP193">
        <f t="shared" si="84"/>
        <v>0.74690000000000012</v>
      </c>
      <c r="CR193">
        <v>0.21</v>
      </c>
      <c r="CS193">
        <v>0.5</v>
      </c>
      <c r="CT193">
        <v>0.28000000000000003</v>
      </c>
      <c r="CU193">
        <f t="shared" si="85"/>
        <v>0.71</v>
      </c>
      <c r="CV193">
        <f t="shared" si="85"/>
        <v>0.78</v>
      </c>
    </row>
    <row r="194" spans="1:100" x14ac:dyDescent="0.25">
      <c r="A194">
        <v>2022</v>
      </c>
      <c r="B194">
        <f t="shared" si="82"/>
        <v>116</v>
      </c>
      <c r="C194" s="109">
        <v>44677</v>
      </c>
      <c r="G194" s="77">
        <v>15</v>
      </c>
      <c r="AB194" s="61">
        <f>((B194-B193)*G194)-((B194-B193)*(G194-G193)*0.5)</f>
        <v>390</v>
      </c>
      <c r="AD194" s="77">
        <f t="shared" si="80"/>
        <v>20</v>
      </c>
      <c r="AG194" s="77">
        <f t="shared" si="81"/>
        <v>27.27272727272727</v>
      </c>
      <c r="AH194" s="108">
        <f t="shared" si="61"/>
        <v>0.55000000000000004</v>
      </c>
      <c r="AJ194">
        <f>((B194-B193)*AG194)-((B194-B193)*(AG194-AG193)*0.5)</f>
        <v>709.09090909090901</v>
      </c>
      <c r="AL194" s="77">
        <f>MAX($G$191:$P$195)/AH194</f>
        <v>27.27272727272727</v>
      </c>
      <c r="AO194"/>
      <c r="AP194"/>
      <c r="AQ194"/>
      <c r="AR194"/>
      <c r="AS194"/>
      <c r="AT194"/>
      <c r="BB194"/>
      <c r="BC194"/>
      <c r="BD194"/>
      <c r="BE194"/>
      <c r="BF194"/>
      <c r="BG194"/>
      <c r="BH194"/>
      <c r="BI194"/>
      <c r="BJ194"/>
      <c r="BK194"/>
      <c r="CB194">
        <v>15.6</v>
      </c>
      <c r="CC194">
        <f t="shared" si="83"/>
        <v>0.81307999999999991</v>
      </c>
      <c r="CG194">
        <v>80</v>
      </c>
      <c r="CH194">
        <f>CG194*0.009</f>
        <v>0.72</v>
      </c>
      <c r="CJ194">
        <v>80</v>
      </c>
      <c r="CL194">
        <f>((0.003)*CJ194)</f>
        <v>0.24</v>
      </c>
      <c r="CM194">
        <f>((-0.0039)*CJ194)+0.8478</f>
        <v>0.53580000000000005</v>
      </c>
      <c r="CN194">
        <f>(0.0002*CJ194)+0.1914</f>
        <v>0.20739999999999997</v>
      </c>
      <c r="CO194">
        <f t="shared" si="84"/>
        <v>0.77580000000000005</v>
      </c>
      <c r="CP194">
        <f t="shared" si="84"/>
        <v>0.74320000000000008</v>
      </c>
      <c r="CR194">
        <v>0.21</v>
      </c>
      <c r="CS194">
        <v>0.5</v>
      </c>
      <c r="CT194">
        <v>0.28000000000000003</v>
      </c>
      <c r="CU194">
        <f t="shared" si="85"/>
        <v>0.71</v>
      </c>
      <c r="CV194">
        <f t="shared" si="85"/>
        <v>0.78</v>
      </c>
    </row>
    <row r="195" spans="1:100" x14ac:dyDescent="0.25">
      <c r="A195">
        <v>2022</v>
      </c>
      <c r="B195">
        <f t="shared" si="82"/>
        <v>151</v>
      </c>
      <c r="C195" s="109">
        <v>44712</v>
      </c>
      <c r="G195" s="77">
        <v>0</v>
      </c>
      <c r="AB195" s="61">
        <f>((B195-B194)*G195)-((B195-B194)*(G195-G194)*0.5)</f>
        <v>262.5</v>
      </c>
      <c r="AC195">
        <f>AF195/$AF$1</f>
        <v>26.4</v>
      </c>
      <c r="AD195" s="77">
        <f t="shared" si="80"/>
        <v>20</v>
      </c>
      <c r="AE195" s="73">
        <f>AC195/AD195</f>
        <v>1.3199999999999998</v>
      </c>
      <c r="AF195" s="279">
        <f>SUM(AB191:AB195)</f>
        <v>1320</v>
      </c>
      <c r="AG195" s="77">
        <f t="shared" si="81"/>
        <v>0</v>
      </c>
      <c r="AH195" s="108">
        <f t="shared" si="61"/>
        <v>0.55000000000000004</v>
      </c>
      <c r="AJ195">
        <f>0.5*(B195-B194)*AG194</f>
        <v>477.2727272727272</v>
      </c>
      <c r="AK195" s="249">
        <f>AN195/$AN$1</f>
        <v>54.272727272727259</v>
      </c>
      <c r="AL195" s="77">
        <f>MAX($G$191:$P$195)/AH195</f>
        <v>27.27272727272727</v>
      </c>
      <c r="AM195" s="73">
        <f>AK195/AL195</f>
        <v>1.9899999999999998</v>
      </c>
      <c r="AN195" s="73">
        <f>SUM(AJ191:AJ195)</f>
        <v>2713.6363636363631</v>
      </c>
      <c r="AO195"/>
      <c r="AP195"/>
      <c r="AQ195">
        <f>AL195*AP201</f>
        <v>0</v>
      </c>
      <c r="AR195"/>
      <c r="AS195"/>
      <c r="AT195"/>
      <c r="BB195"/>
      <c r="BC195"/>
      <c r="BD195"/>
      <c r="BE195"/>
      <c r="BF195"/>
      <c r="BG195"/>
      <c r="BH195"/>
      <c r="BI195"/>
      <c r="BJ195"/>
      <c r="BK195"/>
      <c r="CB195">
        <v>15.8</v>
      </c>
      <c r="CC195">
        <f t="shared" si="83"/>
        <v>0.82354000000000005</v>
      </c>
      <c r="CG195">
        <v>81</v>
      </c>
      <c r="CH195">
        <f>CG195*0.009</f>
        <v>0.72899999999999998</v>
      </c>
      <c r="CJ195">
        <v>81</v>
      </c>
      <c r="CL195">
        <f>((0.003)*CJ195)</f>
        <v>0.24299999999999999</v>
      </c>
      <c r="CM195">
        <f>((-0.0039)*CJ195)+0.8478</f>
        <v>0.53190000000000004</v>
      </c>
      <c r="CN195">
        <f>(0.0002*CJ195)+0.1914</f>
        <v>0.20759999999999998</v>
      </c>
      <c r="CO195">
        <f t="shared" si="84"/>
        <v>0.77490000000000003</v>
      </c>
      <c r="CP195">
        <f t="shared" si="84"/>
        <v>0.73950000000000005</v>
      </c>
      <c r="CR195">
        <v>0.21</v>
      </c>
      <c r="CS195">
        <v>0.5</v>
      </c>
      <c r="CT195">
        <v>0.28000000000000003</v>
      </c>
      <c r="CU195">
        <f t="shared" si="85"/>
        <v>0.71</v>
      </c>
      <c r="CV195">
        <f t="shared" si="85"/>
        <v>0.78</v>
      </c>
    </row>
    <row r="196" spans="1:100" x14ac:dyDescent="0.25">
      <c r="A196">
        <v>2023</v>
      </c>
      <c r="B196">
        <f t="shared" si="82"/>
        <v>1</v>
      </c>
      <c r="C196" s="109">
        <v>44562</v>
      </c>
      <c r="G196" s="77">
        <v>0</v>
      </c>
      <c r="AD196">
        <f t="shared" si="80"/>
        <v>20</v>
      </c>
      <c r="AG196" s="77">
        <f t="shared" si="81"/>
        <v>0</v>
      </c>
      <c r="AH196">
        <f t="shared" si="61"/>
        <v>0.55000000000000004</v>
      </c>
      <c r="AL196">
        <f>MAX($G$196:$P$200)/AH197</f>
        <v>59.999999999999993</v>
      </c>
      <c r="CB196">
        <v>17.8</v>
      </c>
      <c r="CC196">
        <f t="shared" si="83"/>
        <v>0.92813999999999997</v>
      </c>
      <c r="CG196">
        <v>91</v>
      </c>
      <c r="CH196">
        <f t="shared" si="63"/>
        <v>0.81899999999999995</v>
      </c>
      <c r="CJ196">
        <v>91</v>
      </c>
      <c r="CL196">
        <f t="shared" si="64"/>
        <v>0.27300000000000002</v>
      </c>
      <c r="CM196">
        <f t="shared" si="65"/>
        <v>0.4929</v>
      </c>
      <c r="CN196">
        <f t="shared" si="62"/>
        <v>0.20959999999999998</v>
      </c>
      <c r="CO196">
        <f t="shared" si="66"/>
        <v>0.76590000000000003</v>
      </c>
      <c r="CP196">
        <f t="shared" si="66"/>
        <v>0.70250000000000001</v>
      </c>
      <c r="CR196">
        <v>0.21</v>
      </c>
      <c r="CS196">
        <v>0.5</v>
      </c>
      <c r="CT196">
        <v>0.28000000000000003</v>
      </c>
      <c r="CU196">
        <f t="shared" si="67"/>
        <v>0.71</v>
      </c>
      <c r="CV196">
        <f t="shared" si="68"/>
        <v>0.78</v>
      </c>
    </row>
    <row r="197" spans="1:100" s="112" customFormat="1" x14ac:dyDescent="0.25">
      <c r="A197" s="112">
        <v>2023</v>
      </c>
      <c r="B197" s="112">
        <f t="shared" si="82"/>
        <v>62</v>
      </c>
      <c r="C197" s="292">
        <v>44988</v>
      </c>
      <c r="G197" s="293">
        <v>14</v>
      </c>
      <c r="H197" s="294"/>
      <c r="P197" s="295"/>
      <c r="Q197" s="294"/>
      <c r="Y197" s="296"/>
      <c r="AA197" s="296"/>
      <c r="AB197" s="297"/>
      <c r="AD197" s="112">
        <f t="shared" si="80"/>
        <v>20</v>
      </c>
      <c r="AE197" s="298"/>
      <c r="AF197" s="299"/>
      <c r="AG197" s="293">
        <f t="shared" si="81"/>
        <v>25.454545454545453</v>
      </c>
      <c r="AH197" s="112">
        <f t="shared" si="61"/>
        <v>0.55000000000000004</v>
      </c>
      <c r="AJ197" s="112">
        <f>0.5*($B197-$B196)*$AG197</f>
        <v>776.36363636363637</v>
      </c>
      <c r="AL197" s="293">
        <f>MAX($G$191:$P$195)/AH197</f>
        <v>27.27272727272727</v>
      </c>
      <c r="AU197" s="300"/>
      <c r="AY197" s="297"/>
      <c r="BA197" s="299"/>
      <c r="CB197" s="112">
        <v>18</v>
      </c>
      <c r="CC197" s="112">
        <f t="shared" si="83"/>
        <v>0.93859999999999999</v>
      </c>
      <c r="CG197" s="112">
        <v>92</v>
      </c>
      <c r="CH197" s="112">
        <f t="shared" si="63"/>
        <v>0.82799999999999996</v>
      </c>
      <c r="CJ197" s="112">
        <v>92</v>
      </c>
      <c r="CL197" s="112">
        <f t="shared" si="64"/>
        <v>0.27600000000000002</v>
      </c>
      <c r="CM197" s="112">
        <f t="shared" si="65"/>
        <v>0.48899999999999999</v>
      </c>
      <c r="CN197" s="112">
        <f t="shared" si="62"/>
        <v>0.20979999999999999</v>
      </c>
      <c r="CO197" s="112">
        <f t="shared" si="66"/>
        <v>0.76500000000000001</v>
      </c>
      <c r="CP197" s="112">
        <f t="shared" si="66"/>
        <v>0.69879999999999998</v>
      </c>
      <c r="CR197" s="112">
        <v>0.21</v>
      </c>
      <c r="CS197" s="112">
        <v>0.5</v>
      </c>
      <c r="CT197" s="112">
        <v>0.28000000000000003</v>
      </c>
      <c r="CU197" s="112">
        <f t="shared" si="67"/>
        <v>0.71</v>
      </c>
      <c r="CV197" s="112">
        <f t="shared" si="68"/>
        <v>0.78</v>
      </c>
    </row>
    <row r="198" spans="1:100" s="112" customFormat="1" x14ac:dyDescent="0.25">
      <c r="A198" s="112">
        <v>2023</v>
      </c>
      <c r="B198" s="112">
        <f t="shared" si="82"/>
        <v>104</v>
      </c>
      <c r="C198" s="292">
        <v>45030</v>
      </c>
      <c r="G198" s="293">
        <v>28</v>
      </c>
      <c r="H198" s="294"/>
      <c r="P198" s="295"/>
      <c r="Q198" s="294"/>
      <c r="Y198" s="296"/>
      <c r="AA198" s="296"/>
      <c r="AB198" s="297">
        <f>0.5*(B198-B196)*G198</f>
        <v>1442</v>
      </c>
      <c r="AD198" s="112">
        <f t="shared" si="80"/>
        <v>20</v>
      </c>
      <c r="AE198" s="298"/>
      <c r="AF198" s="299"/>
      <c r="AG198" s="293">
        <f t="shared" si="81"/>
        <v>50.909090909090907</v>
      </c>
      <c r="AH198" s="112">
        <f t="shared" si="61"/>
        <v>0.55000000000000004</v>
      </c>
      <c r="AJ198" s="112">
        <f>((B198-B197)*AG198)-((B198-B197)*(AG198-AG197)*0.5)</f>
        <v>1603.6363636363635</v>
      </c>
      <c r="AL198" s="293">
        <f>MAX($G$191:$P$195)/AH198</f>
        <v>27.27272727272727</v>
      </c>
      <c r="AU198" s="300"/>
      <c r="AY198" s="297"/>
      <c r="BA198" s="299"/>
      <c r="CB198" s="112">
        <v>18.2</v>
      </c>
      <c r="CC198" s="112">
        <f t="shared" si="83"/>
        <v>0.9490599999999999</v>
      </c>
      <c r="CG198" s="112">
        <v>93</v>
      </c>
      <c r="CH198" s="112">
        <f t="shared" si="63"/>
        <v>0.83699999999999997</v>
      </c>
      <c r="CJ198" s="112">
        <v>93</v>
      </c>
      <c r="CL198" s="112">
        <f t="shared" si="64"/>
        <v>0.27900000000000003</v>
      </c>
      <c r="CM198" s="112">
        <f t="shared" si="65"/>
        <v>0.48510000000000003</v>
      </c>
      <c r="CN198" s="112">
        <f t="shared" si="62"/>
        <v>0.21</v>
      </c>
      <c r="CO198" s="112">
        <f t="shared" si="66"/>
        <v>0.7641</v>
      </c>
      <c r="CP198" s="112">
        <f t="shared" si="66"/>
        <v>0.69510000000000005</v>
      </c>
      <c r="CR198" s="112">
        <v>0.21</v>
      </c>
      <c r="CS198" s="112">
        <v>0.5</v>
      </c>
      <c r="CT198" s="112">
        <v>0.28000000000000003</v>
      </c>
      <c r="CU198" s="112">
        <f t="shared" si="67"/>
        <v>0.71</v>
      </c>
      <c r="CV198" s="112">
        <f t="shared" si="68"/>
        <v>0.78</v>
      </c>
    </row>
    <row r="199" spans="1:100" s="112" customFormat="1" x14ac:dyDescent="0.25">
      <c r="A199" s="112">
        <v>2023</v>
      </c>
      <c r="B199" s="112">
        <f t="shared" si="82"/>
        <v>118</v>
      </c>
      <c r="C199" s="292">
        <v>45044</v>
      </c>
      <c r="G199" s="293">
        <v>33</v>
      </c>
      <c r="H199" s="294"/>
      <c r="P199" s="295"/>
      <c r="Q199" s="294"/>
      <c r="Y199" s="296"/>
      <c r="AA199" s="296"/>
      <c r="AB199" s="297">
        <f>((B199-B198)*G199)-((B199-B198)*(G199-G198)*0.5)</f>
        <v>427</v>
      </c>
      <c r="AD199" s="112">
        <f t="shared" si="80"/>
        <v>20</v>
      </c>
      <c r="AE199" s="298"/>
      <c r="AF199" s="299"/>
      <c r="AG199" s="293">
        <f t="shared" si="81"/>
        <v>59.999999999999993</v>
      </c>
      <c r="AH199" s="112">
        <f t="shared" si="61"/>
        <v>0.55000000000000004</v>
      </c>
      <c r="AJ199" s="112">
        <f>((B199-B198)*AG199)-((B199-B198)*(AG199-AG198)*0.5)</f>
        <v>776.36363636363626</v>
      </c>
      <c r="AL199" s="293">
        <f>MAX($G$191:$P$195)/AH199</f>
        <v>27.27272727272727</v>
      </c>
      <c r="AU199" s="300"/>
      <c r="AY199" s="297"/>
      <c r="BA199" s="299"/>
      <c r="CB199" s="112">
        <v>18.399999999999999</v>
      </c>
      <c r="CC199" s="112">
        <f t="shared" si="83"/>
        <v>0.95951999999999993</v>
      </c>
      <c r="CG199" s="112">
        <v>94</v>
      </c>
      <c r="CH199" s="112">
        <f t="shared" si="63"/>
        <v>0.84599999999999997</v>
      </c>
      <c r="CJ199" s="112">
        <v>94</v>
      </c>
      <c r="CL199" s="112">
        <f t="shared" si="64"/>
        <v>0.28200000000000003</v>
      </c>
      <c r="CM199" s="112">
        <f t="shared" si="65"/>
        <v>0.48120000000000002</v>
      </c>
      <c r="CN199" s="112">
        <f t="shared" si="62"/>
        <v>0.2102</v>
      </c>
      <c r="CO199" s="112">
        <f t="shared" si="66"/>
        <v>0.7632000000000001</v>
      </c>
      <c r="CP199" s="112">
        <f t="shared" si="66"/>
        <v>0.69140000000000001</v>
      </c>
      <c r="CR199" s="112">
        <v>0.21</v>
      </c>
      <c r="CS199" s="112">
        <v>0.5</v>
      </c>
      <c r="CT199" s="112">
        <v>0.28000000000000003</v>
      </c>
      <c r="CU199" s="112">
        <f t="shared" si="67"/>
        <v>0.71</v>
      </c>
      <c r="CV199" s="112">
        <f t="shared" si="68"/>
        <v>0.78</v>
      </c>
    </row>
    <row r="200" spans="1:100" s="112" customFormat="1" x14ac:dyDescent="0.25">
      <c r="A200" s="112">
        <v>2023</v>
      </c>
      <c r="B200" s="112">
        <f t="shared" si="82"/>
        <v>151</v>
      </c>
      <c r="C200" s="292">
        <v>45077</v>
      </c>
      <c r="G200" s="293">
        <v>0</v>
      </c>
      <c r="H200" s="294"/>
      <c r="P200" s="295"/>
      <c r="Q200" s="294"/>
      <c r="Y200" s="296"/>
      <c r="AA200" s="296"/>
      <c r="AB200" s="297">
        <f>((B200-B199)*G200)-((B200-B199)*(G200-G199)*0.5)</f>
        <v>544.5</v>
      </c>
      <c r="AC200" s="112">
        <f>AF200/$AF$1</f>
        <v>48.27</v>
      </c>
      <c r="AD200" s="112">
        <f t="shared" si="80"/>
        <v>20</v>
      </c>
      <c r="AE200" s="298">
        <f>AC200/AD200</f>
        <v>2.4135</v>
      </c>
      <c r="AF200" s="299">
        <f>SUM(AB196:AB200)</f>
        <v>2413.5</v>
      </c>
      <c r="AG200" s="293">
        <f t="shared" si="81"/>
        <v>0</v>
      </c>
      <c r="AH200" s="112">
        <f t="shared" si="61"/>
        <v>0.55000000000000004</v>
      </c>
      <c r="AJ200" s="112">
        <f>0.5*(B200-B199)*AG199</f>
        <v>989.99999999999989</v>
      </c>
      <c r="AK200" s="293">
        <f>AN200/$AN$1</f>
        <v>82.927272727272722</v>
      </c>
      <c r="AL200" s="293">
        <f>MAX($G$191:$P$195)/AH200</f>
        <v>27.27272727272727</v>
      </c>
      <c r="AM200" s="298">
        <f>AK200/AL200</f>
        <v>3.0406666666666666</v>
      </c>
      <c r="AN200" s="298">
        <f>SUM(AJ196:AJ200)</f>
        <v>4146.363636363636</v>
      </c>
      <c r="AU200" s="300"/>
      <c r="AY200" s="297"/>
      <c r="BA200" s="299"/>
      <c r="CB200" s="112">
        <v>18.600000000000001</v>
      </c>
      <c r="CC200" s="112">
        <f t="shared" si="83"/>
        <v>0.96998000000000006</v>
      </c>
      <c r="CG200" s="112">
        <v>95</v>
      </c>
      <c r="CH200" s="112">
        <f t="shared" si="63"/>
        <v>0.85499999999999998</v>
      </c>
      <c r="CJ200" s="112">
        <v>95</v>
      </c>
      <c r="CL200" s="112">
        <f t="shared" si="64"/>
        <v>0.28500000000000003</v>
      </c>
      <c r="CM200" s="112">
        <f t="shared" si="65"/>
        <v>0.4773</v>
      </c>
      <c r="CN200" s="112">
        <f t="shared" si="62"/>
        <v>0.21039999999999998</v>
      </c>
      <c r="CO200" s="112">
        <f t="shared" si="66"/>
        <v>0.76229999999999998</v>
      </c>
      <c r="CP200" s="112">
        <f t="shared" si="66"/>
        <v>0.68769999999999998</v>
      </c>
      <c r="CR200" s="112">
        <v>0.21</v>
      </c>
      <c r="CS200" s="112">
        <v>0.5</v>
      </c>
      <c r="CT200" s="112">
        <v>0.28000000000000003</v>
      </c>
      <c r="CU200" s="112">
        <f t="shared" si="67"/>
        <v>0.71</v>
      </c>
      <c r="CV200" s="112">
        <f t="shared" si="68"/>
        <v>0.78</v>
      </c>
    </row>
    <row r="201" spans="1:100" x14ac:dyDescent="0.25">
      <c r="A201">
        <v>2024</v>
      </c>
      <c r="B201">
        <f t="shared" ref="B201:B206" si="86">C201-DATE(YEAR(C201),1,1)+1</f>
        <v>1</v>
      </c>
      <c r="C201" s="109">
        <v>45292</v>
      </c>
      <c r="G201" s="77">
        <v>0</v>
      </c>
      <c r="AD201">
        <f t="shared" si="80"/>
        <v>20</v>
      </c>
      <c r="AG201" s="77">
        <f t="shared" si="81"/>
        <v>0</v>
      </c>
      <c r="AH201">
        <f t="shared" si="61"/>
        <v>0.55000000000000004</v>
      </c>
      <c r="AL201" s="77">
        <f t="shared" ref="AL201:AL206" si="87">MAX($G$201:$P$206)/AH201</f>
        <v>154.54545454545453</v>
      </c>
      <c r="CB201">
        <v>17.8</v>
      </c>
      <c r="CC201">
        <f t="shared" ref="CC201:CC206" si="88">(($CB$89)*CB201)-($CC$89)</f>
        <v>0.92813999999999997</v>
      </c>
      <c r="CG201">
        <v>91</v>
      </c>
      <c r="CH201">
        <f t="shared" ref="CH201:CH206" si="89">CG201*0.009</f>
        <v>0.81899999999999995</v>
      </c>
      <c r="CJ201">
        <v>91</v>
      </c>
      <c r="CL201">
        <f t="shared" ref="CL201:CL206" si="90">((0.003)*CJ201)</f>
        <v>0.27300000000000002</v>
      </c>
      <c r="CM201">
        <f t="shared" ref="CM201:CM206" si="91">((-0.0039)*CJ201)+0.8478</f>
        <v>0.4929</v>
      </c>
      <c r="CN201">
        <f t="shared" ref="CN201:CN206" si="92">(0.0002*CJ201)+0.1914</f>
        <v>0.20959999999999998</v>
      </c>
      <c r="CO201">
        <f t="shared" ref="CO201:CO206" si="93">CL201+CM201</f>
        <v>0.76590000000000003</v>
      </c>
      <c r="CP201">
        <f t="shared" ref="CP201:CP206" si="94">CM201+CN201</f>
        <v>0.70250000000000001</v>
      </c>
      <c r="CR201">
        <v>0.21</v>
      </c>
      <c r="CS201">
        <v>0.5</v>
      </c>
      <c r="CT201">
        <v>0.28000000000000003</v>
      </c>
      <c r="CU201">
        <f t="shared" ref="CU201:CU206" si="95">CR201+CS201</f>
        <v>0.71</v>
      </c>
      <c r="CV201">
        <f t="shared" ref="CV201:CV206" si="96">CS201+CT201</f>
        <v>0.78</v>
      </c>
    </row>
    <row r="202" spans="1:100" x14ac:dyDescent="0.25">
      <c r="A202">
        <v>2024</v>
      </c>
      <c r="B202">
        <f t="shared" si="86"/>
        <v>44</v>
      </c>
      <c r="C202" s="109">
        <v>44970</v>
      </c>
      <c r="G202" s="77">
        <v>21</v>
      </c>
      <c r="AD202">
        <f t="shared" si="80"/>
        <v>20</v>
      </c>
      <c r="AG202" s="77">
        <f t="shared" si="81"/>
        <v>38.18181818181818</v>
      </c>
      <c r="AH202">
        <f t="shared" si="61"/>
        <v>0.55000000000000004</v>
      </c>
      <c r="AJ202">
        <f>0.5*($B202-$B201)*$AG202</f>
        <v>820.90909090909088</v>
      </c>
      <c r="AL202" s="77">
        <f t="shared" si="87"/>
        <v>154.54545454545453</v>
      </c>
      <c r="CB202">
        <v>18</v>
      </c>
      <c r="CC202">
        <f t="shared" si="88"/>
        <v>0.93859999999999999</v>
      </c>
      <c r="CG202">
        <v>92</v>
      </c>
      <c r="CH202">
        <f t="shared" si="89"/>
        <v>0.82799999999999996</v>
      </c>
      <c r="CJ202">
        <v>92</v>
      </c>
      <c r="CL202">
        <f t="shared" si="90"/>
        <v>0.27600000000000002</v>
      </c>
      <c r="CM202">
        <f t="shared" si="91"/>
        <v>0.48899999999999999</v>
      </c>
      <c r="CN202">
        <f t="shared" si="92"/>
        <v>0.20979999999999999</v>
      </c>
      <c r="CO202">
        <f t="shared" si="93"/>
        <v>0.76500000000000001</v>
      </c>
      <c r="CP202">
        <f t="shared" si="94"/>
        <v>0.69879999999999998</v>
      </c>
      <c r="CR202">
        <v>0.21</v>
      </c>
      <c r="CS202">
        <v>0.5</v>
      </c>
      <c r="CT202">
        <v>0.28000000000000003</v>
      </c>
      <c r="CU202">
        <f t="shared" si="95"/>
        <v>0.71</v>
      </c>
      <c r="CV202">
        <f t="shared" si="96"/>
        <v>0.78</v>
      </c>
    </row>
    <row r="203" spans="1:100" x14ac:dyDescent="0.25">
      <c r="A203">
        <v>2024</v>
      </c>
      <c r="B203">
        <f t="shared" si="86"/>
        <v>93</v>
      </c>
      <c r="C203" s="109">
        <v>45384</v>
      </c>
      <c r="G203" s="77">
        <v>69</v>
      </c>
      <c r="AB203" s="61">
        <f>0.5*(B203-B201)*G203</f>
        <v>3174</v>
      </c>
      <c r="AD203">
        <f t="shared" si="80"/>
        <v>20</v>
      </c>
      <c r="AG203" s="77">
        <f t="shared" si="81"/>
        <v>125.45454545454544</v>
      </c>
      <c r="AH203">
        <f t="shared" si="61"/>
        <v>0.55000000000000004</v>
      </c>
      <c r="AJ203">
        <f>((B203-B202)*AG203)-((B203-B202)*(AG203-AG202)*0.5)</f>
        <v>4009.0909090909086</v>
      </c>
      <c r="AL203" s="77">
        <f t="shared" si="87"/>
        <v>154.54545454545453</v>
      </c>
      <c r="CB203">
        <v>18.2</v>
      </c>
      <c r="CC203">
        <f t="shared" si="88"/>
        <v>0.9490599999999999</v>
      </c>
      <c r="CG203">
        <v>93</v>
      </c>
      <c r="CH203">
        <f t="shared" si="89"/>
        <v>0.83699999999999997</v>
      </c>
      <c r="CJ203">
        <v>93</v>
      </c>
      <c r="CL203">
        <f t="shared" si="90"/>
        <v>0.27900000000000003</v>
      </c>
      <c r="CM203">
        <f t="shared" si="91"/>
        <v>0.48510000000000003</v>
      </c>
      <c r="CN203">
        <f t="shared" si="92"/>
        <v>0.21</v>
      </c>
      <c r="CO203">
        <f t="shared" si="93"/>
        <v>0.7641</v>
      </c>
      <c r="CP203">
        <f t="shared" si="94"/>
        <v>0.69510000000000005</v>
      </c>
      <c r="CR203">
        <v>0.21</v>
      </c>
      <c r="CS203">
        <v>0.5</v>
      </c>
      <c r="CT203">
        <v>0.28000000000000003</v>
      </c>
      <c r="CU203">
        <f t="shared" si="95"/>
        <v>0.71</v>
      </c>
      <c r="CV203">
        <f t="shared" si="96"/>
        <v>0.78</v>
      </c>
    </row>
    <row r="204" spans="1:100" x14ac:dyDescent="0.25">
      <c r="A204">
        <v>2024</v>
      </c>
      <c r="B204">
        <f t="shared" si="86"/>
        <v>104</v>
      </c>
      <c r="C204" s="109">
        <v>45395</v>
      </c>
      <c r="G204" s="77">
        <v>85</v>
      </c>
      <c r="AG204" s="77">
        <f t="shared" si="81"/>
        <v>154.54545454545453</v>
      </c>
      <c r="AH204">
        <f t="shared" si="61"/>
        <v>0.55000000000000004</v>
      </c>
      <c r="AJ204">
        <f>((B204-B203)*AG204)-((B204-B203)*(AG204-AG203)*0.5)</f>
        <v>1539.9999999999998</v>
      </c>
      <c r="AL204" s="77">
        <f t="shared" si="87"/>
        <v>154.54545454545453</v>
      </c>
    </row>
    <row r="205" spans="1:100" x14ac:dyDescent="0.25">
      <c r="A205">
        <v>2024</v>
      </c>
      <c r="B205">
        <f t="shared" si="86"/>
        <v>114</v>
      </c>
      <c r="C205" s="109">
        <v>45405</v>
      </c>
      <c r="G205" s="77">
        <v>84</v>
      </c>
      <c r="AB205" s="61">
        <f>((B205-B203)*G205)-((B205-B203)*(G205-G203)*0.5)</f>
        <v>1606.5</v>
      </c>
      <c r="AD205">
        <f t="shared" si="80"/>
        <v>20</v>
      </c>
      <c r="AG205" s="77">
        <f t="shared" si="81"/>
        <v>152.72727272727272</v>
      </c>
      <c r="AH205">
        <f t="shared" si="61"/>
        <v>0.55000000000000004</v>
      </c>
      <c r="AJ205">
        <f>((B205-B203)*AG205)-((B205-B203)*(AG205-AG203)*0.5)</f>
        <v>2920.9090909090905</v>
      </c>
      <c r="AL205" s="77">
        <f t="shared" si="87"/>
        <v>154.54545454545453</v>
      </c>
      <c r="CB205">
        <v>18.399999999999999</v>
      </c>
      <c r="CC205">
        <f t="shared" si="88"/>
        <v>0.95951999999999993</v>
      </c>
      <c r="CG205">
        <v>94</v>
      </c>
      <c r="CH205">
        <f t="shared" si="89"/>
        <v>0.84599999999999997</v>
      </c>
      <c r="CJ205">
        <v>94</v>
      </c>
      <c r="CL205">
        <f t="shared" si="90"/>
        <v>0.28200000000000003</v>
      </c>
      <c r="CM205">
        <f t="shared" si="91"/>
        <v>0.48120000000000002</v>
      </c>
      <c r="CN205">
        <f t="shared" si="92"/>
        <v>0.2102</v>
      </c>
      <c r="CO205">
        <f t="shared" si="93"/>
        <v>0.7632000000000001</v>
      </c>
      <c r="CP205">
        <f t="shared" si="94"/>
        <v>0.69140000000000001</v>
      </c>
      <c r="CR205">
        <v>0.21</v>
      </c>
      <c r="CS205">
        <v>0.5</v>
      </c>
      <c r="CT205">
        <v>0.28000000000000003</v>
      </c>
      <c r="CU205">
        <f t="shared" si="95"/>
        <v>0.71</v>
      </c>
      <c r="CV205">
        <f t="shared" si="96"/>
        <v>0.78</v>
      </c>
    </row>
    <row r="206" spans="1:100" x14ac:dyDescent="0.25">
      <c r="A206">
        <v>2024</v>
      </c>
      <c r="B206">
        <f t="shared" si="86"/>
        <v>151</v>
      </c>
      <c r="C206" s="109">
        <v>44712</v>
      </c>
      <c r="G206" s="77">
        <v>0</v>
      </c>
      <c r="AB206" s="61">
        <f>((B206-B205)*G206)-((B206-B205)*(G206-G205)*0.5)</f>
        <v>1554</v>
      </c>
      <c r="AC206">
        <f>AF206/$AF$1</f>
        <v>126.69</v>
      </c>
      <c r="AD206">
        <f t="shared" si="80"/>
        <v>20</v>
      </c>
      <c r="AE206" s="73">
        <f>AC206/AD206</f>
        <v>6.3345000000000002</v>
      </c>
      <c r="AF206" s="78">
        <f>SUM(AB201:AB206)</f>
        <v>6334.5</v>
      </c>
      <c r="AG206" s="77">
        <f t="shared" si="81"/>
        <v>0</v>
      </c>
      <c r="AH206">
        <f t="shared" si="61"/>
        <v>0.55000000000000004</v>
      </c>
      <c r="AJ206">
        <f>0.5*(B206-B205)*AG205</f>
        <v>2825.4545454545455</v>
      </c>
      <c r="AK206" s="249">
        <f>AN206/$AN$1</f>
        <v>242.32727272727271</v>
      </c>
      <c r="AL206" s="77">
        <f t="shared" si="87"/>
        <v>154.54545454545453</v>
      </c>
      <c r="AM206" s="73">
        <f>AK206/AL206</f>
        <v>1.5680000000000001</v>
      </c>
      <c r="AN206" s="73">
        <f>SUM(AJ201:AJ206)</f>
        <v>12116.363636363636</v>
      </c>
      <c r="CB206">
        <v>18.600000000000001</v>
      </c>
      <c r="CC206">
        <f t="shared" si="88"/>
        <v>0.96998000000000006</v>
      </c>
      <c r="CG206">
        <v>95</v>
      </c>
      <c r="CH206">
        <f t="shared" si="89"/>
        <v>0.85499999999999998</v>
      </c>
      <c r="CJ206">
        <v>95</v>
      </c>
      <c r="CL206">
        <f t="shared" si="90"/>
        <v>0.28500000000000003</v>
      </c>
      <c r="CM206">
        <f t="shared" si="91"/>
        <v>0.4773</v>
      </c>
      <c r="CN206">
        <f t="shared" si="92"/>
        <v>0.21039999999999998</v>
      </c>
      <c r="CO206">
        <f t="shared" si="93"/>
        <v>0.76229999999999998</v>
      </c>
      <c r="CP206">
        <f t="shared" si="94"/>
        <v>0.68769999999999998</v>
      </c>
      <c r="CR206">
        <v>0.21</v>
      </c>
      <c r="CS206">
        <v>0.5</v>
      </c>
      <c r="CT206">
        <v>0.28000000000000003</v>
      </c>
      <c r="CU206">
        <f t="shared" si="95"/>
        <v>0.71</v>
      </c>
      <c r="CV206">
        <f t="shared" si="96"/>
        <v>0.78</v>
      </c>
    </row>
    <row r="207" spans="1:100" x14ac:dyDescent="0.25">
      <c r="CB207">
        <v>19.8</v>
      </c>
      <c r="CC207">
        <v>1</v>
      </c>
      <c r="CG207">
        <v>101</v>
      </c>
      <c r="CH207">
        <f t="shared" ref="CH207:CH217" si="97">CG207*0.009</f>
        <v>0.90899999999999992</v>
      </c>
      <c r="CJ207">
        <v>101</v>
      </c>
      <c r="CL207">
        <f t="shared" si="64"/>
        <v>0.30299999999999999</v>
      </c>
      <c r="CM207">
        <f t="shared" si="65"/>
        <v>0.45390000000000003</v>
      </c>
      <c r="CN207">
        <f t="shared" ref="CN207:CN233" si="98">(0.0002*CJ207)+0.1914</f>
        <v>0.21159999999999998</v>
      </c>
      <c r="CO207">
        <f t="shared" si="66"/>
        <v>0.75690000000000002</v>
      </c>
      <c r="CP207">
        <f t="shared" si="66"/>
        <v>0.66549999999999998</v>
      </c>
      <c r="CR207">
        <v>0.21</v>
      </c>
      <c r="CS207">
        <v>0.5</v>
      </c>
      <c r="CT207">
        <v>0.28000000000000003</v>
      </c>
      <c r="CU207">
        <f t="shared" si="67"/>
        <v>0.71</v>
      </c>
      <c r="CV207">
        <f t="shared" si="68"/>
        <v>0.78</v>
      </c>
    </row>
    <row r="208" spans="1:100" x14ac:dyDescent="0.25">
      <c r="CB208">
        <v>20</v>
      </c>
      <c r="CC208">
        <v>1</v>
      </c>
      <c r="CG208">
        <v>102</v>
      </c>
      <c r="CH208">
        <f t="shared" si="97"/>
        <v>0.91799999999999993</v>
      </c>
      <c r="CJ208">
        <v>102</v>
      </c>
      <c r="CL208">
        <f t="shared" si="64"/>
        <v>0.30599999999999999</v>
      </c>
      <c r="CM208">
        <f t="shared" si="65"/>
        <v>0.45</v>
      </c>
      <c r="CN208">
        <f t="shared" si="98"/>
        <v>0.21179999999999999</v>
      </c>
      <c r="CO208">
        <f t="shared" si="66"/>
        <v>0.75600000000000001</v>
      </c>
      <c r="CP208">
        <f t="shared" si="66"/>
        <v>0.66179999999999994</v>
      </c>
      <c r="CR208">
        <v>0.21</v>
      </c>
      <c r="CS208">
        <v>0.5</v>
      </c>
      <c r="CT208">
        <v>0.28000000000000003</v>
      </c>
      <c r="CU208">
        <f t="shared" si="67"/>
        <v>0.71</v>
      </c>
      <c r="CV208">
        <f t="shared" si="68"/>
        <v>0.78</v>
      </c>
    </row>
    <row r="209" spans="22:100" x14ac:dyDescent="0.25">
      <c r="V209">
        <v>20</v>
      </c>
      <c r="W209">
        <f>V209*V210</f>
        <v>1240</v>
      </c>
      <c r="CB209">
        <v>20.2</v>
      </c>
      <c r="CC209">
        <v>1</v>
      </c>
      <c r="CG209">
        <v>103</v>
      </c>
      <c r="CH209">
        <f t="shared" si="97"/>
        <v>0.92699999999999994</v>
      </c>
      <c r="CJ209">
        <v>103</v>
      </c>
      <c r="CL209">
        <f t="shared" si="64"/>
        <v>0.309</v>
      </c>
      <c r="CM209">
        <f t="shared" si="65"/>
        <v>0.4461</v>
      </c>
      <c r="CN209">
        <f t="shared" si="98"/>
        <v>0.21199999999999999</v>
      </c>
      <c r="CO209">
        <f t="shared" si="66"/>
        <v>0.75509999999999999</v>
      </c>
      <c r="CP209">
        <f t="shared" si="66"/>
        <v>0.65810000000000002</v>
      </c>
      <c r="CR209">
        <v>0.21</v>
      </c>
      <c r="CS209">
        <v>0.5</v>
      </c>
      <c r="CT209">
        <v>0.28000000000000003</v>
      </c>
      <c r="CU209">
        <f t="shared" si="67"/>
        <v>0.71</v>
      </c>
      <c r="CV209">
        <f t="shared" si="68"/>
        <v>0.78</v>
      </c>
    </row>
    <row r="210" spans="22:100" x14ac:dyDescent="0.25">
      <c r="V210">
        <v>62</v>
      </c>
      <c r="W210">
        <v>100</v>
      </c>
      <c r="CB210">
        <v>20.399999999999999</v>
      </c>
      <c r="CC210">
        <v>1</v>
      </c>
      <c r="CG210">
        <v>104</v>
      </c>
      <c r="CH210">
        <f t="shared" si="97"/>
        <v>0.93599999999999994</v>
      </c>
      <c r="CJ210">
        <v>104</v>
      </c>
      <c r="CL210">
        <f t="shared" si="64"/>
        <v>0.312</v>
      </c>
      <c r="CM210">
        <f t="shared" si="65"/>
        <v>0.44220000000000004</v>
      </c>
      <c r="CN210">
        <f t="shared" si="98"/>
        <v>0.2122</v>
      </c>
      <c r="CO210">
        <f t="shared" si="66"/>
        <v>0.75419999999999998</v>
      </c>
      <c r="CP210">
        <f t="shared" si="66"/>
        <v>0.65440000000000009</v>
      </c>
      <c r="CR210">
        <v>0.21</v>
      </c>
      <c r="CS210">
        <v>0.5</v>
      </c>
      <c r="CT210">
        <v>0.28000000000000003</v>
      </c>
      <c r="CU210">
        <f t="shared" si="67"/>
        <v>0.71</v>
      </c>
      <c r="CV210">
        <f t="shared" si="68"/>
        <v>0.78</v>
      </c>
    </row>
    <row r="211" spans="22:100" x14ac:dyDescent="0.25">
      <c r="CB211">
        <v>20.6</v>
      </c>
      <c r="CC211">
        <v>1</v>
      </c>
      <c r="CG211">
        <v>105</v>
      </c>
      <c r="CH211">
        <f t="shared" si="97"/>
        <v>0.94499999999999995</v>
      </c>
      <c r="CJ211">
        <v>105</v>
      </c>
      <c r="CL211">
        <f t="shared" si="64"/>
        <v>0.315</v>
      </c>
      <c r="CM211">
        <f t="shared" si="65"/>
        <v>0.43830000000000002</v>
      </c>
      <c r="CN211">
        <f t="shared" si="98"/>
        <v>0.21239999999999998</v>
      </c>
      <c r="CO211">
        <f t="shared" si="66"/>
        <v>0.75330000000000008</v>
      </c>
      <c r="CP211">
        <f t="shared" si="66"/>
        <v>0.65070000000000006</v>
      </c>
      <c r="CR211">
        <v>0.21</v>
      </c>
      <c r="CS211">
        <v>0.5</v>
      </c>
      <c r="CT211">
        <v>0.28000000000000003</v>
      </c>
      <c r="CU211">
        <f t="shared" si="67"/>
        <v>0.71</v>
      </c>
      <c r="CV211">
        <f t="shared" si="68"/>
        <v>0.78</v>
      </c>
    </row>
    <row r="212" spans="22:100" x14ac:dyDescent="0.25">
      <c r="W212">
        <f>(20*100)/62</f>
        <v>32.258064516129032</v>
      </c>
      <c r="CB212">
        <v>20.8</v>
      </c>
      <c r="CC212">
        <v>1</v>
      </c>
      <c r="CG212">
        <v>106</v>
      </c>
      <c r="CH212">
        <f t="shared" si="97"/>
        <v>0.95399999999999996</v>
      </c>
      <c r="CJ212">
        <v>106</v>
      </c>
      <c r="CL212">
        <f t="shared" si="64"/>
        <v>0.318</v>
      </c>
      <c r="CM212">
        <f t="shared" si="65"/>
        <v>0.43440000000000001</v>
      </c>
      <c r="CN212">
        <f t="shared" si="98"/>
        <v>0.21259999999999998</v>
      </c>
      <c r="CO212">
        <f t="shared" si="66"/>
        <v>0.75239999999999996</v>
      </c>
      <c r="CP212">
        <f t="shared" si="66"/>
        <v>0.64700000000000002</v>
      </c>
      <c r="CR212">
        <v>0.21</v>
      </c>
      <c r="CS212">
        <v>0.5</v>
      </c>
      <c r="CT212">
        <v>0.28000000000000003</v>
      </c>
      <c r="CU212">
        <f t="shared" si="67"/>
        <v>0.71</v>
      </c>
      <c r="CV212">
        <f t="shared" si="68"/>
        <v>0.78</v>
      </c>
    </row>
    <row r="213" spans="22:100" x14ac:dyDescent="0.25">
      <c r="CB213">
        <v>21</v>
      </c>
      <c r="CC213">
        <v>1</v>
      </c>
      <c r="CG213">
        <v>107</v>
      </c>
      <c r="CH213">
        <f t="shared" si="97"/>
        <v>0.96299999999999997</v>
      </c>
      <c r="CJ213">
        <v>107</v>
      </c>
      <c r="CL213">
        <f t="shared" si="64"/>
        <v>0.32100000000000001</v>
      </c>
      <c r="CM213">
        <f t="shared" si="65"/>
        <v>0.43049999999999999</v>
      </c>
      <c r="CN213">
        <f t="shared" si="98"/>
        <v>0.21279999999999999</v>
      </c>
      <c r="CO213">
        <f t="shared" si="66"/>
        <v>0.75150000000000006</v>
      </c>
      <c r="CP213">
        <f t="shared" si="66"/>
        <v>0.64329999999999998</v>
      </c>
      <c r="CR213">
        <v>0.21</v>
      </c>
      <c r="CS213">
        <v>0.5</v>
      </c>
      <c r="CT213">
        <v>0.28000000000000003</v>
      </c>
      <c r="CU213">
        <f t="shared" si="67"/>
        <v>0.71</v>
      </c>
      <c r="CV213">
        <f t="shared" si="68"/>
        <v>0.78</v>
      </c>
    </row>
    <row r="214" spans="22:100" x14ac:dyDescent="0.25">
      <c r="CB214">
        <v>21.2</v>
      </c>
      <c r="CC214">
        <v>1</v>
      </c>
      <c r="CG214">
        <v>108</v>
      </c>
      <c r="CH214">
        <f t="shared" si="97"/>
        <v>0.97199999999999998</v>
      </c>
      <c r="CJ214">
        <v>108</v>
      </c>
      <c r="CL214">
        <f t="shared" si="64"/>
        <v>0.32400000000000001</v>
      </c>
      <c r="CM214">
        <f t="shared" si="65"/>
        <v>0.42660000000000003</v>
      </c>
      <c r="CN214">
        <f t="shared" si="98"/>
        <v>0.21299999999999999</v>
      </c>
      <c r="CO214">
        <f t="shared" si="66"/>
        <v>0.75060000000000004</v>
      </c>
      <c r="CP214">
        <f t="shared" si="66"/>
        <v>0.63960000000000006</v>
      </c>
      <c r="CR214">
        <v>0.21</v>
      </c>
      <c r="CS214">
        <v>0.5</v>
      </c>
      <c r="CT214">
        <v>0.28000000000000003</v>
      </c>
      <c r="CU214">
        <f t="shared" si="67"/>
        <v>0.71</v>
      </c>
      <c r="CV214">
        <f t="shared" si="68"/>
        <v>0.78</v>
      </c>
    </row>
    <row r="215" spans="22:100" x14ac:dyDescent="0.25">
      <c r="CB215">
        <v>21.4</v>
      </c>
      <c r="CC215">
        <v>1</v>
      </c>
      <c r="CG215">
        <v>109</v>
      </c>
      <c r="CH215">
        <f t="shared" si="97"/>
        <v>0.98099999999999987</v>
      </c>
      <c r="CJ215">
        <v>109</v>
      </c>
      <c r="CL215">
        <f t="shared" si="64"/>
        <v>0.32700000000000001</v>
      </c>
      <c r="CM215">
        <f t="shared" si="65"/>
        <v>0.42270000000000002</v>
      </c>
      <c r="CN215">
        <f t="shared" si="98"/>
        <v>0.2132</v>
      </c>
      <c r="CO215">
        <f t="shared" si="66"/>
        <v>0.74970000000000003</v>
      </c>
      <c r="CP215">
        <f t="shared" si="66"/>
        <v>0.63590000000000002</v>
      </c>
      <c r="CR215">
        <v>0.21</v>
      </c>
      <c r="CS215">
        <v>0.5</v>
      </c>
      <c r="CT215">
        <v>0.28000000000000003</v>
      </c>
      <c r="CU215">
        <f t="shared" si="67"/>
        <v>0.71</v>
      </c>
      <c r="CV215">
        <f t="shared" si="68"/>
        <v>0.78</v>
      </c>
    </row>
    <row r="216" spans="22:100" x14ac:dyDescent="0.25">
      <c r="CB216">
        <v>21.6</v>
      </c>
      <c r="CC216">
        <v>1</v>
      </c>
      <c r="CG216">
        <v>110</v>
      </c>
      <c r="CH216">
        <f t="shared" si="97"/>
        <v>0.98999999999999988</v>
      </c>
      <c r="CJ216">
        <v>110</v>
      </c>
      <c r="CL216">
        <f t="shared" si="64"/>
        <v>0.33</v>
      </c>
      <c r="CM216">
        <f t="shared" si="65"/>
        <v>0.41880000000000001</v>
      </c>
      <c r="CN216">
        <f t="shared" si="98"/>
        <v>0.21339999999999998</v>
      </c>
      <c r="CO216">
        <f t="shared" si="66"/>
        <v>0.74880000000000002</v>
      </c>
      <c r="CP216">
        <f t="shared" si="66"/>
        <v>0.63219999999999998</v>
      </c>
      <c r="CR216">
        <v>0.21</v>
      </c>
      <c r="CS216">
        <v>0.5</v>
      </c>
      <c r="CT216">
        <v>0.28000000000000003</v>
      </c>
      <c r="CU216">
        <f t="shared" si="67"/>
        <v>0.71</v>
      </c>
      <c r="CV216">
        <f t="shared" si="68"/>
        <v>0.78</v>
      </c>
    </row>
    <row r="217" spans="22:100" x14ac:dyDescent="0.25">
      <c r="CB217">
        <v>21.8</v>
      </c>
      <c r="CC217">
        <v>1</v>
      </c>
      <c r="CG217">
        <v>111</v>
      </c>
      <c r="CH217">
        <f t="shared" si="97"/>
        <v>0.99899999999999989</v>
      </c>
      <c r="CJ217">
        <v>111</v>
      </c>
      <c r="CL217">
        <f t="shared" si="64"/>
        <v>0.33300000000000002</v>
      </c>
      <c r="CM217">
        <f t="shared" si="65"/>
        <v>0.41489999999999999</v>
      </c>
      <c r="CN217">
        <f t="shared" si="98"/>
        <v>0.21359999999999998</v>
      </c>
      <c r="CO217">
        <f t="shared" si="66"/>
        <v>0.74790000000000001</v>
      </c>
      <c r="CP217">
        <f t="shared" si="66"/>
        <v>0.62849999999999995</v>
      </c>
      <c r="CR217">
        <v>0.21</v>
      </c>
      <c r="CS217">
        <v>0.5</v>
      </c>
      <c r="CT217">
        <v>0.28000000000000003</v>
      </c>
      <c r="CU217">
        <f t="shared" si="67"/>
        <v>0.71</v>
      </c>
      <c r="CV217">
        <f t="shared" si="68"/>
        <v>0.78</v>
      </c>
    </row>
    <row r="218" spans="22:100" x14ac:dyDescent="0.25">
      <c r="CB218">
        <v>22</v>
      </c>
      <c r="CC218">
        <v>1</v>
      </c>
      <c r="CG218">
        <v>112</v>
      </c>
      <c r="CH218">
        <v>1</v>
      </c>
      <c r="CJ218">
        <v>112</v>
      </c>
      <c r="CL218">
        <f t="shared" si="64"/>
        <v>0.33600000000000002</v>
      </c>
      <c r="CM218">
        <f t="shared" si="65"/>
        <v>0.41100000000000003</v>
      </c>
      <c r="CN218">
        <f t="shared" si="98"/>
        <v>0.21379999999999999</v>
      </c>
      <c r="CO218">
        <f t="shared" si="66"/>
        <v>0.74700000000000011</v>
      </c>
      <c r="CP218">
        <f t="shared" si="66"/>
        <v>0.62480000000000002</v>
      </c>
      <c r="CR218">
        <v>0.21</v>
      </c>
      <c r="CS218">
        <v>0.5</v>
      </c>
      <c r="CT218">
        <v>0.28000000000000003</v>
      </c>
      <c r="CU218">
        <f t="shared" si="67"/>
        <v>0.71</v>
      </c>
      <c r="CV218">
        <f t="shared" si="68"/>
        <v>0.78</v>
      </c>
    </row>
    <row r="219" spans="22:100" x14ac:dyDescent="0.25">
      <c r="CB219">
        <v>22.2</v>
      </c>
      <c r="CC219">
        <v>1</v>
      </c>
      <c r="CG219">
        <v>113</v>
      </c>
      <c r="CH219">
        <v>1</v>
      </c>
      <c r="CJ219">
        <v>113</v>
      </c>
      <c r="CL219">
        <f t="shared" si="64"/>
        <v>0.33900000000000002</v>
      </c>
      <c r="CM219">
        <f t="shared" si="65"/>
        <v>0.40710000000000002</v>
      </c>
      <c r="CN219">
        <f t="shared" si="98"/>
        <v>0.214</v>
      </c>
      <c r="CO219">
        <f t="shared" si="66"/>
        <v>0.74609999999999999</v>
      </c>
      <c r="CP219">
        <f t="shared" si="66"/>
        <v>0.62109999999999999</v>
      </c>
      <c r="CR219">
        <v>0.21</v>
      </c>
      <c r="CS219">
        <v>0.5</v>
      </c>
      <c r="CT219">
        <v>0.28000000000000003</v>
      </c>
      <c r="CU219">
        <f t="shared" si="67"/>
        <v>0.71</v>
      </c>
      <c r="CV219">
        <f t="shared" si="68"/>
        <v>0.78</v>
      </c>
    </row>
    <row r="220" spans="22:100" x14ac:dyDescent="0.25">
      <c r="CB220">
        <v>22.4</v>
      </c>
      <c r="CC220">
        <v>1</v>
      </c>
      <c r="CG220">
        <v>114</v>
      </c>
      <c r="CH220">
        <v>1</v>
      </c>
      <c r="CJ220">
        <v>114</v>
      </c>
      <c r="CL220">
        <f t="shared" si="64"/>
        <v>0.34200000000000003</v>
      </c>
      <c r="CM220">
        <f t="shared" si="65"/>
        <v>0.4032</v>
      </c>
      <c r="CN220">
        <f t="shared" si="98"/>
        <v>0.2142</v>
      </c>
      <c r="CO220">
        <f t="shared" si="66"/>
        <v>0.74520000000000008</v>
      </c>
      <c r="CP220">
        <f t="shared" si="66"/>
        <v>0.61739999999999995</v>
      </c>
      <c r="CR220">
        <v>0.21</v>
      </c>
      <c r="CS220">
        <v>0.5</v>
      </c>
      <c r="CT220">
        <v>0.28000000000000003</v>
      </c>
      <c r="CU220">
        <f t="shared" si="67"/>
        <v>0.71</v>
      </c>
      <c r="CV220">
        <f t="shared" si="68"/>
        <v>0.78</v>
      </c>
    </row>
    <row r="221" spans="22:100" x14ac:dyDescent="0.25">
      <c r="CB221">
        <v>22.6</v>
      </c>
      <c r="CC221">
        <v>1</v>
      </c>
      <c r="CG221">
        <v>115</v>
      </c>
      <c r="CH221">
        <v>1</v>
      </c>
      <c r="CJ221">
        <v>115</v>
      </c>
      <c r="CL221">
        <f t="shared" si="64"/>
        <v>0.34500000000000003</v>
      </c>
      <c r="CM221">
        <f t="shared" si="65"/>
        <v>0.39930000000000004</v>
      </c>
      <c r="CN221">
        <f t="shared" si="98"/>
        <v>0.21439999999999998</v>
      </c>
      <c r="CO221">
        <f t="shared" si="66"/>
        <v>0.74430000000000007</v>
      </c>
      <c r="CP221">
        <f t="shared" si="66"/>
        <v>0.61370000000000002</v>
      </c>
      <c r="CR221">
        <v>0.21</v>
      </c>
      <c r="CS221">
        <v>0.5</v>
      </c>
      <c r="CT221">
        <v>0.28000000000000003</v>
      </c>
      <c r="CU221">
        <f t="shared" si="67"/>
        <v>0.71</v>
      </c>
      <c r="CV221">
        <f t="shared" si="68"/>
        <v>0.78</v>
      </c>
    </row>
    <row r="222" spans="22:100" x14ac:dyDescent="0.25">
      <c r="CB222">
        <v>22.8</v>
      </c>
      <c r="CC222">
        <v>1</v>
      </c>
      <c r="CG222">
        <v>116</v>
      </c>
      <c r="CH222">
        <v>1</v>
      </c>
      <c r="CJ222">
        <v>116</v>
      </c>
      <c r="CL222">
        <f t="shared" si="64"/>
        <v>0.34800000000000003</v>
      </c>
      <c r="CM222">
        <f t="shared" si="65"/>
        <v>0.39540000000000003</v>
      </c>
      <c r="CN222">
        <f t="shared" si="98"/>
        <v>0.21459999999999999</v>
      </c>
      <c r="CO222">
        <f t="shared" si="66"/>
        <v>0.74340000000000006</v>
      </c>
      <c r="CP222">
        <f t="shared" si="66"/>
        <v>0.61</v>
      </c>
      <c r="CR222">
        <v>0.21</v>
      </c>
      <c r="CS222">
        <v>0.5</v>
      </c>
      <c r="CT222">
        <v>0.28000000000000003</v>
      </c>
      <c r="CU222">
        <f t="shared" si="67"/>
        <v>0.71</v>
      </c>
      <c r="CV222">
        <f t="shared" si="68"/>
        <v>0.78</v>
      </c>
    </row>
    <row r="223" spans="22:100" x14ac:dyDescent="0.25">
      <c r="CB223">
        <v>23</v>
      </c>
      <c r="CC223">
        <v>1</v>
      </c>
      <c r="CG223">
        <v>117</v>
      </c>
      <c r="CH223">
        <v>1</v>
      </c>
      <c r="CJ223">
        <v>117</v>
      </c>
      <c r="CL223">
        <f t="shared" si="64"/>
        <v>0.35100000000000003</v>
      </c>
      <c r="CM223">
        <f t="shared" si="65"/>
        <v>0.39150000000000001</v>
      </c>
      <c r="CN223">
        <f t="shared" si="98"/>
        <v>0.21479999999999999</v>
      </c>
      <c r="CO223">
        <f t="shared" si="66"/>
        <v>0.74250000000000005</v>
      </c>
      <c r="CP223">
        <f t="shared" si="66"/>
        <v>0.60630000000000006</v>
      </c>
      <c r="CR223">
        <v>0.21</v>
      </c>
      <c r="CS223">
        <v>0.5</v>
      </c>
      <c r="CT223">
        <v>0.28000000000000003</v>
      </c>
      <c r="CU223">
        <f t="shared" si="67"/>
        <v>0.71</v>
      </c>
      <c r="CV223">
        <f t="shared" si="68"/>
        <v>0.78</v>
      </c>
    </row>
    <row r="224" spans="22:100" x14ac:dyDescent="0.25">
      <c r="CB224">
        <v>23.2</v>
      </c>
      <c r="CC224">
        <v>1</v>
      </c>
      <c r="CG224">
        <v>118</v>
      </c>
      <c r="CH224">
        <v>1</v>
      </c>
      <c r="CJ224">
        <v>118</v>
      </c>
      <c r="CL224">
        <f t="shared" si="64"/>
        <v>0.35399999999999998</v>
      </c>
      <c r="CM224">
        <f t="shared" si="65"/>
        <v>0.3876</v>
      </c>
      <c r="CN224">
        <f t="shared" si="98"/>
        <v>0.215</v>
      </c>
      <c r="CO224">
        <f t="shared" si="66"/>
        <v>0.74160000000000004</v>
      </c>
      <c r="CP224">
        <f t="shared" si="66"/>
        <v>0.60260000000000002</v>
      </c>
      <c r="CR224">
        <v>0.21</v>
      </c>
      <c r="CS224">
        <v>0.5</v>
      </c>
      <c r="CT224">
        <v>0.28000000000000003</v>
      </c>
      <c r="CU224">
        <f t="shared" si="67"/>
        <v>0.71</v>
      </c>
      <c r="CV224">
        <f t="shared" si="68"/>
        <v>0.78</v>
      </c>
    </row>
    <row r="225" spans="80:100" x14ac:dyDescent="0.25">
      <c r="CB225">
        <v>23.4</v>
      </c>
      <c r="CC225">
        <v>1</v>
      </c>
      <c r="CG225">
        <v>119</v>
      </c>
      <c r="CH225">
        <v>1</v>
      </c>
      <c r="CJ225">
        <v>119</v>
      </c>
      <c r="CL225">
        <f t="shared" si="64"/>
        <v>0.35699999999999998</v>
      </c>
      <c r="CM225">
        <f t="shared" si="65"/>
        <v>0.38370000000000004</v>
      </c>
      <c r="CN225">
        <f t="shared" si="98"/>
        <v>0.2152</v>
      </c>
      <c r="CO225">
        <f t="shared" si="66"/>
        <v>0.74070000000000003</v>
      </c>
      <c r="CP225">
        <f t="shared" si="66"/>
        <v>0.59889999999999999</v>
      </c>
      <c r="CR225">
        <v>0.21</v>
      </c>
      <c r="CS225">
        <v>0.5</v>
      </c>
      <c r="CT225">
        <v>0.28000000000000003</v>
      </c>
      <c r="CU225">
        <f t="shared" si="67"/>
        <v>0.71</v>
      </c>
      <c r="CV225">
        <f t="shared" si="68"/>
        <v>0.78</v>
      </c>
    </row>
    <row r="226" spans="80:100" x14ac:dyDescent="0.25">
      <c r="CB226">
        <v>23.6</v>
      </c>
      <c r="CC226">
        <v>1</v>
      </c>
      <c r="CG226">
        <v>120</v>
      </c>
      <c r="CH226">
        <v>1</v>
      </c>
      <c r="CJ226">
        <v>120</v>
      </c>
      <c r="CL226">
        <f t="shared" si="64"/>
        <v>0.36</v>
      </c>
      <c r="CM226">
        <f t="shared" si="65"/>
        <v>0.37980000000000003</v>
      </c>
      <c r="CN226">
        <f t="shared" si="98"/>
        <v>0.21539999999999998</v>
      </c>
      <c r="CO226">
        <f t="shared" si="66"/>
        <v>0.73980000000000001</v>
      </c>
      <c r="CP226">
        <f t="shared" si="66"/>
        <v>0.59519999999999995</v>
      </c>
      <c r="CR226">
        <v>0.21</v>
      </c>
      <c r="CS226">
        <v>0.5</v>
      </c>
      <c r="CT226">
        <v>0.28000000000000003</v>
      </c>
      <c r="CU226">
        <f t="shared" si="67"/>
        <v>0.71</v>
      </c>
      <c r="CV226">
        <f t="shared" si="68"/>
        <v>0.78</v>
      </c>
    </row>
    <row r="227" spans="80:100" x14ac:dyDescent="0.25">
      <c r="CB227">
        <v>23.8</v>
      </c>
      <c r="CC227">
        <v>1</v>
      </c>
      <c r="CG227">
        <v>121</v>
      </c>
      <c r="CH227">
        <v>1</v>
      </c>
      <c r="CJ227">
        <v>121</v>
      </c>
      <c r="CL227">
        <f t="shared" si="64"/>
        <v>0.36299999999999999</v>
      </c>
      <c r="CM227">
        <f t="shared" si="65"/>
        <v>0.37590000000000001</v>
      </c>
      <c r="CN227">
        <f t="shared" si="98"/>
        <v>0.21559999999999999</v>
      </c>
      <c r="CO227">
        <f t="shared" si="66"/>
        <v>0.7389</v>
      </c>
      <c r="CP227">
        <f t="shared" si="66"/>
        <v>0.59150000000000003</v>
      </c>
      <c r="CR227">
        <v>0.21</v>
      </c>
      <c r="CS227">
        <v>0.5</v>
      </c>
      <c r="CT227">
        <v>0.28000000000000003</v>
      </c>
      <c r="CU227">
        <f t="shared" si="67"/>
        <v>0.71</v>
      </c>
      <c r="CV227">
        <f t="shared" si="68"/>
        <v>0.78</v>
      </c>
    </row>
    <row r="228" spans="80:100" x14ac:dyDescent="0.25">
      <c r="CB228">
        <v>24</v>
      </c>
      <c r="CC228">
        <v>1</v>
      </c>
      <c r="CG228">
        <v>122</v>
      </c>
      <c r="CH228">
        <v>1</v>
      </c>
      <c r="CJ228">
        <v>122</v>
      </c>
      <c r="CL228">
        <f t="shared" si="64"/>
        <v>0.36599999999999999</v>
      </c>
      <c r="CM228">
        <f t="shared" si="65"/>
        <v>0.372</v>
      </c>
      <c r="CN228">
        <f t="shared" si="98"/>
        <v>0.21579999999999999</v>
      </c>
      <c r="CO228">
        <f t="shared" si="66"/>
        <v>0.73799999999999999</v>
      </c>
      <c r="CP228">
        <f t="shared" si="66"/>
        <v>0.58779999999999999</v>
      </c>
      <c r="CR228">
        <v>0.21</v>
      </c>
      <c r="CS228">
        <v>0.5</v>
      </c>
      <c r="CT228">
        <v>0.28000000000000003</v>
      </c>
      <c r="CU228">
        <f t="shared" si="67"/>
        <v>0.71</v>
      </c>
      <c r="CV228">
        <f t="shared" si="68"/>
        <v>0.78</v>
      </c>
    </row>
    <row r="229" spans="80:100" x14ac:dyDescent="0.25">
      <c r="CB229">
        <v>24.2</v>
      </c>
      <c r="CC229">
        <v>1</v>
      </c>
      <c r="CG229">
        <v>123</v>
      </c>
      <c r="CH229">
        <v>1</v>
      </c>
      <c r="CJ229">
        <v>123</v>
      </c>
      <c r="CL229">
        <f t="shared" si="64"/>
        <v>0.36899999999999999</v>
      </c>
      <c r="CM229">
        <f t="shared" si="65"/>
        <v>0.36810000000000004</v>
      </c>
      <c r="CN229">
        <f t="shared" si="98"/>
        <v>0.216</v>
      </c>
      <c r="CO229">
        <f t="shared" si="66"/>
        <v>0.73710000000000009</v>
      </c>
      <c r="CP229">
        <f t="shared" si="66"/>
        <v>0.58410000000000006</v>
      </c>
      <c r="CR229">
        <v>0.21</v>
      </c>
      <c r="CS229">
        <v>0.5</v>
      </c>
      <c r="CT229">
        <v>0.28000000000000003</v>
      </c>
      <c r="CU229">
        <f t="shared" si="67"/>
        <v>0.71</v>
      </c>
      <c r="CV229">
        <f t="shared" si="68"/>
        <v>0.78</v>
      </c>
    </row>
    <row r="230" spans="80:100" x14ac:dyDescent="0.25">
      <c r="CB230">
        <v>24.4</v>
      </c>
      <c r="CC230">
        <v>1</v>
      </c>
      <c r="CG230">
        <v>124</v>
      </c>
      <c r="CJ230">
        <v>124</v>
      </c>
      <c r="CL230">
        <f t="shared" si="64"/>
        <v>0.372</v>
      </c>
      <c r="CM230">
        <f t="shared" si="65"/>
        <v>0.36420000000000002</v>
      </c>
      <c r="CN230">
        <f t="shared" si="98"/>
        <v>0.2162</v>
      </c>
      <c r="CO230">
        <f t="shared" si="66"/>
        <v>0.73619999999999997</v>
      </c>
      <c r="CP230">
        <f t="shared" si="66"/>
        <v>0.58040000000000003</v>
      </c>
      <c r="CR230">
        <v>0.21</v>
      </c>
      <c r="CS230">
        <v>0.5</v>
      </c>
      <c r="CT230">
        <v>0.28000000000000003</v>
      </c>
      <c r="CU230">
        <f t="shared" si="67"/>
        <v>0.71</v>
      </c>
      <c r="CV230">
        <f t="shared" si="68"/>
        <v>0.78</v>
      </c>
    </row>
    <row r="231" spans="80:100" x14ac:dyDescent="0.25">
      <c r="CB231">
        <v>24.6</v>
      </c>
      <c r="CC231">
        <v>1</v>
      </c>
      <c r="CG231">
        <v>125</v>
      </c>
      <c r="CJ231">
        <v>125</v>
      </c>
      <c r="CL231">
        <f t="shared" si="64"/>
        <v>0.375</v>
      </c>
      <c r="CM231">
        <f t="shared" si="65"/>
        <v>0.36030000000000001</v>
      </c>
      <c r="CN231">
        <f t="shared" si="98"/>
        <v>0.21639999999999998</v>
      </c>
      <c r="CO231">
        <f t="shared" si="66"/>
        <v>0.73530000000000006</v>
      </c>
      <c r="CP231">
        <f t="shared" si="66"/>
        <v>0.57669999999999999</v>
      </c>
      <c r="CR231">
        <v>0.21</v>
      </c>
      <c r="CS231">
        <v>0.5</v>
      </c>
      <c r="CT231">
        <v>0.28000000000000003</v>
      </c>
      <c r="CU231">
        <f t="shared" si="67"/>
        <v>0.71</v>
      </c>
      <c r="CV231">
        <f t="shared" si="68"/>
        <v>0.78</v>
      </c>
    </row>
    <row r="232" spans="80:100" x14ac:dyDescent="0.25">
      <c r="CB232">
        <v>24.8</v>
      </c>
      <c r="CC232">
        <v>1</v>
      </c>
      <c r="CG232">
        <v>126</v>
      </c>
      <c r="CJ232">
        <v>126</v>
      </c>
      <c r="CL232">
        <f t="shared" si="64"/>
        <v>0.378</v>
      </c>
      <c r="CM232">
        <f t="shared" si="65"/>
        <v>0.35639999999999999</v>
      </c>
      <c r="CN232">
        <f t="shared" si="98"/>
        <v>0.21659999999999999</v>
      </c>
      <c r="CO232">
        <f t="shared" si="66"/>
        <v>0.73439999999999994</v>
      </c>
      <c r="CP232">
        <f t="shared" si="66"/>
        <v>0.57299999999999995</v>
      </c>
      <c r="CR232">
        <v>0.21</v>
      </c>
      <c r="CS232">
        <v>0.5</v>
      </c>
      <c r="CT232">
        <v>0.28000000000000003</v>
      </c>
      <c r="CU232">
        <f t="shared" si="67"/>
        <v>0.71</v>
      </c>
      <c r="CV232">
        <f t="shared" si="68"/>
        <v>0.78</v>
      </c>
    </row>
    <row r="233" spans="80:100" x14ac:dyDescent="0.25">
      <c r="CB233">
        <v>25</v>
      </c>
      <c r="CC233">
        <v>1</v>
      </c>
      <c r="CG233">
        <v>127</v>
      </c>
      <c r="CJ233">
        <v>127</v>
      </c>
      <c r="CL233">
        <f t="shared" si="64"/>
        <v>0.38100000000000001</v>
      </c>
      <c r="CM233">
        <f t="shared" si="65"/>
        <v>0.35250000000000004</v>
      </c>
      <c r="CN233">
        <f t="shared" si="98"/>
        <v>0.21679999999999999</v>
      </c>
      <c r="CO233">
        <f t="shared" si="66"/>
        <v>0.73350000000000004</v>
      </c>
      <c r="CP233">
        <f t="shared" si="66"/>
        <v>0.56930000000000003</v>
      </c>
      <c r="CR233">
        <v>0.21</v>
      </c>
      <c r="CS233">
        <v>0.5</v>
      </c>
      <c r="CT233">
        <v>0.28000000000000003</v>
      </c>
      <c r="CU233">
        <f t="shared" si="67"/>
        <v>0.71</v>
      </c>
      <c r="CV233">
        <f t="shared" si="68"/>
        <v>0.78</v>
      </c>
    </row>
    <row r="234" spans="80:100" x14ac:dyDescent="0.25">
      <c r="CB234">
        <v>25.2</v>
      </c>
      <c r="CC234">
        <v>1</v>
      </c>
      <c r="CG234">
        <v>128</v>
      </c>
      <c r="CJ234">
        <v>128</v>
      </c>
      <c r="CL234">
        <f t="shared" si="64"/>
        <v>0.38400000000000001</v>
      </c>
      <c r="CM234">
        <f t="shared" si="65"/>
        <v>0.34860000000000002</v>
      </c>
      <c r="CN234">
        <f t="shared" ref="CN234:CN257" si="99">(0.0002*CJ234)+0.1914</f>
        <v>0.217</v>
      </c>
      <c r="CO234">
        <f t="shared" si="66"/>
        <v>0.73260000000000003</v>
      </c>
      <c r="CP234">
        <f t="shared" si="66"/>
        <v>0.56559999999999999</v>
      </c>
      <c r="CR234">
        <v>0.21</v>
      </c>
      <c r="CS234">
        <v>0.5</v>
      </c>
      <c r="CT234">
        <v>0.28000000000000003</v>
      </c>
      <c r="CU234">
        <f t="shared" si="67"/>
        <v>0.71</v>
      </c>
      <c r="CV234">
        <f t="shared" si="68"/>
        <v>0.78</v>
      </c>
    </row>
    <row r="235" spans="80:100" x14ac:dyDescent="0.25">
      <c r="CB235">
        <v>25.4</v>
      </c>
      <c r="CC235">
        <v>1</v>
      </c>
      <c r="CG235">
        <v>129</v>
      </c>
      <c r="CJ235">
        <v>129</v>
      </c>
      <c r="CL235">
        <f t="shared" ref="CL235:CL257" si="100">((0.003)*CJ235)</f>
        <v>0.38700000000000001</v>
      </c>
      <c r="CM235">
        <f t="shared" ref="CM235:CM257" si="101">((-0.0039)*CJ235)+0.8478</f>
        <v>0.34470000000000001</v>
      </c>
      <c r="CN235">
        <f t="shared" si="99"/>
        <v>0.21719999999999998</v>
      </c>
      <c r="CO235">
        <f t="shared" ref="CO235:CP257" si="102">CL235+CM235</f>
        <v>0.73170000000000002</v>
      </c>
      <c r="CP235">
        <f t="shared" si="102"/>
        <v>0.56189999999999996</v>
      </c>
      <c r="CR235">
        <v>0.21</v>
      </c>
      <c r="CS235">
        <v>0.5</v>
      </c>
      <c r="CT235">
        <v>0.28000000000000003</v>
      </c>
      <c r="CU235">
        <f t="shared" ref="CU235:CU257" si="103">CR235+CS235</f>
        <v>0.71</v>
      </c>
      <c r="CV235">
        <f t="shared" ref="CV235:CV257" si="104">CS235+CT235</f>
        <v>0.78</v>
      </c>
    </row>
    <row r="236" spans="80:100" x14ac:dyDescent="0.25">
      <c r="CB236">
        <v>25.6</v>
      </c>
      <c r="CC236">
        <v>1</v>
      </c>
      <c r="CG236">
        <v>130</v>
      </c>
      <c r="CJ236">
        <v>130</v>
      </c>
      <c r="CL236">
        <f t="shared" si="100"/>
        <v>0.39</v>
      </c>
      <c r="CM236">
        <f t="shared" si="101"/>
        <v>0.34079999999999999</v>
      </c>
      <c r="CN236">
        <f t="shared" si="99"/>
        <v>0.21739999999999998</v>
      </c>
      <c r="CO236">
        <f t="shared" si="102"/>
        <v>0.73080000000000001</v>
      </c>
      <c r="CP236">
        <f t="shared" si="102"/>
        <v>0.55820000000000003</v>
      </c>
      <c r="CR236">
        <v>0.21</v>
      </c>
      <c r="CS236">
        <v>0.5</v>
      </c>
      <c r="CT236">
        <v>0.28000000000000003</v>
      </c>
      <c r="CU236">
        <f t="shared" si="103"/>
        <v>0.71</v>
      </c>
      <c r="CV236">
        <f t="shared" si="104"/>
        <v>0.78</v>
      </c>
    </row>
    <row r="237" spans="80:100" x14ac:dyDescent="0.25">
      <c r="CB237">
        <v>25.8</v>
      </c>
      <c r="CC237">
        <v>1</v>
      </c>
      <c r="CG237">
        <v>131</v>
      </c>
      <c r="CJ237">
        <v>131</v>
      </c>
      <c r="CL237">
        <f t="shared" si="100"/>
        <v>0.39300000000000002</v>
      </c>
      <c r="CM237">
        <f t="shared" si="101"/>
        <v>0.33689999999999998</v>
      </c>
      <c r="CN237">
        <f t="shared" si="99"/>
        <v>0.21759999999999999</v>
      </c>
      <c r="CO237">
        <f t="shared" si="102"/>
        <v>0.72989999999999999</v>
      </c>
      <c r="CP237">
        <f t="shared" si="102"/>
        <v>0.55449999999999999</v>
      </c>
      <c r="CR237">
        <v>0.21</v>
      </c>
      <c r="CS237">
        <v>0.5</v>
      </c>
      <c r="CT237">
        <v>0.28000000000000003</v>
      </c>
      <c r="CU237">
        <f t="shared" si="103"/>
        <v>0.71</v>
      </c>
      <c r="CV237">
        <f t="shared" si="104"/>
        <v>0.78</v>
      </c>
    </row>
    <row r="238" spans="80:100" x14ac:dyDescent="0.25">
      <c r="CB238">
        <v>26</v>
      </c>
      <c r="CC238">
        <v>1</v>
      </c>
      <c r="CG238">
        <v>132</v>
      </c>
      <c r="CJ238">
        <v>132</v>
      </c>
      <c r="CL238">
        <f t="shared" si="100"/>
        <v>0.39600000000000002</v>
      </c>
      <c r="CM238">
        <f t="shared" si="101"/>
        <v>0.33300000000000007</v>
      </c>
      <c r="CN238">
        <f t="shared" si="99"/>
        <v>0.21779999999999999</v>
      </c>
      <c r="CO238">
        <f t="shared" si="102"/>
        <v>0.72900000000000009</v>
      </c>
      <c r="CP238">
        <f t="shared" si="102"/>
        <v>0.55080000000000007</v>
      </c>
      <c r="CR238">
        <v>0.21</v>
      </c>
      <c r="CS238">
        <v>0.5</v>
      </c>
      <c r="CT238">
        <v>0.28000000000000003</v>
      </c>
      <c r="CU238">
        <f t="shared" si="103"/>
        <v>0.71</v>
      </c>
      <c r="CV238">
        <f t="shared" si="104"/>
        <v>0.78</v>
      </c>
    </row>
    <row r="239" spans="80:100" x14ac:dyDescent="0.25">
      <c r="CB239">
        <v>26.2</v>
      </c>
      <c r="CC239">
        <v>1</v>
      </c>
      <c r="CG239">
        <v>133</v>
      </c>
      <c r="CJ239">
        <v>133</v>
      </c>
      <c r="CL239">
        <f t="shared" si="100"/>
        <v>0.39900000000000002</v>
      </c>
      <c r="CM239">
        <f t="shared" si="101"/>
        <v>0.32910000000000006</v>
      </c>
      <c r="CN239">
        <f t="shared" si="99"/>
        <v>0.218</v>
      </c>
      <c r="CO239">
        <f t="shared" si="102"/>
        <v>0.72810000000000008</v>
      </c>
      <c r="CP239">
        <f t="shared" si="102"/>
        <v>0.54710000000000003</v>
      </c>
      <c r="CR239">
        <v>0.21</v>
      </c>
      <c r="CS239">
        <v>0.5</v>
      </c>
      <c r="CT239">
        <v>0.28000000000000003</v>
      </c>
      <c r="CU239">
        <f t="shared" si="103"/>
        <v>0.71</v>
      </c>
      <c r="CV239">
        <f t="shared" si="104"/>
        <v>0.78</v>
      </c>
    </row>
    <row r="240" spans="80:100" x14ac:dyDescent="0.25">
      <c r="CB240">
        <v>26.4</v>
      </c>
      <c r="CC240">
        <v>1</v>
      </c>
      <c r="CG240">
        <v>134</v>
      </c>
      <c r="CJ240">
        <v>134</v>
      </c>
      <c r="CL240">
        <f t="shared" si="100"/>
        <v>0.40200000000000002</v>
      </c>
      <c r="CM240">
        <f t="shared" si="101"/>
        <v>0.32520000000000004</v>
      </c>
      <c r="CN240">
        <f t="shared" si="99"/>
        <v>0.21819999999999998</v>
      </c>
      <c r="CO240">
        <f t="shared" si="102"/>
        <v>0.72720000000000007</v>
      </c>
      <c r="CP240">
        <f t="shared" si="102"/>
        <v>0.54339999999999999</v>
      </c>
      <c r="CR240">
        <v>0.21</v>
      </c>
      <c r="CS240">
        <v>0.5</v>
      </c>
      <c r="CT240">
        <v>0.28000000000000003</v>
      </c>
      <c r="CU240">
        <f t="shared" si="103"/>
        <v>0.71</v>
      </c>
      <c r="CV240">
        <f t="shared" si="104"/>
        <v>0.78</v>
      </c>
    </row>
    <row r="241" spans="80:100" x14ac:dyDescent="0.25">
      <c r="CB241">
        <v>26.6</v>
      </c>
      <c r="CC241">
        <v>1</v>
      </c>
      <c r="CG241">
        <v>135</v>
      </c>
      <c r="CJ241">
        <v>135</v>
      </c>
      <c r="CL241">
        <f t="shared" si="100"/>
        <v>0.40500000000000003</v>
      </c>
      <c r="CM241">
        <f t="shared" si="101"/>
        <v>0.32130000000000003</v>
      </c>
      <c r="CN241">
        <f t="shared" si="99"/>
        <v>0.21839999999999998</v>
      </c>
      <c r="CO241">
        <f t="shared" si="102"/>
        <v>0.72630000000000006</v>
      </c>
      <c r="CP241">
        <f t="shared" si="102"/>
        <v>0.53970000000000007</v>
      </c>
      <c r="CR241">
        <v>0.21</v>
      </c>
      <c r="CS241">
        <v>0.5</v>
      </c>
      <c r="CT241">
        <v>0.28000000000000003</v>
      </c>
      <c r="CU241">
        <f t="shared" si="103"/>
        <v>0.71</v>
      </c>
      <c r="CV241">
        <f t="shared" si="104"/>
        <v>0.78</v>
      </c>
    </row>
    <row r="242" spans="80:100" x14ac:dyDescent="0.25">
      <c r="CB242">
        <v>26.8</v>
      </c>
      <c r="CC242">
        <v>1</v>
      </c>
      <c r="CG242">
        <v>136</v>
      </c>
      <c r="CJ242">
        <v>136</v>
      </c>
      <c r="CL242">
        <f t="shared" si="100"/>
        <v>0.40800000000000003</v>
      </c>
      <c r="CM242">
        <f t="shared" si="101"/>
        <v>0.31740000000000002</v>
      </c>
      <c r="CN242">
        <f t="shared" si="99"/>
        <v>0.21859999999999999</v>
      </c>
      <c r="CO242">
        <f t="shared" si="102"/>
        <v>0.72540000000000004</v>
      </c>
      <c r="CP242">
        <f t="shared" si="102"/>
        <v>0.53600000000000003</v>
      </c>
      <c r="CR242">
        <v>0.21</v>
      </c>
      <c r="CS242">
        <v>0.5</v>
      </c>
      <c r="CT242">
        <v>0.28000000000000003</v>
      </c>
      <c r="CU242">
        <f t="shared" si="103"/>
        <v>0.71</v>
      </c>
      <c r="CV242">
        <f t="shared" si="104"/>
        <v>0.78</v>
      </c>
    </row>
    <row r="243" spans="80:100" x14ac:dyDescent="0.25">
      <c r="CB243">
        <v>27</v>
      </c>
      <c r="CC243">
        <v>1</v>
      </c>
      <c r="CG243">
        <v>137</v>
      </c>
      <c r="CJ243">
        <v>137</v>
      </c>
      <c r="CL243">
        <f t="shared" si="100"/>
        <v>0.41100000000000003</v>
      </c>
      <c r="CM243">
        <f t="shared" si="101"/>
        <v>0.3135</v>
      </c>
      <c r="CN243">
        <f t="shared" si="99"/>
        <v>0.21879999999999999</v>
      </c>
      <c r="CO243">
        <f t="shared" si="102"/>
        <v>0.72450000000000003</v>
      </c>
      <c r="CP243">
        <f t="shared" si="102"/>
        <v>0.5323</v>
      </c>
      <c r="CR243">
        <v>0.21</v>
      </c>
      <c r="CS243">
        <v>0.5</v>
      </c>
      <c r="CT243">
        <v>0.28000000000000003</v>
      </c>
      <c r="CU243">
        <f t="shared" si="103"/>
        <v>0.71</v>
      </c>
      <c r="CV243">
        <f t="shared" si="104"/>
        <v>0.78</v>
      </c>
    </row>
    <row r="244" spans="80:100" x14ac:dyDescent="0.25">
      <c r="CB244">
        <v>27.2</v>
      </c>
      <c r="CC244">
        <v>1</v>
      </c>
      <c r="CG244">
        <v>138</v>
      </c>
      <c r="CJ244">
        <v>138</v>
      </c>
      <c r="CL244">
        <f t="shared" si="100"/>
        <v>0.41400000000000003</v>
      </c>
      <c r="CM244">
        <f t="shared" si="101"/>
        <v>0.30959999999999999</v>
      </c>
      <c r="CN244">
        <f t="shared" si="99"/>
        <v>0.219</v>
      </c>
      <c r="CO244">
        <f t="shared" si="102"/>
        <v>0.72360000000000002</v>
      </c>
      <c r="CP244">
        <f t="shared" si="102"/>
        <v>0.52859999999999996</v>
      </c>
      <c r="CR244">
        <v>0.21</v>
      </c>
      <c r="CS244">
        <v>0.5</v>
      </c>
      <c r="CT244">
        <v>0.28000000000000003</v>
      </c>
      <c r="CU244">
        <f t="shared" si="103"/>
        <v>0.71</v>
      </c>
      <c r="CV244">
        <f t="shared" si="104"/>
        <v>0.78</v>
      </c>
    </row>
    <row r="245" spans="80:100" x14ac:dyDescent="0.25">
      <c r="CB245">
        <v>27.4</v>
      </c>
      <c r="CC245">
        <v>1</v>
      </c>
      <c r="CG245">
        <v>139</v>
      </c>
      <c r="CJ245">
        <v>139</v>
      </c>
      <c r="CL245">
        <f t="shared" si="100"/>
        <v>0.41699999999999998</v>
      </c>
      <c r="CM245">
        <f t="shared" si="101"/>
        <v>0.30569999999999997</v>
      </c>
      <c r="CN245">
        <f t="shared" si="99"/>
        <v>0.21919999999999998</v>
      </c>
      <c r="CO245">
        <f t="shared" si="102"/>
        <v>0.7226999999999999</v>
      </c>
      <c r="CP245">
        <f t="shared" si="102"/>
        <v>0.52489999999999992</v>
      </c>
      <c r="CR245">
        <v>0.21</v>
      </c>
      <c r="CS245">
        <v>0.5</v>
      </c>
      <c r="CT245">
        <v>0.28000000000000003</v>
      </c>
      <c r="CU245">
        <f t="shared" si="103"/>
        <v>0.71</v>
      </c>
      <c r="CV245">
        <f t="shared" si="104"/>
        <v>0.78</v>
      </c>
    </row>
    <row r="246" spans="80:100" x14ac:dyDescent="0.25">
      <c r="CB246">
        <v>27.6</v>
      </c>
      <c r="CC246">
        <v>1</v>
      </c>
      <c r="CG246">
        <v>140</v>
      </c>
      <c r="CJ246">
        <v>140</v>
      </c>
      <c r="CL246">
        <f t="shared" si="100"/>
        <v>0.42</v>
      </c>
      <c r="CM246">
        <f t="shared" si="101"/>
        <v>0.30180000000000007</v>
      </c>
      <c r="CN246">
        <f t="shared" si="99"/>
        <v>0.21939999999999998</v>
      </c>
      <c r="CO246">
        <f t="shared" si="102"/>
        <v>0.7218</v>
      </c>
      <c r="CP246">
        <f t="shared" si="102"/>
        <v>0.52120000000000011</v>
      </c>
      <c r="CR246">
        <v>0.21</v>
      </c>
      <c r="CS246">
        <v>0.5</v>
      </c>
      <c r="CT246">
        <v>0.28000000000000003</v>
      </c>
      <c r="CU246">
        <f t="shared" si="103"/>
        <v>0.71</v>
      </c>
      <c r="CV246">
        <f t="shared" si="104"/>
        <v>0.78</v>
      </c>
    </row>
    <row r="247" spans="80:100" x14ac:dyDescent="0.25">
      <c r="CB247">
        <v>27.8</v>
      </c>
      <c r="CC247">
        <v>1</v>
      </c>
      <c r="CG247">
        <v>141</v>
      </c>
      <c r="CJ247">
        <v>141</v>
      </c>
      <c r="CL247">
        <f t="shared" si="100"/>
        <v>0.42299999999999999</v>
      </c>
      <c r="CM247">
        <f t="shared" si="101"/>
        <v>0.29790000000000005</v>
      </c>
      <c r="CN247">
        <f t="shared" si="99"/>
        <v>0.21959999999999999</v>
      </c>
      <c r="CO247">
        <f t="shared" si="102"/>
        <v>0.7209000000000001</v>
      </c>
      <c r="CP247">
        <f t="shared" si="102"/>
        <v>0.51750000000000007</v>
      </c>
      <c r="CR247">
        <v>0.21</v>
      </c>
      <c r="CS247">
        <v>0.5</v>
      </c>
      <c r="CT247">
        <v>0.28000000000000003</v>
      </c>
      <c r="CU247">
        <f t="shared" si="103"/>
        <v>0.71</v>
      </c>
      <c r="CV247">
        <f t="shared" si="104"/>
        <v>0.78</v>
      </c>
    </row>
    <row r="248" spans="80:100" x14ac:dyDescent="0.25">
      <c r="CB248">
        <v>28</v>
      </c>
      <c r="CC248">
        <v>1</v>
      </c>
      <c r="CG248">
        <v>142</v>
      </c>
      <c r="CJ248">
        <v>142</v>
      </c>
      <c r="CL248">
        <f t="shared" si="100"/>
        <v>0.42599999999999999</v>
      </c>
      <c r="CM248">
        <f t="shared" si="101"/>
        <v>0.29400000000000004</v>
      </c>
      <c r="CN248">
        <f t="shared" si="99"/>
        <v>0.2198</v>
      </c>
      <c r="CO248">
        <f t="shared" si="102"/>
        <v>0.72</v>
      </c>
      <c r="CP248">
        <f t="shared" si="102"/>
        <v>0.51380000000000003</v>
      </c>
      <c r="CR248">
        <v>0.21</v>
      </c>
      <c r="CS248">
        <v>0.5</v>
      </c>
      <c r="CT248">
        <v>0.28000000000000003</v>
      </c>
      <c r="CU248">
        <f t="shared" si="103"/>
        <v>0.71</v>
      </c>
      <c r="CV248">
        <f t="shared" si="104"/>
        <v>0.78</v>
      </c>
    </row>
    <row r="249" spans="80:100" x14ac:dyDescent="0.25">
      <c r="CB249">
        <v>28.2</v>
      </c>
      <c r="CC249">
        <v>1</v>
      </c>
      <c r="CG249">
        <v>143</v>
      </c>
      <c r="CJ249">
        <v>143</v>
      </c>
      <c r="CL249">
        <f t="shared" si="100"/>
        <v>0.42899999999999999</v>
      </c>
      <c r="CM249">
        <f t="shared" si="101"/>
        <v>0.29010000000000002</v>
      </c>
      <c r="CN249">
        <f t="shared" si="99"/>
        <v>0.21999999999999997</v>
      </c>
      <c r="CO249">
        <f t="shared" si="102"/>
        <v>0.71910000000000007</v>
      </c>
      <c r="CP249">
        <f t="shared" si="102"/>
        <v>0.5101</v>
      </c>
      <c r="CR249">
        <v>0.21</v>
      </c>
      <c r="CS249">
        <v>0.5</v>
      </c>
      <c r="CT249">
        <v>0.28000000000000003</v>
      </c>
      <c r="CU249">
        <f t="shared" si="103"/>
        <v>0.71</v>
      </c>
      <c r="CV249">
        <f t="shared" si="104"/>
        <v>0.78</v>
      </c>
    </row>
    <row r="250" spans="80:100" x14ac:dyDescent="0.25">
      <c r="CB250">
        <v>28.4</v>
      </c>
      <c r="CC250">
        <v>1</v>
      </c>
      <c r="CG250">
        <v>144</v>
      </c>
      <c r="CJ250">
        <v>144</v>
      </c>
      <c r="CL250">
        <f t="shared" si="100"/>
        <v>0.432</v>
      </c>
      <c r="CM250">
        <f t="shared" si="101"/>
        <v>0.28620000000000001</v>
      </c>
      <c r="CN250">
        <f t="shared" si="99"/>
        <v>0.22019999999999998</v>
      </c>
      <c r="CO250">
        <f t="shared" si="102"/>
        <v>0.71819999999999995</v>
      </c>
      <c r="CP250">
        <f t="shared" si="102"/>
        <v>0.50639999999999996</v>
      </c>
      <c r="CR250">
        <v>0.21</v>
      </c>
      <c r="CS250">
        <v>0.5</v>
      </c>
      <c r="CT250">
        <v>0.28000000000000003</v>
      </c>
      <c r="CU250">
        <f t="shared" si="103"/>
        <v>0.71</v>
      </c>
      <c r="CV250">
        <f t="shared" si="104"/>
        <v>0.78</v>
      </c>
    </row>
    <row r="251" spans="80:100" x14ac:dyDescent="0.25">
      <c r="CB251">
        <v>28.6</v>
      </c>
      <c r="CC251">
        <v>1</v>
      </c>
      <c r="CG251">
        <v>145</v>
      </c>
      <c r="CJ251">
        <v>145</v>
      </c>
      <c r="CL251">
        <f t="shared" si="100"/>
        <v>0.435</v>
      </c>
      <c r="CM251">
        <f t="shared" si="101"/>
        <v>0.2823</v>
      </c>
      <c r="CN251">
        <f t="shared" si="99"/>
        <v>0.22039999999999998</v>
      </c>
      <c r="CO251">
        <f t="shared" si="102"/>
        <v>0.71730000000000005</v>
      </c>
      <c r="CP251">
        <f t="shared" si="102"/>
        <v>0.50269999999999992</v>
      </c>
      <c r="CR251">
        <v>0.21</v>
      </c>
      <c r="CS251">
        <v>0.5</v>
      </c>
      <c r="CT251">
        <v>0.28000000000000003</v>
      </c>
      <c r="CU251">
        <f t="shared" si="103"/>
        <v>0.71</v>
      </c>
      <c r="CV251">
        <f t="shared" si="104"/>
        <v>0.78</v>
      </c>
    </row>
    <row r="252" spans="80:100" x14ac:dyDescent="0.25">
      <c r="CB252">
        <v>28.8</v>
      </c>
      <c r="CC252">
        <v>1</v>
      </c>
      <c r="CG252">
        <v>146</v>
      </c>
      <c r="CJ252">
        <v>146</v>
      </c>
      <c r="CL252">
        <f t="shared" si="100"/>
        <v>0.438</v>
      </c>
      <c r="CM252">
        <f t="shared" si="101"/>
        <v>0.27839999999999998</v>
      </c>
      <c r="CN252">
        <f t="shared" si="99"/>
        <v>0.22059999999999999</v>
      </c>
      <c r="CO252">
        <f t="shared" si="102"/>
        <v>0.71639999999999993</v>
      </c>
      <c r="CP252">
        <f t="shared" si="102"/>
        <v>0.499</v>
      </c>
      <c r="CR252">
        <v>0.21</v>
      </c>
      <c r="CS252">
        <v>0.5</v>
      </c>
      <c r="CT252">
        <v>0.28000000000000003</v>
      </c>
      <c r="CU252">
        <f t="shared" si="103"/>
        <v>0.71</v>
      </c>
      <c r="CV252">
        <f t="shared" si="104"/>
        <v>0.78</v>
      </c>
    </row>
    <row r="253" spans="80:100" x14ac:dyDescent="0.25">
      <c r="CB253">
        <v>29</v>
      </c>
      <c r="CC253">
        <v>1</v>
      </c>
      <c r="CG253">
        <v>147</v>
      </c>
      <c r="CJ253">
        <v>147</v>
      </c>
      <c r="CL253">
        <f t="shared" si="100"/>
        <v>0.441</v>
      </c>
      <c r="CM253">
        <f t="shared" si="101"/>
        <v>0.27450000000000008</v>
      </c>
      <c r="CN253">
        <f t="shared" si="99"/>
        <v>0.2208</v>
      </c>
      <c r="CO253">
        <f t="shared" si="102"/>
        <v>0.71550000000000002</v>
      </c>
      <c r="CP253">
        <f t="shared" si="102"/>
        <v>0.49530000000000007</v>
      </c>
      <c r="CR253">
        <v>0.21</v>
      </c>
      <c r="CS253">
        <v>0.5</v>
      </c>
      <c r="CT253">
        <v>0.28000000000000003</v>
      </c>
      <c r="CU253">
        <f t="shared" si="103"/>
        <v>0.71</v>
      </c>
      <c r="CV253">
        <f t="shared" si="104"/>
        <v>0.78</v>
      </c>
    </row>
    <row r="254" spans="80:100" x14ac:dyDescent="0.25">
      <c r="CB254">
        <v>29.2</v>
      </c>
      <c r="CC254">
        <v>1</v>
      </c>
      <c r="CG254">
        <v>148</v>
      </c>
      <c r="CJ254">
        <v>148</v>
      </c>
      <c r="CL254">
        <f t="shared" si="100"/>
        <v>0.44400000000000001</v>
      </c>
      <c r="CM254">
        <f t="shared" si="101"/>
        <v>0.27060000000000006</v>
      </c>
      <c r="CN254">
        <f t="shared" si="99"/>
        <v>0.22099999999999997</v>
      </c>
      <c r="CO254">
        <f t="shared" si="102"/>
        <v>0.71460000000000012</v>
      </c>
      <c r="CP254">
        <f t="shared" si="102"/>
        <v>0.49160000000000004</v>
      </c>
      <c r="CR254">
        <v>0.21</v>
      </c>
      <c r="CS254">
        <v>0.5</v>
      </c>
      <c r="CT254">
        <v>0.28000000000000003</v>
      </c>
      <c r="CU254">
        <f t="shared" si="103"/>
        <v>0.71</v>
      </c>
      <c r="CV254">
        <f t="shared" si="104"/>
        <v>0.78</v>
      </c>
    </row>
    <row r="255" spans="80:100" x14ac:dyDescent="0.25">
      <c r="CB255">
        <v>29.4</v>
      </c>
      <c r="CC255">
        <v>1</v>
      </c>
      <c r="CG255">
        <v>149</v>
      </c>
      <c r="CJ255">
        <v>149</v>
      </c>
      <c r="CL255">
        <f t="shared" si="100"/>
        <v>0.44700000000000001</v>
      </c>
      <c r="CM255">
        <f t="shared" si="101"/>
        <v>0.26670000000000005</v>
      </c>
      <c r="CN255">
        <f t="shared" si="99"/>
        <v>0.22119999999999998</v>
      </c>
      <c r="CO255">
        <f t="shared" si="102"/>
        <v>0.7137</v>
      </c>
      <c r="CP255">
        <f t="shared" si="102"/>
        <v>0.4879</v>
      </c>
      <c r="CR255">
        <v>0.21</v>
      </c>
      <c r="CS255">
        <v>0.5</v>
      </c>
      <c r="CT255">
        <v>0.28000000000000003</v>
      </c>
      <c r="CU255">
        <f t="shared" si="103"/>
        <v>0.71</v>
      </c>
      <c r="CV255">
        <f t="shared" si="104"/>
        <v>0.78</v>
      </c>
    </row>
    <row r="256" spans="80:100" x14ac:dyDescent="0.25">
      <c r="CB256">
        <v>29.6</v>
      </c>
      <c r="CC256">
        <v>1</v>
      </c>
      <c r="CG256">
        <v>150</v>
      </c>
      <c r="CJ256">
        <v>150</v>
      </c>
      <c r="CL256">
        <f t="shared" si="100"/>
        <v>0.45</v>
      </c>
      <c r="CM256">
        <f t="shared" si="101"/>
        <v>0.26280000000000003</v>
      </c>
      <c r="CN256">
        <f t="shared" si="99"/>
        <v>0.22139999999999999</v>
      </c>
      <c r="CO256">
        <f t="shared" si="102"/>
        <v>0.7128000000000001</v>
      </c>
      <c r="CP256">
        <f t="shared" si="102"/>
        <v>0.48420000000000002</v>
      </c>
      <c r="CR256">
        <v>0.21</v>
      </c>
      <c r="CS256">
        <v>0.5</v>
      </c>
      <c r="CT256">
        <v>0.28000000000000003</v>
      </c>
      <c r="CU256">
        <f t="shared" si="103"/>
        <v>0.71</v>
      </c>
      <c r="CV256">
        <f t="shared" si="104"/>
        <v>0.78</v>
      </c>
    </row>
    <row r="257" spans="80:100" x14ac:dyDescent="0.25">
      <c r="CB257">
        <v>29.8</v>
      </c>
      <c r="CC257">
        <v>1</v>
      </c>
      <c r="CG257">
        <v>151</v>
      </c>
      <c r="CJ257">
        <v>151</v>
      </c>
      <c r="CL257">
        <f t="shared" si="100"/>
        <v>0.45300000000000001</v>
      </c>
      <c r="CM257">
        <f t="shared" si="101"/>
        <v>0.25890000000000002</v>
      </c>
      <c r="CN257">
        <f t="shared" si="99"/>
        <v>0.22159999999999999</v>
      </c>
      <c r="CO257">
        <f t="shared" si="102"/>
        <v>0.71189999999999998</v>
      </c>
      <c r="CP257">
        <f t="shared" si="102"/>
        <v>0.48050000000000004</v>
      </c>
      <c r="CR257">
        <v>0.21</v>
      </c>
      <c r="CS257">
        <v>0.5</v>
      </c>
      <c r="CT257">
        <v>0.28000000000000003</v>
      </c>
      <c r="CU257">
        <f t="shared" si="103"/>
        <v>0.71</v>
      </c>
      <c r="CV257">
        <f t="shared" si="104"/>
        <v>0.78</v>
      </c>
    </row>
    <row r="258" spans="80:100" x14ac:dyDescent="0.25">
      <c r="CB258">
        <v>30</v>
      </c>
      <c r="CC258">
        <v>1</v>
      </c>
    </row>
    <row r="259" spans="80:100" x14ac:dyDescent="0.25">
      <c r="CB259">
        <v>30.2</v>
      </c>
      <c r="CC259">
        <v>1</v>
      </c>
    </row>
    <row r="260" spans="80:100" x14ac:dyDescent="0.25">
      <c r="CB260">
        <v>30.4</v>
      </c>
      <c r="CC260">
        <v>1</v>
      </c>
    </row>
    <row r="261" spans="80:100" x14ac:dyDescent="0.25">
      <c r="CB261">
        <v>30.6</v>
      </c>
      <c r="CC261">
        <v>1</v>
      </c>
    </row>
    <row r="262" spans="80:100" x14ac:dyDescent="0.25">
      <c r="CB262">
        <v>30.8</v>
      </c>
      <c r="CC262">
        <v>1</v>
      </c>
    </row>
    <row r="263" spans="80:100" x14ac:dyDescent="0.25">
      <c r="CB263">
        <v>31</v>
      </c>
      <c r="CC263">
        <v>1</v>
      </c>
    </row>
    <row r="264" spans="80:100" x14ac:dyDescent="0.25">
      <c r="CB264">
        <v>31.2</v>
      </c>
      <c r="CC264">
        <v>1</v>
      </c>
    </row>
    <row r="265" spans="80:100" x14ac:dyDescent="0.25">
      <c r="CB265">
        <v>31.4</v>
      </c>
      <c r="CC265">
        <v>1</v>
      </c>
    </row>
    <row r="266" spans="80:100" x14ac:dyDescent="0.25">
      <c r="CB266">
        <v>31.6</v>
      </c>
      <c r="CC266">
        <v>1</v>
      </c>
    </row>
    <row r="267" spans="80:100" x14ac:dyDescent="0.25">
      <c r="CB267">
        <v>31.8</v>
      </c>
      <c r="CC267">
        <v>1</v>
      </c>
    </row>
    <row r="268" spans="80:100" x14ac:dyDescent="0.25">
      <c r="CB268">
        <v>32</v>
      </c>
      <c r="CC268">
        <v>1</v>
      </c>
    </row>
    <row r="269" spans="80:100" x14ac:dyDescent="0.25">
      <c r="CB269">
        <v>32.200000000000003</v>
      </c>
      <c r="CC269">
        <v>1</v>
      </c>
    </row>
    <row r="270" spans="80:100" x14ac:dyDescent="0.25">
      <c r="CB270">
        <v>32.4</v>
      </c>
      <c r="CC270">
        <v>1</v>
      </c>
    </row>
    <row r="271" spans="80:100" x14ac:dyDescent="0.25">
      <c r="CB271">
        <v>32.6</v>
      </c>
      <c r="CC271">
        <v>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943"/>
  <sheetViews>
    <sheetView topLeftCell="A2" workbookViewId="0">
      <selection activeCell="B32171" sqref="B32171"/>
    </sheetView>
  </sheetViews>
  <sheetFormatPr defaultColWidth="8.77734375" defaultRowHeight="13.2" x14ac:dyDescent="0.25"/>
  <cols>
    <col min="1" max="1" width="14.77734375" customWidth="1"/>
  </cols>
  <sheetData>
    <row r="1" spans="1:7" x14ac:dyDescent="0.25">
      <c r="A1" t="s">
        <v>145</v>
      </c>
      <c r="G1" t="s">
        <v>139</v>
      </c>
    </row>
    <row r="2" spans="1:7" x14ac:dyDescent="0.25">
      <c r="A2" t="s">
        <v>0</v>
      </c>
      <c r="B2" t="s">
        <v>144</v>
      </c>
      <c r="C2" t="s">
        <v>143</v>
      </c>
    </row>
    <row r="3" spans="1:7" x14ac:dyDescent="0.25">
      <c r="A3" s="74">
        <v>4795</v>
      </c>
      <c r="B3">
        <v>10.3</v>
      </c>
    </row>
    <row r="4" spans="1:7" x14ac:dyDescent="0.25">
      <c r="A4" s="74">
        <v>4796</v>
      </c>
    </row>
    <row r="5" spans="1:7" x14ac:dyDescent="0.25">
      <c r="A5" s="74">
        <v>4797</v>
      </c>
      <c r="B5">
        <v>75.3</v>
      </c>
    </row>
    <row r="6" spans="1:7" x14ac:dyDescent="0.25">
      <c r="A6" s="74">
        <v>4798</v>
      </c>
      <c r="B6">
        <v>43</v>
      </c>
    </row>
    <row r="7" spans="1:7" x14ac:dyDescent="0.25">
      <c r="A7" s="74">
        <v>4799</v>
      </c>
      <c r="B7">
        <v>26.5</v>
      </c>
    </row>
    <row r="8" spans="1:7" x14ac:dyDescent="0.25">
      <c r="A8" s="74">
        <v>4800</v>
      </c>
      <c r="B8">
        <v>19.3</v>
      </c>
    </row>
    <row r="9" spans="1:7" x14ac:dyDescent="0.25">
      <c r="A9" s="74">
        <v>4801</v>
      </c>
      <c r="B9">
        <v>14.2</v>
      </c>
    </row>
    <row r="10" spans="1:7" x14ac:dyDescent="0.25">
      <c r="A10" s="74">
        <v>4802</v>
      </c>
      <c r="B10">
        <v>10.3</v>
      </c>
    </row>
    <row r="11" spans="1:7" x14ac:dyDescent="0.25">
      <c r="A11" s="74">
        <v>4803</v>
      </c>
      <c r="B11">
        <v>9.6300000000000008</v>
      </c>
    </row>
    <row r="12" spans="1:7" x14ac:dyDescent="0.25">
      <c r="A12" s="74">
        <v>4804</v>
      </c>
      <c r="B12">
        <v>8.2100000000000009</v>
      </c>
    </row>
    <row r="13" spans="1:7" x14ac:dyDescent="0.25">
      <c r="A13" s="74">
        <v>4805</v>
      </c>
      <c r="B13">
        <v>9.6300000000000008</v>
      </c>
    </row>
    <row r="14" spans="1:7" x14ac:dyDescent="0.25">
      <c r="A14" s="74">
        <v>4806</v>
      </c>
      <c r="B14">
        <v>8.2100000000000009</v>
      </c>
    </row>
    <row r="15" spans="1:7" x14ac:dyDescent="0.25">
      <c r="A15" s="74">
        <v>4807</v>
      </c>
    </row>
    <row r="16" spans="1:7" x14ac:dyDescent="0.25">
      <c r="A16" s="74">
        <v>4808</v>
      </c>
    </row>
    <row r="17" spans="1:2" x14ac:dyDescent="0.25">
      <c r="A17" s="74">
        <v>4809</v>
      </c>
      <c r="B17">
        <v>5.78</v>
      </c>
    </row>
    <row r="18" spans="1:2" x14ac:dyDescent="0.25">
      <c r="A18" s="74">
        <v>4810</v>
      </c>
      <c r="B18">
        <v>5.52</v>
      </c>
    </row>
    <row r="19" spans="1:2" x14ac:dyDescent="0.25">
      <c r="A19" s="74">
        <v>4811</v>
      </c>
      <c r="B19">
        <v>5.27</v>
      </c>
    </row>
    <row r="20" spans="1:2" x14ac:dyDescent="0.25">
      <c r="A20" s="74">
        <v>4812</v>
      </c>
      <c r="B20">
        <v>5.18</v>
      </c>
    </row>
    <row r="21" spans="1:2" x14ac:dyDescent="0.25">
      <c r="A21" s="74">
        <v>4813</v>
      </c>
      <c r="B21">
        <v>5.55</v>
      </c>
    </row>
    <row r="22" spans="1:2" x14ac:dyDescent="0.25">
      <c r="A22" s="74">
        <v>4814</v>
      </c>
      <c r="B22">
        <v>5.95</v>
      </c>
    </row>
    <row r="23" spans="1:2" x14ac:dyDescent="0.25">
      <c r="A23" s="74">
        <v>4815</v>
      </c>
      <c r="B23">
        <v>7.93</v>
      </c>
    </row>
    <row r="24" spans="1:2" x14ac:dyDescent="0.25">
      <c r="A24" s="74">
        <v>4816</v>
      </c>
      <c r="B24">
        <v>9.6300000000000008</v>
      </c>
    </row>
    <row r="25" spans="1:2" x14ac:dyDescent="0.25">
      <c r="A25" s="74">
        <v>4817</v>
      </c>
      <c r="B25">
        <v>9.6300000000000008</v>
      </c>
    </row>
    <row r="26" spans="1:2" x14ac:dyDescent="0.25">
      <c r="A26" s="74">
        <v>4818</v>
      </c>
      <c r="B26">
        <v>9.6300000000000008</v>
      </c>
    </row>
    <row r="27" spans="1:2" x14ac:dyDescent="0.25">
      <c r="A27" s="74">
        <v>4819</v>
      </c>
      <c r="B27">
        <v>10.3</v>
      </c>
    </row>
    <row r="28" spans="1:2" x14ac:dyDescent="0.25">
      <c r="A28" s="74">
        <v>4820</v>
      </c>
      <c r="B28">
        <v>14.2</v>
      </c>
    </row>
    <row r="29" spans="1:2" x14ac:dyDescent="0.25">
      <c r="A29" s="74">
        <v>4821</v>
      </c>
      <c r="B29">
        <v>7.65</v>
      </c>
    </row>
    <row r="30" spans="1:2" x14ac:dyDescent="0.25">
      <c r="A30" s="74">
        <v>4822</v>
      </c>
      <c r="B30">
        <v>14.2</v>
      </c>
    </row>
    <row r="31" spans="1:2" x14ac:dyDescent="0.25">
      <c r="A31" s="74">
        <v>4823</v>
      </c>
      <c r="B31">
        <v>6.51</v>
      </c>
    </row>
    <row r="32" spans="1:2" x14ac:dyDescent="0.25">
      <c r="A32" s="74">
        <v>4824</v>
      </c>
      <c r="B32">
        <v>7.79</v>
      </c>
    </row>
    <row r="33" spans="1:2" x14ac:dyDescent="0.25">
      <c r="A33" s="74">
        <v>4825</v>
      </c>
      <c r="B33">
        <v>8.92</v>
      </c>
    </row>
    <row r="34" spans="1:2" x14ac:dyDescent="0.25">
      <c r="A34" s="74">
        <v>4826</v>
      </c>
      <c r="B34">
        <v>10.3</v>
      </c>
    </row>
    <row r="35" spans="1:2" x14ac:dyDescent="0.25">
      <c r="A35" s="74">
        <v>4827</v>
      </c>
      <c r="B35">
        <v>8.92</v>
      </c>
    </row>
    <row r="36" spans="1:2" x14ac:dyDescent="0.25">
      <c r="A36" s="74">
        <v>4828</v>
      </c>
      <c r="B36">
        <v>8.2100000000000009</v>
      </c>
    </row>
    <row r="37" spans="1:2" x14ac:dyDescent="0.25">
      <c r="A37" s="74">
        <v>4829</v>
      </c>
      <c r="B37">
        <v>8.92</v>
      </c>
    </row>
    <row r="38" spans="1:2" x14ac:dyDescent="0.25">
      <c r="A38" s="74">
        <v>4830</v>
      </c>
      <c r="B38">
        <v>6.51</v>
      </c>
    </row>
    <row r="39" spans="1:2" x14ac:dyDescent="0.25">
      <c r="A39" s="74">
        <v>4831</v>
      </c>
      <c r="B39">
        <v>6.23</v>
      </c>
    </row>
    <row r="40" spans="1:2" x14ac:dyDescent="0.25">
      <c r="A40" s="74">
        <v>4832</v>
      </c>
      <c r="B40">
        <v>5.95</v>
      </c>
    </row>
    <row r="41" spans="1:2" x14ac:dyDescent="0.25">
      <c r="A41" s="74">
        <v>4833</v>
      </c>
      <c r="B41">
        <v>5.95</v>
      </c>
    </row>
    <row r="42" spans="1:2" x14ac:dyDescent="0.25">
      <c r="A42" s="74">
        <v>4834</v>
      </c>
      <c r="B42">
        <v>5.0999999999999996</v>
      </c>
    </row>
    <row r="43" spans="1:2" x14ac:dyDescent="0.25">
      <c r="A43" s="74">
        <v>4835</v>
      </c>
      <c r="B43">
        <v>5.52</v>
      </c>
    </row>
    <row r="44" spans="1:2" x14ac:dyDescent="0.25">
      <c r="A44" s="74">
        <v>4836</v>
      </c>
      <c r="B44">
        <v>5.95</v>
      </c>
    </row>
    <row r="45" spans="1:2" x14ac:dyDescent="0.25">
      <c r="A45" s="74">
        <v>4837</v>
      </c>
      <c r="B45">
        <v>6.51</v>
      </c>
    </row>
    <row r="46" spans="1:2" x14ac:dyDescent="0.25">
      <c r="A46" s="74">
        <v>4838</v>
      </c>
      <c r="B46">
        <v>6.8</v>
      </c>
    </row>
    <row r="47" spans="1:2" x14ac:dyDescent="0.25">
      <c r="A47" s="74">
        <v>4839</v>
      </c>
      <c r="B47">
        <v>7.08</v>
      </c>
    </row>
    <row r="48" spans="1:2" x14ac:dyDescent="0.25">
      <c r="A48" s="74">
        <v>4840</v>
      </c>
      <c r="B48">
        <v>5.95</v>
      </c>
    </row>
    <row r="49" spans="1:2" x14ac:dyDescent="0.25">
      <c r="A49" s="74">
        <v>4841</v>
      </c>
      <c r="B49">
        <v>5.95</v>
      </c>
    </row>
    <row r="50" spans="1:2" x14ac:dyDescent="0.25">
      <c r="A50" s="74">
        <v>4842</v>
      </c>
      <c r="B50">
        <v>5.95</v>
      </c>
    </row>
    <row r="51" spans="1:2" x14ac:dyDescent="0.25">
      <c r="A51" s="74">
        <v>4843</v>
      </c>
      <c r="B51">
        <v>6.51</v>
      </c>
    </row>
    <row r="52" spans="1:2" x14ac:dyDescent="0.25">
      <c r="A52" s="74">
        <v>4844</v>
      </c>
      <c r="B52">
        <v>7.08</v>
      </c>
    </row>
    <row r="53" spans="1:2" x14ac:dyDescent="0.25">
      <c r="A53" s="74">
        <v>4845</v>
      </c>
      <c r="B53">
        <v>6.8</v>
      </c>
    </row>
    <row r="54" spans="1:2" x14ac:dyDescent="0.25">
      <c r="A54" s="74">
        <v>4846</v>
      </c>
      <c r="B54">
        <v>6.51</v>
      </c>
    </row>
    <row r="55" spans="1:2" x14ac:dyDescent="0.25">
      <c r="A55" s="74">
        <v>4847</v>
      </c>
      <c r="B55">
        <v>10.3</v>
      </c>
    </row>
    <row r="56" spans="1:2" x14ac:dyDescent="0.25">
      <c r="A56" s="74">
        <v>4848</v>
      </c>
      <c r="B56">
        <v>8.2100000000000009</v>
      </c>
    </row>
    <row r="57" spans="1:2" x14ac:dyDescent="0.25">
      <c r="A57" s="74">
        <v>4849</v>
      </c>
      <c r="B57">
        <v>7.93</v>
      </c>
    </row>
    <row r="58" spans="1:2" x14ac:dyDescent="0.25">
      <c r="A58" s="74">
        <v>4850</v>
      </c>
      <c r="B58">
        <v>7.65</v>
      </c>
    </row>
    <row r="59" spans="1:2" x14ac:dyDescent="0.25">
      <c r="A59" s="74">
        <v>4851</v>
      </c>
      <c r="B59">
        <v>27.8</v>
      </c>
    </row>
    <row r="60" spans="1:2" x14ac:dyDescent="0.25">
      <c r="A60" s="74">
        <v>4852</v>
      </c>
      <c r="B60">
        <v>21.5</v>
      </c>
    </row>
    <row r="61" spans="1:2" x14ac:dyDescent="0.25">
      <c r="A61" s="74">
        <v>4853</v>
      </c>
      <c r="B61">
        <v>18.100000000000001</v>
      </c>
    </row>
    <row r="62" spans="1:2" x14ac:dyDescent="0.25">
      <c r="A62" s="74">
        <v>4854</v>
      </c>
      <c r="B62">
        <v>15</v>
      </c>
    </row>
    <row r="63" spans="1:2" x14ac:dyDescent="0.25">
      <c r="A63" s="74">
        <v>4855</v>
      </c>
      <c r="B63">
        <v>12.6</v>
      </c>
    </row>
    <row r="64" spans="1:2" x14ac:dyDescent="0.25">
      <c r="A64" s="74">
        <v>4856</v>
      </c>
      <c r="B64">
        <v>10.3</v>
      </c>
    </row>
    <row r="65" spans="1:2" x14ac:dyDescent="0.25">
      <c r="A65" s="74">
        <v>4857</v>
      </c>
      <c r="B65">
        <v>9.6300000000000008</v>
      </c>
    </row>
    <row r="66" spans="1:2" x14ac:dyDescent="0.25">
      <c r="A66" s="74">
        <v>4858</v>
      </c>
      <c r="B66">
        <v>7.08</v>
      </c>
    </row>
    <row r="67" spans="1:2" x14ac:dyDescent="0.25">
      <c r="A67" s="74">
        <v>4859</v>
      </c>
    </row>
    <row r="68" spans="1:2" x14ac:dyDescent="0.25">
      <c r="A68" s="74">
        <v>4860</v>
      </c>
    </row>
    <row r="69" spans="1:2" x14ac:dyDescent="0.25">
      <c r="A69" s="74">
        <v>4861</v>
      </c>
    </row>
    <row r="70" spans="1:2" x14ac:dyDescent="0.25">
      <c r="A70" s="74">
        <v>4862</v>
      </c>
    </row>
    <row r="71" spans="1:2" x14ac:dyDescent="0.25">
      <c r="A71" s="74">
        <v>4863</v>
      </c>
    </row>
    <row r="72" spans="1:2" x14ac:dyDescent="0.25">
      <c r="A72" s="74">
        <v>4864</v>
      </c>
    </row>
    <row r="73" spans="1:2" x14ac:dyDescent="0.25">
      <c r="A73" s="74">
        <v>4865</v>
      </c>
    </row>
    <row r="74" spans="1:2" x14ac:dyDescent="0.25">
      <c r="A74" s="74">
        <v>4866</v>
      </c>
    </row>
    <row r="75" spans="1:2" x14ac:dyDescent="0.25">
      <c r="A75" s="74">
        <v>4867</v>
      </c>
    </row>
    <row r="76" spans="1:2" x14ac:dyDescent="0.25">
      <c r="A76" s="74">
        <v>4868</v>
      </c>
    </row>
    <row r="77" spans="1:2" x14ac:dyDescent="0.25">
      <c r="A77" s="74">
        <v>4869</v>
      </c>
    </row>
    <row r="78" spans="1:2" x14ac:dyDescent="0.25">
      <c r="A78" s="74">
        <v>4870</v>
      </c>
    </row>
    <row r="79" spans="1:2" x14ac:dyDescent="0.25">
      <c r="A79" s="74">
        <v>4871</v>
      </c>
    </row>
    <row r="80" spans="1:2" x14ac:dyDescent="0.25">
      <c r="A80" s="74">
        <v>4872</v>
      </c>
      <c r="B80">
        <v>5.52</v>
      </c>
    </row>
    <row r="81" spans="1:2" x14ac:dyDescent="0.25">
      <c r="A81" s="74">
        <v>4873</v>
      </c>
      <c r="B81">
        <v>5.52</v>
      </c>
    </row>
    <row r="82" spans="1:2" x14ac:dyDescent="0.25">
      <c r="A82" s="74">
        <v>4874</v>
      </c>
      <c r="B82">
        <v>5.95</v>
      </c>
    </row>
    <row r="83" spans="1:2" x14ac:dyDescent="0.25">
      <c r="A83" s="74">
        <v>4875</v>
      </c>
      <c r="B83">
        <v>6.51</v>
      </c>
    </row>
    <row r="84" spans="1:2" x14ac:dyDescent="0.25">
      <c r="A84" s="74">
        <v>4876</v>
      </c>
      <c r="B84">
        <v>5.95</v>
      </c>
    </row>
    <row r="85" spans="1:2" x14ac:dyDescent="0.25">
      <c r="A85" s="74">
        <v>4877</v>
      </c>
      <c r="B85">
        <v>6.51</v>
      </c>
    </row>
    <row r="86" spans="1:2" x14ac:dyDescent="0.25">
      <c r="A86" s="74">
        <v>4878</v>
      </c>
      <c r="B86">
        <v>11.2</v>
      </c>
    </row>
    <row r="87" spans="1:2" x14ac:dyDescent="0.25">
      <c r="A87" s="74">
        <v>4879</v>
      </c>
      <c r="B87">
        <v>15.9</v>
      </c>
    </row>
    <row r="88" spans="1:2" x14ac:dyDescent="0.25">
      <c r="A88" s="74">
        <v>4880</v>
      </c>
      <c r="B88">
        <v>15.9</v>
      </c>
    </row>
    <row r="89" spans="1:2" x14ac:dyDescent="0.25">
      <c r="A89" s="74">
        <v>4881</v>
      </c>
      <c r="B89">
        <v>22.7</v>
      </c>
    </row>
    <row r="90" spans="1:2" x14ac:dyDescent="0.25">
      <c r="A90" s="74">
        <v>4882</v>
      </c>
      <c r="B90">
        <v>19.399999999999999</v>
      </c>
    </row>
    <row r="91" spans="1:2" x14ac:dyDescent="0.25">
      <c r="A91" s="74">
        <v>4883</v>
      </c>
      <c r="B91">
        <v>15</v>
      </c>
    </row>
    <row r="92" spans="1:2" x14ac:dyDescent="0.25">
      <c r="A92" s="74">
        <v>4884</v>
      </c>
      <c r="B92">
        <v>13.3</v>
      </c>
    </row>
    <row r="93" spans="1:2" x14ac:dyDescent="0.25">
      <c r="A93" s="74">
        <v>4885</v>
      </c>
      <c r="B93">
        <v>11</v>
      </c>
    </row>
    <row r="94" spans="1:2" x14ac:dyDescent="0.25">
      <c r="A94" s="74">
        <v>4886</v>
      </c>
      <c r="B94">
        <v>11</v>
      </c>
    </row>
    <row r="95" spans="1:2" x14ac:dyDescent="0.25">
      <c r="A95" s="74">
        <v>4887</v>
      </c>
      <c r="B95">
        <v>12.5</v>
      </c>
    </row>
    <row r="96" spans="1:2" x14ac:dyDescent="0.25">
      <c r="A96" s="74">
        <v>4888</v>
      </c>
      <c r="B96">
        <v>11.8</v>
      </c>
    </row>
    <row r="97" spans="1:2" x14ac:dyDescent="0.25">
      <c r="A97" s="74">
        <v>4889</v>
      </c>
      <c r="B97">
        <v>11</v>
      </c>
    </row>
    <row r="98" spans="1:2" x14ac:dyDescent="0.25">
      <c r="A98" s="74">
        <v>4890</v>
      </c>
      <c r="B98">
        <v>13.3</v>
      </c>
    </row>
    <row r="99" spans="1:2" x14ac:dyDescent="0.25">
      <c r="A99" s="74">
        <v>4891</v>
      </c>
      <c r="B99">
        <v>12.9</v>
      </c>
    </row>
    <row r="100" spans="1:2" x14ac:dyDescent="0.25">
      <c r="A100" s="74">
        <v>4892</v>
      </c>
      <c r="B100">
        <v>12.5</v>
      </c>
    </row>
    <row r="101" spans="1:2" x14ac:dyDescent="0.25">
      <c r="A101" s="74">
        <v>4893</v>
      </c>
      <c r="B101">
        <v>14.2</v>
      </c>
    </row>
    <row r="102" spans="1:2" x14ac:dyDescent="0.25">
      <c r="A102" s="74">
        <v>4894</v>
      </c>
      <c r="B102">
        <v>11</v>
      </c>
    </row>
    <row r="103" spans="1:2" x14ac:dyDescent="0.25">
      <c r="A103" s="74">
        <v>4895</v>
      </c>
      <c r="B103">
        <v>11</v>
      </c>
    </row>
    <row r="104" spans="1:2" x14ac:dyDescent="0.25">
      <c r="A104" s="74">
        <v>4896</v>
      </c>
      <c r="B104">
        <v>11</v>
      </c>
    </row>
    <row r="105" spans="1:2" x14ac:dyDescent="0.25">
      <c r="A105" s="74">
        <v>4897</v>
      </c>
      <c r="B105">
        <v>12.5</v>
      </c>
    </row>
    <row r="106" spans="1:2" x14ac:dyDescent="0.25">
      <c r="A106" s="74">
        <v>4898</v>
      </c>
      <c r="B106">
        <v>12.5</v>
      </c>
    </row>
    <row r="107" spans="1:2" x14ac:dyDescent="0.25">
      <c r="A107" s="74">
        <v>4899</v>
      </c>
      <c r="B107">
        <v>13.3</v>
      </c>
    </row>
    <row r="108" spans="1:2" x14ac:dyDescent="0.25">
      <c r="A108" s="74">
        <v>4900</v>
      </c>
      <c r="B108">
        <v>14.2</v>
      </c>
    </row>
    <row r="109" spans="1:2" x14ac:dyDescent="0.25">
      <c r="A109" s="74">
        <v>4901</v>
      </c>
      <c r="B109">
        <v>13.3</v>
      </c>
    </row>
    <row r="110" spans="1:2" x14ac:dyDescent="0.25">
      <c r="A110" s="74">
        <v>4902</v>
      </c>
      <c r="B110">
        <v>11.8</v>
      </c>
    </row>
    <row r="111" spans="1:2" x14ac:dyDescent="0.25">
      <c r="A111" s="74">
        <v>4903</v>
      </c>
      <c r="B111">
        <v>11</v>
      </c>
    </row>
    <row r="112" spans="1:2" x14ac:dyDescent="0.25">
      <c r="A112" s="74">
        <v>4904</v>
      </c>
      <c r="B112">
        <v>11</v>
      </c>
    </row>
    <row r="113" spans="1:2" x14ac:dyDescent="0.25">
      <c r="A113" s="74">
        <v>4905</v>
      </c>
      <c r="B113">
        <v>11</v>
      </c>
    </row>
    <row r="114" spans="1:2" x14ac:dyDescent="0.25">
      <c r="A114" s="74">
        <v>4906</v>
      </c>
      <c r="B114">
        <v>11</v>
      </c>
    </row>
    <row r="115" spans="1:2" x14ac:dyDescent="0.25">
      <c r="A115" s="74">
        <v>4907</v>
      </c>
      <c r="B115">
        <v>13.3</v>
      </c>
    </row>
    <row r="116" spans="1:2" x14ac:dyDescent="0.25">
      <c r="A116" s="74">
        <v>4908</v>
      </c>
      <c r="B116">
        <v>8.92</v>
      </c>
    </row>
    <row r="117" spans="1:2" x14ac:dyDescent="0.25">
      <c r="A117" s="74">
        <v>4909</v>
      </c>
      <c r="B117">
        <v>8.92</v>
      </c>
    </row>
    <row r="118" spans="1:2" x14ac:dyDescent="0.25">
      <c r="A118" s="74">
        <v>4910</v>
      </c>
      <c r="B118">
        <v>9.6300000000000008</v>
      </c>
    </row>
    <row r="119" spans="1:2" x14ac:dyDescent="0.25">
      <c r="A119" s="74">
        <v>4911</v>
      </c>
      <c r="B119">
        <v>9.6300000000000008</v>
      </c>
    </row>
    <row r="120" spans="1:2" x14ac:dyDescent="0.25">
      <c r="A120" s="74">
        <v>4912</v>
      </c>
      <c r="B120">
        <v>8.92</v>
      </c>
    </row>
    <row r="121" spans="1:2" x14ac:dyDescent="0.25">
      <c r="A121" s="74">
        <v>4913</v>
      </c>
      <c r="B121">
        <v>8.92</v>
      </c>
    </row>
    <row r="122" spans="1:2" x14ac:dyDescent="0.25">
      <c r="A122" s="74">
        <v>4914</v>
      </c>
      <c r="B122">
        <v>8.2100000000000009</v>
      </c>
    </row>
    <row r="123" spans="1:2" x14ac:dyDescent="0.25">
      <c r="A123" s="74">
        <v>4915</v>
      </c>
      <c r="B123">
        <v>7.08</v>
      </c>
    </row>
    <row r="124" spans="1:2" x14ac:dyDescent="0.25">
      <c r="A124" s="74">
        <v>4916</v>
      </c>
      <c r="B124">
        <v>8.2100000000000009</v>
      </c>
    </row>
    <row r="125" spans="1:2" x14ac:dyDescent="0.25">
      <c r="A125" s="74">
        <v>4917</v>
      </c>
      <c r="B125">
        <v>8.2100000000000009</v>
      </c>
    </row>
    <row r="126" spans="1:2" x14ac:dyDescent="0.25">
      <c r="A126" s="74">
        <v>4918</v>
      </c>
      <c r="B126">
        <v>8.2100000000000009</v>
      </c>
    </row>
    <row r="127" spans="1:2" x14ac:dyDescent="0.25">
      <c r="A127" s="74">
        <v>4919</v>
      </c>
      <c r="B127">
        <v>8.2100000000000009</v>
      </c>
    </row>
    <row r="128" spans="1:2" x14ac:dyDescent="0.25">
      <c r="A128" s="74">
        <v>4920</v>
      </c>
      <c r="B128">
        <v>7.65</v>
      </c>
    </row>
    <row r="129" spans="1:2" x14ac:dyDescent="0.25">
      <c r="A129" s="74">
        <v>4921</v>
      </c>
      <c r="B129">
        <v>8.7799999999999994</v>
      </c>
    </row>
    <row r="130" spans="1:2" x14ac:dyDescent="0.25">
      <c r="A130" s="74">
        <v>4922</v>
      </c>
      <c r="B130">
        <v>10.3</v>
      </c>
    </row>
    <row r="131" spans="1:2" x14ac:dyDescent="0.25">
      <c r="A131" s="74">
        <v>4923</v>
      </c>
      <c r="B131">
        <v>9.6300000000000008</v>
      </c>
    </row>
    <row r="132" spans="1:2" x14ac:dyDescent="0.25">
      <c r="A132" s="74">
        <v>4924</v>
      </c>
      <c r="B132">
        <v>8.2100000000000009</v>
      </c>
    </row>
    <row r="133" spans="1:2" x14ac:dyDescent="0.25">
      <c r="A133" s="74">
        <v>4925</v>
      </c>
      <c r="B133">
        <v>7.08</v>
      </c>
    </row>
    <row r="134" spans="1:2" x14ac:dyDescent="0.25">
      <c r="A134" s="74">
        <v>4926</v>
      </c>
      <c r="B134">
        <v>8.2100000000000009</v>
      </c>
    </row>
    <row r="135" spans="1:2" x14ac:dyDescent="0.25">
      <c r="A135" s="74">
        <v>4927</v>
      </c>
      <c r="B135">
        <v>8.2100000000000009</v>
      </c>
    </row>
    <row r="136" spans="1:2" x14ac:dyDescent="0.25">
      <c r="A136" s="74">
        <v>4928</v>
      </c>
      <c r="B136">
        <v>8.2100000000000009</v>
      </c>
    </row>
    <row r="137" spans="1:2" x14ac:dyDescent="0.25">
      <c r="A137" s="74">
        <v>4929</v>
      </c>
      <c r="B137">
        <v>7.65</v>
      </c>
    </row>
    <row r="138" spans="1:2" x14ac:dyDescent="0.25">
      <c r="A138" s="74">
        <v>4930</v>
      </c>
      <c r="B138">
        <v>8.2100000000000009</v>
      </c>
    </row>
    <row r="139" spans="1:2" x14ac:dyDescent="0.25">
      <c r="A139" s="74">
        <v>4931</v>
      </c>
      <c r="B139">
        <v>7.08</v>
      </c>
    </row>
    <row r="140" spans="1:2" x14ac:dyDescent="0.25">
      <c r="A140" s="74">
        <v>4932</v>
      </c>
      <c r="B140">
        <v>7.08</v>
      </c>
    </row>
    <row r="141" spans="1:2" x14ac:dyDescent="0.25">
      <c r="A141" s="74">
        <v>4933</v>
      </c>
      <c r="B141">
        <v>6.23</v>
      </c>
    </row>
    <row r="142" spans="1:2" x14ac:dyDescent="0.25">
      <c r="A142" s="74">
        <v>4934</v>
      </c>
      <c r="B142">
        <v>5.52</v>
      </c>
    </row>
    <row r="143" spans="1:2" x14ac:dyDescent="0.25">
      <c r="A143" s="74">
        <v>4935</v>
      </c>
      <c r="B143">
        <v>5.52</v>
      </c>
    </row>
    <row r="144" spans="1:2" x14ac:dyDescent="0.25">
      <c r="A144" s="74">
        <v>4936</v>
      </c>
      <c r="B144">
        <v>5.95</v>
      </c>
    </row>
    <row r="145" spans="1:2" x14ac:dyDescent="0.25">
      <c r="A145" s="74">
        <v>4937</v>
      </c>
      <c r="B145">
        <v>11.8</v>
      </c>
    </row>
    <row r="146" spans="1:2" x14ac:dyDescent="0.25">
      <c r="A146" s="74">
        <v>4938</v>
      </c>
      <c r="B146">
        <v>11</v>
      </c>
    </row>
    <row r="147" spans="1:2" x14ac:dyDescent="0.25">
      <c r="A147" s="74">
        <v>4939</v>
      </c>
      <c r="B147">
        <v>8.2100000000000009</v>
      </c>
    </row>
    <row r="148" spans="1:2" x14ac:dyDescent="0.25">
      <c r="A148" s="74">
        <v>4940</v>
      </c>
      <c r="B148">
        <v>8.2100000000000009</v>
      </c>
    </row>
    <row r="149" spans="1:2" x14ac:dyDescent="0.25">
      <c r="A149" s="74">
        <v>4941</v>
      </c>
      <c r="B149">
        <v>7.65</v>
      </c>
    </row>
    <row r="150" spans="1:2" x14ac:dyDescent="0.25">
      <c r="A150" s="74">
        <v>4942</v>
      </c>
      <c r="B150">
        <v>7.08</v>
      </c>
    </row>
    <row r="151" spans="1:2" x14ac:dyDescent="0.25">
      <c r="A151" s="74">
        <v>4943</v>
      </c>
      <c r="B151">
        <v>7.08</v>
      </c>
    </row>
    <row r="152" spans="1:2" x14ac:dyDescent="0.25">
      <c r="A152" s="74">
        <v>4944</v>
      </c>
      <c r="B152">
        <v>5.95</v>
      </c>
    </row>
    <row r="153" spans="1:2" x14ac:dyDescent="0.25">
      <c r="A153" s="74">
        <v>4945</v>
      </c>
      <c r="B153">
        <v>5.95</v>
      </c>
    </row>
    <row r="154" spans="1:2" x14ac:dyDescent="0.25">
      <c r="A154" s="74">
        <v>4946</v>
      </c>
      <c r="B154">
        <v>5.52</v>
      </c>
    </row>
    <row r="155" spans="1:2" x14ac:dyDescent="0.25">
      <c r="A155" s="74">
        <v>4947</v>
      </c>
      <c r="B155">
        <v>5.0999999999999996</v>
      </c>
    </row>
    <row r="156" spans="1:2" x14ac:dyDescent="0.25">
      <c r="A156" s="74">
        <v>4948</v>
      </c>
      <c r="B156">
        <v>4.67</v>
      </c>
    </row>
    <row r="157" spans="1:2" x14ac:dyDescent="0.25">
      <c r="A157" s="74">
        <v>4949</v>
      </c>
      <c r="B157">
        <v>4.67</v>
      </c>
    </row>
    <row r="158" spans="1:2" x14ac:dyDescent="0.25">
      <c r="A158" s="74">
        <v>4950</v>
      </c>
      <c r="B158">
        <v>4.25</v>
      </c>
    </row>
    <row r="159" spans="1:2" x14ac:dyDescent="0.25">
      <c r="A159" s="74">
        <v>4951</v>
      </c>
      <c r="B159">
        <v>4.25</v>
      </c>
    </row>
    <row r="160" spans="1:2" x14ac:dyDescent="0.25">
      <c r="A160" s="74">
        <v>4952</v>
      </c>
      <c r="B160">
        <v>3.82</v>
      </c>
    </row>
    <row r="161" spans="1:2" x14ac:dyDescent="0.25">
      <c r="A161" s="74">
        <v>4953</v>
      </c>
      <c r="B161">
        <v>3.82</v>
      </c>
    </row>
    <row r="162" spans="1:2" x14ac:dyDescent="0.25">
      <c r="A162" s="74">
        <v>4954</v>
      </c>
      <c r="B162">
        <v>3.82</v>
      </c>
    </row>
    <row r="163" spans="1:2" x14ac:dyDescent="0.25">
      <c r="A163" s="74">
        <v>4955</v>
      </c>
      <c r="B163">
        <v>3.4</v>
      </c>
    </row>
    <row r="164" spans="1:2" x14ac:dyDescent="0.25">
      <c r="A164" s="74">
        <v>4956</v>
      </c>
      <c r="B164">
        <v>3.4</v>
      </c>
    </row>
    <row r="165" spans="1:2" x14ac:dyDescent="0.25">
      <c r="A165" s="74">
        <v>4957</v>
      </c>
      <c r="B165">
        <v>2.97</v>
      </c>
    </row>
    <row r="166" spans="1:2" x14ac:dyDescent="0.25">
      <c r="A166" s="74">
        <v>4958</v>
      </c>
      <c r="B166">
        <v>2.5499999999999998</v>
      </c>
    </row>
    <row r="167" spans="1:2" x14ac:dyDescent="0.25">
      <c r="A167" s="74">
        <v>4959</v>
      </c>
      <c r="B167">
        <v>2.21</v>
      </c>
    </row>
    <row r="168" spans="1:2" x14ac:dyDescent="0.25">
      <c r="A168" s="74">
        <v>4960</v>
      </c>
      <c r="B168">
        <v>1.84</v>
      </c>
    </row>
    <row r="169" spans="1:2" x14ac:dyDescent="0.25">
      <c r="A169" s="74">
        <v>4961</v>
      </c>
      <c r="B169">
        <v>1.84</v>
      </c>
    </row>
    <row r="170" spans="1:2" x14ac:dyDescent="0.25">
      <c r="A170" s="74">
        <v>4962</v>
      </c>
      <c r="B170">
        <v>1.84</v>
      </c>
    </row>
    <row r="171" spans="1:2" x14ac:dyDescent="0.25">
      <c r="A171" s="74">
        <v>4963</v>
      </c>
      <c r="B171">
        <v>1.56</v>
      </c>
    </row>
    <row r="172" spans="1:2" x14ac:dyDescent="0.25">
      <c r="A172" s="74">
        <v>4964</v>
      </c>
      <c r="B172">
        <v>1.56</v>
      </c>
    </row>
    <row r="173" spans="1:2" x14ac:dyDescent="0.25">
      <c r="A173" s="74">
        <v>4965</v>
      </c>
      <c r="B173">
        <v>1.56</v>
      </c>
    </row>
    <row r="174" spans="1:2" x14ac:dyDescent="0.25">
      <c r="A174" s="74">
        <v>4966</v>
      </c>
      <c r="B174">
        <v>1.56</v>
      </c>
    </row>
    <row r="175" spans="1:2" x14ac:dyDescent="0.25">
      <c r="A175" s="74">
        <v>4967</v>
      </c>
      <c r="B175">
        <v>1.56</v>
      </c>
    </row>
    <row r="176" spans="1:2" x14ac:dyDescent="0.25">
      <c r="A176" s="74">
        <v>4968</v>
      </c>
      <c r="B176">
        <v>1.56</v>
      </c>
    </row>
    <row r="177" spans="1:2" x14ac:dyDescent="0.25">
      <c r="A177" s="74">
        <v>4969</v>
      </c>
      <c r="B177">
        <v>1.53</v>
      </c>
    </row>
    <row r="178" spans="1:2" x14ac:dyDescent="0.25">
      <c r="A178" s="74">
        <v>4970</v>
      </c>
      <c r="B178">
        <v>1.53</v>
      </c>
    </row>
    <row r="179" spans="1:2" x14ac:dyDescent="0.25">
      <c r="A179" s="74">
        <v>4971</v>
      </c>
      <c r="B179">
        <v>1.27</v>
      </c>
    </row>
    <row r="180" spans="1:2" x14ac:dyDescent="0.25">
      <c r="A180" s="74">
        <v>4972</v>
      </c>
      <c r="B180">
        <v>1.27</v>
      </c>
    </row>
    <row r="181" spans="1:2" x14ac:dyDescent="0.25">
      <c r="A181" s="74">
        <v>4973</v>
      </c>
      <c r="B181">
        <v>1.08</v>
      </c>
    </row>
    <row r="182" spans="1:2" x14ac:dyDescent="0.25">
      <c r="A182" s="74">
        <v>4974</v>
      </c>
      <c r="B182">
        <v>1.08</v>
      </c>
    </row>
    <row r="183" spans="1:2" x14ac:dyDescent="0.25">
      <c r="A183" s="74">
        <v>4975</v>
      </c>
      <c r="B183">
        <v>0.85</v>
      </c>
    </row>
    <row r="184" spans="1:2" x14ac:dyDescent="0.25">
      <c r="A184" s="74">
        <v>4976</v>
      </c>
      <c r="B184">
        <v>0.85</v>
      </c>
    </row>
    <row r="185" spans="1:2" x14ac:dyDescent="0.25">
      <c r="A185" s="74">
        <v>4977</v>
      </c>
      <c r="B185">
        <v>0.85</v>
      </c>
    </row>
    <row r="186" spans="1:2" x14ac:dyDescent="0.25">
      <c r="A186" s="74">
        <v>4978</v>
      </c>
      <c r="B186">
        <v>1.08</v>
      </c>
    </row>
    <row r="187" spans="1:2" x14ac:dyDescent="0.25">
      <c r="A187" s="74">
        <v>4979</v>
      </c>
      <c r="B187">
        <v>0.85</v>
      </c>
    </row>
    <row r="188" spans="1:2" x14ac:dyDescent="0.25">
      <c r="A188" s="74">
        <v>4980</v>
      </c>
      <c r="B188">
        <v>0.85</v>
      </c>
    </row>
    <row r="189" spans="1:2" x14ac:dyDescent="0.25">
      <c r="A189" s="74">
        <v>4981</v>
      </c>
      <c r="B189">
        <v>0.85</v>
      </c>
    </row>
    <row r="190" spans="1:2" x14ac:dyDescent="0.25">
      <c r="A190" s="74">
        <v>4982</v>
      </c>
      <c r="B190">
        <v>0.85</v>
      </c>
    </row>
    <row r="191" spans="1:2" x14ac:dyDescent="0.25">
      <c r="A191" s="74">
        <v>4983</v>
      </c>
      <c r="B191">
        <v>0.623</v>
      </c>
    </row>
    <row r="192" spans="1:2" x14ac:dyDescent="0.25">
      <c r="A192" s="74">
        <v>4984</v>
      </c>
      <c r="B192">
        <v>0.623</v>
      </c>
    </row>
    <row r="193" spans="1:2" x14ac:dyDescent="0.25">
      <c r="A193" s="74">
        <v>4985</v>
      </c>
      <c r="B193">
        <v>0.623</v>
      </c>
    </row>
    <row r="194" spans="1:2" x14ac:dyDescent="0.25">
      <c r="A194" s="74">
        <v>4986</v>
      </c>
      <c r="B194">
        <v>0.623</v>
      </c>
    </row>
    <row r="195" spans="1:2" x14ac:dyDescent="0.25">
      <c r="A195" s="74">
        <v>4987</v>
      </c>
      <c r="B195">
        <v>0.623</v>
      </c>
    </row>
    <row r="196" spans="1:2" x14ac:dyDescent="0.25">
      <c r="A196" s="74">
        <v>4988</v>
      </c>
      <c r="B196">
        <v>0.42499999999999999</v>
      </c>
    </row>
    <row r="197" spans="1:2" x14ac:dyDescent="0.25">
      <c r="A197" s="74">
        <v>4989</v>
      </c>
      <c r="B197">
        <v>0.42499999999999999</v>
      </c>
    </row>
    <row r="198" spans="1:2" x14ac:dyDescent="0.25">
      <c r="A198" s="74">
        <v>4990</v>
      </c>
      <c r="B198">
        <v>0.42499999999999999</v>
      </c>
    </row>
    <row r="199" spans="1:2" x14ac:dyDescent="0.25">
      <c r="A199" s="74">
        <v>4991</v>
      </c>
      <c r="B199">
        <v>0.42499999999999999</v>
      </c>
    </row>
    <row r="200" spans="1:2" x14ac:dyDescent="0.25">
      <c r="A200" s="74">
        <v>4992</v>
      </c>
      <c r="B200">
        <v>0.42499999999999999</v>
      </c>
    </row>
    <row r="201" spans="1:2" x14ac:dyDescent="0.25">
      <c r="A201" s="74">
        <v>4993</v>
      </c>
      <c r="B201">
        <v>0.28299999999999997</v>
      </c>
    </row>
    <row r="202" spans="1:2" x14ac:dyDescent="0.25">
      <c r="A202" s="74">
        <v>4994</v>
      </c>
      <c r="B202">
        <v>0.623</v>
      </c>
    </row>
    <row r="203" spans="1:2" x14ac:dyDescent="0.25">
      <c r="A203" s="74">
        <v>4995</v>
      </c>
      <c r="B203">
        <v>3.82</v>
      </c>
    </row>
    <row r="204" spans="1:2" x14ac:dyDescent="0.25">
      <c r="A204" s="74">
        <v>4996</v>
      </c>
      <c r="B204">
        <v>12.5</v>
      </c>
    </row>
    <row r="205" spans="1:2" x14ac:dyDescent="0.25">
      <c r="A205" s="74">
        <v>4997</v>
      </c>
      <c r="B205">
        <v>9.6300000000000008</v>
      </c>
    </row>
    <row r="206" spans="1:2" x14ac:dyDescent="0.25">
      <c r="A206" s="74">
        <v>4998</v>
      </c>
      <c r="B206">
        <v>7.08</v>
      </c>
    </row>
    <row r="207" spans="1:2" x14ac:dyDescent="0.25">
      <c r="A207" s="74">
        <v>4999</v>
      </c>
      <c r="B207">
        <v>5.66</v>
      </c>
    </row>
    <row r="208" spans="1:2" x14ac:dyDescent="0.25">
      <c r="A208" s="74">
        <v>5000</v>
      </c>
    </row>
    <row r="209" spans="1:2" x14ac:dyDescent="0.25">
      <c r="A209" s="74">
        <v>5001</v>
      </c>
    </row>
    <row r="210" spans="1:2" x14ac:dyDescent="0.25">
      <c r="A210" s="74">
        <v>5002</v>
      </c>
    </row>
    <row r="211" spans="1:2" x14ac:dyDescent="0.25">
      <c r="A211" s="74">
        <v>5003</v>
      </c>
    </row>
    <row r="212" spans="1:2" x14ac:dyDescent="0.25">
      <c r="A212" s="74">
        <v>5004</v>
      </c>
    </row>
    <row r="213" spans="1:2" x14ac:dyDescent="0.25">
      <c r="A213" s="74">
        <v>5005</v>
      </c>
    </row>
    <row r="214" spans="1:2" x14ac:dyDescent="0.25">
      <c r="A214" s="74">
        <v>5006</v>
      </c>
    </row>
    <row r="215" spans="1:2" x14ac:dyDescent="0.25">
      <c r="A215" s="74">
        <v>5007</v>
      </c>
    </row>
    <row r="216" spans="1:2" x14ac:dyDescent="0.25">
      <c r="A216" s="74">
        <v>5008</v>
      </c>
    </row>
    <row r="217" spans="1:2" x14ac:dyDescent="0.25">
      <c r="A217" s="74">
        <v>5009</v>
      </c>
    </row>
    <row r="218" spans="1:2" x14ac:dyDescent="0.25">
      <c r="A218" s="74">
        <v>5010</v>
      </c>
    </row>
    <row r="219" spans="1:2" x14ac:dyDescent="0.25">
      <c r="A219" s="74">
        <v>5011</v>
      </c>
    </row>
    <row r="220" spans="1:2" x14ac:dyDescent="0.25">
      <c r="A220" s="74">
        <v>5012</v>
      </c>
    </row>
    <row r="221" spans="1:2" x14ac:dyDescent="0.25">
      <c r="A221" s="74">
        <v>5013</v>
      </c>
      <c r="B221">
        <v>1.27</v>
      </c>
    </row>
    <row r="222" spans="1:2" x14ac:dyDescent="0.25">
      <c r="A222" s="74">
        <v>5014</v>
      </c>
      <c r="B222">
        <v>1.08</v>
      </c>
    </row>
    <row r="223" spans="1:2" x14ac:dyDescent="0.25">
      <c r="A223" s="74">
        <v>5015</v>
      </c>
      <c r="B223">
        <v>1.08</v>
      </c>
    </row>
    <row r="224" spans="1:2" x14ac:dyDescent="0.25">
      <c r="A224" s="74">
        <v>5016</v>
      </c>
      <c r="B224">
        <v>1.27</v>
      </c>
    </row>
    <row r="225" spans="1:2" x14ac:dyDescent="0.25">
      <c r="A225" s="74">
        <v>5017</v>
      </c>
      <c r="B225">
        <v>1.27</v>
      </c>
    </row>
    <row r="226" spans="1:2" x14ac:dyDescent="0.25">
      <c r="A226" s="74">
        <v>5018</v>
      </c>
      <c r="B226">
        <v>1.56</v>
      </c>
    </row>
    <row r="227" spans="1:2" x14ac:dyDescent="0.25">
      <c r="A227" s="74">
        <v>5019</v>
      </c>
      <c r="B227">
        <v>1.56</v>
      </c>
    </row>
    <row r="228" spans="1:2" x14ac:dyDescent="0.25">
      <c r="A228" s="74">
        <v>5020</v>
      </c>
      <c r="B228">
        <v>1.84</v>
      </c>
    </row>
    <row r="229" spans="1:2" x14ac:dyDescent="0.25">
      <c r="A229" s="74">
        <v>5021</v>
      </c>
      <c r="B229">
        <v>1.84</v>
      </c>
    </row>
    <row r="230" spans="1:2" x14ac:dyDescent="0.25">
      <c r="A230" s="74">
        <v>5022</v>
      </c>
      <c r="B230">
        <v>1.84</v>
      </c>
    </row>
    <row r="231" spans="1:2" x14ac:dyDescent="0.25">
      <c r="A231" s="74">
        <v>5023</v>
      </c>
      <c r="B231">
        <v>2.21</v>
      </c>
    </row>
    <row r="232" spans="1:2" x14ac:dyDescent="0.25">
      <c r="A232" s="74">
        <v>5024</v>
      </c>
      <c r="B232">
        <v>2.21</v>
      </c>
    </row>
    <row r="233" spans="1:2" x14ac:dyDescent="0.25">
      <c r="A233" s="74">
        <v>5025</v>
      </c>
      <c r="B233">
        <v>2.21</v>
      </c>
    </row>
    <row r="234" spans="1:2" x14ac:dyDescent="0.25">
      <c r="A234" s="74">
        <v>5026</v>
      </c>
      <c r="B234">
        <v>2.5499999999999998</v>
      </c>
    </row>
    <row r="235" spans="1:2" x14ac:dyDescent="0.25">
      <c r="A235" s="74">
        <v>5027</v>
      </c>
      <c r="B235">
        <v>2.5499999999999998</v>
      </c>
    </row>
    <row r="236" spans="1:2" x14ac:dyDescent="0.25">
      <c r="A236" s="74">
        <v>5028</v>
      </c>
      <c r="B236">
        <v>2.97</v>
      </c>
    </row>
    <row r="237" spans="1:2" x14ac:dyDescent="0.25">
      <c r="A237" s="74">
        <v>5029</v>
      </c>
      <c r="B237">
        <v>3.4</v>
      </c>
    </row>
    <row r="238" spans="1:2" x14ac:dyDescent="0.25">
      <c r="A238" s="74">
        <v>5030</v>
      </c>
      <c r="B238">
        <v>3.4</v>
      </c>
    </row>
    <row r="239" spans="1:2" x14ac:dyDescent="0.25">
      <c r="A239" s="74">
        <v>5031</v>
      </c>
      <c r="B239">
        <v>3.4</v>
      </c>
    </row>
    <row r="240" spans="1:2" x14ac:dyDescent="0.25">
      <c r="A240" s="74">
        <v>5032</v>
      </c>
      <c r="B240">
        <v>4.25</v>
      </c>
    </row>
    <row r="241" spans="1:2" x14ac:dyDescent="0.25">
      <c r="A241" s="74">
        <v>5033</v>
      </c>
      <c r="B241">
        <v>5.0999999999999996</v>
      </c>
    </row>
    <row r="242" spans="1:2" x14ac:dyDescent="0.25">
      <c r="A242" s="74">
        <v>5034</v>
      </c>
      <c r="B242">
        <v>25.2</v>
      </c>
    </row>
    <row r="243" spans="1:2" x14ac:dyDescent="0.25">
      <c r="A243" s="74">
        <v>5035</v>
      </c>
      <c r="B243">
        <v>50.7</v>
      </c>
    </row>
    <row r="244" spans="1:2" x14ac:dyDescent="0.25">
      <c r="A244" s="74">
        <v>5036</v>
      </c>
      <c r="B244">
        <v>29.2</v>
      </c>
    </row>
    <row r="245" spans="1:2" x14ac:dyDescent="0.25">
      <c r="A245" s="74">
        <v>5037</v>
      </c>
      <c r="B245">
        <v>18.100000000000001</v>
      </c>
    </row>
    <row r="246" spans="1:2" x14ac:dyDescent="0.25">
      <c r="A246" s="74">
        <v>5038</v>
      </c>
      <c r="B246">
        <v>11</v>
      </c>
    </row>
    <row r="247" spans="1:2" x14ac:dyDescent="0.25">
      <c r="A247" s="74">
        <v>5039</v>
      </c>
      <c r="B247">
        <v>7.08</v>
      </c>
    </row>
    <row r="248" spans="1:2" x14ac:dyDescent="0.25">
      <c r="A248" s="74">
        <v>5040</v>
      </c>
      <c r="B248">
        <v>7.08</v>
      </c>
    </row>
    <row r="249" spans="1:2" x14ac:dyDescent="0.25">
      <c r="A249" s="74">
        <v>5041</v>
      </c>
      <c r="B249">
        <v>6.51</v>
      </c>
    </row>
    <row r="250" spans="1:2" x14ac:dyDescent="0.25">
      <c r="A250" s="74">
        <v>5042</v>
      </c>
      <c r="B250">
        <v>6.51</v>
      </c>
    </row>
    <row r="251" spans="1:2" x14ac:dyDescent="0.25">
      <c r="A251" s="74">
        <v>5043</v>
      </c>
      <c r="B251">
        <v>5.95</v>
      </c>
    </row>
    <row r="252" spans="1:2" x14ac:dyDescent="0.25">
      <c r="A252" s="74">
        <v>5044</v>
      </c>
      <c r="B252">
        <v>5.95</v>
      </c>
    </row>
    <row r="253" spans="1:2" x14ac:dyDescent="0.25">
      <c r="A253" s="74">
        <v>5045</v>
      </c>
      <c r="B253">
        <v>5.95</v>
      </c>
    </row>
    <row r="254" spans="1:2" x14ac:dyDescent="0.25">
      <c r="A254" s="74">
        <v>5046</v>
      </c>
      <c r="B254">
        <v>5.0999999999999996</v>
      </c>
    </row>
    <row r="255" spans="1:2" x14ac:dyDescent="0.25">
      <c r="A255" s="74">
        <v>5047</v>
      </c>
      <c r="B255">
        <v>5.0999999999999996</v>
      </c>
    </row>
    <row r="256" spans="1:2" x14ac:dyDescent="0.25">
      <c r="A256" s="74">
        <v>5048</v>
      </c>
      <c r="B256">
        <v>4.25</v>
      </c>
    </row>
    <row r="257" spans="1:2" x14ac:dyDescent="0.25">
      <c r="A257" s="74">
        <v>5049</v>
      </c>
      <c r="B257">
        <v>3.82</v>
      </c>
    </row>
    <row r="258" spans="1:2" x14ac:dyDescent="0.25">
      <c r="A258" s="74">
        <v>5050</v>
      </c>
      <c r="B258">
        <v>3.82</v>
      </c>
    </row>
    <row r="259" spans="1:2" x14ac:dyDescent="0.25">
      <c r="A259" s="74">
        <v>5051</v>
      </c>
      <c r="B259">
        <v>3.82</v>
      </c>
    </row>
    <row r="260" spans="1:2" x14ac:dyDescent="0.25">
      <c r="A260" s="74">
        <v>5052</v>
      </c>
      <c r="B260">
        <v>3.4</v>
      </c>
    </row>
    <row r="261" spans="1:2" x14ac:dyDescent="0.25">
      <c r="A261" s="74">
        <v>5053</v>
      </c>
      <c r="B261">
        <v>3.4</v>
      </c>
    </row>
    <row r="262" spans="1:2" x14ac:dyDescent="0.25">
      <c r="A262" s="74">
        <v>5054</v>
      </c>
      <c r="B262">
        <v>2.5499999999999998</v>
      </c>
    </row>
    <row r="263" spans="1:2" x14ac:dyDescent="0.25">
      <c r="A263" s="74">
        <v>5055</v>
      </c>
      <c r="B263">
        <v>2.5499999999999998</v>
      </c>
    </row>
    <row r="264" spans="1:2" x14ac:dyDescent="0.25">
      <c r="A264" s="74">
        <v>5056</v>
      </c>
      <c r="B264">
        <v>2.5499999999999998</v>
      </c>
    </row>
    <row r="265" spans="1:2" x14ac:dyDescent="0.25">
      <c r="A265" s="74">
        <v>5057</v>
      </c>
      <c r="B265">
        <v>2.5499999999999998</v>
      </c>
    </row>
    <row r="266" spans="1:2" x14ac:dyDescent="0.25">
      <c r="A266" s="74">
        <v>5058</v>
      </c>
      <c r="B266">
        <v>5.0999999999999996</v>
      </c>
    </row>
    <row r="267" spans="1:2" x14ac:dyDescent="0.25">
      <c r="A267" s="74">
        <v>5059</v>
      </c>
      <c r="B267">
        <v>18.100000000000001</v>
      </c>
    </row>
    <row r="268" spans="1:2" x14ac:dyDescent="0.25">
      <c r="A268" s="74">
        <v>5060</v>
      </c>
    </row>
    <row r="269" spans="1:2" x14ac:dyDescent="0.25">
      <c r="A269" s="74">
        <v>5061</v>
      </c>
    </row>
    <row r="270" spans="1:2" x14ac:dyDescent="0.25">
      <c r="A270" s="74">
        <v>5062</v>
      </c>
    </row>
    <row r="271" spans="1:2" x14ac:dyDescent="0.25">
      <c r="A271" s="74">
        <v>5063</v>
      </c>
    </row>
    <row r="272" spans="1:2" x14ac:dyDescent="0.25">
      <c r="A272" s="74">
        <v>5064</v>
      </c>
    </row>
    <row r="273" spans="1:1" x14ac:dyDescent="0.25">
      <c r="A273" s="74">
        <v>5065</v>
      </c>
    </row>
    <row r="274" spans="1:1" x14ac:dyDescent="0.25">
      <c r="A274" s="74">
        <v>5066</v>
      </c>
    </row>
    <row r="275" spans="1:1" x14ac:dyDescent="0.25">
      <c r="A275" s="74">
        <v>5067</v>
      </c>
    </row>
    <row r="276" spans="1:1" x14ac:dyDescent="0.25">
      <c r="A276" s="74">
        <v>5068</v>
      </c>
    </row>
    <row r="277" spans="1:1" x14ac:dyDescent="0.25">
      <c r="A277" s="74">
        <v>5069</v>
      </c>
    </row>
    <row r="278" spans="1:1" x14ac:dyDescent="0.25">
      <c r="A278" s="74">
        <v>5070</v>
      </c>
    </row>
    <row r="279" spans="1:1" x14ac:dyDescent="0.25">
      <c r="A279" s="74">
        <v>5071</v>
      </c>
    </row>
    <row r="280" spans="1:1" x14ac:dyDescent="0.25">
      <c r="A280" s="74">
        <v>5072</v>
      </c>
    </row>
    <row r="281" spans="1:1" x14ac:dyDescent="0.25">
      <c r="A281" s="74">
        <v>5073</v>
      </c>
    </row>
    <row r="282" spans="1:1" x14ac:dyDescent="0.25">
      <c r="A282" s="74">
        <v>5074</v>
      </c>
    </row>
    <row r="283" spans="1:1" x14ac:dyDescent="0.25">
      <c r="A283" s="74">
        <v>5075</v>
      </c>
    </row>
    <row r="284" spans="1:1" x14ac:dyDescent="0.25">
      <c r="A284" s="74">
        <v>5076</v>
      </c>
    </row>
    <row r="285" spans="1:1" x14ac:dyDescent="0.25">
      <c r="A285" s="74">
        <v>5077</v>
      </c>
    </row>
    <row r="286" spans="1:1" x14ac:dyDescent="0.25">
      <c r="A286" s="74">
        <v>5078</v>
      </c>
    </row>
    <row r="287" spans="1:1" x14ac:dyDescent="0.25">
      <c r="A287" s="74">
        <v>5079</v>
      </c>
    </row>
    <row r="288" spans="1:1" x14ac:dyDescent="0.25">
      <c r="A288" s="74">
        <v>5080</v>
      </c>
    </row>
    <row r="289" spans="1:1" x14ac:dyDescent="0.25">
      <c r="A289" s="74">
        <v>5081</v>
      </c>
    </row>
    <row r="290" spans="1:1" x14ac:dyDescent="0.25">
      <c r="A290" s="74">
        <v>5082</v>
      </c>
    </row>
    <row r="291" spans="1:1" x14ac:dyDescent="0.25">
      <c r="A291" s="74">
        <v>5083</v>
      </c>
    </row>
    <row r="292" spans="1:1" x14ac:dyDescent="0.25">
      <c r="A292" s="74">
        <v>5084</v>
      </c>
    </row>
    <row r="293" spans="1:1" x14ac:dyDescent="0.25">
      <c r="A293" s="74">
        <v>5085</v>
      </c>
    </row>
    <row r="294" spans="1:1" x14ac:dyDescent="0.25">
      <c r="A294" s="74">
        <v>5086</v>
      </c>
    </row>
    <row r="295" spans="1:1" x14ac:dyDescent="0.25">
      <c r="A295" s="74">
        <v>5087</v>
      </c>
    </row>
    <row r="296" spans="1:1" x14ac:dyDescent="0.25">
      <c r="A296" s="74">
        <v>5088</v>
      </c>
    </row>
    <row r="297" spans="1:1" x14ac:dyDescent="0.25">
      <c r="A297" s="74">
        <v>5089</v>
      </c>
    </row>
    <row r="298" spans="1:1" x14ac:dyDescent="0.25">
      <c r="A298" s="74">
        <v>5090</v>
      </c>
    </row>
    <row r="299" spans="1:1" x14ac:dyDescent="0.25">
      <c r="A299" s="74">
        <v>5091</v>
      </c>
    </row>
    <row r="300" spans="1:1" x14ac:dyDescent="0.25">
      <c r="A300" s="74">
        <v>5092</v>
      </c>
    </row>
    <row r="301" spans="1:1" x14ac:dyDescent="0.25">
      <c r="A301" s="74">
        <v>5093</v>
      </c>
    </row>
    <row r="302" spans="1:1" x14ac:dyDescent="0.25">
      <c r="A302" s="74">
        <v>5094</v>
      </c>
    </row>
    <row r="303" spans="1:1" x14ac:dyDescent="0.25">
      <c r="A303" s="74">
        <v>5095</v>
      </c>
    </row>
    <row r="304" spans="1:1" x14ac:dyDescent="0.25">
      <c r="A304" s="74">
        <v>5096</v>
      </c>
    </row>
    <row r="305" spans="1:1" x14ac:dyDescent="0.25">
      <c r="A305" s="74">
        <v>5097</v>
      </c>
    </row>
    <row r="306" spans="1:1" x14ac:dyDescent="0.25">
      <c r="A306" s="74">
        <v>5098</v>
      </c>
    </row>
    <row r="307" spans="1:1" x14ac:dyDescent="0.25">
      <c r="A307" s="74">
        <v>5099</v>
      </c>
    </row>
    <row r="308" spans="1:1" x14ac:dyDescent="0.25">
      <c r="A308" s="74">
        <v>5100</v>
      </c>
    </row>
    <row r="309" spans="1:1" x14ac:dyDescent="0.25">
      <c r="A309" s="74">
        <v>5101</v>
      </c>
    </row>
    <row r="310" spans="1:1" x14ac:dyDescent="0.25">
      <c r="A310" s="74">
        <v>5102</v>
      </c>
    </row>
    <row r="311" spans="1:1" x14ac:dyDescent="0.25">
      <c r="A311" s="74">
        <v>5103</v>
      </c>
    </row>
    <row r="312" spans="1:1" x14ac:dyDescent="0.25">
      <c r="A312" s="74">
        <v>5104</v>
      </c>
    </row>
    <row r="313" spans="1:1" x14ac:dyDescent="0.25">
      <c r="A313" s="74">
        <v>5105</v>
      </c>
    </row>
    <row r="314" spans="1:1" x14ac:dyDescent="0.25">
      <c r="A314" s="74">
        <v>5106</v>
      </c>
    </row>
    <row r="315" spans="1:1" x14ac:dyDescent="0.25">
      <c r="A315" s="74">
        <v>5107</v>
      </c>
    </row>
    <row r="316" spans="1:1" x14ac:dyDescent="0.25">
      <c r="A316" s="74">
        <v>5108</v>
      </c>
    </row>
    <row r="317" spans="1:1" x14ac:dyDescent="0.25">
      <c r="A317" s="74">
        <v>5109</v>
      </c>
    </row>
    <row r="318" spans="1:1" x14ac:dyDescent="0.25">
      <c r="A318" s="74">
        <v>5110</v>
      </c>
    </row>
    <row r="319" spans="1:1" x14ac:dyDescent="0.25">
      <c r="A319" s="74">
        <v>5111</v>
      </c>
    </row>
    <row r="320" spans="1:1" x14ac:dyDescent="0.25">
      <c r="A320" s="74">
        <v>5112</v>
      </c>
    </row>
    <row r="321" spans="1:1" x14ac:dyDescent="0.25">
      <c r="A321" s="74">
        <v>5113</v>
      </c>
    </row>
    <row r="322" spans="1:1" x14ac:dyDescent="0.25">
      <c r="A322" s="74">
        <v>5114</v>
      </c>
    </row>
    <row r="323" spans="1:1" x14ac:dyDescent="0.25">
      <c r="A323" s="74">
        <v>5115</v>
      </c>
    </row>
    <row r="324" spans="1:1" x14ac:dyDescent="0.25">
      <c r="A324" s="74">
        <v>5116</v>
      </c>
    </row>
    <row r="325" spans="1:1" x14ac:dyDescent="0.25">
      <c r="A325" s="74">
        <v>5117</v>
      </c>
    </row>
    <row r="326" spans="1:1" x14ac:dyDescent="0.25">
      <c r="A326" s="74">
        <v>5118</v>
      </c>
    </row>
    <row r="327" spans="1:1" x14ac:dyDescent="0.25">
      <c r="A327" s="74">
        <v>5119</v>
      </c>
    </row>
    <row r="328" spans="1:1" x14ac:dyDescent="0.25">
      <c r="A328" s="74">
        <v>5120</v>
      </c>
    </row>
    <row r="329" spans="1:1" x14ac:dyDescent="0.25">
      <c r="A329" s="74">
        <v>5121</v>
      </c>
    </row>
    <row r="330" spans="1:1" x14ac:dyDescent="0.25">
      <c r="A330" s="74">
        <v>5122</v>
      </c>
    </row>
    <row r="331" spans="1:1" x14ac:dyDescent="0.25">
      <c r="A331" s="74">
        <v>5123</v>
      </c>
    </row>
    <row r="332" spans="1:1" x14ac:dyDescent="0.25">
      <c r="A332" s="74">
        <v>5124</v>
      </c>
    </row>
    <row r="333" spans="1:1" x14ac:dyDescent="0.25">
      <c r="A333" s="74">
        <v>5125</v>
      </c>
    </row>
    <row r="334" spans="1:1" x14ac:dyDescent="0.25">
      <c r="A334" s="74">
        <v>5126</v>
      </c>
    </row>
    <row r="335" spans="1:1" x14ac:dyDescent="0.25">
      <c r="A335" s="74">
        <v>5127</v>
      </c>
    </row>
    <row r="336" spans="1:1" x14ac:dyDescent="0.25">
      <c r="A336" s="74">
        <v>5128</v>
      </c>
    </row>
    <row r="337" spans="1:1" x14ac:dyDescent="0.25">
      <c r="A337" s="74">
        <v>5129</v>
      </c>
    </row>
    <row r="338" spans="1:1" x14ac:dyDescent="0.25">
      <c r="A338" s="74">
        <v>5130</v>
      </c>
    </row>
    <row r="339" spans="1:1" x14ac:dyDescent="0.25">
      <c r="A339" s="74">
        <v>5131</v>
      </c>
    </row>
    <row r="340" spans="1:1" x14ac:dyDescent="0.25">
      <c r="A340" s="74">
        <v>5132</v>
      </c>
    </row>
    <row r="341" spans="1:1" x14ac:dyDescent="0.25">
      <c r="A341" s="74">
        <v>5133</v>
      </c>
    </row>
    <row r="342" spans="1:1" x14ac:dyDescent="0.25">
      <c r="A342" s="74">
        <v>5134</v>
      </c>
    </row>
    <row r="343" spans="1:1" x14ac:dyDescent="0.25">
      <c r="A343" s="74">
        <v>5135</v>
      </c>
    </row>
    <row r="344" spans="1:1" x14ac:dyDescent="0.25">
      <c r="A344" s="74">
        <v>5136</v>
      </c>
    </row>
    <row r="345" spans="1:1" x14ac:dyDescent="0.25">
      <c r="A345" s="74">
        <v>5137</v>
      </c>
    </row>
    <row r="346" spans="1:1" x14ac:dyDescent="0.25">
      <c r="A346" s="74">
        <v>5138</v>
      </c>
    </row>
    <row r="347" spans="1:1" x14ac:dyDescent="0.25">
      <c r="A347" s="74">
        <v>5139</v>
      </c>
    </row>
    <row r="348" spans="1:1" x14ac:dyDescent="0.25">
      <c r="A348" s="74">
        <v>5140</v>
      </c>
    </row>
    <row r="349" spans="1:1" x14ac:dyDescent="0.25">
      <c r="A349" s="74">
        <v>5141</v>
      </c>
    </row>
    <row r="350" spans="1:1" x14ac:dyDescent="0.25">
      <c r="A350" s="74">
        <v>5142</v>
      </c>
    </row>
    <row r="351" spans="1:1" x14ac:dyDescent="0.25">
      <c r="A351" s="74">
        <v>5143</v>
      </c>
    </row>
    <row r="352" spans="1:1" x14ac:dyDescent="0.25">
      <c r="A352" s="74">
        <v>5144</v>
      </c>
    </row>
    <row r="353" spans="1:1" x14ac:dyDescent="0.25">
      <c r="A353" s="74">
        <v>5145</v>
      </c>
    </row>
    <row r="354" spans="1:1" x14ac:dyDescent="0.25">
      <c r="A354" s="74">
        <v>5146</v>
      </c>
    </row>
    <row r="355" spans="1:1" x14ac:dyDescent="0.25">
      <c r="A355" s="74">
        <v>5147</v>
      </c>
    </row>
    <row r="356" spans="1:1" x14ac:dyDescent="0.25">
      <c r="A356" s="74">
        <v>5148</v>
      </c>
    </row>
    <row r="357" spans="1:1" x14ac:dyDescent="0.25">
      <c r="A357" s="74">
        <v>5149</v>
      </c>
    </row>
    <row r="358" spans="1:1" x14ac:dyDescent="0.25">
      <c r="A358" s="74">
        <v>5150</v>
      </c>
    </row>
    <row r="359" spans="1:1" x14ac:dyDescent="0.25">
      <c r="A359" s="74">
        <v>5151</v>
      </c>
    </row>
    <row r="360" spans="1:1" x14ac:dyDescent="0.25">
      <c r="A360" s="74">
        <v>5152</v>
      </c>
    </row>
    <row r="361" spans="1:1" x14ac:dyDescent="0.25">
      <c r="A361" s="74">
        <v>5153</v>
      </c>
    </row>
    <row r="362" spans="1:1" x14ac:dyDescent="0.25">
      <c r="A362" s="74">
        <v>5154</v>
      </c>
    </row>
    <row r="363" spans="1:1" x14ac:dyDescent="0.25">
      <c r="A363" s="74">
        <v>5155</v>
      </c>
    </row>
    <row r="364" spans="1:1" x14ac:dyDescent="0.25">
      <c r="A364" s="74">
        <v>5156</v>
      </c>
    </row>
    <row r="365" spans="1:1" x14ac:dyDescent="0.25">
      <c r="A365" s="74">
        <v>5157</v>
      </c>
    </row>
    <row r="366" spans="1:1" x14ac:dyDescent="0.25">
      <c r="A366" s="74">
        <v>5158</v>
      </c>
    </row>
    <row r="367" spans="1:1" x14ac:dyDescent="0.25">
      <c r="A367" s="74">
        <v>5159</v>
      </c>
    </row>
    <row r="368" spans="1:1" x14ac:dyDescent="0.25">
      <c r="A368" s="74">
        <v>5160</v>
      </c>
    </row>
    <row r="369" spans="1:1" x14ac:dyDescent="0.25">
      <c r="A369" s="74">
        <v>5161</v>
      </c>
    </row>
    <row r="370" spans="1:1" x14ac:dyDescent="0.25">
      <c r="A370" s="74">
        <v>5162</v>
      </c>
    </row>
    <row r="371" spans="1:1" x14ac:dyDescent="0.25">
      <c r="A371" s="74">
        <v>5163</v>
      </c>
    </row>
    <row r="372" spans="1:1" x14ac:dyDescent="0.25">
      <c r="A372" s="74">
        <v>5164</v>
      </c>
    </row>
    <row r="373" spans="1:1" x14ac:dyDescent="0.25">
      <c r="A373" s="74">
        <v>5165</v>
      </c>
    </row>
    <row r="374" spans="1:1" x14ac:dyDescent="0.25">
      <c r="A374" s="74">
        <v>5166</v>
      </c>
    </row>
    <row r="375" spans="1:1" x14ac:dyDescent="0.25">
      <c r="A375" s="74">
        <v>5167</v>
      </c>
    </row>
    <row r="376" spans="1:1" x14ac:dyDescent="0.25">
      <c r="A376" s="74">
        <v>5168</v>
      </c>
    </row>
    <row r="377" spans="1:1" x14ac:dyDescent="0.25">
      <c r="A377" s="74">
        <v>5169</v>
      </c>
    </row>
    <row r="378" spans="1:1" x14ac:dyDescent="0.25">
      <c r="A378" s="74">
        <v>5170</v>
      </c>
    </row>
    <row r="379" spans="1:1" x14ac:dyDescent="0.25">
      <c r="A379" s="74">
        <v>5171</v>
      </c>
    </row>
    <row r="380" spans="1:1" x14ac:dyDescent="0.25">
      <c r="A380" s="74">
        <v>5172</v>
      </c>
    </row>
    <row r="381" spans="1:1" x14ac:dyDescent="0.25">
      <c r="A381" s="74">
        <v>5173</v>
      </c>
    </row>
    <row r="382" spans="1:1" x14ac:dyDescent="0.25">
      <c r="A382" s="74">
        <v>5174</v>
      </c>
    </row>
    <row r="383" spans="1:1" x14ac:dyDescent="0.25">
      <c r="A383" s="74">
        <v>5175</v>
      </c>
    </row>
    <row r="384" spans="1:1" x14ac:dyDescent="0.25">
      <c r="A384" s="74">
        <v>5176</v>
      </c>
    </row>
    <row r="385" spans="1:1" x14ac:dyDescent="0.25">
      <c r="A385" s="74">
        <v>5177</v>
      </c>
    </row>
    <row r="386" spans="1:1" x14ac:dyDescent="0.25">
      <c r="A386" s="74">
        <v>5178</v>
      </c>
    </row>
    <row r="387" spans="1:1" x14ac:dyDescent="0.25">
      <c r="A387" s="74">
        <v>5179</v>
      </c>
    </row>
    <row r="388" spans="1:1" x14ac:dyDescent="0.25">
      <c r="A388" s="74">
        <v>5180</v>
      </c>
    </row>
    <row r="389" spans="1:1" x14ac:dyDescent="0.25">
      <c r="A389" s="74">
        <v>5181</v>
      </c>
    </row>
    <row r="390" spans="1:1" x14ac:dyDescent="0.25">
      <c r="A390" s="74">
        <v>5182</v>
      </c>
    </row>
    <row r="391" spans="1:1" x14ac:dyDescent="0.25">
      <c r="A391" s="74">
        <v>5183</v>
      </c>
    </row>
    <row r="392" spans="1:1" x14ac:dyDescent="0.25">
      <c r="A392" s="74">
        <v>5184</v>
      </c>
    </row>
    <row r="393" spans="1:1" x14ac:dyDescent="0.25">
      <c r="A393" s="74">
        <v>5185</v>
      </c>
    </row>
    <row r="394" spans="1:1" x14ac:dyDescent="0.25">
      <c r="A394" s="74">
        <v>5186</v>
      </c>
    </row>
    <row r="395" spans="1:1" x14ac:dyDescent="0.25">
      <c r="A395" s="74">
        <v>5187</v>
      </c>
    </row>
    <row r="396" spans="1:1" x14ac:dyDescent="0.25">
      <c r="A396" s="74">
        <v>5188</v>
      </c>
    </row>
    <row r="397" spans="1:1" x14ac:dyDescent="0.25">
      <c r="A397" s="74">
        <v>5189</v>
      </c>
    </row>
    <row r="398" spans="1:1" x14ac:dyDescent="0.25">
      <c r="A398" s="74">
        <v>5190</v>
      </c>
    </row>
    <row r="399" spans="1:1" x14ac:dyDescent="0.25">
      <c r="A399" s="74">
        <v>5191</v>
      </c>
    </row>
    <row r="400" spans="1:1" x14ac:dyDescent="0.25">
      <c r="A400" s="74">
        <v>5192</v>
      </c>
    </row>
    <row r="401" spans="1:1" x14ac:dyDescent="0.25">
      <c r="A401" s="74">
        <v>5193</v>
      </c>
    </row>
    <row r="402" spans="1:1" x14ac:dyDescent="0.25">
      <c r="A402" s="74">
        <v>5194</v>
      </c>
    </row>
    <row r="403" spans="1:1" x14ac:dyDescent="0.25">
      <c r="A403" s="74">
        <v>5195</v>
      </c>
    </row>
    <row r="404" spans="1:1" x14ac:dyDescent="0.25">
      <c r="A404" s="74">
        <v>5196</v>
      </c>
    </row>
    <row r="405" spans="1:1" x14ac:dyDescent="0.25">
      <c r="A405" s="74">
        <v>5197</v>
      </c>
    </row>
    <row r="406" spans="1:1" x14ac:dyDescent="0.25">
      <c r="A406" s="74">
        <v>5198</v>
      </c>
    </row>
    <row r="407" spans="1:1" x14ac:dyDescent="0.25">
      <c r="A407" s="74">
        <v>5199</v>
      </c>
    </row>
    <row r="408" spans="1:1" x14ac:dyDescent="0.25">
      <c r="A408" s="74">
        <v>5200</v>
      </c>
    </row>
    <row r="409" spans="1:1" x14ac:dyDescent="0.25">
      <c r="A409" s="74">
        <v>5201</v>
      </c>
    </row>
    <row r="410" spans="1:1" x14ac:dyDescent="0.25">
      <c r="A410" s="74">
        <v>5202</v>
      </c>
    </row>
    <row r="411" spans="1:1" x14ac:dyDescent="0.25">
      <c r="A411" s="74">
        <v>5203</v>
      </c>
    </row>
    <row r="412" spans="1:1" x14ac:dyDescent="0.25">
      <c r="A412" s="74">
        <v>5204</v>
      </c>
    </row>
    <row r="413" spans="1:1" x14ac:dyDescent="0.25">
      <c r="A413" s="74">
        <v>5205</v>
      </c>
    </row>
    <row r="414" spans="1:1" x14ac:dyDescent="0.25">
      <c r="A414" s="74">
        <v>5206</v>
      </c>
    </row>
    <row r="415" spans="1:1" x14ac:dyDescent="0.25">
      <c r="A415" s="74">
        <v>5207</v>
      </c>
    </row>
    <row r="416" spans="1:1" x14ac:dyDescent="0.25">
      <c r="A416" s="74">
        <v>5208</v>
      </c>
    </row>
    <row r="417" spans="1:1" x14ac:dyDescent="0.25">
      <c r="A417" s="74">
        <v>5209</v>
      </c>
    </row>
    <row r="418" spans="1:1" x14ac:dyDescent="0.25">
      <c r="A418" s="74">
        <v>5210</v>
      </c>
    </row>
    <row r="419" spans="1:1" x14ac:dyDescent="0.25">
      <c r="A419" s="74">
        <v>5211</v>
      </c>
    </row>
    <row r="420" spans="1:1" x14ac:dyDescent="0.25">
      <c r="A420" s="74">
        <v>5212</v>
      </c>
    </row>
    <row r="421" spans="1:1" x14ac:dyDescent="0.25">
      <c r="A421" s="74">
        <v>5213</v>
      </c>
    </row>
    <row r="422" spans="1:1" x14ac:dyDescent="0.25">
      <c r="A422" s="74">
        <v>5214</v>
      </c>
    </row>
    <row r="423" spans="1:1" x14ac:dyDescent="0.25">
      <c r="A423" s="74">
        <v>5215</v>
      </c>
    </row>
    <row r="424" spans="1:1" x14ac:dyDescent="0.25">
      <c r="A424" s="74">
        <v>5216</v>
      </c>
    </row>
    <row r="425" spans="1:1" x14ac:dyDescent="0.25">
      <c r="A425" s="74">
        <v>5217</v>
      </c>
    </row>
    <row r="426" spans="1:1" x14ac:dyDescent="0.25">
      <c r="A426" s="74">
        <v>5218</v>
      </c>
    </row>
    <row r="427" spans="1:1" x14ac:dyDescent="0.25">
      <c r="A427" s="74">
        <v>5219</v>
      </c>
    </row>
    <row r="428" spans="1:1" x14ac:dyDescent="0.25">
      <c r="A428" s="74">
        <v>5220</v>
      </c>
    </row>
    <row r="429" spans="1:1" x14ac:dyDescent="0.25">
      <c r="A429" s="74">
        <v>5221</v>
      </c>
    </row>
    <row r="430" spans="1:1" x14ac:dyDescent="0.25">
      <c r="A430" s="74">
        <v>5222</v>
      </c>
    </row>
    <row r="431" spans="1:1" x14ac:dyDescent="0.25">
      <c r="A431" s="74">
        <v>5223</v>
      </c>
    </row>
    <row r="432" spans="1:1" x14ac:dyDescent="0.25">
      <c r="A432" s="74">
        <v>5224</v>
      </c>
    </row>
    <row r="433" spans="1:1" x14ac:dyDescent="0.25">
      <c r="A433" s="74">
        <v>5225</v>
      </c>
    </row>
    <row r="434" spans="1:1" x14ac:dyDescent="0.25">
      <c r="A434" s="74">
        <v>5226</v>
      </c>
    </row>
    <row r="435" spans="1:1" x14ac:dyDescent="0.25">
      <c r="A435" s="74">
        <v>5227</v>
      </c>
    </row>
    <row r="436" spans="1:1" x14ac:dyDescent="0.25">
      <c r="A436" s="74">
        <v>5228</v>
      </c>
    </row>
    <row r="437" spans="1:1" x14ac:dyDescent="0.25">
      <c r="A437" s="74">
        <v>5229</v>
      </c>
    </row>
    <row r="438" spans="1:1" x14ac:dyDescent="0.25">
      <c r="A438" s="74">
        <v>5230</v>
      </c>
    </row>
    <row r="439" spans="1:1" x14ac:dyDescent="0.25">
      <c r="A439" s="74">
        <v>5231</v>
      </c>
    </row>
    <row r="440" spans="1:1" x14ac:dyDescent="0.25">
      <c r="A440" s="74">
        <v>5232</v>
      </c>
    </row>
    <row r="441" spans="1:1" x14ac:dyDescent="0.25">
      <c r="A441" s="74">
        <v>5233</v>
      </c>
    </row>
    <row r="442" spans="1:1" x14ac:dyDescent="0.25">
      <c r="A442" s="74">
        <v>5234</v>
      </c>
    </row>
    <row r="443" spans="1:1" x14ac:dyDescent="0.25">
      <c r="A443" s="74">
        <v>5235</v>
      </c>
    </row>
    <row r="444" spans="1:1" x14ac:dyDescent="0.25">
      <c r="A444" s="74">
        <v>5236</v>
      </c>
    </row>
    <row r="445" spans="1:1" x14ac:dyDescent="0.25">
      <c r="A445" s="74">
        <v>5237</v>
      </c>
    </row>
    <row r="446" spans="1:1" x14ac:dyDescent="0.25">
      <c r="A446" s="74">
        <v>5238</v>
      </c>
    </row>
    <row r="447" spans="1:1" x14ac:dyDescent="0.25">
      <c r="A447" s="74">
        <v>5239</v>
      </c>
    </row>
    <row r="448" spans="1:1" x14ac:dyDescent="0.25">
      <c r="A448" s="74">
        <v>5240</v>
      </c>
    </row>
    <row r="449" spans="1:2" x14ac:dyDescent="0.25">
      <c r="A449" s="74">
        <v>5241</v>
      </c>
    </row>
    <row r="450" spans="1:2" x14ac:dyDescent="0.25">
      <c r="A450" s="74">
        <v>5242</v>
      </c>
    </row>
    <row r="451" spans="1:2" x14ac:dyDescent="0.25">
      <c r="A451" s="74">
        <v>5243</v>
      </c>
    </row>
    <row r="452" spans="1:2" x14ac:dyDescent="0.25">
      <c r="A452" s="74">
        <v>5244</v>
      </c>
    </row>
    <row r="453" spans="1:2" x14ac:dyDescent="0.25">
      <c r="A453" s="74">
        <v>5245</v>
      </c>
    </row>
    <row r="454" spans="1:2" x14ac:dyDescent="0.25">
      <c r="A454" s="74">
        <v>5246</v>
      </c>
    </row>
    <row r="455" spans="1:2" x14ac:dyDescent="0.25">
      <c r="A455" s="74">
        <v>5247</v>
      </c>
    </row>
    <row r="456" spans="1:2" x14ac:dyDescent="0.25">
      <c r="A456" s="74">
        <v>5248</v>
      </c>
    </row>
    <row r="457" spans="1:2" x14ac:dyDescent="0.25">
      <c r="A457" s="74">
        <v>5249</v>
      </c>
    </row>
    <row r="458" spans="1:2" x14ac:dyDescent="0.25">
      <c r="A458" s="74">
        <v>5250</v>
      </c>
    </row>
    <row r="459" spans="1:2" x14ac:dyDescent="0.25">
      <c r="A459" s="74">
        <v>5251</v>
      </c>
    </row>
    <row r="460" spans="1:2" x14ac:dyDescent="0.25">
      <c r="A460" s="74">
        <v>5252</v>
      </c>
    </row>
    <row r="461" spans="1:2" x14ac:dyDescent="0.25">
      <c r="A461" s="74">
        <v>5253</v>
      </c>
      <c r="B461">
        <v>8.2100000000000009</v>
      </c>
    </row>
    <row r="462" spans="1:2" x14ac:dyDescent="0.25">
      <c r="A462" s="74">
        <v>5254</v>
      </c>
      <c r="B462">
        <v>9.6300000000000008</v>
      </c>
    </row>
    <row r="463" spans="1:2" x14ac:dyDescent="0.25">
      <c r="A463" s="74">
        <v>5255</v>
      </c>
      <c r="B463">
        <v>11</v>
      </c>
    </row>
    <row r="464" spans="1:2" x14ac:dyDescent="0.25">
      <c r="A464" s="74">
        <v>5256</v>
      </c>
      <c r="B464">
        <v>12.5</v>
      </c>
    </row>
    <row r="465" spans="1:2" x14ac:dyDescent="0.25">
      <c r="A465" s="74">
        <v>5257</v>
      </c>
      <c r="B465">
        <v>12.5</v>
      </c>
    </row>
    <row r="466" spans="1:2" x14ac:dyDescent="0.25">
      <c r="A466" s="74">
        <v>5258</v>
      </c>
      <c r="B466">
        <v>14.2</v>
      </c>
    </row>
    <row r="467" spans="1:2" x14ac:dyDescent="0.25">
      <c r="A467" s="74">
        <v>5259</v>
      </c>
      <c r="B467">
        <v>9.6300000000000008</v>
      </c>
    </row>
    <row r="468" spans="1:2" x14ac:dyDescent="0.25">
      <c r="A468" s="74">
        <v>5260</v>
      </c>
      <c r="B468">
        <v>9.6300000000000008</v>
      </c>
    </row>
    <row r="469" spans="1:2" x14ac:dyDescent="0.25">
      <c r="A469" s="74">
        <v>5261</v>
      </c>
      <c r="B469">
        <v>9.6300000000000008</v>
      </c>
    </row>
    <row r="470" spans="1:2" x14ac:dyDescent="0.25">
      <c r="A470" s="74">
        <v>5262</v>
      </c>
      <c r="B470">
        <v>8.2100000000000009</v>
      </c>
    </row>
    <row r="471" spans="1:2" x14ac:dyDescent="0.25">
      <c r="A471" s="74">
        <v>5263</v>
      </c>
      <c r="B471">
        <v>5.0999999999999996</v>
      </c>
    </row>
    <row r="472" spans="1:2" x14ac:dyDescent="0.25">
      <c r="A472" s="74">
        <v>5264</v>
      </c>
      <c r="B472">
        <v>5.0999999999999996</v>
      </c>
    </row>
    <row r="473" spans="1:2" x14ac:dyDescent="0.25">
      <c r="A473" s="74">
        <v>5265</v>
      </c>
      <c r="B473">
        <v>5.95</v>
      </c>
    </row>
    <row r="474" spans="1:2" x14ac:dyDescent="0.25">
      <c r="A474" s="74">
        <v>5266</v>
      </c>
      <c r="B474">
        <v>5.95</v>
      </c>
    </row>
    <row r="475" spans="1:2" x14ac:dyDescent="0.25">
      <c r="A475" s="74">
        <v>5267</v>
      </c>
      <c r="B475">
        <v>7.08</v>
      </c>
    </row>
    <row r="476" spans="1:2" x14ac:dyDescent="0.25">
      <c r="A476" s="74">
        <v>5268</v>
      </c>
      <c r="B476">
        <v>7.08</v>
      </c>
    </row>
    <row r="477" spans="1:2" x14ac:dyDescent="0.25">
      <c r="A477" s="74">
        <v>5269</v>
      </c>
      <c r="B477">
        <v>8.2100000000000009</v>
      </c>
    </row>
    <row r="478" spans="1:2" x14ac:dyDescent="0.25">
      <c r="A478" s="74">
        <v>5270</v>
      </c>
      <c r="B478">
        <v>8.2100000000000009</v>
      </c>
    </row>
    <row r="479" spans="1:2" x14ac:dyDescent="0.25">
      <c r="A479" s="74">
        <v>5271</v>
      </c>
      <c r="B479">
        <v>7.08</v>
      </c>
    </row>
    <row r="480" spans="1:2" x14ac:dyDescent="0.25">
      <c r="A480" s="74">
        <v>5272</v>
      </c>
      <c r="B480">
        <v>7.08</v>
      </c>
    </row>
    <row r="481" spans="1:2" x14ac:dyDescent="0.25">
      <c r="A481" s="74">
        <v>5273</v>
      </c>
      <c r="B481">
        <v>8.2100000000000009</v>
      </c>
    </row>
    <row r="482" spans="1:2" x14ac:dyDescent="0.25">
      <c r="A482" s="74">
        <v>5274</v>
      </c>
      <c r="B482">
        <v>8.2100000000000009</v>
      </c>
    </row>
    <row r="483" spans="1:2" x14ac:dyDescent="0.25">
      <c r="A483" s="74">
        <v>5275</v>
      </c>
      <c r="B483">
        <v>7.08</v>
      </c>
    </row>
    <row r="484" spans="1:2" x14ac:dyDescent="0.25">
      <c r="A484" s="74">
        <v>5276</v>
      </c>
      <c r="B484">
        <v>5.95</v>
      </c>
    </row>
    <row r="485" spans="1:2" x14ac:dyDescent="0.25">
      <c r="A485" s="74">
        <v>5277</v>
      </c>
      <c r="B485">
        <v>5.95</v>
      </c>
    </row>
    <row r="486" spans="1:2" x14ac:dyDescent="0.25">
      <c r="A486" s="74">
        <v>5278</v>
      </c>
      <c r="B486">
        <v>5.95</v>
      </c>
    </row>
    <row r="487" spans="1:2" x14ac:dyDescent="0.25">
      <c r="A487" s="74">
        <v>5279</v>
      </c>
      <c r="B487">
        <v>8.2100000000000009</v>
      </c>
    </row>
    <row r="488" spans="1:2" x14ac:dyDescent="0.25">
      <c r="A488" s="74">
        <v>5280</v>
      </c>
      <c r="B488">
        <v>9.6300000000000008</v>
      </c>
    </row>
    <row r="489" spans="1:2" x14ac:dyDescent="0.25">
      <c r="A489" s="74">
        <v>5281</v>
      </c>
      <c r="B489">
        <v>8.2100000000000009</v>
      </c>
    </row>
    <row r="490" spans="1:2" x14ac:dyDescent="0.25">
      <c r="A490" s="74">
        <v>5282</v>
      </c>
      <c r="B490">
        <v>8.2100000000000009</v>
      </c>
    </row>
    <row r="491" spans="1:2" x14ac:dyDescent="0.25">
      <c r="A491" s="74">
        <v>5283</v>
      </c>
      <c r="B491">
        <v>8.2100000000000009</v>
      </c>
    </row>
    <row r="492" spans="1:2" x14ac:dyDescent="0.25">
      <c r="A492" s="74">
        <v>5284</v>
      </c>
      <c r="B492">
        <v>8.2100000000000009</v>
      </c>
    </row>
    <row r="493" spans="1:2" x14ac:dyDescent="0.25">
      <c r="A493" s="74">
        <v>5285</v>
      </c>
      <c r="B493">
        <v>8.2100000000000009</v>
      </c>
    </row>
    <row r="494" spans="1:2" x14ac:dyDescent="0.25">
      <c r="A494" s="74">
        <v>5286</v>
      </c>
      <c r="B494">
        <v>8.2100000000000009</v>
      </c>
    </row>
    <row r="495" spans="1:2" x14ac:dyDescent="0.25">
      <c r="A495" s="74">
        <v>5287</v>
      </c>
      <c r="B495">
        <v>7.08</v>
      </c>
    </row>
    <row r="496" spans="1:2" x14ac:dyDescent="0.25">
      <c r="A496" s="74">
        <v>5288</v>
      </c>
      <c r="B496">
        <v>7.08</v>
      </c>
    </row>
    <row r="497" spans="1:2" x14ac:dyDescent="0.25">
      <c r="A497" s="74">
        <v>5289</v>
      </c>
      <c r="B497">
        <v>7.08</v>
      </c>
    </row>
    <row r="498" spans="1:2" x14ac:dyDescent="0.25">
      <c r="A498" s="74">
        <v>5290</v>
      </c>
      <c r="B498">
        <v>7.08</v>
      </c>
    </row>
    <row r="499" spans="1:2" x14ac:dyDescent="0.25">
      <c r="A499" s="74">
        <v>5291</v>
      </c>
      <c r="B499">
        <v>5.95</v>
      </c>
    </row>
    <row r="500" spans="1:2" x14ac:dyDescent="0.25">
      <c r="A500" s="74">
        <v>5292</v>
      </c>
      <c r="B500">
        <v>5.95</v>
      </c>
    </row>
    <row r="501" spans="1:2" x14ac:dyDescent="0.25">
      <c r="A501" s="74">
        <v>5293</v>
      </c>
      <c r="B501">
        <v>5.95</v>
      </c>
    </row>
    <row r="502" spans="1:2" x14ac:dyDescent="0.25">
      <c r="A502" s="74">
        <v>5294</v>
      </c>
      <c r="B502">
        <v>5.95</v>
      </c>
    </row>
    <row r="503" spans="1:2" x14ac:dyDescent="0.25">
      <c r="A503" s="74">
        <v>5295</v>
      </c>
      <c r="B503">
        <v>5.95</v>
      </c>
    </row>
    <row r="504" spans="1:2" x14ac:dyDescent="0.25">
      <c r="A504" s="74">
        <v>5296</v>
      </c>
      <c r="B504">
        <v>5.95</v>
      </c>
    </row>
    <row r="505" spans="1:2" x14ac:dyDescent="0.25">
      <c r="A505" s="74">
        <v>5297</v>
      </c>
      <c r="B505">
        <v>5.95</v>
      </c>
    </row>
    <row r="506" spans="1:2" x14ac:dyDescent="0.25">
      <c r="A506" s="74">
        <v>5298</v>
      </c>
      <c r="B506">
        <v>5.0999999999999996</v>
      </c>
    </row>
    <row r="507" spans="1:2" x14ac:dyDescent="0.25">
      <c r="A507" s="74">
        <v>5299</v>
      </c>
      <c r="B507">
        <v>5.0999999999999996</v>
      </c>
    </row>
    <row r="508" spans="1:2" x14ac:dyDescent="0.25">
      <c r="A508" s="74">
        <v>5300</v>
      </c>
      <c r="B508">
        <v>4.25</v>
      </c>
    </row>
    <row r="509" spans="1:2" x14ac:dyDescent="0.25">
      <c r="A509" s="74">
        <v>5301</v>
      </c>
      <c r="B509">
        <v>3.4</v>
      </c>
    </row>
    <row r="510" spans="1:2" x14ac:dyDescent="0.25">
      <c r="A510" s="74">
        <v>5302</v>
      </c>
      <c r="B510">
        <v>3.4</v>
      </c>
    </row>
    <row r="511" spans="1:2" x14ac:dyDescent="0.25">
      <c r="A511" s="74">
        <v>5303</v>
      </c>
      <c r="B511">
        <v>3.4</v>
      </c>
    </row>
    <row r="512" spans="1:2" x14ac:dyDescent="0.25">
      <c r="A512" s="74">
        <v>5304</v>
      </c>
      <c r="B512">
        <v>3.4</v>
      </c>
    </row>
    <row r="513" spans="1:2" x14ac:dyDescent="0.25">
      <c r="A513" s="74">
        <v>5305</v>
      </c>
      <c r="B513">
        <v>2.5499999999999998</v>
      </c>
    </row>
    <row r="514" spans="1:2" x14ac:dyDescent="0.25">
      <c r="A514" s="74">
        <v>5306</v>
      </c>
      <c r="B514">
        <v>2.5499999999999998</v>
      </c>
    </row>
    <row r="515" spans="1:2" x14ac:dyDescent="0.25">
      <c r="A515" s="74">
        <v>5307</v>
      </c>
      <c r="B515">
        <v>2.5499999999999998</v>
      </c>
    </row>
    <row r="516" spans="1:2" x14ac:dyDescent="0.25">
      <c r="A516" s="74">
        <v>5308</v>
      </c>
      <c r="B516">
        <v>2.5499999999999998</v>
      </c>
    </row>
    <row r="517" spans="1:2" x14ac:dyDescent="0.25">
      <c r="A517" s="74">
        <v>5309</v>
      </c>
      <c r="B517">
        <v>2.5499999999999998</v>
      </c>
    </row>
    <row r="518" spans="1:2" x14ac:dyDescent="0.25">
      <c r="A518" s="74">
        <v>5310</v>
      </c>
      <c r="B518">
        <v>1.84</v>
      </c>
    </row>
    <row r="519" spans="1:2" x14ac:dyDescent="0.25">
      <c r="A519" s="74">
        <v>5311</v>
      </c>
      <c r="B519">
        <v>1.84</v>
      </c>
    </row>
    <row r="520" spans="1:2" x14ac:dyDescent="0.25">
      <c r="A520" s="74">
        <v>5312</v>
      </c>
      <c r="B520">
        <v>1.84</v>
      </c>
    </row>
    <row r="521" spans="1:2" x14ac:dyDescent="0.25">
      <c r="A521" s="74">
        <v>5313</v>
      </c>
      <c r="B521">
        <v>1.84</v>
      </c>
    </row>
    <row r="522" spans="1:2" x14ac:dyDescent="0.25">
      <c r="A522" s="74">
        <v>5314</v>
      </c>
      <c r="B522">
        <v>1.56</v>
      </c>
    </row>
    <row r="523" spans="1:2" x14ac:dyDescent="0.25">
      <c r="A523" s="74">
        <v>5315</v>
      </c>
      <c r="B523">
        <v>1.56</v>
      </c>
    </row>
    <row r="524" spans="1:2" x14ac:dyDescent="0.25">
      <c r="A524" s="74">
        <v>5316</v>
      </c>
      <c r="B524">
        <v>1.27</v>
      </c>
    </row>
    <row r="525" spans="1:2" x14ac:dyDescent="0.25">
      <c r="A525" s="74">
        <v>5317</v>
      </c>
      <c r="B525">
        <v>1.27</v>
      </c>
    </row>
    <row r="526" spans="1:2" x14ac:dyDescent="0.25">
      <c r="A526" s="74">
        <v>5318</v>
      </c>
      <c r="B526">
        <v>1.27</v>
      </c>
    </row>
    <row r="527" spans="1:2" x14ac:dyDescent="0.25">
      <c r="A527" s="74">
        <v>5319</v>
      </c>
      <c r="B527">
        <v>1.27</v>
      </c>
    </row>
    <row r="528" spans="1:2" x14ac:dyDescent="0.25">
      <c r="A528" s="74">
        <v>5320</v>
      </c>
      <c r="B528">
        <v>1.27</v>
      </c>
    </row>
    <row r="529" spans="1:2" x14ac:dyDescent="0.25">
      <c r="A529" s="74">
        <v>5321</v>
      </c>
      <c r="B529">
        <v>1.27</v>
      </c>
    </row>
    <row r="530" spans="1:2" x14ac:dyDescent="0.25">
      <c r="A530" s="74">
        <v>5322</v>
      </c>
      <c r="B530">
        <v>0.85</v>
      </c>
    </row>
    <row r="531" spans="1:2" x14ac:dyDescent="0.25">
      <c r="A531" s="74">
        <v>5323</v>
      </c>
      <c r="B531">
        <v>0.85</v>
      </c>
    </row>
    <row r="532" spans="1:2" x14ac:dyDescent="0.25">
      <c r="A532" s="74">
        <v>5324</v>
      </c>
      <c r="B532">
        <v>0.85</v>
      </c>
    </row>
    <row r="533" spans="1:2" x14ac:dyDescent="0.25">
      <c r="A533" s="74">
        <v>5325</v>
      </c>
      <c r="B533">
        <v>0.85</v>
      </c>
    </row>
    <row r="534" spans="1:2" x14ac:dyDescent="0.25">
      <c r="A534" s="74">
        <v>5326</v>
      </c>
      <c r="B534">
        <v>0.85</v>
      </c>
    </row>
    <row r="535" spans="1:2" x14ac:dyDescent="0.25">
      <c r="A535" s="74">
        <v>5327</v>
      </c>
      <c r="B535">
        <v>0.85</v>
      </c>
    </row>
    <row r="536" spans="1:2" x14ac:dyDescent="0.25">
      <c r="A536" s="74">
        <v>5328</v>
      </c>
      <c r="B536">
        <v>0.85</v>
      </c>
    </row>
    <row r="537" spans="1:2" x14ac:dyDescent="0.25">
      <c r="A537" s="74">
        <v>5329</v>
      </c>
      <c r="B537">
        <v>0.85</v>
      </c>
    </row>
    <row r="538" spans="1:2" x14ac:dyDescent="0.25">
      <c r="A538" s="74">
        <v>5330</v>
      </c>
      <c r="B538">
        <v>0.85</v>
      </c>
    </row>
    <row r="539" spans="1:2" x14ac:dyDescent="0.25">
      <c r="A539" s="74">
        <v>5331</v>
      </c>
      <c r="B539">
        <v>0.85</v>
      </c>
    </row>
    <row r="540" spans="1:2" x14ac:dyDescent="0.25">
      <c r="A540" s="74">
        <v>5332</v>
      </c>
      <c r="B540">
        <v>0.85</v>
      </c>
    </row>
    <row r="541" spans="1:2" x14ac:dyDescent="0.25">
      <c r="A541" s="74">
        <v>5333</v>
      </c>
      <c r="B541">
        <v>0.85</v>
      </c>
    </row>
    <row r="542" spans="1:2" x14ac:dyDescent="0.25">
      <c r="A542" s="74">
        <v>5334</v>
      </c>
      <c r="B542">
        <v>0.85</v>
      </c>
    </row>
    <row r="543" spans="1:2" x14ac:dyDescent="0.25">
      <c r="A543" s="74">
        <v>5335</v>
      </c>
      <c r="B543">
        <v>0.85</v>
      </c>
    </row>
    <row r="544" spans="1:2" x14ac:dyDescent="0.25">
      <c r="A544" s="74">
        <v>5336</v>
      </c>
      <c r="B544">
        <v>0.85</v>
      </c>
    </row>
    <row r="545" spans="1:2" x14ac:dyDescent="0.25">
      <c r="A545" s="74">
        <v>5337</v>
      </c>
      <c r="B545">
        <v>0.85</v>
      </c>
    </row>
    <row r="546" spans="1:2" x14ac:dyDescent="0.25">
      <c r="A546" s="74">
        <v>5338</v>
      </c>
      <c r="B546">
        <v>0.85</v>
      </c>
    </row>
    <row r="547" spans="1:2" x14ac:dyDescent="0.25">
      <c r="A547" s="74">
        <v>5339</v>
      </c>
      <c r="B547">
        <v>0.85</v>
      </c>
    </row>
    <row r="548" spans="1:2" x14ac:dyDescent="0.25">
      <c r="A548" s="74">
        <v>5340</v>
      </c>
      <c r="B548">
        <v>0.85</v>
      </c>
    </row>
    <row r="549" spans="1:2" x14ac:dyDescent="0.25">
      <c r="A549" s="74">
        <v>5341</v>
      </c>
      <c r="B549">
        <v>0.42499999999999999</v>
      </c>
    </row>
    <row r="550" spans="1:2" x14ac:dyDescent="0.25">
      <c r="A550" s="74">
        <v>5342</v>
      </c>
      <c r="B550">
        <v>0.42499999999999999</v>
      </c>
    </row>
    <row r="551" spans="1:2" x14ac:dyDescent="0.25">
      <c r="A551" s="74">
        <v>5343</v>
      </c>
      <c r="B551">
        <v>0.42499999999999999</v>
      </c>
    </row>
    <row r="552" spans="1:2" x14ac:dyDescent="0.25">
      <c r="A552" s="74">
        <v>5344</v>
      </c>
      <c r="B552">
        <v>0.42499999999999999</v>
      </c>
    </row>
    <row r="553" spans="1:2" x14ac:dyDescent="0.25">
      <c r="A553" s="74">
        <v>5345</v>
      </c>
      <c r="B553">
        <v>0.42499999999999999</v>
      </c>
    </row>
    <row r="554" spans="1:2" x14ac:dyDescent="0.25">
      <c r="A554" s="74">
        <v>5346</v>
      </c>
      <c r="B554">
        <v>0.42499999999999999</v>
      </c>
    </row>
    <row r="555" spans="1:2" x14ac:dyDescent="0.25">
      <c r="A555" s="74">
        <v>5347</v>
      </c>
      <c r="B555">
        <v>0.42499999999999999</v>
      </c>
    </row>
    <row r="556" spans="1:2" x14ac:dyDescent="0.25">
      <c r="A556" s="74">
        <v>5348</v>
      </c>
      <c r="B556">
        <v>0.42499999999999999</v>
      </c>
    </row>
    <row r="557" spans="1:2" x14ac:dyDescent="0.25">
      <c r="A557" s="74">
        <v>5349</v>
      </c>
      <c r="B557">
        <v>0.42499999999999999</v>
      </c>
    </row>
    <row r="558" spans="1:2" x14ac:dyDescent="0.25">
      <c r="A558" s="74">
        <v>5350</v>
      </c>
      <c r="B558">
        <v>0.42499999999999999</v>
      </c>
    </row>
    <row r="559" spans="1:2" x14ac:dyDescent="0.25">
      <c r="A559" s="74">
        <v>5351</v>
      </c>
      <c r="B559">
        <v>0.42499999999999999</v>
      </c>
    </row>
    <row r="560" spans="1:2" x14ac:dyDescent="0.25">
      <c r="A560" s="74">
        <v>5352</v>
      </c>
      <c r="B560">
        <v>0.42499999999999999</v>
      </c>
    </row>
    <row r="561" spans="1:2" x14ac:dyDescent="0.25">
      <c r="A561" s="74">
        <v>5353</v>
      </c>
      <c r="B561">
        <v>0.42499999999999999</v>
      </c>
    </row>
    <row r="562" spans="1:2" x14ac:dyDescent="0.25">
      <c r="A562" s="74">
        <v>5354</v>
      </c>
      <c r="B562">
        <v>0.85</v>
      </c>
    </row>
    <row r="563" spans="1:2" x14ac:dyDescent="0.25">
      <c r="A563" s="74">
        <v>5355</v>
      </c>
      <c r="B563">
        <v>0.14199999999999999</v>
      </c>
    </row>
    <row r="564" spans="1:2" x14ac:dyDescent="0.25">
      <c r="A564" s="74">
        <v>5356</v>
      </c>
      <c r="B564">
        <v>0.14199999999999999</v>
      </c>
    </row>
    <row r="565" spans="1:2" x14ac:dyDescent="0.25">
      <c r="A565" s="74">
        <v>5357</v>
      </c>
      <c r="B565">
        <v>0.85</v>
      </c>
    </row>
    <row r="566" spans="1:2" x14ac:dyDescent="0.25">
      <c r="A566" s="74">
        <v>5358</v>
      </c>
      <c r="B566">
        <v>0.14199999999999999</v>
      </c>
    </row>
    <row r="567" spans="1:2" x14ac:dyDescent="0.25">
      <c r="A567" s="74">
        <v>5359</v>
      </c>
      <c r="B567">
        <v>0.14199999999999999</v>
      </c>
    </row>
    <row r="568" spans="1:2" x14ac:dyDescent="0.25">
      <c r="A568" s="74">
        <v>5360</v>
      </c>
      <c r="B568">
        <v>0.14199999999999999</v>
      </c>
    </row>
    <row r="569" spans="1:2" x14ac:dyDescent="0.25">
      <c r="A569" s="74">
        <v>5361</v>
      </c>
      <c r="B569">
        <v>8.5000000000000006E-2</v>
      </c>
    </row>
    <row r="570" spans="1:2" x14ac:dyDescent="0.25">
      <c r="A570" s="74">
        <v>5362</v>
      </c>
      <c r="B570">
        <v>8.5000000000000006E-2</v>
      </c>
    </row>
    <row r="571" spans="1:2" x14ac:dyDescent="0.25">
      <c r="A571" s="74">
        <v>5363</v>
      </c>
      <c r="B571">
        <v>8.5000000000000006E-2</v>
      </c>
    </row>
    <row r="572" spans="1:2" x14ac:dyDescent="0.25">
      <c r="A572" s="74">
        <v>5364</v>
      </c>
      <c r="B572">
        <v>8.5000000000000006E-2</v>
      </c>
    </row>
    <row r="573" spans="1:2" x14ac:dyDescent="0.25">
      <c r="A573" s="74">
        <v>5365</v>
      </c>
      <c r="B573">
        <v>8.5000000000000006E-2</v>
      </c>
    </row>
    <row r="574" spans="1:2" x14ac:dyDescent="0.25">
      <c r="A574" s="74">
        <v>5366</v>
      </c>
      <c r="B574">
        <v>8.5000000000000006E-2</v>
      </c>
    </row>
    <row r="575" spans="1:2" x14ac:dyDescent="0.25">
      <c r="A575" s="74">
        <v>5367</v>
      </c>
      <c r="B575">
        <v>0.42499999999999999</v>
      </c>
    </row>
    <row r="576" spans="1:2" x14ac:dyDescent="0.25">
      <c r="A576" s="74">
        <v>5368</v>
      </c>
      <c r="B576">
        <v>0.42499999999999999</v>
      </c>
    </row>
    <row r="577" spans="1:2" x14ac:dyDescent="0.25">
      <c r="A577" s="74">
        <v>5369</v>
      </c>
      <c r="B577">
        <v>0.42499999999999999</v>
      </c>
    </row>
    <row r="578" spans="1:2" x14ac:dyDescent="0.25">
      <c r="A578" s="74">
        <v>5370</v>
      </c>
      <c r="B578">
        <v>0.85</v>
      </c>
    </row>
    <row r="579" spans="1:2" x14ac:dyDescent="0.25">
      <c r="A579" s="74">
        <v>5371</v>
      </c>
      <c r="B579">
        <v>1.27</v>
      </c>
    </row>
    <row r="580" spans="1:2" x14ac:dyDescent="0.25">
      <c r="A580" s="74">
        <v>5372</v>
      </c>
      <c r="B580">
        <v>1.27</v>
      </c>
    </row>
    <row r="581" spans="1:2" x14ac:dyDescent="0.25">
      <c r="A581" s="74">
        <v>5373</v>
      </c>
      <c r="B581">
        <v>1.27</v>
      </c>
    </row>
    <row r="582" spans="1:2" x14ac:dyDescent="0.25">
      <c r="A582" s="74">
        <v>5374</v>
      </c>
      <c r="B582">
        <v>1.27</v>
      </c>
    </row>
    <row r="583" spans="1:2" x14ac:dyDescent="0.25">
      <c r="A583" s="74">
        <v>5375</v>
      </c>
      <c r="B583">
        <v>2.5499999999999998</v>
      </c>
    </row>
    <row r="584" spans="1:2" x14ac:dyDescent="0.25">
      <c r="A584" s="74">
        <v>5376</v>
      </c>
      <c r="B584">
        <v>18.100000000000001</v>
      </c>
    </row>
    <row r="585" spans="1:2" x14ac:dyDescent="0.25">
      <c r="A585" s="74">
        <v>5377</v>
      </c>
      <c r="B585">
        <v>4.25</v>
      </c>
    </row>
    <row r="586" spans="1:2" x14ac:dyDescent="0.25">
      <c r="A586" s="74">
        <v>5378</v>
      </c>
      <c r="B586">
        <v>4.25</v>
      </c>
    </row>
    <row r="587" spans="1:2" x14ac:dyDescent="0.25">
      <c r="A587" s="74">
        <v>5379</v>
      </c>
    </row>
    <row r="588" spans="1:2" x14ac:dyDescent="0.25">
      <c r="A588" s="74">
        <v>5380</v>
      </c>
    </row>
    <row r="589" spans="1:2" x14ac:dyDescent="0.25">
      <c r="A589" s="74">
        <v>5381</v>
      </c>
    </row>
    <row r="590" spans="1:2" x14ac:dyDescent="0.25">
      <c r="A590" s="74">
        <v>5382</v>
      </c>
    </row>
    <row r="591" spans="1:2" x14ac:dyDescent="0.25">
      <c r="A591" s="74">
        <v>5383</v>
      </c>
    </row>
    <row r="592" spans="1:2" x14ac:dyDescent="0.25">
      <c r="A592" s="74">
        <v>5384</v>
      </c>
    </row>
    <row r="593" spans="1:1" x14ac:dyDescent="0.25">
      <c r="A593" s="74">
        <v>5385</v>
      </c>
    </row>
    <row r="594" spans="1:1" x14ac:dyDescent="0.25">
      <c r="A594" s="74">
        <v>5386</v>
      </c>
    </row>
    <row r="595" spans="1:1" x14ac:dyDescent="0.25">
      <c r="A595" s="74">
        <v>5387</v>
      </c>
    </row>
    <row r="596" spans="1:1" x14ac:dyDescent="0.25">
      <c r="A596" s="74">
        <v>5388</v>
      </c>
    </row>
    <row r="597" spans="1:1" x14ac:dyDescent="0.25">
      <c r="A597" s="74">
        <v>5389</v>
      </c>
    </row>
    <row r="598" spans="1:1" x14ac:dyDescent="0.25">
      <c r="A598" s="74">
        <v>5390</v>
      </c>
    </row>
    <row r="599" spans="1:1" x14ac:dyDescent="0.25">
      <c r="A599" s="74">
        <v>5391</v>
      </c>
    </row>
    <row r="600" spans="1:1" x14ac:dyDescent="0.25">
      <c r="A600" s="74">
        <v>5392</v>
      </c>
    </row>
    <row r="601" spans="1:1" x14ac:dyDescent="0.25">
      <c r="A601" s="74">
        <v>5393</v>
      </c>
    </row>
    <row r="602" spans="1:1" x14ac:dyDescent="0.25">
      <c r="A602" s="74">
        <v>5394</v>
      </c>
    </row>
    <row r="603" spans="1:1" x14ac:dyDescent="0.25">
      <c r="A603" s="74">
        <v>5395</v>
      </c>
    </row>
    <row r="604" spans="1:1" x14ac:dyDescent="0.25">
      <c r="A604" s="74">
        <v>5396</v>
      </c>
    </row>
    <row r="605" spans="1:1" x14ac:dyDescent="0.25">
      <c r="A605" s="74">
        <v>5397</v>
      </c>
    </row>
    <row r="606" spans="1:1" x14ac:dyDescent="0.25">
      <c r="A606" s="74">
        <v>5398</v>
      </c>
    </row>
    <row r="607" spans="1:1" x14ac:dyDescent="0.25">
      <c r="A607" s="74">
        <v>5399</v>
      </c>
    </row>
    <row r="608" spans="1:1" x14ac:dyDescent="0.25">
      <c r="A608" s="74">
        <v>5400</v>
      </c>
    </row>
    <row r="609" spans="1:1" x14ac:dyDescent="0.25">
      <c r="A609" s="74">
        <v>5401</v>
      </c>
    </row>
    <row r="610" spans="1:1" x14ac:dyDescent="0.25">
      <c r="A610" s="74">
        <v>5402</v>
      </c>
    </row>
    <row r="611" spans="1:1" x14ac:dyDescent="0.25">
      <c r="A611" s="74">
        <v>5403</v>
      </c>
    </row>
    <row r="612" spans="1:1" x14ac:dyDescent="0.25">
      <c r="A612" s="74">
        <v>5404</v>
      </c>
    </row>
    <row r="613" spans="1:1" x14ac:dyDescent="0.25">
      <c r="A613" s="74">
        <v>5405</v>
      </c>
    </row>
    <row r="614" spans="1:1" x14ac:dyDescent="0.25">
      <c r="A614" s="74">
        <v>5406</v>
      </c>
    </row>
    <row r="615" spans="1:1" x14ac:dyDescent="0.25">
      <c r="A615" s="74">
        <v>5407</v>
      </c>
    </row>
    <row r="616" spans="1:1" x14ac:dyDescent="0.25">
      <c r="A616" s="74">
        <v>5408</v>
      </c>
    </row>
    <row r="617" spans="1:1" x14ac:dyDescent="0.25">
      <c r="A617" s="74">
        <v>5409</v>
      </c>
    </row>
    <row r="618" spans="1:1" x14ac:dyDescent="0.25">
      <c r="A618" s="74">
        <v>5410</v>
      </c>
    </row>
    <row r="619" spans="1:1" x14ac:dyDescent="0.25">
      <c r="A619" s="74">
        <v>5411</v>
      </c>
    </row>
    <row r="620" spans="1:1" x14ac:dyDescent="0.25">
      <c r="A620" s="74">
        <v>5412</v>
      </c>
    </row>
    <row r="621" spans="1:1" x14ac:dyDescent="0.25">
      <c r="A621" s="74">
        <v>5413</v>
      </c>
    </row>
    <row r="622" spans="1:1" x14ac:dyDescent="0.25">
      <c r="A622" s="74">
        <v>5414</v>
      </c>
    </row>
    <row r="623" spans="1:1" x14ac:dyDescent="0.25">
      <c r="A623" s="74">
        <v>5415</v>
      </c>
    </row>
    <row r="624" spans="1:1" x14ac:dyDescent="0.25">
      <c r="A624" s="74">
        <v>5416</v>
      </c>
    </row>
    <row r="625" spans="1:1" x14ac:dyDescent="0.25">
      <c r="A625" s="74">
        <v>5417</v>
      </c>
    </row>
    <row r="626" spans="1:1" x14ac:dyDescent="0.25">
      <c r="A626" s="74">
        <v>5418</v>
      </c>
    </row>
    <row r="627" spans="1:1" x14ac:dyDescent="0.25">
      <c r="A627" s="74">
        <v>5419</v>
      </c>
    </row>
    <row r="628" spans="1:1" x14ac:dyDescent="0.25">
      <c r="A628" s="74">
        <v>5420</v>
      </c>
    </row>
    <row r="629" spans="1:1" x14ac:dyDescent="0.25">
      <c r="A629" s="74">
        <v>5421</v>
      </c>
    </row>
    <row r="630" spans="1:1" x14ac:dyDescent="0.25">
      <c r="A630" s="74">
        <v>5422</v>
      </c>
    </row>
    <row r="631" spans="1:1" x14ac:dyDescent="0.25">
      <c r="A631" s="74">
        <v>5423</v>
      </c>
    </row>
    <row r="632" spans="1:1" x14ac:dyDescent="0.25">
      <c r="A632" s="74">
        <v>5424</v>
      </c>
    </row>
    <row r="633" spans="1:1" x14ac:dyDescent="0.25">
      <c r="A633" s="74">
        <v>5425</v>
      </c>
    </row>
    <row r="634" spans="1:1" x14ac:dyDescent="0.25">
      <c r="A634" s="74">
        <v>5426</v>
      </c>
    </row>
    <row r="635" spans="1:1" x14ac:dyDescent="0.25">
      <c r="A635" s="74">
        <v>5427</v>
      </c>
    </row>
    <row r="636" spans="1:1" x14ac:dyDescent="0.25">
      <c r="A636" s="74">
        <v>5428</v>
      </c>
    </row>
    <row r="637" spans="1:1" x14ac:dyDescent="0.25">
      <c r="A637" s="74">
        <v>5429</v>
      </c>
    </row>
    <row r="638" spans="1:1" x14ac:dyDescent="0.25">
      <c r="A638" s="74">
        <v>5430</v>
      </c>
    </row>
    <row r="639" spans="1:1" x14ac:dyDescent="0.25">
      <c r="A639" s="74">
        <v>5431</v>
      </c>
    </row>
    <row r="640" spans="1:1" x14ac:dyDescent="0.25">
      <c r="A640" s="74">
        <v>5432</v>
      </c>
    </row>
    <row r="641" spans="1:1" x14ac:dyDescent="0.25">
      <c r="A641" s="74">
        <v>5433</v>
      </c>
    </row>
    <row r="642" spans="1:1" x14ac:dyDescent="0.25">
      <c r="A642" s="74">
        <v>5434</v>
      </c>
    </row>
    <row r="643" spans="1:1" x14ac:dyDescent="0.25">
      <c r="A643" s="74">
        <v>5435</v>
      </c>
    </row>
    <row r="644" spans="1:1" x14ac:dyDescent="0.25">
      <c r="A644" s="74">
        <v>5436</v>
      </c>
    </row>
    <row r="645" spans="1:1" x14ac:dyDescent="0.25">
      <c r="A645" s="74">
        <v>5437</v>
      </c>
    </row>
    <row r="646" spans="1:1" x14ac:dyDescent="0.25">
      <c r="A646" s="74">
        <v>5438</v>
      </c>
    </row>
    <row r="647" spans="1:1" x14ac:dyDescent="0.25">
      <c r="A647" s="74">
        <v>5439</v>
      </c>
    </row>
    <row r="648" spans="1:1" x14ac:dyDescent="0.25">
      <c r="A648" s="74">
        <v>5440</v>
      </c>
    </row>
    <row r="649" spans="1:1" x14ac:dyDescent="0.25">
      <c r="A649" s="74">
        <v>5441</v>
      </c>
    </row>
    <row r="650" spans="1:1" x14ac:dyDescent="0.25">
      <c r="A650" s="74">
        <v>5442</v>
      </c>
    </row>
    <row r="651" spans="1:1" x14ac:dyDescent="0.25">
      <c r="A651" s="74">
        <v>5443</v>
      </c>
    </row>
    <row r="652" spans="1:1" x14ac:dyDescent="0.25">
      <c r="A652" s="74">
        <v>5444</v>
      </c>
    </row>
    <row r="653" spans="1:1" x14ac:dyDescent="0.25">
      <c r="A653" s="74">
        <v>5445</v>
      </c>
    </row>
    <row r="654" spans="1:1" x14ac:dyDescent="0.25">
      <c r="A654" s="74">
        <v>5446</v>
      </c>
    </row>
    <row r="655" spans="1:1" x14ac:dyDescent="0.25">
      <c r="A655" s="74">
        <v>5447</v>
      </c>
    </row>
    <row r="656" spans="1:1" x14ac:dyDescent="0.25">
      <c r="A656" s="74">
        <v>5448</v>
      </c>
    </row>
    <row r="657" spans="1:2" x14ac:dyDescent="0.25">
      <c r="A657" s="74">
        <v>5449</v>
      </c>
    </row>
    <row r="658" spans="1:2" x14ac:dyDescent="0.25">
      <c r="A658" s="74">
        <v>5450</v>
      </c>
    </row>
    <row r="659" spans="1:2" x14ac:dyDescent="0.25">
      <c r="A659" s="74">
        <v>5451</v>
      </c>
    </row>
    <row r="660" spans="1:2" x14ac:dyDescent="0.25">
      <c r="A660" s="74">
        <v>5452</v>
      </c>
    </row>
    <row r="661" spans="1:2" x14ac:dyDescent="0.25">
      <c r="A661" s="74">
        <v>5453</v>
      </c>
    </row>
    <row r="662" spans="1:2" x14ac:dyDescent="0.25">
      <c r="A662" s="74">
        <v>5454</v>
      </c>
    </row>
    <row r="663" spans="1:2" x14ac:dyDescent="0.25">
      <c r="A663" s="74">
        <v>5455</v>
      </c>
    </row>
    <row r="664" spans="1:2" x14ac:dyDescent="0.25">
      <c r="A664" s="74">
        <v>5456</v>
      </c>
    </row>
    <row r="665" spans="1:2" x14ac:dyDescent="0.25">
      <c r="A665" s="74">
        <v>5457</v>
      </c>
      <c r="B665">
        <v>9.6300000000000008</v>
      </c>
    </row>
    <row r="666" spans="1:2" x14ac:dyDescent="0.25">
      <c r="A666" s="74">
        <v>5458</v>
      </c>
      <c r="B666">
        <v>8.2100000000000009</v>
      </c>
    </row>
    <row r="667" spans="1:2" x14ac:dyDescent="0.25">
      <c r="A667" s="74">
        <v>5459</v>
      </c>
      <c r="B667">
        <v>7.08</v>
      </c>
    </row>
    <row r="668" spans="1:2" x14ac:dyDescent="0.25">
      <c r="A668" s="74">
        <v>5460</v>
      </c>
      <c r="B668">
        <v>6.51</v>
      </c>
    </row>
    <row r="669" spans="1:2" x14ac:dyDescent="0.25">
      <c r="A669" s="74">
        <v>5461</v>
      </c>
      <c r="B669">
        <v>5.95</v>
      </c>
    </row>
    <row r="670" spans="1:2" x14ac:dyDescent="0.25">
      <c r="A670" s="74">
        <v>5462</v>
      </c>
      <c r="B670">
        <v>5.52</v>
      </c>
    </row>
    <row r="671" spans="1:2" x14ac:dyDescent="0.25">
      <c r="A671" s="74">
        <v>5463</v>
      </c>
      <c r="B671">
        <v>5.0999999999999996</v>
      </c>
    </row>
    <row r="672" spans="1:2" x14ac:dyDescent="0.25">
      <c r="A672" s="74">
        <v>5464</v>
      </c>
      <c r="B672">
        <v>4.67</v>
      </c>
    </row>
    <row r="673" spans="1:2" x14ac:dyDescent="0.25">
      <c r="A673" s="74">
        <v>5465</v>
      </c>
      <c r="B673">
        <v>4.67</v>
      </c>
    </row>
    <row r="674" spans="1:2" x14ac:dyDescent="0.25">
      <c r="A674" s="74">
        <v>5466</v>
      </c>
      <c r="B674">
        <v>5.0999999999999996</v>
      </c>
    </row>
    <row r="675" spans="1:2" x14ac:dyDescent="0.25">
      <c r="A675" s="74">
        <v>5467</v>
      </c>
      <c r="B675">
        <v>4.67</v>
      </c>
    </row>
    <row r="676" spans="1:2" x14ac:dyDescent="0.25">
      <c r="A676" s="74">
        <v>5468</v>
      </c>
      <c r="B676">
        <v>4.25</v>
      </c>
    </row>
    <row r="677" spans="1:2" x14ac:dyDescent="0.25">
      <c r="A677" s="74">
        <v>5469</v>
      </c>
      <c r="B677">
        <v>4.25</v>
      </c>
    </row>
    <row r="678" spans="1:2" x14ac:dyDescent="0.25">
      <c r="A678" s="74">
        <v>5470</v>
      </c>
      <c r="B678">
        <v>4.25</v>
      </c>
    </row>
    <row r="679" spans="1:2" x14ac:dyDescent="0.25">
      <c r="A679" s="74">
        <v>5471</v>
      </c>
      <c r="B679">
        <v>3.82</v>
      </c>
    </row>
    <row r="680" spans="1:2" x14ac:dyDescent="0.25">
      <c r="A680" s="74">
        <v>5472</v>
      </c>
      <c r="B680">
        <v>3.82</v>
      </c>
    </row>
    <row r="681" spans="1:2" x14ac:dyDescent="0.25">
      <c r="A681" s="74">
        <v>5473</v>
      </c>
      <c r="B681">
        <v>3.82</v>
      </c>
    </row>
    <row r="682" spans="1:2" x14ac:dyDescent="0.25">
      <c r="A682" s="74">
        <v>5474</v>
      </c>
      <c r="B682">
        <v>4.25</v>
      </c>
    </row>
    <row r="683" spans="1:2" x14ac:dyDescent="0.25">
      <c r="A683" s="74">
        <v>5475</v>
      </c>
      <c r="B683">
        <v>4.25</v>
      </c>
    </row>
    <row r="684" spans="1:2" x14ac:dyDescent="0.25">
      <c r="A684" s="74">
        <v>5476</v>
      </c>
      <c r="B684">
        <v>4.67</v>
      </c>
    </row>
    <row r="685" spans="1:2" x14ac:dyDescent="0.25">
      <c r="A685" s="74">
        <v>5477</v>
      </c>
      <c r="B685">
        <v>4.67</v>
      </c>
    </row>
    <row r="686" spans="1:2" x14ac:dyDescent="0.25">
      <c r="A686" s="74">
        <v>5478</v>
      </c>
      <c r="B686">
        <v>8.2100000000000009</v>
      </c>
    </row>
    <row r="687" spans="1:2" x14ac:dyDescent="0.25">
      <c r="A687" s="74">
        <v>5479</v>
      </c>
      <c r="B687">
        <v>9.6300000000000008</v>
      </c>
    </row>
    <row r="688" spans="1:2" x14ac:dyDescent="0.25">
      <c r="A688" s="74">
        <v>5480</v>
      </c>
      <c r="B688">
        <v>30.6</v>
      </c>
    </row>
    <row r="689" spans="1:2" x14ac:dyDescent="0.25">
      <c r="A689" s="74">
        <v>5481</v>
      </c>
      <c r="B689">
        <v>27.8</v>
      </c>
    </row>
    <row r="690" spans="1:2" x14ac:dyDescent="0.25">
      <c r="A690" s="74">
        <v>5482</v>
      </c>
      <c r="B690">
        <v>41.3</v>
      </c>
    </row>
    <row r="691" spans="1:2" x14ac:dyDescent="0.25">
      <c r="A691" s="74">
        <v>5483</v>
      </c>
      <c r="B691">
        <v>22.7</v>
      </c>
    </row>
    <row r="692" spans="1:2" x14ac:dyDescent="0.25">
      <c r="A692" s="74">
        <v>5484</v>
      </c>
      <c r="B692">
        <v>15</v>
      </c>
    </row>
    <row r="693" spans="1:2" x14ac:dyDescent="0.25">
      <c r="A693" s="74">
        <v>5485</v>
      </c>
      <c r="B693">
        <v>14.2</v>
      </c>
    </row>
    <row r="694" spans="1:2" x14ac:dyDescent="0.25">
      <c r="A694" s="74">
        <v>5486</v>
      </c>
      <c r="B694">
        <v>11.8</v>
      </c>
    </row>
    <row r="695" spans="1:2" x14ac:dyDescent="0.25">
      <c r="A695" s="74">
        <v>5487</v>
      </c>
      <c r="B695">
        <v>26.5</v>
      </c>
    </row>
    <row r="696" spans="1:2" x14ac:dyDescent="0.25">
      <c r="A696" s="74">
        <v>5488</v>
      </c>
      <c r="B696">
        <v>21.5</v>
      </c>
    </row>
    <row r="697" spans="1:2" x14ac:dyDescent="0.25">
      <c r="A697" s="74">
        <v>5489</v>
      </c>
      <c r="B697">
        <v>25.2</v>
      </c>
    </row>
    <row r="698" spans="1:2" x14ac:dyDescent="0.25">
      <c r="A698" s="74">
        <v>5490</v>
      </c>
      <c r="B698">
        <v>85.5</v>
      </c>
    </row>
    <row r="699" spans="1:2" x14ac:dyDescent="0.25">
      <c r="A699" s="74">
        <v>5491</v>
      </c>
      <c r="B699">
        <v>39.6</v>
      </c>
    </row>
    <row r="700" spans="1:2" x14ac:dyDescent="0.25">
      <c r="A700" s="74">
        <v>5492</v>
      </c>
      <c r="B700">
        <v>27.8</v>
      </c>
    </row>
    <row r="701" spans="1:2" x14ac:dyDescent="0.25">
      <c r="A701" s="74">
        <v>5493</v>
      </c>
      <c r="B701">
        <v>20.399999999999999</v>
      </c>
    </row>
    <row r="702" spans="1:2" x14ac:dyDescent="0.25">
      <c r="A702" s="74">
        <v>5494</v>
      </c>
      <c r="B702">
        <v>15</v>
      </c>
    </row>
    <row r="703" spans="1:2" x14ac:dyDescent="0.25">
      <c r="A703" s="74">
        <v>5495</v>
      </c>
      <c r="B703">
        <v>12.5</v>
      </c>
    </row>
    <row r="704" spans="1:2" x14ac:dyDescent="0.25">
      <c r="A704" s="74">
        <v>5496</v>
      </c>
      <c r="B704">
        <v>11</v>
      </c>
    </row>
    <row r="705" spans="1:2" x14ac:dyDescent="0.25">
      <c r="A705" s="74">
        <v>5497</v>
      </c>
      <c r="B705">
        <v>9.6300000000000008</v>
      </c>
    </row>
    <row r="706" spans="1:2" x14ac:dyDescent="0.25">
      <c r="A706" s="74">
        <v>5498</v>
      </c>
      <c r="B706">
        <v>9.6300000000000008</v>
      </c>
    </row>
    <row r="707" spans="1:2" x14ac:dyDescent="0.25">
      <c r="A707" s="74">
        <v>5499</v>
      </c>
      <c r="B707">
        <v>8.2100000000000009</v>
      </c>
    </row>
    <row r="708" spans="1:2" x14ac:dyDescent="0.25">
      <c r="A708" s="74">
        <v>5500</v>
      </c>
      <c r="B708">
        <v>7.08</v>
      </c>
    </row>
    <row r="709" spans="1:2" x14ac:dyDescent="0.25">
      <c r="A709" s="74">
        <v>5501</v>
      </c>
      <c r="B709">
        <v>6.51</v>
      </c>
    </row>
    <row r="710" spans="1:2" x14ac:dyDescent="0.25">
      <c r="A710" s="74">
        <v>5502</v>
      </c>
      <c r="B710">
        <v>6.51</v>
      </c>
    </row>
    <row r="711" spans="1:2" x14ac:dyDescent="0.25">
      <c r="A711" s="74">
        <v>5503</v>
      </c>
      <c r="B711">
        <v>5.95</v>
      </c>
    </row>
    <row r="712" spans="1:2" x14ac:dyDescent="0.25">
      <c r="A712" s="74">
        <v>5504</v>
      </c>
      <c r="B712">
        <v>5.95</v>
      </c>
    </row>
    <row r="713" spans="1:2" x14ac:dyDescent="0.25">
      <c r="A713" s="74">
        <v>5505</v>
      </c>
      <c r="B713">
        <v>5.95</v>
      </c>
    </row>
    <row r="714" spans="1:2" x14ac:dyDescent="0.25">
      <c r="A714" s="74">
        <v>5506</v>
      </c>
      <c r="B714">
        <v>5.0999999999999996</v>
      </c>
    </row>
    <row r="715" spans="1:2" x14ac:dyDescent="0.25">
      <c r="A715" s="74">
        <v>5507</v>
      </c>
      <c r="B715">
        <v>5.0999999999999996</v>
      </c>
    </row>
    <row r="716" spans="1:2" x14ac:dyDescent="0.25">
      <c r="A716" s="74">
        <v>5508</v>
      </c>
      <c r="B716">
        <v>4.67</v>
      </c>
    </row>
    <row r="717" spans="1:2" x14ac:dyDescent="0.25">
      <c r="A717" s="74">
        <v>5509</v>
      </c>
      <c r="B717">
        <v>4.67</v>
      </c>
    </row>
    <row r="718" spans="1:2" x14ac:dyDescent="0.25">
      <c r="A718" s="74">
        <v>5510</v>
      </c>
      <c r="B718">
        <v>5.0999999999999996</v>
      </c>
    </row>
    <row r="719" spans="1:2" x14ac:dyDescent="0.25">
      <c r="A719" s="74">
        <v>5511</v>
      </c>
      <c r="B719">
        <v>12.5</v>
      </c>
    </row>
    <row r="720" spans="1:2" x14ac:dyDescent="0.25">
      <c r="A720" s="74">
        <v>5512</v>
      </c>
      <c r="B720">
        <v>18.100000000000001</v>
      </c>
    </row>
    <row r="721" spans="1:2" x14ac:dyDescent="0.25">
      <c r="A721" s="74">
        <v>5513</v>
      </c>
      <c r="B721">
        <v>15</v>
      </c>
    </row>
    <row r="722" spans="1:2" x14ac:dyDescent="0.25">
      <c r="A722" s="74">
        <v>5514</v>
      </c>
      <c r="B722">
        <v>13.3</v>
      </c>
    </row>
    <row r="723" spans="1:2" x14ac:dyDescent="0.25">
      <c r="A723" s="74">
        <v>5515</v>
      </c>
      <c r="B723">
        <v>14.2</v>
      </c>
    </row>
    <row r="724" spans="1:2" x14ac:dyDescent="0.25">
      <c r="A724" s="74">
        <v>5516</v>
      </c>
      <c r="B724">
        <v>19.3</v>
      </c>
    </row>
    <row r="725" spans="1:2" x14ac:dyDescent="0.25">
      <c r="A725" s="74">
        <v>5517</v>
      </c>
      <c r="B725">
        <v>38.200000000000003</v>
      </c>
    </row>
    <row r="726" spans="1:2" x14ac:dyDescent="0.25">
      <c r="A726" s="74">
        <v>5518</v>
      </c>
      <c r="B726">
        <v>33.4</v>
      </c>
    </row>
    <row r="727" spans="1:2" x14ac:dyDescent="0.25">
      <c r="A727" s="74">
        <v>5519</v>
      </c>
      <c r="B727">
        <v>32</v>
      </c>
    </row>
    <row r="728" spans="1:2" x14ac:dyDescent="0.25">
      <c r="A728" s="74">
        <v>5520</v>
      </c>
      <c r="B728">
        <v>25.2</v>
      </c>
    </row>
    <row r="729" spans="1:2" x14ac:dyDescent="0.25">
      <c r="A729" s="74">
        <v>5521</v>
      </c>
      <c r="B729">
        <v>18.100000000000001</v>
      </c>
    </row>
    <row r="730" spans="1:2" x14ac:dyDescent="0.25">
      <c r="A730" s="74">
        <v>5522</v>
      </c>
      <c r="B730">
        <v>15.9</v>
      </c>
    </row>
    <row r="731" spans="1:2" x14ac:dyDescent="0.25">
      <c r="A731" s="74">
        <v>5523</v>
      </c>
      <c r="B731">
        <v>14.2</v>
      </c>
    </row>
    <row r="732" spans="1:2" x14ac:dyDescent="0.25">
      <c r="A732" s="74">
        <v>5524</v>
      </c>
      <c r="B732">
        <v>12.5</v>
      </c>
    </row>
    <row r="733" spans="1:2" x14ac:dyDescent="0.25">
      <c r="A733" s="74">
        <v>5525</v>
      </c>
      <c r="B733">
        <v>11.9</v>
      </c>
    </row>
    <row r="734" spans="1:2" x14ac:dyDescent="0.25">
      <c r="A734" s="74">
        <v>5526</v>
      </c>
      <c r="B734">
        <v>11.9</v>
      </c>
    </row>
    <row r="735" spans="1:2" x14ac:dyDescent="0.25">
      <c r="A735" s="74">
        <v>5527</v>
      </c>
      <c r="B735">
        <v>18.100000000000001</v>
      </c>
    </row>
    <row r="736" spans="1:2" x14ac:dyDescent="0.25">
      <c r="A736" s="74">
        <v>5528</v>
      </c>
      <c r="B736">
        <v>15.9</v>
      </c>
    </row>
    <row r="737" spans="1:2" x14ac:dyDescent="0.25">
      <c r="A737" s="74">
        <v>5529</v>
      </c>
      <c r="B737">
        <v>14.2</v>
      </c>
    </row>
    <row r="738" spans="1:2" x14ac:dyDescent="0.25">
      <c r="A738" s="74">
        <v>5530</v>
      </c>
      <c r="B738">
        <v>12.5</v>
      </c>
    </row>
    <row r="739" spans="1:2" x14ac:dyDescent="0.25">
      <c r="A739" s="74">
        <v>5531</v>
      </c>
      <c r="B739">
        <v>11.9</v>
      </c>
    </row>
    <row r="740" spans="1:2" x14ac:dyDescent="0.25">
      <c r="A740" s="74">
        <v>5532</v>
      </c>
      <c r="B740">
        <v>11</v>
      </c>
    </row>
    <row r="741" spans="1:2" x14ac:dyDescent="0.25">
      <c r="A741" s="74">
        <v>5533</v>
      </c>
      <c r="B741">
        <v>12.5</v>
      </c>
    </row>
    <row r="742" spans="1:2" x14ac:dyDescent="0.25">
      <c r="A742" s="74">
        <v>5534</v>
      </c>
      <c r="B742">
        <v>14.2</v>
      </c>
    </row>
    <row r="743" spans="1:2" x14ac:dyDescent="0.25">
      <c r="A743" s="74">
        <v>5535</v>
      </c>
      <c r="B743">
        <v>21.5</v>
      </c>
    </row>
    <row r="744" spans="1:2" x14ac:dyDescent="0.25">
      <c r="A744" s="74">
        <v>5536</v>
      </c>
      <c r="B744">
        <v>15.9</v>
      </c>
    </row>
    <row r="745" spans="1:2" x14ac:dyDescent="0.25">
      <c r="A745" s="74">
        <v>5537</v>
      </c>
      <c r="B745">
        <v>15.9</v>
      </c>
    </row>
    <row r="746" spans="1:2" x14ac:dyDescent="0.25">
      <c r="A746" s="74">
        <v>5538</v>
      </c>
      <c r="B746">
        <v>14.2</v>
      </c>
    </row>
    <row r="747" spans="1:2" x14ac:dyDescent="0.25">
      <c r="A747" s="74">
        <v>5539</v>
      </c>
      <c r="B747">
        <v>14.2</v>
      </c>
    </row>
    <row r="748" spans="1:2" x14ac:dyDescent="0.25">
      <c r="A748" s="74">
        <v>5540</v>
      </c>
      <c r="B748">
        <v>11</v>
      </c>
    </row>
    <row r="749" spans="1:2" x14ac:dyDescent="0.25">
      <c r="A749" s="74">
        <v>5541</v>
      </c>
      <c r="B749">
        <v>9.6300000000000008</v>
      </c>
    </row>
    <row r="750" spans="1:2" x14ac:dyDescent="0.25">
      <c r="A750" s="74">
        <v>5542</v>
      </c>
      <c r="B750">
        <v>11</v>
      </c>
    </row>
    <row r="751" spans="1:2" x14ac:dyDescent="0.25">
      <c r="A751" s="74">
        <v>5543</v>
      </c>
      <c r="B751">
        <v>9.6300000000000008</v>
      </c>
    </row>
    <row r="752" spans="1:2" x14ac:dyDescent="0.25">
      <c r="A752" s="74">
        <v>5544</v>
      </c>
      <c r="B752">
        <v>9.6300000000000008</v>
      </c>
    </row>
    <row r="753" spans="1:2" x14ac:dyDescent="0.25">
      <c r="A753" s="74">
        <v>5545</v>
      </c>
      <c r="B753">
        <v>9.06</v>
      </c>
    </row>
    <row r="754" spans="1:2" x14ac:dyDescent="0.25">
      <c r="A754" s="74">
        <v>5546</v>
      </c>
      <c r="B754">
        <v>9.06</v>
      </c>
    </row>
    <row r="755" spans="1:2" x14ac:dyDescent="0.25">
      <c r="A755" s="74">
        <v>5547</v>
      </c>
      <c r="B755">
        <v>8.2100000000000009</v>
      </c>
    </row>
    <row r="756" spans="1:2" x14ac:dyDescent="0.25">
      <c r="A756" s="74">
        <v>5548</v>
      </c>
      <c r="B756">
        <v>7.65</v>
      </c>
    </row>
    <row r="757" spans="1:2" x14ac:dyDescent="0.25">
      <c r="A757" s="74">
        <v>5549</v>
      </c>
      <c r="B757">
        <v>7.08</v>
      </c>
    </row>
    <row r="758" spans="1:2" x14ac:dyDescent="0.25">
      <c r="A758" s="74">
        <v>5550</v>
      </c>
      <c r="B758">
        <v>7.08</v>
      </c>
    </row>
    <row r="759" spans="1:2" x14ac:dyDescent="0.25">
      <c r="A759" s="74">
        <v>5551</v>
      </c>
      <c r="B759">
        <v>7.08</v>
      </c>
    </row>
    <row r="760" spans="1:2" x14ac:dyDescent="0.25">
      <c r="A760" s="74">
        <v>5552</v>
      </c>
      <c r="B760">
        <v>15.9</v>
      </c>
    </row>
    <row r="761" spans="1:2" x14ac:dyDescent="0.25">
      <c r="A761" s="74">
        <v>5553</v>
      </c>
      <c r="B761">
        <v>73.599999999999994</v>
      </c>
    </row>
    <row r="762" spans="1:2" x14ac:dyDescent="0.25">
      <c r="A762" s="74">
        <v>5554</v>
      </c>
      <c r="B762">
        <v>39.6</v>
      </c>
    </row>
    <row r="763" spans="1:2" x14ac:dyDescent="0.25">
      <c r="A763" s="74">
        <v>5555</v>
      </c>
      <c r="B763">
        <v>46.4</v>
      </c>
    </row>
    <row r="764" spans="1:2" x14ac:dyDescent="0.25">
      <c r="A764" s="74">
        <v>5556</v>
      </c>
      <c r="B764">
        <v>49.8</v>
      </c>
    </row>
    <row r="765" spans="1:2" x14ac:dyDescent="0.25">
      <c r="A765" s="74">
        <v>5557</v>
      </c>
      <c r="B765">
        <v>43</v>
      </c>
    </row>
    <row r="766" spans="1:2" x14ac:dyDescent="0.25">
      <c r="A766" s="74">
        <v>5558</v>
      </c>
      <c r="B766">
        <v>22.7</v>
      </c>
    </row>
    <row r="767" spans="1:2" x14ac:dyDescent="0.25">
      <c r="A767" s="74">
        <v>5559</v>
      </c>
      <c r="B767">
        <v>22.7</v>
      </c>
    </row>
    <row r="768" spans="1:2" x14ac:dyDescent="0.25">
      <c r="A768" s="74">
        <v>5560</v>
      </c>
      <c r="B768">
        <v>27.8</v>
      </c>
    </row>
    <row r="769" spans="1:2" x14ac:dyDescent="0.25">
      <c r="A769" s="74">
        <v>5561</v>
      </c>
      <c r="B769">
        <v>22.7</v>
      </c>
    </row>
    <row r="770" spans="1:2" x14ac:dyDescent="0.25">
      <c r="A770" s="74">
        <v>5562</v>
      </c>
      <c r="B770">
        <v>18.100000000000001</v>
      </c>
    </row>
    <row r="771" spans="1:2" x14ac:dyDescent="0.25">
      <c r="A771" s="74">
        <v>5563</v>
      </c>
      <c r="B771">
        <v>14.2</v>
      </c>
    </row>
    <row r="772" spans="1:2" x14ac:dyDescent="0.25">
      <c r="A772" s="74">
        <v>5564</v>
      </c>
      <c r="B772">
        <v>11.9</v>
      </c>
    </row>
    <row r="773" spans="1:2" x14ac:dyDescent="0.25">
      <c r="A773" s="74">
        <v>5565</v>
      </c>
      <c r="B773">
        <v>10.199999999999999</v>
      </c>
    </row>
    <row r="774" spans="1:2" x14ac:dyDescent="0.25">
      <c r="A774" s="74">
        <v>5566</v>
      </c>
      <c r="B774">
        <v>8.2100000000000009</v>
      </c>
    </row>
    <row r="775" spans="1:2" x14ac:dyDescent="0.25">
      <c r="A775" s="74">
        <v>5567</v>
      </c>
      <c r="B775">
        <v>8.2100000000000009</v>
      </c>
    </row>
    <row r="776" spans="1:2" x14ac:dyDescent="0.25">
      <c r="A776" s="74">
        <v>5568</v>
      </c>
      <c r="B776">
        <v>10.199999999999999</v>
      </c>
    </row>
    <row r="777" spans="1:2" x14ac:dyDescent="0.25">
      <c r="A777" s="74">
        <v>5569</v>
      </c>
      <c r="B777">
        <v>11</v>
      </c>
    </row>
    <row r="778" spans="1:2" x14ac:dyDescent="0.25">
      <c r="A778" s="74">
        <v>5570</v>
      </c>
      <c r="B778">
        <v>35.1</v>
      </c>
    </row>
    <row r="779" spans="1:2" x14ac:dyDescent="0.25">
      <c r="A779" s="74">
        <v>5571</v>
      </c>
      <c r="B779">
        <v>80.400000000000006</v>
      </c>
    </row>
    <row r="780" spans="1:2" x14ac:dyDescent="0.25">
      <c r="A780" s="74">
        <v>5572</v>
      </c>
      <c r="B780">
        <v>63.4</v>
      </c>
    </row>
    <row r="781" spans="1:2" x14ac:dyDescent="0.25">
      <c r="A781" s="74">
        <v>5573</v>
      </c>
      <c r="B781">
        <v>32</v>
      </c>
    </row>
    <row r="782" spans="1:2" x14ac:dyDescent="0.25">
      <c r="A782" s="74">
        <v>5574</v>
      </c>
      <c r="B782">
        <v>20.399999999999999</v>
      </c>
    </row>
    <row r="783" spans="1:2" x14ac:dyDescent="0.25">
      <c r="A783" s="74">
        <v>5575</v>
      </c>
      <c r="B783">
        <v>18.100000000000001</v>
      </c>
    </row>
    <row r="784" spans="1:2" x14ac:dyDescent="0.25">
      <c r="A784" s="74">
        <v>5576</v>
      </c>
      <c r="B784">
        <v>15.9</v>
      </c>
    </row>
    <row r="785" spans="1:2" x14ac:dyDescent="0.25">
      <c r="A785" s="74">
        <v>5577</v>
      </c>
      <c r="B785">
        <v>15.9</v>
      </c>
    </row>
    <row r="786" spans="1:2" x14ac:dyDescent="0.25">
      <c r="A786" s="74">
        <v>5578</v>
      </c>
      <c r="B786">
        <v>15.9</v>
      </c>
    </row>
    <row r="787" spans="1:2" x14ac:dyDescent="0.25">
      <c r="A787" s="74">
        <v>5579</v>
      </c>
      <c r="B787">
        <v>15.9</v>
      </c>
    </row>
    <row r="788" spans="1:2" x14ac:dyDescent="0.25">
      <c r="A788" s="74">
        <v>5580</v>
      </c>
      <c r="B788">
        <v>14.2</v>
      </c>
    </row>
    <row r="789" spans="1:2" x14ac:dyDescent="0.25">
      <c r="A789" s="74">
        <v>5581</v>
      </c>
      <c r="B789">
        <v>15.9</v>
      </c>
    </row>
    <row r="790" spans="1:2" x14ac:dyDescent="0.25">
      <c r="A790" s="74">
        <v>5582</v>
      </c>
      <c r="B790">
        <v>20.399999999999999</v>
      </c>
    </row>
    <row r="791" spans="1:2" x14ac:dyDescent="0.25">
      <c r="A791" s="74">
        <v>5583</v>
      </c>
      <c r="B791">
        <v>15.9</v>
      </c>
    </row>
    <row r="792" spans="1:2" x14ac:dyDescent="0.25">
      <c r="A792" s="74">
        <v>5584</v>
      </c>
      <c r="B792">
        <v>13.3</v>
      </c>
    </row>
    <row r="793" spans="1:2" x14ac:dyDescent="0.25">
      <c r="A793" s="74">
        <v>5585</v>
      </c>
      <c r="B793">
        <v>12.5</v>
      </c>
    </row>
    <row r="794" spans="1:2" x14ac:dyDescent="0.25">
      <c r="A794" s="74">
        <v>5586</v>
      </c>
      <c r="B794">
        <v>12.5</v>
      </c>
    </row>
    <row r="795" spans="1:2" x14ac:dyDescent="0.25">
      <c r="A795" s="74">
        <v>5587</v>
      </c>
      <c r="B795">
        <v>13.3</v>
      </c>
    </row>
    <row r="796" spans="1:2" x14ac:dyDescent="0.25">
      <c r="A796" s="74">
        <v>5588</v>
      </c>
      <c r="B796">
        <v>12.5</v>
      </c>
    </row>
    <row r="797" spans="1:2" x14ac:dyDescent="0.25">
      <c r="A797" s="74">
        <v>5589</v>
      </c>
      <c r="B797">
        <v>10.5</v>
      </c>
    </row>
    <row r="798" spans="1:2" x14ac:dyDescent="0.25">
      <c r="A798" s="74">
        <v>5590</v>
      </c>
      <c r="B798">
        <v>8.2100000000000009</v>
      </c>
    </row>
    <row r="799" spans="1:2" x14ac:dyDescent="0.25">
      <c r="A799" s="74">
        <v>5591</v>
      </c>
      <c r="B799">
        <v>7.08</v>
      </c>
    </row>
    <row r="800" spans="1:2" x14ac:dyDescent="0.25">
      <c r="A800" s="74">
        <v>5592</v>
      </c>
      <c r="B800">
        <v>7.08</v>
      </c>
    </row>
    <row r="801" spans="1:2" x14ac:dyDescent="0.25">
      <c r="A801" s="74">
        <v>5593</v>
      </c>
      <c r="B801">
        <v>6.51</v>
      </c>
    </row>
    <row r="802" spans="1:2" x14ac:dyDescent="0.25">
      <c r="A802" s="74">
        <v>5594</v>
      </c>
      <c r="B802">
        <v>5.0999999999999996</v>
      </c>
    </row>
    <row r="803" spans="1:2" x14ac:dyDescent="0.25">
      <c r="A803" s="74">
        <v>5595</v>
      </c>
      <c r="B803">
        <v>5.0999999999999996</v>
      </c>
    </row>
    <row r="804" spans="1:2" x14ac:dyDescent="0.25">
      <c r="A804" s="74">
        <v>5596</v>
      </c>
      <c r="B804">
        <v>4.67</v>
      </c>
    </row>
    <row r="805" spans="1:2" x14ac:dyDescent="0.25">
      <c r="A805" s="74">
        <v>5597</v>
      </c>
      <c r="B805">
        <v>5.0999999999999996</v>
      </c>
    </row>
    <row r="806" spans="1:2" x14ac:dyDescent="0.25">
      <c r="A806" s="74">
        <v>5598</v>
      </c>
      <c r="B806">
        <v>5.0999999999999996</v>
      </c>
    </row>
    <row r="807" spans="1:2" x14ac:dyDescent="0.25">
      <c r="A807" s="74">
        <v>5599</v>
      </c>
      <c r="B807">
        <v>5.0999999999999996</v>
      </c>
    </row>
    <row r="808" spans="1:2" x14ac:dyDescent="0.25">
      <c r="A808" s="74">
        <v>5600</v>
      </c>
      <c r="B808">
        <v>4.67</v>
      </c>
    </row>
    <row r="809" spans="1:2" x14ac:dyDescent="0.25">
      <c r="A809" s="74">
        <v>5601</v>
      </c>
      <c r="B809">
        <v>4.25</v>
      </c>
    </row>
    <row r="810" spans="1:2" x14ac:dyDescent="0.25">
      <c r="A810" s="74">
        <v>5602</v>
      </c>
      <c r="B810">
        <v>4.25</v>
      </c>
    </row>
    <row r="811" spans="1:2" x14ac:dyDescent="0.25">
      <c r="A811" s="74">
        <v>5603</v>
      </c>
      <c r="B811">
        <v>4.25</v>
      </c>
    </row>
    <row r="812" spans="1:2" x14ac:dyDescent="0.25">
      <c r="A812" s="74">
        <v>5604</v>
      </c>
      <c r="B812">
        <v>5.0999999999999996</v>
      </c>
    </row>
    <row r="813" spans="1:2" x14ac:dyDescent="0.25">
      <c r="A813" s="74">
        <v>5605</v>
      </c>
      <c r="B813">
        <v>7.08</v>
      </c>
    </row>
    <row r="814" spans="1:2" x14ac:dyDescent="0.25">
      <c r="A814" s="74">
        <v>5606</v>
      </c>
      <c r="B814">
        <v>7.08</v>
      </c>
    </row>
    <row r="815" spans="1:2" x14ac:dyDescent="0.25">
      <c r="A815" s="74">
        <v>5607</v>
      </c>
      <c r="B815">
        <v>8.2100000000000009</v>
      </c>
    </row>
    <row r="816" spans="1:2" x14ac:dyDescent="0.25">
      <c r="A816" s="74">
        <v>5608</v>
      </c>
      <c r="B816">
        <v>8.2100000000000009</v>
      </c>
    </row>
    <row r="817" spans="1:2" x14ac:dyDescent="0.25">
      <c r="A817" s="74">
        <v>5609</v>
      </c>
      <c r="B817">
        <v>9.6300000000000008</v>
      </c>
    </row>
    <row r="818" spans="1:2" x14ac:dyDescent="0.25">
      <c r="A818" s="74">
        <v>5610</v>
      </c>
      <c r="B818">
        <v>10.3</v>
      </c>
    </row>
    <row r="819" spans="1:2" x14ac:dyDescent="0.25">
      <c r="A819" s="74">
        <v>5611</v>
      </c>
      <c r="B819">
        <v>8.92</v>
      </c>
    </row>
    <row r="820" spans="1:2" x14ac:dyDescent="0.25">
      <c r="A820" s="74">
        <v>5612</v>
      </c>
      <c r="B820">
        <v>8.2100000000000009</v>
      </c>
    </row>
    <row r="821" spans="1:2" x14ac:dyDescent="0.25">
      <c r="A821" s="74">
        <v>5613</v>
      </c>
      <c r="B821">
        <v>7.65</v>
      </c>
    </row>
    <row r="822" spans="1:2" x14ac:dyDescent="0.25">
      <c r="A822" s="74">
        <v>5614</v>
      </c>
      <c r="B822">
        <v>7.08</v>
      </c>
    </row>
    <row r="823" spans="1:2" x14ac:dyDescent="0.25">
      <c r="A823" s="74">
        <v>5615</v>
      </c>
      <c r="B823">
        <v>5.95</v>
      </c>
    </row>
    <row r="824" spans="1:2" x14ac:dyDescent="0.25">
      <c r="A824" s="74">
        <v>5616</v>
      </c>
      <c r="B824">
        <v>7.08</v>
      </c>
    </row>
    <row r="825" spans="1:2" x14ac:dyDescent="0.25">
      <c r="A825" s="74">
        <v>5617</v>
      </c>
      <c r="B825">
        <v>7.08</v>
      </c>
    </row>
    <row r="826" spans="1:2" x14ac:dyDescent="0.25">
      <c r="A826" s="74">
        <v>5618</v>
      </c>
      <c r="B826">
        <v>7.08</v>
      </c>
    </row>
    <row r="827" spans="1:2" x14ac:dyDescent="0.25">
      <c r="A827" s="74">
        <v>5619</v>
      </c>
      <c r="B827">
        <v>7.08</v>
      </c>
    </row>
    <row r="828" spans="1:2" x14ac:dyDescent="0.25">
      <c r="A828" s="74">
        <v>5620</v>
      </c>
      <c r="B828">
        <v>5.95</v>
      </c>
    </row>
    <row r="829" spans="1:2" x14ac:dyDescent="0.25">
      <c r="A829" s="74">
        <v>5621</v>
      </c>
      <c r="B829">
        <v>5.95</v>
      </c>
    </row>
    <row r="830" spans="1:2" x14ac:dyDescent="0.25">
      <c r="A830" s="74">
        <v>5622</v>
      </c>
      <c r="B830">
        <v>5.52</v>
      </c>
    </row>
    <row r="831" spans="1:2" x14ac:dyDescent="0.25">
      <c r="A831" s="74">
        <v>5623</v>
      </c>
      <c r="B831">
        <v>5.0999999999999996</v>
      </c>
    </row>
    <row r="832" spans="1:2" x14ac:dyDescent="0.25">
      <c r="A832" s="74">
        <v>5624</v>
      </c>
      <c r="B832">
        <v>5.95</v>
      </c>
    </row>
    <row r="833" spans="1:2" x14ac:dyDescent="0.25">
      <c r="A833" s="74">
        <v>5625</v>
      </c>
      <c r="B833">
        <v>5.95</v>
      </c>
    </row>
    <row r="834" spans="1:2" x14ac:dyDescent="0.25">
      <c r="A834" s="74">
        <v>5626</v>
      </c>
      <c r="B834">
        <v>8.2100000000000009</v>
      </c>
    </row>
    <row r="835" spans="1:2" x14ac:dyDescent="0.25">
      <c r="A835" s="74">
        <v>5627</v>
      </c>
      <c r="B835">
        <v>5.95</v>
      </c>
    </row>
    <row r="836" spans="1:2" x14ac:dyDescent="0.25">
      <c r="A836" s="74">
        <v>5628</v>
      </c>
      <c r="B836">
        <v>5.0999999999999996</v>
      </c>
    </row>
    <row r="837" spans="1:2" x14ac:dyDescent="0.25">
      <c r="A837" s="74">
        <v>5629</v>
      </c>
      <c r="B837">
        <v>4.67</v>
      </c>
    </row>
    <row r="838" spans="1:2" x14ac:dyDescent="0.25">
      <c r="A838" s="74">
        <v>5630</v>
      </c>
      <c r="B838">
        <v>4.25</v>
      </c>
    </row>
    <row r="839" spans="1:2" x14ac:dyDescent="0.25">
      <c r="A839" s="74">
        <v>5631</v>
      </c>
      <c r="B839">
        <v>4.25</v>
      </c>
    </row>
    <row r="840" spans="1:2" x14ac:dyDescent="0.25">
      <c r="A840" s="74">
        <v>5632</v>
      </c>
      <c r="B840">
        <v>3.82</v>
      </c>
    </row>
    <row r="841" spans="1:2" x14ac:dyDescent="0.25">
      <c r="A841" s="74">
        <v>5633</v>
      </c>
      <c r="B841">
        <v>3.82</v>
      </c>
    </row>
    <row r="842" spans="1:2" x14ac:dyDescent="0.25">
      <c r="A842" s="74">
        <v>5634</v>
      </c>
      <c r="B842">
        <v>3.82</v>
      </c>
    </row>
    <row r="843" spans="1:2" x14ac:dyDescent="0.25">
      <c r="A843" s="74">
        <v>5635</v>
      </c>
      <c r="B843">
        <v>4.67</v>
      </c>
    </row>
    <row r="844" spans="1:2" x14ac:dyDescent="0.25">
      <c r="A844" s="74">
        <v>5636</v>
      </c>
      <c r="B844">
        <v>4.25</v>
      </c>
    </row>
    <row r="845" spans="1:2" x14ac:dyDescent="0.25">
      <c r="A845" s="74">
        <v>5637</v>
      </c>
      <c r="B845">
        <v>3.4</v>
      </c>
    </row>
    <row r="846" spans="1:2" x14ac:dyDescent="0.25">
      <c r="A846" s="74">
        <v>5638</v>
      </c>
      <c r="B846">
        <v>3.4</v>
      </c>
    </row>
    <row r="847" spans="1:2" x14ac:dyDescent="0.25">
      <c r="A847" s="74">
        <v>5639</v>
      </c>
      <c r="B847">
        <v>3.4</v>
      </c>
    </row>
    <row r="848" spans="1:2" x14ac:dyDescent="0.25">
      <c r="A848" s="74">
        <v>5640</v>
      </c>
      <c r="B848">
        <v>2.97</v>
      </c>
    </row>
    <row r="849" spans="1:2" x14ac:dyDescent="0.25">
      <c r="A849" s="74">
        <v>5641</v>
      </c>
      <c r="B849">
        <v>3.4</v>
      </c>
    </row>
    <row r="850" spans="1:2" x14ac:dyDescent="0.25">
      <c r="A850" s="74">
        <v>5642</v>
      </c>
      <c r="B850">
        <v>3.4</v>
      </c>
    </row>
    <row r="851" spans="1:2" x14ac:dyDescent="0.25">
      <c r="A851" s="74">
        <v>5643</v>
      </c>
      <c r="B851">
        <v>3.4</v>
      </c>
    </row>
    <row r="852" spans="1:2" x14ac:dyDescent="0.25">
      <c r="A852" s="74">
        <v>5644</v>
      </c>
      <c r="B852">
        <v>2.97</v>
      </c>
    </row>
    <row r="853" spans="1:2" x14ac:dyDescent="0.25">
      <c r="A853" s="74">
        <v>5645</v>
      </c>
      <c r="B853">
        <v>2.97</v>
      </c>
    </row>
    <row r="854" spans="1:2" x14ac:dyDescent="0.25">
      <c r="A854" s="74">
        <v>5646</v>
      </c>
      <c r="B854">
        <v>2.97</v>
      </c>
    </row>
    <row r="855" spans="1:2" x14ac:dyDescent="0.25">
      <c r="A855" s="74">
        <v>5647</v>
      </c>
      <c r="B855">
        <v>2.97</v>
      </c>
    </row>
    <row r="856" spans="1:2" x14ac:dyDescent="0.25">
      <c r="A856" s="74">
        <v>5648</v>
      </c>
      <c r="B856">
        <v>2.97</v>
      </c>
    </row>
    <row r="857" spans="1:2" x14ac:dyDescent="0.25">
      <c r="A857" s="74">
        <v>5649</v>
      </c>
      <c r="B857">
        <v>2.97</v>
      </c>
    </row>
    <row r="858" spans="1:2" x14ac:dyDescent="0.25">
      <c r="A858" s="74">
        <v>5650</v>
      </c>
      <c r="B858">
        <v>2.97</v>
      </c>
    </row>
    <row r="859" spans="1:2" x14ac:dyDescent="0.25">
      <c r="A859" s="74">
        <v>5651</v>
      </c>
      <c r="B859">
        <v>2.5499999999999998</v>
      </c>
    </row>
    <row r="860" spans="1:2" x14ac:dyDescent="0.25">
      <c r="A860" s="74">
        <v>5652</v>
      </c>
      <c r="B860">
        <v>2.5499999999999998</v>
      </c>
    </row>
    <row r="861" spans="1:2" x14ac:dyDescent="0.25">
      <c r="A861" s="74">
        <v>5653</v>
      </c>
      <c r="B861">
        <v>2.5499999999999998</v>
      </c>
    </row>
    <row r="862" spans="1:2" x14ac:dyDescent="0.25">
      <c r="A862" s="74">
        <v>5654</v>
      </c>
      <c r="B862">
        <v>2.5499999999999998</v>
      </c>
    </row>
    <row r="863" spans="1:2" x14ac:dyDescent="0.25">
      <c r="A863" s="74">
        <v>5655</v>
      </c>
      <c r="B863">
        <v>2.5499999999999998</v>
      </c>
    </row>
    <row r="864" spans="1:2" x14ac:dyDescent="0.25">
      <c r="A864" s="74">
        <v>5656</v>
      </c>
      <c r="B864">
        <v>2.21</v>
      </c>
    </row>
    <row r="865" spans="1:2" x14ac:dyDescent="0.25">
      <c r="A865" s="74">
        <v>5657</v>
      </c>
      <c r="B865">
        <v>1.84</v>
      </c>
    </row>
    <row r="866" spans="1:2" x14ac:dyDescent="0.25">
      <c r="A866" s="74">
        <v>5658</v>
      </c>
      <c r="B866">
        <v>1.84</v>
      </c>
    </row>
    <row r="867" spans="1:2" x14ac:dyDescent="0.25">
      <c r="A867" s="74">
        <v>5659</v>
      </c>
      <c r="B867">
        <v>1.84</v>
      </c>
    </row>
    <row r="868" spans="1:2" x14ac:dyDescent="0.25">
      <c r="A868" s="74">
        <v>5660</v>
      </c>
      <c r="B868">
        <v>1.84</v>
      </c>
    </row>
    <row r="869" spans="1:2" x14ac:dyDescent="0.25">
      <c r="A869" s="74">
        <v>5661</v>
      </c>
      <c r="B869">
        <v>1.84</v>
      </c>
    </row>
    <row r="870" spans="1:2" x14ac:dyDescent="0.25">
      <c r="A870" s="74">
        <v>5662</v>
      </c>
      <c r="B870">
        <v>1.84</v>
      </c>
    </row>
    <row r="871" spans="1:2" x14ac:dyDescent="0.25">
      <c r="A871" s="74">
        <v>5663</v>
      </c>
      <c r="B871">
        <v>1.84</v>
      </c>
    </row>
    <row r="872" spans="1:2" x14ac:dyDescent="0.25">
      <c r="A872" s="74">
        <v>5664</v>
      </c>
      <c r="B872">
        <v>1.84</v>
      </c>
    </row>
    <row r="873" spans="1:2" x14ac:dyDescent="0.25">
      <c r="A873" s="74">
        <v>5665</v>
      </c>
      <c r="B873">
        <v>1.56</v>
      </c>
    </row>
    <row r="874" spans="1:2" x14ac:dyDescent="0.25">
      <c r="A874" s="74">
        <v>5666</v>
      </c>
      <c r="B874">
        <v>1.56</v>
      </c>
    </row>
    <row r="875" spans="1:2" x14ac:dyDescent="0.25">
      <c r="A875" s="74">
        <v>5667</v>
      </c>
      <c r="B875">
        <v>1.56</v>
      </c>
    </row>
    <row r="876" spans="1:2" x14ac:dyDescent="0.25">
      <c r="A876" s="74">
        <v>5668</v>
      </c>
      <c r="B876">
        <v>1.56</v>
      </c>
    </row>
    <row r="877" spans="1:2" x14ac:dyDescent="0.25">
      <c r="A877" s="74">
        <v>5669</v>
      </c>
      <c r="B877">
        <v>1.56</v>
      </c>
    </row>
    <row r="878" spans="1:2" x14ac:dyDescent="0.25">
      <c r="A878" s="74">
        <v>5670</v>
      </c>
      <c r="B878">
        <v>1.27</v>
      </c>
    </row>
    <row r="879" spans="1:2" x14ac:dyDescent="0.25">
      <c r="A879" s="74">
        <v>5671</v>
      </c>
      <c r="B879">
        <v>1.27</v>
      </c>
    </row>
    <row r="880" spans="1:2" x14ac:dyDescent="0.25">
      <c r="A880" s="74">
        <v>5672</v>
      </c>
      <c r="B880">
        <v>1.27</v>
      </c>
    </row>
    <row r="881" spans="1:2" x14ac:dyDescent="0.25">
      <c r="A881" s="74">
        <v>5673</v>
      </c>
      <c r="B881">
        <v>1.27</v>
      </c>
    </row>
    <row r="882" spans="1:2" x14ac:dyDescent="0.25">
      <c r="A882" s="74">
        <v>5674</v>
      </c>
      <c r="B882">
        <v>1.05</v>
      </c>
    </row>
    <row r="883" spans="1:2" x14ac:dyDescent="0.25">
      <c r="A883" s="74">
        <v>5675</v>
      </c>
      <c r="B883">
        <v>1.05</v>
      </c>
    </row>
    <row r="884" spans="1:2" x14ac:dyDescent="0.25">
      <c r="A884" s="74">
        <v>5676</v>
      </c>
      <c r="B884">
        <v>1.27</v>
      </c>
    </row>
    <row r="885" spans="1:2" x14ac:dyDescent="0.25">
      <c r="A885" s="74">
        <v>5677</v>
      </c>
      <c r="B885">
        <v>1.27</v>
      </c>
    </row>
    <row r="886" spans="1:2" x14ac:dyDescent="0.25">
      <c r="A886" s="74">
        <v>5678</v>
      </c>
      <c r="B886">
        <v>1.05</v>
      </c>
    </row>
    <row r="887" spans="1:2" x14ac:dyDescent="0.25">
      <c r="A887" s="74">
        <v>5679</v>
      </c>
      <c r="B887">
        <v>1.05</v>
      </c>
    </row>
    <row r="888" spans="1:2" x14ac:dyDescent="0.25">
      <c r="A888" s="74">
        <v>5680</v>
      </c>
      <c r="B888">
        <v>1.05</v>
      </c>
    </row>
    <row r="889" spans="1:2" x14ac:dyDescent="0.25">
      <c r="A889" s="74">
        <v>5681</v>
      </c>
      <c r="B889">
        <v>1.05</v>
      </c>
    </row>
    <row r="890" spans="1:2" x14ac:dyDescent="0.25">
      <c r="A890" s="74">
        <v>5682</v>
      </c>
      <c r="B890">
        <v>1.05</v>
      </c>
    </row>
    <row r="891" spans="1:2" x14ac:dyDescent="0.25">
      <c r="A891" s="74">
        <v>5683</v>
      </c>
      <c r="B891">
        <v>1.05</v>
      </c>
    </row>
    <row r="892" spans="1:2" x14ac:dyDescent="0.25">
      <c r="A892" s="74">
        <v>5684</v>
      </c>
      <c r="B892">
        <v>1.05</v>
      </c>
    </row>
    <row r="893" spans="1:2" x14ac:dyDescent="0.25">
      <c r="A893" s="74">
        <v>5685</v>
      </c>
      <c r="B893">
        <v>1.05</v>
      </c>
    </row>
    <row r="894" spans="1:2" x14ac:dyDescent="0.25">
      <c r="A894" s="74">
        <v>5686</v>
      </c>
      <c r="B894">
        <v>1.05</v>
      </c>
    </row>
    <row r="895" spans="1:2" x14ac:dyDescent="0.25">
      <c r="A895" s="74">
        <v>5687</v>
      </c>
      <c r="B895">
        <v>0.85</v>
      </c>
    </row>
    <row r="896" spans="1:2" x14ac:dyDescent="0.25">
      <c r="A896" s="74">
        <v>5688</v>
      </c>
      <c r="B896">
        <v>0.85</v>
      </c>
    </row>
    <row r="897" spans="1:2" x14ac:dyDescent="0.25">
      <c r="A897" s="74">
        <v>5689</v>
      </c>
      <c r="B897">
        <v>0.85</v>
      </c>
    </row>
    <row r="898" spans="1:2" x14ac:dyDescent="0.25">
      <c r="A898" s="74">
        <v>5690</v>
      </c>
      <c r="B898">
        <v>0.85</v>
      </c>
    </row>
    <row r="899" spans="1:2" x14ac:dyDescent="0.25">
      <c r="A899" s="74">
        <v>5691</v>
      </c>
      <c r="B899">
        <v>0.85</v>
      </c>
    </row>
    <row r="900" spans="1:2" x14ac:dyDescent="0.25">
      <c r="A900" s="74">
        <v>5692</v>
      </c>
      <c r="B900">
        <v>0.85</v>
      </c>
    </row>
    <row r="901" spans="1:2" x14ac:dyDescent="0.25">
      <c r="A901" s="74">
        <v>5693</v>
      </c>
      <c r="B901">
        <v>0.85</v>
      </c>
    </row>
    <row r="902" spans="1:2" x14ac:dyDescent="0.25">
      <c r="A902" s="74">
        <v>5694</v>
      </c>
      <c r="B902">
        <v>0.85</v>
      </c>
    </row>
    <row r="903" spans="1:2" x14ac:dyDescent="0.25">
      <c r="A903" s="74">
        <v>5695</v>
      </c>
      <c r="B903">
        <v>0.85</v>
      </c>
    </row>
    <row r="904" spans="1:2" x14ac:dyDescent="0.25">
      <c r="A904" s="74">
        <v>5696</v>
      </c>
      <c r="B904">
        <v>0.85</v>
      </c>
    </row>
    <row r="905" spans="1:2" x14ac:dyDescent="0.25">
      <c r="A905" s="74">
        <v>5697</v>
      </c>
      <c r="B905">
        <v>0.85</v>
      </c>
    </row>
    <row r="906" spans="1:2" x14ac:dyDescent="0.25">
      <c r="A906" s="74">
        <v>5698</v>
      </c>
      <c r="B906">
        <v>0.85</v>
      </c>
    </row>
    <row r="907" spans="1:2" x14ac:dyDescent="0.25">
      <c r="A907" s="74">
        <v>5699</v>
      </c>
      <c r="B907">
        <v>0.85</v>
      </c>
    </row>
    <row r="908" spans="1:2" x14ac:dyDescent="0.25">
      <c r="A908" s="74">
        <v>5700</v>
      </c>
      <c r="B908">
        <v>0.85</v>
      </c>
    </row>
    <row r="909" spans="1:2" x14ac:dyDescent="0.25">
      <c r="A909" s="74">
        <v>5701</v>
      </c>
      <c r="B909">
        <v>0.85</v>
      </c>
    </row>
    <row r="910" spans="1:2" x14ac:dyDescent="0.25">
      <c r="A910" s="74">
        <v>5702</v>
      </c>
      <c r="B910">
        <v>0.85</v>
      </c>
    </row>
    <row r="911" spans="1:2" x14ac:dyDescent="0.25">
      <c r="A911" s="74">
        <v>5703</v>
      </c>
      <c r="B911">
        <v>0.85</v>
      </c>
    </row>
    <row r="912" spans="1:2" x14ac:dyDescent="0.25">
      <c r="A912" s="74">
        <v>5704</v>
      </c>
      <c r="B912">
        <v>0.85</v>
      </c>
    </row>
    <row r="913" spans="1:2" x14ac:dyDescent="0.25">
      <c r="A913" s="74">
        <v>5705</v>
      </c>
      <c r="B913">
        <v>0.85</v>
      </c>
    </row>
    <row r="914" spans="1:2" x14ac:dyDescent="0.25">
      <c r="A914" s="74">
        <v>5706</v>
      </c>
      <c r="B914">
        <v>0.85</v>
      </c>
    </row>
    <row r="915" spans="1:2" x14ac:dyDescent="0.25">
      <c r="A915" s="74">
        <v>5707</v>
      </c>
      <c r="B915">
        <v>0.85</v>
      </c>
    </row>
    <row r="916" spans="1:2" x14ac:dyDescent="0.25">
      <c r="A916" s="74">
        <v>5708</v>
      </c>
      <c r="B916">
        <v>0.70799999999999996</v>
      </c>
    </row>
    <row r="917" spans="1:2" x14ac:dyDescent="0.25">
      <c r="A917" s="74">
        <v>5709</v>
      </c>
      <c r="B917">
        <v>0.70799999999999996</v>
      </c>
    </row>
    <row r="918" spans="1:2" x14ac:dyDescent="0.25">
      <c r="A918" s="74">
        <v>5710</v>
      </c>
      <c r="B918">
        <v>0.70799999999999996</v>
      </c>
    </row>
    <row r="919" spans="1:2" x14ac:dyDescent="0.25">
      <c r="A919" s="74">
        <v>5711</v>
      </c>
      <c r="B919">
        <v>0.70799999999999996</v>
      </c>
    </row>
    <row r="920" spans="1:2" x14ac:dyDescent="0.25">
      <c r="A920" s="74">
        <v>5712</v>
      </c>
      <c r="B920">
        <v>0.70799999999999996</v>
      </c>
    </row>
    <row r="921" spans="1:2" x14ac:dyDescent="0.25">
      <c r="A921" s="74">
        <v>5713</v>
      </c>
      <c r="B921">
        <v>0.70799999999999996</v>
      </c>
    </row>
    <row r="922" spans="1:2" x14ac:dyDescent="0.25">
      <c r="A922" s="74">
        <v>5714</v>
      </c>
      <c r="B922">
        <v>0.70799999999999996</v>
      </c>
    </row>
    <row r="923" spans="1:2" x14ac:dyDescent="0.25">
      <c r="A923" s="74">
        <v>5715</v>
      </c>
      <c r="B923">
        <v>0.70799999999999996</v>
      </c>
    </row>
    <row r="924" spans="1:2" x14ac:dyDescent="0.25">
      <c r="A924" s="74">
        <v>5716</v>
      </c>
      <c r="B924">
        <v>0.70799999999999996</v>
      </c>
    </row>
    <row r="925" spans="1:2" x14ac:dyDescent="0.25">
      <c r="A925" s="74">
        <v>5717</v>
      </c>
      <c r="B925">
        <v>0.70799999999999996</v>
      </c>
    </row>
    <row r="926" spans="1:2" x14ac:dyDescent="0.25">
      <c r="A926" s="74">
        <v>5718</v>
      </c>
      <c r="B926">
        <v>0.70799999999999996</v>
      </c>
    </row>
    <row r="927" spans="1:2" x14ac:dyDescent="0.25">
      <c r="A927" s="74">
        <v>5719</v>
      </c>
      <c r="B927">
        <v>0.70799999999999996</v>
      </c>
    </row>
    <row r="928" spans="1:2" x14ac:dyDescent="0.25">
      <c r="A928" s="74">
        <v>5720</v>
      </c>
      <c r="B928">
        <v>0.70799999999999996</v>
      </c>
    </row>
    <row r="929" spans="1:3" x14ac:dyDescent="0.25">
      <c r="A929" s="74">
        <v>5721</v>
      </c>
      <c r="B929">
        <v>0.70799999999999996</v>
      </c>
    </row>
    <row r="930" spans="1:3" x14ac:dyDescent="0.25">
      <c r="A930" s="74">
        <v>5722</v>
      </c>
      <c r="B930">
        <v>0.70799999999999996</v>
      </c>
    </row>
    <row r="931" spans="1:3" x14ac:dyDescent="0.25">
      <c r="A931" s="74">
        <v>5723</v>
      </c>
      <c r="B931">
        <v>0.70799999999999996</v>
      </c>
    </row>
    <row r="932" spans="1:3" x14ac:dyDescent="0.25">
      <c r="A932" s="74">
        <v>5724</v>
      </c>
      <c r="B932">
        <v>0.70799999999999996</v>
      </c>
    </row>
    <row r="933" spans="1:3" x14ac:dyDescent="0.25">
      <c r="A933" s="74">
        <v>5725</v>
      </c>
      <c r="B933">
        <v>0.70799999999999996</v>
      </c>
    </row>
    <row r="934" spans="1:3" x14ac:dyDescent="0.25">
      <c r="A934" s="74">
        <v>5726</v>
      </c>
      <c r="B934">
        <v>0.70799999999999996</v>
      </c>
    </row>
    <row r="935" spans="1:3" x14ac:dyDescent="0.25">
      <c r="A935" s="74">
        <v>5727</v>
      </c>
      <c r="B935">
        <v>0.70799999999999996</v>
      </c>
    </row>
    <row r="936" spans="1:3" x14ac:dyDescent="0.25">
      <c r="A936" s="74">
        <v>5728</v>
      </c>
      <c r="B936">
        <v>0.70799999999999996</v>
      </c>
    </row>
    <row r="937" spans="1:3" x14ac:dyDescent="0.25">
      <c r="A937" s="74">
        <v>5729</v>
      </c>
      <c r="B937">
        <v>0.70799999999999996</v>
      </c>
    </row>
    <row r="938" spans="1:3" x14ac:dyDescent="0.25">
      <c r="A938" s="74">
        <v>5730</v>
      </c>
      <c r="B938">
        <v>0.70799999999999996</v>
      </c>
    </row>
    <row r="939" spans="1:3" x14ac:dyDescent="0.25">
      <c r="A939" s="74">
        <v>5731</v>
      </c>
      <c r="B939">
        <v>0.70799999999999996</v>
      </c>
    </row>
    <row r="940" spans="1:3" x14ac:dyDescent="0.25">
      <c r="A940" s="74">
        <v>5732</v>
      </c>
      <c r="B940">
        <v>0.70799999999999996</v>
      </c>
      <c r="C940" t="s">
        <v>141</v>
      </c>
    </row>
    <row r="941" spans="1:3" x14ac:dyDescent="0.25">
      <c r="A941" s="74">
        <v>5733</v>
      </c>
      <c r="B941">
        <v>0.68</v>
      </c>
      <c r="C941" t="s">
        <v>141</v>
      </c>
    </row>
    <row r="942" spans="1:3" x14ac:dyDescent="0.25">
      <c r="A942" s="74">
        <v>5734</v>
      </c>
      <c r="B942">
        <v>0.68</v>
      </c>
      <c r="C942" t="s">
        <v>141</v>
      </c>
    </row>
    <row r="943" spans="1:3" x14ac:dyDescent="0.25">
      <c r="A943" s="74">
        <v>5735</v>
      </c>
      <c r="B943">
        <v>0.68</v>
      </c>
      <c r="C943" t="s">
        <v>141</v>
      </c>
    </row>
    <row r="944" spans="1:3" x14ac:dyDescent="0.25">
      <c r="A944" s="74">
        <v>5736</v>
      </c>
      <c r="B944">
        <v>0.68</v>
      </c>
      <c r="C944" t="s">
        <v>141</v>
      </c>
    </row>
    <row r="945" spans="1:3" x14ac:dyDescent="0.25">
      <c r="A945" s="74">
        <v>5737</v>
      </c>
      <c r="B945">
        <v>0.68</v>
      </c>
      <c r="C945" t="s">
        <v>141</v>
      </c>
    </row>
    <row r="946" spans="1:3" x14ac:dyDescent="0.25">
      <c r="A946" s="74">
        <v>5738</v>
      </c>
      <c r="B946">
        <v>0.68</v>
      </c>
      <c r="C946" t="s">
        <v>141</v>
      </c>
    </row>
    <row r="947" spans="1:3" x14ac:dyDescent="0.25">
      <c r="A947" s="74">
        <v>5739</v>
      </c>
      <c r="B947">
        <v>0.68</v>
      </c>
      <c r="C947" t="s">
        <v>141</v>
      </c>
    </row>
    <row r="948" spans="1:3" x14ac:dyDescent="0.25">
      <c r="A948" s="74">
        <v>5740</v>
      </c>
      <c r="B948">
        <v>0.68</v>
      </c>
      <c r="C948" t="s">
        <v>141</v>
      </c>
    </row>
    <row r="949" spans="1:3" x14ac:dyDescent="0.25">
      <c r="A949" s="74">
        <v>5741</v>
      </c>
      <c r="B949">
        <v>0.68</v>
      </c>
      <c r="C949" t="s">
        <v>141</v>
      </c>
    </row>
    <row r="950" spans="1:3" x14ac:dyDescent="0.25">
      <c r="A950" s="74">
        <v>5742</v>
      </c>
      <c r="B950">
        <v>0.65100000000000002</v>
      </c>
    </row>
    <row r="951" spans="1:3" x14ac:dyDescent="0.25">
      <c r="A951" s="74">
        <v>5743</v>
      </c>
      <c r="B951">
        <v>0.65100000000000002</v>
      </c>
    </row>
    <row r="952" spans="1:3" x14ac:dyDescent="0.25">
      <c r="A952" s="74">
        <v>5744</v>
      </c>
      <c r="B952">
        <v>0.65100000000000002</v>
      </c>
    </row>
    <row r="953" spans="1:3" x14ac:dyDescent="0.25">
      <c r="A953" s="74">
        <v>5745</v>
      </c>
      <c r="B953">
        <v>0.65100000000000002</v>
      </c>
    </row>
    <row r="954" spans="1:3" x14ac:dyDescent="0.25">
      <c r="A954" s="74">
        <v>5746</v>
      </c>
      <c r="B954">
        <v>0.65100000000000002</v>
      </c>
    </row>
    <row r="955" spans="1:3" x14ac:dyDescent="0.25">
      <c r="A955" s="74">
        <v>5747</v>
      </c>
      <c r="B955">
        <v>0.65100000000000002</v>
      </c>
    </row>
    <row r="956" spans="1:3" x14ac:dyDescent="0.25">
      <c r="A956" s="74">
        <v>5748</v>
      </c>
      <c r="B956">
        <v>0.65100000000000002</v>
      </c>
      <c r="C956" t="s">
        <v>141</v>
      </c>
    </row>
    <row r="957" spans="1:3" x14ac:dyDescent="0.25">
      <c r="A957" s="74">
        <v>5749</v>
      </c>
      <c r="B957">
        <v>0.65100000000000002</v>
      </c>
      <c r="C957" t="s">
        <v>141</v>
      </c>
    </row>
    <row r="958" spans="1:3" x14ac:dyDescent="0.25">
      <c r="A958" s="74">
        <v>5750</v>
      </c>
      <c r="B958">
        <v>0.65100000000000002</v>
      </c>
      <c r="C958" t="s">
        <v>141</v>
      </c>
    </row>
    <row r="959" spans="1:3" x14ac:dyDescent="0.25">
      <c r="A959" s="74">
        <v>5751</v>
      </c>
      <c r="B959">
        <v>0.65100000000000002</v>
      </c>
      <c r="C959" t="s">
        <v>141</v>
      </c>
    </row>
    <row r="960" spans="1:3" x14ac:dyDescent="0.25">
      <c r="A960" s="74">
        <v>5752</v>
      </c>
      <c r="B960">
        <v>0.65100000000000002</v>
      </c>
      <c r="C960" t="s">
        <v>141</v>
      </c>
    </row>
    <row r="961" spans="1:2" x14ac:dyDescent="0.25">
      <c r="A961" s="74">
        <v>5753</v>
      </c>
      <c r="B961">
        <v>0.70799999999999996</v>
      </c>
    </row>
    <row r="962" spans="1:2" x14ac:dyDescent="0.25">
      <c r="A962" s="74">
        <v>5754</v>
      </c>
      <c r="B962">
        <v>0.85</v>
      </c>
    </row>
    <row r="963" spans="1:2" x14ac:dyDescent="0.25">
      <c r="A963" s="74">
        <v>5755</v>
      </c>
      <c r="B963">
        <v>0.85</v>
      </c>
    </row>
    <row r="964" spans="1:2" x14ac:dyDescent="0.25">
      <c r="A964" s="74">
        <v>5756</v>
      </c>
      <c r="B964">
        <v>0.85</v>
      </c>
    </row>
    <row r="965" spans="1:2" x14ac:dyDescent="0.25">
      <c r="A965" s="74">
        <v>5757</v>
      </c>
      <c r="B965">
        <v>0.85</v>
      </c>
    </row>
    <row r="966" spans="1:2" x14ac:dyDescent="0.25">
      <c r="A966" s="74">
        <v>5758</v>
      </c>
      <c r="B966">
        <v>0.85</v>
      </c>
    </row>
    <row r="967" spans="1:2" x14ac:dyDescent="0.25">
      <c r="A967" s="74">
        <v>5759</v>
      </c>
      <c r="B967">
        <v>0.85</v>
      </c>
    </row>
    <row r="968" spans="1:2" x14ac:dyDescent="0.25">
      <c r="A968" s="74">
        <v>5760</v>
      </c>
      <c r="B968">
        <v>0.85</v>
      </c>
    </row>
    <row r="969" spans="1:2" x14ac:dyDescent="0.25">
      <c r="A969" s="74">
        <v>5761</v>
      </c>
      <c r="B969">
        <v>1.1299999999999999</v>
      </c>
    </row>
    <row r="970" spans="1:2" x14ac:dyDescent="0.25">
      <c r="A970" s="74">
        <v>5762</v>
      </c>
      <c r="B970">
        <v>1.1299999999999999</v>
      </c>
    </row>
    <row r="971" spans="1:2" x14ac:dyDescent="0.25">
      <c r="A971" s="74">
        <v>5763</v>
      </c>
      <c r="B971">
        <v>1.1299999999999999</v>
      </c>
    </row>
    <row r="972" spans="1:2" x14ac:dyDescent="0.25">
      <c r="A972" s="74">
        <v>5764</v>
      </c>
      <c r="B972">
        <v>1.1299999999999999</v>
      </c>
    </row>
    <row r="973" spans="1:2" x14ac:dyDescent="0.25">
      <c r="A973" s="74">
        <v>5765</v>
      </c>
      <c r="B973">
        <v>1.1299999999999999</v>
      </c>
    </row>
    <row r="974" spans="1:2" x14ac:dyDescent="0.25">
      <c r="A974" s="74">
        <v>5766</v>
      </c>
      <c r="B974">
        <v>1.1299999999999999</v>
      </c>
    </row>
    <row r="975" spans="1:2" x14ac:dyDescent="0.25">
      <c r="A975" s="74">
        <v>5767</v>
      </c>
      <c r="B975">
        <v>1.1299999999999999</v>
      </c>
    </row>
    <row r="976" spans="1:2" x14ac:dyDescent="0.25">
      <c r="A976" s="74">
        <v>5768</v>
      </c>
      <c r="B976">
        <v>1.27</v>
      </c>
    </row>
    <row r="977" spans="1:2" x14ac:dyDescent="0.25">
      <c r="A977" s="74">
        <v>5769</v>
      </c>
      <c r="B977">
        <v>1.27</v>
      </c>
    </row>
    <row r="978" spans="1:2" x14ac:dyDescent="0.25">
      <c r="A978" s="74">
        <v>5770</v>
      </c>
      <c r="B978">
        <v>2.41</v>
      </c>
    </row>
    <row r="979" spans="1:2" x14ac:dyDescent="0.25">
      <c r="A979" s="74">
        <v>5771</v>
      </c>
      <c r="B979">
        <v>10.3</v>
      </c>
    </row>
    <row r="980" spans="1:2" x14ac:dyDescent="0.25">
      <c r="A980" s="74">
        <v>5772</v>
      </c>
      <c r="B980">
        <v>12.5</v>
      </c>
    </row>
    <row r="981" spans="1:2" x14ac:dyDescent="0.25">
      <c r="A981" s="74">
        <v>5773</v>
      </c>
      <c r="B981">
        <v>25.2</v>
      </c>
    </row>
    <row r="982" spans="1:2" x14ac:dyDescent="0.25">
      <c r="A982" s="74">
        <v>5774</v>
      </c>
      <c r="B982">
        <v>22.7</v>
      </c>
    </row>
    <row r="983" spans="1:2" x14ac:dyDescent="0.25">
      <c r="A983" s="74">
        <v>5775</v>
      </c>
      <c r="B983">
        <v>20.399999999999999</v>
      </c>
    </row>
    <row r="984" spans="1:2" x14ac:dyDescent="0.25">
      <c r="A984" s="74">
        <v>5776</v>
      </c>
      <c r="B984">
        <v>30.6</v>
      </c>
    </row>
    <row r="985" spans="1:2" x14ac:dyDescent="0.25">
      <c r="A985" s="74">
        <v>5777</v>
      </c>
      <c r="B985">
        <v>70.2</v>
      </c>
    </row>
    <row r="986" spans="1:2" x14ac:dyDescent="0.25">
      <c r="A986" s="74">
        <v>5778</v>
      </c>
      <c r="B986">
        <v>63.4</v>
      </c>
    </row>
    <row r="987" spans="1:2" x14ac:dyDescent="0.25">
      <c r="A987" s="74">
        <v>5779</v>
      </c>
      <c r="B987">
        <v>97.4</v>
      </c>
    </row>
    <row r="988" spans="1:2" x14ac:dyDescent="0.25">
      <c r="A988" s="74">
        <v>5780</v>
      </c>
      <c r="B988">
        <v>36.5</v>
      </c>
    </row>
    <row r="989" spans="1:2" x14ac:dyDescent="0.25">
      <c r="A989" s="74">
        <v>5781</v>
      </c>
      <c r="B989">
        <v>30.6</v>
      </c>
    </row>
    <row r="990" spans="1:2" x14ac:dyDescent="0.25">
      <c r="A990" s="74">
        <v>5782</v>
      </c>
      <c r="B990">
        <v>22.7</v>
      </c>
    </row>
    <row r="991" spans="1:2" x14ac:dyDescent="0.25">
      <c r="A991" s="74">
        <v>5783</v>
      </c>
      <c r="B991">
        <v>80.400000000000006</v>
      </c>
    </row>
    <row r="992" spans="1:2" x14ac:dyDescent="0.25">
      <c r="A992" s="74">
        <v>5784</v>
      </c>
      <c r="B992">
        <v>46.4</v>
      </c>
    </row>
    <row r="993" spans="1:2" x14ac:dyDescent="0.25">
      <c r="A993" s="74">
        <v>5785</v>
      </c>
      <c r="B993">
        <v>26.5</v>
      </c>
    </row>
    <row r="994" spans="1:2" x14ac:dyDescent="0.25">
      <c r="A994" s="74">
        <v>5786</v>
      </c>
      <c r="B994">
        <v>20.399999999999999</v>
      </c>
    </row>
    <row r="995" spans="1:2" x14ac:dyDescent="0.25">
      <c r="A995" s="74">
        <v>5787</v>
      </c>
      <c r="B995">
        <v>15.9</v>
      </c>
    </row>
    <row r="996" spans="1:2" x14ac:dyDescent="0.25">
      <c r="A996" s="74">
        <v>5788</v>
      </c>
      <c r="B996">
        <v>13.3</v>
      </c>
    </row>
    <row r="997" spans="1:2" x14ac:dyDescent="0.25">
      <c r="A997" s="74">
        <v>5789</v>
      </c>
      <c r="B997">
        <v>12.5</v>
      </c>
    </row>
    <row r="998" spans="1:2" x14ac:dyDescent="0.25">
      <c r="A998" s="74">
        <v>5790</v>
      </c>
      <c r="B998">
        <v>9.6300000000000008</v>
      </c>
    </row>
    <row r="999" spans="1:2" x14ac:dyDescent="0.25">
      <c r="A999" s="74">
        <v>5791</v>
      </c>
      <c r="B999">
        <v>8.2100000000000009</v>
      </c>
    </row>
    <row r="1000" spans="1:2" x14ac:dyDescent="0.25">
      <c r="A1000" s="74">
        <v>5792</v>
      </c>
      <c r="B1000">
        <v>7.08</v>
      </c>
    </row>
    <row r="1001" spans="1:2" x14ac:dyDescent="0.25">
      <c r="A1001" s="74">
        <v>5793</v>
      </c>
      <c r="B1001">
        <v>5.95</v>
      </c>
    </row>
    <row r="1002" spans="1:2" x14ac:dyDescent="0.25">
      <c r="A1002" s="74">
        <v>5794</v>
      </c>
      <c r="B1002">
        <v>5.66</v>
      </c>
    </row>
    <row r="1003" spans="1:2" x14ac:dyDescent="0.25">
      <c r="A1003" s="74">
        <v>5795</v>
      </c>
      <c r="B1003">
        <v>5.0999999999999996</v>
      </c>
    </row>
    <row r="1004" spans="1:2" x14ac:dyDescent="0.25">
      <c r="A1004" s="74">
        <v>5796</v>
      </c>
      <c r="B1004">
        <v>4.8099999999999996</v>
      </c>
    </row>
    <row r="1005" spans="1:2" x14ac:dyDescent="0.25">
      <c r="A1005" s="74">
        <v>5797</v>
      </c>
      <c r="B1005">
        <v>5.0999999999999996</v>
      </c>
    </row>
    <row r="1006" spans="1:2" x14ac:dyDescent="0.25">
      <c r="A1006" s="74">
        <v>5798</v>
      </c>
      <c r="B1006">
        <v>7.08</v>
      </c>
    </row>
    <row r="1007" spans="1:2" x14ac:dyDescent="0.25">
      <c r="A1007" s="74">
        <v>5799</v>
      </c>
      <c r="B1007">
        <v>11</v>
      </c>
    </row>
    <row r="1008" spans="1:2" x14ac:dyDescent="0.25">
      <c r="A1008" s="74">
        <v>5800</v>
      </c>
      <c r="B1008">
        <v>25.2</v>
      </c>
    </row>
    <row r="1009" spans="1:2" x14ac:dyDescent="0.25">
      <c r="A1009" s="74">
        <v>5801</v>
      </c>
      <c r="B1009">
        <v>22.7</v>
      </c>
    </row>
    <row r="1010" spans="1:2" x14ac:dyDescent="0.25">
      <c r="A1010" s="74">
        <v>5802</v>
      </c>
      <c r="B1010">
        <v>22.7</v>
      </c>
    </row>
    <row r="1011" spans="1:2" x14ac:dyDescent="0.25">
      <c r="A1011" s="74">
        <v>5803</v>
      </c>
      <c r="B1011">
        <v>15.9</v>
      </c>
    </row>
    <row r="1012" spans="1:2" x14ac:dyDescent="0.25">
      <c r="A1012" s="74">
        <v>5804</v>
      </c>
      <c r="B1012">
        <v>14.2</v>
      </c>
    </row>
    <row r="1013" spans="1:2" x14ac:dyDescent="0.25">
      <c r="A1013" s="74">
        <v>5805</v>
      </c>
      <c r="B1013">
        <v>18.100000000000001</v>
      </c>
    </row>
    <row r="1014" spans="1:2" x14ac:dyDescent="0.25">
      <c r="A1014" s="74">
        <v>5806</v>
      </c>
      <c r="B1014">
        <v>41.3</v>
      </c>
    </row>
    <row r="1015" spans="1:2" x14ac:dyDescent="0.25">
      <c r="A1015" s="74">
        <v>5807</v>
      </c>
      <c r="B1015">
        <v>32</v>
      </c>
    </row>
    <row r="1016" spans="1:2" x14ac:dyDescent="0.25">
      <c r="A1016" s="74">
        <v>5808</v>
      </c>
      <c r="B1016">
        <v>30.6</v>
      </c>
    </row>
    <row r="1017" spans="1:2" x14ac:dyDescent="0.25">
      <c r="A1017" s="74">
        <v>5809</v>
      </c>
      <c r="B1017">
        <v>36.5</v>
      </c>
    </row>
    <row r="1018" spans="1:2" x14ac:dyDescent="0.25">
      <c r="A1018" s="74">
        <v>5810</v>
      </c>
      <c r="B1018">
        <v>25.2</v>
      </c>
    </row>
    <row r="1019" spans="1:2" x14ac:dyDescent="0.25">
      <c r="A1019" s="74">
        <v>5811</v>
      </c>
      <c r="B1019">
        <v>20.399999999999999</v>
      </c>
    </row>
    <row r="1020" spans="1:2" x14ac:dyDescent="0.25">
      <c r="A1020" s="74">
        <v>5812</v>
      </c>
      <c r="B1020">
        <v>18.100000000000001</v>
      </c>
    </row>
    <row r="1021" spans="1:2" x14ac:dyDescent="0.25">
      <c r="A1021" s="74">
        <v>5813</v>
      </c>
      <c r="B1021">
        <v>19.3</v>
      </c>
    </row>
    <row r="1022" spans="1:2" x14ac:dyDescent="0.25">
      <c r="A1022" s="74">
        <v>5814</v>
      </c>
      <c r="B1022">
        <v>14.2</v>
      </c>
    </row>
    <row r="1023" spans="1:2" x14ac:dyDescent="0.25">
      <c r="A1023" s="74">
        <v>5815</v>
      </c>
      <c r="B1023">
        <v>15.9</v>
      </c>
    </row>
    <row r="1024" spans="1:2" x14ac:dyDescent="0.25">
      <c r="A1024" s="74">
        <v>5816</v>
      </c>
      <c r="B1024">
        <v>83.8</v>
      </c>
    </row>
    <row r="1025" spans="1:2" x14ac:dyDescent="0.25">
      <c r="A1025" s="74">
        <v>5817</v>
      </c>
      <c r="B1025">
        <v>56.6</v>
      </c>
    </row>
    <row r="1026" spans="1:2" x14ac:dyDescent="0.25">
      <c r="A1026" s="74">
        <v>5818</v>
      </c>
      <c r="B1026">
        <v>65.099999999999994</v>
      </c>
    </row>
    <row r="1027" spans="1:2" x14ac:dyDescent="0.25">
      <c r="A1027" s="74">
        <v>5819</v>
      </c>
      <c r="B1027">
        <v>60</v>
      </c>
    </row>
    <row r="1028" spans="1:2" x14ac:dyDescent="0.25">
      <c r="A1028" s="74">
        <v>5820</v>
      </c>
      <c r="B1028">
        <v>36.5</v>
      </c>
    </row>
    <row r="1029" spans="1:2" x14ac:dyDescent="0.25">
      <c r="A1029" s="74">
        <v>5821</v>
      </c>
      <c r="B1029">
        <v>103</v>
      </c>
    </row>
    <row r="1030" spans="1:2" x14ac:dyDescent="0.25">
      <c r="A1030" s="74">
        <v>5822</v>
      </c>
      <c r="B1030">
        <v>56.6</v>
      </c>
    </row>
    <row r="1031" spans="1:2" x14ac:dyDescent="0.25">
      <c r="A1031" s="74">
        <v>5823</v>
      </c>
      <c r="B1031">
        <v>35.1</v>
      </c>
    </row>
    <row r="1032" spans="1:2" x14ac:dyDescent="0.25">
      <c r="A1032" s="74">
        <v>5824</v>
      </c>
      <c r="B1032">
        <v>25.2</v>
      </c>
    </row>
    <row r="1033" spans="1:2" x14ac:dyDescent="0.25">
      <c r="A1033" s="74">
        <v>5825</v>
      </c>
      <c r="B1033">
        <v>25.2</v>
      </c>
    </row>
    <row r="1034" spans="1:2" x14ac:dyDescent="0.25">
      <c r="A1034" s="74">
        <v>5826</v>
      </c>
      <c r="B1034">
        <v>25.2</v>
      </c>
    </row>
    <row r="1035" spans="1:2" x14ac:dyDescent="0.25">
      <c r="A1035" s="74">
        <v>5827</v>
      </c>
      <c r="B1035">
        <v>20.399999999999999</v>
      </c>
    </row>
    <row r="1036" spans="1:2" x14ac:dyDescent="0.25">
      <c r="A1036" s="74">
        <v>5828</v>
      </c>
      <c r="B1036">
        <v>20.399999999999999</v>
      </c>
    </row>
    <row r="1037" spans="1:2" x14ac:dyDescent="0.25">
      <c r="A1037" s="74">
        <v>5829</v>
      </c>
      <c r="B1037">
        <v>14.2</v>
      </c>
    </row>
    <row r="1038" spans="1:2" x14ac:dyDescent="0.25">
      <c r="A1038" s="74">
        <v>5830</v>
      </c>
      <c r="B1038">
        <v>12.5</v>
      </c>
    </row>
    <row r="1039" spans="1:2" x14ac:dyDescent="0.25">
      <c r="A1039" s="74">
        <v>5831</v>
      </c>
      <c r="B1039">
        <v>11</v>
      </c>
    </row>
    <row r="1040" spans="1:2" x14ac:dyDescent="0.25">
      <c r="A1040" s="74">
        <v>5832</v>
      </c>
      <c r="B1040">
        <v>11</v>
      </c>
    </row>
    <row r="1041" spans="1:2" x14ac:dyDescent="0.25">
      <c r="A1041" s="74">
        <v>5833</v>
      </c>
      <c r="B1041">
        <v>60</v>
      </c>
    </row>
    <row r="1042" spans="1:2" x14ac:dyDescent="0.25">
      <c r="A1042" s="74">
        <v>5834</v>
      </c>
      <c r="B1042">
        <v>90.6</v>
      </c>
    </row>
    <row r="1043" spans="1:2" x14ac:dyDescent="0.25">
      <c r="A1043" s="74">
        <v>5835</v>
      </c>
      <c r="B1043">
        <v>56.6</v>
      </c>
    </row>
    <row r="1044" spans="1:2" x14ac:dyDescent="0.25">
      <c r="A1044" s="74">
        <v>5836</v>
      </c>
      <c r="B1044">
        <v>39.6</v>
      </c>
    </row>
    <row r="1045" spans="1:2" x14ac:dyDescent="0.25">
      <c r="A1045" s="74">
        <v>5837</v>
      </c>
      <c r="B1045">
        <v>27.8</v>
      </c>
    </row>
    <row r="1046" spans="1:2" x14ac:dyDescent="0.25">
      <c r="A1046" s="74">
        <v>5838</v>
      </c>
      <c r="B1046">
        <v>20.399999999999999</v>
      </c>
    </row>
    <row r="1047" spans="1:2" x14ac:dyDescent="0.25">
      <c r="A1047" s="74">
        <v>5839</v>
      </c>
      <c r="B1047">
        <v>18.100000000000001</v>
      </c>
    </row>
    <row r="1048" spans="1:2" x14ac:dyDescent="0.25">
      <c r="A1048" s="74">
        <v>5840</v>
      </c>
      <c r="B1048">
        <v>14.2</v>
      </c>
    </row>
    <row r="1049" spans="1:2" x14ac:dyDescent="0.25">
      <c r="A1049" s="74">
        <v>5841</v>
      </c>
      <c r="B1049">
        <v>14.2</v>
      </c>
    </row>
    <row r="1050" spans="1:2" x14ac:dyDescent="0.25">
      <c r="A1050" s="74">
        <v>5842</v>
      </c>
      <c r="B1050">
        <v>15.9</v>
      </c>
    </row>
    <row r="1051" spans="1:2" x14ac:dyDescent="0.25">
      <c r="A1051" s="74">
        <v>5843</v>
      </c>
      <c r="B1051">
        <v>13.3</v>
      </c>
    </row>
    <row r="1052" spans="1:2" x14ac:dyDescent="0.25">
      <c r="A1052" s="74">
        <v>5844</v>
      </c>
      <c r="B1052">
        <v>13.3</v>
      </c>
    </row>
    <row r="1053" spans="1:2" x14ac:dyDescent="0.25">
      <c r="A1053" s="74">
        <v>5845</v>
      </c>
      <c r="B1053">
        <v>11</v>
      </c>
    </row>
    <row r="1054" spans="1:2" x14ac:dyDescent="0.25">
      <c r="A1054" s="74">
        <v>5846</v>
      </c>
      <c r="B1054">
        <v>10.3</v>
      </c>
    </row>
    <row r="1055" spans="1:2" x14ac:dyDescent="0.25">
      <c r="A1055" s="74">
        <v>5847</v>
      </c>
      <c r="B1055">
        <v>7.08</v>
      </c>
    </row>
    <row r="1056" spans="1:2" x14ac:dyDescent="0.25">
      <c r="A1056" s="74">
        <v>5848</v>
      </c>
      <c r="B1056">
        <v>7.08</v>
      </c>
    </row>
    <row r="1057" spans="1:2" x14ac:dyDescent="0.25">
      <c r="A1057" s="74">
        <v>5849</v>
      </c>
      <c r="B1057">
        <v>7.08</v>
      </c>
    </row>
    <row r="1058" spans="1:2" x14ac:dyDescent="0.25">
      <c r="A1058" s="74">
        <v>5850</v>
      </c>
      <c r="B1058">
        <v>5.95</v>
      </c>
    </row>
    <row r="1059" spans="1:2" x14ac:dyDescent="0.25">
      <c r="A1059" s="74">
        <v>5851</v>
      </c>
      <c r="B1059">
        <v>5.95</v>
      </c>
    </row>
    <row r="1060" spans="1:2" x14ac:dyDescent="0.25">
      <c r="A1060" s="74">
        <v>5852</v>
      </c>
      <c r="B1060">
        <v>5.0999999999999996</v>
      </c>
    </row>
    <row r="1061" spans="1:2" x14ac:dyDescent="0.25">
      <c r="A1061" s="74">
        <v>5853</v>
      </c>
      <c r="B1061">
        <v>5.0999999999999996</v>
      </c>
    </row>
    <row r="1062" spans="1:2" x14ac:dyDescent="0.25">
      <c r="A1062" s="74">
        <v>5854</v>
      </c>
      <c r="B1062">
        <v>5.0999999999999996</v>
      </c>
    </row>
    <row r="1063" spans="1:2" x14ac:dyDescent="0.25">
      <c r="A1063" s="74">
        <v>5855</v>
      </c>
      <c r="B1063">
        <v>5.0999999999999996</v>
      </c>
    </row>
    <row r="1064" spans="1:2" x14ac:dyDescent="0.25">
      <c r="A1064" s="74">
        <v>5856</v>
      </c>
      <c r="B1064">
        <v>4.25</v>
      </c>
    </row>
    <row r="1065" spans="1:2" x14ac:dyDescent="0.25">
      <c r="A1065" s="74">
        <v>5857</v>
      </c>
      <c r="B1065">
        <v>4.25</v>
      </c>
    </row>
    <row r="1066" spans="1:2" x14ac:dyDescent="0.25">
      <c r="A1066" s="74">
        <v>5858</v>
      </c>
      <c r="B1066">
        <v>4.25</v>
      </c>
    </row>
    <row r="1067" spans="1:2" x14ac:dyDescent="0.25">
      <c r="A1067" s="74">
        <v>5859</v>
      </c>
      <c r="B1067">
        <v>4.25</v>
      </c>
    </row>
    <row r="1068" spans="1:2" x14ac:dyDescent="0.25">
      <c r="A1068" s="74">
        <v>5860</v>
      </c>
      <c r="B1068">
        <v>4.25</v>
      </c>
    </row>
    <row r="1069" spans="1:2" x14ac:dyDescent="0.25">
      <c r="A1069" s="74">
        <v>5861</v>
      </c>
      <c r="B1069">
        <v>4.25</v>
      </c>
    </row>
    <row r="1070" spans="1:2" x14ac:dyDescent="0.25">
      <c r="A1070" s="74">
        <v>5862</v>
      </c>
      <c r="B1070">
        <v>4.25</v>
      </c>
    </row>
    <row r="1071" spans="1:2" x14ac:dyDescent="0.25">
      <c r="A1071" s="74">
        <v>5863</v>
      </c>
      <c r="B1071">
        <v>4.25</v>
      </c>
    </row>
    <row r="1072" spans="1:2" x14ac:dyDescent="0.25">
      <c r="A1072" s="74">
        <v>5864</v>
      </c>
      <c r="B1072">
        <v>4.25</v>
      </c>
    </row>
    <row r="1073" spans="1:2" x14ac:dyDescent="0.25">
      <c r="A1073" s="74">
        <v>5865</v>
      </c>
      <c r="B1073">
        <v>4.25</v>
      </c>
    </row>
    <row r="1074" spans="1:2" x14ac:dyDescent="0.25">
      <c r="A1074" s="74">
        <v>5866</v>
      </c>
      <c r="B1074">
        <v>4.25</v>
      </c>
    </row>
    <row r="1075" spans="1:2" x14ac:dyDescent="0.25">
      <c r="A1075" s="74">
        <v>5867</v>
      </c>
      <c r="B1075">
        <v>4.25</v>
      </c>
    </row>
    <row r="1076" spans="1:2" x14ac:dyDescent="0.25">
      <c r="A1076" s="74">
        <v>5868</v>
      </c>
      <c r="B1076">
        <v>5.0999999999999996</v>
      </c>
    </row>
    <row r="1077" spans="1:2" x14ac:dyDescent="0.25">
      <c r="A1077" s="74">
        <v>5869</v>
      </c>
      <c r="B1077">
        <v>5.0999999999999996</v>
      </c>
    </row>
    <row r="1078" spans="1:2" x14ac:dyDescent="0.25">
      <c r="A1078" s="74">
        <v>5870</v>
      </c>
      <c r="B1078">
        <v>5.0999999999999996</v>
      </c>
    </row>
    <row r="1079" spans="1:2" x14ac:dyDescent="0.25">
      <c r="A1079" s="74">
        <v>5871</v>
      </c>
      <c r="B1079">
        <v>5.0999999999999996</v>
      </c>
    </row>
    <row r="1080" spans="1:2" x14ac:dyDescent="0.25">
      <c r="A1080" s="74">
        <v>5872</v>
      </c>
      <c r="B1080">
        <v>5.0999999999999996</v>
      </c>
    </row>
    <row r="1081" spans="1:2" x14ac:dyDescent="0.25">
      <c r="A1081" s="74">
        <v>5873</v>
      </c>
      <c r="B1081">
        <v>5.0999999999999996</v>
      </c>
    </row>
    <row r="1082" spans="1:2" x14ac:dyDescent="0.25">
      <c r="A1082" s="74">
        <v>5874</v>
      </c>
      <c r="B1082">
        <v>5.0999999999999996</v>
      </c>
    </row>
    <row r="1083" spans="1:2" x14ac:dyDescent="0.25">
      <c r="A1083" s="74">
        <v>5875</v>
      </c>
      <c r="B1083">
        <v>5.0999999999999996</v>
      </c>
    </row>
    <row r="1084" spans="1:2" x14ac:dyDescent="0.25">
      <c r="A1084" s="74">
        <v>5876</v>
      </c>
      <c r="B1084">
        <v>5.0999999999999996</v>
      </c>
    </row>
    <row r="1085" spans="1:2" x14ac:dyDescent="0.25">
      <c r="A1085" s="74">
        <v>5877</v>
      </c>
      <c r="B1085">
        <v>5.0999999999999996</v>
      </c>
    </row>
    <row r="1086" spans="1:2" x14ac:dyDescent="0.25">
      <c r="A1086" s="74">
        <v>5878</v>
      </c>
      <c r="B1086">
        <v>5.0999999999999996</v>
      </c>
    </row>
    <row r="1087" spans="1:2" x14ac:dyDescent="0.25">
      <c r="A1087" s="74">
        <v>5879</v>
      </c>
      <c r="B1087">
        <v>5.0999999999999996</v>
      </c>
    </row>
    <row r="1088" spans="1:2" x14ac:dyDescent="0.25">
      <c r="A1088" s="74">
        <v>5880</v>
      </c>
      <c r="B1088">
        <v>5.0999999999999996</v>
      </c>
    </row>
    <row r="1089" spans="1:2" x14ac:dyDescent="0.25">
      <c r="A1089" s="74">
        <v>5881</v>
      </c>
      <c r="B1089">
        <v>5.0999999999999996</v>
      </c>
    </row>
    <row r="1090" spans="1:2" x14ac:dyDescent="0.25">
      <c r="A1090" s="74">
        <v>5882</v>
      </c>
      <c r="B1090">
        <v>5.95</v>
      </c>
    </row>
    <row r="1091" spans="1:2" x14ac:dyDescent="0.25">
      <c r="A1091" s="74">
        <v>5883</v>
      </c>
      <c r="B1091">
        <v>7.08</v>
      </c>
    </row>
    <row r="1092" spans="1:2" x14ac:dyDescent="0.25">
      <c r="A1092" s="74">
        <v>5884</v>
      </c>
      <c r="B1092">
        <v>9.6300000000000008</v>
      </c>
    </row>
    <row r="1093" spans="1:2" x14ac:dyDescent="0.25">
      <c r="A1093" s="74">
        <v>5885</v>
      </c>
      <c r="B1093">
        <v>18.100000000000001</v>
      </c>
    </row>
    <row r="1094" spans="1:2" x14ac:dyDescent="0.25">
      <c r="A1094" s="74">
        <v>5886</v>
      </c>
      <c r="B1094">
        <v>18.100000000000001</v>
      </c>
    </row>
    <row r="1095" spans="1:2" x14ac:dyDescent="0.25">
      <c r="A1095" s="74">
        <v>5887</v>
      </c>
      <c r="B1095">
        <v>43</v>
      </c>
    </row>
    <row r="1096" spans="1:2" x14ac:dyDescent="0.25">
      <c r="A1096" s="74">
        <v>5888</v>
      </c>
      <c r="B1096">
        <v>30.6</v>
      </c>
    </row>
    <row r="1097" spans="1:2" x14ac:dyDescent="0.25">
      <c r="A1097" s="74">
        <v>5889</v>
      </c>
      <c r="B1097">
        <v>46.4</v>
      </c>
    </row>
    <row r="1098" spans="1:2" x14ac:dyDescent="0.25">
      <c r="A1098" s="74">
        <v>5890</v>
      </c>
      <c r="B1098">
        <v>104</v>
      </c>
    </row>
    <row r="1099" spans="1:2" x14ac:dyDescent="0.25">
      <c r="A1099" s="74">
        <v>5891</v>
      </c>
      <c r="B1099">
        <v>83.8</v>
      </c>
    </row>
    <row r="1100" spans="1:2" x14ac:dyDescent="0.25">
      <c r="A1100" s="74">
        <v>5892</v>
      </c>
      <c r="B1100">
        <v>63.4</v>
      </c>
    </row>
    <row r="1101" spans="1:2" x14ac:dyDescent="0.25">
      <c r="A1101" s="74">
        <v>5893</v>
      </c>
      <c r="B1101">
        <v>70.2</v>
      </c>
    </row>
    <row r="1102" spans="1:2" x14ac:dyDescent="0.25">
      <c r="A1102" s="74">
        <v>5894</v>
      </c>
      <c r="B1102">
        <v>63.4</v>
      </c>
    </row>
    <row r="1103" spans="1:2" x14ac:dyDescent="0.25">
      <c r="A1103" s="74">
        <v>5895</v>
      </c>
      <c r="B1103">
        <v>43</v>
      </c>
    </row>
    <row r="1104" spans="1:2" x14ac:dyDescent="0.25">
      <c r="A1104" s="74">
        <v>5896</v>
      </c>
      <c r="B1104">
        <v>39.6</v>
      </c>
    </row>
    <row r="1105" spans="1:2" x14ac:dyDescent="0.25">
      <c r="A1105" s="74">
        <v>5897</v>
      </c>
      <c r="B1105">
        <v>33.4</v>
      </c>
    </row>
    <row r="1106" spans="1:2" x14ac:dyDescent="0.25">
      <c r="A1106" s="74">
        <v>5898</v>
      </c>
      <c r="B1106">
        <v>27.8</v>
      </c>
    </row>
    <row r="1107" spans="1:2" x14ac:dyDescent="0.25">
      <c r="A1107" s="74">
        <v>5899</v>
      </c>
      <c r="B1107">
        <v>22.7</v>
      </c>
    </row>
    <row r="1108" spans="1:2" x14ac:dyDescent="0.25">
      <c r="A1108" s="74">
        <v>5900</v>
      </c>
      <c r="B1108">
        <v>19.3</v>
      </c>
    </row>
    <row r="1109" spans="1:2" x14ac:dyDescent="0.25">
      <c r="A1109" s="74">
        <v>5901</v>
      </c>
      <c r="B1109">
        <v>18.100000000000001</v>
      </c>
    </row>
    <row r="1110" spans="1:2" x14ac:dyDescent="0.25">
      <c r="A1110" s="74">
        <v>5902</v>
      </c>
      <c r="B1110">
        <v>18.100000000000001</v>
      </c>
    </row>
    <row r="1111" spans="1:2" x14ac:dyDescent="0.25">
      <c r="A1111" s="74">
        <v>5903</v>
      </c>
      <c r="B1111">
        <v>18.100000000000001</v>
      </c>
    </row>
    <row r="1112" spans="1:2" x14ac:dyDescent="0.25">
      <c r="A1112" s="74">
        <v>5904</v>
      </c>
      <c r="B1112">
        <v>15.9</v>
      </c>
    </row>
    <row r="1113" spans="1:2" x14ac:dyDescent="0.25">
      <c r="A1113" s="74">
        <v>5905</v>
      </c>
      <c r="B1113">
        <v>14.2</v>
      </c>
    </row>
    <row r="1114" spans="1:2" x14ac:dyDescent="0.25">
      <c r="A1114" s="74">
        <v>5906</v>
      </c>
      <c r="B1114">
        <v>13.3</v>
      </c>
    </row>
    <row r="1115" spans="1:2" x14ac:dyDescent="0.25">
      <c r="A1115" s="74">
        <v>5907</v>
      </c>
      <c r="B1115">
        <v>12.5</v>
      </c>
    </row>
    <row r="1116" spans="1:2" x14ac:dyDescent="0.25">
      <c r="A1116" s="74">
        <v>5908</v>
      </c>
      <c r="B1116">
        <v>11.8</v>
      </c>
    </row>
    <row r="1117" spans="1:2" x14ac:dyDescent="0.25">
      <c r="A1117" s="74">
        <v>5909</v>
      </c>
      <c r="B1117">
        <v>10.3</v>
      </c>
    </row>
    <row r="1118" spans="1:2" x14ac:dyDescent="0.25">
      <c r="A1118" s="74">
        <v>5910</v>
      </c>
      <c r="B1118">
        <v>9.6300000000000008</v>
      </c>
    </row>
    <row r="1119" spans="1:2" x14ac:dyDescent="0.25">
      <c r="A1119" s="74">
        <v>5911</v>
      </c>
      <c r="B1119">
        <v>43</v>
      </c>
    </row>
    <row r="1120" spans="1:2" x14ac:dyDescent="0.25">
      <c r="A1120" s="74">
        <v>5912</v>
      </c>
      <c r="B1120">
        <v>87.2</v>
      </c>
    </row>
    <row r="1121" spans="1:2" x14ac:dyDescent="0.25">
      <c r="A1121" s="74">
        <v>5913</v>
      </c>
      <c r="B1121">
        <v>97.4</v>
      </c>
    </row>
    <row r="1122" spans="1:2" x14ac:dyDescent="0.25">
      <c r="A1122" s="74">
        <v>5914</v>
      </c>
      <c r="B1122">
        <v>87.2</v>
      </c>
    </row>
    <row r="1123" spans="1:2" x14ac:dyDescent="0.25">
      <c r="A1123" s="74">
        <v>5915</v>
      </c>
      <c r="B1123">
        <v>90.6</v>
      </c>
    </row>
    <row r="1124" spans="1:2" x14ac:dyDescent="0.25">
      <c r="A1124" s="74">
        <v>5916</v>
      </c>
      <c r="B1124">
        <v>77</v>
      </c>
    </row>
    <row r="1125" spans="1:2" x14ac:dyDescent="0.25">
      <c r="A1125" s="74">
        <v>5917</v>
      </c>
      <c r="B1125">
        <v>49.8</v>
      </c>
    </row>
    <row r="1126" spans="1:2" x14ac:dyDescent="0.25">
      <c r="A1126" s="74">
        <v>5918</v>
      </c>
      <c r="B1126">
        <v>32</v>
      </c>
    </row>
    <row r="1127" spans="1:2" x14ac:dyDescent="0.25">
      <c r="A1127" s="74">
        <v>5919</v>
      </c>
      <c r="B1127">
        <v>25.2</v>
      </c>
    </row>
    <row r="1128" spans="1:2" x14ac:dyDescent="0.25">
      <c r="A1128" s="74">
        <v>5920</v>
      </c>
      <c r="B1128">
        <v>25.2</v>
      </c>
    </row>
    <row r="1129" spans="1:2" x14ac:dyDescent="0.25">
      <c r="A1129" s="74">
        <v>5921</v>
      </c>
      <c r="B1129">
        <v>22.7</v>
      </c>
    </row>
    <row r="1130" spans="1:2" x14ac:dyDescent="0.25">
      <c r="A1130" s="74">
        <v>5922</v>
      </c>
      <c r="B1130">
        <v>20.399999999999999</v>
      </c>
    </row>
    <row r="1131" spans="1:2" x14ac:dyDescent="0.25">
      <c r="A1131" s="74">
        <v>5923</v>
      </c>
      <c r="B1131">
        <v>18.100000000000001</v>
      </c>
    </row>
    <row r="1132" spans="1:2" x14ac:dyDescent="0.25">
      <c r="A1132" s="74">
        <v>5924</v>
      </c>
      <c r="B1132">
        <v>17</v>
      </c>
    </row>
    <row r="1133" spans="1:2" x14ac:dyDescent="0.25">
      <c r="A1133" s="74">
        <v>5925</v>
      </c>
      <c r="B1133">
        <v>25.2</v>
      </c>
    </row>
    <row r="1134" spans="1:2" x14ac:dyDescent="0.25">
      <c r="A1134" s="74">
        <v>5926</v>
      </c>
      <c r="B1134">
        <v>33.4</v>
      </c>
    </row>
    <row r="1135" spans="1:2" x14ac:dyDescent="0.25">
      <c r="A1135" s="74">
        <v>5927</v>
      </c>
      <c r="B1135">
        <v>25.2</v>
      </c>
    </row>
    <row r="1136" spans="1:2" x14ac:dyDescent="0.25">
      <c r="A1136" s="74">
        <v>5928</v>
      </c>
      <c r="B1136">
        <v>20.399999999999999</v>
      </c>
    </row>
    <row r="1137" spans="1:2" x14ac:dyDescent="0.25">
      <c r="A1137" s="74">
        <v>5929</v>
      </c>
      <c r="B1137">
        <v>15.9</v>
      </c>
    </row>
    <row r="1138" spans="1:2" x14ac:dyDescent="0.25">
      <c r="A1138" s="74">
        <v>5930</v>
      </c>
      <c r="B1138">
        <v>30.6</v>
      </c>
    </row>
    <row r="1139" spans="1:2" x14ac:dyDescent="0.25">
      <c r="A1139" s="74">
        <v>5931</v>
      </c>
      <c r="B1139">
        <v>27.8</v>
      </c>
    </row>
    <row r="1140" spans="1:2" x14ac:dyDescent="0.25">
      <c r="A1140" s="74">
        <v>5932</v>
      </c>
      <c r="B1140">
        <v>25.2</v>
      </c>
    </row>
    <row r="1141" spans="1:2" x14ac:dyDescent="0.25">
      <c r="A1141" s="74">
        <v>5933</v>
      </c>
      <c r="B1141">
        <v>20.399999999999999</v>
      </c>
    </row>
    <row r="1142" spans="1:2" x14ac:dyDescent="0.25">
      <c r="A1142" s="74">
        <v>5934</v>
      </c>
      <c r="B1142">
        <v>15.9</v>
      </c>
    </row>
    <row r="1143" spans="1:2" x14ac:dyDescent="0.25">
      <c r="A1143" s="74">
        <v>5935</v>
      </c>
      <c r="B1143">
        <v>15.9</v>
      </c>
    </row>
    <row r="1144" spans="1:2" x14ac:dyDescent="0.25">
      <c r="A1144" s="74">
        <v>5936</v>
      </c>
      <c r="B1144">
        <v>15.9</v>
      </c>
    </row>
    <row r="1145" spans="1:2" x14ac:dyDescent="0.25">
      <c r="A1145" s="74">
        <v>5937</v>
      </c>
      <c r="B1145">
        <v>20.399999999999999</v>
      </c>
    </row>
    <row r="1146" spans="1:2" x14ac:dyDescent="0.25">
      <c r="A1146" s="74">
        <v>5938</v>
      </c>
      <c r="B1146">
        <v>22.7</v>
      </c>
    </row>
    <row r="1147" spans="1:2" x14ac:dyDescent="0.25">
      <c r="A1147" s="74">
        <v>5939</v>
      </c>
      <c r="B1147">
        <v>25.2</v>
      </c>
    </row>
    <row r="1148" spans="1:2" x14ac:dyDescent="0.25">
      <c r="A1148" s="74">
        <v>5940</v>
      </c>
      <c r="B1148">
        <v>22.7</v>
      </c>
    </row>
    <row r="1149" spans="1:2" x14ac:dyDescent="0.25">
      <c r="A1149" s="74">
        <v>5941</v>
      </c>
      <c r="B1149">
        <v>20.399999999999999</v>
      </c>
    </row>
    <row r="1150" spans="1:2" x14ac:dyDescent="0.25">
      <c r="A1150" s="74">
        <v>5942</v>
      </c>
      <c r="B1150">
        <v>19.3</v>
      </c>
    </row>
    <row r="1151" spans="1:2" x14ac:dyDescent="0.25">
      <c r="A1151" s="74">
        <v>5943</v>
      </c>
      <c r="B1151">
        <v>25.2</v>
      </c>
    </row>
    <row r="1152" spans="1:2" x14ac:dyDescent="0.25">
      <c r="A1152" s="74">
        <v>5944</v>
      </c>
      <c r="B1152">
        <v>25.2</v>
      </c>
    </row>
    <row r="1153" spans="1:2" x14ac:dyDescent="0.25">
      <c r="A1153" s="74">
        <v>5945</v>
      </c>
      <c r="B1153">
        <v>25.2</v>
      </c>
    </row>
    <row r="1154" spans="1:2" x14ac:dyDescent="0.25">
      <c r="A1154" s="74">
        <v>5946</v>
      </c>
      <c r="B1154">
        <v>22.7</v>
      </c>
    </row>
    <row r="1155" spans="1:2" x14ac:dyDescent="0.25">
      <c r="A1155" s="74">
        <v>5947</v>
      </c>
      <c r="B1155">
        <v>18.100000000000001</v>
      </c>
    </row>
    <row r="1156" spans="1:2" x14ac:dyDescent="0.25">
      <c r="A1156" s="74">
        <v>5948</v>
      </c>
      <c r="B1156">
        <v>30.6</v>
      </c>
    </row>
    <row r="1157" spans="1:2" x14ac:dyDescent="0.25">
      <c r="A1157" s="74">
        <v>5949</v>
      </c>
      <c r="B1157">
        <v>36.5</v>
      </c>
    </row>
    <row r="1158" spans="1:2" x14ac:dyDescent="0.25">
      <c r="A1158" s="74">
        <v>5950</v>
      </c>
      <c r="B1158">
        <v>29.2</v>
      </c>
    </row>
    <row r="1159" spans="1:2" x14ac:dyDescent="0.25">
      <c r="A1159" s="74">
        <v>5951</v>
      </c>
      <c r="B1159">
        <v>19.3</v>
      </c>
    </row>
    <row r="1160" spans="1:2" x14ac:dyDescent="0.25">
      <c r="A1160" s="74">
        <v>5952</v>
      </c>
      <c r="B1160">
        <v>19.3</v>
      </c>
    </row>
    <row r="1161" spans="1:2" x14ac:dyDescent="0.25">
      <c r="A1161" s="74">
        <v>5953</v>
      </c>
      <c r="B1161">
        <v>22.7</v>
      </c>
    </row>
    <row r="1162" spans="1:2" x14ac:dyDescent="0.25">
      <c r="A1162" s="74">
        <v>5954</v>
      </c>
      <c r="B1162">
        <v>22.7</v>
      </c>
    </row>
    <row r="1163" spans="1:2" x14ac:dyDescent="0.25">
      <c r="A1163" s="74">
        <v>5955</v>
      </c>
      <c r="B1163">
        <v>21.5</v>
      </c>
    </row>
    <row r="1164" spans="1:2" x14ac:dyDescent="0.25">
      <c r="A1164" s="74">
        <v>5956</v>
      </c>
      <c r="B1164">
        <v>21.5</v>
      </c>
    </row>
    <row r="1165" spans="1:2" x14ac:dyDescent="0.25">
      <c r="A1165" s="74">
        <v>5957</v>
      </c>
      <c r="B1165">
        <v>19.3</v>
      </c>
    </row>
    <row r="1166" spans="1:2" x14ac:dyDescent="0.25">
      <c r="A1166" s="74">
        <v>5958</v>
      </c>
      <c r="B1166">
        <v>15.9</v>
      </c>
    </row>
    <row r="1167" spans="1:2" x14ac:dyDescent="0.25">
      <c r="A1167" s="74">
        <v>5959</v>
      </c>
      <c r="B1167">
        <v>17</v>
      </c>
    </row>
    <row r="1168" spans="1:2" x14ac:dyDescent="0.25">
      <c r="A1168" s="74">
        <v>5960</v>
      </c>
      <c r="B1168">
        <v>17</v>
      </c>
    </row>
    <row r="1169" spans="1:2" x14ac:dyDescent="0.25">
      <c r="A1169" s="74">
        <v>5961</v>
      </c>
      <c r="B1169">
        <v>17</v>
      </c>
    </row>
    <row r="1170" spans="1:2" x14ac:dyDescent="0.25">
      <c r="A1170" s="74">
        <v>5962</v>
      </c>
      <c r="B1170">
        <v>21.5</v>
      </c>
    </row>
    <row r="1171" spans="1:2" x14ac:dyDescent="0.25">
      <c r="A1171" s="74">
        <v>5963</v>
      </c>
      <c r="B1171">
        <v>21.5</v>
      </c>
    </row>
    <row r="1172" spans="1:2" x14ac:dyDescent="0.25">
      <c r="A1172" s="74">
        <v>5964</v>
      </c>
      <c r="B1172">
        <v>18.100000000000001</v>
      </c>
    </row>
    <row r="1173" spans="1:2" x14ac:dyDescent="0.25">
      <c r="A1173" s="74">
        <v>5965</v>
      </c>
      <c r="B1173">
        <v>18.100000000000001</v>
      </c>
    </row>
    <row r="1174" spans="1:2" x14ac:dyDescent="0.25">
      <c r="A1174" s="74">
        <v>5966</v>
      </c>
      <c r="B1174">
        <v>21.5</v>
      </c>
    </row>
    <row r="1175" spans="1:2" x14ac:dyDescent="0.25">
      <c r="A1175" s="74">
        <v>5967</v>
      </c>
      <c r="B1175">
        <v>27.8</v>
      </c>
    </row>
    <row r="1176" spans="1:2" x14ac:dyDescent="0.25">
      <c r="A1176" s="74">
        <v>5968</v>
      </c>
      <c r="B1176">
        <v>27.8</v>
      </c>
    </row>
    <row r="1177" spans="1:2" x14ac:dyDescent="0.25">
      <c r="A1177" s="74">
        <v>5969</v>
      </c>
      <c r="B1177">
        <v>27.8</v>
      </c>
    </row>
    <row r="1178" spans="1:2" x14ac:dyDescent="0.25">
      <c r="A1178" s="74">
        <v>5970</v>
      </c>
      <c r="B1178">
        <v>29.2</v>
      </c>
    </row>
    <row r="1179" spans="1:2" x14ac:dyDescent="0.25">
      <c r="A1179" s="74">
        <v>5971</v>
      </c>
      <c r="B1179">
        <v>39.6</v>
      </c>
    </row>
    <row r="1180" spans="1:2" x14ac:dyDescent="0.25">
      <c r="A1180" s="74">
        <v>5972</v>
      </c>
      <c r="B1180">
        <v>33.4</v>
      </c>
    </row>
    <row r="1181" spans="1:2" x14ac:dyDescent="0.25">
      <c r="A1181" s="74">
        <v>5973</v>
      </c>
      <c r="B1181">
        <v>30.6</v>
      </c>
    </row>
    <row r="1182" spans="1:2" x14ac:dyDescent="0.25">
      <c r="A1182" s="74">
        <v>5974</v>
      </c>
      <c r="B1182">
        <v>25.2</v>
      </c>
    </row>
    <row r="1183" spans="1:2" x14ac:dyDescent="0.25">
      <c r="A1183" s="74">
        <v>5975</v>
      </c>
      <c r="B1183">
        <v>18.100000000000001</v>
      </c>
    </row>
    <row r="1184" spans="1:2" x14ac:dyDescent="0.25">
      <c r="A1184" s="74">
        <v>5976</v>
      </c>
      <c r="B1184">
        <v>14.2</v>
      </c>
    </row>
    <row r="1185" spans="1:2" x14ac:dyDescent="0.25">
      <c r="A1185" s="74">
        <v>5977</v>
      </c>
      <c r="B1185">
        <v>12.5</v>
      </c>
    </row>
    <row r="1186" spans="1:2" x14ac:dyDescent="0.25">
      <c r="A1186" s="74">
        <v>5978</v>
      </c>
      <c r="B1186">
        <v>11.8</v>
      </c>
    </row>
    <row r="1187" spans="1:2" x14ac:dyDescent="0.25">
      <c r="A1187" s="74">
        <v>5979</v>
      </c>
      <c r="B1187">
        <v>12.5</v>
      </c>
    </row>
    <row r="1188" spans="1:2" x14ac:dyDescent="0.25">
      <c r="A1188" s="74">
        <v>5980</v>
      </c>
      <c r="B1188">
        <v>17</v>
      </c>
    </row>
    <row r="1189" spans="1:2" x14ac:dyDescent="0.25">
      <c r="A1189" s="74">
        <v>5981</v>
      </c>
      <c r="B1189">
        <v>23.9</v>
      </c>
    </row>
    <row r="1190" spans="1:2" x14ac:dyDescent="0.25">
      <c r="A1190" s="74">
        <v>5982</v>
      </c>
      <c r="B1190">
        <v>26.5</v>
      </c>
    </row>
    <row r="1191" spans="1:2" x14ac:dyDescent="0.25">
      <c r="A1191" s="74">
        <v>5983</v>
      </c>
      <c r="B1191">
        <v>23.9</v>
      </c>
    </row>
    <row r="1192" spans="1:2" x14ac:dyDescent="0.25">
      <c r="A1192" s="74">
        <v>5984</v>
      </c>
      <c r="B1192">
        <v>22.7</v>
      </c>
    </row>
    <row r="1193" spans="1:2" x14ac:dyDescent="0.25">
      <c r="A1193" s="74">
        <v>5985</v>
      </c>
      <c r="B1193">
        <v>22.7</v>
      </c>
    </row>
    <row r="1194" spans="1:2" x14ac:dyDescent="0.25">
      <c r="A1194" s="74">
        <v>5986</v>
      </c>
      <c r="B1194">
        <v>15</v>
      </c>
    </row>
    <row r="1195" spans="1:2" x14ac:dyDescent="0.25">
      <c r="A1195" s="74">
        <v>5987</v>
      </c>
      <c r="B1195">
        <v>12.5</v>
      </c>
    </row>
    <row r="1196" spans="1:2" x14ac:dyDescent="0.25">
      <c r="A1196" s="74">
        <v>5988</v>
      </c>
      <c r="B1196">
        <v>12.5</v>
      </c>
    </row>
    <row r="1197" spans="1:2" x14ac:dyDescent="0.25">
      <c r="A1197" s="74">
        <v>5989</v>
      </c>
      <c r="B1197">
        <v>11</v>
      </c>
    </row>
    <row r="1198" spans="1:2" x14ac:dyDescent="0.25">
      <c r="A1198" s="74">
        <v>5990</v>
      </c>
      <c r="B1198">
        <v>15.9</v>
      </c>
    </row>
    <row r="1199" spans="1:2" x14ac:dyDescent="0.25">
      <c r="A1199" s="74">
        <v>5991</v>
      </c>
      <c r="B1199">
        <v>25.2</v>
      </c>
    </row>
    <row r="1200" spans="1:2" x14ac:dyDescent="0.25">
      <c r="A1200" s="74">
        <v>5992</v>
      </c>
      <c r="B1200">
        <v>18.100000000000001</v>
      </c>
    </row>
    <row r="1201" spans="1:2" x14ac:dyDescent="0.25">
      <c r="A1201" s="74">
        <v>5993</v>
      </c>
      <c r="B1201">
        <v>20.399999999999999</v>
      </c>
    </row>
    <row r="1202" spans="1:2" x14ac:dyDescent="0.25">
      <c r="A1202" s="74">
        <v>5994</v>
      </c>
      <c r="B1202">
        <v>15.9</v>
      </c>
    </row>
    <row r="1203" spans="1:2" x14ac:dyDescent="0.25">
      <c r="A1203" s="74">
        <v>5995</v>
      </c>
      <c r="B1203">
        <v>15.9</v>
      </c>
    </row>
    <row r="1204" spans="1:2" x14ac:dyDescent="0.25">
      <c r="A1204" s="74">
        <v>5996</v>
      </c>
      <c r="B1204">
        <v>15.9</v>
      </c>
    </row>
    <row r="1205" spans="1:2" x14ac:dyDescent="0.25">
      <c r="A1205" s="74">
        <v>5997</v>
      </c>
      <c r="B1205">
        <v>15.9</v>
      </c>
    </row>
    <row r="1206" spans="1:2" x14ac:dyDescent="0.25">
      <c r="A1206" s="74">
        <v>5998</v>
      </c>
      <c r="B1206">
        <v>19.3</v>
      </c>
    </row>
    <row r="1207" spans="1:2" x14ac:dyDescent="0.25">
      <c r="A1207" s="74">
        <v>5999</v>
      </c>
      <c r="B1207">
        <v>22.7</v>
      </c>
    </row>
    <row r="1208" spans="1:2" x14ac:dyDescent="0.25">
      <c r="A1208" s="74">
        <v>6000</v>
      </c>
      <c r="B1208">
        <v>21.5</v>
      </c>
    </row>
    <row r="1209" spans="1:2" x14ac:dyDescent="0.25">
      <c r="A1209" s="74">
        <v>6001</v>
      </c>
      <c r="B1209">
        <v>15.9</v>
      </c>
    </row>
    <row r="1210" spans="1:2" x14ac:dyDescent="0.25">
      <c r="A1210" s="74">
        <v>6002</v>
      </c>
      <c r="B1210">
        <v>12.5</v>
      </c>
    </row>
    <row r="1211" spans="1:2" x14ac:dyDescent="0.25">
      <c r="A1211" s="74">
        <v>6003</v>
      </c>
      <c r="B1211">
        <v>11.8</v>
      </c>
    </row>
    <row r="1212" spans="1:2" x14ac:dyDescent="0.25">
      <c r="A1212" s="74">
        <v>6004</v>
      </c>
      <c r="B1212">
        <v>14.2</v>
      </c>
    </row>
    <row r="1213" spans="1:2" x14ac:dyDescent="0.25">
      <c r="A1213" s="74">
        <v>6005</v>
      </c>
      <c r="B1213">
        <v>12.5</v>
      </c>
    </row>
    <row r="1214" spans="1:2" x14ac:dyDescent="0.25">
      <c r="A1214" s="74">
        <v>6006</v>
      </c>
      <c r="B1214">
        <v>11.8</v>
      </c>
    </row>
    <row r="1215" spans="1:2" x14ac:dyDescent="0.25">
      <c r="A1215" s="74">
        <v>6007</v>
      </c>
      <c r="B1215">
        <v>12.5</v>
      </c>
    </row>
    <row r="1216" spans="1:2" x14ac:dyDescent="0.25">
      <c r="A1216" s="74">
        <v>6008</v>
      </c>
      <c r="B1216">
        <v>14.2</v>
      </c>
    </row>
    <row r="1217" spans="1:2" x14ac:dyDescent="0.25">
      <c r="A1217" s="74">
        <v>6009</v>
      </c>
      <c r="B1217">
        <v>22.7</v>
      </c>
    </row>
    <row r="1218" spans="1:2" x14ac:dyDescent="0.25">
      <c r="A1218" s="74">
        <v>6010</v>
      </c>
      <c r="B1218">
        <v>30.6</v>
      </c>
    </row>
    <row r="1219" spans="1:2" x14ac:dyDescent="0.25">
      <c r="A1219" s="74">
        <v>6011</v>
      </c>
      <c r="B1219">
        <v>30.6</v>
      </c>
    </row>
    <row r="1220" spans="1:2" x14ac:dyDescent="0.25">
      <c r="A1220" s="74">
        <v>6012</v>
      </c>
      <c r="B1220">
        <v>33.4</v>
      </c>
    </row>
    <row r="1221" spans="1:2" x14ac:dyDescent="0.25">
      <c r="A1221" s="74">
        <v>6013</v>
      </c>
      <c r="B1221">
        <v>22.7</v>
      </c>
    </row>
    <row r="1222" spans="1:2" x14ac:dyDescent="0.25">
      <c r="A1222" s="74">
        <v>6014</v>
      </c>
      <c r="B1222">
        <v>15.9</v>
      </c>
    </row>
    <row r="1223" spans="1:2" x14ac:dyDescent="0.25">
      <c r="A1223" s="74">
        <v>6015</v>
      </c>
      <c r="B1223">
        <v>12.5</v>
      </c>
    </row>
    <row r="1224" spans="1:2" x14ac:dyDescent="0.25">
      <c r="A1224" s="74">
        <v>6016</v>
      </c>
      <c r="B1224">
        <v>11.8</v>
      </c>
    </row>
    <row r="1225" spans="1:2" x14ac:dyDescent="0.25">
      <c r="A1225" s="74">
        <v>6017</v>
      </c>
      <c r="B1225">
        <v>12.5</v>
      </c>
    </row>
    <row r="1226" spans="1:2" x14ac:dyDescent="0.25">
      <c r="A1226" s="74">
        <v>6018</v>
      </c>
      <c r="B1226">
        <v>11.8</v>
      </c>
    </row>
    <row r="1227" spans="1:2" x14ac:dyDescent="0.25">
      <c r="A1227" s="74">
        <v>6019</v>
      </c>
      <c r="B1227">
        <v>12.5</v>
      </c>
    </row>
    <row r="1228" spans="1:2" x14ac:dyDescent="0.25">
      <c r="A1228" s="74">
        <v>6020</v>
      </c>
      <c r="B1228">
        <v>14.2</v>
      </c>
    </row>
    <row r="1229" spans="1:2" x14ac:dyDescent="0.25">
      <c r="A1229" s="74">
        <v>6021</v>
      </c>
      <c r="B1229">
        <v>15.9</v>
      </c>
    </row>
    <row r="1230" spans="1:2" x14ac:dyDescent="0.25">
      <c r="A1230" s="74">
        <v>6022</v>
      </c>
      <c r="B1230">
        <v>18.100000000000001</v>
      </c>
    </row>
    <row r="1231" spans="1:2" x14ac:dyDescent="0.25">
      <c r="A1231" s="74">
        <v>6023</v>
      </c>
      <c r="B1231">
        <v>18.100000000000001</v>
      </c>
    </row>
    <row r="1232" spans="1:2" x14ac:dyDescent="0.25">
      <c r="A1232" s="74">
        <v>6024</v>
      </c>
      <c r="B1232">
        <v>20.399999999999999</v>
      </c>
    </row>
    <row r="1233" spans="1:2" x14ac:dyDescent="0.25">
      <c r="A1233" s="74">
        <v>6025</v>
      </c>
      <c r="B1233">
        <v>15.9</v>
      </c>
    </row>
    <row r="1234" spans="1:2" x14ac:dyDescent="0.25">
      <c r="A1234" s="74">
        <v>6026</v>
      </c>
      <c r="B1234">
        <v>15.9</v>
      </c>
    </row>
    <row r="1235" spans="1:2" x14ac:dyDescent="0.25">
      <c r="A1235" s="74">
        <v>6027</v>
      </c>
      <c r="B1235">
        <v>15.9</v>
      </c>
    </row>
    <row r="1236" spans="1:2" x14ac:dyDescent="0.25">
      <c r="A1236" s="74">
        <v>6028</v>
      </c>
      <c r="B1236">
        <v>14.2</v>
      </c>
    </row>
    <row r="1237" spans="1:2" x14ac:dyDescent="0.25">
      <c r="A1237" s="74">
        <v>6029</v>
      </c>
      <c r="B1237">
        <v>14.2</v>
      </c>
    </row>
    <row r="1238" spans="1:2" x14ac:dyDescent="0.25">
      <c r="A1238" s="74">
        <v>6030</v>
      </c>
      <c r="B1238">
        <v>12.5</v>
      </c>
    </row>
    <row r="1239" spans="1:2" x14ac:dyDescent="0.25">
      <c r="A1239" s="74">
        <v>6031</v>
      </c>
      <c r="B1239">
        <v>12.5</v>
      </c>
    </row>
    <row r="1240" spans="1:2" x14ac:dyDescent="0.25">
      <c r="A1240" s="74">
        <v>6032</v>
      </c>
      <c r="B1240">
        <v>11.8</v>
      </c>
    </row>
    <row r="1241" spans="1:2" x14ac:dyDescent="0.25">
      <c r="A1241" s="74">
        <v>6033</v>
      </c>
      <c r="B1241">
        <v>11</v>
      </c>
    </row>
    <row r="1242" spans="1:2" x14ac:dyDescent="0.25">
      <c r="A1242" s="74">
        <v>6034</v>
      </c>
      <c r="B1242">
        <v>9.6300000000000008</v>
      </c>
    </row>
    <row r="1243" spans="1:2" x14ac:dyDescent="0.25">
      <c r="A1243" s="74">
        <v>6035</v>
      </c>
      <c r="B1243">
        <v>9.6300000000000008</v>
      </c>
    </row>
    <row r="1244" spans="1:2" x14ac:dyDescent="0.25">
      <c r="A1244" s="74">
        <v>6036</v>
      </c>
      <c r="B1244">
        <v>9.6300000000000008</v>
      </c>
    </row>
    <row r="1245" spans="1:2" x14ac:dyDescent="0.25">
      <c r="A1245" s="74">
        <v>6037</v>
      </c>
      <c r="B1245">
        <v>10.3</v>
      </c>
    </row>
    <row r="1246" spans="1:2" x14ac:dyDescent="0.25">
      <c r="A1246" s="74">
        <v>6038</v>
      </c>
      <c r="B1246">
        <v>9.6300000000000008</v>
      </c>
    </row>
    <row r="1247" spans="1:2" x14ac:dyDescent="0.25">
      <c r="A1247" s="74">
        <v>6039</v>
      </c>
      <c r="B1247">
        <v>9.6300000000000008</v>
      </c>
    </row>
    <row r="1248" spans="1:2" x14ac:dyDescent="0.25">
      <c r="A1248" s="74">
        <v>6040</v>
      </c>
      <c r="B1248">
        <v>9.6300000000000008</v>
      </c>
    </row>
    <row r="1249" spans="1:2" x14ac:dyDescent="0.25">
      <c r="A1249" s="74">
        <v>6041</v>
      </c>
      <c r="B1249">
        <v>8.92</v>
      </c>
    </row>
    <row r="1250" spans="1:2" x14ac:dyDescent="0.25">
      <c r="A1250" s="74">
        <v>6042</v>
      </c>
      <c r="B1250">
        <v>9.6300000000000008</v>
      </c>
    </row>
    <row r="1251" spans="1:2" x14ac:dyDescent="0.25">
      <c r="A1251" s="74">
        <v>6043</v>
      </c>
      <c r="B1251">
        <v>9.6300000000000008</v>
      </c>
    </row>
    <row r="1252" spans="1:2" x14ac:dyDescent="0.25">
      <c r="A1252" s="74">
        <v>6044</v>
      </c>
      <c r="B1252">
        <v>9.6300000000000008</v>
      </c>
    </row>
    <row r="1253" spans="1:2" x14ac:dyDescent="0.25">
      <c r="A1253" s="74">
        <v>6045</v>
      </c>
      <c r="B1253">
        <v>9.6300000000000008</v>
      </c>
    </row>
    <row r="1254" spans="1:2" x14ac:dyDescent="0.25">
      <c r="A1254" s="74">
        <v>6046</v>
      </c>
      <c r="B1254">
        <v>8.2100000000000009</v>
      </c>
    </row>
    <row r="1255" spans="1:2" x14ac:dyDescent="0.25">
      <c r="A1255" s="74">
        <v>6047</v>
      </c>
      <c r="B1255">
        <v>8.2100000000000009</v>
      </c>
    </row>
    <row r="1256" spans="1:2" x14ac:dyDescent="0.25">
      <c r="A1256" s="74">
        <v>6048</v>
      </c>
      <c r="B1256">
        <v>8.2100000000000009</v>
      </c>
    </row>
    <row r="1257" spans="1:2" x14ac:dyDescent="0.25">
      <c r="A1257" s="74">
        <v>6049</v>
      </c>
      <c r="B1257">
        <v>7.08</v>
      </c>
    </row>
    <row r="1258" spans="1:2" x14ac:dyDescent="0.25">
      <c r="A1258" s="74">
        <v>6050</v>
      </c>
      <c r="B1258">
        <v>6.51</v>
      </c>
    </row>
    <row r="1259" spans="1:2" x14ac:dyDescent="0.25">
      <c r="A1259" s="74">
        <v>6051</v>
      </c>
      <c r="B1259">
        <v>5.95</v>
      </c>
    </row>
    <row r="1260" spans="1:2" x14ac:dyDescent="0.25">
      <c r="A1260" s="74">
        <v>6052</v>
      </c>
      <c r="B1260">
        <v>5.52</v>
      </c>
    </row>
    <row r="1261" spans="1:2" x14ac:dyDescent="0.25">
      <c r="A1261" s="74">
        <v>6053</v>
      </c>
      <c r="B1261">
        <v>5.52</v>
      </c>
    </row>
    <row r="1262" spans="1:2" x14ac:dyDescent="0.25">
      <c r="A1262" s="74">
        <v>6054</v>
      </c>
      <c r="B1262">
        <v>5.0999999999999996</v>
      </c>
    </row>
    <row r="1263" spans="1:2" x14ac:dyDescent="0.25">
      <c r="A1263" s="74">
        <v>6055</v>
      </c>
      <c r="B1263">
        <v>5.0999999999999996</v>
      </c>
    </row>
    <row r="1264" spans="1:2" x14ac:dyDescent="0.25">
      <c r="A1264" s="74">
        <v>6056</v>
      </c>
      <c r="B1264">
        <v>4.67</v>
      </c>
    </row>
    <row r="1265" spans="1:2" x14ac:dyDescent="0.25">
      <c r="A1265" s="74">
        <v>6057</v>
      </c>
      <c r="B1265">
        <v>4.67</v>
      </c>
    </row>
    <row r="1266" spans="1:2" x14ac:dyDescent="0.25">
      <c r="A1266" s="74">
        <v>6058</v>
      </c>
      <c r="B1266">
        <v>5.0999999999999996</v>
      </c>
    </row>
    <row r="1267" spans="1:2" x14ac:dyDescent="0.25">
      <c r="A1267" s="74">
        <v>6059</v>
      </c>
      <c r="B1267">
        <v>4.67</v>
      </c>
    </row>
    <row r="1268" spans="1:2" x14ac:dyDescent="0.25">
      <c r="A1268" s="74">
        <v>6060</v>
      </c>
      <c r="B1268">
        <v>4.25</v>
      </c>
    </row>
    <row r="1269" spans="1:2" x14ac:dyDescent="0.25">
      <c r="A1269" s="74">
        <v>6061</v>
      </c>
      <c r="B1269">
        <v>4.25</v>
      </c>
    </row>
    <row r="1270" spans="1:2" x14ac:dyDescent="0.25">
      <c r="A1270" s="74">
        <v>6062</v>
      </c>
      <c r="B1270">
        <v>4.25</v>
      </c>
    </row>
    <row r="1271" spans="1:2" x14ac:dyDescent="0.25">
      <c r="A1271" s="74">
        <v>6063</v>
      </c>
      <c r="B1271">
        <v>4.25</v>
      </c>
    </row>
    <row r="1272" spans="1:2" x14ac:dyDescent="0.25">
      <c r="A1272" s="74">
        <v>6064</v>
      </c>
      <c r="B1272">
        <v>4.25</v>
      </c>
    </row>
    <row r="1273" spans="1:2" x14ac:dyDescent="0.25">
      <c r="A1273" s="74">
        <v>6065</v>
      </c>
      <c r="B1273">
        <v>3.82</v>
      </c>
    </row>
    <row r="1274" spans="1:2" x14ac:dyDescent="0.25">
      <c r="A1274" s="74">
        <v>6066</v>
      </c>
      <c r="B1274">
        <v>3.82</v>
      </c>
    </row>
    <row r="1275" spans="1:2" x14ac:dyDescent="0.25">
      <c r="A1275" s="74">
        <v>6067</v>
      </c>
      <c r="B1275">
        <v>3.82</v>
      </c>
    </row>
    <row r="1276" spans="1:2" x14ac:dyDescent="0.25">
      <c r="A1276" s="74">
        <v>6068</v>
      </c>
      <c r="B1276">
        <v>3.4</v>
      </c>
    </row>
    <row r="1277" spans="1:2" x14ac:dyDescent="0.25">
      <c r="A1277" s="74">
        <v>6069</v>
      </c>
      <c r="B1277">
        <v>3.4</v>
      </c>
    </row>
    <row r="1278" spans="1:2" x14ac:dyDescent="0.25">
      <c r="A1278" s="74">
        <v>6070</v>
      </c>
      <c r="B1278">
        <v>3.4</v>
      </c>
    </row>
    <row r="1279" spans="1:2" x14ac:dyDescent="0.25">
      <c r="A1279" s="74">
        <v>6071</v>
      </c>
      <c r="B1279">
        <v>3.4</v>
      </c>
    </row>
    <row r="1280" spans="1:2" x14ac:dyDescent="0.25">
      <c r="A1280" s="74">
        <v>6072</v>
      </c>
      <c r="B1280">
        <v>2.97</v>
      </c>
    </row>
    <row r="1281" spans="1:2" x14ac:dyDescent="0.25">
      <c r="A1281" s="74">
        <v>6073</v>
      </c>
      <c r="B1281">
        <v>2.97</v>
      </c>
    </row>
    <row r="1282" spans="1:2" x14ac:dyDescent="0.25">
      <c r="A1282" s="74">
        <v>6074</v>
      </c>
      <c r="B1282">
        <v>2.97</v>
      </c>
    </row>
    <row r="1283" spans="1:2" x14ac:dyDescent="0.25">
      <c r="A1283" s="74">
        <v>6075</v>
      </c>
      <c r="B1283">
        <v>2.97</v>
      </c>
    </row>
    <row r="1284" spans="1:2" x14ac:dyDescent="0.25">
      <c r="A1284" s="74">
        <v>6076</v>
      </c>
      <c r="B1284">
        <v>2.5499999999999998</v>
      </c>
    </row>
    <row r="1285" spans="1:2" x14ac:dyDescent="0.25">
      <c r="A1285" s="74">
        <v>6077</v>
      </c>
      <c r="B1285">
        <v>2.5499999999999998</v>
      </c>
    </row>
    <row r="1286" spans="1:2" x14ac:dyDescent="0.25">
      <c r="A1286" s="74">
        <v>6078</v>
      </c>
      <c r="B1286">
        <v>2.21</v>
      </c>
    </row>
    <row r="1287" spans="1:2" x14ac:dyDescent="0.25">
      <c r="A1287" s="74">
        <v>6079</v>
      </c>
      <c r="B1287">
        <v>2.21</v>
      </c>
    </row>
    <row r="1288" spans="1:2" x14ac:dyDescent="0.25">
      <c r="A1288" s="74">
        <v>6080</v>
      </c>
      <c r="B1288">
        <v>2.21</v>
      </c>
    </row>
    <row r="1289" spans="1:2" x14ac:dyDescent="0.25">
      <c r="A1289" s="74">
        <v>6081</v>
      </c>
      <c r="B1289">
        <v>1.84</v>
      </c>
    </row>
    <row r="1290" spans="1:2" x14ac:dyDescent="0.25">
      <c r="A1290" s="74">
        <v>6082</v>
      </c>
      <c r="B1290">
        <v>1.84</v>
      </c>
    </row>
    <row r="1291" spans="1:2" x14ac:dyDescent="0.25">
      <c r="A1291" s="74">
        <v>6083</v>
      </c>
      <c r="B1291">
        <v>1.56</v>
      </c>
    </row>
    <row r="1292" spans="1:2" x14ac:dyDescent="0.25">
      <c r="A1292" s="74">
        <v>6084</v>
      </c>
      <c r="B1292">
        <v>1.84</v>
      </c>
    </row>
    <row r="1293" spans="1:2" x14ac:dyDescent="0.25">
      <c r="A1293" s="74">
        <v>6085</v>
      </c>
      <c r="B1293">
        <v>1.84</v>
      </c>
    </row>
    <row r="1294" spans="1:2" x14ac:dyDescent="0.25">
      <c r="A1294" s="74">
        <v>6086</v>
      </c>
      <c r="B1294">
        <v>1.84</v>
      </c>
    </row>
    <row r="1295" spans="1:2" x14ac:dyDescent="0.25">
      <c r="A1295" s="74">
        <v>6087</v>
      </c>
      <c r="B1295">
        <v>1.84</v>
      </c>
    </row>
    <row r="1296" spans="1:2" x14ac:dyDescent="0.25">
      <c r="A1296" s="74">
        <v>6088</v>
      </c>
      <c r="B1296">
        <v>1.84</v>
      </c>
    </row>
    <row r="1297" spans="1:2" x14ac:dyDescent="0.25">
      <c r="A1297" s="74">
        <v>6089</v>
      </c>
      <c r="B1297">
        <v>1.84</v>
      </c>
    </row>
    <row r="1298" spans="1:2" x14ac:dyDescent="0.25">
      <c r="A1298" s="74">
        <v>6090</v>
      </c>
      <c r="B1298">
        <v>1.84</v>
      </c>
    </row>
    <row r="1299" spans="1:2" x14ac:dyDescent="0.25">
      <c r="A1299" s="74">
        <v>6091</v>
      </c>
      <c r="B1299">
        <v>1.84</v>
      </c>
    </row>
    <row r="1300" spans="1:2" x14ac:dyDescent="0.25">
      <c r="A1300" s="74">
        <v>6092</v>
      </c>
      <c r="B1300">
        <v>1.84</v>
      </c>
    </row>
    <row r="1301" spans="1:2" x14ac:dyDescent="0.25">
      <c r="A1301" s="74">
        <v>6093</v>
      </c>
      <c r="B1301">
        <v>1.84</v>
      </c>
    </row>
    <row r="1302" spans="1:2" x14ac:dyDescent="0.25">
      <c r="A1302" s="74">
        <v>6094</v>
      </c>
      <c r="B1302">
        <v>1.84</v>
      </c>
    </row>
    <row r="1303" spans="1:2" x14ac:dyDescent="0.25">
      <c r="A1303" s="74">
        <v>6095</v>
      </c>
      <c r="B1303">
        <v>1.56</v>
      </c>
    </row>
    <row r="1304" spans="1:2" x14ac:dyDescent="0.25">
      <c r="A1304" s="74">
        <v>6096</v>
      </c>
      <c r="B1304">
        <v>1.27</v>
      </c>
    </row>
    <row r="1305" spans="1:2" x14ac:dyDescent="0.25">
      <c r="A1305" s="74">
        <v>6097</v>
      </c>
      <c r="B1305">
        <v>1.27</v>
      </c>
    </row>
    <row r="1306" spans="1:2" x14ac:dyDescent="0.25">
      <c r="A1306" s="74">
        <v>6098</v>
      </c>
      <c r="B1306">
        <v>1.27</v>
      </c>
    </row>
    <row r="1307" spans="1:2" x14ac:dyDescent="0.25">
      <c r="A1307" s="74">
        <v>6099</v>
      </c>
      <c r="B1307">
        <v>1.27</v>
      </c>
    </row>
    <row r="1308" spans="1:2" x14ac:dyDescent="0.25">
      <c r="A1308" s="74">
        <v>6100</v>
      </c>
      <c r="B1308">
        <v>1.08</v>
      </c>
    </row>
    <row r="1309" spans="1:2" x14ac:dyDescent="0.25">
      <c r="A1309" s="74">
        <v>6101</v>
      </c>
      <c r="B1309">
        <v>1.08</v>
      </c>
    </row>
    <row r="1310" spans="1:2" x14ac:dyDescent="0.25">
      <c r="A1310" s="74">
        <v>6102</v>
      </c>
      <c r="B1310">
        <v>1.08</v>
      </c>
    </row>
    <row r="1311" spans="1:2" x14ac:dyDescent="0.25">
      <c r="A1311" s="74">
        <v>6103</v>
      </c>
      <c r="B1311">
        <v>0.85</v>
      </c>
    </row>
    <row r="1312" spans="1:2" x14ac:dyDescent="0.25">
      <c r="A1312" s="74">
        <v>6104</v>
      </c>
      <c r="B1312">
        <v>0.85</v>
      </c>
    </row>
    <row r="1313" spans="1:2" x14ac:dyDescent="0.25">
      <c r="A1313" s="74">
        <v>6105</v>
      </c>
      <c r="B1313">
        <v>0.85</v>
      </c>
    </row>
    <row r="1314" spans="1:2" x14ac:dyDescent="0.25">
      <c r="A1314" s="74">
        <v>6106</v>
      </c>
      <c r="B1314">
        <v>0.85</v>
      </c>
    </row>
    <row r="1315" spans="1:2" x14ac:dyDescent="0.25">
      <c r="A1315" s="74">
        <v>6107</v>
      </c>
      <c r="B1315">
        <v>0.85</v>
      </c>
    </row>
    <row r="1316" spans="1:2" x14ac:dyDescent="0.25">
      <c r="A1316" s="74">
        <v>6108</v>
      </c>
      <c r="B1316">
        <v>0.85</v>
      </c>
    </row>
    <row r="1317" spans="1:2" x14ac:dyDescent="0.25">
      <c r="A1317" s="74">
        <v>6109</v>
      </c>
      <c r="B1317">
        <v>0.85</v>
      </c>
    </row>
    <row r="1318" spans="1:2" x14ac:dyDescent="0.25">
      <c r="A1318" s="74">
        <v>6110</v>
      </c>
      <c r="B1318">
        <v>0.85</v>
      </c>
    </row>
    <row r="1319" spans="1:2" x14ac:dyDescent="0.25">
      <c r="A1319" s="74">
        <v>6111</v>
      </c>
      <c r="B1319">
        <v>0.85</v>
      </c>
    </row>
    <row r="1320" spans="1:2" x14ac:dyDescent="0.25">
      <c r="A1320" s="74">
        <v>6112</v>
      </c>
      <c r="B1320">
        <v>0.85</v>
      </c>
    </row>
    <row r="1321" spans="1:2" x14ac:dyDescent="0.25">
      <c r="A1321" s="74">
        <v>6113</v>
      </c>
      <c r="B1321">
        <v>0.85</v>
      </c>
    </row>
    <row r="1322" spans="1:2" x14ac:dyDescent="0.25">
      <c r="A1322" s="74">
        <v>6114</v>
      </c>
      <c r="B1322">
        <v>0.85</v>
      </c>
    </row>
    <row r="1323" spans="1:2" x14ac:dyDescent="0.25">
      <c r="A1323" s="74">
        <v>6115</v>
      </c>
      <c r="B1323">
        <v>0.85</v>
      </c>
    </row>
    <row r="1324" spans="1:2" x14ac:dyDescent="0.25">
      <c r="A1324" s="74">
        <v>6116</v>
      </c>
      <c r="B1324">
        <v>0.85</v>
      </c>
    </row>
    <row r="1325" spans="1:2" x14ac:dyDescent="0.25">
      <c r="A1325" s="74">
        <v>6117</v>
      </c>
      <c r="B1325">
        <v>0.85</v>
      </c>
    </row>
    <row r="1326" spans="1:2" x14ac:dyDescent="0.25">
      <c r="A1326" s="74">
        <v>6118</v>
      </c>
      <c r="B1326">
        <v>0.85</v>
      </c>
    </row>
    <row r="1327" spans="1:2" x14ac:dyDescent="0.25">
      <c r="A1327" s="74">
        <v>6119</v>
      </c>
      <c r="B1327">
        <v>0.85</v>
      </c>
    </row>
    <row r="1328" spans="1:2" x14ac:dyDescent="0.25">
      <c r="A1328" s="74">
        <v>6120</v>
      </c>
      <c r="B1328">
        <v>0.85</v>
      </c>
    </row>
    <row r="1329" spans="1:2" x14ac:dyDescent="0.25">
      <c r="A1329" s="74">
        <v>6121</v>
      </c>
      <c r="B1329">
        <v>0.85</v>
      </c>
    </row>
    <row r="1330" spans="1:2" x14ac:dyDescent="0.25">
      <c r="A1330" s="74">
        <v>6122</v>
      </c>
      <c r="B1330">
        <v>0.65100000000000002</v>
      </c>
    </row>
    <row r="1331" spans="1:2" x14ac:dyDescent="0.25">
      <c r="A1331" s="74">
        <v>6123</v>
      </c>
      <c r="B1331">
        <v>0.65100000000000002</v>
      </c>
    </row>
    <row r="1332" spans="1:2" x14ac:dyDescent="0.25">
      <c r="A1332" s="74">
        <v>6124</v>
      </c>
      <c r="B1332">
        <v>0.65100000000000002</v>
      </c>
    </row>
    <row r="1333" spans="1:2" x14ac:dyDescent="0.25">
      <c r="A1333" s="74">
        <v>6125</v>
      </c>
      <c r="B1333">
        <v>0.65100000000000002</v>
      </c>
    </row>
    <row r="1334" spans="1:2" x14ac:dyDescent="0.25">
      <c r="A1334" s="74">
        <v>6126</v>
      </c>
      <c r="B1334">
        <v>0.65100000000000002</v>
      </c>
    </row>
    <row r="1335" spans="1:2" x14ac:dyDescent="0.25">
      <c r="A1335" s="74">
        <v>6127</v>
      </c>
      <c r="B1335">
        <v>0.65100000000000002</v>
      </c>
    </row>
    <row r="1336" spans="1:2" x14ac:dyDescent="0.25">
      <c r="A1336" s="74">
        <v>6128</v>
      </c>
      <c r="B1336">
        <v>0.65100000000000002</v>
      </c>
    </row>
    <row r="1337" spans="1:2" x14ac:dyDescent="0.25">
      <c r="A1337" s="74">
        <v>6129</v>
      </c>
      <c r="B1337">
        <v>0.65100000000000002</v>
      </c>
    </row>
    <row r="1338" spans="1:2" x14ac:dyDescent="0.25">
      <c r="A1338" s="74">
        <v>6130</v>
      </c>
      <c r="B1338">
        <v>0.65100000000000002</v>
      </c>
    </row>
    <row r="1339" spans="1:2" x14ac:dyDescent="0.25">
      <c r="A1339" s="74">
        <v>6131</v>
      </c>
      <c r="B1339">
        <v>0.65100000000000002</v>
      </c>
    </row>
    <row r="1340" spans="1:2" x14ac:dyDescent="0.25">
      <c r="A1340" s="74">
        <v>6132</v>
      </c>
      <c r="B1340">
        <v>0.65100000000000002</v>
      </c>
    </row>
    <row r="1341" spans="1:2" x14ac:dyDescent="0.25">
      <c r="A1341" s="74">
        <v>6133</v>
      </c>
      <c r="B1341">
        <v>0.65100000000000002</v>
      </c>
    </row>
    <row r="1342" spans="1:2" x14ac:dyDescent="0.25">
      <c r="A1342" s="74">
        <v>6134</v>
      </c>
      <c r="B1342">
        <v>0.65100000000000002</v>
      </c>
    </row>
    <row r="1343" spans="1:2" x14ac:dyDescent="0.25">
      <c r="A1343" s="74">
        <v>6135</v>
      </c>
      <c r="B1343">
        <v>0.42499999999999999</v>
      </c>
    </row>
    <row r="1344" spans="1:2" x14ac:dyDescent="0.25">
      <c r="A1344" s="74">
        <v>6136</v>
      </c>
      <c r="B1344">
        <v>0.42499999999999999</v>
      </c>
    </row>
    <row r="1345" spans="1:2" x14ac:dyDescent="0.25">
      <c r="A1345" s="74">
        <v>6137</v>
      </c>
      <c r="B1345">
        <v>0.42499999999999999</v>
      </c>
    </row>
    <row r="1346" spans="1:2" x14ac:dyDescent="0.25">
      <c r="A1346" s="74">
        <v>6138</v>
      </c>
      <c r="B1346">
        <v>0.42499999999999999</v>
      </c>
    </row>
    <row r="1347" spans="1:2" x14ac:dyDescent="0.25">
      <c r="A1347" s="74">
        <v>6139</v>
      </c>
      <c r="B1347">
        <v>0.42499999999999999</v>
      </c>
    </row>
    <row r="1348" spans="1:2" x14ac:dyDescent="0.25">
      <c r="A1348" s="74">
        <v>6140</v>
      </c>
      <c r="B1348">
        <v>0.42499999999999999</v>
      </c>
    </row>
    <row r="1349" spans="1:2" x14ac:dyDescent="0.25">
      <c r="A1349" s="74">
        <v>6141</v>
      </c>
      <c r="B1349">
        <v>0.42499999999999999</v>
      </c>
    </row>
    <row r="1350" spans="1:2" x14ac:dyDescent="0.25">
      <c r="A1350" s="74">
        <v>6142</v>
      </c>
      <c r="B1350">
        <v>0.42499999999999999</v>
      </c>
    </row>
    <row r="1351" spans="1:2" x14ac:dyDescent="0.25">
      <c r="A1351" s="74">
        <v>6143</v>
      </c>
      <c r="B1351">
        <v>0.42499999999999999</v>
      </c>
    </row>
    <row r="1352" spans="1:2" x14ac:dyDescent="0.25">
      <c r="A1352" s="74">
        <v>6144</v>
      </c>
      <c r="B1352">
        <v>0.42499999999999999</v>
      </c>
    </row>
    <row r="1353" spans="1:2" x14ac:dyDescent="0.25">
      <c r="A1353" s="74">
        <v>6145</v>
      </c>
      <c r="B1353">
        <v>0.65100000000000002</v>
      </c>
    </row>
    <row r="1354" spans="1:2" x14ac:dyDescent="0.25">
      <c r="A1354" s="74">
        <v>6146</v>
      </c>
      <c r="B1354">
        <v>0.65100000000000002</v>
      </c>
    </row>
    <row r="1355" spans="1:2" x14ac:dyDescent="0.25">
      <c r="A1355" s="74">
        <v>6147</v>
      </c>
      <c r="B1355">
        <v>10.8</v>
      </c>
    </row>
    <row r="1356" spans="1:2" x14ac:dyDescent="0.25">
      <c r="A1356" s="74">
        <v>6148</v>
      </c>
      <c r="B1356">
        <v>8.2100000000000009</v>
      </c>
    </row>
    <row r="1357" spans="1:2" x14ac:dyDescent="0.25">
      <c r="A1357" s="74">
        <v>6149</v>
      </c>
      <c r="B1357">
        <v>32</v>
      </c>
    </row>
    <row r="1358" spans="1:2" x14ac:dyDescent="0.25">
      <c r="A1358" s="74">
        <v>6150</v>
      </c>
      <c r="B1358">
        <v>13.3</v>
      </c>
    </row>
    <row r="1359" spans="1:2" x14ac:dyDescent="0.25">
      <c r="A1359" s="74">
        <v>6151</v>
      </c>
      <c r="B1359">
        <v>17</v>
      </c>
    </row>
    <row r="1360" spans="1:2" x14ac:dyDescent="0.25">
      <c r="A1360" s="74">
        <v>6152</v>
      </c>
      <c r="B1360">
        <v>33.4</v>
      </c>
    </row>
    <row r="1361" spans="1:2" x14ac:dyDescent="0.25">
      <c r="A1361" s="74">
        <v>6153</v>
      </c>
      <c r="B1361">
        <v>36.5</v>
      </c>
    </row>
    <row r="1362" spans="1:2" x14ac:dyDescent="0.25">
      <c r="A1362" s="74">
        <v>6154</v>
      </c>
      <c r="B1362">
        <v>22.7</v>
      </c>
    </row>
    <row r="1363" spans="1:2" x14ac:dyDescent="0.25">
      <c r="A1363" s="74">
        <v>6155</v>
      </c>
      <c r="B1363">
        <v>15.9</v>
      </c>
    </row>
    <row r="1364" spans="1:2" x14ac:dyDescent="0.25">
      <c r="A1364" s="74">
        <v>6156</v>
      </c>
      <c r="B1364">
        <v>11.8</v>
      </c>
    </row>
    <row r="1365" spans="1:2" x14ac:dyDescent="0.25">
      <c r="A1365" s="74">
        <v>6157</v>
      </c>
      <c r="B1365">
        <v>9.6300000000000008</v>
      </c>
    </row>
    <row r="1366" spans="1:2" x14ac:dyDescent="0.25">
      <c r="A1366" s="74">
        <v>6158</v>
      </c>
      <c r="B1366">
        <v>15.9</v>
      </c>
    </row>
    <row r="1367" spans="1:2" x14ac:dyDescent="0.25">
      <c r="A1367" s="74">
        <v>6159</v>
      </c>
      <c r="B1367">
        <v>11.8</v>
      </c>
    </row>
    <row r="1368" spans="1:2" x14ac:dyDescent="0.25">
      <c r="A1368" s="74">
        <v>6160</v>
      </c>
      <c r="B1368">
        <v>9.34</v>
      </c>
    </row>
    <row r="1369" spans="1:2" x14ac:dyDescent="0.25">
      <c r="A1369" s="74">
        <v>6161</v>
      </c>
      <c r="B1369">
        <v>7.08</v>
      </c>
    </row>
    <row r="1370" spans="1:2" x14ac:dyDescent="0.25">
      <c r="A1370" s="74">
        <v>6162</v>
      </c>
      <c r="B1370">
        <v>5.52</v>
      </c>
    </row>
    <row r="1371" spans="1:2" x14ac:dyDescent="0.25">
      <c r="A1371" s="74">
        <v>6163</v>
      </c>
      <c r="B1371">
        <v>4.93</v>
      </c>
    </row>
    <row r="1372" spans="1:2" x14ac:dyDescent="0.25">
      <c r="A1372" s="74">
        <v>6164</v>
      </c>
      <c r="B1372">
        <v>4.59</v>
      </c>
    </row>
    <row r="1373" spans="1:2" x14ac:dyDescent="0.25">
      <c r="A1373" s="74">
        <v>6165</v>
      </c>
      <c r="B1373">
        <v>4.08</v>
      </c>
    </row>
    <row r="1374" spans="1:2" x14ac:dyDescent="0.25">
      <c r="A1374" s="74">
        <v>6166</v>
      </c>
      <c r="B1374">
        <v>4.08</v>
      </c>
    </row>
    <row r="1375" spans="1:2" x14ac:dyDescent="0.25">
      <c r="A1375" s="74">
        <v>6167</v>
      </c>
      <c r="B1375">
        <v>4.08</v>
      </c>
    </row>
    <row r="1376" spans="1:2" x14ac:dyDescent="0.25">
      <c r="A1376" s="74">
        <v>6168</v>
      </c>
      <c r="B1376">
        <v>4.08</v>
      </c>
    </row>
    <row r="1377" spans="1:2" x14ac:dyDescent="0.25">
      <c r="A1377" s="74">
        <v>6169</v>
      </c>
      <c r="B1377">
        <v>3.99</v>
      </c>
    </row>
    <row r="1378" spans="1:2" x14ac:dyDescent="0.25">
      <c r="A1378" s="74">
        <v>6170</v>
      </c>
      <c r="B1378">
        <v>3.57</v>
      </c>
    </row>
    <row r="1379" spans="1:2" x14ac:dyDescent="0.25">
      <c r="A1379" s="74">
        <v>6171</v>
      </c>
      <c r="B1379">
        <v>3.57</v>
      </c>
    </row>
    <row r="1380" spans="1:2" x14ac:dyDescent="0.25">
      <c r="A1380" s="74">
        <v>6172</v>
      </c>
      <c r="B1380">
        <v>3.4</v>
      </c>
    </row>
    <row r="1381" spans="1:2" x14ac:dyDescent="0.25">
      <c r="A1381" s="74">
        <v>6173</v>
      </c>
      <c r="B1381">
        <v>3.23</v>
      </c>
    </row>
    <row r="1382" spans="1:2" x14ac:dyDescent="0.25">
      <c r="A1382" s="74">
        <v>6174</v>
      </c>
      <c r="B1382">
        <v>4.67</v>
      </c>
    </row>
    <row r="1383" spans="1:2" x14ac:dyDescent="0.25">
      <c r="A1383" s="74">
        <v>6175</v>
      </c>
      <c r="B1383">
        <v>7.08</v>
      </c>
    </row>
    <row r="1384" spans="1:2" x14ac:dyDescent="0.25">
      <c r="A1384" s="74">
        <v>6176</v>
      </c>
      <c r="B1384">
        <v>9.1999999999999993</v>
      </c>
    </row>
    <row r="1385" spans="1:2" x14ac:dyDescent="0.25">
      <c r="A1385" s="74">
        <v>6177</v>
      </c>
      <c r="B1385">
        <v>15</v>
      </c>
    </row>
    <row r="1386" spans="1:2" x14ac:dyDescent="0.25">
      <c r="A1386" s="74">
        <v>6178</v>
      </c>
      <c r="B1386">
        <v>12.5</v>
      </c>
    </row>
    <row r="1387" spans="1:2" x14ac:dyDescent="0.25">
      <c r="A1387" s="74">
        <v>6179</v>
      </c>
      <c r="B1387">
        <v>11</v>
      </c>
    </row>
    <row r="1388" spans="1:2" x14ac:dyDescent="0.25">
      <c r="A1388" s="74">
        <v>6180</v>
      </c>
      <c r="B1388">
        <v>9.34</v>
      </c>
    </row>
    <row r="1389" spans="1:2" x14ac:dyDescent="0.25">
      <c r="A1389" s="74">
        <v>6181</v>
      </c>
      <c r="B1389">
        <v>8.2100000000000009</v>
      </c>
    </row>
    <row r="1390" spans="1:2" x14ac:dyDescent="0.25">
      <c r="A1390" s="74">
        <v>6182</v>
      </c>
      <c r="B1390">
        <v>53.2</v>
      </c>
    </row>
    <row r="1391" spans="1:2" x14ac:dyDescent="0.25">
      <c r="A1391" s="74">
        <v>6183</v>
      </c>
      <c r="B1391">
        <v>27.8</v>
      </c>
    </row>
    <row r="1392" spans="1:2" x14ac:dyDescent="0.25">
      <c r="A1392" s="74">
        <v>6184</v>
      </c>
      <c r="B1392">
        <v>18.100000000000001</v>
      </c>
    </row>
    <row r="1393" spans="1:2" x14ac:dyDescent="0.25">
      <c r="A1393" s="74">
        <v>6185</v>
      </c>
      <c r="B1393">
        <v>12.5</v>
      </c>
    </row>
    <row r="1394" spans="1:2" x14ac:dyDescent="0.25">
      <c r="A1394" s="74">
        <v>6186</v>
      </c>
      <c r="B1394">
        <v>9.6300000000000008</v>
      </c>
    </row>
    <row r="1395" spans="1:2" x14ac:dyDescent="0.25">
      <c r="A1395" s="74">
        <v>6187</v>
      </c>
      <c r="B1395">
        <v>9.6300000000000008</v>
      </c>
    </row>
    <row r="1396" spans="1:2" x14ac:dyDescent="0.25">
      <c r="A1396" s="74">
        <v>6188</v>
      </c>
      <c r="B1396">
        <v>7.65</v>
      </c>
    </row>
    <row r="1397" spans="1:2" x14ac:dyDescent="0.25">
      <c r="A1397" s="74">
        <v>6189</v>
      </c>
      <c r="B1397">
        <v>6.51</v>
      </c>
    </row>
    <row r="1398" spans="1:2" x14ac:dyDescent="0.25">
      <c r="A1398" s="74">
        <v>6190</v>
      </c>
      <c r="B1398">
        <v>7.08</v>
      </c>
    </row>
    <row r="1399" spans="1:2" x14ac:dyDescent="0.25">
      <c r="A1399" s="74">
        <v>6191</v>
      </c>
      <c r="B1399">
        <v>8.2100000000000009</v>
      </c>
    </row>
    <row r="1400" spans="1:2" x14ac:dyDescent="0.25">
      <c r="A1400" s="74">
        <v>6192</v>
      </c>
      <c r="B1400">
        <v>10.3</v>
      </c>
    </row>
    <row r="1401" spans="1:2" x14ac:dyDescent="0.25">
      <c r="A1401" s="74">
        <v>6193</v>
      </c>
      <c r="B1401">
        <v>9.34</v>
      </c>
    </row>
    <row r="1402" spans="1:2" x14ac:dyDescent="0.25">
      <c r="A1402" s="74">
        <v>6194</v>
      </c>
      <c r="B1402">
        <v>8.1</v>
      </c>
    </row>
    <row r="1403" spans="1:2" x14ac:dyDescent="0.25">
      <c r="A1403" s="74">
        <v>6195</v>
      </c>
      <c r="B1403">
        <v>7.65</v>
      </c>
    </row>
    <row r="1404" spans="1:2" x14ac:dyDescent="0.25">
      <c r="A1404" s="74">
        <v>6196</v>
      </c>
      <c r="B1404">
        <v>7.08</v>
      </c>
    </row>
    <row r="1405" spans="1:2" x14ac:dyDescent="0.25">
      <c r="A1405" s="74">
        <v>6197</v>
      </c>
      <c r="B1405">
        <v>7.76</v>
      </c>
    </row>
    <row r="1406" spans="1:2" x14ac:dyDescent="0.25">
      <c r="A1406" s="74">
        <v>6198</v>
      </c>
      <c r="B1406">
        <v>11.3</v>
      </c>
    </row>
    <row r="1407" spans="1:2" x14ac:dyDescent="0.25">
      <c r="A1407" s="74">
        <v>6199</v>
      </c>
      <c r="B1407">
        <v>9.6300000000000008</v>
      </c>
    </row>
    <row r="1408" spans="1:2" x14ac:dyDescent="0.25">
      <c r="A1408" s="74">
        <v>6200</v>
      </c>
      <c r="B1408">
        <v>8.2100000000000009</v>
      </c>
    </row>
    <row r="1409" spans="1:2" x14ac:dyDescent="0.25">
      <c r="A1409" s="74">
        <v>6201</v>
      </c>
      <c r="B1409">
        <v>7.65</v>
      </c>
    </row>
    <row r="1410" spans="1:2" x14ac:dyDescent="0.25">
      <c r="A1410" s="74">
        <v>6202</v>
      </c>
      <c r="B1410">
        <v>7.08</v>
      </c>
    </row>
    <row r="1411" spans="1:2" x14ac:dyDescent="0.25">
      <c r="A1411" s="74">
        <v>6203</v>
      </c>
      <c r="B1411">
        <v>6.51</v>
      </c>
    </row>
    <row r="1412" spans="1:2" x14ac:dyDescent="0.25">
      <c r="A1412" s="74">
        <v>6204</v>
      </c>
      <c r="B1412">
        <v>8.2100000000000009</v>
      </c>
    </row>
    <row r="1413" spans="1:2" x14ac:dyDescent="0.25">
      <c r="A1413" s="74">
        <v>6205</v>
      </c>
      <c r="B1413">
        <v>5.0999999999999996</v>
      </c>
    </row>
    <row r="1414" spans="1:2" x14ac:dyDescent="0.25">
      <c r="A1414" s="74">
        <v>6206</v>
      </c>
      <c r="B1414">
        <v>5.0999999999999996</v>
      </c>
    </row>
    <row r="1415" spans="1:2" x14ac:dyDescent="0.25">
      <c r="A1415" s="74">
        <v>6207</v>
      </c>
      <c r="B1415">
        <v>4.25</v>
      </c>
    </row>
    <row r="1416" spans="1:2" x14ac:dyDescent="0.25">
      <c r="A1416" s="74">
        <v>6208</v>
      </c>
      <c r="B1416">
        <v>3.4</v>
      </c>
    </row>
    <row r="1417" spans="1:2" x14ac:dyDescent="0.25">
      <c r="A1417" s="74">
        <v>6209</v>
      </c>
      <c r="B1417">
        <v>3.23</v>
      </c>
    </row>
    <row r="1418" spans="1:2" x14ac:dyDescent="0.25">
      <c r="A1418" s="74">
        <v>6210</v>
      </c>
      <c r="B1418">
        <v>4.25</v>
      </c>
    </row>
    <row r="1419" spans="1:2" x14ac:dyDescent="0.25">
      <c r="A1419" s="74">
        <v>6211</v>
      </c>
      <c r="B1419">
        <v>3.4</v>
      </c>
    </row>
    <row r="1420" spans="1:2" x14ac:dyDescent="0.25">
      <c r="A1420" s="74">
        <v>6212</v>
      </c>
      <c r="B1420">
        <v>4.76</v>
      </c>
    </row>
    <row r="1421" spans="1:2" x14ac:dyDescent="0.25">
      <c r="A1421" s="74">
        <v>6213</v>
      </c>
      <c r="B1421">
        <v>4.67</v>
      </c>
    </row>
    <row r="1422" spans="1:2" x14ac:dyDescent="0.25">
      <c r="A1422" s="74">
        <v>6214</v>
      </c>
      <c r="B1422">
        <v>46.4</v>
      </c>
    </row>
    <row r="1423" spans="1:2" x14ac:dyDescent="0.25">
      <c r="A1423" s="74">
        <v>6215</v>
      </c>
      <c r="B1423">
        <v>27.8</v>
      </c>
    </row>
    <row r="1424" spans="1:2" x14ac:dyDescent="0.25">
      <c r="A1424" s="74">
        <v>6216</v>
      </c>
      <c r="B1424">
        <v>17.7</v>
      </c>
    </row>
    <row r="1425" spans="1:2" x14ac:dyDescent="0.25">
      <c r="A1425" s="74">
        <v>6217</v>
      </c>
      <c r="B1425">
        <v>15.9</v>
      </c>
    </row>
    <row r="1426" spans="1:2" x14ac:dyDescent="0.25">
      <c r="A1426" s="74">
        <v>6218</v>
      </c>
      <c r="B1426">
        <v>21.5</v>
      </c>
    </row>
    <row r="1427" spans="1:2" x14ac:dyDescent="0.25">
      <c r="A1427" s="74">
        <v>6219</v>
      </c>
      <c r="B1427">
        <v>19.3</v>
      </c>
    </row>
    <row r="1428" spans="1:2" x14ac:dyDescent="0.25">
      <c r="A1428" s="74">
        <v>6220</v>
      </c>
      <c r="B1428">
        <v>19.7</v>
      </c>
    </row>
    <row r="1429" spans="1:2" x14ac:dyDescent="0.25">
      <c r="A1429" s="74">
        <v>6221</v>
      </c>
      <c r="B1429">
        <v>15.9</v>
      </c>
    </row>
    <row r="1430" spans="1:2" x14ac:dyDescent="0.25">
      <c r="A1430" s="74">
        <v>6222</v>
      </c>
      <c r="B1430">
        <v>13.8</v>
      </c>
    </row>
    <row r="1431" spans="1:2" x14ac:dyDescent="0.25">
      <c r="A1431" s="74">
        <v>6223</v>
      </c>
      <c r="B1431">
        <v>12.2</v>
      </c>
    </row>
    <row r="1432" spans="1:2" x14ac:dyDescent="0.25">
      <c r="A1432" s="74">
        <v>6224</v>
      </c>
      <c r="B1432">
        <v>10.3</v>
      </c>
    </row>
    <row r="1433" spans="1:2" x14ac:dyDescent="0.25">
      <c r="A1433" s="74">
        <v>6225</v>
      </c>
      <c r="B1433">
        <v>7.76</v>
      </c>
    </row>
    <row r="1434" spans="1:2" x14ac:dyDescent="0.25">
      <c r="A1434" s="74">
        <v>6226</v>
      </c>
      <c r="B1434">
        <v>7.08</v>
      </c>
    </row>
    <row r="1435" spans="1:2" x14ac:dyDescent="0.25">
      <c r="A1435" s="74">
        <v>6227</v>
      </c>
      <c r="B1435">
        <v>7.08</v>
      </c>
    </row>
    <row r="1436" spans="1:2" x14ac:dyDescent="0.25">
      <c r="A1436" s="74">
        <v>6228</v>
      </c>
      <c r="B1436">
        <v>6.51</v>
      </c>
    </row>
    <row r="1437" spans="1:2" x14ac:dyDescent="0.25">
      <c r="A1437" s="74">
        <v>6229</v>
      </c>
      <c r="B1437">
        <v>5.95</v>
      </c>
    </row>
    <row r="1438" spans="1:2" x14ac:dyDescent="0.25">
      <c r="A1438" s="74">
        <v>6230</v>
      </c>
      <c r="B1438">
        <v>5.52</v>
      </c>
    </row>
    <row r="1439" spans="1:2" x14ac:dyDescent="0.25">
      <c r="A1439" s="74">
        <v>6231</v>
      </c>
      <c r="B1439">
        <v>2.5499999999999998</v>
      </c>
    </row>
    <row r="1440" spans="1:2" x14ac:dyDescent="0.25">
      <c r="A1440" s="74">
        <v>6232</v>
      </c>
      <c r="B1440">
        <v>3.23</v>
      </c>
    </row>
    <row r="1441" spans="1:2" x14ac:dyDescent="0.25">
      <c r="A1441" s="74">
        <v>6233</v>
      </c>
      <c r="B1441">
        <v>4.67</v>
      </c>
    </row>
    <row r="1442" spans="1:2" x14ac:dyDescent="0.25">
      <c r="A1442" s="74">
        <v>6234</v>
      </c>
      <c r="B1442">
        <v>4.42</v>
      </c>
    </row>
    <row r="1443" spans="1:2" x14ac:dyDescent="0.25">
      <c r="A1443" s="74">
        <v>6235</v>
      </c>
      <c r="B1443">
        <v>4.67</v>
      </c>
    </row>
    <row r="1444" spans="1:2" x14ac:dyDescent="0.25">
      <c r="A1444" s="74">
        <v>6236</v>
      </c>
      <c r="B1444">
        <v>4.25</v>
      </c>
    </row>
    <row r="1445" spans="1:2" x14ac:dyDescent="0.25">
      <c r="A1445" s="74">
        <v>6237</v>
      </c>
      <c r="B1445">
        <v>4.67</v>
      </c>
    </row>
    <row r="1446" spans="1:2" x14ac:dyDescent="0.25">
      <c r="A1446" s="74">
        <v>6238</v>
      </c>
      <c r="B1446">
        <v>4.25</v>
      </c>
    </row>
    <row r="1447" spans="1:2" x14ac:dyDescent="0.25">
      <c r="A1447" s="74">
        <v>6239</v>
      </c>
      <c r="B1447">
        <v>3.82</v>
      </c>
    </row>
    <row r="1448" spans="1:2" x14ac:dyDescent="0.25">
      <c r="A1448" s="74">
        <v>6240</v>
      </c>
      <c r="B1448">
        <v>3.4</v>
      </c>
    </row>
    <row r="1449" spans="1:2" x14ac:dyDescent="0.25">
      <c r="A1449" s="74">
        <v>6241</v>
      </c>
      <c r="B1449">
        <v>2.97</v>
      </c>
    </row>
    <row r="1450" spans="1:2" x14ac:dyDescent="0.25">
      <c r="A1450" s="74">
        <v>6242</v>
      </c>
      <c r="B1450">
        <v>3.4</v>
      </c>
    </row>
    <row r="1451" spans="1:2" x14ac:dyDescent="0.25">
      <c r="A1451" s="74">
        <v>6243</v>
      </c>
      <c r="B1451">
        <v>4.67</v>
      </c>
    </row>
    <row r="1452" spans="1:2" x14ac:dyDescent="0.25">
      <c r="A1452" s="74">
        <v>6244</v>
      </c>
      <c r="B1452">
        <v>5.95</v>
      </c>
    </row>
    <row r="1453" spans="1:2" x14ac:dyDescent="0.25">
      <c r="A1453" s="74">
        <v>6245</v>
      </c>
      <c r="B1453">
        <v>7.08</v>
      </c>
    </row>
    <row r="1454" spans="1:2" x14ac:dyDescent="0.25">
      <c r="A1454" s="74">
        <v>6246</v>
      </c>
      <c r="B1454">
        <v>15.5</v>
      </c>
    </row>
    <row r="1455" spans="1:2" x14ac:dyDescent="0.25">
      <c r="A1455" s="74">
        <v>6247</v>
      </c>
      <c r="B1455">
        <v>15.9</v>
      </c>
    </row>
    <row r="1456" spans="1:2" x14ac:dyDescent="0.25">
      <c r="A1456" s="74">
        <v>6248</v>
      </c>
      <c r="B1456">
        <v>14.2</v>
      </c>
    </row>
    <row r="1457" spans="1:2" x14ac:dyDescent="0.25">
      <c r="A1457" s="74">
        <v>6249</v>
      </c>
      <c r="B1457">
        <v>14.2</v>
      </c>
    </row>
    <row r="1458" spans="1:2" x14ac:dyDescent="0.25">
      <c r="A1458" s="74">
        <v>6250</v>
      </c>
      <c r="B1458">
        <v>14.2</v>
      </c>
    </row>
    <row r="1459" spans="1:2" x14ac:dyDescent="0.25">
      <c r="A1459" s="74">
        <v>6251</v>
      </c>
      <c r="B1459">
        <v>14.2</v>
      </c>
    </row>
    <row r="1460" spans="1:2" x14ac:dyDescent="0.25">
      <c r="A1460" s="74">
        <v>6252</v>
      </c>
      <c r="B1460">
        <v>22.2</v>
      </c>
    </row>
    <row r="1461" spans="1:2" x14ac:dyDescent="0.25">
      <c r="A1461" s="74">
        <v>6253</v>
      </c>
      <c r="B1461">
        <v>22.7</v>
      </c>
    </row>
    <row r="1462" spans="1:2" x14ac:dyDescent="0.25">
      <c r="A1462" s="74">
        <v>6254</v>
      </c>
      <c r="B1462">
        <v>15.9</v>
      </c>
    </row>
    <row r="1463" spans="1:2" x14ac:dyDescent="0.25">
      <c r="A1463" s="74">
        <v>6255</v>
      </c>
      <c r="B1463">
        <v>13.8</v>
      </c>
    </row>
    <row r="1464" spans="1:2" x14ac:dyDescent="0.25">
      <c r="A1464" s="74">
        <v>6256</v>
      </c>
      <c r="B1464">
        <v>13.6</v>
      </c>
    </row>
    <row r="1465" spans="1:2" x14ac:dyDescent="0.25">
      <c r="A1465" s="74">
        <v>6257</v>
      </c>
      <c r="B1465">
        <v>21.3</v>
      </c>
    </row>
    <row r="1466" spans="1:2" x14ac:dyDescent="0.25">
      <c r="A1466" s="74">
        <v>6258</v>
      </c>
      <c r="B1466">
        <v>19.3</v>
      </c>
    </row>
    <row r="1467" spans="1:2" x14ac:dyDescent="0.25">
      <c r="A1467" s="74">
        <v>6259</v>
      </c>
      <c r="B1467">
        <v>14.2</v>
      </c>
    </row>
    <row r="1468" spans="1:2" x14ac:dyDescent="0.25">
      <c r="A1468" s="74">
        <v>6260</v>
      </c>
      <c r="B1468">
        <v>12.5</v>
      </c>
    </row>
    <row r="1469" spans="1:2" x14ac:dyDescent="0.25">
      <c r="A1469" s="74">
        <v>6261</v>
      </c>
      <c r="B1469">
        <v>10.3</v>
      </c>
    </row>
    <row r="1470" spans="1:2" x14ac:dyDescent="0.25">
      <c r="A1470" s="74">
        <v>6262</v>
      </c>
      <c r="B1470">
        <v>9.6300000000000008</v>
      </c>
    </row>
    <row r="1471" spans="1:2" x14ac:dyDescent="0.25">
      <c r="A1471" s="74">
        <v>6263</v>
      </c>
      <c r="B1471">
        <v>8.2100000000000009</v>
      </c>
    </row>
    <row r="1472" spans="1:2" x14ac:dyDescent="0.25">
      <c r="A1472" s="74">
        <v>6264</v>
      </c>
      <c r="B1472">
        <v>5.95</v>
      </c>
    </row>
    <row r="1473" spans="1:2" x14ac:dyDescent="0.25">
      <c r="A1473" s="74">
        <v>6265</v>
      </c>
      <c r="B1473">
        <v>6.74</v>
      </c>
    </row>
    <row r="1474" spans="1:2" x14ac:dyDescent="0.25">
      <c r="A1474" s="74">
        <v>6266</v>
      </c>
      <c r="B1474">
        <v>5.95</v>
      </c>
    </row>
    <row r="1475" spans="1:2" x14ac:dyDescent="0.25">
      <c r="A1475" s="74">
        <v>6267</v>
      </c>
      <c r="B1475">
        <v>5.52</v>
      </c>
    </row>
    <row r="1476" spans="1:2" x14ac:dyDescent="0.25">
      <c r="A1476" s="74">
        <v>6268</v>
      </c>
      <c r="B1476">
        <v>4.84</v>
      </c>
    </row>
    <row r="1477" spans="1:2" x14ac:dyDescent="0.25">
      <c r="A1477" s="74">
        <v>6269</v>
      </c>
      <c r="B1477">
        <v>5.0999999999999996</v>
      </c>
    </row>
    <row r="1478" spans="1:2" x14ac:dyDescent="0.25">
      <c r="A1478" s="74">
        <v>6270</v>
      </c>
      <c r="B1478">
        <v>4.93</v>
      </c>
    </row>
    <row r="1479" spans="1:2" x14ac:dyDescent="0.25">
      <c r="A1479" s="74">
        <v>6271</v>
      </c>
      <c r="B1479">
        <v>4.08</v>
      </c>
    </row>
    <row r="1480" spans="1:2" x14ac:dyDescent="0.25">
      <c r="A1480" s="74">
        <v>6272</v>
      </c>
      <c r="B1480">
        <v>4.25</v>
      </c>
    </row>
    <row r="1481" spans="1:2" x14ac:dyDescent="0.25">
      <c r="A1481" s="74">
        <v>6273</v>
      </c>
      <c r="B1481">
        <v>5.0999999999999996</v>
      </c>
    </row>
    <row r="1482" spans="1:2" x14ac:dyDescent="0.25">
      <c r="A1482" s="74">
        <v>6274</v>
      </c>
      <c r="B1482">
        <v>5.0999999999999996</v>
      </c>
    </row>
    <row r="1483" spans="1:2" x14ac:dyDescent="0.25">
      <c r="A1483" s="74">
        <v>6275</v>
      </c>
      <c r="B1483">
        <v>4.93</v>
      </c>
    </row>
    <row r="1484" spans="1:2" x14ac:dyDescent="0.25">
      <c r="A1484" s="74">
        <v>6276</v>
      </c>
      <c r="B1484">
        <v>5.0999999999999996</v>
      </c>
    </row>
    <row r="1485" spans="1:2" x14ac:dyDescent="0.25">
      <c r="A1485" s="74">
        <v>6277</v>
      </c>
      <c r="B1485">
        <v>5.0999999999999996</v>
      </c>
    </row>
    <row r="1486" spans="1:2" x14ac:dyDescent="0.25">
      <c r="A1486" s="74">
        <v>6278</v>
      </c>
      <c r="B1486">
        <v>4.93</v>
      </c>
    </row>
    <row r="1487" spans="1:2" x14ac:dyDescent="0.25">
      <c r="A1487" s="74">
        <v>6279</v>
      </c>
      <c r="B1487">
        <v>4.93</v>
      </c>
    </row>
    <row r="1488" spans="1:2" x14ac:dyDescent="0.25">
      <c r="A1488" s="74">
        <v>6280</v>
      </c>
      <c r="B1488">
        <v>4.93</v>
      </c>
    </row>
    <row r="1489" spans="1:2" x14ac:dyDescent="0.25">
      <c r="A1489" s="74">
        <v>6281</v>
      </c>
      <c r="B1489">
        <v>4.67</v>
      </c>
    </row>
    <row r="1490" spans="1:2" x14ac:dyDescent="0.25">
      <c r="A1490" s="74">
        <v>6282</v>
      </c>
      <c r="B1490">
        <v>5.0999999999999996</v>
      </c>
    </row>
    <row r="1491" spans="1:2" x14ac:dyDescent="0.25">
      <c r="A1491" s="74">
        <v>6283</v>
      </c>
      <c r="B1491">
        <v>4.76</v>
      </c>
    </row>
    <row r="1492" spans="1:2" x14ac:dyDescent="0.25">
      <c r="A1492" s="74">
        <v>6284</v>
      </c>
      <c r="B1492">
        <v>4.67</v>
      </c>
    </row>
    <row r="1493" spans="1:2" x14ac:dyDescent="0.25">
      <c r="A1493" s="74">
        <v>6285</v>
      </c>
      <c r="B1493">
        <v>4.25</v>
      </c>
    </row>
    <row r="1494" spans="1:2" x14ac:dyDescent="0.25">
      <c r="A1494" s="74">
        <v>6286</v>
      </c>
      <c r="B1494">
        <v>4.16</v>
      </c>
    </row>
    <row r="1495" spans="1:2" x14ac:dyDescent="0.25">
      <c r="A1495" s="74">
        <v>6287</v>
      </c>
      <c r="B1495">
        <v>3.99</v>
      </c>
    </row>
    <row r="1496" spans="1:2" x14ac:dyDescent="0.25">
      <c r="A1496" s="74">
        <v>6288</v>
      </c>
      <c r="B1496">
        <v>3.82</v>
      </c>
    </row>
    <row r="1497" spans="1:2" x14ac:dyDescent="0.25">
      <c r="A1497" s="74">
        <v>6289</v>
      </c>
      <c r="B1497">
        <v>3.99</v>
      </c>
    </row>
    <row r="1498" spans="1:2" x14ac:dyDescent="0.25">
      <c r="A1498" s="74">
        <v>6290</v>
      </c>
      <c r="B1498">
        <v>4.67</v>
      </c>
    </row>
    <row r="1499" spans="1:2" x14ac:dyDescent="0.25">
      <c r="A1499" s="74">
        <v>6291</v>
      </c>
      <c r="B1499">
        <v>4.67</v>
      </c>
    </row>
    <row r="1500" spans="1:2" x14ac:dyDescent="0.25">
      <c r="A1500" s="74">
        <v>6292</v>
      </c>
      <c r="B1500">
        <v>5.52</v>
      </c>
    </row>
    <row r="1501" spans="1:2" x14ac:dyDescent="0.25">
      <c r="A1501" s="74">
        <v>6293</v>
      </c>
      <c r="B1501">
        <v>15.9</v>
      </c>
    </row>
    <row r="1502" spans="1:2" x14ac:dyDescent="0.25">
      <c r="A1502" s="74">
        <v>6294</v>
      </c>
      <c r="B1502">
        <v>11.9</v>
      </c>
    </row>
    <row r="1503" spans="1:2" x14ac:dyDescent="0.25">
      <c r="A1503" s="74">
        <v>6295</v>
      </c>
      <c r="B1503">
        <v>9.6300000000000008</v>
      </c>
    </row>
    <row r="1504" spans="1:2" x14ac:dyDescent="0.25">
      <c r="A1504" s="74">
        <v>6296</v>
      </c>
      <c r="B1504">
        <v>8.2100000000000009</v>
      </c>
    </row>
    <row r="1505" spans="1:2" x14ac:dyDescent="0.25">
      <c r="A1505" s="74">
        <v>6297</v>
      </c>
      <c r="B1505">
        <v>7.08</v>
      </c>
    </row>
    <row r="1506" spans="1:2" x14ac:dyDescent="0.25">
      <c r="A1506" s="74">
        <v>6298</v>
      </c>
      <c r="B1506">
        <v>9.34</v>
      </c>
    </row>
    <row r="1507" spans="1:2" x14ac:dyDescent="0.25">
      <c r="A1507" s="74">
        <v>6299</v>
      </c>
      <c r="B1507">
        <v>8.92</v>
      </c>
    </row>
    <row r="1508" spans="1:2" x14ac:dyDescent="0.25">
      <c r="A1508" s="74">
        <v>6300</v>
      </c>
      <c r="B1508">
        <v>7.99</v>
      </c>
    </row>
    <row r="1509" spans="1:2" x14ac:dyDescent="0.25">
      <c r="A1509" s="74">
        <v>6301</v>
      </c>
      <c r="B1509">
        <v>7.08</v>
      </c>
    </row>
    <row r="1510" spans="1:2" x14ac:dyDescent="0.25">
      <c r="A1510" s="74">
        <v>6302</v>
      </c>
      <c r="B1510">
        <v>7.08</v>
      </c>
    </row>
    <row r="1511" spans="1:2" x14ac:dyDescent="0.25">
      <c r="A1511" s="74">
        <v>6303</v>
      </c>
      <c r="B1511">
        <v>6.51</v>
      </c>
    </row>
    <row r="1512" spans="1:2" x14ac:dyDescent="0.25">
      <c r="A1512" s="74">
        <v>6304</v>
      </c>
      <c r="B1512">
        <v>7.65</v>
      </c>
    </row>
    <row r="1513" spans="1:2" x14ac:dyDescent="0.25">
      <c r="A1513" s="74">
        <v>6305</v>
      </c>
      <c r="B1513">
        <v>11.2</v>
      </c>
    </row>
    <row r="1514" spans="1:2" x14ac:dyDescent="0.25">
      <c r="A1514" s="74">
        <v>6306</v>
      </c>
      <c r="B1514">
        <v>11.9</v>
      </c>
    </row>
    <row r="1515" spans="1:2" x14ac:dyDescent="0.25">
      <c r="A1515" s="74">
        <v>6307</v>
      </c>
      <c r="B1515">
        <v>12.8</v>
      </c>
    </row>
    <row r="1516" spans="1:2" x14ac:dyDescent="0.25">
      <c r="A1516" s="74">
        <v>6308</v>
      </c>
      <c r="B1516">
        <v>15.9</v>
      </c>
    </row>
    <row r="1517" spans="1:2" x14ac:dyDescent="0.25">
      <c r="A1517" s="74">
        <v>6309</v>
      </c>
      <c r="B1517">
        <v>16.399999999999999</v>
      </c>
    </row>
    <row r="1518" spans="1:2" x14ac:dyDescent="0.25">
      <c r="A1518" s="74">
        <v>6310</v>
      </c>
      <c r="B1518">
        <v>15.9</v>
      </c>
    </row>
    <row r="1519" spans="1:2" x14ac:dyDescent="0.25">
      <c r="A1519" s="74">
        <v>6311</v>
      </c>
      <c r="B1519">
        <v>19.3</v>
      </c>
    </row>
    <row r="1520" spans="1:2" x14ac:dyDescent="0.25">
      <c r="A1520" s="74">
        <v>6312</v>
      </c>
      <c r="B1520">
        <v>15.9</v>
      </c>
    </row>
    <row r="1521" spans="1:2" x14ac:dyDescent="0.25">
      <c r="A1521" s="74">
        <v>6313</v>
      </c>
      <c r="B1521">
        <v>15.9</v>
      </c>
    </row>
    <row r="1522" spans="1:2" x14ac:dyDescent="0.25">
      <c r="A1522" s="74">
        <v>6314</v>
      </c>
      <c r="B1522">
        <v>14.2</v>
      </c>
    </row>
    <row r="1523" spans="1:2" x14ac:dyDescent="0.25">
      <c r="A1523" s="74">
        <v>6315</v>
      </c>
      <c r="B1523">
        <v>13.3</v>
      </c>
    </row>
    <row r="1524" spans="1:2" x14ac:dyDescent="0.25">
      <c r="A1524" s="74">
        <v>6316</v>
      </c>
      <c r="B1524">
        <v>12.5</v>
      </c>
    </row>
    <row r="1525" spans="1:2" x14ac:dyDescent="0.25">
      <c r="A1525" s="74">
        <v>6317</v>
      </c>
      <c r="B1525">
        <v>12</v>
      </c>
    </row>
    <row r="1526" spans="1:2" x14ac:dyDescent="0.25">
      <c r="A1526" s="74">
        <v>6318</v>
      </c>
      <c r="B1526">
        <v>11.9</v>
      </c>
    </row>
    <row r="1527" spans="1:2" x14ac:dyDescent="0.25">
      <c r="A1527" s="74">
        <v>6319</v>
      </c>
      <c r="B1527">
        <v>12.3</v>
      </c>
    </row>
    <row r="1528" spans="1:2" x14ac:dyDescent="0.25">
      <c r="A1528" s="74">
        <v>6320</v>
      </c>
      <c r="B1528">
        <v>12.5</v>
      </c>
    </row>
    <row r="1529" spans="1:2" x14ac:dyDescent="0.25">
      <c r="A1529" s="74">
        <v>6321</v>
      </c>
      <c r="B1529">
        <v>14.2</v>
      </c>
    </row>
    <row r="1530" spans="1:2" x14ac:dyDescent="0.25">
      <c r="A1530" s="74">
        <v>6322</v>
      </c>
      <c r="B1530">
        <v>15.9</v>
      </c>
    </row>
    <row r="1531" spans="1:2" x14ac:dyDescent="0.25">
      <c r="A1531" s="74">
        <v>6323</v>
      </c>
      <c r="B1531">
        <v>16.3</v>
      </c>
    </row>
    <row r="1532" spans="1:2" x14ac:dyDescent="0.25">
      <c r="A1532" s="74">
        <v>6324</v>
      </c>
      <c r="B1532">
        <v>15.9</v>
      </c>
    </row>
    <row r="1533" spans="1:2" x14ac:dyDescent="0.25">
      <c r="A1533" s="74">
        <v>6325</v>
      </c>
      <c r="B1533">
        <v>12.5</v>
      </c>
    </row>
    <row r="1534" spans="1:2" x14ac:dyDescent="0.25">
      <c r="A1534" s="74">
        <v>6326</v>
      </c>
      <c r="B1534">
        <v>15.9</v>
      </c>
    </row>
    <row r="1535" spans="1:2" x14ac:dyDescent="0.25">
      <c r="A1535" s="74">
        <v>6327</v>
      </c>
      <c r="B1535">
        <v>21.1</v>
      </c>
    </row>
    <row r="1536" spans="1:2" x14ac:dyDescent="0.25">
      <c r="A1536" s="74">
        <v>6328</v>
      </c>
      <c r="B1536">
        <v>22</v>
      </c>
    </row>
    <row r="1537" spans="1:2" x14ac:dyDescent="0.25">
      <c r="A1537" s="74">
        <v>6329</v>
      </c>
      <c r="B1537">
        <v>24.2</v>
      </c>
    </row>
    <row r="1538" spans="1:2" x14ac:dyDescent="0.25">
      <c r="A1538" s="74">
        <v>6330</v>
      </c>
      <c r="B1538">
        <v>27.8</v>
      </c>
    </row>
    <row r="1539" spans="1:2" x14ac:dyDescent="0.25">
      <c r="A1539" s="74">
        <v>6331</v>
      </c>
      <c r="B1539">
        <v>21.5</v>
      </c>
    </row>
    <row r="1540" spans="1:2" x14ac:dyDescent="0.25">
      <c r="A1540" s="74">
        <v>6332</v>
      </c>
      <c r="B1540">
        <v>19.3</v>
      </c>
    </row>
    <row r="1541" spans="1:2" x14ac:dyDescent="0.25">
      <c r="A1541" s="74">
        <v>6333</v>
      </c>
      <c r="B1541">
        <v>16.3</v>
      </c>
    </row>
    <row r="1542" spans="1:2" x14ac:dyDescent="0.25">
      <c r="A1542" s="74">
        <v>6334</v>
      </c>
      <c r="B1542">
        <v>14.2</v>
      </c>
    </row>
    <row r="1543" spans="1:2" x14ac:dyDescent="0.25">
      <c r="A1543" s="74">
        <v>6335</v>
      </c>
      <c r="B1543">
        <v>13.5</v>
      </c>
    </row>
    <row r="1544" spans="1:2" x14ac:dyDescent="0.25">
      <c r="A1544" s="74">
        <v>6336</v>
      </c>
      <c r="B1544">
        <v>17</v>
      </c>
    </row>
    <row r="1545" spans="1:2" x14ac:dyDescent="0.25">
      <c r="A1545" s="74">
        <v>6337</v>
      </c>
      <c r="B1545">
        <v>26.5</v>
      </c>
    </row>
    <row r="1546" spans="1:2" x14ac:dyDescent="0.25">
      <c r="A1546" s="74">
        <v>6338</v>
      </c>
      <c r="B1546">
        <v>38.799999999999997</v>
      </c>
    </row>
    <row r="1547" spans="1:2" x14ac:dyDescent="0.25">
      <c r="A1547" s="74">
        <v>6339</v>
      </c>
      <c r="B1547">
        <v>36</v>
      </c>
    </row>
    <row r="1548" spans="1:2" x14ac:dyDescent="0.25">
      <c r="A1548" s="74">
        <v>6340</v>
      </c>
      <c r="B1548">
        <v>25.2</v>
      </c>
    </row>
    <row r="1549" spans="1:2" x14ac:dyDescent="0.25">
      <c r="A1549" s="74">
        <v>6341</v>
      </c>
      <c r="B1549">
        <v>25.2</v>
      </c>
    </row>
    <row r="1550" spans="1:2" x14ac:dyDescent="0.25">
      <c r="A1550" s="74">
        <v>6342</v>
      </c>
      <c r="B1550">
        <v>25.2</v>
      </c>
    </row>
    <row r="1551" spans="1:2" x14ac:dyDescent="0.25">
      <c r="A1551" s="74">
        <v>6343</v>
      </c>
      <c r="B1551">
        <v>21.5</v>
      </c>
    </row>
    <row r="1552" spans="1:2" x14ac:dyDescent="0.25">
      <c r="A1552" s="74">
        <v>6344</v>
      </c>
      <c r="B1552">
        <v>17</v>
      </c>
    </row>
    <row r="1553" spans="1:2" x14ac:dyDescent="0.25">
      <c r="A1553" s="74">
        <v>6345</v>
      </c>
      <c r="B1553">
        <v>15</v>
      </c>
    </row>
    <row r="1554" spans="1:2" x14ac:dyDescent="0.25">
      <c r="A1554" s="74">
        <v>6346</v>
      </c>
      <c r="B1554">
        <v>12.5</v>
      </c>
    </row>
    <row r="1555" spans="1:2" x14ac:dyDescent="0.25">
      <c r="A1555" s="74">
        <v>6347</v>
      </c>
      <c r="B1555">
        <v>12</v>
      </c>
    </row>
    <row r="1556" spans="1:2" x14ac:dyDescent="0.25">
      <c r="A1556" s="74">
        <v>6348</v>
      </c>
      <c r="B1556">
        <v>11.8</v>
      </c>
    </row>
    <row r="1557" spans="1:2" x14ac:dyDescent="0.25">
      <c r="A1557" s="74">
        <v>6349</v>
      </c>
      <c r="B1557">
        <v>11.2</v>
      </c>
    </row>
    <row r="1558" spans="1:2" x14ac:dyDescent="0.25">
      <c r="A1558" s="74">
        <v>6350</v>
      </c>
      <c r="B1558">
        <v>10.8</v>
      </c>
    </row>
    <row r="1559" spans="1:2" x14ac:dyDescent="0.25">
      <c r="A1559" s="74">
        <v>6351</v>
      </c>
      <c r="B1559">
        <v>11.8</v>
      </c>
    </row>
    <row r="1560" spans="1:2" x14ac:dyDescent="0.25">
      <c r="A1560" s="74">
        <v>6352</v>
      </c>
      <c r="B1560">
        <v>12.3</v>
      </c>
    </row>
    <row r="1561" spans="1:2" x14ac:dyDescent="0.25">
      <c r="A1561" s="74">
        <v>6353</v>
      </c>
      <c r="B1561">
        <v>13.8</v>
      </c>
    </row>
    <row r="1562" spans="1:2" x14ac:dyDescent="0.25">
      <c r="A1562" s="74">
        <v>6354</v>
      </c>
      <c r="B1562">
        <v>14</v>
      </c>
    </row>
    <row r="1563" spans="1:2" x14ac:dyDescent="0.25">
      <c r="A1563" s="74">
        <v>6355</v>
      </c>
      <c r="B1563">
        <v>15.5</v>
      </c>
    </row>
    <row r="1564" spans="1:2" x14ac:dyDescent="0.25">
      <c r="A1564" s="74">
        <v>6356</v>
      </c>
      <c r="B1564">
        <v>20.2</v>
      </c>
    </row>
    <row r="1565" spans="1:2" x14ac:dyDescent="0.25">
      <c r="A1565" s="74">
        <v>6357</v>
      </c>
      <c r="B1565">
        <v>25.2</v>
      </c>
    </row>
    <row r="1566" spans="1:2" x14ac:dyDescent="0.25">
      <c r="A1566" s="74">
        <v>6358</v>
      </c>
      <c r="B1566">
        <v>27.8</v>
      </c>
    </row>
    <row r="1567" spans="1:2" x14ac:dyDescent="0.25">
      <c r="A1567" s="74">
        <v>6359</v>
      </c>
      <c r="B1567">
        <v>22.7</v>
      </c>
    </row>
    <row r="1568" spans="1:2" x14ac:dyDescent="0.25">
      <c r="A1568" s="74">
        <v>6360</v>
      </c>
      <c r="B1568">
        <v>20.399999999999999</v>
      </c>
    </row>
    <row r="1569" spans="1:2" x14ac:dyDescent="0.25">
      <c r="A1569" s="74">
        <v>6361</v>
      </c>
      <c r="B1569">
        <v>17</v>
      </c>
    </row>
    <row r="1570" spans="1:2" x14ac:dyDescent="0.25">
      <c r="A1570" s="74">
        <v>6362</v>
      </c>
      <c r="B1570">
        <v>15</v>
      </c>
    </row>
    <row r="1571" spans="1:2" x14ac:dyDescent="0.25">
      <c r="A1571" s="74">
        <v>6363</v>
      </c>
      <c r="B1571">
        <v>15.9</v>
      </c>
    </row>
    <row r="1572" spans="1:2" x14ac:dyDescent="0.25">
      <c r="A1572" s="74">
        <v>6364</v>
      </c>
      <c r="B1572">
        <v>14.2</v>
      </c>
    </row>
    <row r="1573" spans="1:2" x14ac:dyDescent="0.25">
      <c r="A1573" s="74">
        <v>6365</v>
      </c>
      <c r="B1573">
        <v>15.2</v>
      </c>
    </row>
    <row r="1574" spans="1:2" x14ac:dyDescent="0.25">
      <c r="A1574" s="74">
        <v>6366</v>
      </c>
      <c r="B1574">
        <v>14</v>
      </c>
    </row>
    <row r="1575" spans="1:2" x14ac:dyDescent="0.25">
      <c r="A1575" s="74">
        <v>6367</v>
      </c>
      <c r="B1575">
        <v>14</v>
      </c>
    </row>
    <row r="1576" spans="1:2" x14ac:dyDescent="0.25">
      <c r="A1576" s="74">
        <v>6368</v>
      </c>
      <c r="B1576">
        <v>15.9</v>
      </c>
    </row>
    <row r="1577" spans="1:2" x14ac:dyDescent="0.25">
      <c r="A1577" s="74">
        <v>6369</v>
      </c>
      <c r="B1577">
        <v>19.3</v>
      </c>
    </row>
    <row r="1578" spans="1:2" x14ac:dyDescent="0.25">
      <c r="A1578" s="74">
        <v>6370</v>
      </c>
      <c r="B1578">
        <v>18.100000000000001</v>
      </c>
    </row>
    <row r="1579" spans="1:2" x14ac:dyDescent="0.25">
      <c r="A1579" s="74">
        <v>6371</v>
      </c>
      <c r="B1579">
        <v>12.2</v>
      </c>
    </row>
    <row r="1580" spans="1:2" x14ac:dyDescent="0.25">
      <c r="A1580" s="74">
        <v>6372</v>
      </c>
      <c r="B1580">
        <v>9.49</v>
      </c>
    </row>
    <row r="1581" spans="1:2" x14ac:dyDescent="0.25">
      <c r="A1581" s="74">
        <v>6373</v>
      </c>
      <c r="B1581">
        <v>9.49</v>
      </c>
    </row>
    <row r="1582" spans="1:2" x14ac:dyDescent="0.25">
      <c r="A1582" s="74">
        <v>6374</v>
      </c>
      <c r="B1582">
        <v>9.34</v>
      </c>
    </row>
    <row r="1583" spans="1:2" x14ac:dyDescent="0.25">
      <c r="A1583" s="74">
        <v>6375</v>
      </c>
      <c r="B1583">
        <v>12</v>
      </c>
    </row>
    <row r="1584" spans="1:2" x14ac:dyDescent="0.25">
      <c r="A1584" s="74">
        <v>6376</v>
      </c>
      <c r="B1584">
        <v>13.8</v>
      </c>
    </row>
    <row r="1585" spans="1:2" x14ac:dyDescent="0.25">
      <c r="A1585" s="74">
        <v>6377</v>
      </c>
      <c r="B1585">
        <v>15</v>
      </c>
    </row>
    <row r="1586" spans="1:2" x14ac:dyDescent="0.25">
      <c r="A1586" s="74">
        <v>6378</v>
      </c>
      <c r="B1586">
        <v>12.5</v>
      </c>
    </row>
    <row r="1587" spans="1:2" x14ac:dyDescent="0.25">
      <c r="A1587" s="74">
        <v>6379</v>
      </c>
      <c r="B1587">
        <v>11</v>
      </c>
    </row>
    <row r="1588" spans="1:2" x14ac:dyDescent="0.25">
      <c r="A1588" s="74">
        <v>6380</v>
      </c>
      <c r="B1588">
        <v>9.6300000000000008</v>
      </c>
    </row>
    <row r="1589" spans="1:2" x14ac:dyDescent="0.25">
      <c r="A1589" s="74">
        <v>6381</v>
      </c>
      <c r="B1589">
        <v>10.1</v>
      </c>
    </row>
    <row r="1590" spans="1:2" x14ac:dyDescent="0.25">
      <c r="A1590" s="74">
        <v>6382</v>
      </c>
      <c r="B1590">
        <v>10.3</v>
      </c>
    </row>
    <row r="1591" spans="1:2" x14ac:dyDescent="0.25">
      <c r="A1591" s="74">
        <v>6383</v>
      </c>
      <c r="B1591">
        <v>9.6300000000000008</v>
      </c>
    </row>
    <row r="1592" spans="1:2" x14ac:dyDescent="0.25">
      <c r="A1592" s="74">
        <v>6384</v>
      </c>
      <c r="B1592">
        <v>8.2100000000000009</v>
      </c>
    </row>
    <row r="1593" spans="1:2" x14ac:dyDescent="0.25">
      <c r="A1593" s="74">
        <v>6385</v>
      </c>
      <c r="B1593">
        <v>9.6300000000000008</v>
      </c>
    </row>
    <row r="1594" spans="1:2" x14ac:dyDescent="0.25">
      <c r="A1594" s="74">
        <v>6386</v>
      </c>
      <c r="B1594">
        <v>8.92</v>
      </c>
    </row>
    <row r="1595" spans="1:2" x14ac:dyDescent="0.25">
      <c r="A1595" s="74">
        <v>6387</v>
      </c>
      <c r="B1595">
        <v>8.1</v>
      </c>
    </row>
    <row r="1596" spans="1:2" x14ac:dyDescent="0.25">
      <c r="A1596" s="74">
        <v>6388</v>
      </c>
      <c r="B1596">
        <v>7.99</v>
      </c>
    </row>
    <row r="1597" spans="1:2" x14ac:dyDescent="0.25">
      <c r="A1597" s="74">
        <v>6389</v>
      </c>
      <c r="B1597">
        <v>8.64</v>
      </c>
    </row>
    <row r="1598" spans="1:2" x14ac:dyDescent="0.25">
      <c r="A1598" s="74">
        <v>6390</v>
      </c>
      <c r="B1598">
        <v>7.65</v>
      </c>
    </row>
    <row r="1599" spans="1:2" x14ac:dyDescent="0.25">
      <c r="A1599" s="74">
        <v>6391</v>
      </c>
      <c r="B1599">
        <v>7.08</v>
      </c>
    </row>
    <row r="1600" spans="1:2" x14ac:dyDescent="0.25">
      <c r="A1600" s="74">
        <v>6392</v>
      </c>
      <c r="B1600">
        <v>7.79</v>
      </c>
    </row>
    <row r="1601" spans="1:2" x14ac:dyDescent="0.25">
      <c r="A1601" s="74">
        <v>6393</v>
      </c>
      <c r="B1601">
        <v>8.2100000000000009</v>
      </c>
    </row>
    <row r="1602" spans="1:2" x14ac:dyDescent="0.25">
      <c r="A1602" s="74">
        <v>6394</v>
      </c>
      <c r="B1602">
        <v>7.65</v>
      </c>
    </row>
    <row r="1603" spans="1:2" x14ac:dyDescent="0.25">
      <c r="A1603" s="74">
        <v>6395</v>
      </c>
      <c r="B1603">
        <v>8.2100000000000009</v>
      </c>
    </row>
    <row r="1604" spans="1:2" x14ac:dyDescent="0.25">
      <c r="A1604" s="74">
        <v>6396</v>
      </c>
      <c r="B1604">
        <v>8.2100000000000009</v>
      </c>
    </row>
    <row r="1605" spans="1:2" x14ac:dyDescent="0.25">
      <c r="A1605" s="74">
        <v>6397</v>
      </c>
      <c r="B1605">
        <v>7.65</v>
      </c>
    </row>
    <row r="1606" spans="1:2" x14ac:dyDescent="0.25">
      <c r="A1606" s="74">
        <v>6398</v>
      </c>
      <c r="B1606">
        <v>5.95</v>
      </c>
    </row>
    <row r="1607" spans="1:2" x14ac:dyDescent="0.25">
      <c r="A1607" s="74">
        <v>6399</v>
      </c>
      <c r="B1607">
        <v>5.0999999999999996</v>
      </c>
    </row>
    <row r="1608" spans="1:2" x14ac:dyDescent="0.25">
      <c r="A1608" s="74">
        <v>6400</v>
      </c>
      <c r="B1608">
        <v>5.0999999999999996</v>
      </c>
    </row>
    <row r="1609" spans="1:2" x14ac:dyDescent="0.25">
      <c r="A1609" s="74">
        <v>6401</v>
      </c>
      <c r="B1609">
        <v>5.52</v>
      </c>
    </row>
    <row r="1610" spans="1:2" x14ac:dyDescent="0.25">
      <c r="A1610" s="74">
        <v>6402</v>
      </c>
      <c r="B1610">
        <v>5.0999999999999996</v>
      </c>
    </row>
    <row r="1611" spans="1:2" x14ac:dyDescent="0.25">
      <c r="A1611" s="74">
        <v>6403</v>
      </c>
      <c r="B1611">
        <v>5.52</v>
      </c>
    </row>
    <row r="1612" spans="1:2" x14ac:dyDescent="0.25">
      <c r="A1612" s="74">
        <v>6404</v>
      </c>
      <c r="B1612">
        <v>5.52</v>
      </c>
    </row>
    <row r="1613" spans="1:2" x14ac:dyDescent="0.25">
      <c r="A1613" s="74">
        <v>6405</v>
      </c>
      <c r="B1613">
        <v>4.67</v>
      </c>
    </row>
    <row r="1614" spans="1:2" x14ac:dyDescent="0.25">
      <c r="A1614" s="74">
        <v>6406</v>
      </c>
      <c r="B1614">
        <v>4.25</v>
      </c>
    </row>
    <row r="1615" spans="1:2" x14ac:dyDescent="0.25">
      <c r="A1615" s="74">
        <v>6407</v>
      </c>
      <c r="B1615">
        <v>6.51</v>
      </c>
    </row>
    <row r="1616" spans="1:2" x14ac:dyDescent="0.25">
      <c r="A1616" s="74">
        <v>6408</v>
      </c>
      <c r="B1616">
        <v>4.25</v>
      </c>
    </row>
    <row r="1617" spans="1:2" x14ac:dyDescent="0.25">
      <c r="A1617" s="74">
        <v>6409</v>
      </c>
      <c r="B1617">
        <v>4.08</v>
      </c>
    </row>
    <row r="1618" spans="1:2" x14ac:dyDescent="0.25">
      <c r="A1618" s="74">
        <v>6410</v>
      </c>
      <c r="B1618">
        <v>3.4</v>
      </c>
    </row>
    <row r="1619" spans="1:2" x14ac:dyDescent="0.25">
      <c r="A1619" s="74">
        <v>6411</v>
      </c>
      <c r="B1619">
        <v>3.4</v>
      </c>
    </row>
    <row r="1620" spans="1:2" x14ac:dyDescent="0.25">
      <c r="A1620" s="74">
        <v>6412</v>
      </c>
      <c r="B1620">
        <v>2.97</v>
      </c>
    </row>
    <row r="1621" spans="1:2" x14ac:dyDescent="0.25">
      <c r="A1621" s="74">
        <v>6413</v>
      </c>
      <c r="B1621">
        <v>3.14</v>
      </c>
    </row>
    <row r="1622" spans="1:2" x14ac:dyDescent="0.25">
      <c r="A1622" s="74">
        <v>6414</v>
      </c>
      <c r="B1622">
        <v>2.8</v>
      </c>
    </row>
    <row r="1623" spans="1:2" x14ac:dyDescent="0.25">
      <c r="A1623" s="74">
        <v>6415</v>
      </c>
      <c r="B1623">
        <v>2.5499999999999998</v>
      </c>
    </row>
    <row r="1624" spans="1:2" x14ac:dyDescent="0.25">
      <c r="A1624" s="74">
        <v>6416</v>
      </c>
      <c r="B1624">
        <v>2.1800000000000002</v>
      </c>
    </row>
    <row r="1625" spans="1:2" x14ac:dyDescent="0.25">
      <c r="A1625" s="74">
        <v>6417</v>
      </c>
      <c r="B1625">
        <v>1.93</v>
      </c>
    </row>
    <row r="1626" spans="1:2" x14ac:dyDescent="0.25">
      <c r="A1626" s="74">
        <v>6418</v>
      </c>
      <c r="B1626">
        <v>2.0699999999999998</v>
      </c>
    </row>
    <row r="1627" spans="1:2" x14ac:dyDescent="0.25">
      <c r="A1627" s="74">
        <v>6419</v>
      </c>
      <c r="B1627">
        <v>2.41</v>
      </c>
    </row>
    <row r="1628" spans="1:2" x14ac:dyDescent="0.25">
      <c r="A1628" s="74">
        <v>6420</v>
      </c>
      <c r="B1628">
        <v>2.5499999999999998</v>
      </c>
    </row>
    <row r="1629" spans="1:2" x14ac:dyDescent="0.25">
      <c r="A1629" s="74">
        <v>6421</v>
      </c>
      <c r="B1629">
        <v>1.98</v>
      </c>
    </row>
    <row r="1630" spans="1:2" x14ac:dyDescent="0.25">
      <c r="A1630" s="74">
        <v>6422</v>
      </c>
      <c r="B1630">
        <v>1.84</v>
      </c>
    </row>
    <row r="1631" spans="1:2" x14ac:dyDescent="0.25">
      <c r="A1631" s="74">
        <v>6423</v>
      </c>
      <c r="B1631">
        <v>1.78</v>
      </c>
    </row>
    <row r="1632" spans="1:2" x14ac:dyDescent="0.25">
      <c r="A1632" s="74">
        <v>6424</v>
      </c>
      <c r="B1632">
        <v>1.61</v>
      </c>
    </row>
    <row r="1633" spans="1:3" x14ac:dyDescent="0.25">
      <c r="A1633" s="74">
        <v>6425</v>
      </c>
      <c r="B1633">
        <v>1.61</v>
      </c>
    </row>
    <row r="1634" spans="1:3" x14ac:dyDescent="0.25">
      <c r="A1634" s="74">
        <v>6426</v>
      </c>
      <c r="B1634">
        <v>1.56</v>
      </c>
    </row>
    <row r="1635" spans="1:3" x14ac:dyDescent="0.25">
      <c r="A1635" s="74">
        <v>6427</v>
      </c>
      <c r="B1635">
        <v>1.56</v>
      </c>
    </row>
    <row r="1636" spans="1:3" x14ac:dyDescent="0.25">
      <c r="A1636" s="74">
        <v>6428</v>
      </c>
      <c r="B1636">
        <v>1.56</v>
      </c>
    </row>
    <row r="1637" spans="1:3" x14ac:dyDescent="0.25">
      <c r="A1637" s="74">
        <v>6429</v>
      </c>
      <c r="B1637">
        <v>1.56</v>
      </c>
    </row>
    <row r="1638" spans="1:3" x14ac:dyDescent="0.25">
      <c r="A1638" s="74">
        <v>6430</v>
      </c>
      <c r="B1638">
        <v>1.56</v>
      </c>
    </row>
    <row r="1639" spans="1:3" x14ac:dyDescent="0.25">
      <c r="A1639" s="74">
        <v>6431</v>
      </c>
      <c r="B1639">
        <v>1.39</v>
      </c>
    </row>
    <row r="1640" spans="1:3" x14ac:dyDescent="0.25">
      <c r="A1640" s="74">
        <v>6432</v>
      </c>
      <c r="B1640">
        <v>1.25</v>
      </c>
      <c r="C1640" t="s">
        <v>141</v>
      </c>
    </row>
    <row r="1641" spans="1:3" x14ac:dyDescent="0.25">
      <c r="A1641" s="74">
        <v>6433</v>
      </c>
      <c r="B1641">
        <v>1.1000000000000001</v>
      </c>
      <c r="C1641" t="s">
        <v>141</v>
      </c>
    </row>
    <row r="1642" spans="1:3" x14ac:dyDescent="0.25">
      <c r="A1642" s="74">
        <v>6434</v>
      </c>
      <c r="B1642">
        <v>1.1000000000000001</v>
      </c>
      <c r="C1642" t="s">
        <v>141</v>
      </c>
    </row>
    <row r="1643" spans="1:3" x14ac:dyDescent="0.25">
      <c r="A1643" s="74">
        <v>6435</v>
      </c>
      <c r="B1643">
        <v>1.1000000000000001</v>
      </c>
      <c r="C1643" t="s">
        <v>141</v>
      </c>
    </row>
    <row r="1644" spans="1:3" x14ac:dyDescent="0.25">
      <c r="A1644" s="74">
        <v>6436</v>
      </c>
      <c r="B1644">
        <v>1.1000000000000001</v>
      </c>
      <c r="C1644" t="s">
        <v>141</v>
      </c>
    </row>
    <row r="1645" spans="1:3" x14ac:dyDescent="0.25">
      <c r="A1645" s="74">
        <v>6437</v>
      </c>
      <c r="B1645">
        <v>1.1000000000000001</v>
      </c>
      <c r="C1645" t="s">
        <v>141</v>
      </c>
    </row>
    <row r="1646" spans="1:3" x14ac:dyDescent="0.25">
      <c r="A1646" s="74">
        <v>6438</v>
      </c>
      <c r="B1646">
        <v>1.1000000000000001</v>
      </c>
      <c r="C1646" t="s">
        <v>141</v>
      </c>
    </row>
    <row r="1647" spans="1:3" x14ac:dyDescent="0.25">
      <c r="A1647" s="74">
        <v>6439</v>
      </c>
      <c r="B1647">
        <v>1.1000000000000001</v>
      </c>
      <c r="C1647" t="s">
        <v>141</v>
      </c>
    </row>
    <row r="1648" spans="1:3" x14ac:dyDescent="0.25">
      <c r="A1648" s="74">
        <v>6440</v>
      </c>
      <c r="B1648">
        <v>1.1000000000000001</v>
      </c>
      <c r="C1648" t="s">
        <v>141</v>
      </c>
    </row>
    <row r="1649" spans="1:3" x14ac:dyDescent="0.25">
      <c r="A1649" s="74">
        <v>6441</v>
      </c>
      <c r="B1649">
        <v>1.1000000000000001</v>
      </c>
      <c r="C1649" t="s">
        <v>141</v>
      </c>
    </row>
    <row r="1650" spans="1:3" x14ac:dyDescent="0.25">
      <c r="A1650" s="74">
        <v>6442</v>
      </c>
      <c r="B1650">
        <v>1.1000000000000001</v>
      </c>
      <c r="C1650" t="s">
        <v>141</v>
      </c>
    </row>
    <row r="1651" spans="1:3" x14ac:dyDescent="0.25">
      <c r="A1651" s="74">
        <v>6443</v>
      </c>
      <c r="B1651">
        <v>1.1000000000000001</v>
      </c>
      <c r="C1651" t="s">
        <v>141</v>
      </c>
    </row>
    <row r="1652" spans="1:3" x14ac:dyDescent="0.25">
      <c r="A1652" s="74">
        <v>6444</v>
      </c>
      <c r="B1652">
        <v>1.1000000000000001</v>
      </c>
      <c r="C1652" t="s">
        <v>141</v>
      </c>
    </row>
    <row r="1653" spans="1:3" x14ac:dyDescent="0.25">
      <c r="A1653" s="74">
        <v>6445</v>
      </c>
      <c r="B1653">
        <v>1.1000000000000001</v>
      </c>
      <c r="C1653" t="s">
        <v>141</v>
      </c>
    </row>
    <row r="1654" spans="1:3" x14ac:dyDescent="0.25">
      <c r="A1654" s="74">
        <v>6446</v>
      </c>
      <c r="B1654">
        <v>1.1000000000000001</v>
      </c>
      <c r="C1654" t="s">
        <v>141</v>
      </c>
    </row>
    <row r="1655" spans="1:3" x14ac:dyDescent="0.25">
      <c r="A1655" s="74">
        <v>6447</v>
      </c>
      <c r="B1655">
        <v>1.1000000000000001</v>
      </c>
      <c r="C1655" t="s">
        <v>141</v>
      </c>
    </row>
    <row r="1656" spans="1:3" x14ac:dyDescent="0.25">
      <c r="A1656" s="74">
        <v>6448</v>
      </c>
      <c r="B1656">
        <v>1.1000000000000001</v>
      </c>
      <c r="C1656" t="s">
        <v>141</v>
      </c>
    </row>
    <row r="1657" spans="1:3" x14ac:dyDescent="0.25">
      <c r="A1657" s="74">
        <v>6449</v>
      </c>
      <c r="B1657">
        <v>1.1000000000000001</v>
      </c>
      <c r="C1657" t="s">
        <v>141</v>
      </c>
    </row>
    <row r="1658" spans="1:3" x14ac:dyDescent="0.25">
      <c r="A1658" s="74">
        <v>6450</v>
      </c>
      <c r="B1658">
        <v>1.1000000000000001</v>
      </c>
      <c r="C1658" t="s">
        <v>141</v>
      </c>
    </row>
    <row r="1659" spans="1:3" x14ac:dyDescent="0.25">
      <c r="A1659" s="74">
        <v>6451</v>
      </c>
      <c r="B1659">
        <v>1.1000000000000001</v>
      </c>
      <c r="C1659" t="s">
        <v>141</v>
      </c>
    </row>
    <row r="1660" spans="1:3" x14ac:dyDescent="0.25">
      <c r="A1660" s="74">
        <v>6452</v>
      </c>
      <c r="B1660">
        <v>1.1000000000000001</v>
      </c>
      <c r="C1660" t="s">
        <v>141</v>
      </c>
    </row>
    <row r="1661" spans="1:3" x14ac:dyDescent="0.25">
      <c r="A1661" s="74">
        <v>6453</v>
      </c>
      <c r="B1661">
        <v>1.1000000000000001</v>
      </c>
      <c r="C1661" t="s">
        <v>141</v>
      </c>
    </row>
    <row r="1662" spans="1:3" x14ac:dyDescent="0.25">
      <c r="A1662" s="74">
        <v>6454</v>
      </c>
      <c r="B1662">
        <v>1.42</v>
      </c>
      <c r="C1662" t="s">
        <v>141</v>
      </c>
    </row>
    <row r="1663" spans="1:3" x14ac:dyDescent="0.25">
      <c r="A1663" s="74">
        <v>6455</v>
      </c>
      <c r="B1663">
        <v>1.42</v>
      </c>
      <c r="C1663" t="s">
        <v>141</v>
      </c>
    </row>
    <row r="1664" spans="1:3" x14ac:dyDescent="0.25">
      <c r="A1664" s="74">
        <v>6456</v>
      </c>
      <c r="B1664">
        <v>1.42</v>
      </c>
      <c r="C1664" t="s">
        <v>141</v>
      </c>
    </row>
    <row r="1665" spans="1:3" x14ac:dyDescent="0.25">
      <c r="A1665" s="74">
        <v>6457</v>
      </c>
      <c r="B1665">
        <v>1.42</v>
      </c>
      <c r="C1665" t="s">
        <v>141</v>
      </c>
    </row>
    <row r="1666" spans="1:3" x14ac:dyDescent="0.25">
      <c r="A1666" s="74">
        <v>6458</v>
      </c>
      <c r="B1666">
        <v>1.42</v>
      </c>
      <c r="C1666" t="s">
        <v>141</v>
      </c>
    </row>
    <row r="1667" spans="1:3" x14ac:dyDescent="0.25">
      <c r="A1667" s="74">
        <v>6459</v>
      </c>
      <c r="B1667">
        <v>1.42</v>
      </c>
      <c r="C1667" t="s">
        <v>141</v>
      </c>
    </row>
    <row r="1668" spans="1:3" x14ac:dyDescent="0.25">
      <c r="A1668" s="74">
        <v>6460</v>
      </c>
      <c r="B1668">
        <v>1.42</v>
      </c>
      <c r="C1668" t="s">
        <v>141</v>
      </c>
    </row>
    <row r="1669" spans="1:3" x14ac:dyDescent="0.25">
      <c r="A1669" s="74">
        <v>6461</v>
      </c>
      <c r="B1669">
        <v>1.42</v>
      </c>
      <c r="C1669" t="s">
        <v>141</v>
      </c>
    </row>
    <row r="1670" spans="1:3" x14ac:dyDescent="0.25">
      <c r="A1670" s="74">
        <v>6462</v>
      </c>
      <c r="B1670">
        <v>1.42</v>
      </c>
      <c r="C1670" t="s">
        <v>141</v>
      </c>
    </row>
    <row r="1671" spans="1:3" x14ac:dyDescent="0.25">
      <c r="A1671" s="74">
        <v>6463</v>
      </c>
      <c r="B1671">
        <v>1.42</v>
      </c>
      <c r="C1671" t="s">
        <v>141</v>
      </c>
    </row>
    <row r="1672" spans="1:3" x14ac:dyDescent="0.25">
      <c r="A1672" s="74">
        <v>6464</v>
      </c>
      <c r="B1672">
        <v>1.42</v>
      </c>
      <c r="C1672" t="s">
        <v>141</v>
      </c>
    </row>
    <row r="1673" spans="1:3" x14ac:dyDescent="0.25">
      <c r="A1673" s="74">
        <v>6465</v>
      </c>
      <c r="B1673">
        <v>1.42</v>
      </c>
      <c r="C1673" t="s">
        <v>141</v>
      </c>
    </row>
    <row r="1674" spans="1:3" x14ac:dyDescent="0.25">
      <c r="A1674" s="74">
        <v>6466</v>
      </c>
      <c r="B1674">
        <v>1.42</v>
      </c>
      <c r="C1674" t="s">
        <v>141</v>
      </c>
    </row>
    <row r="1675" spans="1:3" x14ac:dyDescent="0.25">
      <c r="A1675" s="74">
        <v>6467</v>
      </c>
      <c r="B1675">
        <v>1.42</v>
      </c>
      <c r="C1675" t="s">
        <v>141</v>
      </c>
    </row>
    <row r="1676" spans="1:3" x14ac:dyDescent="0.25">
      <c r="A1676" s="74">
        <v>6468</v>
      </c>
      <c r="B1676">
        <v>1.42</v>
      </c>
      <c r="C1676" t="s">
        <v>141</v>
      </c>
    </row>
    <row r="1677" spans="1:3" x14ac:dyDescent="0.25">
      <c r="A1677" s="74">
        <v>6469</v>
      </c>
      <c r="B1677">
        <v>1.42</v>
      </c>
      <c r="C1677" t="s">
        <v>141</v>
      </c>
    </row>
    <row r="1678" spans="1:3" x14ac:dyDescent="0.25">
      <c r="A1678" s="74">
        <v>6470</v>
      </c>
      <c r="B1678">
        <v>1.42</v>
      </c>
      <c r="C1678" t="s">
        <v>141</v>
      </c>
    </row>
    <row r="1679" spans="1:3" x14ac:dyDescent="0.25">
      <c r="A1679" s="74">
        <v>6471</v>
      </c>
      <c r="B1679">
        <v>1.42</v>
      </c>
      <c r="C1679" t="s">
        <v>141</v>
      </c>
    </row>
    <row r="1680" spans="1:3" x14ac:dyDescent="0.25">
      <c r="A1680" s="74">
        <v>6472</v>
      </c>
      <c r="B1680">
        <v>1.42</v>
      </c>
      <c r="C1680" t="s">
        <v>141</v>
      </c>
    </row>
    <row r="1681" spans="1:3" x14ac:dyDescent="0.25">
      <c r="A1681" s="74">
        <v>6473</v>
      </c>
      <c r="B1681">
        <v>1.42</v>
      </c>
      <c r="C1681" t="s">
        <v>141</v>
      </c>
    </row>
    <row r="1682" spans="1:3" x14ac:dyDescent="0.25">
      <c r="A1682" s="74">
        <v>6474</v>
      </c>
      <c r="B1682">
        <v>1.42</v>
      </c>
      <c r="C1682" t="s">
        <v>141</v>
      </c>
    </row>
    <row r="1683" spans="1:3" x14ac:dyDescent="0.25">
      <c r="A1683" s="74">
        <v>6475</v>
      </c>
      <c r="B1683">
        <v>1.42</v>
      </c>
      <c r="C1683" t="s">
        <v>141</v>
      </c>
    </row>
    <row r="1684" spans="1:3" x14ac:dyDescent="0.25">
      <c r="A1684" s="74">
        <v>6476</v>
      </c>
      <c r="B1684">
        <v>1.42</v>
      </c>
      <c r="C1684" t="s">
        <v>141</v>
      </c>
    </row>
    <row r="1685" spans="1:3" x14ac:dyDescent="0.25">
      <c r="A1685" s="74">
        <v>6477</v>
      </c>
      <c r="B1685">
        <v>1.42</v>
      </c>
      <c r="C1685" t="s">
        <v>141</v>
      </c>
    </row>
    <row r="1686" spans="1:3" x14ac:dyDescent="0.25">
      <c r="A1686" s="74">
        <v>6478</v>
      </c>
      <c r="B1686">
        <v>1.42</v>
      </c>
      <c r="C1686" t="s">
        <v>141</v>
      </c>
    </row>
    <row r="1687" spans="1:3" x14ac:dyDescent="0.25">
      <c r="A1687" s="74">
        <v>6479</v>
      </c>
      <c r="B1687">
        <v>1.42</v>
      </c>
      <c r="C1687" t="s">
        <v>141</v>
      </c>
    </row>
    <row r="1688" spans="1:3" x14ac:dyDescent="0.25">
      <c r="A1688" s="74">
        <v>6480</v>
      </c>
      <c r="B1688">
        <v>1.42</v>
      </c>
      <c r="C1688" t="s">
        <v>141</v>
      </c>
    </row>
    <row r="1689" spans="1:3" x14ac:dyDescent="0.25">
      <c r="A1689" s="74">
        <v>6481</v>
      </c>
      <c r="B1689">
        <v>1.42</v>
      </c>
      <c r="C1689" t="s">
        <v>141</v>
      </c>
    </row>
    <row r="1690" spans="1:3" x14ac:dyDescent="0.25">
      <c r="A1690" s="74">
        <v>6482</v>
      </c>
      <c r="B1690">
        <v>1.42</v>
      </c>
      <c r="C1690" t="s">
        <v>141</v>
      </c>
    </row>
    <row r="1691" spans="1:3" x14ac:dyDescent="0.25">
      <c r="A1691" s="74">
        <v>6483</v>
      </c>
      <c r="B1691">
        <v>1.42</v>
      </c>
      <c r="C1691" t="s">
        <v>141</v>
      </c>
    </row>
    <row r="1692" spans="1:3" x14ac:dyDescent="0.25">
      <c r="A1692" s="74">
        <v>6484</v>
      </c>
    </row>
    <row r="1693" spans="1:3" x14ac:dyDescent="0.25">
      <c r="A1693" s="74">
        <v>6485</v>
      </c>
    </row>
    <row r="1694" spans="1:3" x14ac:dyDescent="0.25">
      <c r="A1694" s="74">
        <v>6486</v>
      </c>
    </row>
    <row r="1695" spans="1:3" x14ac:dyDescent="0.25">
      <c r="A1695" s="74">
        <v>6487</v>
      </c>
    </row>
    <row r="1696" spans="1:3" x14ac:dyDescent="0.25">
      <c r="A1696" s="74">
        <v>6488</v>
      </c>
    </row>
    <row r="1697" spans="1:1" x14ac:dyDescent="0.25">
      <c r="A1697" s="74">
        <v>6489</v>
      </c>
    </row>
    <row r="1698" spans="1:1" x14ac:dyDescent="0.25">
      <c r="A1698" s="74">
        <v>6490</v>
      </c>
    </row>
    <row r="1699" spans="1:1" x14ac:dyDescent="0.25">
      <c r="A1699" s="74">
        <v>6491</v>
      </c>
    </row>
    <row r="1700" spans="1:1" x14ac:dyDescent="0.25">
      <c r="A1700" s="74">
        <v>6492</v>
      </c>
    </row>
    <row r="1701" spans="1:1" x14ac:dyDescent="0.25">
      <c r="A1701" s="74">
        <v>6493</v>
      </c>
    </row>
    <row r="1702" spans="1:1" x14ac:dyDescent="0.25">
      <c r="A1702" s="74">
        <v>6494</v>
      </c>
    </row>
    <row r="1703" spans="1:1" x14ac:dyDescent="0.25">
      <c r="A1703" s="74">
        <v>6495</v>
      </c>
    </row>
    <row r="1704" spans="1:1" x14ac:dyDescent="0.25">
      <c r="A1704" s="74">
        <v>6496</v>
      </c>
    </row>
    <row r="1705" spans="1:1" x14ac:dyDescent="0.25">
      <c r="A1705" s="74">
        <v>6497</v>
      </c>
    </row>
    <row r="1706" spans="1:1" x14ac:dyDescent="0.25">
      <c r="A1706" s="74">
        <v>6498</v>
      </c>
    </row>
    <row r="1707" spans="1:1" x14ac:dyDescent="0.25">
      <c r="A1707" s="74">
        <v>6499</v>
      </c>
    </row>
    <row r="1708" spans="1:1" x14ac:dyDescent="0.25">
      <c r="A1708" s="74">
        <v>6500</v>
      </c>
    </row>
    <row r="1709" spans="1:1" x14ac:dyDescent="0.25">
      <c r="A1709" s="74">
        <v>6501</v>
      </c>
    </row>
    <row r="1710" spans="1:1" x14ac:dyDescent="0.25">
      <c r="A1710" s="74">
        <v>6502</v>
      </c>
    </row>
    <row r="1711" spans="1:1" x14ac:dyDescent="0.25">
      <c r="A1711" s="74">
        <v>6503</v>
      </c>
    </row>
    <row r="1712" spans="1:1" x14ac:dyDescent="0.25">
      <c r="A1712" s="74">
        <v>6504</v>
      </c>
    </row>
    <row r="1713" spans="1:1" x14ac:dyDescent="0.25">
      <c r="A1713" s="74">
        <v>6505</v>
      </c>
    </row>
    <row r="1714" spans="1:1" x14ac:dyDescent="0.25">
      <c r="A1714" s="74">
        <v>6506</v>
      </c>
    </row>
    <row r="1715" spans="1:1" x14ac:dyDescent="0.25">
      <c r="A1715" s="74">
        <v>6507</v>
      </c>
    </row>
    <row r="1716" spans="1:1" x14ac:dyDescent="0.25">
      <c r="A1716" s="74">
        <v>6508</v>
      </c>
    </row>
    <row r="1717" spans="1:1" x14ac:dyDescent="0.25">
      <c r="A1717" s="74">
        <v>6509</v>
      </c>
    </row>
    <row r="1718" spans="1:1" x14ac:dyDescent="0.25">
      <c r="A1718" s="74">
        <v>6510</v>
      </c>
    </row>
    <row r="1719" spans="1:1" x14ac:dyDescent="0.25">
      <c r="A1719" s="74">
        <v>6511</v>
      </c>
    </row>
    <row r="1720" spans="1:1" x14ac:dyDescent="0.25">
      <c r="A1720" s="74">
        <v>6512</v>
      </c>
    </row>
    <row r="1721" spans="1:1" x14ac:dyDescent="0.25">
      <c r="A1721" s="74">
        <v>6513</v>
      </c>
    </row>
    <row r="1722" spans="1:1" x14ac:dyDescent="0.25">
      <c r="A1722" s="74">
        <v>6514</v>
      </c>
    </row>
    <row r="1723" spans="1:1" x14ac:dyDescent="0.25">
      <c r="A1723" s="74">
        <v>6515</v>
      </c>
    </row>
    <row r="1724" spans="1:1" x14ac:dyDescent="0.25">
      <c r="A1724" s="74">
        <v>6516</v>
      </c>
    </row>
    <row r="1725" spans="1:1" x14ac:dyDescent="0.25">
      <c r="A1725" s="74">
        <v>6517</v>
      </c>
    </row>
    <row r="1726" spans="1:1" x14ac:dyDescent="0.25">
      <c r="A1726" s="74">
        <v>6518</v>
      </c>
    </row>
    <row r="1727" spans="1:1" x14ac:dyDescent="0.25">
      <c r="A1727" s="74">
        <v>6519</v>
      </c>
    </row>
    <row r="1728" spans="1:1" x14ac:dyDescent="0.25">
      <c r="A1728" s="74">
        <v>6520</v>
      </c>
    </row>
    <row r="1729" spans="1:1" x14ac:dyDescent="0.25">
      <c r="A1729" s="74">
        <v>6521</v>
      </c>
    </row>
    <row r="1730" spans="1:1" x14ac:dyDescent="0.25">
      <c r="A1730" s="74">
        <v>6522</v>
      </c>
    </row>
    <row r="1731" spans="1:1" x14ac:dyDescent="0.25">
      <c r="A1731" s="74">
        <v>6523</v>
      </c>
    </row>
    <row r="1732" spans="1:1" x14ac:dyDescent="0.25">
      <c r="A1732" s="74">
        <v>6524</v>
      </c>
    </row>
    <row r="1733" spans="1:1" x14ac:dyDescent="0.25">
      <c r="A1733" s="74">
        <v>6525</v>
      </c>
    </row>
    <row r="1734" spans="1:1" x14ac:dyDescent="0.25">
      <c r="A1734" s="74">
        <v>6526</v>
      </c>
    </row>
    <row r="1735" spans="1:1" x14ac:dyDescent="0.25">
      <c r="A1735" s="74">
        <v>6527</v>
      </c>
    </row>
    <row r="1736" spans="1:1" x14ac:dyDescent="0.25">
      <c r="A1736" s="74">
        <v>6528</v>
      </c>
    </row>
    <row r="1737" spans="1:1" x14ac:dyDescent="0.25">
      <c r="A1737" s="74">
        <v>6529</v>
      </c>
    </row>
    <row r="1738" spans="1:1" x14ac:dyDescent="0.25">
      <c r="A1738" s="74">
        <v>6530</v>
      </c>
    </row>
    <row r="1739" spans="1:1" x14ac:dyDescent="0.25">
      <c r="A1739" s="74">
        <v>6531</v>
      </c>
    </row>
    <row r="1740" spans="1:1" x14ac:dyDescent="0.25">
      <c r="A1740" s="74">
        <v>6532</v>
      </c>
    </row>
    <row r="1741" spans="1:1" x14ac:dyDescent="0.25">
      <c r="A1741" s="74">
        <v>6533</v>
      </c>
    </row>
    <row r="1742" spans="1:1" x14ac:dyDescent="0.25">
      <c r="A1742" s="74">
        <v>6534</v>
      </c>
    </row>
    <row r="1743" spans="1:1" x14ac:dyDescent="0.25">
      <c r="A1743" s="74">
        <v>6535</v>
      </c>
    </row>
    <row r="1744" spans="1:1" x14ac:dyDescent="0.25">
      <c r="A1744" s="74">
        <v>6536</v>
      </c>
    </row>
    <row r="1745" spans="1:1" x14ac:dyDescent="0.25">
      <c r="A1745" s="74">
        <v>6537</v>
      </c>
    </row>
    <row r="1746" spans="1:1" x14ac:dyDescent="0.25">
      <c r="A1746" s="74">
        <v>6538</v>
      </c>
    </row>
    <row r="1747" spans="1:1" x14ac:dyDescent="0.25">
      <c r="A1747" s="74">
        <v>6539</v>
      </c>
    </row>
    <row r="1748" spans="1:1" x14ac:dyDescent="0.25">
      <c r="A1748" s="74">
        <v>6540</v>
      </c>
    </row>
    <row r="1749" spans="1:1" x14ac:dyDescent="0.25">
      <c r="A1749" s="74">
        <v>6541</v>
      </c>
    </row>
    <row r="1750" spans="1:1" x14ac:dyDescent="0.25">
      <c r="A1750" s="74">
        <v>6542</v>
      </c>
    </row>
    <row r="1751" spans="1:1" x14ac:dyDescent="0.25">
      <c r="A1751" s="74">
        <v>6543</v>
      </c>
    </row>
    <row r="1752" spans="1:1" x14ac:dyDescent="0.25">
      <c r="A1752" s="74">
        <v>6544</v>
      </c>
    </row>
    <row r="1753" spans="1:1" x14ac:dyDescent="0.25">
      <c r="A1753" s="74">
        <v>6545</v>
      </c>
    </row>
    <row r="1754" spans="1:1" x14ac:dyDescent="0.25">
      <c r="A1754" s="74">
        <v>6546</v>
      </c>
    </row>
    <row r="1755" spans="1:1" x14ac:dyDescent="0.25">
      <c r="A1755" s="74">
        <v>6547</v>
      </c>
    </row>
    <row r="1756" spans="1:1" x14ac:dyDescent="0.25">
      <c r="A1756" s="74">
        <v>6548</v>
      </c>
    </row>
    <row r="1757" spans="1:1" x14ac:dyDescent="0.25">
      <c r="A1757" s="74">
        <v>6549</v>
      </c>
    </row>
    <row r="1758" spans="1:1" x14ac:dyDescent="0.25">
      <c r="A1758" s="74">
        <v>6550</v>
      </c>
    </row>
    <row r="1759" spans="1:1" x14ac:dyDescent="0.25">
      <c r="A1759" s="74">
        <v>6551</v>
      </c>
    </row>
    <row r="1760" spans="1:1" x14ac:dyDescent="0.25">
      <c r="A1760" s="74">
        <v>6552</v>
      </c>
    </row>
    <row r="1761" spans="1:1" x14ac:dyDescent="0.25">
      <c r="A1761" s="74">
        <v>6553</v>
      </c>
    </row>
    <row r="1762" spans="1:1" x14ac:dyDescent="0.25">
      <c r="A1762" s="74">
        <v>6554</v>
      </c>
    </row>
    <row r="1763" spans="1:1" x14ac:dyDescent="0.25">
      <c r="A1763" s="74">
        <v>6555</v>
      </c>
    </row>
    <row r="1764" spans="1:1" x14ac:dyDescent="0.25">
      <c r="A1764" s="74">
        <v>6556</v>
      </c>
    </row>
    <row r="1765" spans="1:1" x14ac:dyDescent="0.25">
      <c r="A1765" s="74">
        <v>6557</v>
      </c>
    </row>
    <row r="1766" spans="1:1" x14ac:dyDescent="0.25">
      <c r="A1766" s="74">
        <v>6558</v>
      </c>
    </row>
    <row r="1767" spans="1:1" x14ac:dyDescent="0.25">
      <c r="A1767" s="74">
        <v>6559</v>
      </c>
    </row>
    <row r="1768" spans="1:1" x14ac:dyDescent="0.25">
      <c r="A1768" s="74">
        <v>6560</v>
      </c>
    </row>
    <row r="1769" spans="1:1" x14ac:dyDescent="0.25">
      <c r="A1769" s="74">
        <v>6561</v>
      </c>
    </row>
    <row r="1770" spans="1:1" x14ac:dyDescent="0.25">
      <c r="A1770" s="74">
        <v>6562</v>
      </c>
    </row>
    <row r="1771" spans="1:1" x14ac:dyDescent="0.25">
      <c r="A1771" s="74">
        <v>6563</v>
      </c>
    </row>
    <row r="1772" spans="1:1" x14ac:dyDescent="0.25">
      <c r="A1772" s="74">
        <v>6564</v>
      </c>
    </row>
    <row r="1773" spans="1:1" x14ac:dyDescent="0.25">
      <c r="A1773" s="74">
        <v>6565</v>
      </c>
    </row>
    <row r="1774" spans="1:1" x14ac:dyDescent="0.25">
      <c r="A1774" s="74">
        <v>6566</v>
      </c>
    </row>
    <row r="1775" spans="1:1" x14ac:dyDescent="0.25">
      <c r="A1775" s="74">
        <v>6567</v>
      </c>
    </row>
    <row r="1776" spans="1:1" x14ac:dyDescent="0.25">
      <c r="A1776" s="74">
        <v>6568</v>
      </c>
    </row>
    <row r="1777" spans="1:1" x14ac:dyDescent="0.25">
      <c r="A1777" s="74">
        <v>6569</v>
      </c>
    </row>
    <row r="1778" spans="1:1" x14ac:dyDescent="0.25">
      <c r="A1778" s="74">
        <v>6570</v>
      </c>
    </row>
    <row r="1779" spans="1:1" x14ac:dyDescent="0.25">
      <c r="A1779" s="74">
        <v>6571</v>
      </c>
    </row>
    <row r="1780" spans="1:1" x14ac:dyDescent="0.25">
      <c r="A1780" s="74">
        <v>6572</v>
      </c>
    </row>
    <row r="1781" spans="1:1" x14ac:dyDescent="0.25">
      <c r="A1781" s="74">
        <v>6573</v>
      </c>
    </row>
    <row r="1782" spans="1:1" x14ac:dyDescent="0.25">
      <c r="A1782" s="74">
        <v>6574</v>
      </c>
    </row>
    <row r="1783" spans="1:1" x14ac:dyDescent="0.25">
      <c r="A1783" s="74">
        <v>6575</v>
      </c>
    </row>
    <row r="1784" spans="1:1" x14ac:dyDescent="0.25">
      <c r="A1784" s="74">
        <v>6576</v>
      </c>
    </row>
    <row r="1785" spans="1:1" x14ac:dyDescent="0.25">
      <c r="A1785" s="74">
        <v>6577</v>
      </c>
    </row>
    <row r="1786" spans="1:1" x14ac:dyDescent="0.25">
      <c r="A1786" s="74">
        <v>6578</v>
      </c>
    </row>
    <row r="1787" spans="1:1" x14ac:dyDescent="0.25">
      <c r="A1787" s="74">
        <v>6579</v>
      </c>
    </row>
    <row r="1788" spans="1:1" x14ac:dyDescent="0.25">
      <c r="A1788" s="74">
        <v>6580</v>
      </c>
    </row>
    <row r="1789" spans="1:1" x14ac:dyDescent="0.25">
      <c r="A1789" s="74">
        <v>6581</v>
      </c>
    </row>
    <row r="1790" spans="1:1" x14ac:dyDescent="0.25">
      <c r="A1790" s="74">
        <v>6582</v>
      </c>
    </row>
    <row r="1791" spans="1:1" x14ac:dyDescent="0.25">
      <c r="A1791" s="74">
        <v>6583</v>
      </c>
    </row>
    <row r="1792" spans="1:1" x14ac:dyDescent="0.25">
      <c r="A1792" s="74">
        <v>6584</v>
      </c>
    </row>
    <row r="1793" spans="1:1" x14ac:dyDescent="0.25">
      <c r="A1793" s="74">
        <v>6585</v>
      </c>
    </row>
    <row r="1794" spans="1:1" x14ac:dyDescent="0.25">
      <c r="A1794" s="74">
        <v>6586</v>
      </c>
    </row>
    <row r="1795" spans="1:1" x14ac:dyDescent="0.25">
      <c r="A1795" s="74">
        <v>6587</v>
      </c>
    </row>
    <row r="1796" spans="1:1" x14ac:dyDescent="0.25">
      <c r="A1796" s="74">
        <v>6588</v>
      </c>
    </row>
    <row r="1797" spans="1:1" x14ac:dyDescent="0.25">
      <c r="A1797" s="74">
        <v>6589</v>
      </c>
    </row>
    <row r="1798" spans="1:1" x14ac:dyDescent="0.25">
      <c r="A1798" s="74">
        <v>6590</v>
      </c>
    </row>
    <row r="1799" spans="1:1" x14ac:dyDescent="0.25">
      <c r="A1799" s="74">
        <v>6591</v>
      </c>
    </row>
    <row r="1800" spans="1:1" x14ac:dyDescent="0.25">
      <c r="A1800" s="74">
        <v>6592</v>
      </c>
    </row>
    <row r="1801" spans="1:1" x14ac:dyDescent="0.25">
      <c r="A1801" s="74">
        <v>6593</v>
      </c>
    </row>
    <row r="1802" spans="1:1" x14ac:dyDescent="0.25">
      <c r="A1802" s="74">
        <v>6594</v>
      </c>
    </row>
    <row r="1803" spans="1:1" x14ac:dyDescent="0.25">
      <c r="A1803" s="74">
        <v>6595</v>
      </c>
    </row>
    <row r="1804" spans="1:1" x14ac:dyDescent="0.25">
      <c r="A1804" s="74">
        <v>6596</v>
      </c>
    </row>
    <row r="1805" spans="1:1" x14ac:dyDescent="0.25">
      <c r="A1805" s="74">
        <v>6597</v>
      </c>
    </row>
    <row r="1806" spans="1:1" x14ac:dyDescent="0.25">
      <c r="A1806" s="74">
        <v>6598</v>
      </c>
    </row>
    <row r="1807" spans="1:1" x14ac:dyDescent="0.25">
      <c r="A1807" s="74">
        <v>6599</v>
      </c>
    </row>
    <row r="1808" spans="1:1" x14ac:dyDescent="0.25">
      <c r="A1808" s="74">
        <v>6600</v>
      </c>
    </row>
    <row r="1809" spans="1:1" x14ac:dyDescent="0.25">
      <c r="A1809" s="74">
        <v>6601</v>
      </c>
    </row>
    <row r="1810" spans="1:1" x14ac:dyDescent="0.25">
      <c r="A1810" s="74">
        <v>6602</v>
      </c>
    </row>
    <row r="1811" spans="1:1" x14ac:dyDescent="0.25">
      <c r="A1811" s="74">
        <v>6603</v>
      </c>
    </row>
    <row r="1812" spans="1:1" x14ac:dyDescent="0.25">
      <c r="A1812" s="74">
        <v>6604</v>
      </c>
    </row>
    <row r="1813" spans="1:1" x14ac:dyDescent="0.25">
      <c r="A1813" s="74">
        <v>6605</v>
      </c>
    </row>
    <row r="1814" spans="1:1" x14ac:dyDescent="0.25">
      <c r="A1814" s="74">
        <v>6606</v>
      </c>
    </row>
    <row r="1815" spans="1:1" x14ac:dyDescent="0.25">
      <c r="A1815" s="74">
        <v>6607</v>
      </c>
    </row>
    <row r="1816" spans="1:1" x14ac:dyDescent="0.25">
      <c r="A1816" s="74">
        <v>6608</v>
      </c>
    </row>
    <row r="1817" spans="1:1" x14ac:dyDescent="0.25">
      <c r="A1817" s="74">
        <v>6609</v>
      </c>
    </row>
    <row r="1818" spans="1:1" x14ac:dyDescent="0.25">
      <c r="A1818" s="74">
        <v>6610</v>
      </c>
    </row>
    <row r="1819" spans="1:1" x14ac:dyDescent="0.25">
      <c r="A1819" s="74">
        <v>6611</v>
      </c>
    </row>
    <row r="1820" spans="1:1" x14ac:dyDescent="0.25">
      <c r="A1820" s="74">
        <v>6612</v>
      </c>
    </row>
    <row r="1821" spans="1:1" x14ac:dyDescent="0.25">
      <c r="A1821" s="74">
        <v>6613</v>
      </c>
    </row>
    <row r="1822" spans="1:1" x14ac:dyDescent="0.25">
      <c r="A1822" s="74">
        <v>6614</v>
      </c>
    </row>
    <row r="1823" spans="1:1" x14ac:dyDescent="0.25">
      <c r="A1823" s="74">
        <v>6615</v>
      </c>
    </row>
    <row r="1824" spans="1:1" x14ac:dyDescent="0.25">
      <c r="A1824" s="74">
        <v>6616</v>
      </c>
    </row>
    <row r="1825" spans="1:1" x14ac:dyDescent="0.25">
      <c r="A1825" s="74">
        <v>6617</v>
      </c>
    </row>
    <row r="1826" spans="1:1" x14ac:dyDescent="0.25">
      <c r="A1826" s="74">
        <v>6618</v>
      </c>
    </row>
    <row r="1827" spans="1:1" x14ac:dyDescent="0.25">
      <c r="A1827" s="74">
        <v>6619</v>
      </c>
    </row>
    <row r="1828" spans="1:1" x14ac:dyDescent="0.25">
      <c r="A1828" s="74">
        <v>6620</v>
      </c>
    </row>
    <row r="1829" spans="1:1" x14ac:dyDescent="0.25">
      <c r="A1829" s="74">
        <v>6621</v>
      </c>
    </row>
    <row r="1830" spans="1:1" x14ac:dyDescent="0.25">
      <c r="A1830" s="74">
        <v>6622</v>
      </c>
    </row>
    <row r="1831" spans="1:1" x14ac:dyDescent="0.25">
      <c r="A1831" s="74">
        <v>6623</v>
      </c>
    </row>
    <row r="1832" spans="1:1" x14ac:dyDescent="0.25">
      <c r="A1832" s="74">
        <v>6624</v>
      </c>
    </row>
    <row r="1833" spans="1:1" x14ac:dyDescent="0.25">
      <c r="A1833" s="74">
        <v>6625</v>
      </c>
    </row>
    <row r="1834" spans="1:1" x14ac:dyDescent="0.25">
      <c r="A1834" s="74">
        <v>6626</v>
      </c>
    </row>
    <row r="1835" spans="1:1" x14ac:dyDescent="0.25">
      <c r="A1835" s="74">
        <v>6627</v>
      </c>
    </row>
    <row r="1836" spans="1:1" x14ac:dyDescent="0.25">
      <c r="A1836" s="74">
        <v>6628</v>
      </c>
    </row>
    <row r="1837" spans="1:1" x14ac:dyDescent="0.25">
      <c r="A1837" s="74">
        <v>6629</v>
      </c>
    </row>
    <row r="1838" spans="1:1" x14ac:dyDescent="0.25">
      <c r="A1838" s="74">
        <v>6630</v>
      </c>
    </row>
    <row r="1839" spans="1:1" x14ac:dyDescent="0.25">
      <c r="A1839" s="74">
        <v>6631</v>
      </c>
    </row>
    <row r="1840" spans="1:1" x14ac:dyDescent="0.25">
      <c r="A1840" s="74">
        <v>6632</v>
      </c>
    </row>
    <row r="1841" spans="1:1" x14ac:dyDescent="0.25">
      <c r="A1841" s="74">
        <v>6633</v>
      </c>
    </row>
    <row r="1842" spans="1:1" x14ac:dyDescent="0.25">
      <c r="A1842" s="74">
        <v>6634</v>
      </c>
    </row>
    <row r="1843" spans="1:1" x14ac:dyDescent="0.25">
      <c r="A1843" s="74">
        <v>6635</v>
      </c>
    </row>
    <row r="1844" spans="1:1" x14ac:dyDescent="0.25">
      <c r="A1844" s="74">
        <v>6636</v>
      </c>
    </row>
    <row r="1845" spans="1:1" x14ac:dyDescent="0.25">
      <c r="A1845" s="74">
        <v>6637</v>
      </c>
    </row>
    <row r="1846" spans="1:1" x14ac:dyDescent="0.25">
      <c r="A1846" s="74">
        <v>6638</v>
      </c>
    </row>
    <row r="1847" spans="1:1" x14ac:dyDescent="0.25">
      <c r="A1847" s="74">
        <v>6639</v>
      </c>
    </row>
    <row r="1848" spans="1:1" x14ac:dyDescent="0.25">
      <c r="A1848" s="74">
        <v>6640</v>
      </c>
    </row>
    <row r="1849" spans="1:1" x14ac:dyDescent="0.25">
      <c r="A1849" s="74">
        <v>6641</v>
      </c>
    </row>
    <row r="1850" spans="1:1" x14ac:dyDescent="0.25">
      <c r="A1850" s="74">
        <v>6642</v>
      </c>
    </row>
    <row r="1851" spans="1:1" x14ac:dyDescent="0.25">
      <c r="A1851" s="74">
        <v>6643</v>
      </c>
    </row>
    <row r="1852" spans="1:1" x14ac:dyDescent="0.25">
      <c r="A1852" s="74">
        <v>6644</v>
      </c>
    </row>
    <row r="1853" spans="1:1" x14ac:dyDescent="0.25">
      <c r="A1853" s="74">
        <v>6645</v>
      </c>
    </row>
    <row r="1854" spans="1:1" x14ac:dyDescent="0.25">
      <c r="A1854" s="74">
        <v>6646</v>
      </c>
    </row>
    <row r="1855" spans="1:1" x14ac:dyDescent="0.25">
      <c r="A1855" s="74">
        <v>6647</v>
      </c>
    </row>
    <row r="1856" spans="1:1" x14ac:dyDescent="0.25">
      <c r="A1856" s="74">
        <v>6648</v>
      </c>
    </row>
    <row r="1857" spans="1:1" x14ac:dyDescent="0.25">
      <c r="A1857" s="74">
        <v>6649</v>
      </c>
    </row>
    <row r="1858" spans="1:1" x14ac:dyDescent="0.25">
      <c r="A1858" s="74">
        <v>6650</v>
      </c>
    </row>
    <row r="1859" spans="1:1" x14ac:dyDescent="0.25">
      <c r="A1859" s="74">
        <v>6651</v>
      </c>
    </row>
    <row r="1860" spans="1:1" x14ac:dyDescent="0.25">
      <c r="A1860" s="74">
        <v>6652</v>
      </c>
    </row>
    <row r="1861" spans="1:1" x14ac:dyDescent="0.25">
      <c r="A1861" s="74">
        <v>6653</v>
      </c>
    </row>
    <row r="1862" spans="1:1" x14ac:dyDescent="0.25">
      <c r="A1862" s="74">
        <v>6654</v>
      </c>
    </row>
    <row r="1863" spans="1:1" x14ac:dyDescent="0.25">
      <c r="A1863" s="74">
        <v>6655</v>
      </c>
    </row>
    <row r="1864" spans="1:1" x14ac:dyDescent="0.25">
      <c r="A1864" s="74">
        <v>6656</v>
      </c>
    </row>
    <row r="1865" spans="1:1" x14ac:dyDescent="0.25">
      <c r="A1865" s="74">
        <v>6657</v>
      </c>
    </row>
    <row r="1866" spans="1:1" x14ac:dyDescent="0.25">
      <c r="A1866" s="74">
        <v>6658</v>
      </c>
    </row>
    <row r="1867" spans="1:1" x14ac:dyDescent="0.25">
      <c r="A1867" s="74">
        <v>6659</v>
      </c>
    </row>
    <row r="1868" spans="1:1" x14ac:dyDescent="0.25">
      <c r="A1868" s="74">
        <v>6660</v>
      </c>
    </row>
    <row r="1869" spans="1:1" x14ac:dyDescent="0.25">
      <c r="A1869" s="74">
        <v>6661</v>
      </c>
    </row>
    <row r="1870" spans="1:1" x14ac:dyDescent="0.25">
      <c r="A1870" s="74">
        <v>6662</v>
      </c>
    </row>
    <row r="1871" spans="1:1" x14ac:dyDescent="0.25">
      <c r="A1871" s="74">
        <v>6663</v>
      </c>
    </row>
    <row r="1872" spans="1:1" x14ac:dyDescent="0.25">
      <c r="A1872" s="74">
        <v>6664</v>
      </c>
    </row>
    <row r="1873" spans="1:1" x14ac:dyDescent="0.25">
      <c r="A1873" s="74">
        <v>6665</v>
      </c>
    </row>
    <row r="1874" spans="1:1" x14ac:dyDescent="0.25">
      <c r="A1874" s="74">
        <v>6666</v>
      </c>
    </row>
    <row r="1875" spans="1:1" x14ac:dyDescent="0.25">
      <c r="A1875" s="74">
        <v>6667</v>
      </c>
    </row>
    <row r="1876" spans="1:1" x14ac:dyDescent="0.25">
      <c r="A1876" s="74">
        <v>6668</v>
      </c>
    </row>
    <row r="1877" spans="1:1" x14ac:dyDescent="0.25">
      <c r="A1877" s="74">
        <v>6669</v>
      </c>
    </row>
    <row r="1878" spans="1:1" x14ac:dyDescent="0.25">
      <c r="A1878" s="74">
        <v>6670</v>
      </c>
    </row>
    <row r="1879" spans="1:1" x14ac:dyDescent="0.25">
      <c r="A1879" s="74">
        <v>6671</v>
      </c>
    </row>
    <row r="1880" spans="1:1" x14ac:dyDescent="0.25">
      <c r="A1880" s="74">
        <v>6672</v>
      </c>
    </row>
    <row r="1881" spans="1:1" x14ac:dyDescent="0.25">
      <c r="A1881" s="74">
        <v>6673</v>
      </c>
    </row>
    <row r="1882" spans="1:1" x14ac:dyDescent="0.25">
      <c r="A1882" s="74">
        <v>6674</v>
      </c>
    </row>
    <row r="1883" spans="1:1" x14ac:dyDescent="0.25">
      <c r="A1883" s="74">
        <v>6675</v>
      </c>
    </row>
    <row r="1884" spans="1:1" x14ac:dyDescent="0.25">
      <c r="A1884" s="74">
        <v>6676</v>
      </c>
    </row>
    <row r="1885" spans="1:1" x14ac:dyDescent="0.25">
      <c r="A1885" s="74">
        <v>6677</v>
      </c>
    </row>
    <row r="1886" spans="1:1" x14ac:dyDescent="0.25">
      <c r="A1886" s="74">
        <v>6678</v>
      </c>
    </row>
    <row r="1887" spans="1:1" x14ac:dyDescent="0.25">
      <c r="A1887" s="74">
        <v>6679</v>
      </c>
    </row>
    <row r="1888" spans="1:1" x14ac:dyDescent="0.25">
      <c r="A1888" s="74">
        <v>6680</v>
      </c>
    </row>
    <row r="1889" spans="1:1" x14ac:dyDescent="0.25">
      <c r="A1889" s="74">
        <v>6681</v>
      </c>
    </row>
    <row r="1890" spans="1:1" x14ac:dyDescent="0.25">
      <c r="A1890" s="74">
        <v>6682</v>
      </c>
    </row>
    <row r="1891" spans="1:1" x14ac:dyDescent="0.25">
      <c r="A1891" s="74">
        <v>6683</v>
      </c>
    </row>
    <row r="1892" spans="1:1" x14ac:dyDescent="0.25">
      <c r="A1892" s="74">
        <v>6684</v>
      </c>
    </row>
    <row r="1893" spans="1:1" x14ac:dyDescent="0.25">
      <c r="A1893" s="74">
        <v>6685</v>
      </c>
    </row>
    <row r="1894" spans="1:1" x14ac:dyDescent="0.25">
      <c r="A1894" s="74">
        <v>6686</v>
      </c>
    </row>
    <row r="1895" spans="1:1" x14ac:dyDescent="0.25">
      <c r="A1895" s="74">
        <v>6687</v>
      </c>
    </row>
    <row r="1896" spans="1:1" x14ac:dyDescent="0.25">
      <c r="A1896" s="74">
        <v>6688</v>
      </c>
    </row>
    <row r="1897" spans="1:1" x14ac:dyDescent="0.25">
      <c r="A1897" s="74">
        <v>6689</v>
      </c>
    </row>
    <row r="1898" spans="1:1" x14ac:dyDescent="0.25">
      <c r="A1898" s="74">
        <v>6690</v>
      </c>
    </row>
    <row r="1899" spans="1:1" x14ac:dyDescent="0.25">
      <c r="A1899" s="74">
        <v>6691</v>
      </c>
    </row>
    <row r="1900" spans="1:1" x14ac:dyDescent="0.25">
      <c r="A1900" s="74">
        <v>6692</v>
      </c>
    </row>
    <row r="1901" spans="1:1" x14ac:dyDescent="0.25">
      <c r="A1901" s="74">
        <v>6693</v>
      </c>
    </row>
    <row r="1902" spans="1:1" x14ac:dyDescent="0.25">
      <c r="A1902" s="74">
        <v>6694</v>
      </c>
    </row>
    <row r="1903" spans="1:1" x14ac:dyDescent="0.25">
      <c r="A1903" s="74">
        <v>6695</v>
      </c>
    </row>
    <row r="1904" spans="1:1" x14ac:dyDescent="0.25">
      <c r="A1904" s="74">
        <v>6696</v>
      </c>
    </row>
    <row r="1905" spans="1:1" x14ac:dyDescent="0.25">
      <c r="A1905" s="74">
        <v>6697</v>
      </c>
    </row>
    <row r="1906" spans="1:1" x14ac:dyDescent="0.25">
      <c r="A1906" s="74">
        <v>6698</v>
      </c>
    </row>
    <row r="1907" spans="1:1" x14ac:dyDescent="0.25">
      <c r="A1907" s="74">
        <v>6699</v>
      </c>
    </row>
    <row r="1908" spans="1:1" x14ac:dyDescent="0.25">
      <c r="A1908" s="74">
        <v>6700</v>
      </c>
    </row>
    <row r="1909" spans="1:1" x14ac:dyDescent="0.25">
      <c r="A1909" s="74">
        <v>6701</v>
      </c>
    </row>
    <row r="1910" spans="1:1" x14ac:dyDescent="0.25">
      <c r="A1910" s="74">
        <v>6702</v>
      </c>
    </row>
    <row r="1911" spans="1:1" x14ac:dyDescent="0.25">
      <c r="A1911" s="74">
        <v>6703</v>
      </c>
    </row>
    <row r="1912" spans="1:1" x14ac:dyDescent="0.25">
      <c r="A1912" s="74">
        <v>6704</v>
      </c>
    </row>
    <row r="1913" spans="1:1" x14ac:dyDescent="0.25">
      <c r="A1913" s="74">
        <v>6705</v>
      </c>
    </row>
    <row r="1914" spans="1:1" x14ac:dyDescent="0.25">
      <c r="A1914" s="74">
        <v>6706</v>
      </c>
    </row>
    <row r="1915" spans="1:1" x14ac:dyDescent="0.25">
      <c r="A1915" s="74">
        <v>6707</v>
      </c>
    </row>
    <row r="1916" spans="1:1" x14ac:dyDescent="0.25">
      <c r="A1916" s="74">
        <v>6708</v>
      </c>
    </row>
    <row r="1917" spans="1:1" x14ac:dyDescent="0.25">
      <c r="A1917" s="74">
        <v>6709</v>
      </c>
    </row>
    <row r="1918" spans="1:1" x14ac:dyDescent="0.25">
      <c r="A1918" s="74">
        <v>6710</v>
      </c>
    </row>
    <row r="1919" spans="1:1" x14ac:dyDescent="0.25">
      <c r="A1919" s="74">
        <v>6711</v>
      </c>
    </row>
    <row r="1920" spans="1:1" x14ac:dyDescent="0.25">
      <c r="A1920" s="74">
        <v>6712</v>
      </c>
    </row>
    <row r="1921" spans="1:1" x14ac:dyDescent="0.25">
      <c r="A1921" s="74">
        <v>6713</v>
      </c>
    </row>
    <row r="1922" spans="1:1" x14ac:dyDescent="0.25">
      <c r="A1922" s="74">
        <v>6714</v>
      </c>
    </row>
    <row r="1923" spans="1:1" x14ac:dyDescent="0.25">
      <c r="A1923" s="74">
        <v>6715</v>
      </c>
    </row>
    <row r="1924" spans="1:1" x14ac:dyDescent="0.25">
      <c r="A1924" s="74">
        <v>6716</v>
      </c>
    </row>
    <row r="1925" spans="1:1" x14ac:dyDescent="0.25">
      <c r="A1925" s="74">
        <v>6717</v>
      </c>
    </row>
    <row r="1926" spans="1:1" x14ac:dyDescent="0.25">
      <c r="A1926" s="74">
        <v>6718</v>
      </c>
    </row>
    <row r="1927" spans="1:1" x14ac:dyDescent="0.25">
      <c r="A1927" s="74">
        <v>6719</v>
      </c>
    </row>
    <row r="1928" spans="1:1" x14ac:dyDescent="0.25">
      <c r="A1928" s="74">
        <v>6720</v>
      </c>
    </row>
    <row r="1929" spans="1:1" x14ac:dyDescent="0.25">
      <c r="A1929" s="74">
        <v>6721</v>
      </c>
    </row>
    <row r="1930" spans="1:1" x14ac:dyDescent="0.25">
      <c r="A1930" s="74">
        <v>6722</v>
      </c>
    </row>
    <row r="1931" spans="1:1" x14ac:dyDescent="0.25">
      <c r="A1931" s="74">
        <v>6723</v>
      </c>
    </row>
    <row r="1932" spans="1:1" x14ac:dyDescent="0.25">
      <c r="A1932" s="74">
        <v>6724</v>
      </c>
    </row>
    <row r="1933" spans="1:1" x14ac:dyDescent="0.25">
      <c r="A1933" s="74">
        <v>6725</v>
      </c>
    </row>
    <row r="1934" spans="1:1" x14ac:dyDescent="0.25">
      <c r="A1934" s="74">
        <v>6726</v>
      </c>
    </row>
    <row r="1935" spans="1:1" x14ac:dyDescent="0.25">
      <c r="A1935" s="74">
        <v>6727</v>
      </c>
    </row>
    <row r="1936" spans="1:1" x14ac:dyDescent="0.25">
      <c r="A1936" s="74">
        <v>6728</v>
      </c>
    </row>
    <row r="1937" spans="1:1" x14ac:dyDescent="0.25">
      <c r="A1937" s="74">
        <v>6729</v>
      </c>
    </row>
    <row r="1938" spans="1:1" x14ac:dyDescent="0.25">
      <c r="A1938" s="74">
        <v>6730</v>
      </c>
    </row>
    <row r="1939" spans="1:1" x14ac:dyDescent="0.25">
      <c r="A1939" s="74">
        <v>6731</v>
      </c>
    </row>
    <row r="1940" spans="1:1" x14ac:dyDescent="0.25">
      <c r="A1940" s="74">
        <v>6732</v>
      </c>
    </row>
    <row r="1941" spans="1:1" x14ac:dyDescent="0.25">
      <c r="A1941" s="74">
        <v>6733</v>
      </c>
    </row>
    <row r="1942" spans="1:1" x14ac:dyDescent="0.25">
      <c r="A1942" s="74">
        <v>6734</v>
      </c>
    </row>
    <row r="1943" spans="1:1" x14ac:dyDescent="0.25">
      <c r="A1943" s="74">
        <v>6735</v>
      </c>
    </row>
    <row r="1944" spans="1:1" x14ac:dyDescent="0.25">
      <c r="A1944" s="74">
        <v>6736</v>
      </c>
    </row>
    <row r="1945" spans="1:1" x14ac:dyDescent="0.25">
      <c r="A1945" s="74">
        <v>6737</v>
      </c>
    </row>
    <row r="1946" spans="1:1" x14ac:dyDescent="0.25">
      <c r="A1946" s="74">
        <v>6738</v>
      </c>
    </row>
    <row r="1947" spans="1:1" x14ac:dyDescent="0.25">
      <c r="A1947" s="74">
        <v>6739</v>
      </c>
    </row>
    <row r="1948" spans="1:1" x14ac:dyDescent="0.25">
      <c r="A1948" s="74">
        <v>6740</v>
      </c>
    </row>
    <row r="1949" spans="1:1" x14ac:dyDescent="0.25">
      <c r="A1949" s="74">
        <v>6741</v>
      </c>
    </row>
    <row r="1950" spans="1:1" x14ac:dyDescent="0.25">
      <c r="A1950" s="74">
        <v>6742</v>
      </c>
    </row>
    <row r="1951" spans="1:1" x14ac:dyDescent="0.25">
      <c r="A1951" s="74">
        <v>6743</v>
      </c>
    </row>
    <row r="1952" spans="1:1" x14ac:dyDescent="0.25">
      <c r="A1952" s="74">
        <v>6744</v>
      </c>
    </row>
    <row r="1953" spans="1:1" x14ac:dyDescent="0.25">
      <c r="A1953" s="74">
        <v>6745</v>
      </c>
    </row>
    <row r="1954" spans="1:1" x14ac:dyDescent="0.25">
      <c r="A1954" s="74">
        <v>6746</v>
      </c>
    </row>
    <row r="1955" spans="1:1" x14ac:dyDescent="0.25">
      <c r="A1955" s="74">
        <v>6747</v>
      </c>
    </row>
    <row r="1956" spans="1:1" x14ac:dyDescent="0.25">
      <c r="A1956" s="74">
        <v>6748</v>
      </c>
    </row>
    <row r="1957" spans="1:1" x14ac:dyDescent="0.25">
      <c r="A1957" s="74">
        <v>6749</v>
      </c>
    </row>
    <row r="1958" spans="1:1" x14ac:dyDescent="0.25">
      <c r="A1958" s="74">
        <v>6750</v>
      </c>
    </row>
    <row r="1959" spans="1:1" x14ac:dyDescent="0.25">
      <c r="A1959" s="74">
        <v>6751</v>
      </c>
    </row>
    <row r="1960" spans="1:1" x14ac:dyDescent="0.25">
      <c r="A1960" s="74">
        <v>6752</v>
      </c>
    </row>
    <row r="1961" spans="1:1" x14ac:dyDescent="0.25">
      <c r="A1961" s="74">
        <v>6753</v>
      </c>
    </row>
    <row r="1962" spans="1:1" x14ac:dyDescent="0.25">
      <c r="A1962" s="74">
        <v>6754</v>
      </c>
    </row>
    <row r="1963" spans="1:1" x14ac:dyDescent="0.25">
      <c r="A1963" s="74">
        <v>6755</v>
      </c>
    </row>
    <row r="1964" spans="1:1" x14ac:dyDescent="0.25">
      <c r="A1964" s="74">
        <v>6756</v>
      </c>
    </row>
    <row r="1965" spans="1:1" x14ac:dyDescent="0.25">
      <c r="A1965" s="74">
        <v>6757</v>
      </c>
    </row>
    <row r="1966" spans="1:1" x14ac:dyDescent="0.25">
      <c r="A1966" s="74">
        <v>6758</v>
      </c>
    </row>
    <row r="1967" spans="1:1" x14ac:dyDescent="0.25">
      <c r="A1967" s="74">
        <v>6759</v>
      </c>
    </row>
    <row r="1968" spans="1:1" x14ac:dyDescent="0.25">
      <c r="A1968" s="74">
        <v>6760</v>
      </c>
    </row>
    <row r="1969" spans="1:1" x14ac:dyDescent="0.25">
      <c r="A1969" s="74">
        <v>6761</v>
      </c>
    </row>
    <row r="1970" spans="1:1" x14ac:dyDescent="0.25">
      <c r="A1970" s="74">
        <v>6762</v>
      </c>
    </row>
    <row r="1971" spans="1:1" x14ac:dyDescent="0.25">
      <c r="A1971" s="74">
        <v>6763</v>
      </c>
    </row>
    <row r="1972" spans="1:1" x14ac:dyDescent="0.25">
      <c r="A1972" s="74">
        <v>6764</v>
      </c>
    </row>
    <row r="1973" spans="1:1" x14ac:dyDescent="0.25">
      <c r="A1973" s="74">
        <v>6765</v>
      </c>
    </row>
    <row r="1974" spans="1:1" x14ac:dyDescent="0.25">
      <c r="A1974" s="74">
        <v>6766</v>
      </c>
    </row>
    <row r="1975" spans="1:1" x14ac:dyDescent="0.25">
      <c r="A1975" s="74">
        <v>6767</v>
      </c>
    </row>
    <row r="1976" spans="1:1" x14ac:dyDescent="0.25">
      <c r="A1976" s="74">
        <v>6768</v>
      </c>
    </row>
    <row r="1977" spans="1:1" x14ac:dyDescent="0.25">
      <c r="A1977" s="74">
        <v>6769</v>
      </c>
    </row>
    <row r="1978" spans="1:1" x14ac:dyDescent="0.25">
      <c r="A1978" s="74">
        <v>6770</v>
      </c>
    </row>
    <row r="1979" spans="1:1" x14ac:dyDescent="0.25">
      <c r="A1979" s="74">
        <v>6771</v>
      </c>
    </row>
    <row r="1980" spans="1:1" x14ac:dyDescent="0.25">
      <c r="A1980" s="74">
        <v>6772</v>
      </c>
    </row>
    <row r="1981" spans="1:1" x14ac:dyDescent="0.25">
      <c r="A1981" s="74">
        <v>6773</v>
      </c>
    </row>
    <row r="1982" spans="1:1" x14ac:dyDescent="0.25">
      <c r="A1982" s="74">
        <v>6774</v>
      </c>
    </row>
    <row r="1983" spans="1:1" x14ac:dyDescent="0.25">
      <c r="A1983" s="74">
        <v>6775</v>
      </c>
    </row>
    <row r="1984" spans="1:1" x14ac:dyDescent="0.25">
      <c r="A1984" s="74">
        <v>6776</v>
      </c>
    </row>
    <row r="1985" spans="1:1" x14ac:dyDescent="0.25">
      <c r="A1985" s="74">
        <v>6777</v>
      </c>
    </row>
    <row r="1986" spans="1:1" x14ac:dyDescent="0.25">
      <c r="A1986" s="74">
        <v>6778</v>
      </c>
    </row>
    <row r="1987" spans="1:1" x14ac:dyDescent="0.25">
      <c r="A1987" s="74">
        <v>6779</v>
      </c>
    </row>
    <row r="1988" spans="1:1" x14ac:dyDescent="0.25">
      <c r="A1988" s="74">
        <v>6780</v>
      </c>
    </row>
    <row r="1989" spans="1:1" x14ac:dyDescent="0.25">
      <c r="A1989" s="74">
        <v>6781</v>
      </c>
    </row>
    <row r="1990" spans="1:1" x14ac:dyDescent="0.25">
      <c r="A1990" s="74">
        <v>6782</v>
      </c>
    </row>
    <row r="1991" spans="1:1" x14ac:dyDescent="0.25">
      <c r="A1991" s="74">
        <v>6783</v>
      </c>
    </row>
    <row r="1992" spans="1:1" x14ac:dyDescent="0.25">
      <c r="A1992" s="74">
        <v>6784</v>
      </c>
    </row>
    <row r="1993" spans="1:1" x14ac:dyDescent="0.25">
      <c r="A1993" s="74">
        <v>6785</v>
      </c>
    </row>
    <row r="1994" spans="1:1" x14ac:dyDescent="0.25">
      <c r="A1994" s="74">
        <v>6786</v>
      </c>
    </row>
    <row r="1995" spans="1:1" x14ac:dyDescent="0.25">
      <c r="A1995" s="74">
        <v>6787</v>
      </c>
    </row>
    <row r="1996" spans="1:1" x14ac:dyDescent="0.25">
      <c r="A1996" s="74">
        <v>6788</v>
      </c>
    </row>
    <row r="1997" spans="1:1" x14ac:dyDescent="0.25">
      <c r="A1997" s="74">
        <v>6789</v>
      </c>
    </row>
    <row r="1998" spans="1:1" x14ac:dyDescent="0.25">
      <c r="A1998" s="74">
        <v>6790</v>
      </c>
    </row>
    <row r="1999" spans="1:1" x14ac:dyDescent="0.25">
      <c r="A1999" s="74">
        <v>6791</v>
      </c>
    </row>
    <row r="2000" spans="1:1" x14ac:dyDescent="0.25">
      <c r="A2000" s="74">
        <v>6792</v>
      </c>
    </row>
    <row r="2001" spans="1:1" x14ac:dyDescent="0.25">
      <c r="A2001" s="74">
        <v>6793</v>
      </c>
    </row>
    <row r="2002" spans="1:1" x14ac:dyDescent="0.25">
      <c r="A2002" s="74">
        <v>6794</v>
      </c>
    </row>
    <row r="2003" spans="1:1" x14ac:dyDescent="0.25">
      <c r="A2003" s="74">
        <v>6795</v>
      </c>
    </row>
    <row r="2004" spans="1:1" x14ac:dyDescent="0.25">
      <c r="A2004" s="74">
        <v>6796</v>
      </c>
    </row>
    <row r="2005" spans="1:1" x14ac:dyDescent="0.25">
      <c r="A2005" s="74">
        <v>6797</v>
      </c>
    </row>
    <row r="2006" spans="1:1" x14ac:dyDescent="0.25">
      <c r="A2006" s="74">
        <v>6798</v>
      </c>
    </row>
    <row r="2007" spans="1:1" x14ac:dyDescent="0.25">
      <c r="A2007" s="74">
        <v>6799</v>
      </c>
    </row>
    <row r="2008" spans="1:1" x14ac:dyDescent="0.25">
      <c r="A2008" s="74">
        <v>6800</v>
      </c>
    </row>
    <row r="2009" spans="1:1" x14ac:dyDescent="0.25">
      <c r="A2009" s="74">
        <v>6801</v>
      </c>
    </row>
    <row r="2010" spans="1:1" x14ac:dyDescent="0.25">
      <c r="A2010" s="74">
        <v>6802</v>
      </c>
    </row>
    <row r="2011" spans="1:1" x14ac:dyDescent="0.25">
      <c r="A2011" s="74">
        <v>6803</v>
      </c>
    </row>
    <row r="2012" spans="1:1" x14ac:dyDescent="0.25">
      <c r="A2012" s="74">
        <v>6804</v>
      </c>
    </row>
    <row r="2013" spans="1:1" x14ac:dyDescent="0.25">
      <c r="A2013" s="74">
        <v>6805</v>
      </c>
    </row>
    <row r="2014" spans="1:1" x14ac:dyDescent="0.25">
      <c r="A2014" s="74">
        <v>6806</v>
      </c>
    </row>
    <row r="2015" spans="1:1" x14ac:dyDescent="0.25">
      <c r="A2015" s="74">
        <v>6807</v>
      </c>
    </row>
    <row r="2016" spans="1:1" x14ac:dyDescent="0.25">
      <c r="A2016" s="74">
        <v>6808</v>
      </c>
    </row>
    <row r="2017" spans="1:1" x14ac:dyDescent="0.25">
      <c r="A2017" s="74">
        <v>6809</v>
      </c>
    </row>
    <row r="2018" spans="1:1" x14ac:dyDescent="0.25">
      <c r="A2018" s="74">
        <v>6810</v>
      </c>
    </row>
    <row r="2019" spans="1:1" x14ac:dyDescent="0.25">
      <c r="A2019" s="74">
        <v>6811</v>
      </c>
    </row>
    <row r="2020" spans="1:1" x14ac:dyDescent="0.25">
      <c r="A2020" s="74">
        <v>6812</v>
      </c>
    </row>
    <row r="2021" spans="1:1" x14ac:dyDescent="0.25">
      <c r="A2021" s="74">
        <v>6813</v>
      </c>
    </row>
    <row r="2022" spans="1:1" x14ac:dyDescent="0.25">
      <c r="A2022" s="74">
        <v>6814</v>
      </c>
    </row>
    <row r="2023" spans="1:1" x14ac:dyDescent="0.25">
      <c r="A2023" s="74">
        <v>6815</v>
      </c>
    </row>
    <row r="2024" spans="1:1" x14ac:dyDescent="0.25">
      <c r="A2024" s="74">
        <v>6816</v>
      </c>
    </row>
    <row r="2025" spans="1:1" x14ac:dyDescent="0.25">
      <c r="A2025" s="74">
        <v>6817</v>
      </c>
    </row>
    <row r="2026" spans="1:1" x14ac:dyDescent="0.25">
      <c r="A2026" s="74">
        <v>6818</v>
      </c>
    </row>
    <row r="2027" spans="1:1" x14ac:dyDescent="0.25">
      <c r="A2027" s="74">
        <v>6819</v>
      </c>
    </row>
    <row r="2028" spans="1:1" x14ac:dyDescent="0.25">
      <c r="A2028" s="74">
        <v>6820</v>
      </c>
    </row>
    <row r="2029" spans="1:1" x14ac:dyDescent="0.25">
      <c r="A2029" s="74">
        <v>6821</v>
      </c>
    </row>
    <row r="2030" spans="1:1" x14ac:dyDescent="0.25">
      <c r="A2030" s="74">
        <v>6822</v>
      </c>
    </row>
    <row r="2031" spans="1:1" x14ac:dyDescent="0.25">
      <c r="A2031" s="74">
        <v>6823</v>
      </c>
    </row>
    <row r="2032" spans="1:1" x14ac:dyDescent="0.25">
      <c r="A2032" s="74">
        <v>6824</v>
      </c>
    </row>
    <row r="2033" spans="1:1" x14ac:dyDescent="0.25">
      <c r="A2033" s="74">
        <v>6825</v>
      </c>
    </row>
    <row r="2034" spans="1:1" x14ac:dyDescent="0.25">
      <c r="A2034" s="74">
        <v>6826</v>
      </c>
    </row>
    <row r="2035" spans="1:1" x14ac:dyDescent="0.25">
      <c r="A2035" s="74">
        <v>6827</v>
      </c>
    </row>
    <row r="2036" spans="1:1" x14ac:dyDescent="0.25">
      <c r="A2036" s="74">
        <v>6828</v>
      </c>
    </row>
    <row r="2037" spans="1:1" x14ac:dyDescent="0.25">
      <c r="A2037" s="74">
        <v>6829</v>
      </c>
    </row>
    <row r="2038" spans="1:1" x14ac:dyDescent="0.25">
      <c r="A2038" s="74">
        <v>6830</v>
      </c>
    </row>
    <row r="2039" spans="1:1" x14ac:dyDescent="0.25">
      <c r="A2039" s="74">
        <v>6831</v>
      </c>
    </row>
    <row r="2040" spans="1:1" x14ac:dyDescent="0.25">
      <c r="A2040" s="74">
        <v>6832</v>
      </c>
    </row>
    <row r="2041" spans="1:1" x14ac:dyDescent="0.25">
      <c r="A2041" s="74">
        <v>6833</v>
      </c>
    </row>
    <row r="2042" spans="1:1" x14ac:dyDescent="0.25">
      <c r="A2042" s="74">
        <v>6834</v>
      </c>
    </row>
    <row r="2043" spans="1:1" x14ac:dyDescent="0.25">
      <c r="A2043" s="74">
        <v>6835</v>
      </c>
    </row>
    <row r="2044" spans="1:1" x14ac:dyDescent="0.25">
      <c r="A2044" s="74">
        <v>6836</v>
      </c>
    </row>
    <row r="2045" spans="1:1" x14ac:dyDescent="0.25">
      <c r="A2045" s="74">
        <v>6837</v>
      </c>
    </row>
    <row r="2046" spans="1:1" x14ac:dyDescent="0.25">
      <c r="A2046" s="74">
        <v>6838</v>
      </c>
    </row>
    <row r="2047" spans="1:1" x14ac:dyDescent="0.25">
      <c r="A2047" s="74">
        <v>6839</v>
      </c>
    </row>
    <row r="2048" spans="1:1" x14ac:dyDescent="0.25">
      <c r="A2048" s="74">
        <v>6840</v>
      </c>
    </row>
    <row r="2049" spans="1:1" x14ac:dyDescent="0.25">
      <c r="A2049" s="74">
        <v>6841</v>
      </c>
    </row>
    <row r="2050" spans="1:1" x14ac:dyDescent="0.25">
      <c r="A2050" s="74">
        <v>6842</v>
      </c>
    </row>
    <row r="2051" spans="1:1" x14ac:dyDescent="0.25">
      <c r="A2051" s="74">
        <v>6843</v>
      </c>
    </row>
    <row r="2052" spans="1:1" x14ac:dyDescent="0.25">
      <c r="A2052" s="74">
        <v>6844</v>
      </c>
    </row>
    <row r="2053" spans="1:1" x14ac:dyDescent="0.25">
      <c r="A2053" s="74">
        <v>6845</v>
      </c>
    </row>
    <row r="2054" spans="1:1" x14ac:dyDescent="0.25">
      <c r="A2054" s="74">
        <v>6846</v>
      </c>
    </row>
    <row r="2055" spans="1:1" x14ac:dyDescent="0.25">
      <c r="A2055" s="74">
        <v>6847</v>
      </c>
    </row>
    <row r="2056" spans="1:1" x14ac:dyDescent="0.25">
      <c r="A2056" s="74">
        <v>6848</v>
      </c>
    </row>
    <row r="2057" spans="1:1" x14ac:dyDescent="0.25">
      <c r="A2057" s="74">
        <v>6849</v>
      </c>
    </row>
    <row r="2058" spans="1:1" x14ac:dyDescent="0.25">
      <c r="A2058" s="74">
        <v>6850</v>
      </c>
    </row>
    <row r="2059" spans="1:1" x14ac:dyDescent="0.25">
      <c r="A2059" s="74">
        <v>6851</v>
      </c>
    </row>
    <row r="2060" spans="1:1" x14ac:dyDescent="0.25">
      <c r="A2060" s="74">
        <v>6852</v>
      </c>
    </row>
    <row r="2061" spans="1:1" x14ac:dyDescent="0.25">
      <c r="A2061" s="74">
        <v>6853</v>
      </c>
    </row>
    <row r="2062" spans="1:1" x14ac:dyDescent="0.25">
      <c r="A2062" s="74">
        <v>6854</v>
      </c>
    </row>
    <row r="2063" spans="1:1" x14ac:dyDescent="0.25">
      <c r="A2063" s="74">
        <v>6855</v>
      </c>
    </row>
    <row r="2064" spans="1:1" x14ac:dyDescent="0.25">
      <c r="A2064" s="74">
        <v>6856</v>
      </c>
    </row>
    <row r="2065" spans="1:1" x14ac:dyDescent="0.25">
      <c r="A2065" s="74">
        <v>6857</v>
      </c>
    </row>
    <row r="2066" spans="1:1" x14ac:dyDescent="0.25">
      <c r="A2066" s="74">
        <v>6858</v>
      </c>
    </row>
    <row r="2067" spans="1:1" x14ac:dyDescent="0.25">
      <c r="A2067" s="74">
        <v>6859</v>
      </c>
    </row>
    <row r="2068" spans="1:1" x14ac:dyDescent="0.25">
      <c r="A2068" s="74">
        <v>6860</v>
      </c>
    </row>
    <row r="2069" spans="1:1" x14ac:dyDescent="0.25">
      <c r="A2069" s="74">
        <v>6861</v>
      </c>
    </row>
    <row r="2070" spans="1:1" x14ac:dyDescent="0.25">
      <c r="A2070" s="74">
        <v>6862</v>
      </c>
    </row>
    <row r="2071" spans="1:1" x14ac:dyDescent="0.25">
      <c r="A2071" s="74">
        <v>6863</v>
      </c>
    </row>
    <row r="2072" spans="1:1" x14ac:dyDescent="0.25">
      <c r="A2072" s="74">
        <v>6864</v>
      </c>
    </row>
    <row r="2073" spans="1:1" x14ac:dyDescent="0.25">
      <c r="A2073" s="74">
        <v>6865</v>
      </c>
    </row>
    <row r="2074" spans="1:1" x14ac:dyDescent="0.25">
      <c r="A2074" s="74">
        <v>6866</v>
      </c>
    </row>
    <row r="2075" spans="1:1" x14ac:dyDescent="0.25">
      <c r="A2075" s="74">
        <v>6867</v>
      </c>
    </row>
    <row r="2076" spans="1:1" x14ac:dyDescent="0.25">
      <c r="A2076" s="74">
        <v>6868</v>
      </c>
    </row>
    <row r="2077" spans="1:1" x14ac:dyDescent="0.25">
      <c r="A2077" s="74">
        <v>6869</v>
      </c>
    </row>
    <row r="2078" spans="1:1" x14ac:dyDescent="0.25">
      <c r="A2078" s="74">
        <v>6870</v>
      </c>
    </row>
    <row r="2079" spans="1:1" x14ac:dyDescent="0.25">
      <c r="A2079" s="74">
        <v>6871</v>
      </c>
    </row>
    <row r="2080" spans="1:1" x14ac:dyDescent="0.25">
      <c r="A2080" s="74">
        <v>6872</v>
      </c>
    </row>
    <row r="2081" spans="1:1" x14ac:dyDescent="0.25">
      <c r="A2081" s="74">
        <v>6873</v>
      </c>
    </row>
    <row r="2082" spans="1:1" x14ac:dyDescent="0.25">
      <c r="A2082" s="74">
        <v>6874</v>
      </c>
    </row>
    <row r="2083" spans="1:1" x14ac:dyDescent="0.25">
      <c r="A2083" s="74">
        <v>6875</v>
      </c>
    </row>
    <row r="2084" spans="1:1" x14ac:dyDescent="0.25">
      <c r="A2084" s="74">
        <v>6876</v>
      </c>
    </row>
    <row r="2085" spans="1:1" x14ac:dyDescent="0.25">
      <c r="A2085" s="74">
        <v>6877</v>
      </c>
    </row>
    <row r="2086" spans="1:1" x14ac:dyDescent="0.25">
      <c r="A2086" s="74">
        <v>6878</v>
      </c>
    </row>
    <row r="2087" spans="1:1" x14ac:dyDescent="0.25">
      <c r="A2087" s="74">
        <v>6879</v>
      </c>
    </row>
    <row r="2088" spans="1:1" x14ac:dyDescent="0.25">
      <c r="A2088" s="74">
        <v>6880</v>
      </c>
    </row>
    <row r="2089" spans="1:1" x14ac:dyDescent="0.25">
      <c r="A2089" s="74">
        <v>6881</v>
      </c>
    </row>
    <row r="2090" spans="1:1" x14ac:dyDescent="0.25">
      <c r="A2090" s="74">
        <v>6882</v>
      </c>
    </row>
    <row r="2091" spans="1:1" x14ac:dyDescent="0.25">
      <c r="A2091" s="74">
        <v>6883</v>
      </c>
    </row>
    <row r="2092" spans="1:1" x14ac:dyDescent="0.25">
      <c r="A2092" s="74">
        <v>6884</v>
      </c>
    </row>
    <row r="2093" spans="1:1" x14ac:dyDescent="0.25">
      <c r="A2093" s="74">
        <v>6885</v>
      </c>
    </row>
    <row r="2094" spans="1:1" x14ac:dyDescent="0.25">
      <c r="A2094" s="74">
        <v>6886</v>
      </c>
    </row>
    <row r="2095" spans="1:1" x14ac:dyDescent="0.25">
      <c r="A2095" s="74">
        <v>6887</v>
      </c>
    </row>
    <row r="2096" spans="1:1" x14ac:dyDescent="0.25">
      <c r="A2096" s="74">
        <v>6888</v>
      </c>
    </row>
    <row r="2097" spans="1:1" x14ac:dyDescent="0.25">
      <c r="A2097" s="74">
        <v>6889</v>
      </c>
    </row>
    <row r="2098" spans="1:1" x14ac:dyDescent="0.25">
      <c r="A2098" s="74">
        <v>6890</v>
      </c>
    </row>
    <row r="2099" spans="1:1" x14ac:dyDescent="0.25">
      <c r="A2099" s="74">
        <v>6891</v>
      </c>
    </row>
    <row r="2100" spans="1:1" x14ac:dyDescent="0.25">
      <c r="A2100" s="74">
        <v>6892</v>
      </c>
    </row>
    <row r="2101" spans="1:1" x14ac:dyDescent="0.25">
      <c r="A2101" s="74">
        <v>6893</v>
      </c>
    </row>
    <row r="2102" spans="1:1" x14ac:dyDescent="0.25">
      <c r="A2102" s="74">
        <v>6894</v>
      </c>
    </row>
    <row r="2103" spans="1:1" x14ac:dyDescent="0.25">
      <c r="A2103" s="74">
        <v>6895</v>
      </c>
    </row>
    <row r="2104" spans="1:1" x14ac:dyDescent="0.25">
      <c r="A2104" s="74">
        <v>6896</v>
      </c>
    </row>
    <row r="2105" spans="1:1" x14ac:dyDescent="0.25">
      <c r="A2105" s="74">
        <v>6897</v>
      </c>
    </row>
    <row r="2106" spans="1:1" x14ac:dyDescent="0.25">
      <c r="A2106" s="74">
        <v>6898</v>
      </c>
    </row>
    <row r="2107" spans="1:1" x14ac:dyDescent="0.25">
      <c r="A2107" s="74">
        <v>6899</v>
      </c>
    </row>
    <row r="2108" spans="1:1" x14ac:dyDescent="0.25">
      <c r="A2108" s="74">
        <v>6900</v>
      </c>
    </row>
    <row r="2109" spans="1:1" x14ac:dyDescent="0.25">
      <c r="A2109" s="74">
        <v>6901</v>
      </c>
    </row>
    <row r="2110" spans="1:1" x14ac:dyDescent="0.25">
      <c r="A2110" s="74">
        <v>6902</v>
      </c>
    </row>
    <row r="2111" spans="1:1" x14ac:dyDescent="0.25">
      <c r="A2111" s="74">
        <v>6903</v>
      </c>
    </row>
    <row r="2112" spans="1:1" x14ac:dyDescent="0.25">
      <c r="A2112" s="74">
        <v>6904</v>
      </c>
    </row>
    <row r="2113" spans="1:1" x14ac:dyDescent="0.25">
      <c r="A2113" s="74">
        <v>6905</v>
      </c>
    </row>
    <row r="2114" spans="1:1" x14ac:dyDescent="0.25">
      <c r="A2114" s="74">
        <v>6906</v>
      </c>
    </row>
    <row r="2115" spans="1:1" x14ac:dyDescent="0.25">
      <c r="A2115" s="74">
        <v>6907</v>
      </c>
    </row>
    <row r="2116" spans="1:1" x14ac:dyDescent="0.25">
      <c r="A2116" s="74">
        <v>6908</v>
      </c>
    </row>
    <row r="2117" spans="1:1" x14ac:dyDescent="0.25">
      <c r="A2117" s="74">
        <v>6909</v>
      </c>
    </row>
    <row r="2118" spans="1:1" x14ac:dyDescent="0.25">
      <c r="A2118" s="74">
        <v>6910</v>
      </c>
    </row>
    <row r="2119" spans="1:1" x14ac:dyDescent="0.25">
      <c r="A2119" s="74">
        <v>6911</v>
      </c>
    </row>
    <row r="2120" spans="1:1" x14ac:dyDescent="0.25">
      <c r="A2120" s="74">
        <v>6912</v>
      </c>
    </row>
    <row r="2121" spans="1:1" x14ac:dyDescent="0.25">
      <c r="A2121" s="74">
        <v>6913</v>
      </c>
    </row>
    <row r="2122" spans="1:1" x14ac:dyDescent="0.25">
      <c r="A2122" s="74">
        <v>6914</v>
      </c>
    </row>
    <row r="2123" spans="1:1" x14ac:dyDescent="0.25">
      <c r="A2123" s="74">
        <v>6915</v>
      </c>
    </row>
    <row r="2124" spans="1:1" x14ac:dyDescent="0.25">
      <c r="A2124" s="74">
        <v>6916</v>
      </c>
    </row>
    <row r="2125" spans="1:1" x14ac:dyDescent="0.25">
      <c r="A2125" s="74">
        <v>6917</v>
      </c>
    </row>
    <row r="2126" spans="1:1" x14ac:dyDescent="0.25">
      <c r="A2126" s="74">
        <v>6918</v>
      </c>
    </row>
    <row r="2127" spans="1:1" x14ac:dyDescent="0.25">
      <c r="A2127" s="74">
        <v>6919</v>
      </c>
    </row>
    <row r="2128" spans="1:1" x14ac:dyDescent="0.25">
      <c r="A2128" s="74">
        <v>6920</v>
      </c>
    </row>
    <row r="2129" spans="1:1" x14ac:dyDescent="0.25">
      <c r="A2129" s="74">
        <v>6921</v>
      </c>
    </row>
    <row r="2130" spans="1:1" x14ac:dyDescent="0.25">
      <c r="A2130" s="74">
        <v>6922</v>
      </c>
    </row>
    <row r="2131" spans="1:1" x14ac:dyDescent="0.25">
      <c r="A2131" s="74">
        <v>6923</v>
      </c>
    </row>
    <row r="2132" spans="1:1" x14ac:dyDescent="0.25">
      <c r="A2132" s="74">
        <v>6924</v>
      </c>
    </row>
    <row r="2133" spans="1:1" x14ac:dyDescent="0.25">
      <c r="A2133" s="74">
        <v>6925</v>
      </c>
    </row>
    <row r="2134" spans="1:1" x14ac:dyDescent="0.25">
      <c r="A2134" s="74">
        <v>6926</v>
      </c>
    </row>
    <row r="2135" spans="1:1" x14ac:dyDescent="0.25">
      <c r="A2135" s="74">
        <v>6927</v>
      </c>
    </row>
    <row r="2136" spans="1:1" x14ac:dyDescent="0.25">
      <c r="A2136" s="74">
        <v>6928</v>
      </c>
    </row>
    <row r="2137" spans="1:1" x14ac:dyDescent="0.25">
      <c r="A2137" s="74">
        <v>6929</v>
      </c>
    </row>
    <row r="2138" spans="1:1" x14ac:dyDescent="0.25">
      <c r="A2138" s="74">
        <v>6930</v>
      </c>
    </row>
    <row r="2139" spans="1:1" x14ac:dyDescent="0.25">
      <c r="A2139" s="74">
        <v>6931</v>
      </c>
    </row>
    <row r="2140" spans="1:1" x14ac:dyDescent="0.25">
      <c r="A2140" s="74">
        <v>6932</v>
      </c>
    </row>
    <row r="2141" spans="1:1" x14ac:dyDescent="0.25">
      <c r="A2141" s="74">
        <v>6933</v>
      </c>
    </row>
    <row r="2142" spans="1:1" x14ac:dyDescent="0.25">
      <c r="A2142" s="74">
        <v>6934</v>
      </c>
    </row>
    <row r="2143" spans="1:1" x14ac:dyDescent="0.25">
      <c r="A2143" s="74">
        <v>6935</v>
      </c>
    </row>
    <row r="2144" spans="1:1" x14ac:dyDescent="0.25">
      <c r="A2144" s="74">
        <v>6936</v>
      </c>
    </row>
    <row r="2145" spans="1:1" x14ac:dyDescent="0.25">
      <c r="A2145" s="74">
        <v>6937</v>
      </c>
    </row>
    <row r="2146" spans="1:1" x14ac:dyDescent="0.25">
      <c r="A2146" s="74">
        <v>6938</v>
      </c>
    </row>
    <row r="2147" spans="1:1" x14ac:dyDescent="0.25">
      <c r="A2147" s="74">
        <v>6939</v>
      </c>
    </row>
    <row r="2148" spans="1:1" x14ac:dyDescent="0.25">
      <c r="A2148" s="74">
        <v>6940</v>
      </c>
    </row>
    <row r="2149" spans="1:1" x14ac:dyDescent="0.25">
      <c r="A2149" s="74">
        <v>6941</v>
      </c>
    </row>
    <row r="2150" spans="1:1" x14ac:dyDescent="0.25">
      <c r="A2150" s="74">
        <v>6942</v>
      </c>
    </row>
    <row r="2151" spans="1:1" x14ac:dyDescent="0.25">
      <c r="A2151" s="74">
        <v>6943</v>
      </c>
    </row>
    <row r="2152" spans="1:1" x14ac:dyDescent="0.25">
      <c r="A2152" s="74">
        <v>6944</v>
      </c>
    </row>
    <row r="2153" spans="1:1" x14ac:dyDescent="0.25">
      <c r="A2153" s="74">
        <v>6945</v>
      </c>
    </row>
    <row r="2154" spans="1:1" x14ac:dyDescent="0.25">
      <c r="A2154" s="74">
        <v>6946</v>
      </c>
    </row>
    <row r="2155" spans="1:1" x14ac:dyDescent="0.25">
      <c r="A2155" s="74">
        <v>6947</v>
      </c>
    </row>
    <row r="2156" spans="1:1" x14ac:dyDescent="0.25">
      <c r="A2156" s="74">
        <v>6948</v>
      </c>
    </row>
    <row r="2157" spans="1:1" x14ac:dyDescent="0.25">
      <c r="A2157" s="74">
        <v>6949</v>
      </c>
    </row>
    <row r="2158" spans="1:1" x14ac:dyDescent="0.25">
      <c r="A2158" s="74">
        <v>6950</v>
      </c>
    </row>
    <row r="2159" spans="1:1" x14ac:dyDescent="0.25">
      <c r="A2159" s="74">
        <v>6951</v>
      </c>
    </row>
    <row r="2160" spans="1:1" x14ac:dyDescent="0.25">
      <c r="A2160" s="74">
        <v>6952</v>
      </c>
    </row>
    <row r="2161" spans="1:1" x14ac:dyDescent="0.25">
      <c r="A2161" s="74">
        <v>6953</v>
      </c>
    </row>
    <row r="2162" spans="1:1" x14ac:dyDescent="0.25">
      <c r="A2162" s="74">
        <v>6954</v>
      </c>
    </row>
    <row r="2163" spans="1:1" x14ac:dyDescent="0.25">
      <c r="A2163" s="74">
        <v>6955</v>
      </c>
    </row>
    <row r="2164" spans="1:1" x14ac:dyDescent="0.25">
      <c r="A2164" s="74">
        <v>6956</v>
      </c>
    </row>
    <row r="2165" spans="1:1" x14ac:dyDescent="0.25">
      <c r="A2165" s="74">
        <v>6957</v>
      </c>
    </row>
    <row r="2166" spans="1:1" x14ac:dyDescent="0.25">
      <c r="A2166" s="74">
        <v>6958</v>
      </c>
    </row>
    <row r="2167" spans="1:1" x14ac:dyDescent="0.25">
      <c r="A2167" s="74">
        <v>6959</v>
      </c>
    </row>
    <row r="2168" spans="1:1" x14ac:dyDescent="0.25">
      <c r="A2168" s="74">
        <v>6960</v>
      </c>
    </row>
    <row r="2169" spans="1:1" x14ac:dyDescent="0.25">
      <c r="A2169" s="74">
        <v>6961</v>
      </c>
    </row>
    <row r="2170" spans="1:1" x14ac:dyDescent="0.25">
      <c r="A2170" s="74">
        <v>6962</v>
      </c>
    </row>
    <row r="2171" spans="1:1" x14ac:dyDescent="0.25">
      <c r="A2171" s="74">
        <v>6963</v>
      </c>
    </row>
    <row r="2172" spans="1:1" x14ac:dyDescent="0.25">
      <c r="A2172" s="74">
        <v>6964</v>
      </c>
    </row>
    <row r="2173" spans="1:1" x14ac:dyDescent="0.25">
      <c r="A2173" s="74">
        <v>6965</v>
      </c>
    </row>
    <row r="2174" spans="1:1" x14ac:dyDescent="0.25">
      <c r="A2174" s="74">
        <v>6966</v>
      </c>
    </row>
    <row r="2175" spans="1:1" x14ac:dyDescent="0.25">
      <c r="A2175" s="74">
        <v>6967</v>
      </c>
    </row>
    <row r="2176" spans="1:1" x14ac:dyDescent="0.25">
      <c r="A2176" s="74">
        <v>6968</v>
      </c>
    </row>
    <row r="2177" spans="1:1" x14ac:dyDescent="0.25">
      <c r="A2177" s="74">
        <v>6969</v>
      </c>
    </row>
    <row r="2178" spans="1:1" x14ac:dyDescent="0.25">
      <c r="A2178" s="74">
        <v>6970</v>
      </c>
    </row>
    <row r="2179" spans="1:1" x14ac:dyDescent="0.25">
      <c r="A2179" s="74">
        <v>6971</v>
      </c>
    </row>
    <row r="2180" spans="1:1" x14ac:dyDescent="0.25">
      <c r="A2180" s="74">
        <v>6972</v>
      </c>
    </row>
    <row r="2181" spans="1:1" x14ac:dyDescent="0.25">
      <c r="A2181" s="74">
        <v>6973</v>
      </c>
    </row>
    <row r="2182" spans="1:1" x14ac:dyDescent="0.25">
      <c r="A2182" s="74">
        <v>6974</v>
      </c>
    </row>
    <row r="2183" spans="1:1" x14ac:dyDescent="0.25">
      <c r="A2183" s="74">
        <v>6975</v>
      </c>
    </row>
    <row r="2184" spans="1:1" x14ac:dyDescent="0.25">
      <c r="A2184" s="74">
        <v>6976</v>
      </c>
    </row>
    <row r="2185" spans="1:1" x14ac:dyDescent="0.25">
      <c r="A2185" s="74">
        <v>6977</v>
      </c>
    </row>
    <row r="2186" spans="1:1" x14ac:dyDescent="0.25">
      <c r="A2186" s="74">
        <v>6978</v>
      </c>
    </row>
    <row r="2187" spans="1:1" x14ac:dyDescent="0.25">
      <c r="A2187" s="74">
        <v>6979</v>
      </c>
    </row>
    <row r="2188" spans="1:1" x14ac:dyDescent="0.25">
      <c r="A2188" s="74">
        <v>6980</v>
      </c>
    </row>
    <row r="2189" spans="1:1" x14ac:dyDescent="0.25">
      <c r="A2189" s="74">
        <v>6981</v>
      </c>
    </row>
    <row r="2190" spans="1:1" x14ac:dyDescent="0.25">
      <c r="A2190" s="74">
        <v>6982</v>
      </c>
    </row>
    <row r="2191" spans="1:1" x14ac:dyDescent="0.25">
      <c r="A2191" s="74">
        <v>6983</v>
      </c>
    </row>
    <row r="2192" spans="1:1" x14ac:dyDescent="0.25">
      <c r="A2192" s="74">
        <v>6984</v>
      </c>
    </row>
    <row r="2193" spans="1:1" x14ac:dyDescent="0.25">
      <c r="A2193" s="74">
        <v>6985</v>
      </c>
    </row>
    <row r="2194" spans="1:1" x14ac:dyDescent="0.25">
      <c r="A2194" s="74">
        <v>6986</v>
      </c>
    </row>
    <row r="2195" spans="1:1" x14ac:dyDescent="0.25">
      <c r="A2195" s="74">
        <v>6987</v>
      </c>
    </row>
    <row r="2196" spans="1:1" x14ac:dyDescent="0.25">
      <c r="A2196" s="74">
        <v>6988</v>
      </c>
    </row>
    <row r="2197" spans="1:1" x14ac:dyDescent="0.25">
      <c r="A2197" s="74">
        <v>6989</v>
      </c>
    </row>
    <row r="2198" spans="1:1" x14ac:dyDescent="0.25">
      <c r="A2198" s="74">
        <v>6990</v>
      </c>
    </row>
    <row r="2199" spans="1:1" x14ac:dyDescent="0.25">
      <c r="A2199" s="74">
        <v>6991</v>
      </c>
    </row>
    <row r="2200" spans="1:1" x14ac:dyDescent="0.25">
      <c r="A2200" s="74">
        <v>6992</v>
      </c>
    </row>
    <row r="2201" spans="1:1" x14ac:dyDescent="0.25">
      <c r="A2201" s="74">
        <v>6993</v>
      </c>
    </row>
    <row r="2202" spans="1:1" x14ac:dyDescent="0.25">
      <c r="A2202" s="74">
        <v>6994</v>
      </c>
    </row>
    <row r="2203" spans="1:1" x14ac:dyDescent="0.25">
      <c r="A2203" s="74">
        <v>6995</v>
      </c>
    </row>
    <row r="2204" spans="1:1" x14ac:dyDescent="0.25">
      <c r="A2204" s="74">
        <v>6996</v>
      </c>
    </row>
    <row r="2205" spans="1:1" x14ac:dyDescent="0.25">
      <c r="A2205" s="74">
        <v>6997</v>
      </c>
    </row>
    <row r="2206" spans="1:1" x14ac:dyDescent="0.25">
      <c r="A2206" s="74">
        <v>6998</v>
      </c>
    </row>
    <row r="2207" spans="1:1" x14ac:dyDescent="0.25">
      <c r="A2207" s="74">
        <v>6999</v>
      </c>
    </row>
    <row r="2208" spans="1:1" x14ac:dyDescent="0.25">
      <c r="A2208" s="74">
        <v>7000</v>
      </c>
    </row>
    <row r="2209" spans="1:1" x14ac:dyDescent="0.25">
      <c r="A2209" s="74">
        <v>7001</v>
      </c>
    </row>
    <row r="2210" spans="1:1" x14ac:dyDescent="0.25">
      <c r="A2210" s="74">
        <v>7002</v>
      </c>
    </row>
    <row r="2211" spans="1:1" x14ac:dyDescent="0.25">
      <c r="A2211" s="74">
        <v>7003</v>
      </c>
    </row>
    <row r="2212" spans="1:1" x14ac:dyDescent="0.25">
      <c r="A2212" s="74">
        <v>7004</v>
      </c>
    </row>
    <row r="2213" spans="1:1" x14ac:dyDescent="0.25">
      <c r="A2213" s="74">
        <v>7005</v>
      </c>
    </row>
    <row r="2214" spans="1:1" x14ac:dyDescent="0.25">
      <c r="A2214" s="74">
        <v>7006</v>
      </c>
    </row>
    <row r="2215" spans="1:1" x14ac:dyDescent="0.25">
      <c r="A2215" s="74">
        <v>7007</v>
      </c>
    </row>
    <row r="2216" spans="1:1" x14ac:dyDescent="0.25">
      <c r="A2216" s="74">
        <v>7008</v>
      </c>
    </row>
    <row r="2217" spans="1:1" x14ac:dyDescent="0.25">
      <c r="A2217" s="74">
        <v>7009</v>
      </c>
    </row>
    <row r="2218" spans="1:1" x14ac:dyDescent="0.25">
      <c r="A2218" s="74">
        <v>7010</v>
      </c>
    </row>
    <row r="2219" spans="1:1" x14ac:dyDescent="0.25">
      <c r="A2219" s="74">
        <v>7011</v>
      </c>
    </row>
    <row r="2220" spans="1:1" x14ac:dyDescent="0.25">
      <c r="A2220" s="74">
        <v>7012</v>
      </c>
    </row>
    <row r="2221" spans="1:1" x14ac:dyDescent="0.25">
      <c r="A2221" s="74">
        <v>7013</v>
      </c>
    </row>
    <row r="2222" spans="1:1" x14ac:dyDescent="0.25">
      <c r="A2222" s="74">
        <v>7014</v>
      </c>
    </row>
    <row r="2223" spans="1:1" x14ac:dyDescent="0.25">
      <c r="A2223" s="74">
        <v>7015</v>
      </c>
    </row>
    <row r="2224" spans="1:1" x14ac:dyDescent="0.25">
      <c r="A2224" s="74">
        <v>7016</v>
      </c>
    </row>
    <row r="2225" spans="1:1" x14ac:dyDescent="0.25">
      <c r="A2225" s="74">
        <v>7017</v>
      </c>
    </row>
    <row r="2226" spans="1:1" x14ac:dyDescent="0.25">
      <c r="A2226" s="74">
        <v>7018</v>
      </c>
    </row>
    <row r="2227" spans="1:1" x14ac:dyDescent="0.25">
      <c r="A2227" s="74">
        <v>7019</v>
      </c>
    </row>
    <row r="2228" spans="1:1" x14ac:dyDescent="0.25">
      <c r="A2228" s="74">
        <v>7020</v>
      </c>
    </row>
    <row r="2229" spans="1:1" x14ac:dyDescent="0.25">
      <c r="A2229" s="74">
        <v>7021</v>
      </c>
    </row>
    <row r="2230" spans="1:1" x14ac:dyDescent="0.25">
      <c r="A2230" s="74">
        <v>7022</v>
      </c>
    </row>
    <row r="2231" spans="1:1" x14ac:dyDescent="0.25">
      <c r="A2231" s="74">
        <v>7023</v>
      </c>
    </row>
    <row r="2232" spans="1:1" x14ac:dyDescent="0.25">
      <c r="A2232" s="74">
        <v>7024</v>
      </c>
    </row>
    <row r="2233" spans="1:1" x14ac:dyDescent="0.25">
      <c r="A2233" s="74">
        <v>7025</v>
      </c>
    </row>
    <row r="2234" spans="1:1" x14ac:dyDescent="0.25">
      <c r="A2234" s="74">
        <v>7026</v>
      </c>
    </row>
    <row r="2235" spans="1:1" x14ac:dyDescent="0.25">
      <c r="A2235" s="74">
        <v>7027</v>
      </c>
    </row>
    <row r="2236" spans="1:1" x14ac:dyDescent="0.25">
      <c r="A2236" s="74">
        <v>7028</v>
      </c>
    </row>
    <row r="2237" spans="1:1" x14ac:dyDescent="0.25">
      <c r="A2237" s="74">
        <v>7029</v>
      </c>
    </row>
    <row r="2238" spans="1:1" x14ac:dyDescent="0.25">
      <c r="A2238" s="74">
        <v>7030</v>
      </c>
    </row>
    <row r="2239" spans="1:1" x14ac:dyDescent="0.25">
      <c r="A2239" s="74">
        <v>7031</v>
      </c>
    </row>
    <row r="2240" spans="1:1" x14ac:dyDescent="0.25">
      <c r="A2240" s="74">
        <v>7032</v>
      </c>
    </row>
    <row r="2241" spans="1:1" x14ac:dyDescent="0.25">
      <c r="A2241" s="74">
        <v>7033</v>
      </c>
    </row>
    <row r="2242" spans="1:1" x14ac:dyDescent="0.25">
      <c r="A2242" s="74">
        <v>7034</v>
      </c>
    </row>
    <row r="2243" spans="1:1" x14ac:dyDescent="0.25">
      <c r="A2243" s="74">
        <v>7035</v>
      </c>
    </row>
    <row r="2244" spans="1:1" x14ac:dyDescent="0.25">
      <c r="A2244" s="74">
        <v>7036</v>
      </c>
    </row>
    <row r="2245" spans="1:1" x14ac:dyDescent="0.25">
      <c r="A2245" s="74">
        <v>7037</v>
      </c>
    </row>
    <row r="2246" spans="1:1" x14ac:dyDescent="0.25">
      <c r="A2246" s="74">
        <v>7038</v>
      </c>
    </row>
    <row r="2247" spans="1:1" x14ac:dyDescent="0.25">
      <c r="A2247" s="74">
        <v>7039</v>
      </c>
    </row>
    <row r="2248" spans="1:1" x14ac:dyDescent="0.25">
      <c r="A2248" s="74">
        <v>7040</v>
      </c>
    </row>
    <row r="2249" spans="1:1" x14ac:dyDescent="0.25">
      <c r="A2249" s="74">
        <v>7041</v>
      </c>
    </row>
    <row r="2250" spans="1:1" x14ac:dyDescent="0.25">
      <c r="A2250" s="74">
        <v>7042</v>
      </c>
    </row>
    <row r="2251" spans="1:1" x14ac:dyDescent="0.25">
      <c r="A2251" s="74">
        <v>7043</v>
      </c>
    </row>
    <row r="2252" spans="1:1" x14ac:dyDescent="0.25">
      <c r="A2252" s="74">
        <v>7044</v>
      </c>
    </row>
    <row r="2253" spans="1:1" x14ac:dyDescent="0.25">
      <c r="A2253" s="74">
        <v>7045</v>
      </c>
    </row>
    <row r="2254" spans="1:1" x14ac:dyDescent="0.25">
      <c r="A2254" s="74">
        <v>7046</v>
      </c>
    </row>
    <row r="2255" spans="1:1" x14ac:dyDescent="0.25">
      <c r="A2255" s="74">
        <v>7047</v>
      </c>
    </row>
    <row r="2256" spans="1:1" x14ac:dyDescent="0.25">
      <c r="A2256" s="74">
        <v>7048</v>
      </c>
    </row>
    <row r="2257" spans="1:1" x14ac:dyDescent="0.25">
      <c r="A2257" s="74">
        <v>7049</v>
      </c>
    </row>
    <row r="2258" spans="1:1" x14ac:dyDescent="0.25">
      <c r="A2258" s="74">
        <v>7050</v>
      </c>
    </row>
    <row r="2259" spans="1:1" x14ac:dyDescent="0.25">
      <c r="A2259" s="74">
        <v>7051</v>
      </c>
    </row>
    <row r="2260" spans="1:1" x14ac:dyDescent="0.25">
      <c r="A2260" s="74">
        <v>7052</v>
      </c>
    </row>
    <row r="2261" spans="1:1" x14ac:dyDescent="0.25">
      <c r="A2261" s="74">
        <v>7053</v>
      </c>
    </row>
    <row r="2262" spans="1:1" x14ac:dyDescent="0.25">
      <c r="A2262" s="74">
        <v>7054</v>
      </c>
    </row>
    <row r="2263" spans="1:1" x14ac:dyDescent="0.25">
      <c r="A2263" s="74">
        <v>7055</v>
      </c>
    </row>
    <row r="2264" spans="1:1" x14ac:dyDescent="0.25">
      <c r="A2264" s="74">
        <v>7056</v>
      </c>
    </row>
    <row r="2265" spans="1:1" x14ac:dyDescent="0.25">
      <c r="A2265" s="74">
        <v>7057</v>
      </c>
    </row>
    <row r="2266" spans="1:1" x14ac:dyDescent="0.25">
      <c r="A2266" s="74">
        <v>7058</v>
      </c>
    </row>
    <row r="2267" spans="1:1" x14ac:dyDescent="0.25">
      <c r="A2267" s="74">
        <v>7059</v>
      </c>
    </row>
    <row r="2268" spans="1:1" x14ac:dyDescent="0.25">
      <c r="A2268" s="74">
        <v>7060</v>
      </c>
    </row>
    <row r="2269" spans="1:1" x14ac:dyDescent="0.25">
      <c r="A2269" s="74">
        <v>7061</v>
      </c>
    </row>
    <row r="2270" spans="1:1" x14ac:dyDescent="0.25">
      <c r="A2270" s="74">
        <v>7062</v>
      </c>
    </row>
    <row r="2271" spans="1:1" x14ac:dyDescent="0.25">
      <c r="A2271" s="74">
        <v>7063</v>
      </c>
    </row>
    <row r="2272" spans="1:1" x14ac:dyDescent="0.25">
      <c r="A2272" s="74">
        <v>7064</v>
      </c>
    </row>
    <row r="2273" spans="1:1" x14ac:dyDescent="0.25">
      <c r="A2273" s="74">
        <v>7065</v>
      </c>
    </row>
    <row r="2274" spans="1:1" x14ac:dyDescent="0.25">
      <c r="A2274" s="74">
        <v>7066</v>
      </c>
    </row>
    <row r="2275" spans="1:1" x14ac:dyDescent="0.25">
      <c r="A2275" s="74">
        <v>7067</v>
      </c>
    </row>
    <row r="2276" spans="1:1" x14ac:dyDescent="0.25">
      <c r="A2276" s="74">
        <v>7068</v>
      </c>
    </row>
    <row r="2277" spans="1:1" x14ac:dyDescent="0.25">
      <c r="A2277" s="74">
        <v>7069</v>
      </c>
    </row>
    <row r="2278" spans="1:1" x14ac:dyDescent="0.25">
      <c r="A2278" s="74">
        <v>7070</v>
      </c>
    </row>
    <row r="2279" spans="1:1" x14ac:dyDescent="0.25">
      <c r="A2279" s="74">
        <v>7071</v>
      </c>
    </row>
    <row r="2280" spans="1:1" x14ac:dyDescent="0.25">
      <c r="A2280" s="74">
        <v>7072</v>
      </c>
    </row>
    <row r="2281" spans="1:1" x14ac:dyDescent="0.25">
      <c r="A2281" s="74">
        <v>7073</v>
      </c>
    </row>
    <row r="2282" spans="1:1" x14ac:dyDescent="0.25">
      <c r="A2282" s="74">
        <v>7074</v>
      </c>
    </row>
    <row r="2283" spans="1:1" x14ac:dyDescent="0.25">
      <c r="A2283" s="74">
        <v>7075</v>
      </c>
    </row>
    <row r="2284" spans="1:1" x14ac:dyDescent="0.25">
      <c r="A2284" s="74">
        <v>7076</v>
      </c>
    </row>
    <row r="2285" spans="1:1" x14ac:dyDescent="0.25">
      <c r="A2285" s="74">
        <v>7077</v>
      </c>
    </row>
    <row r="2286" spans="1:1" x14ac:dyDescent="0.25">
      <c r="A2286" s="74">
        <v>7078</v>
      </c>
    </row>
    <row r="2287" spans="1:1" x14ac:dyDescent="0.25">
      <c r="A2287" s="74">
        <v>7079</v>
      </c>
    </row>
    <row r="2288" spans="1:1" x14ac:dyDescent="0.25">
      <c r="A2288" s="74">
        <v>7080</v>
      </c>
    </row>
    <row r="2289" spans="1:1" x14ac:dyDescent="0.25">
      <c r="A2289" s="74">
        <v>7081</v>
      </c>
    </row>
    <row r="2290" spans="1:1" x14ac:dyDescent="0.25">
      <c r="A2290" s="74">
        <v>7082</v>
      </c>
    </row>
    <row r="2291" spans="1:1" x14ac:dyDescent="0.25">
      <c r="A2291" s="74">
        <v>7083</v>
      </c>
    </row>
    <row r="2292" spans="1:1" x14ac:dyDescent="0.25">
      <c r="A2292" s="74">
        <v>7084</v>
      </c>
    </row>
    <row r="2293" spans="1:1" x14ac:dyDescent="0.25">
      <c r="A2293" s="74">
        <v>7085</v>
      </c>
    </row>
    <row r="2294" spans="1:1" x14ac:dyDescent="0.25">
      <c r="A2294" s="74">
        <v>7086</v>
      </c>
    </row>
    <row r="2295" spans="1:1" x14ac:dyDescent="0.25">
      <c r="A2295" s="74">
        <v>7087</v>
      </c>
    </row>
    <row r="2296" spans="1:1" x14ac:dyDescent="0.25">
      <c r="A2296" s="74">
        <v>7088</v>
      </c>
    </row>
    <row r="2297" spans="1:1" x14ac:dyDescent="0.25">
      <c r="A2297" s="74">
        <v>7089</v>
      </c>
    </row>
    <row r="2298" spans="1:1" x14ac:dyDescent="0.25">
      <c r="A2298" s="74">
        <v>7090</v>
      </c>
    </row>
    <row r="2299" spans="1:1" x14ac:dyDescent="0.25">
      <c r="A2299" s="74">
        <v>7091</v>
      </c>
    </row>
    <row r="2300" spans="1:1" x14ac:dyDescent="0.25">
      <c r="A2300" s="74">
        <v>7092</v>
      </c>
    </row>
    <row r="2301" spans="1:1" x14ac:dyDescent="0.25">
      <c r="A2301" s="74">
        <v>7093</v>
      </c>
    </row>
    <row r="2302" spans="1:1" x14ac:dyDescent="0.25">
      <c r="A2302" s="74">
        <v>7094</v>
      </c>
    </row>
    <row r="2303" spans="1:1" x14ac:dyDescent="0.25">
      <c r="A2303" s="74">
        <v>7095</v>
      </c>
    </row>
    <row r="2304" spans="1:1" x14ac:dyDescent="0.25">
      <c r="A2304" s="74">
        <v>7096</v>
      </c>
    </row>
    <row r="2305" spans="1:1" x14ac:dyDescent="0.25">
      <c r="A2305" s="74">
        <v>7097</v>
      </c>
    </row>
    <row r="2306" spans="1:1" x14ac:dyDescent="0.25">
      <c r="A2306" s="74">
        <v>7098</v>
      </c>
    </row>
    <row r="2307" spans="1:1" x14ac:dyDescent="0.25">
      <c r="A2307" s="74">
        <v>7099</v>
      </c>
    </row>
    <row r="2308" spans="1:1" x14ac:dyDescent="0.25">
      <c r="A2308" s="74">
        <v>7100</v>
      </c>
    </row>
    <row r="2309" spans="1:1" x14ac:dyDescent="0.25">
      <c r="A2309" s="74">
        <v>7101</v>
      </c>
    </row>
    <row r="2310" spans="1:1" x14ac:dyDescent="0.25">
      <c r="A2310" s="74">
        <v>7102</v>
      </c>
    </row>
    <row r="2311" spans="1:1" x14ac:dyDescent="0.25">
      <c r="A2311" s="74">
        <v>7103</v>
      </c>
    </row>
    <row r="2312" spans="1:1" x14ac:dyDescent="0.25">
      <c r="A2312" s="74">
        <v>7104</v>
      </c>
    </row>
    <row r="2313" spans="1:1" x14ac:dyDescent="0.25">
      <c r="A2313" s="74">
        <v>7105</v>
      </c>
    </row>
    <row r="2314" spans="1:1" x14ac:dyDescent="0.25">
      <c r="A2314" s="74">
        <v>7106</v>
      </c>
    </row>
    <row r="2315" spans="1:1" x14ac:dyDescent="0.25">
      <c r="A2315" s="74">
        <v>7107</v>
      </c>
    </row>
    <row r="2316" spans="1:1" x14ac:dyDescent="0.25">
      <c r="A2316" s="74">
        <v>7108</v>
      </c>
    </row>
    <row r="2317" spans="1:1" x14ac:dyDescent="0.25">
      <c r="A2317" s="74">
        <v>7109</v>
      </c>
    </row>
    <row r="2318" spans="1:1" x14ac:dyDescent="0.25">
      <c r="A2318" s="74">
        <v>7110</v>
      </c>
    </row>
    <row r="2319" spans="1:1" x14ac:dyDescent="0.25">
      <c r="A2319" s="74">
        <v>7111</v>
      </c>
    </row>
    <row r="2320" spans="1:1" x14ac:dyDescent="0.25">
      <c r="A2320" s="74">
        <v>7112</v>
      </c>
    </row>
    <row r="2321" spans="1:1" x14ac:dyDescent="0.25">
      <c r="A2321" s="74">
        <v>7113</v>
      </c>
    </row>
    <row r="2322" spans="1:1" x14ac:dyDescent="0.25">
      <c r="A2322" s="74">
        <v>7114</v>
      </c>
    </row>
    <row r="2323" spans="1:1" x14ac:dyDescent="0.25">
      <c r="A2323" s="74">
        <v>7115</v>
      </c>
    </row>
    <row r="2324" spans="1:1" x14ac:dyDescent="0.25">
      <c r="A2324" s="74">
        <v>7116</v>
      </c>
    </row>
    <row r="2325" spans="1:1" x14ac:dyDescent="0.25">
      <c r="A2325" s="74">
        <v>7117</v>
      </c>
    </row>
    <row r="2326" spans="1:1" x14ac:dyDescent="0.25">
      <c r="A2326" s="74">
        <v>7118</v>
      </c>
    </row>
    <row r="2327" spans="1:1" x14ac:dyDescent="0.25">
      <c r="A2327" s="74">
        <v>7119</v>
      </c>
    </row>
    <row r="2328" spans="1:1" x14ac:dyDescent="0.25">
      <c r="A2328" s="74">
        <v>7120</v>
      </c>
    </row>
    <row r="2329" spans="1:1" x14ac:dyDescent="0.25">
      <c r="A2329" s="74">
        <v>7121</v>
      </c>
    </row>
    <row r="2330" spans="1:1" x14ac:dyDescent="0.25">
      <c r="A2330" s="74">
        <v>7122</v>
      </c>
    </row>
    <row r="2331" spans="1:1" x14ac:dyDescent="0.25">
      <c r="A2331" s="74">
        <v>7123</v>
      </c>
    </row>
    <row r="2332" spans="1:1" x14ac:dyDescent="0.25">
      <c r="A2332" s="74">
        <v>7124</v>
      </c>
    </row>
    <row r="2333" spans="1:1" x14ac:dyDescent="0.25">
      <c r="A2333" s="74">
        <v>7125</v>
      </c>
    </row>
    <row r="2334" spans="1:1" x14ac:dyDescent="0.25">
      <c r="A2334" s="74">
        <v>7126</v>
      </c>
    </row>
    <row r="2335" spans="1:1" x14ac:dyDescent="0.25">
      <c r="A2335" s="74">
        <v>7127</v>
      </c>
    </row>
    <row r="2336" spans="1:1" x14ac:dyDescent="0.25">
      <c r="A2336" s="74">
        <v>7128</v>
      </c>
    </row>
    <row r="2337" spans="1:1" x14ac:dyDescent="0.25">
      <c r="A2337" s="74">
        <v>7129</v>
      </c>
    </row>
    <row r="2338" spans="1:1" x14ac:dyDescent="0.25">
      <c r="A2338" s="74">
        <v>7130</v>
      </c>
    </row>
    <row r="2339" spans="1:1" x14ac:dyDescent="0.25">
      <c r="A2339" s="74">
        <v>7131</v>
      </c>
    </row>
    <row r="2340" spans="1:1" x14ac:dyDescent="0.25">
      <c r="A2340" s="74">
        <v>7132</v>
      </c>
    </row>
    <row r="2341" spans="1:1" x14ac:dyDescent="0.25">
      <c r="A2341" s="74">
        <v>7133</v>
      </c>
    </row>
    <row r="2342" spans="1:1" x14ac:dyDescent="0.25">
      <c r="A2342" s="74">
        <v>7134</v>
      </c>
    </row>
    <row r="2343" spans="1:1" x14ac:dyDescent="0.25">
      <c r="A2343" s="74">
        <v>7135</v>
      </c>
    </row>
    <row r="2344" spans="1:1" x14ac:dyDescent="0.25">
      <c r="A2344" s="74">
        <v>7136</v>
      </c>
    </row>
    <row r="2345" spans="1:1" x14ac:dyDescent="0.25">
      <c r="A2345" s="74">
        <v>7137</v>
      </c>
    </row>
    <row r="2346" spans="1:1" x14ac:dyDescent="0.25">
      <c r="A2346" s="74">
        <v>7138</v>
      </c>
    </row>
    <row r="2347" spans="1:1" x14ac:dyDescent="0.25">
      <c r="A2347" s="74">
        <v>7139</v>
      </c>
    </row>
    <row r="2348" spans="1:1" x14ac:dyDescent="0.25">
      <c r="A2348" s="74">
        <v>7140</v>
      </c>
    </row>
    <row r="2349" spans="1:1" x14ac:dyDescent="0.25">
      <c r="A2349" s="74">
        <v>7141</v>
      </c>
    </row>
    <row r="2350" spans="1:1" x14ac:dyDescent="0.25">
      <c r="A2350" s="74">
        <v>7142</v>
      </c>
    </row>
    <row r="2351" spans="1:1" x14ac:dyDescent="0.25">
      <c r="A2351" s="74">
        <v>7143</v>
      </c>
    </row>
    <row r="2352" spans="1:1" x14ac:dyDescent="0.25">
      <c r="A2352" s="74">
        <v>7144</v>
      </c>
    </row>
    <row r="2353" spans="1:1" x14ac:dyDescent="0.25">
      <c r="A2353" s="74">
        <v>7145</v>
      </c>
    </row>
    <row r="2354" spans="1:1" x14ac:dyDescent="0.25">
      <c r="A2354" s="74">
        <v>7146</v>
      </c>
    </row>
    <row r="2355" spans="1:1" x14ac:dyDescent="0.25">
      <c r="A2355" s="74">
        <v>7147</v>
      </c>
    </row>
    <row r="2356" spans="1:1" x14ac:dyDescent="0.25">
      <c r="A2356" s="74">
        <v>7148</v>
      </c>
    </row>
    <row r="2357" spans="1:1" x14ac:dyDescent="0.25">
      <c r="A2357" s="74">
        <v>7149</v>
      </c>
    </row>
    <row r="2358" spans="1:1" x14ac:dyDescent="0.25">
      <c r="A2358" s="74">
        <v>7150</v>
      </c>
    </row>
    <row r="2359" spans="1:1" x14ac:dyDescent="0.25">
      <c r="A2359" s="74">
        <v>7151</v>
      </c>
    </row>
    <row r="2360" spans="1:1" x14ac:dyDescent="0.25">
      <c r="A2360" s="74">
        <v>7152</v>
      </c>
    </row>
    <row r="2361" spans="1:1" x14ac:dyDescent="0.25">
      <c r="A2361" s="74">
        <v>7153</v>
      </c>
    </row>
    <row r="2362" spans="1:1" x14ac:dyDescent="0.25">
      <c r="A2362" s="74">
        <v>7154</v>
      </c>
    </row>
    <row r="2363" spans="1:1" x14ac:dyDescent="0.25">
      <c r="A2363" s="74">
        <v>7155</v>
      </c>
    </row>
    <row r="2364" spans="1:1" x14ac:dyDescent="0.25">
      <c r="A2364" s="74">
        <v>7156</v>
      </c>
    </row>
    <row r="2365" spans="1:1" x14ac:dyDescent="0.25">
      <c r="A2365" s="74">
        <v>7157</v>
      </c>
    </row>
    <row r="2366" spans="1:1" x14ac:dyDescent="0.25">
      <c r="A2366" s="74">
        <v>7158</v>
      </c>
    </row>
    <row r="2367" spans="1:1" x14ac:dyDescent="0.25">
      <c r="A2367" s="74">
        <v>7159</v>
      </c>
    </row>
    <row r="2368" spans="1:1" x14ac:dyDescent="0.25">
      <c r="A2368" s="74">
        <v>7160</v>
      </c>
    </row>
    <row r="2369" spans="1:1" x14ac:dyDescent="0.25">
      <c r="A2369" s="74">
        <v>7161</v>
      </c>
    </row>
    <row r="2370" spans="1:1" x14ac:dyDescent="0.25">
      <c r="A2370" s="74">
        <v>7162</v>
      </c>
    </row>
    <row r="2371" spans="1:1" x14ac:dyDescent="0.25">
      <c r="A2371" s="74">
        <v>7163</v>
      </c>
    </row>
    <row r="2372" spans="1:1" x14ac:dyDescent="0.25">
      <c r="A2372" s="74">
        <v>7164</v>
      </c>
    </row>
    <row r="2373" spans="1:1" x14ac:dyDescent="0.25">
      <c r="A2373" s="74">
        <v>7165</v>
      </c>
    </row>
    <row r="2374" spans="1:1" x14ac:dyDescent="0.25">
      <c r="A2374" s="74">
        <v>7166</v>
      </c>
    </row>
    <row r="2375" spans="1:1" x14ac:dyDescent="0.25">
      <c r="A2375" s="74">
        <v>7167</v>
      </c>
    </row>
    <row r="2376" spans="1:1" x14ac:dyDescent="0.25">
      <c r="A2376" s="74">
        <v>7168</v>
      </c>
    </row>
    <row r="2377" spans="1:1" x14ac:dyDescent="0.25">
      <c r="A2377" s="74">
        <v>7169</v>
      </c>
    </row>
    <row r="2378" spans="1:1" x14ac:dyDescent="0.25">
      <c r="A2378" s="74">
        <v>7170</v>
      </c>
    </row>
    <row r="2379" spans="1:1" x14ac:dyDescent="0.25">
      <c r="A2379" s="74">
        <v>7171</v>
      </c>
    </row>
    <row r="2380" spans="1:1" x14ac:dyDescent="0.25">
      <c r="A2380" s="74">
        <v>7172</v>
      </c>
    </row>
    <row r="2381" spans="1:1" x14ac:dyDescent="0.25">
      <c r="A2381" s="74">
        <v>7173</v>
      </c>
    </row>
    <row r="2382" spans="1:1" x14ac:dyDescent="0.25">
      <c r="A2382" s="74">
        <v>7174</v>
      </c>
    </row>
    <row r="2383" spans="1:1" x14ac:dyDescent="0.25">
      <c r="A2383" s="74">
        <v>7175</v>
      </c>
    </row>
    <row r="2384" spans="1:1" x14ac:dyDescent="0.25">
      <c r="A2384" s="74">
        <v>7176</v>
      </c>
    </row>
    <row r="2385" spans="1:1" x14ac:dyDescent="0.25">
      <c r="A2385" s="74">
        <v>7177</v>
      </c>
    </row>
    <row r="2386" spans="1:1" x14ac:dyDescent="0.25">
      <c r="A2386" s="74">
        <v>7178</v>
      </c>
    </row>
    <row r="2387" spans="1:1" x14ac:dyDescent="0.25">
      <c r="A2387" s="74">
        <v>7179</v>
      </c>
    </row>
    <row r="2388" spans="1:1" x14ac:dyDescent="0.25">
      <c r="A2388" s="74">
        <v>7180</v>
      </c>
    </row>
    <row r="2389" spans="1:1" x14ac:dyDescent="0.25">
      <c r="A2389" s="74">
        <v>7181</v>
      </c>
    </row>
    <row r="2390" spans="1:1" x14ac:dyDescent="0.25">
      <c r="A2390" s="74">
        <v>7182</v>
      </c>
    </row>
    <row r="2391" spans="1:1" x14ac:dyDescent="0.25">
      <c r="A2391" s="74">
        <v>7183</v>
      </c>
    </row>
    <row r="2392" spans="1:1" x14ac:dyDescent="0.25">
      <c r="A2392" s="74">
        <v>7184</v>
      </c>
    </row>
    <row r="2393" spans="1:1" x14ac:dyDescent="0.25">
      <c r="A2393" s="74">
        <v>7185</v>
      </c>
    </row>
    <row r="2394" spans="1:1" x14ac:dyDescent="0.25">
      <c r="A2394" s="74">
        <v>7186</v>
      </c>
    </row>
    <row r="2395" spans="1:1" x14ac:dyDescent="0.25">
      <c r="A2395" s="74">
        <v>7187</v>
      </c>
    </row>
    <row r="2396" spans="1:1" x14ac:dyDescent="0.25">
      <c r="A2396" s="74">
        <v>7188</v>
      </c>
    </row>
    <row r="2397" spans="1:1" x14ac:dyDescent="0.25">
      <c r="A2397" s="74">
        <v>7189</v>
      </c>
    </row>
    <row r="2398" spans="1:1" x14ac:dyDescent="0.25">
      <c r="A2398" s="74">
        <v>7190</v>
      </c>
    </row>
    <row r="2399" spans="1:1" x14ac:dyDescent="0.25">
      <c r="A2399" s="74">
        <v>7191</v>
      </c>
    </row>
    <row r="2400" spans="1:1" x14ac:dyDescent="0.25">
      <c r="A2400" s="74">
        <v>7192</v>
      </c>
    </row>
    <row r="2401" spans="1:1" x14ac:dyDescent="0.25">
      <c r="A2401" s="74">
        <v>7193</v>
      </c>
    </row>
    <row r="2402" spans="1:1" x14ac:dyDescent="0.25">
      <c r="A2402" s="74">
        <v>7194</v>
      </c>
    </row>
    <row r="2403" spans="1:1" x14ac:dyDescent="0.25">
      <c r="A2403" s="74">
        <v>7195</v>
      </c>
    </row>
    <row r="2404" spans="1:1" x14ac:dyDescent="0.25">
      <c r="A2404" s="74">
        <v>7196</v>
      </c>
    </row>
    <row r="2405" spans="1:1" x14ac:dyDescent="0.25">
      <c r="A2405" s="74">
        <v>7197</v>
      </c>
    </row>
    <row r="2406" spans="1:1" x14ac:dyDescent="0.25">
      <c r="A2406" s="74">
        <v>7198</v>
      </c>
    </row>
    <row r="2407" spans="1:1" x14ac:dyDescent="0.25">
      <c r="A2407" s="74">
        <v>7199</v>
      </c>
    </row>
    <row r="2408" spans="1:1" x14ac:dyDescent="0.25">
      <c r="A2408" s="74">
        <v>7200</v>
      </c>
    </row>
    <row r="2409" spans="1:1" x14ac:dyDescent="0.25">
      <c r="A2409" s="74">
        <v>7201</v>
      </c>
    </row>
    <row r="2410" spans="1:1" x14ac:dyDescent="0.25">
      <c r="A2410" s="74">
        <v>7202</v>
      </c>
    </row>
    <row r="2411" spans="1:1" x14ac:dyDescent="0.25">
      <c r="A2411" s="74">
        <v>7203</v>
      </c>
    </row>
    <row r="2412" spans="1:1" x14ac:dyDescent="0.25">
      <c r="A2412" s="74">
        <v>7204</v>
      </c>
    </row>
    <row r="2413" spans="1:1" x14ac:dyDescent="0.25">
      <c r="A2413" s="74">
        <v>7205</v>
      </c>
    </row>
    <row r="2414" spans="1:1" x14ac:dyDescent="0.25">
      <c r="A2414" s="74">
        <v>7206</v>
      </c>
    </row>
    <row r="2415" spans="1:1" x14ac:dyDescent="0.25">
      <c r="A2415" s="74">
        <v>7207</v>
      </c>
    </row>
    <row r="2416" spans="1:1" x14ac:dyDescent="0.25">
      <c r="A2416" s="74">
        <v>7208</v>
      </c>
    </row>
    <row r="2417" spans="1:1" x14ac:dyDescent="0.25">
      <c r="A2417" s="74">
        <v>7209</v>
      </c>
    </row>
    <row r="2418" spans="1:1" x14ac:dyDescent="0.25">
      <c r="A2418" s="74">
        <v>7210</v>
      </c>
    </row>
    <row r="2419" spans="1:1" x14ac:dyDescent="0.25">
      <c r="A2419" s="74">
        <v>7211</v>
      </c>
    </row>
    <row r="2420" spans="1:1" x14ac:dyDescent="0.25">
      <c r="A2420" s="74">
        <v>7212</v>
      </c>
    </row>
    <row r="2421" spans="1:1" x14ac:dyDescent="0.25">
      <c r="A2421" s="74">
        <v>7213</v>
      </c>
    </row>
    <row r="2422" spans="1:1" x14ac:dyDescent="0.25">
      <c r="A2422" s="74">
        <v>7214</v>
      </c>
    </row>
    <row r="2423" spans="1:1" x14ac:dyDescent="0.25">
      <c r="A2423" s="74">
        <v>7215</v>
      </c>
    </row>
    <row r="2424" spans="1:1" x14ac:dyDescent="0.25">
      <c r="A2424" s="74">
        <v>7216</v>
      </c>
    </row>
    <row r="2425" spans="1:1" x14ac:dyDescent="0.25">
      <c r="A2425" s="74">
        <v>7217</v>
      </c>
    </row>
    <row r="2426" spans="1:1" x14ac:dyDescent="0.25">
      <c r="A2426" s="74">
        <v>7218</v>
      </c>
    </row>
    <row r="2427" spans="1:1" x14ac:dyDescent="0.25">
      <c r="A2427" s="74">
        <v>7219</v>
      </c>
    </row>
    <row r="2428" spans="1:1" x14ac:dyDescent="0.25">
      <c r="A2428" s="74">
        <v>7220</v>
      </c>
    </row>
    <row r="2429" spans="1:1" x14ac:dyDescent="0.25">
      <c r="A2429" s="74">
        <v>7221</v>
      </c>
    </row>
    <row r="2430" spans="1:1" x14ac:dyDescent="0.25">
      <c r="A2430" s="74">
        <v>7222</v>
      </c>
    </row>
    <row r="2431" spans="1:1" x14ac:dyDescent="0.25">
      <c r="A2431" s="74">
        <v>7223</v>
      </c>
    </row>
    <row r="2432" spans="1:1" x14ac:dyDescent="0.25">
      <c r="A2432" s="74">
        <v>7224</v>
      </c>
    </row>
    <row r="2433" spans="1:1" x14ac:dyDescent="0.25">
      <c r="A2433" s="74">
        <v>7225</v>
      </c>
    </row>
    <row r="2434" spans="1:1" x14ac:dyDescent="0.25">
      <c r="A2434" s="74">
        <v>7226</v>
      </c>
    </row>
    <row r="2435" spans="1:1" x14ac:dyDescent="0.25">
      <c r="A2435" s="74">
        <v>7227</v>
      </c>
    </row>
    <row r="2436" spans="1:1" x14ac:dyDescent="0.25">
      <c r="A2436" s="74">
        <v>7228</v>
      </c>
    </row>
    <row r="2437" spans="1:1" x14ac:dyDescent="0.25">
      <c r="A2437" s="74">
        <v>7229</v>
      </c>
    </row>
    <row r="2438" spans="1:1" x14ac:dyDescent="0.25">
      <c r="A2438" s="74">
        <v>7230</v>
      </c>
    </row>
    <row r="2439" spans="1:1" x14ac:dyDescent="0.25">
      <c r="A2439" s="74">
        <v>7231</v>
      </c>
    </row>
    <row r="2440" spans="1:1" x14ac:dyDescent="0.25">
      <c r="A2440" s="74">
        <v>7232</v>
      </c>
    </row>
    <row r="2441" spans="1:1" x14ac:dyDescent="0.25">
      <c r="A2441" s="74">
        <v>7233</v>
      </c>
    </row>
    <row r="2442" spans="1:1" x14ac:dyDescent="0.25">
      <c r="A2442" s="74">
        <v>7234</v>
      </c>
    </row>
    <row r="2443" spans="1:1" x14ac:dyDescent="0.25">
      <c r="A2443" s="74">
        <v>7235</v>
      </c>
    </row>
    <row r="2444" spans="1:1" x14ac:dyDescent="0.25">
      <c r="A2444" s="74">
        <v>7236</v>
      </c>
    </row>
    <row r="2445" spans="1:1" x14ac:dyDescent="0.25">
      <c r="A2445" s="74">
        <v>7237</v>
      </c>
    </row>
    <row r="2446" spans="1:1" x14ac:dyDescent="0.25">
      <c r="A2446" s="74">
        <v>7238</v>
      </c>
    </row>
    <row r="2447" spans="1:1" x14ac:dyDescent="0.25">
      <c r="A2447" s="74">
        <v>7239</v>
      </c>
    </row>
    <row r="2448" spans="1:1" x14ac:dyDescent="0.25">
      <c r="A2448" s="74">
        <v>7240</v>
      </c>
    </row>
    <row r="2449" spans="1:1" x14ac:dyDescent="0.25">
      <c r="A2449" s="74">
        <v>7241</v>
      </c>
    </row>
    <row r="2450" spans="1:1" x14ac:dyDescent="0.25">
      <c r="A2450" s="74">
        <v>7242</v>
      </c>
    </row>
    <row r="2451" spans="1:1" x14ac:dyDescent="0.25">
      <c r="A2451" s="74">
        <v>7243</v>
      </c>
    </row>
    <row r="2452" spans="1:1" x14ac:dyDescent="0.25">
      <c r="A2452" s="74">
        <v>7244</v>
      </c>
    </row>
    <row r="2453" spans="1:1" x14ac:dyDescent="0.25">
      <c r="A2453" s="74">
        <v>7245</v>
      </c>
    </row>
    <row r="2454" spans="1:1" x14ac:dyDescent="0.25">
      <c r="A2454" s="74">
        <v>7246</v>
      </c>
    </row>
    <row r="2455" spans="1:1" x14ac:dyDescent="0.25">
      <c r="A2455" s="74">
        <v>7247</v>
      </c>
    </row>
    <row r="2456" spans="1:1" x14ac:dyDescent="0.25">
      <c r="A2456" s="74">
        <v>7248</v>
      </c>
    </row>
    <row r="2457" spans="1:1" x14ac:dyDescent="0.25">
      <c r="A2457" s="74">
        <v>7249</v>
      </c>
    </row>
    <row r="2458" spans="1:1" x14ac:dyDescent="0.25">
      <c r="A2458" s="74">
        <v>7250</v>
      </c>
    </row>
    <row r="2459" spans="1:1" x14ac:dyDescent="0.25">
      <c r="A2459" s="74">
        <v>7251</v>
      </c>
    </row>
    <row r="2460" spans="1:1" x14ac:dyDescent="0.25">
      <c r="A2460" s="74">
        <v>7252</v>
      </c>
    </row>
    <row r="2461" spans="1:1" x14ac:dyDescent="0.25">
      <c r="A2461" s="74">
        <v>7253</v>
      </c>
    </row>
    <row r="2462" spans="1:1" x14ac:dyDescent="0.25">
      <c r="A2462" s="74">
        <v>7254</v>
      </c>
    </row>
    <row r="2463" spans="1:1" x14ac:dyDescent="0.25">
      <c r="A2463" s="74">
        <v>7255</v>
      </c>
    </row>
    <row r="2464" spans="1:1" x14ac:dyDescent="0.25">
      <c r="A2464" s="74">
        <v>7256</v>
      </c>
    </row>
    <row r="2465" spans="1:1" x14ac:dyDescent="0.25">
      <c r="A2465" s="74">
        <v>7257</v>
      </c>
    </row>
    <row r="2466" spans="1:1" x14ac:dyDescent="0.25">
      <c r="A2466" s="74">
        <v>7258</v>
      </c>
    </row>
    <row r="2467" spans="1:1" x14ac:dyDescent="0.25">
      <c r="A2467" s="74">
        <v>7259</v>
      </c>
    </row>
    <row r="2468" spans="1:1" x14ac:dyDescent="0.25">
      <c r="A2468" s="74">
        <v>7260</v>
      </c>
    </row>
    <row r="2469" spans="1:1" x14ac:dyDescent="0.25">
      <c r="A2469" s="74">
        <v>7261</v>
      </c>
    </row>
    <row r="2470" spans="1:1" x14ac:dyDescent="0.25">
      <c r="A2470" s="74">
        <v>7262</v>
      </c>
    </row>
    <row r="2471" spans="1:1" x14ac:dyDescent="0.25">
      <c r="A2471" s="74">
        <v>7263</v>
      </c>
    </row>
    <row r="2472" spans="1:1" x14ac:dyDescent="0.25">
      <c r="A2472" s="74">
        <v>7264</v>
      </c>
    </row>
    <row r="2473" spans="1:1" x14ac:dyDescent="0.25">
      <c r="A2473" s="74">
        <v>7265</v>
      </c>
    </row>
    <row r="2474" spans="1:1" x14ac:dyDescent="0.25">
      <c r="A2474" s="74">
        <v>7266</v>
      </c>
    </row>
    <row r="2475" spans="1:1" x14ac:dyDescent="0.25">
      <c r="A2475" s="74">
        <v>7267</v>
      </c>
    </row>
    <row r="2476" spans="1:1" x14ac:dyDescent="0.25">
      <c r="A2476" s="74">
        <v>7268</v>
      </c>
    </row>
    <row r="2477" spans="1:1" x14ac:dyDescent="0.25">
      <c r="A2477" s="74">
        <v>7269</v>
      </c>
    </row>
    <row r="2478" spans="1:1" x14ac:dyDescent="0.25">
      <c r="A2478" s="74">
        <v>7270</v>
      </c>
    </row>
    <row r="2479" spans="1:1" x14ac:dyDescent="0.25">
      <c r="A2479" s="74">
        <v>7271</v>
      </c>
    </row>
    <row r="2480" spans="1:1" x14ac:dyDescent="0.25">
      <c r="A2480" s="74">
        <v>7272</v>
      </c>
    </row>
    <row r="2481" spans="1:1" x14ac:dyDescent="0.25">
      <c r="A2481" s="74">
        <v>7273</v>
      </c>
    </row>
    <row r="2482" spans="1:1" x14ac:dyDescent="0.25">
      <c r="A2482" s="74">
        <v>7274</v>
      </c>
    </row>
    <row r="2483" spans="1:1" x14ac:dyDescent="0.25">
      <c r="A2483" s="74">
        <v>7275</v>
      </c>
    </row>
    <row r="2484" spans="1:1" x14ac:dyDescent="0.25">
      <c r="A2484" s="74">
        <v>7276</v>
      </c>
    </row>
    <row r="2485" spans="1:1" x14ac:dyDescent="0.25">
      <c r="A2485" s="74">
        <v>7277</v>
      </c>
    </row>
    <row r="2486" spans="1:1" x14ac:dyDescent="0.25">
      <c r="A2486" s="74">
        <v>7278</v>
      </c>
    </row>
    <row r="2487" spans="1:1" x14ac:dyDescent="0.25">
      <c r="A2487" s="74">
        <v>7279</v>
      </c>
    </row>
    <row r="2488" spans="1:1" x14ac:dyDescent="0.25">
      <c r="A2488" s="74">
        <v>7280</v>
      </c>
    </row>
    <row r="2489" spans="1:1" x14ac:dyDescent="0.25">
      <c r="A2489" s="74">
        <v>7281</v>
      </c>
    </row>
    <row r="2490" spans="1:1" x14ac:dyDescent="0.25">
      <c r="A2490" s="74">
        <v>7282</v>
      </c>
    </row>
    <row r="2491" spans="1:1" x14ac:dyDescent="0.25">
      <c r="A2491" s="74">
        <v>7283</v>
      </c>
    </row>
    <row r="2492" spans="1:1" x14ac:dyDescent="0.25">
      <c r="A2492" s="74">
        <v>7284</v>
      </c>
    </row>
    <row r="2493" spans="1:1" x14ac:dyDescent="0.25">
      <c r="A2493" s="74">
        <v>7285</v>
      </c>
    </row>
    <row r="2494" spans="1:1" x14ac:dyDescent="0.25">
      <c r="A2494" s="74">
        <v>7286</v>
      </c>
    </row>
    <row r="2495" spans="1:1" x14ac:dyDescent="0.25">
      <c r="A2495" s="74">
        <v>7287</v>
      </c>
    </row>
    <row r="2496" spans="1:1" x14ac:dyDescent="0.25">
      <c r="A2496" s="74">
        <v>7288</v>
      </c>
    </row>
    <row r="2497" spans="1:1" x14ac:dyDescent="0.25">
      <c r="A2497" s="74">
        <v>7289</v>
      </c>
    </row>
    <row r="2498" spans="1:1" x14ac:dyDescent="0.25">
      <c r="A2498" s="74">
        <v>7290</v>
      </c>
    </row>
    <row r="2499" spans="1:1" x14ac:dyDescent="0.25">
      <c r="A2499" s="74">
        <v>7291</v>
      </c>
    </row>
    <row r="2500" spans="1:1" x14ac:dyDescent="0.25">
      <c r="A2500" s="74">
        <v>7292</v>
      </c>
    </row>
    <row r="2501" spans="1:1" x14ac:dyDescent="0.25">
      <c r="A2501" s="74">
        <v>7293</v>
      </c>
    </row>
    <row r="2502" spans="1:1" x14ac:dyDescent="0.25">
      <c r="A2502" s="74">
        <v>7294</v>
      </c>
    </row>
    <row r="2503" spans="1:1" x14ac:dyDescent="0.25">
      <c r="A2503" s="74">
        <v>7295</v>
      </c>
    </row>
    <row r="2504" spans="1:1" x14ac:dyDescent="0.25">
      <c r="A2504" s="74">
        <v>7296</v>
      </c>
    </row>
    <row r="2505" spans="1:1" x14ac:dyDescent="0.25">
      <c r="A2505" s="74">
        <v>7297</v>
      </c>
    </row>
    <row r="2506" spans="1:1" x14ac:dyDescent="0.25">
      <c r="A2506" s="74">
        <v>7298</v>
      </c>
    </row>
    <row r="2507" spans="1:1" x14ac:dyDescent="0.25">
      <c r="A2507" s="74">
        <v>7299</v>
      </c>
    </row>
    <row r="2508" spans="1:1" x14ac:dyDescent="0.25">
      <c r="A2508" s="74">
        <v>7300</v>
      </c>
    </row>
    <row r="2509" spans="1:1" x14ac:dyDescent="0.25">
      <c r="A2509" s="74">
        <v>7301</v>
      </c>
    </row>
    <row r="2510" spans="1:1" x14ac:dyDescent="0.25">
      <c r="A2510" s="74">
        <v>7302</v>
      </c>
    </row>
    <row r="2511" spans="1:1" x14ac:dyDescent="0.25">
      <c r="A2511" s="74">
        <v>7303</v>
      </c>
    </row>
    <row r="2512" spans="1:1" x14ac:dyDescent="0.25">
      <c r="A2512" s="74">
        <v>7304</v>
      </c>
    </row>
    <row r="2513" spans="1:1" x14ac:dyDescent="0.25">
      <c r="A2513" s="74">
        <v>7305</v>
      </c>
    </row>
    <row r="2514" spans="1:1" x14ac:dyDescent="0.25">
      <c r="A2514" s="74">
        <v>7306</v>
      </c>
    </row>
    <row r="2515" spans="1:1" x14ac:dyDescent="0.25">
      <c r="A2515" s="74">
        <v>7307</v>
      </c>
    </row>
    <row r="2516" spans="1:1" x14ac:dyDescent="0.25">
      <c r="A2516" s="74">
        <v>7308</v>
      </c>
    </row>
    <row r="2517" spans="1:1" x14ac:dyDescent="0.25">
      <c r="A2517" s="74">
        <v>7309</v>
      </c>
    </row>
    <row r="2518" spans="1:1" x14ac:dyDescent="0.25">
      <c r="A2518" s="74">
        <v>7310</v>
      </c>
    </row>
    <row r="2519" spans="1:1" x14ac:dyDescent="0.25">
      <c r="A2519" s="74">
        <v>7311</v>
      </c>
    </row>
    <row r="2520" spans="1:1" x14ac:dyDescent="0.25">
      <c r="A2520" s="74">
        <v>7312</v>
      </c>
    </row>
    <row r="2521" spans="1:1" x14ac:dyDescent="0.25">
      <c r="A2521" s="74">
        <v>7313</v>
      </c>
    </row>
    <row r="2522" spans="1:1" x14ac:dyDescent="0.25">
      <c r="A2522" s="74">
        <v>7314</v>
      </c>
    </row>
    <row r="2523" spans="1:1" x14ac:dyDescent="0.25">
      <c r="A2523" s="74">
        <v>7315</v>
      </c>
    </row>
    <row r="2524" spans="1:1" x14ac:dyDescent="0.25">
      <c r="A2524" s="74">
        <v>7316</v>
      </c>
    </row>
    <row r="2525" spans="1:1" x14ac:dyDescent="0.25">
      <c r="A2525" s="74">
        <v>7317</v>
      </c>
    </row>
    <row r="2526" spans="1:1" x14ac:dyDescent="0.25">
      <c r="A2526" s="74">
        <v>7318</v>
      </c>
    </row>
    <row r="2527" spans="1:1" x14ac:dyDescent="0.25">
      <c r="A2527" s="74">
        <v>7319</v>
      </c>
    </row>
    <row r="2528" spans="1:1" x14ac:dyDescent="0.25">
      <c r="A2528" s="74">
        <v>7320</v>
      </c>
    </row>
    <row r="2529" spans="1:1" x14ac:dyDescent="0.25">
      <c r="A2529" s="74">
        <v>7321</v>
      </c>
    </row>
    <row r="2530" spans="1:1" x14ac:dyDescent="0.25">
      <c r="A2530" s="74">
        <v>7322</v>
      </c>
    </row>
    <row r="2531" spans="1:1" x14ac:dyDescent="0.25">
      <c r="A2531" s="74">
        <v>7323</v>
      </c>
    </row>
    <row r="2532" spans="1:1" x14ac:dyDescent="0.25">
      <c r="A2532" s="74">
        <v>7324</v>
      </c>
    </row>
    <row r="2533" spans="1:1" x14ac:dyDescent="0.25">
      <c r="A2533" s="74">
        <v>7325</v>
      </c>
    </row>
    <row r="2534" spans="1:1" x14ac:dyDescent="0.25">
      <c r="A2534" s="74">
        <v>7326</v>
      </c>
    </row>
    <row r="2535" spans="1:1" x14ac:dyDescent="0.25">
      <c r="A2535" s="74">
        <v>7327</v>
      </c>
    </row>
    <row r="2536" spans="1:1" x14ac:dyDescent="0.25">
      <c r="A2536" s="74">
        <v>7328</v>
      </c>
    </row>
    <row r="2537" spans="1:1" x14ac:dyDescent="0.25">
      <c r="A2537" s="74">
        <v>7329</v>
      </c>
    </row>
    <row r="2538" spans="1:1" x14ac:dyDescent="0.25">
      <c r="A2538" s="74">
        <v>7330</v>
      </c>
    </row>
    <row r="2539" spans="1:1" x14ac:dyDescent="0.25">
      <c r="A2539" s="74">
        <v>7331</v>
      </c>
    </row>
    <row r="2540" spans="1:1" x14ac:dyDescent="0.25">
      <c r="A2540" s="74">
        <v>7332</v>
      </c>
    </row>
    <row r="2541" spans="1:1" x14ac:dyDescent="0.25">
      <c r="A2541" s="74">
        <v>7333</v>
      </c>
    </row>
    <row r="2542" spans="1:1" x14ac:dyDescent="0.25">
      <c r="A2542" s="74">
        <v>7334</v>
      </c>
    </row>
    <row r="2543" spans="1:1" x14ac:dyDescent="0.25">
      <c r="A2543" s="74">
        <v>7335</v>
      </c>
    </row>
    <row r="2544" spans="1:1" x14ac:dyDescent="0.25">
      <c r="A2544" s="74">
        <v>7336</v>
      </c>
    </row>
    <row r="2545" spans="1:1" x14ac:dyDescent="0.25">
      <c r="A2545" s="74">
        <v>7337</v>
      </c>
    </row>
    <row r="2546" spans="1:1" x14ac:dyDescent="0.25">
      <c r="A2546" s="74">
        <v>7338</v>
      </c>
    </row>
    <row r="2547" spans="1:1" x14ac:dyDescent="0.25">
      <c r="A2547" s="74">
        <v>7339</v>
      </c>
    </row>
    <row r="2548" spans="1:1" x14ac:dyDescent="0.25">
      <c r="A2548" s="74">
        <v>7340</v>
      </c>
    </row>
    <row r="2549" spans="1:1" x14ac:dyDescent="0.25">
      <c r="A2549" s="74">
        <v>7341</v>
      </c>
    </row>
    <row r="2550" spans="1:1" x14ac:dyDescent="0.25">
      <c r="A2550" s="74">
        <v>7342</v>
      </c>
    </row>
    <row r="2551" spans="1:1" x14ac:dyDescent="0.25">
      <c r="A2551" s="74">
        <v>7343</v>
      </c>
    </row>
    <row r="2552" spans="1:1" x14ac:dyDescent="0.25">
      <c r="A2552" s="74">
        <v>7344</v>
      </c>
    </row>
    <row r="2553" spans="1:1" x14ac:dyDescent="0.25">
      <c r="A2553" s="74">
        <v>7345</v>
      </c>
    </row>
    <row r="2554" spans="1:1" x14ac:dyDescent="0.25">
      <c r="A2554" s="74">
        <v>7346</v>
      </c>
    </row>
    <row r="2555" spans="1:1" x14ac:dyDescent="0.25">
      <c r="A2555" s="74">
        <v>7347</v>
      </c>
    </row>
    <row r="2556" spans="1:1" x14ac:dyDescent="0.25">
      <c r="A2556" s="74">
        <v>7348</v>
      </c>
    </row>
    <row r="2557" spans="1:1" x14ac:dyDescent="0.25">
      <c r="A2557" s="74">
        <v>7349</v>
      </c>
    </row>
    <row r="2558" spans="1:1" x14ac:dyDescent="0.25">
      <c r="A2558" s="74">
        <v>7350</v>
      </c>
    </row>
    <row r="2559" spans="1:1" x14ac:dyDescent="0.25">
      <c r="A2559" s="74">
        <v>7351</v>
      </c>
    </row>
    <row r="2560" spans="1:1" x14ac:dyDescent="0.25">
      <c r="A2560" s="74">
        <v>7352</v>
      </c>
    </row>
    <row r="2561" spans="1:1" x14ac:dyDescent="0.25">
      <c r="A2561" s="74">
        <v>7353</v>
      </c>
    </row>
    <row r="2562" spans="1:1" x14ac:dyDescent="0.25">
      <c r="A2562" s="74">
        <v>7354</v>
      </c>
    </row>
    <row r="2563" spans="1:1" x14ac:dyDescent="0.25">
      <c r="A2563" s="74">
        <v>7355</v>
      </c>
    </row>
    <row r="2564" spans="1:1" x14ac:dyDescent="0.25">
      <c r="A2564" s="74">
        <v>7356</v>
      </c>
    </row>
    <row r="2565" spans="1:1" x14ac:dyDescent="0.25">
      <c r="A2565" s="74">
        <v>7357</v>
      </c>
    </row>
    <row r="2566" spans="1:1" x14ac:dyDescent="0.25">
      <c r="A2566" s="74">
        <v>7358</v>
      </c>
    </row>
    <row r="2567" spans="1:1" x14ac:dyDescent="0.25">
      <c r="A2567" s="74">
        <v>7359</v>
      </c>
    </row>
    <row r="2568" spans="1:1" x14ac:dyDescent="0.25">
      <c r="A2568" s="74">
        <v>7360</v>
      </c>
    </row>
    <row r="2569" spans="1:1" x14ac:dyDescent="0.25">
      <c r="A2569" s="74">
        <v>7361</v>
      </c>
    </row>
    <row r="2570" spans="1:1" x14ac:dyDescent="0.25">
      <c r="A2570" s="74">
        <v>7362</v>
      </c>
    </row>
    <row r="2571" spans="1:1" x14ac:dyDescent="0.25">
      <c r="A2571" s="74">
        <v>7363</v>
      </c>
    </row>
    <row r="2572" spans="1:1" x14ac:dyDescent="0.25">
      <c r="A2572" s="74">
        <v>7364</v>
      </c>
    </row>
    <row r="2573" spans="1:1" x14ac:dyDescent="0.25">
      <c r="A2573" s="74">
        <v>7365</v>
      </c>
    </row>
    <row r="2574" spans="1:1" x14ac:dyDescent="0.25">
      <c r="A2574" s="74">
        <v>7366</v>
      </c>
    </row>
    <row r="2575" spans="1:1" x14ac:dyDescent="0.25">
      <c r="A2575" s="74">
        <v>7367</v>
      </c>
    </row>
    <row r="2576" spans="1:1" x14ac:dyDescent="0.25">
      <c r="A2576" s="74">
        <v>7368</v>
      </c>
    </row>
    <row r="2577" spans="1:1" x14ac:dyDescent="0.25">
      <c r="A2577" s="74">
        <v>7369</v>
      </c>
    </row>
    <row r="2578" spans="1:1" x14ac:dyDescent="0.25">
      <c r="A2578" s="74">
        <v>7370</v>
      </c>
    </row>
    <row r="2579" spans="1:1" x14ac:dyDescent="0.25">
      <c r="A2579" s="74">
        <v>7371</v>
      </c>
    </row>
    <row r="2580" spans="1:1" x14ac:dyDescent="0.25">
      <c r="A2580" s="74">
        <v>7372</v>
      </c>
    </row>
    <row r="2581" spans="1:1" x14ac:dyDescent="0.25">
      <c r="A2581" s="74">
        <v>7373</v>
      </c>
    </row>
    <row r="2582" spans="1:1" x14ac:dyDescent="0.25">
      <c r="A2582" s="74">
        <v>7374</v>
      </c>
    </row>
    <row r="2583" spans="1:1" x14ac:dyDescent="0.25">
      <c r="A2583" s="74">
        <v>7375</v>
      </c>
    </row>
    <row r="2584" spans="1:1" x14ac:dyDescent="0.25">
      <c r="A2584" s="74">
        <v>7376</v>
      </c>
    </row>
    <row r="2585" spans="1:1" x14ac:dyDescent="0.25">
      <c r="A2585" s="74">
        <v>7377</v>
      </c>
    </row>
    <row r="2586" spans="1:1" x14ac:dyDescent="0.25">
      <c r="A2586" s="74">
        <v>7378</v>
      </c>
    </row>
    <row r="2587" spans="1:1" x14ac:dyDescent="0.25">
      <c r="A2587" s="74">
        <v>7379</v>
      </c>
    </row>
    <row r="2588" spans="1:1" x14ac:dyDescent="0.25">
      <c r="A2588" s="74">
        <v>7380</v>
      </c>
    </row>
    <row r="2589" spans="1:1" x14ac:dyDescent="0.25">
      <c r="A2589" s="74">
        <v>7381</v>
      </c>
    </row>
    <row r="2590" spans="1:1" x14ac:dyDescent="0.25">
      <c r="A2590" s="74">
        <v>7382</v>
      </c>
    </row>
    <row r="2591" spans="1:1" x14ac:dyDescent="0.25">
      <c r="A2591" s="74">
        <v>7383</v>
      </c>
    </row>
    <row r="2592" spans="1:1" x14ac:dyDescent="0.25">
      <c r="A2592" s="74">
        <v>7384</v>
      </c>
    </row>
    <row r="2593" spans="1:1" x14ac:dyDescent="0.25">
      <c r="A2593" s="74">
        <v>7385</v>
      </c>
    </row>
    <row r="2594" spans="1:1" x14ac:dyDescent="0.25">
      <c r="A2594" s="74">
        <v>7386</v>
      </c>
    </row>
    <row r="2595" spans="1:1" x14ac:dyDescent="0.25">
      <c r="A2595" s="74">
        <v>7387</v>
      </c>
    </row>
    <row r="2596" spans="1:1" x14ac:dyDescent="0.25">
      <c r="A2596" s="74">
        <v>7388</v>
      </c>
    </row>
    <row r="2597" spans="1:1" x14ac:dyDescent="0.25">
      <c r="A2597" s="74">
        <v>7389</v>
      </c>
    </row>
    <row r="2598" spans="1:1" x14ac:dyDescent="0.25">
      <c r="A2598" s="74">
        <v>7390</v>
      </c>
    </row>
    <row r="2599" spans="1:1" x14ac:dyDescent="0.25">
      <c r="A2599" s="74">
        <v>7391</v>
      </c>
    </row>
    <row r="2600" spans="1:1" x14ac:dyDescent="0.25">
      <c r="A2600" s="74">
        <v>7392</v>
      </c>
    </row>
    <row r="2601" spans="1:1" x14ac:dyDescent="0.25">
      <c r="A2601" s="74">
        <v>7393</v>
      </c>
    </row>
    <row r="2602" spans="1:1" x14ac:dyDescent="0.25">
      <c r="A2602" s="74">
        <v>7394</v>
      </c>
    </row>
    <row r="2603" spans="1:1" x14ac:dyDescent="0.25">
      <c r="A2603" s="74">
        <v>7395</v>
      </c>
    </row>
    <row r="2604" spans="1:1" x14ac:dyDescent="0.25">
      <c r="A2604" s="74">
        <v>7396</v>
      </c>
    </row>
    <row r="2605" spans="1:1" x14ac:dyDescent="0.25">
      <c r="A2605" s="74">
        <v>7397</v>
      </c>
    </row>
    <row r="2606" spans="1:1" x14ac:dyDescent="0.25">
      <c r="A2606" s="74">
        <v>7398</v>
      </c>
    </row>
    <row r="2607" spans="1:1" x14ac:dyDescent="0.25">
      <c r="A2607" s="74">
        <v>7399</v>
      </c>
    </row>
    <row r="2608" spans="1:1" x14ac:dyDescent="0.25">
      <c r="A2608" s="74">
        <v>7400</v>
      </c>
    </row>
    <row r="2609" spans="1:1" x14ac:dyDescent="0.25">
      <c r="A2609" s="74">
        <v>7401</v>
      </c>
    </row>
    <row r="2610" spans="1:1" x14ac:dyDescent="0.25">
      <c r="A2610" s="74">
        <v>7402</v>
      </c>
    </row>
    <row r="2611" spans="1:1" x14ac:dyDescent="0.25">
      <c r="A2611" s="74">
        <v>7403</v>
      </c>
    </row>
    <row r="2612" spans="1:1" x14ac:dyDescent="0.25">
      <c r="A2612" s="74">
        <v>7404</v>
      </c>
    </row>
    <row r="2613" spans="1:1" x14ac:dyDescent="0.25">
      <c r="A2613" s="74">
        <v>7405</v>
      </c>
    </row>
    <row r="2614" spans="1:1" x14ac:dyDescent="0.25">
      <c r="A2614" s="74">
        <v>7406</v>
      </c>
    </row>
    <row r="2615" spans="1:1" x14ac:dyDescent="0.25">
      <c r="A2615" s="74">
        <v>7407</v>
      </c>
    </row>
    <row r="2616" spans="1:1" x14ac:dyDescent="0.25">
      <c r="A2616" s="74">
        <v>7408</v>
      </c>
    </row>
    <row r="2617" spans="1:1" x14ac:dyDescent="0.25">
      <c r="A2617" s="74">
        <v>7409</v>
      </c>
    </row>
    <row r="2618" spans="1:1" x14ac:dyDescent="0.25">
      <c r="A2618" s="74">
        <v>7410</v>
      </c>
    </row>
    <row r="2619" spans="1:1" x14ac:dyDescent="0.25">
      <c r="A2619" s="74">
        <v>7411</v>
      </c>
    </row>
    <row r="2620" spans="1:1" x14ac:dyDescent="0.25">
      <c r="A2620" s="74">
        <v>7412</v>
      </c>
    </row>
    <row r="2621" spans="1:1" x14ac:dyDescent="0.25">
      <c r="A2621" s="74">
        <v>7413</v>
      </c>
    </row>
    <row r="2622" spans="1:1" x14ac:dyDescent="0.25">
      <c r="A2622" s="74">
        <v>7414</v>
      </c>
    </row>
    <row r="2623" spans="1:1" x14ac:dyDescent="0.25">
      <c r="A2623" s="74">
        <v>7415</v>
      </c>
    </row>
    <row r="2624" spans="1:1" x14ac:dyDescent="0.25">
      <c r="A2624" s="74">
        <v>7416</v>
      </c>
    </row>
    <row r="2625" spans="1:1" x14ac:dyDescent="0.25">
      <c r="A2625" s="74">
        <v>7417</v>
      </c>
    </row>
    <row r="2626" spans="1:1" x14ac:dyDescent="0.25">
      <c r="A2626" s="74">
        <v>7418</v>
      </c>
    </row>
    <row r="2627" spans="1:1" x14ac:dyDescent="0.25">
      <c r="A2627" s="74">
        <v>7419</v>
      </c>
    </row>
    <row r="2628" spans="1:1" x14ac:dyDescent="0.25">
      <c r="A2628" s="74">
        <v>7420</v>
      </c>
    </row>
    <row r="2629" spans="1:1" x14ac:dyDescent="0.25">
      <c r="A2629" s="74">
        <v>7421</v>
      </c>
    </row>
    <row r="2630" spans="1:1" x14ac:dyDescent="0.25">
      <c r="A2630" s="74">
        <v>7422</v>
      </c>
    </row>
    <row r="2631" spans="1:1" x14ac:dyDescent="0.25">
      <c r="A2631" s="74">
        <v>7423</v>
      </c>
    </row>
    <row r="2632" spans="1:1" x14ac:dyDescent="0.25">
      <c r="A2632" s="74">
        <v>7424</v>
      </c>
    </row>
    <row r="2633" spans="1:1" x14ac:dyDescent="0.25">
      <c r="A2633" s="74">
        <v>7425</v>
      </c>
    </row>
    <row r="2634" spans="1:1" x14ac:dyDescent="0.25">
      <c r="A2634" s="74">
        <v>7426</v>
      </c>
    </row>
    <row r="2635" spans="1:1" x14ac:dyDescent="0.25">
      <c r="A2635" s="74">
        <v>7427</v>
      </c>
    </row>
    <row r="2636" spans="1:1" x14ac:dyDescent="0.25">
      <c r="A2636" s="74">
        <v>7428</v>
      </c>
    </row>
    <row r="2637" spans="1:1" x14ac:dyDescent="0.25">
      <c r="A2637" s="74">
        <v>7429</v>
      </c>
    </row>
    <row r="2638" spans="1:1" x14ac:dyDescent="0.25">
      <c r="A2638" s="74">
        <v>7430</v>
      </c>
    </row>
    <row r="2639" spans="1:1" x14ac:dyDescent="0.25">
      <c r="A2639" s="74">
        <v>7431</v>
      </c>
    </row>
    <row r="2640" spans="1:1" x14ac:dyDescent="0.25">
      <c r="A2640" s="74">
        <v>7432</v>
      </c>
    </row>
    <row r="2641" spans="1:1" x14ac:dyDescent="0.25">
      <c r="A2641" s="74">
        <v>7433</v>
      </c>
    </row>
    <row r="2642" spans="1:1" x14ac:dyDescent="0.25">
      <c r="A2642" s="74">
        <v>7434</v>
      </c>
    </row>
    <row r="2643" spans="1:1" x14ac:dyDescent="0.25">
      <c r="A2643" s="74">
        <v>7435</v>
      </c>
    </row>
    <row r="2644" spans="1:1" x14ac:dyDescent="0.25">
      <c r="A2644" s="74">
        <v>7436</v>
      </c>
    </row>
    <row r="2645" spans="1:1" x14ac:dyDescent="0.25">
      <c r="A2645" s="74">
        <v>7437</v>
      </c>
    </row>
    <row r="2646" spans="1:1" x14ac:dyDescent="0.25">
      <c r="A2646" s="74">
        <v>7438</v>
      </c>
    </row>
    <row r="2647" spans="1:1" x14ac:dyDescent="0.25">
      <c r="A2647" s="74">
        <v>7439</v>
      </c>
    </row>
    <row r="2648" spans="1:1" x14ac:dyDescent="0.25">
      <c r="A2648" s="74">
        <v>7440</v>
      </c>
    </row>
    <row r="2649" spans="1:1" x14ac:dyDescent="0.25">
      <c r="A2649" s="74">
        <v>7441</v>
      </c>
    </row>
    <row r="2650" spans="1:1" x14ac:dyDescent="0.25">
      <c r="A2650" s="74">
        <v>7442</v>
      </c>
    </row>
    <row r="2651" spans="1:1" x14ac:dyDescent="0.25">
      <c r="A2651" s="74">
        <v>7443</v>
      </c>
    </row>
    <row r="2652" spans="1:1" x14ac:dyDescent="0.25">
      <c r="A2652" s="74">
        <v>7444</v>
      </c>
    </row>
    <row r="2653" spans="1:1" x14ac:dyDescent="0.25">
      <c r="A2653" s="74">
        <v>7445</v>
      </c>
    </row>
    <row r="2654" spans="1:1" x14ac:dyDescent="0.25">
      <c r="A2654" s="74">
        <v>7446</v>
      </c>
    </row>
    <row r="2655" spans="1:1" x14ac:dyDescent="0.25">
      <c r="A2655" s="74">
        <v>7447</v>
      </c>
    </row>
    <row r="2656" spans="1:1" x14ac:dyDescent="0.25">
      <c r="A2656" s="74">
        <v>7448</v>
      </c>
    </row>
    <row r="2657" spans="1:1" x14ac:dyDescent="0.25">
      <c r="A2657" s="74">
        <v>7449</v>
      </c>
    </row>
    <row r="2658" spans="1:1" x14ac:dyDescent="0.25">
      <c r="A2658" s="74">
        <v>7450</v>
      </c>
    </row>
    <row r="2659" spans="1:1" x14ac:dyDescent="0.25">
      <c r="A2659" s="74">
        <v>7451</v>
      </c>
    </row>
    <row r="2660" spans="1:1" x14ac:dyDescent="0.25">
      <c r="A2660" s="74">
        <v>7452</v>
      </c>
    </row>
    <row r="2661" spans="1:1" x14ac:dyDescent="0.25">
      <c r="A2661" s="74">
        <v>7453</v>
      </c>
    </row>
    <row r="2662" spans="1:1" x14ac:dyDescent="0.25">
      <c r="A2662" s="74">
        <v>7454</v>
      </c>
    </row>
    <row r="2663" spans="1:1" x14ac:dyDescent="0.25">
      <c r="A2663" s="74">
        <v>7455</v>
      </c>
    </row>
    <row r="2664" spans="1:1" x14ac:dyDescent="0.25">
      <c r="A2664" s="74">
        <v>7456</v>
      </c>
    </row>
    <row r="2665" spans="1:1" x14ac:dyDescent="0.25">
      <c r="A2665" s="74">
        <v>7457</v>
      </c>
    </row>
    <row r="2666" spans="1:1" x14ac:dyDescent="0.25">
      <c r="A2666" s="74">
        <v>7458</v>
      </c>
    </row>
    <row r="2667" spans="1:1" x14ac:dyDescent="0.25">
      <c r="A2667" s="74">
        <v>7459</v>
      </c>
    </row>
    <row r="2668" spans="1:1" x14ac:dyDescent="0.25">
      <c r="A2668" s="74">
        <v>7460</v>
      </c>
    </row>
    <row r="2669" spans="1:1" x14ac:dyDescent="0.25">
      <c r="A2669" s="74">
        <v>7461</v>
      </c>
    </row>
    <row r="2670" spans="1:1" x14ac:dyDescent="0.25">
      <c r="A2670" s="74">
        <v>7462</v>
      </c>
    </row>
    <row r="2671" spans="1:1" x14ac:dyDescent="0.25">
      <c r="A2671" s="74">
        <v>7463</v>
      </c>
    </row>
    <row r="2672" spans="1:1" x14ac:dyDescent="0.25">
      <c r="A2672" s="74">
        <v>7464</v>
      </c>
    </row>
    <row r="2673" spans="1:1" x14ac:dyDescent="0.25">
      <c r="A2673" s="74">
        <v>7465</v>
      </c>
    </row>
    <row r="2674" spans="1:1" x14ac:dyDescent="0.25">
      <c r="A2674" s="74">
        <v>7466</v>
      </c>
    </row>
    <row r="2675" spans="1:1" x14ac:dyDescent="0.25">
      <c r="A2675" s="74">
        <v>7467</v>
      </c>
    </row>
    <row r="2676" spans="1:1" x14ac:dyDescent="0.25">
      <c r="A2676" s="74">
        <v>7468</v>
      </c>
    </row>
    <row r="2677" spans="1:1" x14ac:dyDescent="0.25">
      <c r="A2677" s="74">
        <v>7469</v>
      </c>
    </row>
    <row r="2678" spans="1:1" x14ac:dyDescent="0.25">
      <c r="A2678" s="74">
        <v>7470</v>
      </c>
    </row>
    <row r="2679" spans="1:1" x14ac:dyDescent="0.25">
      <c r="A2679" s="74">
        <v>7471</v>
      </c>
    </row>
    <row r="2680" spans="1:1" x14ac:dyDescent="0.25">
      <c r="A2680" s="74">
        <v>7472</v>
      </c>
    </row>
    <row r="2681" spans="1:1" x14ac:dyDescent="0.25">
      <c r="A2681" s="74">
        <v>7473</v>
      </c>
    </row>
    <row r="2682" spans="1:1" x14ac:dyDescent="0.25">
      <c r="A2682" s="74">
        <v>7474</v>
      </c>
    </row>
    <row r="2683" spans="1:1" x14ac:dyDescent="0.25">
      <c r="A2683" s="74">
        <v>7475</v>
      </c>
    </row>
    <row r="2684" spans="1:1" x14ac:dyDescent="0.25">
      <c r="A2684" s="74">
        <v>7476</v>
      </c>
    </row>
    <row r="2685" spans="1:1" x14ac:dyDescent="0.25">
      <c r="A2685" s="74">
        <v>7477</v>
      </c>
    </row>
    <row r="2686" spans="1:1" x14ac:dyDescent="0.25">
      <c r="A2686" s="74">
        <v>7478</v>
      </c>
    </row>
    <row r="2687" spans="1:1" x14ac:dyDescent="0.25">
      <c r="A2687" s="74">
        <v>7479</v>
      </c>
    </row>
    <row r="2688" spans="1:1" x14ac:dyDescent="0.25">
      <c r="A2688" s="74">
        <v>7480</v>
      </c>
    </row>
    <row r="2689" spans="1:1" x14ac:dyDescent="0.25">
      <c r="A2689" s="74">
        <v>7481</v>
      </c>
    </row>
    <row r="2690" spans="1:1" x14ac:dyDescent="0.25">
      <c r="A2690" s="74">
        <v>7482</v>
      </c>
    </row>
    <row r="2691" spans="1:1" x14ac:dyDescent="0.25">
      <c r="A2691" s="74">
        <v>7483</v>
      </c>
    </row>
    <row r="2692" spans="1:1" x14ac:dyDescent="0.25">
      <c r="A2692" s="74">
        <v>7484</v>
      </c>
    </row>
    <row r="2693" spans="1:1" x14ac:dyDescent="0.25">
      <c r="A2693" s="74">
        <v>7485</v>
      </c>
    </row>
    <row r="2694" spans="1:1" x14ac:dyDescent="0.25">
      <c r="A2694" s="74">
        <v>7486</v>
      </c>
    </row>
    <row r="2695" spans="1:1" x14ac:dyDescent="0.25">
      <c r="A2695" s="74">
        <v>7487</v>
      </c>
    </row>
    <row r="2696" spans="1:1" x14ac:dyDescent="0.25">
      <c r="A2696" s="74">
        <v>7488</v>
      </c>
    </row>
    <row r="2697" spans="1:1" x14ac:dyDescent="0.25">
      <c r="A2697" s="74">
        <v>7489</v>
      </c>
    </row>
    <row r="2698" spans="1:1" x14ac:dyDescent="0.25">
      <c r="A2698" s="74">
        <v>7490</v>
      </c>
    </row>
    <row r="2699" spans="1:1" x14ac:dyDescent="0.25">
      <c r="A2699" s="74">
        <v>7491</v>
      </c>
    </row>
    <row r="2700" spans="1:1" x14ac:dyDescent="0.25">
      <c r="A2700" s="74">
        <v>7492</v>
      </c>
    </row>
    <row r="2701" spans="1:1" x14ac:dyDescent="0.25">
      <c r="A2701" s="74">
        <v>7493</v>
      </c>
    </row>
    <row r="2702" spans="1:1" x14ac:dyDescent="0.25">
      <c r="A2702" s="74">
        <v>7494</v>
      </c>
    </row>
    <row r="2703" spans="1:1" x14ac:dyDescent="0.25">
      <c r="A2703" s="74">
        <v>7495</v>
      </c>
    </row>
    <row r="2704" spans="1:1" x14ac:dyDescent="0.25">
      <c r="A2704" s="74">
        <v>7496</v>
      </c>
    </row>
    <row r="2705" spans="1:1" x14ac:dyDescent="0.25">
      <c r="A2705" s="74">
        <v>7497</v>
      </c>
    </row>
    <row r="2706" spans="1:1" x14ac:dyDescent="0.25">
      <c r="A2706" s="74">
        <v>7498</v>
      </c>
    </row>
    <row r="2707" spans="1:1" x14ac:dyDescent="0.25">
      <c r="A2707" s="74">
        <v>7499</v>
      </c>
    </row>
    <row r="2708" spans="1:1" x14ac:dyDescent="0.25">
      <c r="A2708" s="74">
        <v>7500</v>
      </c>
    </row>
    <row r="2709" spans="1:1" x14ac:dyDescent="0.25">
      <c r="A2709" s="74">
        <v>7501</v>
      </c>
    </row>
    <row r="2710" spans="1:1" x14ac:dyDescent="0.25">
      <c r="A2710" s="74">
        <v>7502</v>
      </c>
    </row>
    <row r="2711" spans="1:1" x14ac:dyDescent="0.25">
      <c r="A2711" s="74">
        <v>7503</v>
      </c>
    </row>
    <row r="2712" spans="1:1" x14ac:dyDescent="0.25">
      <c r="A2712" s="74">
        <v>7504</v>
      </c>
    </row>
    <row r="2713" spans="1:1" x14ac:dyDescent="0.25">
      <c r="A2713" s="74">
        <v>7505</v>
      </c>
    </row>
    <row r="2714" spans="1:1" x14ac:dyDescent="0.25">
      <c r="A2714" s="74">
        <v>7506</v>
      </c>
    </row>
    <row r="2715" spans="1:1" x14ac:dyDescent="0.25">
      <c r="A2715" s="74">
        <v>7507</v>
      </c>
    </row>
    <row r="2716" spans="1:1" x14ac:dyDescent="0.25">
      <c r="A2716" s="74">
        <v>7508</v>
      </c>
    </row>
    <row r="2717" spans="1:1" x14ac:dyDescent="0.25">
      <c r="A2717" s="74">
        <v>7509</v>
      </c>
    </row>
    <row r="2718" spans="1:1" x14ac:dyDescent="0.25">
      <c r="A2718" s="74">
        <v>7510</v>
      </c>
    </row>
    <row r="2719" spans="1:1" x14ac:dyDescent="0.25">
      <c r="A2719" s="74">
        <v>7511</v>
      </c>
    </row>
    <row r="2720" spans="1:1" x14ac:dyDescent="0.25">
      <c r="A2720" s="74">
        <v>7512</v>
      </c>
    </row>
    <row r="2721" spans="1:1" x14ac:dyDescent="0.25">
      <c r="A2721" s="74">
        <v>7513</v>
      </c>
    </row>
    <row r="2722" spans="1:1" x14ac:dyDescent="0.25">
      <c r="A2722" s="74">
        <v>7514</v>
      </c>
    </row>
    <row r="2723" spans="1:1" x14ac:dyDescent="0.25">
      <c r="A2723" s="74">
        <v>7515</v>
      </c>
    </row>
    <row r="2724" spans="1:1" x14ac:dyDescent="0.25">
      <c r="A2724" s="74">
        <v>7516</v>
      </c>
    </row>
    <row r="2725" spans="1:1" x14ac:dyDescent="0.25">
      <c r="A2725" s="74">
        <v>7517</v>
      </c>
    </row>
    <row r="2726" spans="1:1" x14ac:dyDescent="0.25">
      <c r="A2726" s="74">
        <v>7518</v>
      </c>
    </row>
    <row r="2727" spans="1:1" x14ac:dyDescent="0.25">
      <c r="A2727" s="74">
        <v>7519</v>
      </c>
    </row>
    <row r="2728" spans="1:1" x14ac:dyDescent="0.25">
      <c r="A2728" s="74">
        <v>7520</v>
      </c>
    </row>
    <row r="2729" spans="1:1" x14ac:dyDescent="0.25">
      <c r="A2729" s="74">
        <v>7521</v>
      </c>
    </row>
    <row r="2730" spans="1:1" x14ac:dyDescent="0.25">
      <c r="A2730" s="74">
        <v>7522</v>
      </c>
    </row>
    <row r="2731" spans="1:1" x14ac:dyDescent="0.25">
      <c r="A2731" s="74">
        <v>7523</v>
      </c>
    </row>
    <row r="2732" spans="1:1" x14ac:dyDescent="0.25">
      <c r="A2732" s="74">
        <v>7524</v>
      </c>
    </row>
    <row r="2733" spans="1:1" x14ac:dyDescent="0.25">
      <c r="A2733" s="74">
        <v>7525</v>
      </c>
    </row>
    <row r="2734" spans="1:1" x14ac:dyDescent="0.25">
      <c r="A2734" s="74">
        <v>7526</v>
      </c>
    </row>
    <row r="2735" spans="1:1" x14ac:dyDescent="0.25">
      <c r="A2735" s="74">
        <v>7527</v>
      </c>
    </row>
    <row r="2736" spans="1:1" x14ac:dyDescent="0.25">
      <c r="A2736" s="74">
        <v>7528</v>
      </c>
    </row>
    <row r="2737" spans="1:1" x14ac:dyDescent="0.25">
      <c r="A2737" s="74">
        <v>7529</v>
      </c>
    </row>
    <row r="2738" spans="1:1" x14ac:dyDescent="0.25">
      <c r="A2738" s="74">
        <v>7530</v>
      </c>
    </row>
    <row r="2739" spans="1:1" x14ac:dyDescent="0.25">
      <c r="A2739" s="74">
        <v>7531</v>
      </c>
    </row>
    <row r="2740" spans="1:1" x14ac:dyDescent="0.25">
      <c r="A2740" s="74">
        <v>7532</v>
      </c>
    </row>
    <row r="2741" spans="1:1" x14ac:dyDescent="0.25">
      <c r="A2741" s="74">
        <v>7533</v>
      </c>
    </row>
    <row r="2742" spans="1:1" x14ac:dyDescent="0.25">
      <c r="A2742" s="74">
        <v>7534</v>
      </c>
    </row>
    <row r="2743" spans="1:1" x14ac:dyDescent="0.25">
      <c r="A2743" s="74">
        <v>7535</v>
      </c>
    </row>
    <row r="2744" spans="1:1" x14ac:dyDescent="0.25">
      <c r="A2744" s="74">
        <v>7536</v>
      </c>
    </row>
    <row r="2745" spans="1:1" x14ac:dyDescent="0.25">
      <c r="A2745" s="74">
        <v>7537</v>
      </c>
    </row>
    <row r="2746" spans="1:1" x14ac:dyDescent="0.25">
      <c r="A2746" s="74">
        <v>7538</v>
      </c>
    </row>
    <row r="2747" spans="1:1" x14ac:dyDescent="0.25">
      <c r="A2747" s="74">
        <v>7539</v>
      </c>
    </row>
    <row r="2748" spans="1:1" x14ac:dyDescent="0.25">
      <c r="A2748" s="74">
        <v>7540</v>
      </c>
    </row>
    <row r="2749" spans="1:1" x14ac:dyDescent="0.25">
      <c r="A2749" s="74">
        <v>7541</v>
      </c>
    </row>
    <row r="2750" spans="1:1" x14ac:dyDescent="0.25">
      <c r="A2750" s="74">
        <v>7542</v>
      </c>
    </row>
    <row r="2751" spans="1:1" x14ac:dyDescent="0.25">
      <c r="A2751" s="74">
        <v>7543</v>
      </c>
    </row>
    <row r="2752" spans="1:1" x14ac:dyDescent="0.25">
      <c r="A2752" s="74">
        <v>7544</v>
      </c>
    </row>
    <row r="2753" spans="1:1" x14ac:dyDescent="0.25">
      <c r="A2753" s="74">
        <v>7545</v>
      </c>
    </row>
    <row r="2754" spans="1:1" x14ac:dyDescent="0.25">
      <c r="A2754" s="74">
        <v>7546</v>
      </c>
    </row>
    <row r="2755" spans="1:1" x14ac:dyDescent="0.25">
      <c r="A2755" s="74">
        <v>7547</v>
      </c>
    </row>
    <row r="2756" spans="1:1" x14ac:dyDescent="0.25">
      <c r="A2756" s="74">
        <v>7548</v>
      </c>
    </row>
    <row r="2757" spans="1:1" x14ac:dyDescent="0.25">
      <c r="A2757" s="74">
        <v>7549</v>
      </c>
    </row>
    <row r="2758" spans="1:1" x14ac:dyDescent="0.25">
      <c r="A2758" s="74">
        <v>7550</v>
      </c>
    </row>
    <row r="2759" spans="1:1" x14ac:dyDescent="0.25">
      <c r="A2759" s="74">
        <v>7551</v>
      </c>
    </row>
    <row r="2760" spans="1:1" x14ac:dyDescent="0.25">
      <c r="A2760" s="74">
        <v>7552</v>
      </c>
    </row>
    <row r="2761" spans="1:1" x14ac:dyDescent="0.25">
      <c r="A2761" s="74">
        <v>7553</v>
      </c>
    </row>
    <row r="2762" spans="1:1" x14ac:dyDescent="0.25">
      <c r="A2762" s="74">
        <v>7554</v>
      </c>
    </row>
    <row r="2763" spans="1:1" x14ac:dyDescent="0.25">
      <c r="A2763" s="74">
        <v>7555</v>
      </c>
    </row>
    <row r="2764" spans="1:1" x14ac:dyDescent="0.25">
      <c r="A2764" s="74">
        <v>7556</v>
      </c>
    </row>
    <row r="2765" spans="1:1" x14ac:dyDescent="0.25">
      <c r="A2765" s="74">
        <v>7557</v>
      </c>
    </row>
    <row r="2766" spans="1:1" x14ac:dyDescent="0.25">
      <c r="A2766" s="74">
        <v>7558</v>
      </c>
    </row>
    <row r="2767" spans="1:1" x14ac:dyDescent="0.25">
      <c r="A2767" s="74">
        <v>7559</v>
      </c>
    </row>
    <row r="2768" spans="1:1" x14ac:dyDescent="0.25">
      <c r="A2768" s="74">
        <v>7560</v>
      </c>
    </row>
    <row r="2769" spans="1:1" x14ac:dyDescent="0.25">
      <c r="A2769" s="74">
        <v>7561</v>
      </c>
    </row>
    <row r="2770" spans="1:1" x14ac:dyDescent="0.25">
      <c r="A2770" s="74">
        <v>7562</v>
      </c>
    </row>
    <row r="2771" spans="1:1" x14ac:dyDescent="0.25">
      <c r="A2771" s="74">
        <v>7563</v>
      </c>
    </row>
    <row r="2772" spans="1:1" x14ac:dyDescent="0.25">
      <c r="A2772" s="74">
        <v>7564</v>
      </c>
    </row>
    <row r="2773" spans="1:1" x14ac:dyDescent="0.25">
      <c r="A2773" s="74">
        <v>7565</v>
      </c>
    </row>
    <row r="2774" spans="1:1" x14ac:dyDescent="0.25">
      <c r="A2774" s="74">
        <v>7566</v>
      </c>
    </row>
    <row r="2775" spans="1:1" x14ac:dyDescent="0.25">
      <c r="A2775" s="74">
        <v>7567</v>
      </c>
    </row>
    <row r="2776" spans="1:1" x14ac:dyDescent="0.25">
      <c r="A2776" s="74">
        <v>7568</v>
      </c>
    </row>
    <row r="2777" spans="1:1" x14ac:dyDescent="0.25">
      <c r="A2777" s="74">
        <v>7569</v>
      </c>
    </row>
    <row r="2778" spans="1:1" x14ac:dyDescent="0.25">
      <c r="A2778" s="74">
        <v>7570</v>
      </c>
    </row>
    <row r="2779" spans="1:1" x14ac:dyDescent="0.25">
      <c r="A2779" s="74">
        <v>7571</v>
      </c>
    </row>
    <row r="2780" spans="1:1" x14ac:dyDescent="0.25">
      <c r="A2780" s="74">
        <v>7572</v>
      </c>
    </row>
    <row r="2781" spans="1:1" x14ac:dyDescent="0.25">
      <c r="A2781" s="74">
        <v>7573</v>
      </c>
    </row>
    <row r="2782" spans="1:1" x14ac:dyDescent="0.25">
      <c r="A2782" s="74">
        <v>7574</v>
      </c>
    </row>
    <row r="2783" spans="1:1" x14ac:dyDescent="0.25">
      <c r="A2783" s="74">
        <v>7575</v>
      </c>
    </row>
    <row r="2784" spans="1:1" x14ac:dyDescent="0.25">
      <c r="A2784" s="74">
        <v>7576</v>
      </c>
    </row>
    <row r="2785" spans="1:1" x14ac:dyDescent="0.25">
      <c r="A2785" s="74">
        <v>7577</v>
      </c>
    </row>
    <row r="2786" spans="1:1" x14ac:dyDescent="0.25">
      <c r="A2786" s="74">
        <v>7578</v>
      </c>
    </row>
    <row r="2787" spans="1:1" x14ac:dyDescent="0.25">
      <c r="A2787" s="74">
        <v>7579</v>
      </c>
    </row>
    <row r="2788" spans="1:1" x14ac:dyDescent="0.25">
      <c r="A2788" s="74">
        <v>7580</v>
      </c>
    </row>
    <row r="2789" spans="1:1" x14ac:dyDescent="0.25">
      <c r="A2789" s="74">
        <v>7581</v>
      </c>
    </row>
    <row r="2790" spans="1:1" x14ac:dyDescent="0.25">
      <c r="A2790" s="74">
        <v>7582</v>
      </c>
    </row>
    <row r="2791" spans="1:1" x14ac:dyDescent="0.25">
      <c r="A2791" s="74">
        <v>7583</v>
      </c>
    </row>
    <row r="2792" spans="1:1" x14ac:dyDescent="0.25">
      <c r="A2792" s="74">
        <v>7584</v>
      </c>
    </row>
    <row r="2793" spans="1:1" x14ac:dyDescent="0.25">
      <c r="A2793" s="74">
        <v>7585</v>
      </c>
    </row>
    <row r="2794" spans="1:1" x14ac:dyDescent="0.25">
      <c r="A2794" s="74">
        <v>7586</v>
      </c>
    </row>
    <row r="2795" spans="1:1" x14ac:dyDescent="0.25">
      <c r="A2795" s="74">
        <v>7587</v>
      </c>
    </row>
    <row r="2796" spans="1:1" x14ac:dyDescent="0.25">
      <c r="A2796" s="74">
        <v>7588</v>
      </c>
    </row>
    <row r="2797" spans="1:1" x14ac:dyDescent="0.25">
      <c r="A2797" s="74">
        <v>7589</v>
      </c>
    </row>
    <row r="2798" spans="1:1" x14ac:dyDescent="0.25">
      <c r="A2798" s="74">
        <v>7590</v>
      </c>
    </row>
    <row r="2799" spans="1:1" x14ac:dyDescent="0.25">
      <c r="A2799" s="74">
        <v>7591</v>
      </c>
    </row>
    <row r="2800" spans="1:1" x14ac:dyDescent="0.25">
      <c r="A2800" s="74">
        <v>7592</v>
      </c>
    </row>
    <row r="2801" spans="1:1" x14ac:dyDescent="0.25">
      <c r="A2801" s="74">
        <v>7593</v>
      </c>
    </row>
    <row r="2802" spans="1:1" x14ac:dyDescent="0.25">
      <c r="A2802" s="74">
        <v>7594</v>
      </c>
    </row>
    <row r="2803" spans="1:1" x14ac:dyDescent="0.25">
      <c r="A2803" s="74">
        <v>7595</v>
      </c>
    </row>
    <row r="2804" spans="1:1" x14ac:dyDescent="0.25">
      <c r="A2804" s="74">
        <v>7596</v>
      </c>
    </row>
    <row r="2805" spans="1:1" x14ac:dyDescent="0.25">
      <c r="A2805" s="74">
        <v>7597</v>
      </c>
    </row>
    <row r="2806" spans="1:1" x14ac:dyDescent="0.25">
      <c r="A2806" s="74">
        <v>7598</v>
      </c>
    </row>
    <row r="2807" spans="1:1" x14ac:dyDescent="0.25">
      <c r="A2807" s="74">
        <v>7599</v>
      </c>
    </row>
    <row r="2808" spans="1:1" x14ac:dyDescent="0.25">
      <c r="A2808" s="74">
        <v>7600</v>
      </c>
    </row>
    <row r="2809" spans="1:1" x14ac:dyDescent="0.25">
      <c r="A2809" s="74">
        <v>7601</v>
      </c>
    </row>
    <row r="2810" spans="1:1" x14ac:dyDescent="0.25">
      <c r="A2810" s="74">
        <v>7602</v>
      </c>
    </row>
    <row r="2811" spans="1:1" x14ac:dyDescent="0.25">
      <c r="A2811" s="74">
        <v>7603</v>
      </c>
    </row>
    <row r="2812" spans="1:1" x14ac:dyDescent="0.25">
      <c r="A2812" s="74">
        <v>7604</v>
      </c>
    </row>
    <row r="2813" spans="1:1" x14ac:dyDescent="0.25">
      <c r="A2813" s="74">
        <v>7605</v>
      </c>
    </row>
    <row r="2814" spans="1:1" x14ac:dyDescent="0.25">
      <c r="A2814" s="74">
        <v>7606</v>
      </c>
    </row>
    <row r="2815" spans="1:1" x14ac:dyDescent="0.25">
      <c r="A2815" s="74">
        <v>7607</v>
      </c>
    </row>
    <row r="2816" spans="1:1" x14ac:dyDescent="0.25">
      <c r="A2816" s="74">
        <v>7608</v>
      </c>
    </row>
    <row r="2817" spans="1:1" x14ac:dyDescent="0.25">
      <c r="A2817" s="74">
        <v>7609</v>
      </c>
    </row>
    <row r="2818" spans="1:1" x14ac:dyDescent="0.25">
      <c r="A2818" s="74">
        <v>7610</v>
      </c>
    </row>
    <row r="2819" spans="1:1" x14ac:dyDescent="0.25">
      <c r="A2819" s="74">
        <v>7611</v>
      </c>
    </row>
    <row r="2820" spans="1:1" x14ac:dyDescent="0.25">
      <c r="A2820" s="74">
        <v>7612</v>
      </c>
    </row>
    <row r="2821" spans="1:1" x14ac:dyDescent="0.25">
      <c r="A2821" s="74">
        <v>7613</v>
      </c>
    </row>
    <row r="2822" spans="1:1" x14ac:dyDescent="0.25">
      <c r="A2822" s="74">
        <v>7614</v>
      </c>
    </row>
    <row r="2823" spans="1:1" x14ac:dyDescent="0.25">
      <c r="A2823" s="74">
        <v>7615</v>
      </c>
    </row>
    <row r="2824" spans="1:1" x14ac:dyDescent="0.25">
      <c r="A2824" s="74">
        <v>7616</v>
      </c>
    </row>
    <row r="2825" spans="1:1" x14ac:dyDescent="0.25">
      <c r="A2825" s="74">
        <v>7617</v>
      </c>
    </row>
    <row r="2826" spans="1:1" x14ac:dyDescent="0.25">
      <c r="A2826" s="74">
        <v>7618</v>
      </c>
    </row>
    <row r="2827" spans="1:1" x14ac:dyDescent="0.25">
      <c r="A2827" s="74">
        <v>7619</v>
      </c>
    </row>
    <row r="2828" spans="1:1" x14ac:dyDescent="0.25">
      <c r="A2828" s="74">
        <v>7620</v>
      </c>
    </row>
    <row r="2829" spans="1:1" x14ac:dyDescent="0.25">
      <c r="A2829" s="74">
        <v>7621</v>
      </c>
    </row>
    <row r="2830" spans="1:1" x14ac:dyDescent="0.25">
      <c r="A2830" s="74">
        <v>7622</v>
      </c>
    </row>
    <row r="2831" spans="1:1" x14ac:dyDescent="0.25">
      <c r="A2831" s="74">
        <v>7623</v>
      </c>
    </row>
    <row r="2832" spans="1:1" x14ac:dyDescent="0.25">
      <c r="A2832" s="74">
        <v>7624</v>
      </c>
    </row>
    <row r="2833" spans="1:1" x14ac:dyDescent="0.25">
      <c r="A2833" s="74">
        <v>7625</v>
      </c>
    </row>
    <row r="2834" spans="1:1" x14ac:dyDescent="0.25">
      <c r="A2834" s="74">
        <v>7626</v>
      </c>
    </row>
    <row r="2835" spans="1:1" x14ac:dyDescent="0.25">
      <c r="A2835" s="74">
        <v>7627</v>
      </c>
    </row>
    <row r="2836" spans="1:1" x14ac:dyDescent="0.25">
      <c r="A2836" s="74">
        <v>7628</v>
      </c>
    </row>
    <row r="2837" spans="1:1" x14ac:dyDescent="0.25">
      <c r="A2837" s="74">
        <v>7629</v>
      </c>
    </row>
    <row r="2838" spans="1:1" x14ac:dyDescent="0.25">
      <c r="A2838" s="74">
        <v>7630</v>
      </c>
    </row>
    <row r="2839" spans="1:1" x14ac:dyDescent="0.25">
      <c r="A2839" s="74">
        <v>7631</v>
      </c>
    </row>
    <row r="2840" spans="1:1" x14ac:dyDescent="0.25">
      <c r="A2840" s="74">
        <v>7632</v>
      </c>
    </row>
    <row r="2841" spans="1:1" x14ac:dyDescent="0.25">
      <c r="A2841" s="74">
        <v>7633</v>
      </c>
    </row>
    <row r="2842" spans="1:1" x14ac:dyDescent="0.25">
      <c r="A2842" s="74">
        <v>7634</v>
      </c>
    </row>
    <row r="2843" spans="1:1" x14ac:dyDescent="0.25">
      <c r="A2843" s="74">
        <v>7635</v>
      </c>
    </row>
    <row r="2844" spans="1:1" x14ac:dyDescent="0.25">
      <c r="A2844" s="74">
        <v>7636</v>
      </c>
    </row>
    <row r="2845" spans="1:1" x14ac:dyDescent="0.25">
      <c r="A2845" s="74">
        <v>7637</v>
      </c>
    </row>
    <row r="2846" spans="1:1" x14ac:dyDescent="0.25">
      <c r="A2846" s="74">
        <v>7638</v>
      </c>
    </row>
    <row r="2847" spans="1:1" x14ac:dyDescent="0.25">
      <c r="A2847" s="74">
        <v>7639</v>
      </c>
    </row>
    <row r="2848" spans="1:1" x14ac:dyDescent="0.25">
      <c r="A2848" s="74">
        <v>7640</v>
      </c>
    </row>
    <row r="2849" spans="1:1" x14ac:dyDescent="0.25">
      <c r="A2849" s="74">
        <v>7641</v>
      </c>
    </row>
    <row r="2850" spans="1:1" x14ac:dyDescent="0.25">
      <c r="A2850" s="74">
        <v>7642</v>
      </c>
    </row>
    <row r="2851" spans="1:1" x14ac:dyDescent="0.25">
      <c r="A2851" s="74">
        <v>7643</v>
      </c>
    </row>
    <row r="2852" spans="1:1" x14ac:dyDescent="0.25">
      <c r="A2852" s="74">
        <v>7644</v>
      </c>
    </row>
    <row r="2853" spans="1:1" x14ac:dyDescent="0.25">
      <c r="A2853" s="74">
        <v>7645</v>
      </c>
    </row>
    <row r="2854" spans="1:1" x14ac:dyDescent="0.25">
      <c r="A2854" s="74">
        <v>7646</v>
      </c>
    </row>
    <row r="2855" spans="1:1" x14ac:dyDescent="0.25">
      <c r="A2855" s="74">
        <v>7647</v>
      </c>
    </row>
    <row r="2856" spans="1:1" x14ac:dyDescent="0.25">
      <c r="A2856" s="74">
        <v>7648</v>
      </c>
    </row>
    <row r="2857" spans="1:1" x14ac:dyDescent="0.25">
      <c r="A2857" s="74">
        <v>7649</v>
      </c>
    </row>
    <row r="2858" spans="1:1" x14ac:dyDescent="0.25">
      <c r="A2858" s="74">
        <v>7650</v>
      </c>
    </row>
    <row r="2859" spans="1:1" x14ac:dyDescent="0.25">
      <c r="A2859" s="74">
        <v>7651</v>
      </c>
    </row>
    <row r="2860" spans="1:1" x14ac:dyDescent="0.25">
      <c r="A2860" s="74">
        <v>7652</v>
      </c>
    </row>
    <row r="2861" spans="1:1" x14ac:dyDescent="0.25">
      <c r="A2861" s="74">
        <v>7653</v>
      </c>
    </row>
    <row r="2862" spans="1:1" x14ac:dyDescent="0.25">
      <c r="A2862" s="74">
        <v>7654</v>
      </c>
    </row>
    <row r="2863" spans="1:1" x14ac:dyDescent="0.25">
      <c r="A2863" s="74">
        <v>7655</v>
      </c>
    </row>
    <row r="2864" spans="1:1" x14ac:dyDescent="0.25">
      <c r="A2864" s="74">
        <v>7656</v>
      </c>
    </row>
    <row r="2865" spans="1:1" x14ac:dyDescent="0.25">
      <c r="A2865" s="74">
        <v>7657</v>
      </c>
    </row>
    <row r="2866" spans="1:1" x14ac:dyDescent="0.25">
      <c r="A2866" s="74">
        <v>7658</v>
      </c>
    </row>
    <row r="2867" spans="1:1" x14ac:dyDescent="0.25">
      <c r="A2867" s="74">
        <v>7659</v>
      </c>
    </row>
    <row r="2868" spans="1:1" x14ac:dyDescent="0.25">
      <c r="A2868" s="74">
        <v>7660</v>
      </c>
    </row>
    <row r="2869" spans="1:1" x14ac:dyDescent="0.25">
      <c r="A2869" s="74">
        <v>7661</v>
      </c>
    </row>
    <row r="2870" spans="1:1" x14ac:dyDescent="0.25">
      <c r="A2870" s="74">
        <v>7662</v>
      </c>
    </row>
    <row r="2871" spans="1:1" x14ac:dyDescent="0.25">
      <c r="A2871" s="74">
        <v>7663</v>
      </c>
    </row>
    <row r="2872" spans="1:1" x14ac:dyDescent="0.25">
      <c r="A2872" s="74">
        <v>7664</v>
      </c>
    </row>
    <row r="2873" spans="1:1" x14ac:dyDescent="0.25">
      <c r="A2873" s="74">
        <v>7665</v>
      </c>
    </row>
    <row r="2874" spans="1:1" x14ac:dyDescent="0.25">
      <c r="A2874" s="74">
        <v>7666</v>
      </c>
    </row>
    <row r="2875" spans="1:1" x14ac:dyDescent="0.25">
      <c r="A2875" s="74">
        <v>7667</v>
      </c>
    </row>
    <row r="2876" spans="1:1" x14ac:dyDescent="0.25">
      <c r="A2876" s="74">
        <v>7668</v>
      </c>
    </row>
    <row r="2877" spans="1:1" x14ac:dyDescent="0.25">
      <c r="A2877" s="74">
        <v>7669</v>
      </c>
    </row>
    <row r="2878" spans="1:1" x14ac:dyDescent="0.25">
      <c r="A2878" s="74">
        <v>7670</v>
      </c>
    </row>
    <row r="2879" spans="1:1" x14ac:dyDescent="0.25">
      <c r="A2879" s="74">
        <v>7671</v>
      </c>
    </row>
    <row r="2880" spans="1:1" x14ac:dyDescent="0.25">
      <c r="A2880" s="74">
        <v>7672</v>
      </c>
    </row>
    <row r="2881" spans="1:1" x14ac:dyDescent="0.25">
      <c r="A2881" s="74">
        <v>7673</v>
      </c>
    </row>
    <row r="2882" spans="1:1" x14ac:dyDescent="0.25">
      <c r="A2882" s="74">
        <v>7674</v>
      </c>
    </row>
    <row r="2883" spans="1:1" x14ac:dyDescent="0.25">
      <c r="A2883" s="74">
        <v>7675</v>
      </c>
    </row>
    <row r="2884" spans="1:1" x14ac:dyDescent="0.25">
      <c r="A2884" s="74">
        <v>7676</v>
      </c>
    </row>
    <row r="2885" spans="1:1" x14ac:dyDescent="0.25">
      <c r="A2885" s="74">
        <v>7677</v>
      </c>
    </row>
    <row r="2886" spans="1:1" x14ac:dyDescent="0.25">
      <c r="A2886" s="74">
        <v>7678</v>
      </c>
    </row>
    <row r="2887" spans="1:1" x14ac:dyDescent="0.25">
      <c r="A2887" s="74">
        <v>7679</v>
      </c>
    </row>
    <row r="2888" spans="1:1" x14ac:dyDescent="0.25">
      <c r="A2888" s="74">
        <v>7680</v>
      </c>
    </row>
    <row r="2889" spans="1:1" x14ac:dyDescent="0.25">
      <c r="A2889" s="74">
        <v>7681</v>
      </c>
    </row>
    <row r="2890" spans="1:1" x14ac:dyDescent="0.25">
      <c r="A2890" s="74">
        <v>7682</v>
      </c>
    </row>
    <row r="2891" spans="1:1" x14ac:dyDescent="0.25">
      <c r="A2891" s="74">
        <v>7683</v>
      </c>
    </row>
    <row r="2892" spans="1:1" x14ac:dyDescent="0.25">
      <c r="A2892" s="74">
        <v>7684</v>
      </c>
    </row>
    <row r="2893" spans="1:1" x14ac:dyDescent="0.25">
      <c r="A2893" s="74">
        <v>7685</v>
      </c>
    </row>
    <row r="2894" spans="1:1" x14ac:dyDescent="0.25">
      <c r="A2894" s="74">
        <v>7686</v>
      </c>
    </row>
    <row r="2895" spans="1:1" x14ac:dyDescent="0.25">
      <c r="A2895" s="74">
        <v>7687</v>
      </c>
    </row>
    <row r="2896" spans="1:1" x14ac:dyDescent="0.25">
      <c r="A2896" s="74">
        <v>7688</v>
      </c>
    </row>
    <row r="2897" spans="1:1" x14ac:dyDescent="0.25">
      <c r="A2897" s="74">
        <v>7689</v>
      </c>
    </row>
    <row r="2898" spans="1:1" x14ac:dyDescent="0.25">
      <c r="A2898" s="74">
        <v>7690</v>
      </c>
    </row>
    <row r="2899" spans="1:1" x14ac:dyDescent="0.25">
      <c r="A2899" s="74">
        <v>7691</v>
      </c>
    </row>
    <row r="2900" spans="1:1" x14ac:dyDescent="0.25">
      <c r="A2900" s="74">
        <v>7692</v>
      </c>
    </row>
    <row r="2901" spans="1:1" x14ac:dyDescent="0.25">
      <c r="A2901" s="74">
        <v>7693</v>
      </c>
    </row>
    <row r="2902" spans="1:1" x14ac:dyDescent="0.25">
      <c r="A2902" s="74">
        <v>7694</v>
      </c>
    </row>
    <row r="2903" spans="1:1" x14ac:dyDescent="0.25">
      <c r="A2903" s="74">
        <v>7695</v>
      </c>
    </row>
    <row r="2904" spans="1:1" x14ac:dyDescent="0.25">
      <c r="A2904" s="74">
        <v>7696</v>
      </c>
    </row>
    <row r="2905" spans="1:1" x14ac:dyDescent="0.25">
      <c r="A2905" s="74">
        <v>7697</v>
      </c>
    </row>
    <row r="2906" spans="1:1" x14ac:dyDescent="0.25">
      <c r="A2906" s="74">
        <v>7698</v>
      </c>
    </row>
    <row r="2907" spans="1:1" x14ac:dyDescent="0.25">
      <c r="A2907" s="74">
        <v>7699</v>
      </c>
    </row>
    <row r="2908" spans="1:1" x14ac:dyDescent="0.25">
      <c r="A2908" s="74">
        <v>7700</v>
      </c>
    </row>
    <row r="2909" spans="1:1" x14ac:dyDescent="0.25">
      <c r="A2909" s="74">
        <v>7701</v>
      </c>
    </row>
    <row r="2910" spans="1:1" x14ac:dyDescent="0.25">
      <c r="A2910" s="74">
        <v>7702</v>
      </c>
    </row>
    <row r="2911" spans="1:1" x14ac:dyDescent="0.25">
      <c r="A2911" s="74">
        <v>7703</v>
      </c>
    </row>
    <row r="2912" spans="1:1" x14ac:dyDescent="0.25">
      <c r="A2912" s="74">
        <v>7704</v>
      </c>
    </row>
    <row r="2913" spans="1:1" x14ac:dyDescent="0.25">
      <c r="A2913" s="74">
        <v>7705</v>
      </c>
    </row>
    <row r="2914" spans="1:1" x14ac:dyDescent="0.25">
      <c r="A2914" s="74">
        <v>7706</v>
      </c>
    </row>
    <row r="2915" spans="1:1" x14ac:dyDescent="0.25">
      <c r="A2915" s="74">
        <v>7707</v>
      </c>
    </row>
    <row r="2916" spans="1:1" x14ac:dyDescent="0.25">
      <c r="A2916" s="74">
        <v>7708</v>
      </c>
    </row>
    <row r="2917" spans="1:1" x14ac:dyDescent="0.25">
      <c r="A2917" s="74">
        <v>7709</v>
      </c>
    </row>
    <row r="2918" spans="1:1" x14ac:dyDescent="0.25">
      <c r="A2918" s="74">
        <v>7710</v>
      </c>
    </row>
    <row r="2919" spans="1:1" x14ac:dyDescent="0.25">
      <c r="A2919" s="74">
        <v>7711</v>
      </c>
    </row>
    <row r="2920" spans="1:1" x14ac:dyDescent="0.25">
      <c r="A2920" s="74">
        <v>7712</v>
      </c>
    </row>
    <row r="2921" spans="1:1" x14ac:dyDescent="0.25">
      <c r="A2921" s="74">
        <v>7713</v>
      </c>
    </row>
    <row r="2922" spans="1:1" x14ac:dyDescent="0.25">
      <c r="A2922" s="74">
        <v>7714</v>
      </c>
    </row>
    <row r="2923" spans="1:1" x14ac:dyDescent="0.25">
      <c r="A2923" s="74">
        <v>7715</v>
      </c>
    </row>
    <row r="2924" spans="1:1" x14ac:dyDescent="0.25">
      <c r="A2924" s="74">
        <v>7716</v>
      </c>
    </row>
    <row r="2925" spans="1:1" x14ac:dyDescent="0.25">
      <c r="A2925" s="74">
        <v>7717</v>
      </c>
    </row>
    <row r="2926" spans="1:1" x14ac:dyDescent="0.25">
      <c r="A2926" s="74">
        <v>7718</v>
      </c>
    </row>
    <row r="2927" spans="1:1" x14ac:dyDescent="0.25">
      <c r="A2927" s="74">
        <v>7719</v>
      </c>
    </row>
    <row r="2928" spans="1:1" x14ac:dyDescent="0.25">
      <c r="A2928" s="74">
        <v>7720</v>
      </c>
    </row>
    <row r="2929" spans="1:1" x14ac:dyDescent="0.25">
      <c r="A2929" s="74">
        <v>7721</v>
      </c>
    </row>
    <row r="2930" spans="1:1" x14ac:dyDescent="0.25">
      <c r="A2930" s="74">
        <v>7722</v>
      </c>
    </row>
    <row r="2931" spans="1:1" x14ac:dyDescent="0.25">
      <c r="A2931" s="74">
        <v>7723</v>
      </c>
    </row>
    <row r="2932" spans="1:1" x14ac:dyDescent="0.25">
      <c r="A2932" s="74">
        <v>7724</v>
      </c>
    </row>
    <row r="2933" spans="1:1" x14ac:dyDescent="0.25">
      <c r="A2933" s="74">
        <v>7725</v>
      </c>
    </row>
    <row r="2934" spans="1:1" x14ac:dyDescent="0.25">
      <c r="A2934" s="74">
        <v>7726</v>
      </c>
    </row>
    <row r="2935" spans="1:1" x14ac:dyDescent="0.25">
      <c r="A2935" s="74">
        <v>7727</v>
      </c>
    </row>
    <row r="2936" spans="1:1" x14ac:dyDescent="0.25">
      <c r="A2936" s="74">
        <v>7728</v>
      </c>
    </row>
    <row r="2937" spans="1:1" x14ac:dyDescent="0.25">
      <c r="A2937" s="74">
        <v>7729</v>
      </c>
    </row>
    <row r="2938" spans="1:1" x14ac:dyDescent="0.25">
      <c r="A2938" s="74">
        <v>7730</v>
      </c>
    </row>
    <row r="2939" spans="1:1" x14ac:dyDescent="0.25">
      <c r="A2939" s="74">
        <v>7731</v>
      </c>
    </row>
    <row r="2940" spans="1:1" x14ac:dyDescent="0.25">
      <c r="A2940" s="74">
        <v>7732</v>
      </c>
    </row>
    <row r="2941" spans="1:1" x14ac:dyDescent="0.25">
      <c r="A2941" s="74">
        <v>7733</v>
      </c>
    </row>
    <row r="2942" spans="1:1" x14ac:dyDescent="0.25">
      <c r="A2942" s="74">
        <v>7734</v>
      </c>
    </row>
    <row r="2943" spans="1:1" x14ac:dyDescent="0.25">
      <c r="A2943" s="74">
        <v>7735</v>
      </c>
    </row>
    <row r="2944" spans="1:1" x14ac:dyDescent="0.25">
      <c r="A2944" s="74">
        <v>7736</v>
      </c>
    </row>
    <row r="2945" spans="1:1" x14ac:dyDescent="0.25">
      <c r="A2945" s="74">
        <v>7737</v>
      </c>
    </row>
    <row r="2946" spans="1:1" x14ac:dyDescent="0.25">
      <c r="A2946" s="74">
        <v>7738</v>
      </c>
    </row>
    <row r="2947" spans="1:1" x14ac:dyDescent="0.25">
      <c r="A2947" s="74">
        <v>7739</v>
      </c>
    </row>
    <row r="2948" spans="1:1" x14ac:dyDescent="0.25">
      <c r="A2948" s="74">
        <v>7740</v>
      </c>
    </row>
    <row r="2949" spans="1:1" x14ac:dyDescent="0.25">
      <c r="A2949" s="74">
        <v>7741</v>
      </c>
    </row>
    <row r="2950" spans="1:1" x14ac:dyDescent="0.25">
      <c r="A2950" s="74">
        <v>7742</v>
      </c>
    </row>
    <row r="2951" spans="1:1" x14ac:dyDescent="0.25">
      <c r="A2951" s="74">
        <v>7743</v>
      </c>
    </row>
    <row r="2952" spans="1:1" x14ac:dyDescent="0.25">
      <c r="A2952" s="74">
        <v>7744</v>
      </c>
    </row>
    <row r="2953" spans="1:1" x14ac:dyDescent="0.25">
      <c r="A2953" s="74">
        <v>7745</v>
      </c>
    </row>
    <row r="2954" spans="1:1" x14ac:dyDescent="0.25">
      <c r="A2954" s="74">
        <v>7746</v>
      </c>
    </row>
    <row r="2955" spans="1:1" x14ac:dyDescent="0.25">
      <c r="A2955" s="74">
        <v>7747</v>
      </c>
    </row>
    <row r="2956" spans="1:1" x14ac:dyDescent="0.25">
      <c r="A2956" s="74">
        <v>7748</v>
      </c>
    </row>
    <row r="2957" spans="1:1" x14ac:dyDescent="0.25">
      <c r="A2957" s="74">
        <v>7749</v>
      </c>
    </row>
    <row r="2958" spans="1:1" x14ac:dyDescent="0.25">
      <c r="A2958" s="74">
        <v>7750</v>
      </c>
    </row>
    <row r="2959" spans="1:1" x14ac:dyDescent="0.25">
      <c r="A2959" s="74">
        <v>7751</v>
      </c>
    </row>
    <row r="2960" spans="1:1" x14ac:dyDescent="0.25">
      <c r="A2960" s="74">
        <v>7752</v>
      </c>
    </row>
    <row r="2961" spans="1:1" x14ac:dyDescent="0.25">
      <c r="A2961" s="74">
        <v>7753</v>
      </c>
    </row>
    <row r="2962" spans="1:1" x14ac:dyDescent="0.25">
      <c r="A2962" s="74">
        <v>7754</v>
      </c>
    </row>
    <row r="2963" spans="1:1" x14ac:dyDescent="0.25">
      <c r="A2963" s="74">
        <v>7755</v>
      </c>
    </row>
    <row r="2964" spans="1:1" x14ac:dyDescent="0.25">
      <c r="A2964" s="74">
        <v>7756</v>
      </c>
    </row>
    <row r="2965" spans="1:1" x14ac:dyDescent="0.25">
      <c r="A2965" s="74">
        <v>7757</v>
      </c>
    </row>
    <row r="2966" spans="1:1" x14ac:dyDescent="0.25">
      <c r="A2966" s="74">
        <v>7758</v>
      </c>
    </row>
    <row r="2967" spans="1:1" x14ac:dyDescent="0.25">
      <c r="A2967" s="74">
        <v>7759</v>
      </c>
    </row>
    <row r="2968" spans="1:1" x14ac:dyDescent="0.25">
      <c r="A2968" s="74">
        <v>7760</v>
      </c>
    </row>
    <row r="2969" spans="1:1" x14ac:dyDescent="0.25">
      <c r="A2969" s="74">
        <v>7761</v>
      </c>
    </row>
    <row r="2970" spans="1:1" x14ac:dyDescent="0.25">
      <c r="A2970" s="74">
        <v>7762</v>
      </c>
    </row>
    <row r="2971" spans="1:1" x14ac:dyDescent="0.25">
      <c r="A2971" s="74">
        <v>7763</v>
      </c>
    </row>
    <row r="2972" spans="1:1" x14ac:dyDescent="0.25">
      <c r="A2972" s="74">
        <v>7764</v>
      </c>
    </row>
    <row r="2973" spans="1:1" x14ac:dyDescent="0.25">
      <c r="A2973" s="74">
        <v>7765</v>
      </c>
    </row>
    <row r="2974" spans="1:1" x14ac:dyDescent="0.25">
      <c r="A2974" s="74">
        <v>7766</v>
      </c>
    </row>
    <row r="2975" spans="1:1" x14ac:dyDescent="0.25">
      <c r="A2975" s="74">
        <v>7767</v>
      </c>
    </row>
    <row r="2976" spans="1:1" x14ac:dyDescent="0.25">
      <c r="A2976" s="74">
        <v>7768</v>
      </c>
    </row>
    <row r="2977" spans="1:1" x14ac:dyDescent="0.25">
      <c r="A2977" s="74">
        <v>7769</v>
      </c>
    </row>
    <row r="2978" spans="1:1" x14ac:dyDescent="0.25">
      <c r="A2978" s="74">
        <v>7770</v>
      </c>
    </row>
    <row r="2979" spans="1:1" x14ac:dyDescent="0.25">
      <c r="A2979" s="74">
        <v>7771</v>
      </c>
    </row>
    <row r="2980" spans="1:1" x14ac:dyDescent="0.25">
      <c r="A2980" s="74">
        <v>7772</v>
      </c>
    </row>
    <row r="2981" spans="1:1" x14ac:dyDescent="0.25">
      <c r="A2981" s="74">
        <v>7773</v>
      </c>
    </row>
    <row r="2982" spans="1:1" x14ac:dyDescent="0.25">
      <c r="A2982" s="74">
        <v>7774</v>
      </c>
    </row>
    <row r="2983" spans="1:1" x14ac:dyDescent="0.25">
      <c r="A2983" s="74">
        <v>7775</v>
      </c>
    </row>
    <row r="2984" spans="1:1" x14ac:dyDescent="0.25">
      <c r="A2984" s="74">
        <v>7776</v>
      </c>
    </row>
    <row r="2985" spans="1:1" x14ac:dyDescent="0.25">
      <c r="A2985" s="74">
        <v>7777</v>
      </c>
    </row>
    <row r="2986" spans="1:1" x14ac:dyDescent="0.25">
      <c r="A2986" s="74">
        <v>7778</v>
      </c>
    </row>
    <row r="2987" spans="1:1" x14ac:dyDescent="0.25">
      <c r="A2987" s="74">
        <v>7779</v>
      </c>
    </row>
    <row r="2988" spans="1:1" x14ac:dyDescent="0.25">
      <c r="A2988" s="74">
        <v>7780</v>
      </c>
    </row>
    <row r="2989" spans="1:1" x14ac:dyDescent="0.25">
      <c r="A2989" s="74">
        <v>7781</v>
      </c>
    </row>
    <row r="2990" spans="1:1" x14ac:dyDescent="0.25">
      <c r="A2990" s="74">
        <v>7782</v>
      </c>
    </row>
    <row r="2991" spans="1:1" x14ac:dyDescent="0.25">
      <c r="A2991" s="74">
        <v>7783</v>
      </c>
    </row>
    <row r="2992" spans="1:1" x14ac:dyDescent="0.25">
      <c r="A2992" s="74">
        <v>7784</v>
      </c>
    </row>
    <row r="2993" spans="1:1" x14ac:dyDescent="0.25">
      <c r="A2993" s="74">
        <v>7785</v>
      </c>
    </row>
    <row r="2994" spans="1:1" x14ac:dyDescent="0.25">
      <c r="A2994" s="74">
        <v>7786</v>
      </c>
    </row>
    <row r="2995" spans="1:1" x14ac:dyDescent="0.25">
      <c r="A2995" s="74">
        <v>7787</v>
      </c>
    </row>
    <row r="2996" spans="1:1" x14ac:dyDescent="0.25">
      <c r="A2996" s="74">
        <v>7788</v>
      </c>
    </row>
    <row r="2997" spans="1:1" x14ac:dyDescent="0.25">
      <c r="A2997" s="74">
        <v>7789</v>
      </c>
    </row>
    <row r="2998" spans="1:1" x14ac:dyDescent="0.25">
      <c r="A2998" s="74">
        <v>7790</v>
      </c>
    </row>
    <row r="2999" spans="1:1" x14ac:dyDescent="0.25">
      <c r="A2999" s="74">
        <v>7791</v>
      </c>
    </row>
    <row r="3000" spans="1:1" x14ac:dyDescent="0.25">
      <c r="A3000" s="74">
        <v>7792</v>
      </c>
    </row>
    <row r="3001" spans="1:1" x14ac:dyDescent="0.25">
      <c r="A3001" s="74">
        <v>7793</v>
      </c>
    </row>
    <row r="3002" spans="1:1" x14ac:dyDescent="0.25">
      <c r="A3002" s="74">
        <v>7794</v>
      </c>
    </row>
    <row r="3003" spans="1:1" x14ac:dyDescent="0.25">
      <c r="A3003" s="74">
        <v>7795</v>
      </c>
    </row>
    <row r="3004" spans="1:1" x14ac:dyDescent="0.25">
      <c r="A3004" s="74">
        <v>7796</v>
      </c>
    </row>
    <row r="3005" spans="1:1" x14ac:dyDescent="0.25">
      <c r="A3005" s="74">
        <v>7797</v>
      </c>
    </row>
    <row r="3006" spans="1:1" x14ac:dyDescent="0.25">
      <c r="A3006" s="74">
        <v>7798</v>
      </c>
    </row>
    <row r="3007" spans="1:1" x14ac:dyDescent="0.25">
      <c r="A3007" s="74">
        <v>7799</v>
      </c>
    </row>
    <row r="3008" spans="1:1" x14ac:dyDescent="0.25">
      <c r="A3008" s="74">
        <v>7800</v>
      </c>
    </row>
    <row r="3009" spans="1:1" x14ac:dyDescent="0.25">
      <c r="A3009" s="74">
        <v>7801</v>
      </c>
    </row>
    <row r="3010" spans="1:1" x14ac:dyDescent="0.25">
      <c r="A3010" s="74">
        <v>7802</v>
      </c>
    </row>
    <row r="3011" spans="1:1" x14ac:dyDescent="0.25">
      <c r="A3011" s="74">
        <v>7803</v>
      </c>
    </row>
    <row r="3012" spans="1:1" x14ac:dyDescent="0.25">
      <c r="A3012" s="74">
        <v>7804</v>
      </c>
    </row>
    <row r="3013" spans="1:1" x14ac:dyDescent="0.25">
      <c r="A3013" s="74">
        <v>7805</v>
      </c>
    </row>
    <row r="3014" spans="1:1" x14ac:dyDescent="0.25">
      <c r="A3014" s="74">
        <v>7806</v>
      </c>
    </row>
    <row r="3015" spans="1:1" x14ac:dyDescent="0.25">
      <c r="A3015" s="74">
        <v>7807</v>
      </c>
    </row>
    <row r="3016" spans="1:1" x14ac:dyDescent="0.25">
      <c r="A3016" s="74">
        <v>7808</v>
      </c>
    </row>
    <row r="3017" spans="1:1" x14ac:dyDescent="0.25">
      <c r="A3017" s="74">
        <v>7809</v>
      </c>
    </row>
    <row r="3018" spans="1:1" x14ac:dyDescent="0.25">
      <c r="A3018" s="74">
        <v>7810</v>
      </c>
    </row>
    <row r="3019" spans="1:1" x14ac:dyDescent="0.25">
      <c r="A3019" s="74">
        <v>7811</v>
      </c>
    </row>
    <row r="3020" spans="1:1" x14ac:dyDescent="0.25">
      <c r="A3020" s="74">
        <v>7812</v>
      </c>
    </row>
    <row r="3021" spans="1:1" x14ac:dyDescent="0.25">
      <c r="A3021" s="74">
        <v>7813</v>
      </c>
    </row>
    <row r="3022" spans="1:1" x14ac:dyDescent="0.25">
      <c r="A3022" s="74">
        <v>7814</v>
      </c>
    </row>
    <row r="3023" spans="1:1" x14ac:dyDescent="0.25">
      <c r="A3023" s="74">
        <v>7815</v>
      </c>
    </row>
    <row r="3024" spans="1:1" x14ac:dyDescent="0.25">
      <c r="A3024" s="74">
        <v>7816</v>
      </c>
    </row>
    <row r="3025" spans="1:1" x14ac:dyDescent="0.25">
      <c r="A3025" s="74">
        <v>7817</v>
      </c>
    </row>
    <row r="3026" spans="1:1" x14ac:dyDescent="0.25">
      <c r="A3026" s="74">
        <v>7818</v>
      </c>
    </row>
    <row r="3027" spans="1:1" x14ac:dyDescent="0.25">
      <c r="A3027" s="74">
        <v>7819</v>
      </c>
    </row>
    <row r="3028" spans="1:1" x14ac:dyDescent="0.25">
      <c r="A3028" s="74">
        <v>7820</v>
      </c>
    </row>
    <row r="3029" spans="1:1" x14ac:dyDescent="0.25">
      <c r="A3029" s="74">
        <v>7821</v>
      </c>
    </row>
    <row r="3030" spans="1:1" x14ac:dyDescent="0.25">
      <c r="A3030" s="74">
        <v>7822</v>
      </c>
    </row>
    <row r="3031" spans="1:1" x14ac:dyDescent="0.25">
      <c r="A3031" s="74">
        <v>7823</v>
      </c>
    </row>
    <row r="3032" spans="1:1" x14ac:dyDescent="0.25">
      <c r="A3032" s="74">
        <v>7824</v>
      </c>
    </row>
    <row r="3033" spans="1:1" x14ac:dyDescent="0.25">
      <c r="A3033" s="74">
        <v>7825</v>
      </c>
    </row>
    <row r="3034" spans="1:1" x14ac:dyDescent="0.25">
      <c r="A3034" s="74">
        <v>7826</v>
      </c>
    </row>
    <row r="3035" spans="1:1" x14ac:dyDescent="0.25">
      <c r="A3035" s="74">
        <v>7827</v>
      </c>
    </row>
    <row r="3036" spans="1:1" x14ac:dyDescent="0.25">
      <c r="A3036" s="74">
        <v>7828</v>
      </c>
    </row>
    <row r="3037" spans="1:1" x14ac:dyDescent="0.25">
      <c r="A3037" s="74">
        <v>7829</v>
      </c>
    </row>
    <row r="3038" spans="1:1" x14ac:dyDescent="0.25">
      <c r="A3038" s="74">
        <v>7830</v>
      </c>
    </row>
    <row r="3039" spans="1:1" x14ac:dyDescent="0.25">
      <c r="A3039" s="74">
        <v>7831</v>
      </c>
    </row>
    <row r="3040" spans="1:1" x14ac:dyDescent="0.25">
      <c r="A3040" s="74">
        <v>7832</v>
      </c>
    </row>
    <row r="3041" spans="1:1" x14ac:dyDescent="0.25">
      <c r="A3041" s="74">
        <v>7833</v>
      </c>
    </row>
    <row r="3042" spans="1:1" x14ac:dyDescent="0.25">
      <c r="A3042" s="74">
        <v>7834</v>
      </c>
    </row>
    <row r="3043" spans="1:1" x14ac:dyDescent="0.25">
      <c r="A3043" s="74">
        <v>7835</v>
      </c>
    </row>
    <row r="3044" spans="1:1" x14ac:dyDescent="0.25">
      <c r="A3044" s="74">
        <v>7836</v>
      </c>
    </row>
    <row r="3045" spans="1:1" x14ac:dyDescent="0.25">
      <c r="A3045" s="74">
        <v>7837</v>
      </c>
    </row>
    <row r="3046" spans="1:1" x14ac:dyDescent="0.25">
      <c r="A3046" s="74">
        <v>7838</v>
      </c>
    </row>
    <row r="3047" spans="1:1" x14ac:dyDescent="0.25">
      <c r="A3047" s="74">
        <v>7839</v>
      </c>
    </row>
    <row r="3048" spans="1:1" x14ac:dyDescent="0.25">
      <c r="A3048" s="74">
        <v>7840</v>
      </c>
    </row>
    <row r="3049" spans="1:1" x14ac:dyDescent="0.25">
      <c r="A3049" s="74">
        <v>7841</v>
      </c>
    </row>
    <row r="3050" spans="1:1" x14ac:dyDescent="0.25">
      <c r="A3050" s="74">
        <v>7842</v>
      </c>
    </row>
    <row r="3051" spans="1:1" x14ac:dyDescent="0.25">
      <c r="A3051" s="74">
        <v>7843</v>
      </c>
    </row>
    <row r="3052" spans="1:1" x14ac:dyDescent="0.25">
      <c r="A3052" s="74">
        <v>7844</v>
      </c>
    </row>
    <row r="3053" spans="1:1" x14ac:dyDescent="0.25">
      <c r="A3053" s="74">
        <v>7845</v>
      </c>
    </row>
    <row r="3054" spans="1:1" x14ac:dyDescent="0.25">
      <c r="A3054" s="74">
        <v>7846</v>
      </c>
    </row>
    <row r="3055" spans="1:1" x14ac:dyDescent="0.25">
      <c r="A3055" s="74">
        <v>7847</v>
      </c>
    </row>
    <row r="3056" spans="1:1" x14ac:dyDescent="0.25">
      <c r="A3056" s="74">
        <v>7848</v>
      </c>
    </row>
    <row r="3057" spans="1:1" x14ac:dyDescent="0.25">
      <c r="A3057" s="74">
        <v>7849</v>
      </c>
    </row>
    <row r="3058" spans="1:1" x14ac:dyDescent="0.25">
      <c r="A3058" s="74">
        <v>7850</v>
      </c>
    </row>
    <row r="3059" spans="1:1" x14ac:dyDescent="0.25">
      <c r="A3059" s="74">
        <v>7851</v>
      </c>
    </row>
    <row r="3060" spans="1:1" x14ac:dyDescent="0.25">
      <c r="A3060" s="74">
        <v>7852</v>
      </c>
    </row>
    <row r="3061" spans="1:1" x14ac:dyDescent="0.25">
      <c r="A3061" s="74">
        <v>7853</v>
      </c>
    </row>
    <row r="3062" spans="1:1" x14ac:dyDescent="0.25">
      <c r="A3062" s="74">
        <v>7854</v>
      </c>
    </row>
    <row r="3063" spans="1:1" x14ac:dyDescent="0.25">
      <c r="A3063" s="74">
        <v>7855</v>
      </c>
    </row>
    <row r="3064" spans="1:1" x14ac:dyDescent="0.25">
      <c r="A3064" s="74">
        <v>7856</v>
      </c>
    </row>
    <row r="3065" spans="1:1" x14ac:dyDescent="0.25">
      <c r="A3065" s="74">
        <v>7857</v>
      </c>
    </row>
    <row r="3066" spans="1:1" x14ac:dyDescent="0.25">
      <c r="A3066" s="74">
        <v>7858</v>
      </c>
    </row>
    <row r="3067" spans="1:1" x14ac:dyDescent="0.25">
      <c r="A3067" s="74">
        <v>7859</v>
      </c>
    </row>
    <row r="3068" spans="1:1" x14ac:dyDescent="0.25">
      <c r="A3068" s="74">
        <v>7860</v>
      </c>
    </row>
    <row r="3069" spans="1:1" x14ac:dyDescent="0.25">
      <c r="A3069" s="74">
        <v>7861</v>
      </c>
    </row>
    <row r="3070" spans="1:1" x14ac:dyDescent="0.25">
      <c r="A3070" s="74">
        <v>7862</v>
      </c>
    </row>
    <row r="3071" spans="1:1" x14ac:dyDescent="0.25">
      <c r="A3071" s="74">
        <v>7863</v>
      </c>
    </row>
    <row r="3072" spans="1:1" x14ac:dyDescent="0.25">
      <c r="A3072" s="74">
        <v>7864</v>
      </c>
    </row>
    <row r="3073" spans="1:1" x14ac:dyDescent="0.25">
      <c r="A3073" s="74">
        <v>7865</v>
      </c>
    </row>
    <row r="3074" spans="1:1" x14ac:dyDescent="0.25">
      <c r="A3074" s="74">
        <v>7866</v>
      </c>
    </row>
    <row r="3075" spans="1:1" x14ac:dyDescent="0.25">
      <c r="A3075" s="74">
        <v>7867</v>
      </c>
    </row>
    <row r="3076" spans="1:1" x14ac:dyDescent="0.25">
      <c r="A3076" s="74">
        <v>7868</v>
      </c>
    </row>
    <row r="3077" spans="1:1" x14ac:dyDescent="0.25">
      <c r="A3077" s="74">
        <v>7869</v>
      </c>
    </row>
    <row r="3078" spans="1:1" x14ac:dyDescent="0.25">
      <c r="A3078" s="74">
        <v>7870</v>
      </c>
    </row>
    <row r="3079" spans="1:1" x14ac:dyDescent="0.25">
      <c r="A3079" s="74">
        <v>7871</v>
      </c>
    </row>
    <row r="3080" spans="1:1" x14ac:dyDescent="0.25">
      <c r="A3080" s="74">
        <v>7872</v>
      </c>
    </row>
    <row r="3081" spans="1:1" x14ac:dyDescent="0.25">
      <c r="A3081" s="74">
        <v>7873</v>
      </c>
    </row>
    <row r="3082" spans="1:1" x14ac:dyDescent="0.25">
      <c r="A3082" s="74">
        <v>7874</v>
      </c>
    </row>
    <row r="3083" spans="1:1" x14ac:dyDescent="0.25">
      <c r="A3083" s="74">
        <v>7875</v>
      </c>
    </row>
    <row r="3084" spans="1:1" x14ac:dyDescent="0.25">
      <c r="A3084" s="74">
        <v>7876</v>
      </c>
    </row>
    <row r="3085" spans="1:1" x14ac:dyDescent="0.25">
      <c r="A3085" s="74">
        <v>7877</v>
      </c>
    </row>
    <row r="3086" spans="1:1" x14ac:dyDescent="0.25">
      <c r="A3086" s="74">
        <v>7878</v>
      </c>
    </row>
    <row r="3087" spans="1:1" x14ac:dyDescent="0.25">
      <c r="A3087" s="74">
        <v>7879</v>
      </c>
    </row>
    <row r="3088" spans="1:1" x14ac:dyDescent="0.25">
      <c r="A3088" s="74">
        <v>7880</v>
      </c>
    </row>
    <row r="3089" spans="1:1" x14ac:dyDescent="0.25">
      <c r="A3089" s="74">
        <v>7881</v>
      </c>
    </row>
    <row r="3090" spans="1:1" x14ac:dyDescent="0.25">
      <c r="A3090" s="74">
        <v>7882</v>
      </c>
    </row>
    <row r="3091" spans="1:1" x14ac:dyDescent="0.25">
      <c r="A3091" s="74">
        <v>7883</v>
      </c>
    </row>
    <row r="3092" spans="1:1" x14ac:dyDescent="0.25">
      <c r="A3092" s="74">
        <v>7884</v>
      </c>
    </row>
    <row r="3093" spans="1:1" x14ac:dyDescent="0.25">
      <c r="A3093" s="74">
        <v>7885</v>
      </c>
    </row>
    <row r="3094" spans="1:1" x14ac:dyDescent="0.25">
      <c r="A3094" s="74">
        <v>7886</v>
      </c>
    </row>
    <row r="3095" spans="1:1" x14ac:dyDescent="0.25">
      <c r="A3095" s="74">
        <v>7887</v>
      </c>
    </row>
    <row r="3096" spans="1:1" x14ac:dyDescent="0.25">
      <c r="A3096" s="74">
        <v>7888</v>
      </c>
    </row>
    <row r="3097" spans="1:1" x14ac:dyDescent="0.25">
      <c r="A3097" s="74">
        <v>7889</v>
      </c>
    </row>
    <row r="3098" spans="1:1" x14ac:dyDescent="0.25">
      <c r="A3098" s="74">
        <v>7890</v>
      </c>
    </row>
    <row r="3099" spans="1:1" x14ac:dyDescent="0.25">
      <c r="A3099" s="74">
        <v>7891</v>
      </c>
    </row>
    <row r="3100" spans="1:1" x14ac:dyDescent="0.25">
      <c r="A3100" s="74">
        <v>7892</v>
      </c>
    </row>
    <row r="3101" spans="1:1" x14ac:dyDescent="0.25">
      <c r="A3101" s="74">
        <v>7893</v>
      </c>
    </row>
    <row r="3102" spans="1:1" x14ac:dyDescent="0.25">
      <c r="A3102" s="74">
        <v>7894</v>
      </c>
    </row>
    <row r="3103" spans="1:1" x14ac:dyDescent="0.25">
      <c r="A3103" s="74">
        <v>7895</v>
      </c>
    </row>
    <row r="3104" spans="1:1" x14ac:dyDescent="0.25">
      <c r="A3104" s="74">
        <v>7896</v>
      </c>
    </row>
    <row r="3105" spans="1:1" x14ac:dyDescent="0.25">
      <c r="A3105" s="74">
        <v>7897</v>
      </c>
    </row>
    <row r="3106" spans="1:1" x14ac:dyDescent="0.25">
      <c r="A3106" s="74">
        <v>7898</v>
      </c>
    </row>
    <row r="3107" spans="1:1" x14ac:dyDescent="0.25">
      <c r="A3107" s="74">
        <v>7899</v>
      </c>
    </row>
    <row r="3108" spans="1:1" x14ac:dyDescent="0.25">
      <c r="A3108" s="74">
        <v>7900</v>
      </c>
    </row>
    <row r="3109" spans="1:1" x14ac:dyDescent="0.25">
      <c r="A3109" s="74">
        <v>7901</v>
      </c>
    </row>
    <row r="3110" spans="1:1" x14ac:dyDescent="0.25">
      <c r="A3110" s="74">
        <v>7902</v>
      </c>
    </row>
    <row r="3111" spans="1:1" x14ac:dyDescent="0.25">
      <c r="A3111" s="74">
        <v>7903</v>
      </c>
    </row>
    <row r="3112" spans="1:1" x14ac:dyDescent="0.25">
      <c r="A3112" s="74">
        <v>7904</v>
      </c>
    </row>
    <row r="3113" spans="1:1" x14ac:dyDescent="0.25">
      <c r="A3113" s="74">
        <v>7905</v>
      </c>
    </row>
    <row r="3114" spans="1:1" x14ac:dyDescent="0.25">
      <c r="A3114" s="74">
        <v>7906</v>
      </c>
    </row>
    <row r="3115" spans="1:1" x14ac:dyDescent="0.25">
      <c r="A3115" s="74">
        <v>7907</v>
      </c>
    </row>
    <row r="3116" spans="1:1" x14ac:dyDescent="0.25">
      <c r="A3116" s="74">
        <v>7908</v>
      </c>
    </row>
    <row r="3117" spans="1:1" x14ac:dyDescent="0.25">
      <c r="A3117" s="74">
        <v>7909</v>
      </c>
    </row>
    <row r="3118" spans="1:1" x14ac:dyDescent="0.25">
      <c r="A3118" s="74">
        <v>7910</v>
      </c>
    </row>
    <row r="3119" spans="1:1" x14ac:dyDescent="0.25">
      <c r="A3119" s="74">
        <v>7911</v>
      </c>
    </row>
    <row r="3120" spans="1:1" x14ac:dyDescent="0.25">
      <c r="A3120" s="74">
        <v>7912</v>
      </c>
    </row>
    <row r="3121" spans="1:1" x14ac:dyDescent="0.25">
      <c r="A3121" s="74">
        <v>7913</v>
      </c>
    </row>
    <row r="3122" spans="1:1" x14ac:dyDescent="0.25">
      <c r="A3122" s="74">
        <v>7914</v>
      </c>
    </row>
    <row r="3123" spans="1:1" x14ac:dyDescent="0.25">
      <c r="A3123" s="74">
        <v>7915</v>
      </c>
    </row>
    <row r="3124" spans="1:1" x14ac:dyDescent="0.25">
      <c r="A3124" s="74">
        <v>7916</v>
      </c>
    </row>
    <row r="3125" spans="1:1" x14ac:dyDescent="0.25">
      <c r="A3125" s="74">
        <v>7917</v>
      </c>
    </row>
    <row r="3126" spans="1:1" x14ac:dyDescent="0.25">
      <c r="A3126" s="74">
        <v>7918</v>
      </c>
    </row>
    <row r="3127" spans="1:1" x14ac:dyDescent="0.25">
      <c r="A3127" s="74">
        <v>7919</v>
      </c>
    </row>
    <row r="3128" spans="1:1" x14ac:dyDescent="0.25">
      <c r="A3128" s="74">
        <v>7920</v>
      </c>
    </row>
    <row r="3129" spans="1:1" x14ac:dyDescent="0.25">
      <c r="A3129" s="74">
        <v>7921</v>
      </c>
    </row>
    <row r="3130" spans="1:1" x14ac:dyDescent="0.25">
      <c r="A3130" s="74">
        <v>7922</v>
      </c>
    </row>
    <row r="3131" spans="1:1" x14ac:dyDescent="0.25">
      <c r="A3131" s="74">
        <v>7923</v>
      </c>
    </row>
    <row r="3132" spans="1:1" x14ac:dyDescent="0.25">
      <c r="A3132" s="74">
        <v>7924</v>
      </c>
    </row>
    <row r="3133" spans="1:1" x14ac:dyDescent="0.25">
      <c r="A3133" s="74">
        <v>7925</v>
      </c>
    </row>
    <row r="3134" spans="1:1" x14ac:dyDescent="0.25">
      <c r="A3134" s="74">
        <v>7926</v>
      </c>
    </row>
    <row r="3135" spans="1:1" x14ac:dyDescent="0.25">
      <c r="A3135" s="74">
        <v>7927</v>
      </c>
    </row>
    <row r="3136" spans="1:1" x14ac:dyDescent="0.25">
      <c r="A3136" s="74">
        <v>7928</v>
      </c>
    </row>
    <row r="3137" spans="1:1" x14ac:dyDescent="0.25">
      <c r="A3137" s="74">
        <v>7929</v>
      </c>
    </row>
    <row r="3138" spans="1:1" x14ac:dyDescent="0.25">
      <c r="A3138" s="74">
        <v>7930</v>
      </c>
    </row>
    <row r="3139" spans="1:1" x14ac:dyDescent="0.25">
      <c r="A3139" s="74">
        <v>7931</v>
      </c>
    </row>
    <row r="3140" spans="1:1" x14ac:dyDescent="0.25">
      <c r="A3140" s="74">
        <v>7932</v>
      </c>
    </row>
    <row r="3141" spans="1:1" x14ac:dyDescent="0.25">
      <c r="A3141" s="74">
        <v>7933</v>
      </c>
    </row>
    <row r="3142" spans="1:1" x14ac:dyDescent="0.25">
      <c r="A3142" s="74">
        <v>7934</v>
      </c>
    </row>
    <row r="3143" spans="1:1" x14ac:dyDescent="0.25">
      <c r="A3143" s="74">
        <v>7935</v>
      </c>
    </row>
    <row r="3144" spans="1:1" x14ac:dyDescent="0.25">
      <c r="A3144" s="74">
        <v>7936</v>
      </c>
    </row>
    <row r="3145" spans="1:1" x14ac:dyDescent="0.25">
      <c r="A3145" s="74">
        <v>7937</v>
      </c>
    </row>
    <row r="3146" spans="1:1" x14ac:dyDescent="0.25">
      <c r="A3146" s="74">
        <v>7938</v>
      </c>
    </row>
    <row r="3147" spans="1:1" x14ac:dyDescent="0.25">
      <c r="A3147" s="74">
        <v>7939</v>
      </c>
    </row>
    <row r="3148" spans="1:1" x14ac:dyDescent="0.25">
      <c r="A3148" s="74">
        <v>7940</v>
      </c>
    </row>
    <row r="3149" spans="1:1" x14ac:dyDescent="0.25">
      <c r="A3149" s="74">
        <v>7941</v>
      </c>
    </row>
    <row r="3150" spans="1:1" x14ac:dyDescent="0.25">
      <c r="A3150" s="74">
        <v>7942</v>
      </c>
    </row>
    <row r="3151" spans="1:1" x14ac:dyDescent="0.25">
      <c r="A3151" s="74">
        <v>7943</v>
      </c>
    </row>
    <row r="3152" spans="1:1" x14ac:dyDescent="0.25">
      <c r="A3152" s="74">
        <v>7944</v>
      </c>
    </row>
    <row r="3153" spans="1:1" x14ac:dyDescent="0.25">
      <c r="A3153" s="74">
        <v>7945</v>
      </c>
    </row>
    <row r="3154" spans="1:1" x14ac:dyDescent="0.25">
      <c r="A3154" s="74">
        <v>7946</v>
      </c>
    </row>
    <row r="3155" spans="1:1" x14ac:dyDescent="0.25">
      <c r="A3155" s="74">
        <v>7947</v>
      </c>
    </row>
    <row r="3156" spans="1:1" x14ac:dyDescent="0.25">
      <c r="A3156" s="74">
        <v>7948</v>
      </c>
    </row>
    <row r="3157" spans="1:1" x14ac:dyDescent="0.25">
      <c r="A3157" s="74">
        <v>7949</v>
      </c>
    </row>
    <row r="3158" spans="1:1" x14ac:dyDescent="0.25">
      <c r="A3158" s="74">
        <v>7950</v>
      </c>
    </row>
    <row r="3159" spans="1:1" x14ac:dyDescent="0.25">
      <c r="A3159" s="74">
        <v>7951</v>
      </c>
    </row>
    <row r="3160" spans="1:1" x14ac:dyDescent="0.25">
      <c r="A3160" s="74">
        <v>7952</v>
      </c>
    </row>
    <row r="3161" spans="1:1" x14ac:dyDescent="0.25">
      <c r="A3161" s="74">
        <v>7953</v>
      </c>
    </row>
    <row r="3162" spans="1:1" x14ac:dyDescent="0.25">
      <c r="A3162" s="74">
        <v>7954</v>
      </c>
    </row>
    <row r="3163" spans="1:1" x14ac:dyDescent="0.25">
      <c r="A3163" s="74">
        <v>7955</v>
      </c>
    </row>
    <row r="3164" spans="1:1" x14ac:dyDescent="0.25">
      <c r="A3164" s="74">
        <v>7956</v>
      </c>
    </row>
    <row r="3165" spans="1:1" x14ac:dyDescent="0.25">
      <c r="A3165" s="74">
        <v>7957</v>
      </c>
    </row>
    <row r="3166" spans="1:1" x14ac:dyDescent="0.25">
      <c r="A3166" s="74">
        <v>7958</v>
      </c>
    </row>
    <row r="3167" spans="1:1" x14ac:dyDescent="0.25">
      <c r="A3167" s="74">
        <v>7959</v>
      </c>
    </row>
    <row r="3168" spans="1:1" x14ac:dyDescent="0.25">
      <c r="A3168" s="74">
        <v>7960</v>
      </c>
    </row>
    <row r="3169" spans="1:1" x14ac:dyDescent="0.25">
      <c r="A3169" s="74">
        <v>7961</v>
      </c>
    </row>
    <row r="3170" spans="1:1" x14ac:dyDescent="0.25">
      <c r="A3170" s="74">
        <v>7962</v>
      </c>
    </row>
    <row r="3171" spans="1:1" x14ac:dyDescent="0.25">
      <c r="A3171" s="74">
        <v>7963</v>
      </c>
    </row>
    <row r="3172" spans="1:1" x14ac:dyDescent="0.25">
      <c r="A3172" s="74">
        <v>7964</v>
      </c>
    </row>
    <row r="3173" spans="1:1" x14ac:dyDescent="0.25">
      <c r="A3173" s="74">
        <v>7965</v>
      </c>
    </row>
    <row r="3174" spans="1:1" x14ac:dyDescent="0.25">
      <c r="A3174" s="74">
        <v>7966</v>
      </c>
    </row>
    <row r="3175" spans="1:1" x14ac:dyDescent="0.25">
      <c r="A3175" s="74">
        <v>7967</v>
      </c>
    </row>
    <row r="3176" spans="1:1" x14ac:dyDescent="0.25">
      <c r="A3176" s="74">
        <v>7968</v>
      </c>
    </row>
    <row r="3177" spans="1:1" x14ac:dyDescent="0.25">
      <c r="A3177" s="74">
        <v>7969</v>
      </c>
    </row>
    <row r="3178" spans="1:1" x14ac:dyDescent="0.25">
      <c r="A3178" s="74">
        <v>7970</v>
      </c>
    </row>
    <row r="3179" spans="1:1" x14ac:dyDescent="0.25">
      <c r="A3179" s="74">
        <v>7971</v>
      </c>
    </row>
    <row r="3180" spans="1:1" x14ac:dyDescent="0.25">
      <c r="A3180" s="74">
        <v>7972</v>
      </c>
    </row>
    <row r="3181" spans="1:1" x14ac:dyDescent="0.25">
      <c r="A3181" s="74">
        <v>7973</v>
      </c>
    </row>
    <row r="3182" spans="1:1" x14ac:dyDescent="0.25">
      <c r="A3182" s="74">
        <v>7974</v>
      </c>
    </row>
    <row r="3183" spans="1:1" x14ac:dyDescent="0.25">
      <c r="A3183" s="74">
        <v>7975</v>
      </c>
    </row>
    <row r="3184" spans="1:1" x14ac:dyDescent="0.25">
      <c r="A3184" s="74">
        <v>7976</v>
      </c>
    </row>
    <row r="3185" spans="1:1" x14ac:dyDescent="0.25">
      <c r="A3185" s="74">
        <v>7977</v>
      </c>
    </row>
    <row r="3186" spans="1:1" x14ac:dyDescent="0.25">
      <c r="A3186" s="74">
        <v>7978</v>
      </c>
    </row>
    <row r="3187" spans="1:1" x14ac:dyDescent="0.25">
      <c r="A3187" s="74">
        <v>7979</v>
      </c>
    </row>
    <row r="3188" spans="1:1" x14ac:dyDescent="0.25">
      <c r="A3188" s="74">
        <v>7980</v>
      </c>
    </row>
    <row r="3189" spans="1:1" x14ac:dyDescent="0.25">
      <c r="A3189" s="74">
        <v>7981</v>
      </c>
    </row>
    <row r="3190" spans="1:1" x14ac:dyDescent="0.25">
      <c r="A3190" s="74">
        <v>7982</v>
      </c>
    </row>
    <row r="3191" spans="1:1" x14ac:dyDescent="0.25">
      <c r="A3191" s="74">
        <v>7983</v>
      </c>
    </row>
    <row r="3192" spans="1:1" x14ac:dyDescent="0.25">
      <c r="A3192" s="74">
        <v>7984</v>
      </c>
    </row>
    <row r="3193" spans="1:1" x14ac:dyDescent="0.25">
      <c r="A3193" s="74">
        <v>7985</v>
      </c>
    </row>
    <row r="3194" spans="1:1" x14ac:dyDescent="0.25">
      <c r="A3194" s="74">
        <v>7986</v>
      </c>
    </row>
    <row r="3195" spans="1:1" x14ac:dyDescent="0.25">
      <c r="A3195" s="74">
        <v>7987</v>
      </c>
    </row>
    <row r="3196" spans="1:1" x14ac:dyDescent="0.25">
      <c r="A3196" s="74">
        <v>7988</v>
      </c>
    </row>
    <row r="3197" spans="1:1" x14ac:dyDescent="0.25">
      <c r="A3197" s="74">
        <v>7989</v>
      </c>
    </row>
    <row r="3198" spans="1:1" x14ac:dyDescent="0.25">
      <c r="A3198" s="74">
        <v>7990</v>
      </c>
    </row>
    <row r="3199" spans="1:1" x14ac:dyDescent="0.25">
      <c r="A3199" s="74">
        <v>7991</v>
      </c>
    </row>
    <row r="3200" spans="1:1" x14ac:dyDescent="0.25">
      <c r="A3200" s="74">
        <v>7992</v>
      </c>
    </row>
    <row r="3201" spans="1:1" x14ac:dyDescent="0.25">
      <c r="A3201" s="74">
        <v>7993</v>
      </c>
    </row>
    <row r="3202" spans="1:1" x14ac:dyDescent="0.25">
      <c r="A3202" s="74">
        <v>7994</v>
      </c>
    </row>
    <row r="3203" spans="1:1" x14ac:dyDescent="0.25">
      <c r="A3203" s="74">
        <v>7995</v>
      </c>
    </row>
    <row r="3204" spans="1:1" x14ac:dyDescent="0.25">
      <c r="A3204" s="74">
        <v>7996</v>
      </c>
    </row>
    <row r="3205" spans="1:1" x14ac:dyDescent="0.25">
      <c r="A3205" s="74">
        <v>7997</v>
      </c>
    </row>
    <row r="3206" spans="1:1" x14ac:dyDescent="0.25">
      <c r="A3206" s="74">
        <v>7998</v>
      </c>
    </row>
    <row r="3207" spans="1:1" x14ac:dyDescent="0.25">
      <c r="A3207" s="74">
        <v>7999</v>
      </c>
    </row>
    <row r="3208" spans="1:1" x14ac:dyDescent="0.25">
      <c r="A3208" s="74">
        <v>8000</v>
      </c>
    </row>
    <row r="3209" spans="1:1" x14ac:dyDescent="0.25">
      <c r="A3209" s="74">
        <v>8001</v>
      </c>
    </row>
    <row r="3210" spans="1:1" x14ac:dyDescent="0.25">
      <c r="A3210" s="74">
        <v>8002</v>
      </c>
    </row>
    <row r="3211" spans="1:1" x14ac:dyDescent="0.25">
      <c r="A3211" s="74">
        <v>8003</v>
      </c>
    </row>
    <row r="3212" spans="1:1" x14ac:dyDescent="0.25">
      <c r="A3212" s="74">
        <v>8004</v>
      </c>
    </row>
    <row r="3213" spans="1:1" x14ac:dyDescent="0.25">
      <c r="A3213" s="74">
        <v>8005</v>
      </c>
    </row>
    <row r="3214" spans="1:1" x14ac:dyDescent="0.25">
      <c r="A3214" s="74">
        <v>8006</v>
      </c>
    </row>
    <row r="3215" spans="1:1" x14ac:dyDescent="0.25">
      <c r="A3215" s="74">
        <v>8007</v>
      </c>
    </row>
    <row r="3216" spans="1:1" x14ac:dyDescent="0.25">
      <c r="A3216" s="74">
        <v>8008</v>
      </c>
    </row>
    <row r="3217" spans="1:1" x14ac:dyDescent="0.25">
      <c r="A3217" s="74">
        <v>8009</v>
      </c>
    </row>
    <row r="3218" spans="1:1" x14ac:dyDescent="0.25">
      <c r="A3218" s="74">
        <v>8010</v>
      </c>
    </row>
    <row r="3219" spans="1:1" x14ac:dyDescent="0.25">
      <c r="A3219" s="74">
        <v>8011</v>
      </c>
    </row>
    <row r="3220" spans="1:1" x14ac:dyDescent="0.25">
      <c r="A3220" s="74">
        <v>8012</v>
      </c>
    </row>
    <row r="3221" spans="1:1" x14ac:dyDescent="0.25">
      <c r="A3221" s="74">
        <v>8013</v>
      </c>
    </row>
    <row r="3222" spans="1:1" x14ac:dyDescent="0.25">
      <c r="A3222" s="74">
        <v>8014</v>
      </c>
    </row>
    <row r="3223" spans="1:1" x14ac:dyDescent="0.25">
      <c r="A3223" s="74">
        <v>8015</v>
      </c>
    </row>
    <row r="3224" spans="1:1" x14ac:dyDescent="0.25">
      <c r="A3224" s="74">
        <v>8016</v>
      </c>
    </row>
    <row r="3225" spans="1:1" x14ac:dyDescent="0.25">
      <c r="A3225" s="74">
        <v>8017</v>
      </c>
    </row>
    <row r="3226" spans="1:1" x14ac:dyDescent="0.25">
      <c r="A3226" s="74">
        <v>8018</v>
      </c>
    </row>
    <row r="3227" spans="1:1" x14ac:dyDescent="0.25">
      <c r="A3227" s="74">
        <v>8019</v>
      </c>
    </row>
    <row r="3228" spans="1:1" x14ac:dyDescent="0.25">
      <c r="A3228" s="74">
        <v>8020</v>
      </c>
    </row>
    <row r="3229" spans="1:1" x14ac:dyDescent="0.25">
      <c r="A3229" s="74">
        <v>8021</v>
      </c>
    </row>
    <row r="3230" spans="1:1" x14ac:dyDescent="0.25">
      <c r="A3230" s="74">
        <v>8022</v>
      </c>
    </row>
    <row r="3231" spans="1:1" x14ac:dyDescent="0.25">
      <c r="A3231" s="74">
        <v>8023</v>
      </c>
    </row>
    <row r="3232" spans="1:1" x14ac:dyDescent="0.25">
      <c r="A3232" s="74">
        <v>8024</v>
      </c>
    </row>
    <row r="3233" spans="1:1" x14ac:dyDescent="0.25">
      <c r="A3233" s="74">
        <v>8025</v>
      </c>
    </row>
    <row r="3234" spans="1:1" x14ac:dyDescent="0.25">
      <c r="A3234" s="74">
        <v>8026</v>
      </c>
    </row>
    <row r="3235" spans="1:1" x14ac:dyDescent="0.25">
      <c r="A3235" s="74">
        <v>8027</v>
      </c>
    </row>
    <row r="3236" spans="1:1" x14ac:dyDescent="0.25">
      <c r="A3236" s="74">
        <v>8028</v>
      </c>
    </row>
    <row r="3237" spans="1:1" x14ac:dyDescent="0.25">
      <c r="A3237" s="74">
        <v>8029</v>
      </c>
    </row>
    <row r="3238" spans="1:1" x14ac:dyDescent="0.25">
      <c r="A3238" s="74">
        <v>8030</v>
      </c>
    </row>
    <row r="3239" spans="1:1" x14ac:dyDescent="0.25">
      <c r="A3239" s="74">
        <v>8031</v>
      </c>
    </row>
    <row r="3240" spans="1:1" x14ac:dyDescent="0.25">
      <c r="A3240" s="74">
        <v>8032</v>
      </c>
    </row>
    <row r="3241" spans="1:1" x14ac:dyDescent="0.25">
      <c r="A3241" s="74">
        <v>8033</v>
      </c>
    </row>
    <row r="3242" spans="1:1" x14ac:dyDescent="0.25">
      <c r="A3242" s="74">
        <v>8034</v>
      </c>
    </row>
    <row r="3243" spans="1:1" x14ac:dyDescent="0.25">
      <c r="A3243" s="74">
        <v>8035</v>
      </c>
    </row>
    <row r="3244" spans="1:1" x14ac:dyDescent="0.25">
      <c r="A3244" s="74">
        <v>8036</v>
      </c>
    </row>
    <row r="3245" spans="1:1" x14ac:dyDescent="0.25">
      <c r="A3245" s="74">
        <v>8037</v>
      </c>
    </row>
    <row r="3246" spans="1:1" x14ac:dyDescent="0.25">
      <c r="A3246" s="74">
        <v>8038</v>
      </c>
    </row>
    <row r="3247" spans="1:1" x14ac:dyDescent="0.25">
      <c r="A3247" s="74">
        <v>8039</v>
      </c>
    </row>
    <row r="3248" spans="1:1" x14ac:dyDescent="0.25">
      <c r="A3248" s="74">
        <v>8040</v>
      </c>
    </row>
    <row r="3249" spans="1:1" x14ac:dyDescent="0.25">
      <c r="A3249" s="74">
        <v>8041</v>
      </c>
    </row>
    <row r="3250" spans="1:1" x14ac:dyDescent="0.25">
      <c r="A3250" s="74">
        <v>8042</v>
      </c>
    </row>
    <row r="3251" spans="1:1" x14ac:dyDescent="0.25">
      <c r="A3251" s="74">
        <v>8043</v>
      </c>
    </row>
    <row r="3252" spans="1:1" x14ac:dyDescent="0.25">
      <c r="A3252" s="74">
        <v>8044</v>
      </c>
    </row>
    <row r="3253" spans="1:1" x14ac:dyDescent="0.25">
      <c r="A3253" s="74">
        <v>8045</v>
      </c>
    </row>
    <row r="3254" spans="1:1" x14ac:dyDescent="0.25">
      <c r="A3254" s="74">
        <v>8046</v>
      </c>
    </row>
    <row r="3255" spans="1:1" x14ac:dyDescent="0.25">
      <c r="A3255" s="74">
        <v>8047</v>
      </c>
    </row>
    <row r="3256" spans="1:1" x14ac:dyDescent="0.25">
      <c r="A3256" s="74">
        <v>8048</v>
      </c>
    </row>
    <row r="3257" spans="1:1" x14ac:dyDescent="0.25">
      <c r="A3257" s="74">
        <v>8049</v>
      </c>
    </row>
    <row r="3258" spans="1:1" x14ac:dyDescent="0.25">
      <c r="A3258" s="74">
        <v>8050</v>
      </c>
    </row>
    <row r="3259" spans="1:1" x14ac:dyDescent="0.25">
      <c r="A3259" s="74">
        <v>8051</v>
      </c>
    </row>
    <row r="3260" spans="1:1" x14ac:dyDescent="0.25">
      <c r="A3260" s="74">
        <v>8052</v>
      </c>
    </row>
    <row r="3261" spans="1:1" x14ac:dyDescent="0.25">
      <c r="A3261" s="74">
        <v>8053</v>
      </c>
    </row>
    <row r="3262" spans="1:1" x14ac:dyDescent="0.25">
      <c r="A3262" s="74">
        <v>8054</v>
      </c>
    </row>
    <row r="3263" spans="1:1" x14ac:dyDescent="0.25">
      <c r="A3263" s="74">
        <v>8055</v>
      </c>
    </row>
    <row r="3264" spans="1:1" x14ac:dyDescent="0.25">
      <c r="A3264" s="74">
        <v>8056</v>
      </c>
    </row>
    <row r="3265" spans="1:1" x14ac:dyDescent="0.25">
      <c r="A3265" s="74">
        <v>8057</v>
      </c>
    </row>
    <row r="3266" spans="1:1" x14ac:dyDescent="0.25">
      <c r="A3266" s="74">
        <v>8058</v>
      </c>
    </row>
    <row r="3267" spans="1:1" x14ac:dyDescent="0.25">
      <c r="A3267" s="74">
        <v>8059</v>
      </c>
    </row>
    <row r="3268" spans="1:1" x14ac:dyDescent="0.25">
      <c r="A3268" s="74">
        <v>8060</v>
      </c>
    </row>
    <row r="3269" spans="1:1" x14ac:dyDescent="0.25">
      <c r="A3269" s="74">
        <v>8061</v>
      </c>
    </row>
    <row r="3270" spans="1:1" x14ac:dyDescent="0.25">
      <c r="A3270" s="74">
        <v>8062</v>
      </c>
    </row>
    <row r="3271" spans="1:1" x14ac:dyDescent="0.25">
      <c r="A3271" s="74">
        <v>8063</v>
      </c>
    </row>
    <row r="3272" spans="1:1" x14ac:dyDescent="0.25">
      <c r="A3272" s="74">
        <v>8064</v>
      </c>
    </row>
    <row r="3273" spans="1:1" x14ac:dyDescent="0.25">
      <c r="A3273" s="74">
        <v>8065</v>
      </c>
    </row>
    <row r="3274" spans="1:1" x14ac:dyDescent="0.25">
      <c r="A3274" s="74">
        <v>8066</v>
      </c>
    </row>
    <row r="3275" spans="1:1" x14ac:dyDescent="0.25">
      <c r="A3275" s="74">
        <v>8067</v>
      </c>
    </row>
    <row r="3276" spans="1:1" x14ac:dyDescent="0.25">
      <c r="A3276" s="74">
        <v>8068</v>
      </c>
    </row>
    <row r="3277" spans="1:1" x14ac:dyDescent="0.25">
      <c r="A3277" s="74">
        <v>8069</v>
      </c>
    </row>
    <row r="3278" spans="1:1" x14ac:dyDescent="0.25">
      <c r="A3278" s="74">
        <v>8070</v>
      </c>
    </row>
    <row r="3279" spans="1:1" x14ac:dyDescent="0.25">
      <c r="A3279" s="74">
        <v>8071</v>
      </c>
    </row>
    <row r="3280" spans="1:1" x14ac:dyDescent="0.25">
      <c r="A3280" s="74">
        <v>8072</v>
      </c>
    </row>
    <row r="3281" spans="1:1" x14ac:dyDescent="0.25">
      <c r="A3281" s="74">
        <v>8073</v>
      </c>
    </row>
    <row r="3282" spans="1:1" x14ac:dyDescent="0.25">
      <c r="A3282" s="74">
        <v>8074</v>
      </c>
    </row>
    <row r="3283" spans="1:1" x14ac:dyDescent="0.25">
      <c r="A3283" s="74">
        <v>8075</v>
      </c>
    </row>
    <row r="3284" spans="1:1" x14ac:dyDescent="0.25">
      <c r="A3284" s="74">
        <v>8076</v>
      </c>
    </row>
    <row r="3285" spans="1:1" x14ac:dyDescent="0.25">
      <c r="A3285" s="74">
        <v>8077</v>
      </c>
    </row>
    <row r="3286" spans="1:1" x14ac:dyDescent="0.25">
      <c r="A3286" s="74">
        <v>8078</v>
      </c>
    </row>
    <row r="3287" spans="1:1" x14ac:dyDescent="0.25">
      <c r="A3287" s="74">
        <v>8079</v>
      </c>
    </row>
    <row r="3288" spans="1:1" x14ac:dyDescent="0.25">
      <c r="A3288" s="74">
        <v>8080</v>
      </c>
    </row>
    <row r="3289" spans="1:1" x14ac:dyDescent="0.25">
      <c r="A3289" s="74">
        <v>8081</v>
      </c>
    </row>
    <row r="3290" spans="1:1" x14ac:dyDescent="0.25">
      <c r="A3290" s="74">
        <v>8082</v>
      </c>
    </row>
    <row r="3291" spans="1:1" x14ac:dyDescent="0.25">
      <c r="A3291" s="74">
        <v>8083</v>
      </c>
    </row>
    <row r="3292" spans="1:1" x14ac:dyDescent="0.25">
      <c r="A3292" s="74">
        <v>8084</v>
      </c>
    </row>
    <row r="3293" spans="1:1" x14ac:dyDescent="0.25">
      <c r="A3293" s="74">
        <v>8085</v>
      </c>
    </row>
    <row r="3294" spans="1:1" x14ac:dyDescent="0.25">
      <c r="A3294" s="74">
        <v>8086</v>
      </c>
    </row>
    <row r="3295" spans="1:1" x14ac:dyDescent="0.25">
      <c r="A3295" s="74">
        <v>8087</v>
      </c>
    </row>
    <row r="3296" spans="1:1" x14ac:dyDescent="0.25">
      <c r="A3296" s="74">
        <v>8088</v>
      </c>
    </row>
    <row r="3297" spans="1:1" x14ac:dyDescent="0.25">
      <c r="A3297" s="74">
        <v>8089</v>
      </c>
    </row>
    <row r="3298" spans="1:1" x14ac:dyDescent="0.25">
      <c r="A3298" s="74">
        <v>8090</v>
      </c>
    </row>
    <row r="3299" spans="1:1" x14ac:dyDescent="0.25">
      <c r="A3299" s="74">
        <v>8091</v>
      </c>
    </row>
    <row r="3300" spans="1:1" x14ac:dyDescent="0.25">
      <c r="A3300" s="74">
        <v>8092</v>
      </c>
    </row>
    <row r="3301" spans="1:1" x14ac:dyDescent="0.25">
      <c r="A3301" s="74">
        <v>8093</v>
      </c>
    </row>
    <row r="3302" spans="1:1" x14ac:dyDescent="0.25">
      <c r="A3302" s="74">
        <v>8094</v>
      </c>
    </row>
    <row r="3303" spans="1:1" x14ac:dyDescent="0.25">
      <c r="A3303" s="74">
        <v>8095</v>
      </c>
    </row>
    <row r="3304" spans="1:1" x14ac:dyDescent="0.25">
      <c r="A3304" s="74">
        <v>8096</v>
      </c>
    </row>
    <row r="3305" spans="1:1" x14ac:dyDescent="0.25">
      <c r="A3305" s="74">
        <v>8097</v>
      </c>
    </row>
    <row r="3306" spans="1:1" x14ac:dyDescent="0.25">
      <c r="A3306" s="74">
        <v>8098</v>
      </c>
    </row>
    <row r="3307" spans="1:1" x14ac:dyDescent="0.25">
      <c r="A3307" s="74">
        <v>8099</v>
      </c>
    </row>
    <row r="3308" spans="1:1" x14ac:dyDescent="0.25">
      <c r="A3308" s="74">
        <v>8100</v>
      </c>
    </row>
    <row r="3309" spans="1:1" x14ac:dyDescent="0.25">
      <c r="A3309" s="74">
        <v>8101</v>
      </c>
    </row>
    <row r="3310" spans="1:1" x14ac:dyDescent="0.25">
      <c r="A3310" s="74">
        <v>8102</v>
      </c>
    </row>
    <row r="3311" spans="1:1" x14ac:dyDescent="0.25">
      <c r="A3311" s="74">
        <v>8103</v>
      </c>
    </row>
    <row r="3312" spans="1:1" x14ac:dyDescent="0.25">
      <c r="A3312" s="74">
        <v>8104</v>
      </c>
    </row>
    <row r="3313" spans="1:1" x14ac:dyDescent="0.25">
      <c r="A3313" s="74">
        <v>8105</v>
      </c>
    </row>
    <row r="3314" spans="1:1" x14ac:dyDescent="0.25">
      <c r="A3314" s="74">
        <v>8106</v>
      </c>
    </row>
    <row r="3315" spans="1:1" x14ac:dyDescent="0.25">
      <c r="A3315" s="74">
        <v>8107</v>
      </c>
    </row>
    <row r="3316" spans="1:1" x14ac:dyDescent="0.25">
      <c r="A3316" s="74">
        <v>8108</v>
      </c>
    </row>
    <row r="3317" spans="1:1" x14ac:dyDescent="0.25">
      <c r="A3317" s="74">
        <v>8109</v>
      </c>
    </row>
    <row r="3318" spans="1:1" x14ac:dyDescent="0.25">
      <c r="A3318" s="74">
        <v>8110</v>
      </c>
    </row>
    <row r="3319" spans="1:1" x14ac:dyDescent="0.25">
      <c r="A3319" s="74">
        <v>8111</v>
      </c>
    </row>
    <row r="3320" spans="1:1" x14ac:dyDescent="0.25">
      <c r="A3320" s="74">
        <v>8112</v>
      </c>
    </row>
    <row r="3321" spans="1:1" x14ac:dyDescent="0.25">
      <c r="A3321" s="74">
        <v>8113</v>
      </c>
    </row>
    <row r="3322" spans="1:1" x14ac:dyDescent="0.25">
      <c r="A3322" s="74">
        <v>8114</v>
      </c>
    </row>
    <row r="3323" spans="1:1" x14ac:dyDescent="0.25">
      <c r="A3323" s="74">
        <v>8115</v>
      </c>
    </row>
    <row r="3324" spans="1:1" x14ac:dyDescent="0.25">
      <c r="A3324" s="74">
        <v>8116</v>
      </c>
    </row>
    <row r="3325" spans="1:1" x14ac:dyDescent="0.25">
      <c r="A3325" s="74">
        <v>8117</v>
      </c>
    </row>
    <row r="3326" spans="1:1" x14ac:dyDescent="0.25">
      <c r="A3326" s="74">
        <v>8118</v>
      </c>
    </row>
    <row r="3327" spans="1:1" x14ac:dyDescent="0.25">
      <c r="A3327" s="74">
        <v>8119</v>
      </c>
    </row>
    <row r="3328" spans="1:1" x14ac:dyDescent="0.25">
      <c r="A3328" s="74">
        <v>8120</v>
      </c>
    </row>
    <row r="3329" spans="1:1" x14ac:dyDescent="0.25">
      <c r="A3329" s="74">
        <v>8121</v>
      </c>
    </row>
    <row r="3330" spans="1:1" x14ac:dyDescent="0.25">
      <c r="A3330" s="74">
        <v>8122</v>
      </c>
    </row>
    <row r="3331" spans="1:1" x14ac:dyDescent="0.25">
      <c r="A3331" s="74">
        <v>8123</v>
      </c>
    </row>
    <row r="3332" spans="1:1" x14ac:dyDescent="0.25">
      <c r="A3332" s="74">
        <v>8124</v>
      </c>
    </row>
    <row r="3333" spans="1:1" x14ac:dyDescent="0.25">
      <c r="A3333" s="74">
        <v>8125</v>
      </c>
    </row>
    <row r="3334" spans="1:1" x14ac:dyDescent="0.25">
      <c r="A3334" s="74">
        <v>8126</v>
      </c>
    </row>
    <row r="3335" spans="1:1" x14ac:dyDescent="0.25">
      <c r="A3335" s="74">
        <v>8127</v>
      </c>
    </row>
    <row r="3336" spans="1:1" x14ac:dyDescent="0.25">
      <c r="A3336" s="74">
        <v>8128</v>
      </c>
    </row>
    <row r="3337" spans="1:1" x14ac:dyDescent="0.25">
      <c r="A3337" s="74">
        <v>8129</v>
      </c>
    </row>
    <row r="3338" spans="1:1" x14ac:dyDescent="0.25">
      <c r="A3338" s="74">
        <v>8130</v>
      </c>
    </row>
    <row r="3339" spans="1:1" x14ac:dyDescent="0.25">
      <c r="A3339" s="74">
        <v>8131</v>
      </c>
    </row>
    <row r="3340" spans="1:1" x14ac:dyDescent="0.25">
      <c r="A3340" s="74">
        <v>8132</v>
      </c>
    </row>
    <row r="3341" spans="1:1" x14ac:dyDescent="0.25">
      <c r="A3341" s="74">
        <v>8133</v>
      </c>
    </row>
    <row r="3342" spans="1:1" x14ac:dyDescent="0.25">
      <c r="A3342" s="74">
        <v>8134</v>
      </c>
    </row>
    <row r="3343" spans="1:1" x14ac:dyDescent="0.25">
      <c r="A3343" s="74">
        <v>8135</v>
      </c>
    </row>
    <row r="3344" spans="1:1" x14ac:dyDescent="0.25">
      <c r="A3344" s="74">
        <v>8136</v>
      </c>
    </row>
    <row r="3345" spans="1:1" x14ac:dyDescent="0.25">
      <c r="A3345" s="74">
        <v>8137</v>
      </c>
    </row>
    <row r="3346" spans="1:1" x14ac:dyDescent="0.25">
      <c r="A3346" s="74">
        <v>8138</v>
      </c>
    </row>
    <row r="3347" spans="1:1" x14ac:dyDescent="0.25">
      <c r="A3347" s="74">
        <v>8139</v>
      </c>
    </row>
    <row r="3348" spans="1:1" x14ac:dyDescent="0.25">
      <c r="A3348" s="74">
        <v>8140</v>
      </c>
    </row>
    <row r="3349" spans="1:1" x14ac:dyDescent="0.25">
      <c r="A3349" s="74">
        <v>8141</v>
      </c>
    </row>
    <row r="3350" spans="1:1" x14ac:dyDescent="0.25">
      <c r="A3350" s="74">
        <v>8142</v>
      </c>
    </row>
    <row r="3351" spans="1:1" x14ac:dyDescent="0.25">
      <c r="A3351" s="74">
        <v>8143</v>
      </c>
    </row>
    <row r="3352" spans="1:1" x14ac:dyDescent="0.25">
      <c r="A3352" s="74">
        <v>8144</v>
      </c>
    </row>
    <row r="3353" spans="1:1" x14ac:dyDescent="0.25">
      <c r="A3353" s="74">
        <v>8145</v>
      </c>
    </row>
    <row r="3354" spans="1:1" x14ac:dyDescent="0.25">
      <c r="A3354" s="74">
        <v>8146</v>
      </c>
    </row>
    <row r="3355" spans="1:1" x14ac:dyDescent="0.25">
      <c r="A3355" s="74">
        <v>8147</v>
      </c>
    </row>
    <row r="3356" spans="1:1" x14ac:dyDescent="0.25">
      <c r="A3356" s="74">
        <v>8148</v>
      </c>
    </row>
    <row r="3357" spans="1:1" x14ac:dyDescent="0.25">
      <c r="A3357" s="74">
        <v>8149</v>
      </c>
    </row>
    <row r="3358" spans="1:1" x14ac:dyDescent="0.25">
      <c r="A3358" s="74">
        <v>8150</v>
      </c>
    </row>
    <row r="3359" spans="1:1" x14ac:dyDescent="0.25">
      <c r="A3359" s="74">
        <v>8151</v>
      </c>
    </row>
    <row r="3360" spans="1:1" x14ac:dyDescent="0.25">
      <c r="A3360" s="74">
        <v>8152</v>
      </c>
    </row>
    <row r="3361" spans="1:1" x14ac:dyDescent="0.25">
      <c r="A3361" s="74">
        <v>8153</v>
      </c>
    </row>
    <row r="3362" spans="1:1" x14ac:dyDescent="0.25">
      <c r="A3362" s="74">
        <v>8154</v>
      </c>
    </row>
    <row r="3363" spans="1:1" x14ac:dyDescent="0.25">
      <c r="A3363" s="74">
        <v>8155</v>
      </c>
    </row>
    <row r="3364" spans="1:1" x14ac:dyDescent="0.25">
      <c r="A3364" s="74">
        <v>8156</v>
      </c>
    </row>
    <row r="3365" spans="1:1" x14ac:dyDescent="0.25">
      <c r="A3365" s="74">
        <v>8157</v>
      </c>
    </row>
    <row r="3366" spans="1:1" x14ac:dyDescent="0.25">
      <c r="A3366" s="74">
        <v>8158</v>
      </c>
    </row>
    <row r="3367" spans="1:1" x14ac:dyDescent="0.25">
      <c r="A3367" s="74">
        <v>8159</v>
      </c>
    </row>
    <row r="3368" spans="1:1" x14ac:dyDescent="0.25">
      <c r="A3368" s="74">
        <v>8160</v>
      </c>
    </row>
    <row r="3369" spans="1:1" x14ac:dyDescent="0.25">
      <c r="A3369" s="74">
        <v>8161</v>
      </c>
    </row>
    <row r="3370" spans="1:1" x14ac:dyDescent="0.25">
      <c r="A3370" s="74">
        <v>8162</v>
      </c>
    </row>
    <row r="3371" spans="1:1" x14ac:dyDescent="0.25">
      <c r="A3371" s="74">
        <v>8163</v>
      </c>
    </row>
    <row r="3372" spans="1:1" x14ac:dyDescent="0.25">
      <c r="A3372" s="74">
        <v>8164</v>
      </c>
    </row>
    <row r="3373" spans="1:1" x14ac:dyDescent="0.25">
      <c r="A3373" s="74">
        <v>8165</v>
      </c>
    </row>
    <row r="3374" spans="1:1" x14ac:dyDescent="0.25">
      <c r="A3374" s="74">
        <v>8166</v>
      </c>
    </row>
    <row r="3375" spans="1:1" x14ac:dyDescent="0.25">
      <c r="A3375" s="74">
        <v>8167</v>
      </c>
    </row>
    <row r="3376" spans="1:1" x14ac:dyDescent="0.25">
      <c r="A3376" s="74">
        <v>8168</v>
      </c>
    </row>
    <row r="3377" spans="1:1" x14ac:dyDescent="0.25">
      <c r="A3377" s="74">
        <v>8169</v>
      </c>
    </row>
    <row r="3378" spans="1:1" x14ac:dyDescent="0.25">
      <c r="A3378" s="74">
        <v>8170</v>
      </c>
    </row>
    <row r="3379" spans="1:1" x14ac:dyDescent="0.25">
      <c r="A3379" s="74">
        <v>8171</v>
      </c>
    </row>
    <row r="3380" spans="1:1" x14ac:dyDescent="0.25">
      <c r="A3380" s="74">
        <v>8172</v>
      </c>
    </row>
    <row r="3381" spans="1:1" x14ac:dyDescent="0.25">
      <c r="A3381" s="74">
        <v>8173</v>
      </c>
    </row>
    <row r="3382" spans="1:1" x14ac:dyDescent="0.25">
      <c r="A3382" s="74">
        <v>8174</v>
      </c>
    </row>
    <row r="3383" spans="1:1" x14ac:dyDescent="0.25">
      <c r="A3383" s="74">
        <v>8175</v>
      </c>
    </row>
    <row r="3384" spans="1:1" x14ac:dyDescent="0.25">
      <c r="A3384" s="74">
        <v>8176</v>
      </c>
    </row>
    <row r="3385" spans="1:1" x14ac:dyDescent="0.25">
      <c r="A3385" s="74">
        <v>8177</v>
      </c>
    </row>
    <row r="3386" spans="1:1" x14ac:dyDescent="0.25">
      <c r="A3386" s="74">
        <v>8178</v>
      </c>
    </row>
    <row r="3387" spans="1:1" x14ac:dyDescent="0.25">
      <c r="A3387" s="74">
        <v>8179</v>
      </c>
    </row>
    <row r="3388" spans="1:1" x14ac:dyDescent="0.25">
      <c r="A3388" s="74">
        <v>8180</v>
      </c>
    </row>
    <row r="3389" spans="1:1" x14ac:dyDescent="0.25">
      <c r="A3389" s="74">
        <v>8181</v>
      </c>
    </row>
    <row r="3390" spans="1:1" x14ac:dyDescent="0.25">
      <c r="A3390" s="74">
        <v>8182</v>
      </c>
    </row>
    <row r="3391" spans="1:1" x14ac:dyDescent="0.25">
      <c r="A3391" s="74">
        <v>8183</v>
      </c>
    </row>
    <row r="3392" spans="1:1" x14ac:dyDescent="0.25">
      <c r="A3392" s="74">
        <v>8184</v>
      </c>
    </row>
    <row r="3393" spans="1:1" x14ac:dyDescent="0.25">
      <c r="A3393" s="74">
        <v>8185</v>
      </c>
    </row>
    <row r="3394" spans="1:1" x14ac:dyDescent="0.25">
      <c r="A3394" s="74">
        <v>8186</v>
      </c>
    </row>
    <row r="3395" spans="1:1" x14ac:dyDescent="0.25">
      <c r="A3395" s="74">
        <v>8187</v>
      </c>
    </row>
    <row r="3396" spans="1:1" x14ac:dyDescent="0.25">
      <c r="A3396" s="74">
        <v>8188</v>
      </c>
    </row>
    <row r="3397" spans="1:1" x14ac:dyDescent="0.25">
      <c r="A3397" s="74">
        <v>8189</v>
      </c>
    </row>
    <row r="3398" spans="1:1" x14ac:dyDescent="0.25">
      <c r="A3398" s="74">
        <v>8190</v>
      </c>
    </row>
    <row r="3399" spans="1:1" x14ac:dyDescent="0.25">
      <c r="A3399" s="74">
        <v>8191</v>
      </c>
    </row>
    <row r="3400" spans="1:1" x14ac:dyDescent="0.25">
      <c r="A3400" s="74">
        <v>8192</v>
      </c>
    </row>
    <row r="3401" spans="1:1" x14ac:dyDescent="0.25">
      <c r="A3401" s="74">
        <v>8193</v>
      </c>
    </row>
    <row r="3402" spans="1:1" x14ac:dyDescent="0.25">
      <c r="A3402" s="74">
        <v>8194</v>
      </c>
    </row>
    <row r="3403" spans="1:1" x14ac:dyDescent="0.25">
      <c r="A3403" s="74">
        <v>8195</v>
      </c>
    </row>
    <row r="3404" spans="1:1" x14ac:dyDescent="0.25">
      <c r="A3404" s="74">
        <v>8196</v>
      </c>
    </row>
    <row r="3405" spans="1:1" x14ac:dyDescent="0.25">
      <c r="A3405" s="74">
        <v>8197</v>
      </c>
    </row>
    <row r="3406" spans="1:1" x14ac:dyDescent="0.25">
      <c r="A3406" s="74">
        <v>8198</v>
      </c>
    </row>
    <row r="3407" spans="1:1" x14ac:dyDescent="0.25">
      <c r="A3407" s="74">
        <v>8199</v>
      </c>
    </row>
    <row r="3408" spans="1:1" x14ac:dyDescent="0.25">
      <c r="A3408" s="74">
        <v>8200</v>
      </c>
    </row>
    <row r="3409" spans="1:1" x14ac:dyDescent="0.25">
      <c r="A3409" s="74">
        <v>8201</v>
      </c>
    </row>
    <row r="3410" spans="1:1" x14ac:dyDescent="0.25">
      <c r="A3410" s="74">
        <v>8202</v>
      </c>
    </row>
    <row r="3411" spans="1:1" x14ac:dyDescent="0.25">
      <c r="A3411" s="74">
        <v>8203</v>
      </c>
    </row>
    <row r="3412" spans="1:1" x14ac:dyDescent="0.25">
      <c r="A3412" s="74">
        <v>8204</v>
      </c>
    </row>
    <row r="3413" spans="1:1" x14ac:dyDescent="0.25">
      <c r="A3413" s="74">
        <v>8205</v>
      </c>
    </row>
    <row r="3414" spans="1:1" x14ac:dyDescent="0.25">
      <c r="A3414" s="74">
        <v>8206</v>
      </c>
    </row>
    <row r="3415" spans="1:1" x14ac:dyDescent="0.25">
      <c r="A3415" s="74">
        <v>8207</v>
      </c>
    </row>
    <row r="3416" spans="1:1" x14ac:dyDescent="0.25">
      <c r="A3416" s="74">
        <v>8208</v>
      </c>
    </row>
    <row r="3417" spans="1:1" x14ac:dyDescent="0.25">
      <c r="A3417" s="74">
        <v>8209</v>
      </c>
    </row>
    <row r="3418" spans="1:1" x14ac:dyDescent="0.25">
      <c r="A3418" s="74">
        <v>8210</v>
      </c>
    </row>
    <row r="3419" spans="1:1" x14ac:dyDescent="0.25">
      <c r="A3419" s="74">
        <v>8211</v>
      </c>
    </row>
    <row r="3420" spans="1:1" x14ac:dyDescent="0.25">
      <c r="A3420" s="74">
        <v>8212</v>
      </c>
    </row>
    <row r="3421" spans="1:1" x14ac:dyDescent="0.25">
      <c r="A3421" s="74">
        <v>8213</v>
      </c>
    </row>
    <row r="3422" spans="1:1" x14ac:dyDescent="0.25">
      <c r="A3422" s="74">
        <v>8214</v>
      </c>
    </row>
    <row r="3423" spans="1:1" x14ac:dyDescent="0.25">
      <c r="A3423" s="74">
        <v>8215</v>
      </c>
    </row>
    <row r="3424" spans="1:1" x14ac:dyDescent="0.25">
      <c r="A3424" s="74">
        <v>8216</v>
      </c>
    </row>
    <row r="3425" spans="1:1" x14ac:dyDescent="0.25">
      <c r="A3425" s="74">
        <v>8217</v>
      </c>
    </row>
    <row r="3426" spans="1:1" x14ac:dyDescent="0.25">
      <c r="A3426" s="74">
        <v>8218</v>
      </c>
    </row>
    <row r="3427" spans="1:1" x14ac:dyDescent="0.25">
      <c r="A3427" s="74">
        <v>8219</v>
      </c>
    </row>
    <row r="3428" spans="1:1" x14ac:dyDescent="0.25">
      <c r="A3428" s="74">
        <v>8220</v>
      </c>
    </row>
    <row r="3429" spans="1:1" x14ac:dyDescent="0.25">
      <c r="A3429" s="74">
        <v>8221</v>
      </c>
    </row>
    <row r="3430" spans="1:1" x14ac:dyDescent="0.25">
      <c r="A3430" s="74">
        <v>8222</v>
      </c>
    </row>
    <row r="3431" spans="1:1" x14ac:dyDescent="0.25">
      <c r="A3431" s="74">
        <v>8223</v>
      </c>
    </row>
    <row r="3432" spans="1:1" x14ac:dyDescent="0.25">
      <c r="A3432" s="74">
        <v>8224</v>
      </c>
    </row>
    <row r="3433" spans="1:1" x14ac:dyDescent="0.25">
      <c r="A3433" s="74">
        <v>8225</v>
      </c>
    </row>
    <row r="3434" spans="1:1" x14ac:dyDescent="0.25">
      <c r="A3434" s="74">
        <v>8226</v>
      </c>
    </row>
    <row r="3435" spans="1:1" x14ac:dyDescent="0.25">
      <c r="A3435" s="74">
        <v>8227</v>
      </c>
    </row>
    <row r="3436" spans="1:1" x14ac:dyDescent="0.25">
      <c r="A3436" s="74">
        <v>8228</v>
      </c>
    </row>
    <row r="3437" spans="1:1" x14ac:dyDescent="0.25">
      <c r="A3437" s="74">
        <v>8229</v>
      </c>
    </row>
    <row r="3438" spans="1:1" x14ac:dyDescent="0.25">
      <c r="A3438" s="74">
        <v>8230</v>
      </c>
    </row>
    <row r="3439" spans="1:1" x14ac:dyDescent="0.25">
      <c r="A3439" s="74">
        <v>8231</v>
      </c>
    </row>
    <row r="3440" spans="1:1" x14ac:dyDescent="0.25">
      <c r="A3440" s="74">
        <v>8232</v>
      </c>
    </row>
    <row r="3441" spans="1:1" x14ac:dyDescent="0.25">
      <c r="A3441" s="74">
        <v>8233</v>
      </c>
    </row>
    <row r="3442" spans="1:1" x14ac:dyDescent="0.25">
      <c r="A3442" s="74">
        <v>8234</v>
      </c>
    </row>
    <row r="3443" spans="1:1" x14ac:dyDescent="0.25">
      <c r="A3443" s="74">
        <v>8235</v>
      </c>
    </row>
    <row r="3444" spans="1:1" x14ac:dyDescent="0.25">
      <c r="A3444" s="74">
        <v>8236</v>
      </c>
    </row>
    <row r="3445" spans="1:1" x14ac:dyDescent="0.25">
      <c r="A3445" s="74">
        <v>8237</v>
      </c>
    </row>
    <row r="3446" spans="1:1" x14ac:dyDescent="0.25">
      <c r="A3446" s="74">
        <v>8238</v>
      </c>
    </row>
    <row r="3447" spans="1:1" x14ac:dyDescent="0.25">
      <c r="A3447" s="74">
        <v>8239</v>
      </c>
    </row>
    <row r="3448" spans="1:1" x14ac:dyDescent="0.25">
      <c r="A3448" s="74">
        <v>8240</v>
      </c>
    </row>
    <row r="3449" spans="1:1" x14ac:dyDescent="0.25">
      <c r="A3449" s="74">
        <v>8241</v>
      </c>
    </row>
    <row r="3450" spans="1:1" x14ac:dyDescent="0.25">
      <c r="A3450" s="74">
        <v>8242</v>
      </c>
    </row>
    <row r="3451" spans="1:1" x14ac:dyDescent="0.25">
      <c r="A3451" s="74">
        <v>8243</v>
      </c>
    </row>
    <row r="3452" spans="1:1" x14ac:dyDescent="0.25">
      <c r="A3452" s="74">
        <v>8244</v>
      </c>
    </row>
    <row r="3453" spans="1:1" x14ac:dyDescent="0.25">
      <c r="A3453" s="74">
        <v>8245</v>
      </c>
    </row>
    <row r="3454" spans="1:1" x14ac:dyDescent="0.25">
      <c r="A3454" s="74">
        <v>8246</v>
      </c>
    </row>
    <row r="3455" spans="1:1" x14ac:dyDescent="0.25">
      <c r="A3455" s="74">
        <v>8247</v>
      </c>
    </row>
    <row r="3456" spans="1:1" x14ac:dyDescent="0.25">
      <c r="A3456" s="74">
        <v>8248</v>
      </c>
    </row>
    <row r="3457" spans="1:1" x14ac:dyDescent="0.25">
      <c r="A3457" s="74">
        <v>8249</v>
      </c>
    </row>
    <row r="3458" spans="1:1" x14ac:dyDescent="0.25">
      <c r="A3458" s="74">
        <v>8250</v>
      </c>
    </row>
    <row r="3459" spans="1:1" x14ac:dyDescent="0.25">
      <c r="A3459" s="74">
        <v>8251</v>
      </c>
    </row>
    <row r="3460" spans="1:1" x14ac:dyDescent="0.25">
      <c r="A3460" s="74">
        <v>8252</v>
      </c>
    </row>
    <row r="3461" spans="1:1" x14ac:dyDescent="0.25">
      <c r="A3461" s="74">
        <v>8253</v>
      </c>
    </row>
    <row r="3462" spans="1:1" x14ac:dyDescent="0.25">
      <c r="A3462" s="74">
        <v>8254</v>
      </c>
    </row>
    <row r="3463" spans="1:1" x14ac:dyDescent="0.25">
      <c r="A3463" s="74">
        <v>8255</v>
      </c>
    </row>
    <row r="3464" spans="1:1" x14ac:dyDescent="0.25">
      <c r="A3464" s="74">
        <v>8256</v>
      </c>
    </row>
    <row r="3465" spans="1:1" x14ac:dyDescent="0.25">
      <c r="A3465" s="74">
        <v>8257</v>
      </c>
    </row>
    <row r="3466" spans="1:1" x14ac:dyDescent="0.25">
      <c r="A3466" s="74">
        <v>8258</v>
      </c>
    </row>
    <row r="3467" spans="1:1" x14ac:dyDescent="0.25">
      <c r="A3467" s="74">
        <v>8259</v>
      </c>
    </row>
    <row r="3468" spans="1:1" x14ac:dyDescent="0.25">
      <c r="A3468" s="74">
        <v>8260</v>
      </c>
    </row>
    <row r="3469" spans="1:1" x14ac:dyDescent="0.25">
      <c r="A3469" s="74">
        <v>8261</v>
      </c>
    </row>
    <row r="3470" spans="1:1" x14ac:dyDescent="0.25">
      <c r="A3470" s="74">
        <v>8262</v>
      </c>
    </row>
    <row r="3471" spans="1:1" x14ac:dyDescent="0.25">
      <c r="A3471" s="74">
        <v>8263</v>
      </c>
    </row>
    <row r="3472" spans="1:1" x14ac:dyDescent="0.25">
      <c r="A3472" s="74">
        <v>8264</v>
      </c>
    </row>
    <row r="3473" spans="1:1" x14ac:dyDescent="0.25">
      <c r="A3473" s="74">
        <v>8265</v>
      </c>
    </row>
    <row r="3474" spans="1:1" x14ac:dyDescent="0.25">
      <c r="A3474" s="74">
        <v>8266</v>
      </c>
    </row>
    <row r="3475" spans="1:1" x14ac:dyDescent="0.25">
      <c r="A3475" s="74">
        <v>8267</v>
      </c>
    </row>
    <row r="3476" spans="1:1" x14ac:dyDescent="0.25">
      <c r="A3476" s="74">
        <v>8268</v>
      </c>
    </row>
    <row r="3477" spans="1:1" x14ac:dyDescent="0.25">
      <c r="A3477" s="74">
        <v>8269</v>
      </c>
    </row>
    <row r="3478" spans="1:1" x14ac:dyDescent="0.25">
      <c r="A3478" s="74">
        <v>8270</v>
      </c>
    </row>
    <row r="3479" spans="1:1" x14ac:dyDescent="0.25">
      <c r="A3479" s="74">
        <v>8271</v>
      </c>
    </row>
    <row r="3480" spans="1:1" x14ac:dyDescent="0.25">
      <c r="A3480" s="74">
        <v>8272</v>
      </c>
    </row>
    <row r="3481" spans="1:1" x14ac:dyDescent="0.25">
      <c r="A3481" s="74">
        <v>8273</v>
      </c>
    </row>
    <row r="3482" spans="1:1" x14ac:dyDescent="0.25">
      <c r="A3482" s="74">
        <v>8274</v>
      </c>
    </row>
    <row r="3483" spans="1:1" x14ac:dyDescent="0.25">
      <c r="A3483" s="74">
        <v>8275</v>
      </c>
    </row>
    <row r="3484" spans="1:1" x14ac:dyDescent="0.25">
      <c r="A3484" s="74">
        <v>8276</v>
      </c>
    </row>
    <row r="3485" spans="1:1" x14ac:dyDescent="0.25">
      <c r="A3485" s="74">
        <v>8277</v>
      </c>
    </row>
    <row r="3486" spans="1:1" x14ac:dyDescent="0.25">
      <c r="A3486" s="74">
        <v>8278</v>
      </c>
    </row>
    <row r="3487" spans="1:1" x14ac:dyDescent="0.25">
      <c r="A3487" s="74">
        <v>8279</v>
      </c>
    </row>
    <row r="3488" spans="1:1" x14ac:dyDescent="0.25">
      <c r="A3488" s="74">
        <v>8280</v>
      </c>
    </row>
    <row r="3489" spans="1:1" x14ac:dyDescent="0.25">
      <c r="A3489" s="74">
        <v>8281</v>
      </c>
    </row>
    <row r="3490" spans="1:1" x14ac:dyDescent="0.25">
      <c r="A3490" s="74">
        <v>8282</v>
      </c>
    </row>
    <row r="3491" spans="1:1" x14ac:dyDescent="0.25">
      <c r="A3491" s="74">
        <v>8283</v>
      </c>
    </row>
    <row r="3492" spans="1:1" x14ac:dyDescent="0.25">
      <c r="A3492" s="74">
        <v>8284</v>
      </c>
    </row>
    <row r="3493" spans="1:1" x14ac:dyDescent="0.25">
      <c r="A3493" s="74">
        <v>8285</v>
      </c>
    </row>
    <row r="3494" spans="1:1" x14ac:dyDescent="0.25">
      <c r="A3494" s="74">
        <v>8286</v>
      </c>
    </row>
    <row r="3495" spans="1:1" x14ac:dyDescent="0.25">
      <c r="A3495" s="74">
        <v>8287</v>
      </c>
    </row>
    <row r="3496" spans="1:1" x14ac:dyDescent="0.25">
      <c r="A3496" s="74">
        <v>8288</v>
      </c>
    </row>
    <row r="3497" spans="1:1" x14ac:dyDescent="0.25">
      <c r="A3497" s="74">
        <v>8289</v>
      </c>
    </row>
    <row r="3498" spans="1:1" x14ac:dyDescent="0.25">
      <c r="A3498" s="74">
        <v>8290</v>
      </c>
    </row>
    <row r="3499" spans="1:1" x14ac:dyDescent="0.25">
      <c r="A3499" s="74">
        <v>8291</v>
      </c>
    </row>
    <row r="3500" spans="1:1" x14ac:dyDescent="0.25">
      <c r="A3500" s="74">
        <v>8292</v>
      </c>
    </row>
    <row r="3501" spans="1:1" x14ac:dyDescent="0.25">
      <c r="A3501" s="74">
        <v>8293</v>
      </c>
    </row>
    <row r="3502" spans="1:1" x14ac:dyDescent="0.25">
      <c r="A3502" s="74">
        <v>8294</v>
      </c>
    </row>
    <row r="3503" spans="1:1" x14ac:dyDescent="0.25">
      <c r="A3503" s="74">
        <v>8295</v>
      </c>
    </row>
    <row r="3504" spans="1:1" x14ac:dyDescent="0.25">
      <c r="A3504" s="74">
        <v>8296</v>
      </c>
    </row>
    <row r="3505" spans="1:1" x14ac:dyDescent="0.25">
      <c r="A3505" s="74">
        <v>8297</v>
      </c>
    </row>
    <row r="3506" spans="1:1" x14ac:dyDescent="0.25">
      <c r="A3506" s="74">
        <v>8298</v>
      </c>
    </row>
    <row r="3507" spans="1:1" x14ac:dyDescent="0.25">
      <c r="A3507" s="74">
        <v>8299</v>
      </c>
    </row>
    <row r="3508" spans="1:1" x14ac:dyDescent="0.25">
      <c r="A3508" s="74">
        <v>8300</v>
      </c>
    </row>
    <row r="3509" spans="1:1" x14ac:dyDescent="0.25">
      <c r="A3509" s="74">
        <v>8301</v>
      </c>
    </row>
    <row r="3510" spans="1:1" x14ac:dyDescent="0.25">
      <c r="A3510" s="74">
        <v>8302</v>
      </c>
    </row>
    <row r="3511" spans="1:1" x14ac:dyDescent="0.25">
      <c r="A3511" s="74">
        <v>8303</v>
      </c>
    </row>
    <row r="3512" spans="1:1" x14ac:dyDescent="0.25">
      <c r="A3512" s="74">
        <v>8304</v>
      </c>
    </row>
    <row r="3513" spans="1:1" x14ac:dyDescent="0.25">
      <c r="A3513" s="74">
        <v>8305</v>
      </c>
    </row>
    <row r="3514" spans="1:1" x14ac:dyDescent="0.25">
      <c r="A3514" s="74">
        <v>8306</v>
      </c>
    </row>
    <row r="3515" spans="1:1" x14ac:dyDescent="0.25">
      <c r="A3515" s="74">
        <v>8307</v>
      </c>
    </row>
    <row r="3516" spans="1:1" x14ac:dyDescent="0.25">
      <c r="A3516" s="74">
        <v>8308</v>
      </c>
    </row>
    <row r="3517" spans="1:1" x14ac:dyDescent="0.25">
      <c r="A3517" s="74">
        <v>8309</v>
      </c>
    </row>
    <row r="3518" spans="1:1" x14ac:dyDescent="0.25">
      <c r="A3518" s="74">
        <v>8310</v>
      </c>
    </row>
    <row r="3519" spans="1:1" x14ac:dyDescent="0.25">
      <c r="A3519" s="74">
        <v>8311</v>
      </c>
    </row>
    <row r="3520" spans="1:1" x14ac:dyDescent="0.25">
      <c r="A3520" s="74">
        <v>8312</v>
      </c>
    </row>
    <row r="3521" spans="1:1" x14ac:dyDescent="0.25">
      <c r="A3521" s="74">
        <v>8313</v>
      </c>
    </row>
    <row r="3522" spans="1:1" x14ac:dyDescent="0.25">
      <c r="A3522" s="74">
        <v>8314</v>
      </c>
    </row>
    <row r="3523" spans="1:1" x14ac:dyDescent="0.25">
      <c r="A3523" s="74">
        <v>8315</v>
      </c>
    </row>
    <row r="3524" spans="1:1" x14ac:dyDescent="0.25">
      <c r="A3524" s="74">
        <v>8316</v>
      </c>
    </row>
    <row r="3525" spans="1:1" x14ac:dyDescent="0.25">
      <c r="A3525" s="74">
        <v>8317</v>
      </c>
    </row>
    <row r="3526" spans="1:1" x14ac:dyDescent="0.25">
      <c r="A3526" s="74">
        <v>8318</v>
      </c>
    </row>
    <row r="3527" spans="1:1" x14ac:dyDescent="0.25">
      <c r="A3527" s="74">
        <v>8319</v>
      </c>
    </row>
    <row r="3528" spans="1:1" x14ac:dyDescent="0.25">
      <c r="A3528" s="74">
        <v>8320</v>
      </c>
    </row>
    <row r="3529" spans="1:1" x14ac:dyDescent="0.25">
      <c r="A3529" s="74">
        <v>8321</v>
      </c>
    </row>
    <row r="3530" spans="1:1" x14ac:dyDescent="0.25">
      <c r="A3530" s="74">
        <v>8322</v>
      </c>
    </row>
    <row r="3531" spans="1:1" x14ac:dyDescent="0.25">
      <c r="A3531" s="74">
        <v>8323</v>
      </c>
    </row>
    <row r="3532" spans="1:1" x14ac:dyDescent="0.25">
      <c r="A3532" s="74">
        <v>8324</v>
      </c>
    </row>
    <row r="3533" spans="1:1" x14ac:dyDescent="0.25">
      <c r="A3533" s="74">
        <v>8325</v>
      </c>
    </row>
    <row r="3534" spans="1:1" x14ac:dyDescent="0.25">
      <c r="A3534" s="74">
        <v>8326</v>
      </c>
    </row>
    <row r="3535" spans="1:1" x14ac:dyDescent="0.25">
      <c r="A3535" s="74">
        <v>8327</v>
      </c>
    </row>
    <row r="3536" spans="1:1" x14ac:dyDescent="0.25">
      <c r="A3536" s="74">
        <v>8328</v>
      </c>
    </row>
    <row r="3537" spans="1:1" x14ac:dyDescent="0.25">
      <c r="A3537" s="74">
        <v>8329</v>
      </c>
    </row>
    <row r="3538" spans="1:1" x14ac:dyDescent="0.25">
      <c r="A3538" s="74">
        <v>8330</v>
      </c>
    </row>
    <row r="3539" spans="1:1" x14ac:dyDescent="0.25">
      <c r="A3539" s="74">
        <v>8331</v>
      </c>
    </row>
    <row r="3540" spans="1:1" x14ac:dyDescent="0.25">
      <c r="A3540" s="74">
        <v>8332</v>
      </c>
    </row>
    <row r="3541" spans="1:1" x14ac:dyDescent="0.25">
      <c r="A3541" s="74">
        <v>8333</v>
      </c>
    </row>
    <row r="3542" spans="1:1" x14ac:dyDescent="0.25">
      <c r="A3542" s="74">
        <v>8334</v>
      </c>
    </row>
    <row r="3543" spans="1:1" x14ac:dyDescent="0.25">
      <c r="A3543" s="74">
        <v>8335</v>
      </c>
    </row>
    <row r="3544" spans="1:1" x14ac:dyDescent="0.25">
      <c r="A3544" s="74">
        <v>8336</v>
      </c>
    </row>
    <row r="3545" spans="1:1" x14ac:dyDescent="0.25">
      <c r="A3545" s="74">
        <v>8337</v>
      </c>
    </row>
    <row r="3546" spans="1:1" x14ac:dyDescent="0.25">
      <c r="A3546" s="74">
        <v>8338</v>
      </c>
    </row>
    <row r="3547" spans="1:1" x14ac:dyDescent="0.25">
      <c r="A3547" s="74">
        <v>8339</v>
      </c>
    </row>
    <row r="3548" spans="1:1" x14ac:dyDescent="0.25">
      <c r="A3548" s="74">
        <v>8340</v>
      </c>
    </row>
    <row r="3549" spans="1:1" x14ac:dyDescent="0.25">
      <c r="A3549" s="74">
        <v>8341</v>
      </c>
    </row>
    <row r="3550" spans="1:1" x14ac:dyDescent="0.25">
      <c r="A3550" s="74">
        <v>8342</v>
      </c>
    </row>
    <row r="3551" spans="1:1" x14ac:dyDescent="0.25">
      <c r="A3551" s="74">
        <v>8343</v>
      </c>
    </row>
    <row r="3552" spans="1:1" x14ac:dyDescent="0.25">
      <c r="A3552" s="74">
        <v>8344</v>
      </c>
    </row>
    <row r="3553" spans="1:1" x14ac:dyDescent="0.25">
      <c r="A3553" s="74">
        <v>8345</v>
      </c>
    </row>
    <row r="3554" spans="1:1" x14ac:dyDescent="0.25">
      <c r="A3554" s="74">
        <v>8346</v>
      </c>
    </row>
    <row r="3555" spans="1:1" x14ac:dyDescent="0.25">
      <c r="A3555" s="74">
        <v>8347</v>
      </c>
    </row>
    <row r="3556" spans="1:1" x14ac:dyDescent="0.25">
      <c r="A3556" s="74">
        <v>8348</v>
      </c>
    </row>
    <row r="3557" spans="1:1" x14ac:dyDescent="0.25">
      <c r="A3557" s="74">
        <v>8349</v>
      </c>
    </row>
    <row r="3558" spans="1:1" x14ac:dyDescent="0.25">
      <c r="A3558" s="74">
        <v>8350</v>
      </c>
    </row>
    <row r="3559" spans="1:1" x14ac:dyDescent="0.25">
      <c r="A3559" s="74">
        <v>8351</v>
      </c>
    </row>
    <row r="3560" spans="1:1" x14ac:dyDescent="0.25">
      <c r="A3560" s="74">
        <v>8352</v>
      </c>
    </row>
    <row r="3561" spans="1:1" x14ac:dyDescent="0.25">
      <c r="A3561" s="74">
        <v>8353</v>
      </c>
    </row>
    <row r="3562" spans="1:1" x14ac:dyDescent="0.25">
      <c r="A3562" s="74">
        <v>8354</v>
      </c>
    </row>
    <row r="3563" spans="1:1" x14ac:dyDescent="0.25">
      <c r="A3563" s="74">
        <v>8355</v>
      </c>
    </row>
    <row r="3564" spans="1:1" x14ac:dyDescent="0.25">
      <c r="A3564" s="74">
        <v>8356</v>
      </c>
    </row>
    <row r="3565" spans="1:1" x14ac:dyDescent="0.25">
      <c r="A3565" s="74">
        <v>8357</v>
      </c>
    </row>
    <row r="3566" spans="1:1" x14ac:dyDescent="0.25">
      <c r="A3566" s="74">
        <v>8358</v>
      </c>
    </row>
    <row r="3567" spans="1:1" x14ac:dyDescent="0.25">
      <c r="A3567" s="74">
        <v>8359</v>
      </c>
    </row>
    <row r="3568" spans="1:1" x14ac:dyDescent="0.25">
      <c r="A3568" s="74">
        <v>8360</v>
      </c>
    </row>
    <row r="3569" spans="1:1" x14ac:dyDescent="0.25">
      <c r="A3569" s="74">
        <v>8361</v>
      </c>
    </row>
    <row r="3570" spans="1:1" x14ac:dyDescent="0.25">
      <c r="A3570" s="74">
        <v>8362</v>
      </c>
    </row>
    <row r="3571" spans="1:1" x14ac:dyDescent="0.25">
      <c r="A3571" s="74">
        <v>8363</v>
      </c>
    </row>
    <row r="3572" spans="1:1" x14ac:dyDescent="0.25">
      <c r="A3572" s="74">
        <v>8364</v>
      </c>
    </row>
    <row r="3573" spans="1:1" x14ac:dyDescent="0.25">
      <c r="A3573" s="74">
        <v>8365</v>
      </c>
    </row>
    <row r="3574" spans="1:1" x14ac:dyDescent="0.25">
      <c r="A3574" s="74">
        <v>8366</v>
      </c>
    </row>
    <row r="3575" spans="1:1" x14ac:dyDescent="0.25">
      <c r="A3575" s="74">
        <v>8367</v>
      </c>
    </row>
    <row r="3576" spans="1:1" x14ac:dyDescent="0.25">
      <c r="A3576" s="74">
        <v>8368</v>
      </c>
    </row>
    <row r="3577" spans="1:1" x14ac:dyDescent="0.25">
      <c r="A3577" s="74">
        <v>8369</v>
      </c>
    </row>
    <row r="3578" spans="1:1" x14ac:dyDescent="0.25">
      <c r="A3578" s="74">
        <v>8370</v>
      </c>
    </row>
    <row r="3579" spans="1:1" x14ac:dyDescent="0.25">
      <c r="A3579" s="74">
        <v>8371</v>
      </c>
    </row>
    <row r="3580" spans="1:1" x14ac:dyDescent="0.25">
      <c r="A3580" s="74">
        <v>8372</v>
      </c>
    </row>
    <row r="3581" spans="1:1" x14ac:dyDescent="0.25">
      <c r="A3581" s="74">
        <v>8373</v>
      </c>
    </row>
    <row r="3582" spans="1:1" x14ac:dyDescent="0.25">
      <c r="A3582" s="74">
        <v>8374</v>
      </c>
    </row>
    <row r="3583" spans="1:1" x14ac:dyDescent="0.25">
      <c r="A3583" s="74">
        <v>8375</v>
      </c>
    </row>
    <row r="3584" spans="1:1" x14ac:dyDescent="0.25">
      <c r="A3584" s="74">
        <v>8376</v>
      </c>
    </row>
    <row r="3585" spans="1:1" x14ac:dyDescent="0.25">
      <c r="A3585" s="74">
        <v>8377</v>
      </c>
    </row>
    <row r="3586" spans="1:1" x14ac:dyDescent="0.25">
      <c r="A3586" s="74">
        <v>8378</v>
      </c>
    </row>
    <row r="3587" spans="1:1" x14ac:dyDescent="0.25">
      <c r="A3587" s="74">
        <v>8379</v>
      </c>
    </row>
    <row r="3588" spans="1:1" x14ac:dyDescent="0.25">
      <c r="A3588" s="74">
        <v>8380</v>
      </c>
    </row>
    <row r="3589" spans="1:1" x14ac:dyDescent="0.25">
      <c r="A3589" s="74">
        <v>8381</v>
      </c>
    </row>
    <row r="3590" spans="1:1" x14ac:dyDescent="0.25">
      <c r="A3590" s="74">
        <v>8382</v>
      </c>
    </row>
    <row r="3591" spans="1:1" x14ac:dyDescent="0.25">
      <c r="A3591" s="74">
        <v>8383</v>
      </c>
    </row>
    <row r="3592" spans="1:1" x14ac:dyDescent="0.25">
      <c r="A3592" s="74">
        <v>8384</v>
      </c>
    </row>
    <row r="3593" spans="1:1" x14ac:dyDescent="0.25">
      <c r="A3593" s="74">
        <v>8385</v>
      </c>
    </row>
    <row r="3594" spans="1:1" x14ac:dyDescent="0.25">
      <c r="A3594" s="74">
        <v>8386</v>
      </c>
    </row>
    <row r="3595" spans="1:1" x14ac:dyDescent="0.25">
      <c r="A3595" s="74">
        <v>8387</v>
      </c>
    </row>
    <row r="3596" spans="1:1" x14ac:dyDescent="0.25">
      <c r="A3596" s="74">
        <v>8388</v>
      </c>
    </row>
    <row r="3597" spans="1:1" x14ac:dyDescent="0.25">
      <c r="A3597" s="74">
        <v>8389</v>
      </c>
    </row>
    <row r="3598" spans="1:1" x14ac:dyDescent="0.25">
      <c r="A3598" s="74">
        <v>8390</v>
      </c>
    </row>
    <row r="3599" spans="1:1" x14ac:dyDescent="0.25">
      <c r="A3599" s="74">
        <v>8391</v>
      </c>
    </row>
    <row r="3600" spans="1:1" x14ac:dyDescent="0.25">
      <c r="A3600" s="74">
        <v>8392</v>
      </c>
    </row>
    <row r="3601" spans="1:1" x14ac:dyDescent="0.25">
      <c r="A3601" s="74">
        <v>8393</v>
      </c>
    </row>
    <row r="3602" spans="1:1" x14ac:dyDescent="0.25">
      <c r="A3602" s="74">
        <v>8394</v>
      </c>
    </row>
    <row r="3603" spans="1:1" x14ac:dyDescent="0.25">
      <c r="A3603" s="74">
        <v>8395</v>
      </c>
    </row>
    <row r="3604" spans="1:1" x14ac:dyDescent="0.25">
      <c r="A3604" s="74">
        <v>8396</v>
      </c>
    </row>
    <row r="3605" spans="1:1" x14ac:dyDescent="0.25">
      <c r="A3605" s="74">
        <v>8397</v>
      </c>
    </row>
    <row r="3606" spans="1:1" x14ac:dyDescent="0.25">
      <c r="A3606" s="74">
        <v>8398</v>
      </c>
    </row>
    <row r="3607" spans="1:1" x14ac:dyDescent="0.25">
      <c r="A3607" s="74">
        <v>8399</v>
      </c>
    </row>
    <row r="3608" spans="1:1" x14ac:dyDescent="0.25">
      <c r="A3608" s="74">
        <v>8400</v>
      </c>
    </row>
    <row r="3609" spans="1:1" x14ac:dyDescent="0.25">
      <c r="A3609" s="74">
        <v>8401</v>
      </c>
    </row>
    <row r="3610" spans="1:1" x14ac:dyDescent="0.25">
      <c r="A3610" s="74">
        <v>8402</v>
      </c>
    </row>
    <row r="3611" spans="1:1" x14ac:dyDescent="0.25">
      <c r="A3611" s="74">
        <v>8403</v>
      </c>
    </row>
    <row r="3612" spans="1:1" x14ac:dyDescent="0.25">
      <c r="A3612" s="74">
        <v>8404</v>
      </c>
    </row>
    <row r="3613" spans="1:1" x14ac:dyDescent="0.25">
      <c r="A3613" s="74">
        <v>8405</v>
      </c>
    </row>
    <row r="3614" spans="1:1" x14ac:dyDescent="0.25">
      <c r="A3614" s="74">
        <v>8406</v>
      </c>
    </row>
    <row r="3615" spans="1:1" x14ac:dyDescent="0.25">
      <c r="A3615" s="74">
        <v>8407</v>
      </c>
    </row>
    <row r="3616" spans="1:1" x14ac:dyDescent="0.25">
      <c r="A3616" s="74">
        <v>8408</v>
      </c>
    </row>
    <row r="3617" spans="1:1" x14ac:dyDescent="0.25">
      <c r="A3617" s="74">
        <v>8409</v>
      </c>
    </row>
    <row r="3618" spans="1:1" x14ac:dyDescent="0.25">
      <c r="A3618" s="74">
        <v>8410</v>
      </c>
    </row>
    <row r="3619" spans="1:1" x14ac:dyDescent="0.25">
      <c r="A3619" s="74">
        <v>8411</v>
      </c>
    </row>
    <row r="3620" spans="1:1" x14ac:dyDescent="0.25">
      <c r="A3620" s="74">
        <v>8412</v>
      </c>
    </row>
    <row r="3621" spans="1:1" x14ac:dyDescent="0.25">
      <c r="A3621" s="74">
        <v>8413</v>
      </c>
    </row>
    <row r="3622" spans="1:1" x14ac:dyDescent="0.25">
      <c r="A3622" s="74">
        <v>8414</v>
      </c>
    </row>
    <row r="3623" spans="1:1" x14ac:dyDescent="0.25">
      <c r="A3623" s="74">
        <v>8415</v>
      </c>
    </row>
    <row r="3624" spans="1:1" x14ac:dyDescent="0.25">
      <c r="A3624" s="74">
        <v>8416</v>
      </c>
    </row>
    <row r="3625" spans="1:1" x14ac:dyDescent="0.25">
      <c r="A3625" s="74">
        <v>8417</v>
      </c>
    </row>
    <row r="3626" spans="1:1" x14ac:dyDescent="0.25">
      <c r="A3626" s="74">
        <v>8418</v>
      </c>
    </row>
    <row r="3627" spans="1:1" x14ac:dyDescent="0.25">
      <c r="A3627" s="74">
        <v>8419</v>
      </c>
    </row>
    <row r="3628" spans="1:1" x14ac:dyDescent="0.25">
      <c r="A3628" s="74">
        <v>8420</v>
      </c>
    </row>
    <row r="3629" spans="1:1" x14ac:dyDescent="0.25">
      <c r="A3629" s="74">
        <v>8421</v>
      </c>
    </row>
    <row r="3630" spans="1:1" x14ac:dyDescent="0.25">
      <c r="A3630" s="74">
        <v>8422</v>
      </c>
    </row>
    <row r="3631" spans="1:1" x14ac:dyDescent="0.25">
      <c r="A3631" s="74">
        <v>8423</v>
      </c>
    </row>
    <row r="3632" spans="1:1" x14ac:dyDescent="0.25">
      <c r="A3632" s="74">
        <v>8424</v>
      </c>
    </row>
    <row r="3633" spans="1:1" x14ac:dyDescent="0.25">
      <c r="A3633" s="74">
        <v>8425</v>
      </c>
    </row>
    <row r="3634" spans="1:1" x14ac:dyDescent="0.25">
      <c r="A3634" s="74">
        <v>8426</v>
      </c>
    </row>
    <row r="3635" spans="1:1" x14ac:dyDescent="0.25">
      <c r="A3635" s="74">
        <v>8427</v>
      </c>
    </row>
    <row r="3636" spans="1:1" x14ac:dyDescent="0.25">
      <c r="A3636" s="74">
        <v>8428</v>
      </c>
    </row>
    <row r="3637" spans="1:1" x14ac:dyDescent="0.25">
      <c r="A3637" s="74">
        <v>8429</v>
      </c>
    </row>
    <row r="3638" spans="1:1" x14ac:dyDescent="0.25">
      <c r="A3638" s="74">
        <v>8430</v>
      </c>
    </row>
    <row r="3639" spans="1:1" x14ac:dyDescent="0.25">
      <c r="A3639" s="74">
        <v>8431</v>
      </c>
    </row>
    <row r="3640" spans="1:1" x14ac:dyDescent="0.25">
      <c r="A3640" s="74">
        <v>8432</v>
      </c>
    </row>
    <row r="3641" spans="1:1" x14ac:dyDescent="0.25">
      <c r="A3641" s="74">
        <v>8433</v>
      </c>
    </row>
    <row r="3642" spans="1:1" x14ac:dyDescent="0.25">
      <c r="A3642" s="74">
        <v>8434</v>
      </c>
    </row>
    <row r="3643" spans="1:1" x14ac:dyDescent="0.25">
      <c r="A3643" s="74">
        <v>8435</v>
      </c>
    </row>
    <row r="3644" spans="1:1" x14ac:dyDescent="0.25">
      <c r="A3644" s="74">
        <v>8436</v>
      </c>
    </row>
    <row r="3645" spans="1:1" x14ac:dyDescent="0.25">
      <c r="A3645" s="74">
        <v>8437</v>
      </c>
    </row>
    <row r="3646" spans="1:1" x14ac:dyDescent="0.25">
      <c r="A3646" s="74">
        <v>8438</v>
      </c>
    </row>
    <row r="3647" spans="1:1" x14ac:dyDescent="0.25">
      <c r="A3647" s="74">
        <v>8439</v>
      </c>
    </row>
    <row r="3648" spans="1:1" x14ac:dyDescent="0.25">
      <c r="A3648" s="74">
        <v>8440</v>
      </c>
    </row>
    <row r="3649" spans="1:1" x14ac:dyDescent="0.25">
      <c r="A3649" s="74">
        <v>8441</v>
      </c>
    </row>
    <row r="3650" spans="1:1" x14ac:dyDescent="0.25">
      <c r="A3650" s="74">
        <v>8442</v>
      </c>
    </row>
    <row r="3651" spans="1:1" x14ac:dyDescent="0.25">
      <c r="A3651" s="74">
        <v>8443</v>
      </c>
    </row>
    <row r="3652" spans="1:1" x14ac:dyDescent="0.25">
      <c r="A3652" s="74">
        <v>8444</v>
      </c>
    </row>
    <row r="3653" spans="1:1" x14ac:dyDescent="0.25">
      <c r="A3653" s="74">
        <v>8445</v>
      </c>
    </row>
    <row r="3654" spans="1:1" x14ac:dyDescent="0.25">
      <c r="A3654" s="74">
        <v>8446</v>
      </c>
    </row>
    <row r="3655" spans="1:1" x14ac:dyDescent="0.25">
      <c r="A3655" s="74">
        <v>8447</v>
      </c>
    </row>
    <row r="3656" spans="1:1" x14ac:dyDescent="0.25">
      <c r="A3656" s="74">
        <v>8448</v>
      </c>
    </row>
    <row r="3657" spans="1:1" x14ac:dyDescent="0.25">
      <c r="A3657" s="74">
        <v>8449</v>
      </c>
    </row>
    <row r="3658" spans="1:1" x14ac:dyDescent="0.25">
      <c r="A3658" s="74">
        <v>8450</v>
      </c>
    </row>
    <row r="3659" spans="1:1" x14ac:dyDescent="0.25">
      <c r="A3659" s="74">
        <v>8451</v>
      </c>
    </row>
    <row r="3660" spans="1:1" x14ac:dyDescent="0.25">
      <c r="A3660" s="74">
        <v>8452</v>
      </c>
    </row>
    <row r="3661" spans="1:1" x14ac:dyDescent="0.25">
      <c r="A3661" s="74">
        <v>8453</v>
      </c>
    </row>
    <row r="3662" spans="1:1" x14ac:dyDescent="0.25">
      <c r="A3662" s="74">
        <v>8454</v>
      </c>
    </row>
    <row r="3663" spans="1:1" x14ac:dyDescent="0.25">
      <c r="A3663" s="74">
        <v>8455</v>
      </c>
    </row>
    <row r="3664" spans="1:1" x14ac:dyDescent="0.25">
      <c r="A3664" s="74">
        <v>8456</v>
      </c>
    </row>
    <row r="3665" spans="1:1" x14ac:dyDescent="0.25">
      <c r="A3665" s="74">
        <v>8457</v>
      </c>
    </row>
    <row r="3666" spans="1:1" x14ac:dyDescent="0.25">
      <c r="A3666" s="74">
        <v>8458</v>
      </c>
    </row>
    <row r="3667" spans="1:1" x14ac:dyDescent="0.25">
      <c r="A3667" s="74">
        <v>8459</v>
      </c>
    </row>
    <row r="3668" spans="1:1" x14ac:dyDescent="0.25">
      <c r="A3668" s="74">
        <v>8460</v>
      </c>
    </row>
    <row r="3669" spans="1:1" x14ac:dyDescent="0.25">
      <c r="A3669" s="74">
        <v>8461</v>
      </c>
    </row>
    <row r="3670" spans="1:1" x14ac:dyDescent="0.25">
      <c r="A3670" s="74">
        <v>8462</v>
      </c>
    </row>
    <row r="3671" spans="1:1" x14ac:dyDescent="0.25">
      <c r="A3671" s="74">
        <v>8463</v>
      </c>
    </row>
    <row r="3672" spans="1:1" x14ac:dyDescent="0.25">
      <c r="A3672" s="74">
        <v>8464</v>
      </c>
    </row>
    <row r="3673" spans="1:1" x14ac:dyDescent="0.25">
      <c r="A3673" s="74">
        <v>8465</v>
      </c>
    </row>
    <row r="3674" spans="1:1" x14ac:dyDescent="0.25">
      <c r="A3674" s="74">
        <v>8466</v>
      </c>
    </row>
    <row r="3675" spans="1:1" x14ac:dyDescent="0.25">
      <c r="A3675" s="74">
        <v>8467</v>
      </c>
    </row>
    <row r="3676" spans="1:1" x14ac:dyDescent="0.25">
      <c r="A3676" s="74">
        <v>8468</v>
      </c>
    </row>
    <row r="3677" spans="1:1" x14ac:dyDescent="0.25">
      <c r="A3677" s="74">
        <v>8469</v>
      </c>
    </row>
    <row r="3678" spans="1:1" x14ac:dyDescent="0.25">
      <c r="A3678" s="74">
        <v>8470</v>
      </c>
    </row>
    <row r="3679" spans="1:1" x14ac:dyDescent="0.25">
      <c r="A3679" s="74">
        <v>8471</v>
      </c>
    </row>
    <row r="3680" spans="1:1" x14ac:dyDescent="0.25">
      <c r="A3680" s="74">
        <v>8472</v>
      </c>
    </row>
    <row r="3681" spans="1:1" x14ac:dyDescent="0.25">
      <c r="A3681" s="74">
        <v>8473</v>
      </c>
    </row>
    <row r="3682" spans="1:1" x14ac:dyDescent="0.25">
      <c r="A3682" s="74">
        <v>8474</v>
      </c>
    </row>
    <row r="3683" spans="1:1" x14ac:dyDescent="0.25">
      <c r="A3683" s="74">
        <v>8475</v>
      </c>
    </row>
    <row r="3684" spans="1:1" x14ac:dyDescent="0.25">
      <c r="A3684" s="74">
        <v>8476</v>
      </c>
    </row>
    <row r="3685" spans="1:1" x14ac:dyDescent="0.25">
      <c r="A3685" s="74">
        <v>8477</v>
      </c>
    </row>
    <row r="3686" spans="1:1" x14ac:dyDescent="0.25">
      <c r="A3686" s="74">
        <v>8478</v>
      </c>
    </row>
    <row r="3687" spans="1:1" x14ac:dyDescent="0.25">
      <c r="A3687" s="74">
        <v>8479</v>
      </c>
    </row>
    <row r="3688" spans="1:1" x14ac:dyDescent="0.25">
      <c r="A3688" s="74">
        <v>8480</v>
      </c>
    </row>
    <row r="3689" spans="1:1" x14ac:dyDescent="0.25">
      <c r="A3689" s="74">
        <v>8481</v>
      </c>
    </row>
    <row r="3690" spans="1:1" x14ac:dyDescent="0.25">
      <c r="A3690" s="74">
        <v>8482</v>
      </c>
    </row>
    <row r="3691" spans="1:1" x14ac:dyDescent="0.25">
      <c r="A3691" s="74">
        <v>8483</v>
      </c>
    </row>
    <row r="3692" spans="1:1" x14ac:dyDescent="0.25">
      <c r="A3692" s="74">
        <v>8484</v>
      </c>
    </row>
    <row r="3693" spans="1:1" x14ac:dyDescent="0.25">
      <c r="A3693" s="74">
        <v>8485</v>
      </c>
    </row>
    <row r="3694" spans="1:1" x14ac:dyDescent="0.25">
      <c r="A3694" s="74">
        <v>8486</v>
      </c>
    </row>
    <row r="3695" spans="1:1" x14ac:dyDescent="0.25">
      <c r="A3695" s="74">
        <v>8487</v>
      </c>
    </row>
    <row r="3696" spans="1:1" x14ac:dyDescent="0.25">
      <c r="A3696" s="74">
        <v>8488</v>
      </c>
    </row>
    <row r="3697" spans="1:1" x14ac:dyDescent="0.25">
      <c r="A3697" s="74">
        <v>8489</v>
      </c>
    </row>
    <row r="3698" spans="1:1" x14ac:dyDescent="0.25">
      <c r="A3698" s="74">
        <v>8490</v>
      </c>
    </row>
    <row r="3699" spans="1:1" x14ac:dyDescent="0.25">
      <c r="A3699" s="74">
        <v>8491</v>
      </c>
    </row>
    <row r="3700" spans="1:1" x14ac:dyDescent="0.25">
      <c r="A3700" s="74">
        <v>8492</v>
      </c>
    </row>
    <row r="3701" spans="1:1" x14ac:dyDescent="0.25">
      <c r="A3701" s="74">
        <v>8493</v>
      </c>
    </row>
    <row r="3702" spans="1:1" x14ac:dyDescent="0.25">
      <c r="A3702" s="74">
        <v>8494</v>
      </c>
    </row>
    <row r="3703" spans="1:1" x14ac:dyDescent="0.25">
      <c r="A3703" s="74">
        <v>8495</v>
      </c>
    </row>
    <row r="3704" spans="1:1" x14ac:dyDescent="0.25">
      <c r="A3704" s="74">
        <v>8496</v>
      </c>
    </row>
    <row r="3705" spans="1:1" x14ac:dyDescent="0.25">
      <c r="A3705" s="74">
        <v>8497</v>
      </c>
    </row>
    <row r="3706" spans="1:1" x14ac:dyDescent="0.25">
      <c r="A3706" s="74">
        <v>8498</v>
      </c>
    </row>
    <row r="3707" spans="1:1" x14ac:dyDescent="0.25">
      <c r="A3707" s="74">
        <v>8499</v>
      </c>
    </row>
    <row r="3708" spans="1:1" x14ac:dyDescent="0.25">
      <c r="A3708" s="74">
        <v>8500</v>
      </c>
    </row>
    <row r="3709" spans="1:1" x14ac:dyDescent="0.25">
      <c r="A3709" s="74">
        <v>8501</v>
      </c>
    </row>
    <row r="3710" spans="1:1" x14ac:dyDescent="0.25">
      <c r="A3710" s="74">
        <v>8502</v>
      </c>
    </row>
    <row r="3711" spans="1:1" x14ac:dyDescent="0.25">
      <c r="A3711" s="74">
        <v>8503</v>
      </c>
    </row>
    <row r="3712" spans="1:1" x14ac:dyDescent="0.25">
      <c r="A3712" s="74">
        <v>8504</v>
      </c>
    </row>
    <row r="3713" spans="1:1" x14ac:dyDescent="0.25">
      <c r="A3713" s="74">
        <v>8505</v>
      </c>
    </row>
    <row r="3714" spans="1:1" x14ac:dyDescent="0.25">
      <c r="A3714" s="74">
        <v>8506</v>
      </c>
    </row>
    <row r="3715" spans="1:1" x14ac:dyDescent="0.25">
      <c r="A3715" s="74">
        <v>8507</v>
      </c>
    </row>
    <row r="3716" spans="1:1" x14ac:dyDescent="0.25">
      <c r="A3716" s="74">
        <v>8508</v>
      </c>
    </row>
    <row r="3717" spans="1:1" x14ac:dyDescent="0.25">
      <c r="A3717" s="74">
        <v>8509</v>
      </c>
    </row>
    <row r="3718" spans="1:1" x14ac:dyDescent="0.25">
      <c r="A3718" s="74">
        <v>8510</v>
      </c>
    </row>
    <row r="3719" spans="1:1" x14ac:dyDescent="0.25">
      <c r="A3719" s="74">
        <v>8511</v>
      </c>
    </row>
    <row r="3720" spans="1:1" x14ac:dyDescent="0.25">
      <c r="A3720" s="74">
        <v>8512</v>
      </c>
    </row>
    <row r="3721" spans="1:1" x14ac:dyDescent="0.25">
      <c r="A3721" s="74">
        <v>8513</v>
      </c>
    </row>
    <row r="3722" spans="1:1" x14ac:dyDescent="0.25">
      <c r="A3722" s="74">
        <v>8514</v>
      </c>
    </row>
    <row r="3723" spans="1:1" x14ac:dyDescent="0.25">
      <c r="A3723" s="74">
        <v>8515</v>
      </c>
    </row>
    <row r="3724" spans="1:1" x14ac:dyDescent="0.25">
      <c r="A3724" s="74">
        <v>8516</v>
      </c>
    </row>
    <row r="3725" spans="1:1" x14ac:dyDescent="0.25">
      <c r="A3725" s="74">
        <v>8517</v>
      </c>
    </row>
    <row r="3726" spans="1:1" x14ac:dyDescent="0.25">
      <c r="A3726" s="74">
        <v>8518</v>
      </c>
    </row>
    <row r="3727" spans="1:1" x14ac:dyDescent="0.25">
      <c r="A3727" s="74">
        <v>8519</v>
      </c>
    </row>
    <row r="3728" spans="1:1" x14ac:dyDescent="0.25">
      <c r="A3728" s="74">
        <v>8520</v>
      </c>
    </row>
    <row r="3729" spans="1:1" x14ac:dyDescent="0.25">
      <c r="A3729" s="74">
        <v>8521</v>
      </c>
    </row>
    <row r="3730" spans="1:1" x14ac:dyDescent="0.25">
      <c r="A3730" s="74">
        <v>8522</v>
      </c>
    </row>
    <row r="3731" spans="1:1" x14ac:dyDescent="0.25">
      <c r="A3731" s="74">
        <v>8523</v>
      </c>
    </row>
    <row r="3732" spans="1:1" x14ac:dyDescent="0.25">
      <c r="A3732" s="74">
        <v>8524</v>
      </c>
    </row>
    <row r="3733" spans="1:1" x14ac:dyDescent="0.25">
      <c r="A3733" s="74">
        <v>8525</v>
      </c>
    </row>
    <row r="3734" spans="1:1" x14ac:dyDescent="0.25">
      <c r="A3734" s="74">
        <v>8526</v>
      </c>
    </row>
    <row r="3735" spans="1:1" x14ac:dyDescent="0.25">
      <c r="A3735" s="74">
        <v>8527</v>
      </c>
    </row>
    <row r="3736" spans="1:1" x14ac:dyDescent="0.25">
      <c r="A3736" s="74">
        <v>8528</v>
      </c>
    </row>
    <row r="3737" spans="1:1" x14ac:dyDescent="0.25">
      <c r="A3737" s="74">
        <v>8529</v>
      </c>
    </row>
    <row r="3738" spans="1:1" x14ac:dyDescent="0.25">
      <c r="A3738" s="74">
        <v>8530</v>
      </c>
    </row>
    <row r="3739" spans="1:1" x14ac:dyDescent="0.25">
      <c r="A3739" s="74">
        <v>8531</v>
      </c>
    </row>
    <row r="3740" spans="1:1" x14ac:dyDescent="0.25">
      <c r="A3740" s="74">
        <v>8532</v>
      </c>
    </row>
    <row r="3741" spans="1:1" x14ac:dyDescent="0.25">
      <c r="A3741" s="74">
        <v>8533</v>
      </c>
    </row>
    <row r="3742" spans="1:1" x14ac:dyDescent="0.25">
      <c r="A3742" s="74">
        <v>8534</v>
      </c>
    </row>
    <row r="3743" spans="1:1" x14ac:dyDescent="0.25">
      <c r="A3743" s="74">
        <v>8535</v>
      </c>
    </row>
    <row r="3744" spans="1:1" x14ac:dyDescent="0.25">
      <c r="A3744" s="74">
        <v>8536</v>
      </c>
    </row>
    <row r="3745" spans="1:1" x14ac:dyDescent="0.25">
      <c r="A3745" s="74">
        <v>8537</v>
      </c>
    </row>
    <row r="3746" spans="1:1" x14ac:dyDescent="0.25">
      <c r="A3746" s="74">
        <v>8538</v>
      </c>
    </row>
    <row r="3747" spans="1:1" x14ac:dyDescent="0.25">
      <c r="A3747" s="74">
        <v>8539</v>
      </c>
    </row>
    <row r="3748" spans="1:1" x14ac:dyDescent="0.25">
      <c r="A3748" s="74">
        <v>8540</v>
      </c>
    </row>
    <row r="3749" spans="1:1" x14ac:dyDescent="0.25">
      <c r="A3749" s="74">
        <v>8541</v>
      </c>
    </row>
    <row r="3750" spans="1:1" x14ac:dyDescent="0.25">
      <c r="A3750" s="74">
        <v>8542</v>
      </c>
    </row>
    <row r="3751" spans="1:1" x14ac:dyDescent="0.25">
      <c r="A3751" s="74">
        <v>8543</v>
      </c>
    </row>
    <row r="3752" spans="1:1" x14ac:dyDescent="0.25">
      <c r="A3752" s="74">
        <v>8544</v>
      </c>
    </row>
    <row r="3753" spans="1:1" x14ac:dyDescent="0.25">
      <c r="A3753" s="74">
        <v>8545</v>
      </c>
    </row>
    <row r="3754" spans="1:1" x14ac:dyDescent="0.25">
      <c r="A3754" s="74">
        <v>8546</v>
      </c>
    </row>
    <row r="3755" spans="1:1" x14ac:dyDescent="0.25">
      <c r="A3755" s="74">
        <v>8547</v>
      </c>
    </row>
    <row r="3756" spans="1:1" x14ac:dyDescent="0.25">
      <c r="A3756" s="74">
        <v>8548</v>
      </c>
    </row>
    <row r="3757" spans="1:1" x14ac:dyDescent="0.25">
      <c r="A3757" s="74">
        <v>8549</v>
      </c>
    </row>
    <row r="3758" spans="1:1" x14ac:dyDescent="0.25">
      <c r="A3758" s="74">
        <v>8550</v>
      </c>
    </row>
    <row r="3759" spans="1:1" x14ac:dyDescent="0.25">
      <c r="A3759" s="74">
        <v>8551</v>
      </c>
    </row>
    <row r="3760" spans="1:1" x14ac:dyDescent="0.25">
      <c r="A3760" s="74">
        <v>8552</v>
      </c>
    </row>
    <row r="3761" spans="1:1" x14ac:dyDescent="0.25">
      <c r="A3761" s="74">
        <v>8553</v>
      </c>
    </row>
    <row r="3762" spans="1:1" x14ac:dyDescent="0.25">
      <c r="A3762" s="74">
        <v>8554</v>
      </c>
    </row>
    <row r="3763" spans="1:1" x14ac:dyDescent="0.25">
      <c r="A3763" s="74">
        <v>8555</v>
      </c>
    </row>
    <row r="3764" spans="1:1" x14ac:dyDescent="0.25">
      <c r="A3764" s="74">
        <v>8556</v>
      </c>
    </row>
    <row r="3765" spans="1:1" x14ac:dyDescent="0.25">
      <c r="A3765" s="74">
        <v>8557</v>
      </c>
    </row>
    <row r="3766" spans="1:1" x14ac:dyDescent="0.25">
      <c r="A3766" s="74">
        <v>8558</v>
      </c>
    </row>
    <row r="3767" spans="1:1" x14ac:dyDescent="0.25">
      <c r="A3767" s="74">
        <v>8559</v>
      </c>
    </row>
    <row r="3768" spans="1:1" x14ac:dyDescent="0.25">
      <c r="A3768" s="74">
        <v>8560</v>
      </c>
    </row>
    <row r="3769" spans="1:1" x14ac:dyDescent="0.25">
      <c r="A3769" s="74">
        <v>8561</v>
      </c>
    </row>
    <row r="3770" spans="1:1" x14ac:dyDescent="0.25">
      <c r="A3770" s="74">
        <v>8562</v>
      </c>
    </row>
    <row r="3771" spans="1:1" x14ac:dyDescent="0.25">
      <c r="A3771" s="74">
        <v>8563</v>
      </c>
    </row>
    <row r="3772" spans="1:1" x14ac:dyDescent="0.25">
      <c r="A3772" s="74">
        <v>8564</v>
      </c>
    </row>
    <row r="3773" spans="1:1" x14ac:dyDescent="0.25">
      <c r="A3773" s="74">
        <v>8565</v>
      </c>
    </row>
    <row r="3774" spans="1:1" x14ac:dyDescent="0.25">
      <c r="A3774" s="74">
        <v>8566</v>
      </c>
    </row>
    <row r="3775" spans="1:1" x14ac:dyDescent="0.25">
      <c r="A3775" s="74">
        <v>8567</v>
      </c>
    </row>
    <row r="3776" spans="1:1" x14ac:dyDescent="0.25">
      <c r="A3776" s="74">
        <v>8568</v>
      </c>
    </row>
    <row r="3777" spans="1:1" x14ac:dyDescent="0.25">
      <c r="A3777" s="74">
        <v>8569</v>
      </c>
    </row>
    <row r="3778" spans="1:1" x14ac:dyDescent="0.25">
      <c r="A3778" s="74">
        <v>8570</v>
      </c>
    </row>
    <row r="3779" spans="1:1" x14ac:dyDescent="0.25">
      <c r="A3779" s="74">
        <v>8571</v>
      </c>
    </row>
    <row r="3780" spans="1:1" x14ac:dyDescent="0.25">
      <c r="A3780" s="74">
        <v>8572</v>
      </c>
    </row>
    <row r="3781" spans="1:1" x14ac:dyDescent="0.25">
      <c r="A3781" s="74">
        <v>8573</v>
      </c>
    </row>
    <row r="3782" spans="1:1" x14ac:dyDescent="0.25">
      <c r="A3782" s="74">
        <v>8574</v>
      </c>
    </row>
    <row r="3783" spans="1:1" x14ac:dyDescent="0.25">
      <c r="A3783" s="74">
        <v>8575</v>
      </c>
    </row>
    <row r="3784" spans="1:1" x14ac:dyDescent="0.25">
      <c r="A3784" s="74">
        <v>8576</v>
      </c>
    </row>
    <row r="3785" spans="1:1" x14ac:dyDescent="0.25">
      <c r="A3785" s="74">
        <v>8577</v>
      </c>
    </row>
    <row r="3786" spans="1:1" x14ac:dyDescent="0.25">
      <c r="A3786" s="74">
        <v>8578</v>
      </c>
    </row>
    <row r="3787" spans="1:1" x14ac:dyDescent="0.25">
      <c r="A3787" s="74">
        <v>8579</v>
      </c>
    </row>
    <row r="3788" spans="1:1" x14ac:dyDescent="0.25">
      <c r="A3788" s="74">
        <v>8580</v>
      </c>
    </row>
    <row r="3789" spans="1:1" x14ac:dyDescent="0.25">
      <c r="A3789" s="74">
        <v>8581</v>
      </c>
    </row>
    <row r="3790" spans="1:1" x14ac:dyDescent="0.25">
      <c r="A3790" s="74">
        <v>8582</v>
      </c>
    </row>
    <row r="3791" spans="1:1" x14ac:dyDescent="0.25">
      <c r="A3791" s="74">
        <v>8583</v>
      </c>
    </row>
    <row r="3792" spans="1:1" x14ac:dyDescent="0.25">
      <c r="A3792" s="74">
        <v>8584</v>
      </c>
    </row>
    <row r="3793" spans="1:1" x14ac:dyDescent="0.25">
      <c r="A3793" s="74">
        <v>8585</v>
      </c>
    </row>
    <row r="3794" spans="1:1" x14ac:dyDescent="0.25">
      <c r="A3794" s="74">
        <v>8586</v>
      </c>
    </row>
    <row r="3795" spans="1:1" x14ac:dyDescent="0.25">
      <c r="A3795" s="74">
        <v>8587</v>
      </c>
    </row>
    <row r="3796" spans="1:1" x14ac:dyDescent="0.25">
      <c r="A3796" s="74">
        <v>8588</v>
      </c>
    </row>
    <row r="3797" spans="1:1" x14ac:dyDescent="0.25">
      <c r="A3797" s="74">
        <v>8589</v>
      </c>
    </row>
    <row r="3798" spans="1:1" x14ac:dyDescent="0.25">
      <c r="A3798" s="74">
        <v>8590</v>
      </c>
    </row>
    <row r="3799" spans="1:1" x14ac:dyDescent="0.25">
      <c r="A3799" s="74">
        <v>8591</v>
      </c>
    </row>
    <row r="3800" spans="1:1" x14ac:dyDescent="0.25">
      <c r="A3800" s="74">
        <v>8592</v>
      </c>
    </row>
    <row r="3801" spans="1:1" x14ac:dyDescent="0.25">
      <c r="A3801" s="74">
        <v>8593</v>
      </c>
    </row>
    <row r="3802" spans="1:1" x14ac:dyDescent="0.25">
      <c r="A3802" s="74">
        <v>8594</v>
      </c>
    </row>
    <row r="3803" spans="1:1" x14ac:dyDescent="0.25">
      <c r="A3803" s="74">
        <v>8595</v>
      </c>
    </row>
    <row r="3804" spans="1:1" x14ac:dyDescent="0.25">
      <c r="A3804" s="74">
        <v>8596</v>
      </c>
    </row>
    <row r="3805" spans="1:1" x14ac:dyDescent="0.25">
      <c r="A3805" s="74">
        <v>8597</v>
      </c>
    </row>
    <row r="3806" spans="1:1" x14ac:dyDescent="0.25">
      <c r="A3806" s="74">
        <v>8598</v>
      </c>
    </row>
    <row r="3807" spans="1:1" x14ac:dyDescent="0.25">
      <c r="A3807" s="74">
        <v>8599</v>
      </c>
    </row>
    <row r="3808" spans="1:1" x14ac:dyDescent="0.25">
      <c r="A3808" s="74">
        <v>8600</v>
      </c>
    </row>
    <row r="3809" spans="1:1" x14ac:dyDescent="0.25">
      <c r="A3809" s="74">
        <v>8601</v>
      </c>
    </row>
    <row r="3810" spans="1:1" x14ac:dyDescent="0.25">
      <c r="A3810" s="74">
        <v>8602</v>
      </c>
    </row>
    <row r="3811" spans="1:1" x14ac:dyDescent="0.25">
      <c r="A3811" s="74">
        <v>8603</v>
      </c>
    </row>
    <row r="3812" spans="1:1" x14ac:dyDescent="0.25">
      <c r="A3812" s="74">
        <v>8604</v>
      </c>
    </row>
    <row r="3813" spans="1:1" x14ac:dyDescent="0.25">
      <c r="A3813" s="74">
        <v>8605</v>
      </c>
    </row>
    <row r="3814" spans="1:1" x14ac:dyDescent="0.25">
      <c r="A3814" s="74">
        <v>8606</v>
      </c>
    </row>
    <row r="3815" spans="1:1" x14ac:dyDescent="0.25">
      <c r="A3815" s="74">
        <v>8607</v>
      </c>
    </row>
    <row r="3816" spans="1:1" x14ac:dyDescent="0.25">
      <c r="A3816" s="74">
        <v>8608</v>
      </c>
    </row>
    <row r="3817" spans="1:1" x14ac:dyDescent="0.25">
      <c r="A3817" s="74">
        <v>8609</v>
      </c>
    </row>
    <row r="3818" spans="1:1" x14ac:dyDescent="0.25">
      <c r="A3818" s="74">
        <v>8610</v>
      </c>
    </row>
    <row r="3819" spans="1:1" x14ac:dyDescent="0.25">
      <c r="A3819" s="74">
        <v>8611</v>
      </c>
    </row>
    <row r="3820" spans="1:1" x14ac:dyDescent="0.25">
      <c r="A3820" s="74">
        <v>8612</v>
      </c>
    </row>
    <row r="3821" spans="1:1" x14ac:dyDescent="0.25">
      <c r="A3821" s="74">
        <v>8613</v>
      </c>
    </row>
    <row r="3822" spans="1:1" x14ac:dyDescent="0.25">
      <c r="A3822" s="74">
        <v>8614</v>
      </c>
    </row>
    <row r="3823" spans="1:1" x14ac:dyDescent="0.25">
      <c r="A3823" s="74">
        <v>8615</v>
      </c>
    </row>
    <row r="3824" spans="1:1" x14ac:dyDescent="0.25">
      <c r="A3824" s="74">
        <v>8616</v>
      </c>
    </row>
    <row r="3825" spans="1:1" x14ac:dyDescent="0.25">
      <c r="A3825" s="74">
        <v>8617</v>
      </c>
    </row>
    <row r="3826" spans="1:1" x14ac:dyDescent="0.25">
      <c r="A3826" s="74">
        <v>8618</v>
      </c>
    </row>
    <row r="3827" spans="1:1" x14ac:dyDescent="0.25">
      <c r="A3827" s="74">
        <v>8619</v>
      </c>
    </row>
    <row r="3828" spans="1:1" x14ac:dyDescent="0.25">
      <c r="A3828" s="74">
        <v>8620</v>
      </c>
    </row>
    <row r="3829" spans="1:1" x14ac:dyDescent="0.25">
      <c r="A3829" s="74">
        <v>8621</v>
      </c>
    </row>
    <row r="3830" spans="1:1" x14ac:dyDescent="0.25">
      <c r="A3830" s="74">
        <v>8622</v>
      </c>
    </row>
    <row r="3831" spans="1:1" x14ac:dyDescent="0.25">
      <c r="A3831" s="74">
        <v>8623</v>
      </c>
    </row>
    <row r="3832" spans="1:1" x14ac:dyDescent="0.25">
      <c r="A3832" s="74">
        <v>8624</v>
      </c>
    </row>
    <row r="3833" spans="1:1" x14ac:dyDescent="0.25">
      <c r="A3833" s="74">
        <v>8625</v>
      </c>
    </row>
    <row r="3834" spans="1:1" x14ac:dyDescent="0.25">
      <c r="A3834" s="74">
        <v>8626</v>
      </c>
    </row>
    <row r="3835" spans="1:1" x14ac:dyDescent="0.25">
      <c r="A3835" s="74">
        <v>8627</v>
      </c>
    </row>
    <row r="3836" spans="1:1" x14ac:dyDescent="0.25">
      <c r="A3836" s="74">
        <v>8628</v>
      </c>
    </row>
    <row r="3837" spans="1:1" x14ac:dyDescent="0.25">
      <c r="A3837" s="74">
        <v>8629</v>
      </c>
    </row>
    <row r="3838" spans="1:1" x14ac:dyDescent="0.25">
      <c r="A3838" s="74">
        <v>8630</v>
      </c>
    </row>
    <row r="3839" spans="1:1" x14ac:dyDescent="0.25">
      <c r="A3839" s="74">
        <v>8631</v>
      </c>
    </row>
    <row r="3840" spans="1:1" x14ac:dyDescent="0.25">
      <c r="A3840" s="74">
        <v>8632</v>
      </c>
    </row>
    <row r="3841" spans="1:1" x14ac:dyDescent="0.25">
      <c r="A3841" s="74">
        <v>8633</v>
      </c>
    </row>
    <row r="3842" spans="1:1" x14ac:dyDescent="0.25">
      <c r="A3842" s="74">
        <v>8634</v>
      </c>
    </row>
    <row r="3843" spans="1:1" x14ac:dyDescent="0.25">
      <c r="A3843" s="74">
        <v>8635</v>
      </c>
    </row>
    <row r="3844" spans="1:1" x14ac:dyDescent="0.25">
      <c r="A3844" s="74">
        <v>8636</v>
      </c>
    </row>
    <row r="3845" spans="1:1" x14ac:dyDescent="0.25">
      <c r="A3845" s="74">
        <v>8637</v>
      </c>
    </row>
    <row r="3846" spans="1:1" x14ac:dyDescent="0.25">
      <c r="A3846" s="74">
        <v>8638</v>
      </c>
    </row>
    <row r="3847" spans="1:1" x14ac:dyDescent="0.25">
      <c r="A3847" s="74">
        <v>8639</v>
      </c>
    </row>
    <row r="3848" spans="1:1" x14ac:dyDescent="0.25">
      <c r="A3848" s="74">
        <v>8640</v>
      </c>
    </row>
    <row r="3849" spans="1:1" x14ac:dyDescent="0.25">
      <c r="A3849" s="74">
        <v>8641</v>
      </c>
    </row>
    <row r="3850" spans="1:1" x14ac:dyDescent="0.25">
      <c r="A3850" s="74">
        <v>8642</v>
      </c>
    </row>
    <row r="3851" spans="1:1" x14ac:dyDescent="0.25">
      <c r="A3851" s="74">
        <v>8643</v>
      </c>
    </row>
    <row r="3852" spans="1:1" x14ac:dyDescent="0.25">
      <c r="A3852" s="74">
        <v>8644</v>
      </c>
    </row>
    <row r="3853" spans="1:1" x14ac:dyDescent="0.25">
      <c r="A3853" s="74">
        <v>8645</v>
      </c>
    </row>
    <row r="3854" spans="1:1" x14ac:dyDescent="0.25">
      <c r="A3854" s="74">
        <v>8646</v>
      </c>
    </row>
    <row r="3855" spans="1:1" x14ac:dyDescent="0.25">
      <c r="A3855" s="74">
        <v>8647</v>
      </c>
    </row>
    <row r="3856" spans="1:1" x14ac:dyDescent="0.25">
      <c r="A3856" s="74">
        <v>8648</v>
      </c>
    </row>
    <row r="3857" spans="1:1" x14ac:dyDescent="0.25">
      <c r="A3857" s="74">
        <v>8649</v>
      </c>
    </row>
    <row r="3858" spans="1:1" x14ac:dyDescent="0.25">
      <c r="A3858" s="74">
        <v>8650</v>
      </c>
    </row>
    <row r="3859" spans="1:1" x14ac:dyDescent="0.25">
      <c r="A3859" s="74">
        <v>8651</v>
      </c>
    </row>
    <row r="3860" spans="1:1" x14ac:dyDescent="0.25">
      <c r="A3860" s="74">
        <v>8652</v>
      </c>
    </row>
    <row r="3861" spans="1:1" x14ac:dyDescent="0.25">
      <c r="A3861" s="74">
        <v>8653</v>
      </c>
    </row>
    <row r="3862" spans="1:1" x14ac:dyDescent="0.25">
      <c r="A3862" s="74">
        <v>8654</v>
      </c>
    </row>
    <row r="3863" spans="1:1" x14ac:dyDescent="0.25">
      <c r="A3863" s="74">
        <v>8655</v>
      </c>
    </row>
    <row r="3864" spans="1:1" x14ac:dyDescent="0.25">
      <c r="A3864" s="74">
        <v>8656</v>
      </c>
    </row>
    <row r="3865" spans="1:1" x14ac:dyDescent="0.25">
      <c r="A3865" s="74">
        <v>8657</v>
      </c>
    </row>
    <row r="3866" spans="1:1" x14ac:dyDescent="0.25">
      <c r="A3866" s="74">
        <v>8658</v>
      </c>
    </row>
    <row r="3867" spans="1:1" x14ac:dyDescent="0.25">
      <c r="A3867" s="74">
        <v>8659</v>
      </c>
    </row>
    <row r="3868" spans="1:1" x14ac:dyDescent="0.25">
      <c r="A3868" s="74">
        <v>8660</v>
      </c>
    </row>
    <row r="3869" spans="1:1" x14ac:dyDescent="0.25">
      <c r="A3869" s="74">
        <v>8661</v>
      </c>
    </row>
    <row r="3870" spans="1:1" x14ac:dyDescent="0.25">
      <c r="A3870" s="74">
        <v>8662</v>
      </c>
    </row>
    <row r="3871" spans="1:1" x14ac:dyDescent="0.25">
      <c r="A3871" s="74">
        <v>8663</v>
      </c>
    </row>
    <row r="3872" spans="1:1" x14ac:dyDescent="0.25">
      <c r="A3872" s="74">
        <v>8664</v>
      </c>
    </row>
    <row r="3873" spans="1:1" x14ac:dyDescent="0.25">
      <c r="A3873" s="74">
        <v>8665</v>
      </c>
    </row>
    <row r="3874" spans="1:1" x14ac:dyDescent="0.25">
      <c r="A3874" s="74">
        <v>8666</v>
      </c>
    </row>
    <row r="3875" spans="1:1" x14ac:dyDescent="0.25">
      <c r="A3875" s="74">
        <v>8667</v>
      </c>
    </row>
    <row r="3876" spans="1:1" x14ac:dyDescent="0.25">
      <c r="A3876" s="74">
        <v>8668</v>
      </c>
    </row>
    <row r="3877" spans="1:1" x14ac:dyDescent="0.25">
      <c r="A3877" s="74">
        <v>8669</v>
      </c>
    </row>
    <row r="3878" spans="1:1" x14ac:dyDescent="0.25">
      <c r="A3878" s="74">
        <v>8670</v>
      </c>
    </row>
    <row r="3879" spans="1:1" x14ac:dyDescent="0.25">
      <c r="A3879" s="74">
        <v>8671</v>
      </c>
    </row>
    <row r="3880" spans="1:1" x14ac:dyDescent="0.25">
      <c r="A3880" s="74">
        <v>8672</v>
      </c>
    </row>
    <row r="3881" spans="1:1" x14ac:dyDescent="0.25">
      <c r="A3881" s="74">
        <v>8673</v>
      </c>
    </row>
    <row r="3882" spans="1:1" x14ac:dyDescent="0.25">
      <c r="A3882" s="74">
        <v>8674</v>
      </c>
    </row>
    <row r="3883" spans="1:1" x14ac:dyDescent="0.25">
      <c r="A3883" s="74">
        <v>8675</v>
      </c>
    </row>
    <row r="3884" spans="1:1" x14ac:dyDescent="0.25">
      <c r="A3884" s="74">
        <v>8676</v>
      </c>
    </row>
    <row r="3885" spans="1:1" x14ac:dyDescent="0.25">
      <c r="A3885" s="74">
        <v>8677</v>
      </c>
    </row>
    <row r="3886" spans="1:1" x14ac:dyDescent="0.25">
      <c r="A3886" s="74">
        <v>8678</v>
      </c>
    </row>
    <row r="3887" spans="1:1" x14ac:dyDescent="0.25">
      <c r="A3887" s="74">
        <v>8679</v>
      </c>
    </row>
    <row r="3888" spans="1:1" x14ac:dyDescent="0.25">
      <c r="A3888" s="74">
        <v>8680</v>
      </c>
    </row>
    <row r="3889" spans="1:1" x14ac:dyDescent="0.25">
      <c r="A3889" s="74">
        <v>8681</v>
      </c>
    </row>
    <row r="3890" spans="1:1" x14ac:dyDescent="0.25">
      <c r="A3890" s="74">
        <v>8682</v>
      </c>
    </row>
    <row r="3891" spans="1:1" x14ac:dyDescent="0.25">
      <c r="A3891" s="74">
        <v>8683</v>
      </c>
    </row>
    <row r="3892" spans="1:1" x14ac:dyDescent="0.25">
      <c r="A3892" s="74">
        <v>8684</v>
      </c>
    </row>
    <row r="3893" spans="1:1" x14ac:dyDescent="0.25">
      <c r="A3893" s="74">
        <v>8685</v>
      </c>
    </row>
    <row r="3894" spans="1:1" x14ac:dyDescent="0.25">
      <c r="A3894" s="74">
        <v>8686</v>
      </c>
    </row>
    <row r="3895" spans="1:1" x14ac:dyDescent="0.25">
      <c r="A3895" s="74">
        <v>8687</v>
      </c>
    </row>
    <row r="3896" spans="1:1" x14ac:dyDescent="0.25">
      <c r="A3896" s="74">
        <v>8688</v>
      </c>
    </row>
    <row r="3897" spans="1:1" x14ac:dyDescent="0.25">
      <c r="A3897" s="74">
        <v>8689</v>
      </c>
    </row>
    <row r="3898" spans="1:1" x14ac:dyDescent="0.25">
      <c r="A3898" s="74">
        <v>8690</v>
      </c>
    </row>
    <row r="3899" spans="1:1" x14ac:dyDescent="0.25">
      <c r="A3899" s="74">
        <v>8691</v>
      </c>
    </row>
    <row r="3900" spans="1:1" x14ac:dyDescent="0.25">
      <c r="A3900" s="74">
        <v>8692</v>
      </c>
    </row>
    <row r="3901" spans="1:1" x14ac:dyDescent="0.25">
      <c r="A3901" s="74">
        <v>8693</v>
      </c>
    </row>
    <row r="3902" spans="1:1" x14ac:dyDescent="0.25">
      <c r="A3902" s="74">
        <v>8694</v>
      </c>
    </row>
    <row r="3903" spans="1:1" x14ac:dyDescent="0.25">
      <c r="A3903" s="74">
        <v>8695</v>
      </c>
    </row>
    <row r="3904" spans="1:1" x14ac:dyDescent="0.25">
      <c r="A3904" s="74">
        <v>8696</v>
      </c>
    </row>
    <row r="3905" spans="1:1" x14ac:dyDescent="0.25">
      <c r="A3905" s="74">
        <v>8697</v>
      </c>
    </row>
    <row r="3906" spans="1:1" x14ac:dyDescent="0.25">
      <c r="A3906" s="74">
        <v>8698</v>
      </c>
    </row>
    <row r="3907" spans="1:1" x14ac:dyDescent="0.25">
      <c r="A3907" s="74">
        <v>8699</v>
      </c>
    </row>
    <row r="3908" spans="1:1" x14ac:dyDescent="0.25">
      <c r="A3908" s="74">
        <v>8700</v>
      </c>
    </row>
    <row r="3909" spans="1:1" x14ac:dyDescent="0.25">
      <c r="A3909" s="74">
        <v>8701</v>
      </c>
    </row>
    <row r="3910" spans="1:1" x14ac:dyDescent="0.25">
      <c r="A3910" s="74">
        <v>8702</v>
      </c>
    </row>
    <row r="3911" spans="1:1" x14ac:dyDescent="0.25">
      <c r="A3911" s="74">
        <v>8703</v>
      </c>
    </row>
    <row r="3912" spans="1:1" x14ac:dyDescent="0.25">
      <c r="A3912" s="74">
        <v>8704</v>
      </c>
    </row>
    <row r="3913" spans="1:1" x14ac:dyDescent="0.25">
      <c r="A3913" s="74">
        <v>8705</v>
      </c>
    </row>
    <row r="3914" spans="1:1" x14ac:dyDescent="0.25">
      <c r="A3914" s="74">
        <v>8706</v>
      </c>
    </row>
    <row r="3915" spans="1:1" x14ac:dyDescent="0.25">
      <c r="A3915" s="74">
        <v>8707</v>
      </c>
    </row>
    <row r="3916" spans="1:1" x14ac:dyDescent="0.25">
      <c r="A3916" s="74">
        <v>8708</v>
      </c>
    </row>
    <row r="3917" spans="1:1" x14ac:dyDescent="0.25">
      <c r="A3917" s="74">
        <v>8709</v>
      </c>
    </row>
    <row r="3918" spans="1:1" x14ac:dyDescent="0.25">
      <c r="A3918" s="74">
        <v>8710</v>
      </c>
    </row>
    <row r="3919" spans="1:1" x14ac:dyDescent="0.25">
      <c r="A3919" s="74">
        <v>8711</v>
      </c>
    </row>
    <row r="3920" spans="1:1" x14ac:dyDescent="0.25">
      <c r="A3920" s="74">
        <v>8712</v>
      </c>
    </row>
    <row r="3921" spans="1:1" x14ac:dyDescent="0.25">
      <c r="A3921" s="74">
        <v>8713</v>
      </c>
    </row>
    <row r="3922" spans="1:1" x14ac:dyDescent="0.25">
      <c r="A3922" s="74">
        <v>8714</v>
      </c>
    </row>
    <row r="3923" spans="1:1" x14ac:dyDescent="0.25">
      <c r="A3923" s="74">
        <v>8715</v>
      </c>
    </row>
    <row r="3924" spans="1:1" x14ac:dyDescent="0.25">
      <c r="A3924" s="74">
        <v>8716</v>
      </c>
    </row>
    <row r="3925" spans="1:1" x14ac:dyDescent="0.25">
      <c r="A3925" s="74">
        <v>8717</v>
      </c>
    </row>
    <row r="3926" spans="1:1" x14ac:dyDescent="0.25">
      <c r="A3926" s="74">
        <v>8718</v>
      </c>
    </row>
    <row r="3927" spans="1:1" x14ac:dyDescent="0.25">
      <c r="A3927" s="74">
        <v>8719</v>
      </c>
    </row>
    <row r="3928" spans="1:1" x14ac:dyDescent="0.25">
      <c r="A3928" s="74">
        <v>8720</v>
      </c>
    </row>
    <row r="3929" spans="1:1" x14ac:dyDescent="0.25">
      <c r="A3929" s="74">
        <v>8721</v>
      </c>
    </row>
    <row r="3930" spans="1:1" x14ac:dyDescent="0.25">
      <c r="A3930" s="74">
        <v>8722</v>
      </c>
    </row>
    <row r="3931" spans="1:1" x14ac:dyDescent="0.25">
      <c r="A3931" s="74">
        <v>8723</v>
      </c>
    </row>
    <row r="3932" spans="1:1" x14ac:dyDescent="0.25">
      <c r="A3932" s="74">
        <v>8724</v>
      </c>
    </row>
    <row r="3933" spans="1:1" x14ac:dyDescent="0.25">
      <c r="A3933" s="74">
        <v>8725</v>
      </c>
    </row>
    <row r="3934" spans="1:1" x14ac:dyDescent="0.25">
      <c r="A3934" s="74">
        <v>8726</v>
      </c>
    </row>
    <row r="3935" spans="1:1" x14ac:dyDescent="0.25">
      <c r="A3935" s="74">
        <v>8727</v>
      </c>
    </row>
    <row r="3936" spans="1:1" x14ac:dyDescent="0.25">
      <c r="A3936" s="74">
        <v>8728</v>
      </c>
    </row>
    <row r="3937" spans="1:1" x14ac:dyDescent="0.25">
      <c r="A3937" s="74">
        <v>8729</v>
      </c>
    </row>
    <row r="3938" spans="1:1" x14ac:dyDescent="0.25">
      <c r="A3938" s="74">
        <v>8730</v>
      </c>
    </row>
    <row r="3939" spans="1:1" x14ac:dyDescent="0.25">
      <c r="A3939" s="74">
        <v>8731</v>
      </c>
    </row>
    <row r="3940" spans="1:1" x14ac:dyDescent="0.25">
      <c r="A3940" s="74">
        <v>8732</v>
      </c>
    </row>
    <row r="3941" spans="1:1" x14ac:dyDescent="0.25">
      <c r="A3941" s="74">
        <v>8733</v>
      </c>
    </row>
    <row r="3942" spans="1:1" x14ac:dyDescent="0.25">
      <c r="A3942" s="74">
        <v>8734</v>
      </c>
    </row>
    <row r="3943" spans="1:1" x14ac:dyDescent="0.25">
      <c r="A3943" s="74">
        <v>8735</v>
      </c>
    </row>
    <row r="3944" spans="1:1" x14ac:dyDescent="0.25">
      <c r="A3944" s="74">
        <v>8736</v>
      </c>
    </row>
    <row r="3945" spans="1:1" x14ac:dyDescent="0.25">
      <c r="A3945" s="74">
        <v>8737</v>
      </c>
    </row>
    <row r="3946" spans="1:1" x14ac:dyDescent="0.25">
      <c r="A3946" s="74">
        <v>8738</v>
      </c>
    </row>
    <row r="3947" spans="1:1" x14ac:dyDescent="0.25">
      <c r="A3947" s="74">
        <v>8739</v>
      </c>
    </row>
    <row r="3948" spans="1:1" x14ac:dyDescent="0.25">
      <c r="A3948" s="74">
        <v>8740</v>
      </c>
    </row>
    <row r="3949" spans="1:1" x14ac:dyDescent="0.25">
      <c r="A3949" s="74">
        <v>8741</v>
      </c>
    </row>
    <row r="3950" spans="1:1" x14ac:dyDescent="0.25">
      <c r="A3950" s="74">
        <v>8742</v>
      </c>
    </row>
    <row r="3951" spans="1:1" x14ac:dyDescent="0.25">
      <c r="A3951" s="74">
        <v>8743</v>
      </c>
    </row>
    <row r="3952" spans="1:1" x14ac:dyDescent="0.25">
      <c r="A3952" s="74">
        <v>8744</v>
      </c>
    </row>
    <row r="3953" spans="1:1" x14ac:dyDescent="0.25">
      <c r="A3953" s="74">
        <v>8745</v>
      </c>
    </row>
    <row r="3954" spans="1:1" x14ac:dyDescent="0.25">
      <c r="A3954" s="74">
        <v>8746</v>
      </c>
    </row>
    <row r="3955" spans="1:1" x14ac:dyDescent="0.25">
      <c r="A3955" s="74">
        <v>8747</v>
      </c>
    </row>
    <row r="3956" spans="1:1" x14ac:dyDescent="0.25">
      <c r="A3956" s="74">
        <v>8748</v>
      </c>
    </row>
    <row r="3957" spans="1:1" x14ac:dyDescent="0.25">
      <c r="A3957" s="74">
        <v>8749</v>
      </c>
    </row>
    <row r="3958" spans="1:1" x14ac:dyDescent="0.25">
      <c r="A3958" s="74">
        <v>8750</v>
      </c>
    </row>
    <row r="3959" spans="1:1" x14ac:dyDescent="0.25">
      <c r="A3959" s="74">
        <v>8751</v>
      </c>
    </row>
    <row r="3960" spans="1:1" x14ac:dyDescent="0.25">
      <c r="A3960" s="74">
        <v>8752</v>
      </c>
    </row>
    <row r="3961" spans="1:1" x14ac:dyDescent="0.25">
      <c r="A3961" s="74">
        <v>8753</v>
      </c>
    </row>
    <row r="3962" spans="1:1" x14ac:dyDescent="0.25">
      <c r="A3962" s="74">
        <v>8754</v>
      </c>
    </row>
    <row r="3963" spans="1:1" x14ac:dyDescent="0.25">
      <c r="A3963" s="74">
        <v>8755</v>
      </c>
    </row>
    <row r="3964" spans="1:1" x14ac:dyDescent="0.25">
      <c r="A3964" s="74">
        <v>8756</v>
      </c>
    </row>
    <row r="3965" spans="1:1" x14ac:dyDescent="0.25">
      <c r="A3965" s="74">
        <v>8757</v>
      </c>
    </row>
    <row r="3966" spans="1:1" x14ac:dyDescent="0.25">
      <c r="A3966" s="74">
        <v>8758</v>
      </c>
    </row>
    <row r="3967" spans="1:1" x14ac:dyDescent="0.25">
      <c r="A3967" s="74">
        <v>8759</v>
      </c>
    </row>
    <row r="3968" spans="1:1" x14ac:dyDescent="0.25">
      <c r="A3968" s="74">
        <v>8760</v>
      </c>
    </row>
    <row r="3969" spans="1:1" x14ac:dyDescent="0.25">
      <c r="A3969" s="74">
        <v>8761</v>
      </c>
    </row>
    <row r="3970" spans="1:1" x14ac:dyDescent="0.25">
      <c r="A3970" s="74">
        <v>8762</v>
      </c>
    </row>
    <row r="3971" spans="1:1" x14ac:dyDescent="0.25">
      <c r="A3971" s="74">
        <v>8763</v>
      </c>
    </row>
    <row r="3972" spans="1:1" x14ac:dyDescent="0.25">
      <c r="A3972" s="74">
        <v>8764</v>
      </c>
    </row>
    <row r="3973" spans="1:1" x14ac:dyDescent="0.25">
      <c r="A3973" s="74">
        <v>8765</v>
      </c>
    </row>
    <row r="3974" spans="1:1" x14ac:dyDescent="0.25">
      <c r="A3974" s="74">
        <v>8766</v>
      </c>
    </row>
    <row r="3975" spans="1:1" x14ac:dyDescent="0.25">
      <c r="A3975" s="74">
        <v>8767</v>
      </c>
    </row>
    <row r="3976" spans="1:1" x14ac:dyDescent="0.25">
      <c r="A3976" s="74">
        <v>8768</v>
      </c>
    </row>
    <row r="3977" spans="1:1" x14ac:dyDescent="0.25">
      <c r="A3977" s="74">
        <v>8769</v>
      </c>
    </row>
    <row r="3978" spans="1:1" x14ac:dyDescent="0.25">
      <c r="A3978" s="74">
        <v>8770</v>
      </c>
    </row>
    <row r="3979" spans="1:1" x14ac:dyDescent="0.25">
      <c r="A3979" s="74">
        <v>8771</v>
      </c>
    </row>
    <row r="3980" spans="1:1" x14ac:dyDescent="0.25">
      <c r="A3980" s="74">
        <v>8772</v>
      </c>
    </row>
    <row r="3981" spans="1:1" x14ac:dyDescent="0.25">
      <c r="A3981" s="74">
        <v>8773</v>
      </c>
    </row>
    <row r="3982" spans="1:1" x14ac:dyDescent="0.25">
      <c r="A3982" s="74">
        <v>8774</v>
      </c>
    </row>
    <row r="3983" spans="1:1" x14ac:dyDescent="0.25">
      <c r="A3983" s="74">
        <v>8775</v>
      </c>
    </row>
    <row r="3984" spans="1:1" x14ac:dyDescent="0.25">
      <c r="A3984" s="74">
        <v>8776</v>
      </c>
    </row>
    <row r="3985" spans="1:1" x14ac:dyDescent="0.25">
      <c r="A3985" s="74">
        <v>8777</v>
      </c>
    </row>
    <row r="3986" spans="1:1" x14ac:dyDescent="0.25">
      <c r="A3986" s="74">
        <v>8778</v>
      </c>
    </row>
    <row r="3987" spans="1:1" x14ac:dyDescent="0.25">
      <c r="A3987" s="74">
        <v>8779</v>
      </c>
    </row>
    <row r="3988" spans="1:1" x14ac:dyDescent="0.25">
      <c r="A3988" s="74">
        <v>8780</v>
      </c>
    </row>
    <row r="3989" spans="1:1" x14ac:dyDescent="0.25">
      <c r="A3989" s="74">
        <v>8781</v>
      </c>
    </row>
    <row r="3990" spans="1:1" x14ac:dyDescent="0.25">
      <c r="A3990" s="74">
        <v>8782</v>
      </c>
    </row>
    <row r="3991" spans="1:1" x14ac:dyDescent="0.25">
      <c r="A3991" s="74">
        <v>8783</v>
      </c>
    </row>
    <row r="3992" spans="1:1" x14ac:dyDescent="0.25">
      <c r="A3992" s="74">
        <v>8784</v>
      </c>
    </row>
    <row r="3993" spans="1:1" x14ac:dyDescent="0.25">
      <c r="A3993" s="74">
        <v>8785</v>
      </c>
    </row>
    <row r="3994" spans="1:1" x14ac:dyDescent="0.25">
      <c r="A3994" s="74">
        <v>8786</v>
      </c>
    </row>
    <row r="3995" spans="1:1" x14ac:dyDescent="0.25">
      <c r="A3995" s="74">
        <v>8787</v>
      </c>
    </row>
    <row r="3996" spans="1:1" x14ac:dyDescent="0.25">
      <c r="A3996" s="74">
        <v>8788</v>
      </c>
    </row>
    <row r="3997" spans="1:1" x14ac:dyDescent="0.25">
      <c r="A3997" s="74">
        <v>8789</v>
      </c>
    </row>
    <row r="3998" spans="1:1" x14ac:dyDescent="0.25">
      <c r="A3998" s="74">
        <v>8790</v>
      </c>
    </row>
    <row r="3999" spans="1:1" x14ac:dyDescent="0.25">
      <c r="A3999" s="74">
        <v>8791</v>
      </c>
    </row>
    <row r="4000" spans="1:1" x14ac:dyDescent="0.25">
      <c r="A4000" s="74">
        <v>8792</v>
      </c>
    </row>
    <row r="4001" spans="1:1" x14ac:dyDescent="0.25">
      <c r="A4001" s="74">
        <v>8793</v>
      </c>
    </row>
    <row r="4002" spans="1:1" x14ac:dyDescent="0.25">
      <c r="A4002" s="74">
        <v>8794</v>
      </c>
    </row>
    <row r="4003" spans="1:1" x14ac:dyDescent="0.25">
      <c r="A4003" s="74">
        <v>8795</v>
      </c>
    </row>
    <row r="4004" spans="1:1" x14ac:dyDescent="0.25">
      <c r="A4004" s="74">
        <v>8796</v>
      </c>
    </row>
    <row r="4005" spans="1:1" x14ac:dyDescent="0.25">
      <c r="A4005" s="74">
        <v>8797</v>
      </c>
    </row>
    <row r="4006" spans="1:1" x14ac:dyDescent="0.25">
      <c r="A4006" s="74">
        <v>8798</v>
      </c>
    </row>
    <row r="4007" spans="1:1" x14ac:dyDescent="0.25">
      <c r="A4007" s="74">
        <v>8799</v>
      </c>
    </row>
    <row r="4008" spans="1:1" x14ac:dyDescent="0.25">
      <c r="A4008" s="74">
        <v>8800</v>
      </c>
    </row>
    <row r="4009" spans="1:1" x14ac:dyDescent="0.25">
      <c r="A4009" s="74">
        <v>8801</v>
      </c>
    </row>
    <row r="4010" spans="1:1" x14ac:dyDescent="0.25">
      <c r="A4010" s="74">
        <v>8802</v>
      </c>
    </row>
    <row r="4011" spans="1:1" x14ac:dyDescent="0.25">
      <c r="A4011" s="74">
        <v>8803</v>
      </c>
    </row>
    <row r="4012" spans="1:1" x14ac:dyDescent="0.25">
      <c r="A4012" s="74">
        <v>8804</v>
      </c>
    </row>
    <row r="4013" spans="1:1" x14ac:dyDescent="0.25">
      <c r="A4013" s="74">
        <v>8805</v>
      </c>
    </row>
    <row r="4014" spans="1:1" x14ac:dyDescent="0.25">
      <c r="A4014" s="74">
        <v>8806</v>
      </c>
    </row>
    <row r="4015" spans="1:1" x14ac:dyDescent="0.25">
      <c r="A4015" s="74">
        <v>8807</v>
      </c>
    </row>
    <row r="4016" spans="1:1" x14ac:dyDescent="0.25">
      <c r="A4016" s="74">
        <v>8808</v>
      </c>
    </row>
    <row r="4017" spans="1:1" x14ac:dyDescent="0.25">
      <c r="A4017" s="74">
        <v>8809</v>
      </c>
    </row>
    <row r="4018" spans="1:1" x14ac:dyDescent="0.25">
      <c r="A4018" s="74">
        <v>8810</v>
      </c>
    </row>
    <row r="4019" spans="1:1" x14ac:dyDescent="0.25">
      <c r="A4019" s="74">
        <v>8811</v>
      </c>
    </row>
    <row r="4020" spans="1:1" x14ac:dyDescent="0.25">
      <c r="A4020" s="74">
        <v>8812</v>
      </c>
    </row>
    <row r="4021" spans="1:1" x14ac:dyDescent="0.25">
      <c r="A4021" s="74">
        <v>8813</v>
      </c>
    </row>
    <row r="4022" spans="1:1" x14ac:dyDescent="0.25">
      <c r="A4022" s="74">
        <v>8814</v>
      </c>
    </row>
    <row r="4023" spans="1:1" x14ac:dyDescent="0.25">
      <c r="A4023" s="74">
        <v>8815</v>
      </c>
    </row>
    <row r="4024" spans="1:1" x14ac:dyDescent="0.25">
      <c r="A4024" s="74">
        <v>8816</v>
      </c>
    </row>
    <row r="4025" spans="1:1" x14ac:dyDescent="0.25">
      <c r="A4025" s="74">
        <v>8817</v>
      </c>
    </row>
    <row r="4026" spans="1:1" x14ac:dyDescent="0.25">
      <c r="A4026" s="74">
        <v>8818</v>
      </c>
    </row>
    <row r="4027" spans="1:1" x14ac:dyDescent="0.25">
      <c r="A4027" s="74">
        <v>8819</v>
      </c>
    </row>
    <row r="4028" spans="1:1" x14ac:dyDescent="0.25">
      <c r="A4028" s="74">
        <v>8820</v>
      </c>
    </row>
    <row r="4029" spans="1:1" x14ac:dyDescent="0.25">
      <c r="A4029" s="74">
        <v>8821</v>
      </c>
    </row>
    <row r="4030" spans="1:1" x14ac:dyDescent="0.25">
      <c r="A4030" s="74">
        <v>8822</v>
      </c>
    </row>
    <row r="4031" spans="1:1" x14ac:dyDescent="0.25">
      <c r="A4031" s="74">
        <v>8823</v>
      </c>
    </row>
    <row r="4032" spans="1:1" x14ac:dyDescent="0.25">
      <c r="A4032" s="74">
        <v>8824</v>
      </c>
    </row>
    <row r="4033" spans="1:1" x14ac:dyDescent="0.25">
      <c r="A4033" s="74">
        <v>8825</v>
      </c>
    </row>
    <row r="4034" spans="1:1" x14ac:dyDescent="0.25">
      <c r="A4034" s="74">
        <v>8826</v>
      </c>
    </row>
    <row r="4035" spans="1:1" x14ac:dyDescent="0.25">
      <c r="A4035" s="74">
        <v>8827</v>
      </c>
    </row>
    <row r="4036" spans="1:1" x14ac:dyDescent="0.25">
      <c r="A4036" s="74">
        <v>8828</v>
      </c>
    </row>
    <row r="4037" spans="1:1" x14ac:dyDescent="0.25">
      <c r="A4037" s="74">
        <v>8829</v>
      </c>
    </row>
    <row r="4038" spans="1:1" x14ac:dyDescent="0.25">
      <c r="A4038" s="74">
        <v>8830</v>
      </c>
    </row>
    <row r="4039" spans="1:1" x14ac:dyDescent="0.25">
      <c r="A4039" s="74">
        <v>8831</v>
      </c>
    </row>
    <row r="4040" spans="1:1" x14ac:dyDescent="0.25">
      <c r="A4040" s="74">
        <v>8832</v>
      </c>
    </row>
    <row r="4041" spans="1:1" x14ac:dyDescent="0.25">
      <c r="A4041" s="74">
        <v>8833</v>
      </c>
    </row>
    <row r="4042" spans="1:1" x14ac:dyDescent="0.25">
      <c r="A4042" s="74">
        <v>8834</v>
      </c>
    </row>
    <row r="4043" spans="1:1" x14ac:dyDescent="0.25">
      <c r="A4043" s="74">
        <v>8835</v>
      </c>
    </row>
    <row r="4044" spans="1:1" x14ac:dyDescent="0.25">
      <c r="A4044" s="74">
        <v>8836</v>
      </c>
    </row>
    <row r="4045" spans="1:1" x14ac:dyDescent="0.25">
      <c r="A4045" s="74">
        <v>8837</v>
      </c>
    </row>
    <row r="4046" spans="1:1" x14ac:dyDescent="0.25">
      <c r="A4046" s="74">
        <v>8838</v>
      </c>
    </row>
    <row r="4047" spans="1:1" x14ac:dyDescent="0.25">
      <c r="A4047" s="74">
        <v>8839</v>
      </c>
    </row>
    <row r="4048" spans="1:1" x14ac:dyDescent="0.25">
      <c r="A4048" s="74">
        <v>8840</v>
      </c>
    </row>
    <row r="4049" spans="1:1" x14ac:dyDescent="0.25">
      <c r="A4049" s="74">
        <v>8841</v>
      </c>
    </row>
    <row r="4050" spans="1:1" x14ac:dyDescent="0.25">
      <c r="A4050" s="74">
        <v>8842</v>
      </c>
    </row>
    <row r="4051" spans="1:1" x14ac:dyDescent="0.25">
      <c r="A4051" s="74">
        <v>8843</v>
      </c>
    </row>
    <row r="4052" spans="1:1" x14ac:dyDescent="0.25">
      <c r="A4052" s="74">
        <v>8844</v>
      </c>
    </row>
    <row r="4053" spans="1:1" x14ac:dyDescent="0.25">
      <c r="A4053" s="74">
        <v>8845</v>
      </c>
    </row>
    <row r="4054" spans="1:1" x14ac:dyDescent="0.25">
      <c r="A4054" s="74">
        <v>8846</v>
      </c>
    </row>
    <row r="4055" spans="1:1" x14ac:dyDescent="0.25">
      <c r="A4055" s="74">
        <v>8847</v>
      </c>
    </row>
    <row r="4056" spans="1:1" x14ac:dyDescent="0.25">
      <c r="A4056" s="74">
        <v>8848</v>
      </c>
    </row>
    <row r="4057" spans="1:1" x14ac:dyDescent="0.25">
      <c r="A4057" s="74">
        <v>8849</v>
      </c>
    </row>
    <row r="4058" spans="1:1" x14ac:dyDescent="0.25">
      <c r="A4058" s="74">
        <v>8850</v>
      </c>
    </row>
    <row r="4059" spans="1:1" x14ac:dyDescent="0.25">
      <c r="A4059" s="74">
        <v>8851</v>
      </c>
    </row>
    <row r="4060" spans="1:1" x14ac:dyDescent="0.25">
      <c r="A4060" s="74">
        <v>8852</v>
      </c>
    </row>
    <row r="4061" spans="1:1" x14ac:dyDescent="0.25">
      <c r="A4061" s="74">
        <v>8853</v>
      </c>
    </row>
    <row r="4062" spans="1:1" x14ac:dyDescent="0.25">
      <c r="A4062" s="74">
        <v>8854</v>
      </c>
    </row>
    <row r="4063" spans="1:1" x14ac:dyDescent="0.25">
      <c r="A4063" s="74">
        <v>8855</v>
      </c>
    </row>
    <row r="4064" spans="1:1" x14ac:dyDescent="0.25">
      <c r="A4064" s="74">
        <v>8856</v>
      </c>
    </row>
    <row r="4065" spans="1:1" x14ac:dyDescent="0.25">
      <c r="A4065" s="74">
        <v>8857</v>
      </c>
    </row>
    <row r="4066" spans="1:1" x14ac:dyDescent="0.25">
      <c r="A4066" s="74">
        <v>8858</v>
      </c>
    </row>
    <row r="4067" spans="1:1" x14ac:dyDescent="0.25">
      <c r="A4067" s="74">
        <v>8859</v>
      </c>
    </row>
    <row r="4068" spans="1:1" x14ac:dyDescent="0.25">
      <c r="A4068" s="74">
        <v>8860</v>
      </c>
    </row>
    <row r="4069" spans="1:1" x14ac:dyDescent="0.25">
      <c r="A4069" s="74">
        <v>8861</v>
      </c>
    </row>
    <row r="4070" spans="1:1" x14ac:dyDescent="0.25">
      <c r="A4070" s="74">
        <v>8862</v>
      </c>
    </row>
    <row r="4071" spans="1:1" x14ac:dyDescent="0.25">
      <c r="A4071" s="74">
        <v>8863</v>
      </c>
    </row>
    <row r="4072" spans="1:1" x14ac:dyDescent="0.25">
      <c r="A4072" s="74">
        <v>8864</v>
      </c>
    </row>
    <row r="4073" spans="1:1" x14ac:dyDescent="0.25">
      <c r="A4073" s="74">
        <v>8865</v>
      </c>
    </row>
    <row r="4074" spans="1:1" x14ac:dyDescent="0.25">
      <c r="A4074" s="74">
        <v>8866</v>
      </c>
    </row>
    <row r="4075" spans="1:1" x14ac:dyDescent="0.25">
      <c r="A4075" s="74">
        <v>8867</v>
      </c>
    </row>
    <row r="4076" spans="1:1" x14ac:dyDescent="0.25">
      <c r="A4076" s="74">
        <v>8868</v>
      </c>
    </row>
    <row r="4077" spans="1:1" x14ac:dyDescent="0.25">
      <c r="A4077" s="74">
        <v>8869</v>
      </c>
    </row>
    <row r="4078" spans="1:1" x14ac:dyDescent="0.25">
      <c r="A4078" s="74">
        <v>8870</v>
      </c>
    </row>
    <row r="4079" spans="1:1" x14ac:dyDescent="0.25">
      <c r="A4079" s="74">
        <v>8871</v>
      </c>
    </row>
    <row r="4080" spans="1:1" x14ac:dyDescent="0.25">
      <c r="A4080" s="74">
        <v>8872</v>
      </c>
    </row>
    <row r="4081" spans="1:1" x14ac:dyDescent="0.25">
      <c r="A4081" s="74">
        <v>8873</v>
      </c>
    </row>
    <row r="4082" spans="1:1" x14ac:dyDescent="0.25">
      <c r="A4082" s="74">
        <v>8874</v>
      </c>
    </row>
    <row r="4083" spans="1:1" x14ac:dyDescent="0.25">
      <c r="A4083" s="74">
        <v>8875</v>
      </c>
    </row>
    <row r="4084" spans="1:1" x14ac:dyDescent="0.25">
      <c r="A4084" s="74">
        <v>8876</v>
      </c>
    </row>
    <row r="4085" spans="1:1" x14ac:dyDescent="0.25">
      <c r="A4085" s="74">
        <v>8877</v>
      </c>
    </row>
    <row r="4086" spans="1:1" x14ac:dyDescent="0.25">
      <c r="A4086" s="74">
        <v>8878</v>
      </c>
    </row>
    <row r="4087" spans="1:1" x14ac:dyDescent="0.25">
      <c r="A4087" s="74">
        <v>8879</v>
      </c>
    </row>
    <row r="4088" spans="1:1" x14ac:dyDescent="0.25">
      <c r="A4088" s="74">
        <v>8880</v>
      </c>
    </row>
    <row r="4089" spans="1:1" x14ac:dyDescent="0.25">
      <c r="A4089" s="74">
        <v>8881</v>
      </c>
    </row>
    <row r="4090" spans="1:1" x14ac:dyDescent="0.25">
      <c r="A4090" s="74">
        <v>8882</v>
      </c>
    </row>
    <row r="4091" spans="1:1" x14ac:dyDescent="0.25">
      <c r="A4091" s="74">
        <v>8883</v>
      </c>
    </row>
    <row r="4092" spans="1:1" x14ac:dyDescent="0.25">
      <c r="A4092" s="74">
        <v>8884</v>
      </c>
    </row>
    <row r="4093" spans="1:1" x14ac:dyDescent="0.25">
      <c r="A4093" s="74">
        <v>8885</v>
      </c>
    </row>
    <row r="4094" spans="1:1" x14ac:dyDescent="0.25">
      <c r="A4094" s="74">
        <v>8886</v>
      </c>
    </row>
    <row r="4095" spans="1:1" x14ac:dyDescent="0.25">
      <c r="A4095" s="74">
        <v>8887</v>
      </c>
    </row>
    <row r="4096" spans="1:1" x14ac:dyDescent="0.25">
      <c r="A4096" s="74">
        <v>8888</v>
      </c>
    </row>
    <row r="4097" spans="1:1" x14ac:dyDescent="0.25">
      <c r="A4097" s="74">
        <v>8889</v>
      </c>
    </row>
    <row r="4098" spans="1:1" x14ac:dyDescent="0.25">
      <c r="A4098" s="74">
        <v>8890</v>
      </c>
    </row>
    <row r="4099" spans="1:1" x14ac:dyDescent="0.25">
      <c r="A4099" s="74">
        <v>8891</v>
      </c>
    </row>
    <row r="4100" spans="1:1" x14ac:dyDescent="0.25">
      <c r="A4100" s="74">
        <v>8892</v>
      </c>
    </row>
    <row r="4101" spans="1:1" x14ac:dyDescent="0.25">
      <c r="A4101" s="74">
        <v>8893</v>
      </c>
    </row>
    <row r="4102" spans="1:1" x14ac:dyDescent="0.25">
      <c r="A4102" s="74">
        <v>8894</v>
      </c>
    </row>
    <row r="4103" spans="1:1" x14ac:dyDescent="0.25">
      <c r="A4103" s="74">
        <v>8895</v>
      </c>
    </row>
    <row r="4104" spans="1:1" x14ac:dyDescent="0.25">
      <c r="A4104" s="74">
        <v>8896</v>
      </c>
    </row>
    <row r="4105" spans="1:1" x14ac:dyDescent="0.25">
      <c r="A4105" s="74">
        <v>8897</v>
      </c>
    </row>
    <row r="4106" spans="1:1" x14ac:dyDescent="0.25">
      <c r="A4106" s="74">
        <v>8898</v>
      </c>
    </row>
    <row r="4107" spans="1:1" x14ac:dyDescent="0.25">
      <c r="A4107" s="74">
        <v>8899</v>
      </c>
    </row>
    <row r="4108" spans="1:1" x14ac:dyDescent="0.25">
      <c r="A4108" s="74">
        <v>8900</v>
      </c>
    </row>
    <row r="4109" spans="1:1" x14ac:dyDescent="0.25">
      <c r="A4109" s="74">
        <v>8901</v>
      </c>
    </row>
    <row r="4110" spans="1:1" x14ac:dyDescent="0.25">
      <c r="A4110" s="74">
        <v>8902</v>
      </c>
    </row>
    <row r="4111" spans="1:1" x14ac:dyDescent="0.25">
      <c r="A4111" s="74">
        <v>8903</v>
      </c>
    </row>
    <row r="4112" spans="1:1" x14ac:dyDescent="0.25">
      <c r="A4112" s="74">
        <v>8904</v>
      </c>
    </row>
    <row r="4113" spans="1:1" x14ac:dyDescent="0.25">
      <c r="A4113" s="74">
        <v>8905</v>
      </c>
    </row>
    <row r="4114" spans="1:1" x14ac:dyDescent="0.25">
      <c r="A4114" s="74">
        <v>8906</v>
      </c>
    </row>
    <row r="4115" spans="1:1" x14ac:dyDescent="0.25">
      <c r="A4115" s="74">
        <v>8907</v>
      </c>
    </row>
    <row r="4116" spans="1:1" x14ac:dyDescent="0.25">
      <c r="A4116" s="74">
        <v>8908</v>
      </c>
    </row>
    <row r="4117" spans="1:1" x14ac:dyDescent="0.25">
      <c r="A4117" s="74">
        <v>8909</v>
      </c>
    </row>
    <row r="4118" spans="1:1" x14ac:dyDescent="0.25">
      <c r="A4118" s="74">
        <v>8910</v>
      </c>
    </row>
    <row r="4119" spans="1:1" x14ac:dyDescent="0.25">
      <c r="A4119" s="74">
        <v>8911</v>
      </c>
    </row>
    <row r="4120" spans="1:1" x14ac:dyDescent="0.25">
      <c r="A4120" s="74">
        <v>8912</v>
      </c>
    </row>
    <row r="4121" spans="1:1" x14ac:dyDescent="0.25">
      <c r="A4121" s="74">
        <v>8913</v>
      </c>
    </row>
    <row r="4122" spans="1:1" x14ac:dyDescent="0.25">
      <c r="A4122" s="74">
        <v>8914</v>
      </c>
    </row>
    <row r="4123" spans="1:1" x14ac:dyDescent="0.25">
      <c r="A4123" s="74">
        <v>8915</v>
      </c>
    </row>
    <row r="4124" spans="1:1" x14ac:dyDescent="0.25">
      <c r="A4124" s="74">
        <v>8916</v>
      </c>
    </row>
    <row r="4125" spans="1:1" x14ac:dyDescent="0.25">
      <c r="A4125" s="74">
        <v>8917</v>
      </c>
    </row>
    <row r="4126" spans="1:1" x14ac:dyDescent="0.25">
      <c r="A4126" s="74">
        <v>8918</v>
      </c>
    </row>
    <row r="4127" spans="1:1" x14ac:dyDescent="0.25">
      <c r="A4127" s="74">
        <v>8919</v>
      </c>
    </row>
    <row r="4128" spans="1:1" x14ac:dyDescent="0.25">
      <c r="A4128" s="74">
        <v>8920</v>
      </c>
    </row>
    <row r="4129" spans="1:1" x14ac:dyDescent="0.25">
      <c r="A4129" s="74">
        <v>8921</v>
      </c>
    </row>
    <row r="4130" spans="1:1" x14ac:dyDescent="0.25">
      <c r="A4130" s="74">
        <v>8922</v>
      </c>
    </row>
    <row r="4131" spans="1:1" x14ac:dyDescent="0.25">
      <c r="A4131" s="74">
        <v>8923</v>
      </c>
    </row>
    <row r="4132" spans="1:1" x14ac:dyDescent="0.25">
      <c r="A4132" s="74">
        <v>8924</v>
      </c>
    </row>
    <row r="4133" spans="1:1" x14ac:dyDescent="0.25">
      <c r="A4133" s="74">
        <v>8925</v>
      </c>
    </row>
    <row r="4134" spans="1:1" x14ac:dyDescent="0.25">
      <c r="A4134" s="74">
        <v>8926</v>
      </c>
    </row>
    <row r="4135" spans="1:1" x14ac:dyDescent="0.25">
      <c r="A4135" s="74">
        <v>8927</v>
      </c>
    </row>
    <row r="4136" spans="1:1" x14ac:dyDescent="0.25">
      <c r="A4136" s="74">
        <v>8928</v>
      </c>
    </row>
    <row r="4137" spans="1:1" x14ac:dyDescent="0.25">
      <c r="A4137" s="74">
        <v>8929</v>
      </c>
    </row>
    <row r="4138" spans="1:1" x14ac:dyDescent="0.25">
      <c r="A4138" s="74">
        <v>8930</v>
      </c>
    </row>
    <row r="4139" spans="1:1" x14ac:dyDescent="0.25">
      <c r="A4139" s="74">
        <v>8931</v>
      </c>
    </row>
    <row r="4140" spans="1:1" x14ac:dyDescent="0.25">
      <c r="A4140" s="74">
        <v>8932</v>
      </c>
    </row>
    <row r="4141" spans="1:1" x14ac:dyDescent="0.25">
      <c r="A4141" s="74">
        <v>8933</v>
      </c>
    </row>
    <row r="4142" spans="1:1" x14ac:dyDescent="0.25">
      <c r="A4142" s="74">
        <v>8934</v>
      </c>
    </row>
    <row r="4143" spans="1:1" x14ac:dyDescent="0.25">
      <c r="A4143" s="74">
        <v>8935</v>
      </c>
    </row>
    <row r="4144" spans="1:1" x14ac:dyDescent="0.25">
      <c r="A4144" s="74">
        <v>8936</v>
      </c>
    </row>
    <row r="4145" spans="1:1" x14ac:dyDescent="0.25">
      <c r="A4145" s="74">
        <v>8937</v>
      </c>
    </row>
    <row r="4146" spans="1:1" x14ac:dyDescent="0.25">
      <c r="A4146" s="74">
        <v>8938</v>
      </c>
    </row>
    <row r="4147" spans="1:1" x14ac:dyDescent="0.25">
      <c r="A4147" s="74">
        <v>8939</v>
      </c>
    </row>
    <row r="4148" spans="1:1" x14ac:dyDescent="0.25">
      <c r="A4148" s="74">
        <v>8940</v>
      </c>
    </row>
    <row r="4149" spans="1:1" x14ac:dyDescent="0.25">
      <c r="A4149" s="74">
        <v>8941</v>
      </c>
    </row>
    <row r="4150" spans="1:1" x14ac:dyDescent="0.25">
      <c r="A4150" s="74">
        <v>8942</v>
      </c>
    </row>
    <row r="4151" spans="1:1" x14ac:dyDescent="0.25">
      <c r="A4151" s="74">
        <v>8943</v>
      </c>
    </row>
    <row r="4152" spans="1:1" x14ac:dyDescent="0.25">
      <c r="A4152" s="74">
        <v>8944</v>
      </c>
    </row>
    <row r="4153" spans="1:1" x14ac:dyDescent="0.25">
      <c r="A4153" s="74">
        <v>8945</v>
      </c>
    </row>
    <row r="4154" spans="1:1" x14ac:dyDescent="0.25">
      <c r="A4154" s="74">
        <v>8946</v>
      </c>
    </row>
    <row r="4155" spans="1:1" x14ac:dyDescent="0.25">
      <c r="A4155" s="74">
        <v>8947</v>
      </c>
    </row>
    <row r="4156" spans="1:1" x14ac:dyDescent="0.25">
      <c r="A4156" s="74">
        <v>8948</v>
      </c>
    </row>
    <row r="4157" spans="1:1" x14ac:dyDescent="0.25">
      <c r="A4157" s="74">
        <v>8949</v>
      </c>
    </row>
    <row r="4158" spans="1:1" x14ac:dyDescent="0.25">
      <c r="A4158" s="74">
        <v>8950</v>
      </c>
    </row>
    <row r="4159" spans="1:1" x14ac:dyDescent="0.25">
      <c r="A4159" s="74">
        <v>8951</v>
      </c>
    </row>
    <row r="4160" spans="1:1" x14ac:dyDescent="0.25">
      <c r="A4160" s="74">
        <v>8952</v>
      </c>
    </row>
    <row r="4161" spans="1:1" x14ac:dyDescent="0.25">
      <c r="A4161" s="74">
        <v>8953</v>
      </c>
    </row>
    <row r="4162" spans="1:1" x14ac:dyDescent="0.25">
      <c r="A4162" s="74">
        <v>8954</v>
      </c>
    </row>
    <row r="4163" spans="1:1" x14ac:dyDescent="0.25">
      <c r="A4163" s="74">
        <v>8955</v>
      </c>
    </row>
    <row r="4164" spans="1:1" x14ac:dyDescent="0.25">
      <c r="A4164" s="74">
        <v>8956</v>
      </c>
    </row>
    <row r="4165" spans="1:1" x14ac:dyDescent="0.25">
      <c r="A4165" s="74">
        <v>8957</v>
      </c>
    </row>
    <row r="4166" spans="1:1" x14ac:dyDescent="0.25">
      <c r="A4166" s="74">
        <v>8958</v>
      </c>
    </row>
    <row r="4167" spans="1:1" x14ac:dyDescent="0.25">
      <c r="A4167" s="74">
        <v>8959</v>
      </c>
    </row>
    <row r="4168" spans="1:1" x14ac:dyDescent="0.25">
      <c r="A4168" s="74">
        <v>8960</v>
      </c>
    </row>
    <row r="4169" spans="1:1" x14ac:dyDescent="0.25">
      <c r="A4169" s="74">
        <v>8961</v>
      </c>
    </row>
    <row r="4170" spans="1:1" x14ac:dyDescent="0.25">
      <c r="A4170" s="74">
        <v>8962</v>
      </c>
    </row>
    <row r="4171" spans="1:1" x14ac:dyDescent="0.25">
      <c r="A4171" s="74">
        <v>8963</v>
      </c>
    </row>
    <row r="4172" spans="1:1" x14ac:dyDescent="0.25">
      <c r="A4172" s="74">
        <v>8964</v>
      </c>
    </row>
    <row r="4173" spans="1:1" x14ac:dyDescent="0.25">
      <c r="A4173" s="74">
        <v>8965</v>
      </c>
    </row>
    <row r="4174" spans="1:1" x14ac:dyDescent="0.25">
      <c r="A4174" s="74">
        <v>8966</v>
      </c>
    </row>
    <row r="4175" spans="1:1" x14ac:dyDescent="0.25">
      <c r="A4175" s="74">
        <v>8967</v>
      </c>
    </row>
    <row r="4176" spans="1:1" x14ac:dyDescent="0.25">
      <c r="A4176" s="74">
        <v>8968</v>
      </c>
    </row>
    <row r="4177" spans="1:1" x14ac:dyDescent="0.25">
      <c r="A4177" s="74">
        <v>8969</v>
      </c>
    </row>
    <row r="4178" spans="1:1" x14ac:dyDescent="0.25">
      <c r="A4178" s="74">
        <v>8970</v>
      </c>
    </row>
    <row r="4179" spans="1:1" x14ac:dyDescent="0.25">
      <c r="A4179" s="74">
        <v>8971</v>
      </c>
    </row>
    <row r="4180" spans="1:1" x14ac:dyDescent="0.25">
      <c r="A4180" s="74">
        <v>8972</v>
      </c>
    </row>
    <row r="4181" spans="1:1" x14ac:dyDescent="0.25">
      <c r="A4181" s="74">
        <v>8973</v>
      </c>
    </row>
    <row r="4182" spans="1:1" x14ac:dyDescent="0.25">
      <c r="A4182" s="74">
        <v>8974</v>
      </c>
    </row>
    <row r="4183" spans="1:1" x14ac:dyDescent="0.25">
      <c r="A4183" s="74">
        <v>8975</v>
      </c>
    </row>
    <row r="4184" spans="1:1" x14ac:dyDescent="0.25">
      <c r="A4184" s="74">
        <v>8976</v>
      </c>
    </row>
    <row r="4185" spans="1:1" x14ac:dyDescent="0.25">
      <c r="A4185" s="74">
        <v>8977</v>
      </c>
    </row>
    <row r="4186" spans="1:1" x14ac:dyDescent="0.25">
      <c r="A4186" s="74">
        <v>8978</v>
      </c>
    </row>
    <row r="4187" spans="1:1" x14ac:dyDescent="0.25">
      <c r="A4187" s="74">
        <v>8979</v>
      </c>
    </row>
    <row r="4188" spans="1:1" x14ac:dyDescent="0.25">
      <c r="A4188" s="74">
        <v>8980</v>
      </c>
    </row>
    <row r="4189" spans="1:1" x14ac:dyDescent="0.25">
      <c r="A4189" s="74">
        <v>8981</v>
      </c>
    </row>
    <row r="4190" spans="1:1" x14ac:dyDescent="0.25">
      <c r="A4190" s="74">
        <v>8982</v>
      </c>
    </row>
    <row r="4191" spans="1:1" x14ac:dyDescent="0.25">
      <c r="A4191" s="74">
        <v>8983</v>
      </c>
    </row>
    <row r="4192" spans="1:1" x14ac:dyDescent="0.25">
      <c r="A4192" s="74">
        <v>8984</v>
      </c>
    </row>
    <row r="4193" spans="1:1" x14ac:dyDescent="0.25">
      <c r="A4193" s="74">
        <v>8985</v>
      </c>
    </row>
    <row r="4194" spans="1:1" x14ac:dyDescent="0.25">
      <c r="A4194" s="74">
        <v>8986</v>
      </c>
    </row>
    <row r="4195" spans="1:1" x14ac:dyDescent="0.25">
      <c r="A4195" s="74">
        <v>8987</v>
      </c>
    </row>
    <row r="4196" spans="1:1" x14ac:dyDescent="0.25">
      <c r="A4196" s="74">
        <v>8988</v>
      </c>
    </row>
    <row r="4197" spans="1:1" x14ac:dyDescent="0.25">
      <c r="A4197" s="74">
        <v>8989</v>
      </c>
    </row>
    <row r="4198" spans="1:1" x14ac:dyDescent="0.25">
      <c r="A4198" s="74">
        <v>8990</v>
      </c>
    </row>
    <row r="4199" spans="1:1" x14ac:dyDescent="0.25">
      <c r="A4199" s="74">
        <v>8991</v>
      </c>
    </row>
    <row r="4200" spans="1:1" x14ac:dyDescent="0.25">
      <c r="A4200" s="74">
        <v>8992</v>
      </c>
    </row>
    <row r="4201" spans="1:1" x14ac:dyDescent="0.25">
      <c r="A4201" s="74">
        <v>8993</v>
      </c>
    </row>
    <row r="4202" spans="1:1" x14ac:dyDescent="0.25">
      <c r="A4202" s="74">
        <v>8994</v>
      </c>
    </row>
    <row r="4203" spans="1:1" x14ac:dyDescent="0.25">
      <c r="A4203" s="74">
        <v>8995</v>
      </c>
    </row>
    <row r="4204" spans="1:1" x14ac:dyDescent="0.25">
      <c r="A4204" s="74">
        <v>8996</v>
      </c>
    </row>
    <row r="4205" spans="1:1" x14ac:dyDescent="0.25">
      <c r="A4205" s="74">
        <v>8997</v>
      </c>
    </row>
    <row r="4206" spans="1:1" x14ac:dyDescent="0.25">
      <c r="A4206" s="74">
        <v>8998</v>
      </c>
    </row>
    <row r="4207" spans="1:1" x14ac:dyDescent="0.25">
      <c r="A4207" s="74">
        <v>8999</v>
      </c>
    </row>
    <row r="4208" spans="1:1" x14ac:dyDescent="0.25">
      <c r="A4208" s="74">
        <v>9000</v>
      </c>
    </row>
    <row r="4209" spans="1:1" x14ac:dyDescent="0.25">
      <c r="A4209" s="74">
        <v>9001</v>
      </c>
    </row>
    <row r="4210" spans="1:1" x14ac:dyDescent="0.25">
      <c r="A4210" s="74">
        <v>9002</v>
      </c>
    </row>
    <row r="4211" spans="1:1" x14ac:dyDescent="0.25">
      <c r="A4211" s="74">
        <v>9003</v>
      </c>
    </row>
    <row r="4212" spans="1:1" x14ac:dyDescent="0.25">
      <c r="A4212" s="74">
        <v>9004</v>
      </c>
    </row>
    <row r="4213" spans="1:1" x14ac:dyDescent="0.25">
      <c r="A4213" s="74">
        <v>9005</v>
      </c>
    </row>
    <row r="4214" spans="1:1" x14ac:dyDescent="0.25">
      <c r="A4214" s="74">
        <v>9006</v>
      </c>
    </row>
    <row r="4215" spans="1:1" x14ac:dyDescent="0.25">
      <c r="A4215" s="74">
        <v>9007</v>
      </c>
    </row>
    <row r="4216" spans="1:1" x14ac:dyDescent="0.25">
      <c r="A4216" s="74">
        <v>9008</v>
      </c>
    </row>
    <row r="4217" spans="1:1" x14ac:dyDescent="0.25">
      <c r="A4217" s="74">
        <v>9009</v>
      </c>
    </row>
    <row r="4218" spans="1:1" x14ac:dyDescent="0.25">
      <c r="A4218" s="74">
        <v>9010</v>
      </c>
    </row>
    <row r="4219" spans="1:1" x14ac:dyDescent="0.25">
      <c r="A4219" s="74">
        <v>9011</v>
      </c>
    </row>
    <row r="4220" spans="1:1" x14ac:dyDescent="0.25">
      <c r="A4220" s="74">
        <v>9012</v>
      </c>
    </row>
    <row r="4221" spans="1:1" x14ac:dyDescent="0.25">
      <c r="A4221" s="74">
        <v>9013</v>
      </c>
    </row>
    <row r="4222" spans="1:1" x14ac:dyDescent="0.25">
      <c r="A4222" s="74">
        <v>9014</v>
      </c>
    </row>
    <row r="4223" spans="1:1" x14ac:dyDescent="0.25">
      <c r="A4223" s="74">
        <v>9015</v>
      </c>
    </row>
    <row r="4224" spans="1:1" x14ac:dyDescent="0.25">
      <c r="A4224" s="74">
        <v>9016</v>
      </c>
    </row>
    <row r="4225" spans="1:1" x14ac:dyDescent="0.25">
      <c r="A4225" s="74">
        <v>9017</v>
      </c>
    </row>
    <row r="4226" spans="1:1" x14ac:dyDescent="0.25">
      <c r="A4226" s="74">
        <v>9018</v>
      </c>
    </row>
    <row r="4227" spans="1:1" x14ac:dyDescent="0.25">
      <c r="A4227" s="74">
        <v>9019</v>
      </c>
    </row>
    <row r="4228" spans="1:1" x14ac:dyDescent="0.25">
      <c r="A4228" s="74">
        <v>9020</v>
      </c>
    </row>
    <row r="4229" spans="1:1" x14ac:dyDescent="0.25">
      <c r="A4229" s="74">
        <v>9021</v>
      </c>
    </row>
    <row r="4230" spans="1:1" x14ac:dyDescent="0.25">
      <c r="A4230" s="74">
        <v>9022</v>
      </c>
    </row>
    <row r="4231" spans="1:1" x14ac:dyDescent="0.25">
      <c r="A4231" s="74">
        <v>9023</v>
      </c>
    </row>
    <row r="4232" spans="1:1" x14ac:dyDescent="0.25">
      <c r="A4232" s="74">
        <v>9024</v>
      </c>
    </row>
    <row r="4233" spans="1:1" x14ac:dyDescent="0.25">
      <c r="A4233" s="74">
        <v>9025</v>
      </c>
    </row>
    <row r="4234" spans="1:1" x14ac:dyDescent="0.25">
      <c r="A4234" s="74">
        <v>9026</v>
      </c>
    </row>
    <row r="4235" spans="1:1" x14ac:dyDescent="0.25">
      <c r="A4235" s="74">
        <v>9027</v>
      </c>
    </row>
    <row r="4236" spans="1:1" x14ac:dyDescent="0.25">
      <c r="A4236" s="74">
        <v>9028</v>
      </c>
    </row>
    <row r="4237" spans="1:1" x14ac:dyDescent="0.25">
      <c r="A4237" s="74">
        <v>9029</v>
      </c>
    </row>
    <row r="4238" spans="1:1" x14ac:dyDescent="0.25">
      <c r="A4238" s="74">
        <v>9030</v>
      </c>
    </row>
    <row r="4239" spans="1:1" x14ac:dyDescent="0.25">
      <c r="A4239" s="74">
        <v>9031</v>
      </c>
    </row>
    <row r="4240" spans="1:1" x14ac:dyDescent="0.25">
      <c r="A4240" s="74">
        <v>9032</v>
      </c>
    </row>
    <row r="4241" spans="1:1" x14ac:dyDescent="0.25">
      <c r="A4241" s="74">
        <v>9033</v>
      </c>
    </row>
    <row r="4242" spans="1:1" x14ac:dyDescent="0.25">
      <c r="A4242" s="74">
        <v>9034</v>
      </c>
    </row>
    <row r="4243" spans="1:1" x14ac:dyDescent="0.25">
      <c r="A4243" s="74">
        <v>9035</v>
      </c>
    </row>
    <row r="4244" spans="1:1" x14ac:dyDescent="0.25">
      <c r="A4244" s="74">
        <v>9036</v>
      </c>
    </row>
    <row r="4245" spans="1:1" x14ac:dyDescent="0.25">
      <c r="A4245" s="74">
        <v>9037</v>
      </c>
    </row>
    <row r="4246" spans="1:1" x14ac:dyDescent="0.25">
      <c r="A4246" s="74">
        <v>9038</v>
      </c>
    </row>
    <row r="4247" spans="1:1" x14ac:dyDescent="0.25">
      <c r="A4247" s="74">
        <v>9039</v>
      </c>
    </row>
    <row r="4248" spans="1:1" x14ac:dyDescent="0.25">
      <c r="A4248" s="74">
        <v>9040</v>
      </c>
    </row>
    <row r="4249" spans="1:1" x14ac:dyDescent="0.25">
      <c r="A4249" s="74">
        <v>9041</v>
      </c>
    </row>
    <row r="4250" spans="1:1" x14ac:dyDescent="0.25">
      <c r="A4250" s="74">
        <v>9042</v>
      </c>
    </row>
    <row r="4251" spans="1:1" x14ac:dyDescent="0.25">
      <c r="A4251" s="74">
        <v>9043</v>
      </c>
    </row>
    <row r="4252" spans="1:1" x14ac:dyDescent="0.25">
      <c r="A4252" s="74">
        <v>9044</v>
      </c>
    </row>
    <row r="4253" spans="1:1" x14ac:dyDescent="0.25">
      <c r="A4253" s="74">
        <v>9045</v>
      </c>
    </row>
    <row r="4254" spans="1:1" x14ac:dyDescent="0.25">
      <c r="A4254" s="74">
        <v>9046</v>
      </c>
    </row>
    <row r="4255" spans="1:1" x14ac:dyDescent="0.25">
      <c r="A4255" s="74">
        <v>9047</v>
      </c>
    </row>
    <row r="4256" spans="1:1" x14ac:dyDescent="0.25">
      <c r="A4256" s="74">
        <v>9048</v>
      </c>
    </row>
    <row r="4257" spans="1:1" x14ac:dyDescent="0.25">
      <c r="A4257" s="74">
        <v>9049</v>
      </c>
    </row>
    <row r="4258" spans="1:1" x14ac:dyDescent="0.25">
      <c r="A4258" s="74">
        <v>9050</v>
      </c>
    </row>
    <row r="4259" spans="1:1" x14ac:dyDescent="0.25">
      <c r="A4259" s="74">
        <v>9051</v>
      </c>
    </row>
    <row r="4260" spans="1:1" x14ac:dyDescent="0.25">
      <c r="A4260" s="74">
        <v>9052</v>
      </c>
    </row>
    <row r="4261" spans="1:1" x14ac:dyDescent="0.25">
      <c r="A4261" s="74">
        <v>9053</v>
      </c>
    </row>
    <row r="4262" spans="1:1" x14ac:dyDescent="0.25">
      <c r="A4262" s="74">
        <v>9054</v>
      </c>
    </row>
    <row r="4263" spans="1:1" x14ac:dyDescent="0.25">
      <c r="A4263" s="74">
        <v>9055</v>
      </c>
    </row>
    <row r="4264" spans="1:1" x14ac:dyDescent="0.25">
      <c r="A4264" s="74">
        <v>9056</v>
      </c>
    </row>
    <row r="4265" spans="1:1" x14ac:dyDescent="0.25">
      <c r="A4265" s="74">
        <v>9057</v>
      </c>
    </row>
    <row r="4266" spans="1:1" x14ac:dyDescent="0.25">
      <c r="A4266" s="74">
        <v>9058</v>
      </c>
    </row>
    <row r="4267" spans="1:1" x14ac:dyDescent="0.25">
      <c r="A4267" s="74">
        <v>9059</v>
      </c>
    </row>
    <row r="4268" spans="1:1" x14ac:dyDescent="0.25">
      <c r="A4268" s="74">
        <v>9060</v>
      </c>
    </row>
    <row r="4269" spans="1:1" x14ac:dyDescent="0.25">
      <c r="A4269" s="74">
        <v>9061</v>
      </c>
    </row>
    <row r="4270" spans="1:1" x14ac:dyDescent="0.25">
      <c r="A4270" s="74">
        <v>9062</v>
      </c>
    </row>
    <row r="4271" spans="1:1" x14ac:dyDescent="0.25">
      <c r="A4271" s="74">
        <v>9063</v>
      </c>
    </row>
    <row r="4272" spans="1:1" x14ac:dyDescent="0.25">
      <c r="A4272" s="74">
        <v>9064</v>
      </c>
    </row>
    <row r="4273" spans="1:1" x14ac:dyDescent="0.25">
      <c r="A4273" s="74">
        <v>9065</v>
      </c>
    </row>
    <row r="4274" spans="1:1" x14ac:dyDescent="0.25">
      <c r="A4274" s="74">
        <v>9066</v>
      </c>
    </row>
    <row r="4275" spans="1:1" x14ac:dyDescent="0.25">
      <c r="A4275" s="74">
        <v>9067</v>
      </c>
    </row>
    <row r="4276" spans="1:1" x14ac:dyDescent="0.25">
      <c r="A4276" s="74">
        <v>9068</v>
      </c>
    </row>
    <row r="4277" spans="1:1" x14ac:dyDescent="0.25">
      <c r="A4277" s="74">
        <v>9069</v>
      </c>
    </row>
    <row r="4278" spans="1:1" x14ac:dyDescent="0.25">
      <c r="A4278" s="74">
        <v>9070</v>
      </c>
    </row>
    <row r="4279" spans="1:1" x14ac:dyDescent="0.25">
      <c r="A4279" s="74">
        <v>9071</v>
      </c>
    </row>
    <row r="4280" spans="1:1" x14ac:dyDescent="0.25">
      <c r="A4280" s="74">
        <v>9072</v>
      </c>
    </row>
    <row r="4281" spans="1:1" x14ac:dyDescent="0.25">
      <c r="A4281" s="74">
        <v>9073</v>
      </c>
    </row>
    <row r="4282" spans="1:1" x14ac:dyDescent="0.25">
      <c r="A4282" s="74">
        <v>9074</v>
      </c>
    </row>
    <row r="4283" spans="1:1" x14ac:dyDescent="0.25">
      <c r="A4283" s="74">
        <v>9075</v>
      </c>
    </row>
    <row r="4284" spans="1:1" x14ac:dyDescent="0.25">
      <c r="A4284" s="74">
        <v>9076</v>
      </c>
    </row>
    <row r="4285" spans="1:1" x14ac:dyDescent="0.25">
      <c r="A4285" s="74">
        <v>9077</v>
      </c>
    </row>
    <row r="4286" spans="1:1" x14ac:dyDescent="0.25">
      <c r="A4286" s="74">
        <v>9078</v>
      </c>
    </row>
    <row r="4287" spans="1:1" x14ac:dyDescent="0.25">
      <c r="A4287" s="74">
        <v>9079</v>
      </c>
    </row>
    <row r="4288" spans="1:1" x14ac:dyDescent="0.25">
      <c r="A4288" s="74">
        <v>9080</v>
      </c>
    </row>
    <row r="4289" spans="1:1" x14ac:dyDescent="0.25">
      <c r="A4289" s="74">
        <v>9081</v>
      </c>
    </row>
    <row r="4290" spans="1:1" x14ac:dyDescent="0.25">
      <c r="A4290" s="74">
        <v>9082</v>
      </c>
    </row>
    <row r="4291" spans="1:1" x14ac:dyDescent="0.25">
      <c r="A4291" s="74">
        <v>9083</v>
      </c>
    </row>
    <row r="4292" spans="1:1" x14ac:dyDescent="0.25">
      <c r="A4292" s="74">
        <v>9084</v>
      </c>
    </row>
    <row r="4293" spans="1:1" x14ac:dyDescent="0.25">
      <c r="A4293" s="74">
        <v>9085</v>
      </c>
    </row>
    <row r="4294" spans="1:1" x14ac:dyDescent="0.25">
      <c r="A4294" s="74">
        <v>9086</v>
      </c>
    </row>
    <row r="4295" spans="1:1" x14ac:dyDescent="0.25">
      <c r="A4295" s="74">
        <v>9087</v>
      </c>
    </row>
    <row r="4296" spans="1:1" x14ac:dyDescent="0.25">
      <c r="A4296" s="74">
        <v>9088</v>
      </c>
    </row>
    <row r="4297" spans="1:1" x14ac:dyDescent="0.25">
      <c r="A4297" s="74">
        <v>9089</v>
      </c>
    </row>
    <row r="4298" spans="1:1" x14ac:dyDescent="0.25">
      <c r="A4298" s="74">
        <v>9090</v>
      </c>
    </row>
    <row r="4299" spans="1:1" x14ac:dyDescent="0.25">
      <c r="A4299" s="74">
        <v>9091</v>
      </c>
    </row>
    <row r="4300" spans="1:1" x14ac:dyDescent="0.25">
      <c r="A4300" s="74">
        <v>9092</v>
      </c>
    </row>
    <row r="4301" spans="1:1" x14ac:dyDescent="0.25">
      <c r="A4301" s="74">
        <v>9093</v>
      </c>
    </row>
    <row r="4302" spans="1:1" x14ac:dyDescent="0.25">
      <c r="A4302" s="74">
        <v>9094</v>
      </c>
    </row>
    <row r="4303" spans="1:1" x14ac:dyDescent="0.25">
      <c r="A4303" s="74">
        <v>9095</v>
      </c>
    </row>
    <row r="4304" spans="1:1" x14ac:dyDescent="0.25">
      <c r="A4304" s="74">
        <v>9096</v>
      </c>
    </row>
    <row r="4305" spans="1:1" x14ac:dyDescent="0.25">
      <c r="A4305" s="74">
        <v>9097</v>
      </c>
    </row>
    <row r="4306" spans="1:1" x14ac:dyDescent="0.25">
      <c r="A4306" s="74">
        <v>9098</v>
      </c>
    </row>
    <row r="4307" spans="1:1" x14ac:dyDescent="0.25">
      <c r="A4307" s="74">
        <v>9099</v>
      </c>
    </row>
    <row r="4308" spans="1:1" x14ac:dyDescent="0.25">
      <c r="A4308" s="74">
        <v>9100</v>
      </c>
    </row>
    <row r="4309" spans="1:1" x14ac:dyDescent="0.25">
      <c r="A4309" s="74">
        <v>9101</v>
      </c>
    </row>
    <row r="4310" spans="1:1" x14ac:dyDescent="0.25">
      <c r="A4310" s="74">
        <v>9102</v>
      </c>
    </row>
    <row r="4311" spans="1:1" x14ac:dyDescent="0.25">
      <c r="A4311" s="74">
        <v>9103</v>
      </c>
    </row>
    <row r="4312" spans="1:1" x14ac:dyDescent="0.25">
      <c r="A4312" s="74">
        <v>9104</v>
      </c>
    </row>
    <row r="4313" spans="1:1" x14ac:dyDescent="0.25">
      <c r="A4313" s="74">
        <v>9105</v>
      </c>
    </row>
    <row r="4314" spans="1:1" x14ac:dyDescent="0.25">
      <c r="A4314" s="74">
        <v>9106</v>
      </c>
    </row>
    <row r="4315" spans="1:1" x14ac:dyDescent="0.25">
      <c r="A4315" s="74">
        <v>9107</v>
      </c>
    </row>
    <row r="4316" spans="1:1" x14ac:dyDescent="0.25">
      <c r="A4316" s="74">
        <v>9108</v>
      </c>
    </row>
    <row r="4317" spans="1:1" x14ac:dyDescent="0.25">
      <c r="A4317" s="74">
        <v>9109</v>
      </c>
    </row>
    <row r="4318" spans="1:1" x14ac:dyDescent="0.25">
      <c r="A4318" s="74">
        <v>9110</v>
      </c>
    </row>
    <row r="4319" spans="1:1" x14ac:dyDescent="0.25">
      <c r="A4319" s="74">
        <v>9111</v>
      </c>
    </row>
    <row r="4320" spans="1:1" x14ac:dyDescent="0.25">
      <c r="A4320" s="74">
        <v>9112</v>
      </c>
    </row>
    <row r="4321" spans="1:1" x14ac:dyDescent="0.25">
      <c r="A4321" s="74">
        <v>9113</v>
      </c>
    </row>
    <row r="4322" spans="1:1" x14ac:dyDescent="0.25">
      <c r="A4322" s="74">
        <v>9114</v>
      </c>
    </row>
    <row r="4323" spans="1:1" x14ac:dyDescent="0.25">
      <c r="A4323" s="74">
        <v>9115</v>
      </c>
    </row>
    <row r="4324" spans="1:1" x14ac:dyDescent="0.25">
      <c r="A4324" s="74">
        <v>9116</v>
      </c>
    </row>
    <row r="4325" spans="1:1" x14ac:dyDescent="0.25">
      <c r="A4325" s="74">
        <v>9117</v>
      </c>
    </row>
    <row r="4326" spans="1:1" x14ac:dyDescent="0.25">
      <c r="A4326" s="74">
        <v>9118</v>
      </c>
    </row>
    <row r="4327" spans="1:1" x14ac:dyDescent="0.25">
      <c r="A4327" s="74">
        <v>9119</v>
      </c>
    </row>
    <row r="4328" spans="1:1" x14ac:dyDescent="0.25">
      <c r="A4328" s="74">
        <v>9120</v>
      </c>
    </row>
    <row r="4329" spans="1:1" x14ac:dyDescent="0.25">
      <c r="A4329" s="74">
        <v>9121</v>
      </c>
    </row>
    <row r="4330" spans="1:1" x14ac:dyDescent="0.25">
      <c r="A4330" s="74">
        <v>9122</v>
      </c>
    </row>
    <row r="4331" spans="1:1" x14ac:dyDescent="0.25">
      <c r="A4331" s="74">
        <v>9123</v>
      </c>
    </row>
    <row r="4332" spans="1:1" x14ac:dyDescent="0.25">
      <c r="A4332" s="74">
        <v>9124</v>
      </c>
    </row>
    <row r="4333" spans="1:1" x14ac:dyDescent="0.25">
      <c r="A4333" s="74">
        <v>9125</v>
      </c>
    </row>
    <row r="4334" spans="1:1" x14ac:dyDescent="0.25">
      <c r="A4334" s="74">
        <v>9126</v>
      </c>
    </row>
    <row r="4335" spans="1:1" x14ac:dyDescent="0.25">
      <c r="A4335" s="74">
        <v>9127</v>
      </c>
    </row>
    <row r="4336" spans="1:1" x14ac:dyDescent="0.25">
      <c r="A4336" s="74">
        <v>9128</v>
      </c>
    </row>
    <row r="4337" spans="1:1" x14ac:dyDescent="0.25">
      <c r="A4337" s="74">
        <v>9129</v>
      </c>
    </row>
    <row r="4338" spans="1:1" x14ac:dyDescent="0.25">
      <c r="A4338" s="74">
        <v>9130</v>
      </c>
    </row>
    <row r="4339" spans="1:1" x14ac:dyDescent="0.25">
      <c r="A4339" s="74">
        <v>9131</v>
      </c>
    </row>
    <row r="4340" spans="1:1" x14ac:dyDescent="0.25">
      <c r="A4340" s="74">
        <v>9132</v>
      </c>
    </row>
    <row r="4341" spans="1:1" x14ac:dyDescent="0.25">
      <c r="A4341" s="74">
        <v>9133</v>
      </c>
    </row>
    <row r="4342" spans="1:1" x14ac:dyDescent="0.25">
      <c r="A4342" s="74">
        <v>9134</v>
      </c>
    </row>
    <row r="4343" spans="1:1" x14ac:dyDescent="0.25">
      <c r="A4343" s="74">
        <v>9135</v>
      </c>
    </row>
    <row r="4344" spans="1:1" x14ac:dyDescent="0.25">
      <c r="A4344" s="74">
        <v>9136</v>
      </c>
    </row>
    <row r="4345" spans="1:1" x14ac:dyDescent="0.25">
      <c r="A4345" s="74">
        <v>9137</v>
      </c>
    </row>
    <row r="4346" spans="1:1" x14ac:dyDescent="0.25">
      <c r="A4346" s="74">
        <v>9138</v>
      </c>
    </row>
    <row r="4347" spans="1:1" x14ac:dyDescent="0.25">
      <c r="A4347" s="74">
        <v>9139</v>
      </c>
    </row>
    <row r="4348" spans="1:1" x14ac:dyDescent="0.25">
      <c r="A4348" s="74">
        <v>9140</v>
      </c>
    </row>
    <row r="4349" spans="1:1" x14ac:dyDescent="0.25">
      <c r="A4349" s="74">
        <v>9141</v>
      </c>
    </row>
    <row r="4350" spans="1:1" x14ac:dyDescent="0.25">
      <c r="A4350" s="74">
        <v>9142</v>
      </c>
    </row>
    <row r="4351" spans="1:1" x14ac:dyDescent="0.25">
      <c r="A4351" s="74">
        <v>9143</v>
      </c>
    </row>
    <row r="4352" spans="1:1" x14ac:dyDescent="0.25">
      <c r="A4352" s="74">
        <v>9144</v>
      </c>
    </row>
    <row r="4353" spans="1:1" x14ac:dyDescent="0.25">
      <c r="A4353" s="74">
        <v>9145</v>
      </c>
    </row>
    <row r="4354" spans="1:1" x14ac:dyDescent="0.25">
      <c r="A4354" s="74">
        <v>9146</v>
      </c>
    </row>
    <row r="4355" spans="1:1" x14ac:dyDescent="0.25">
      <c r="A4355" s="74">
        <v>9147</v>
      </c>
    </row>
    <row r="4356" spans="1:1" x14ac:dyDescent="0.25">
      <c r="A4356" s="74">
        <v>9148</v>
      </c>
    </row>
    <row r="4357" spans="1:1" x14ac:dyDescent="0.25">
      <c r="A4357" s="74">
        <v>9149</v>
      </c>
    </row>
    <row r="4358" spans="1:1" x14ac:dyDescent="0.25">
      <c r="A4358" s="74">
        <v>9150</v>
      </c>
    </row>
    <row r="4359" spans="1:1" x14ac:dyDescent="0.25">
      <c r="A4359" s="74">
        <v>9151</v>
      </c>
    </row>
    <row r="4360" spans="1:1" x14ac:dyDescent="0.25">
      <c r="A4360" s="74">
        <v>9152</v>
      </c>
    </row>
    <row r="4361" spans="1:1" x14ac:dyDescent="0.25">
      <c r="A4361" s="74">
        <v>9153</v>
      </c>
    </row>
    <row r="4362" spans="1:1" x14ac:dyDescent="0.25">
      <c r="A4362" s="74">
        <v>9154</v>
      </c>
    </row>
    <row r="4363" spans="1:1" x14ac:dyDescent="0.25">
      <c r="A4363" s="74">
        <v>9155</v>
      </c>
    </row>
    <row r="4364" spans="1:1" x14ac:dyDescent="0.25">
      <c r="A4364" s="74">
        <v>9156</v>
      </c>
    </row>
    <row r="4365" spans="1:1" x14ac:dyDescent="0.25">
      <c r="A4365" s="74">
        <v>9157</v>
      </c>
    </row>
    <row r="4366" spans="1:1" x14ac:dyDescent="0.25">
      <c r="A4366" s="74">
        <v>9158</v>
      </c>
    </row>
    <row r="4367" spans="1:1" x14ac:dyDescent="0.25">
      <c r="A4367" s="74">
        <v>9159</v>
      </c>
    </row>
    <row r="4368" spans="1:1" x14ac:dyDescent="0.25">
      <c r="A4368" s="74">
        <v>9160</v>
      </c>
    </row>
    <row r="4369" spans="1:1" x14ac:dyDescent="0.25">
      <c r="A4369" s="74">
        <v>9161</v>
      </c>
    </row>
    <row r="4370" spans="1:1" x14ac:dyDescent="0.25">
      <c r="A4370" s="74">
        <v>9162</v>
      </c>
    </row>
    <row r="4371" spans="1:1" x14ac:dyDescent="0.25">
      <c r="A4371" s="74">
        <v>9163</v>
      </c>
    </row>
    <row r="4372" spans="1:1" x14ac:dyDescent="0.25">
      <c r="A4372" s="74">
        <v>9164</v>
      </c>
    </row>
    <row r="4373" spans="1:1" x14ac:dyDescent="0.25">
      <c r="A4373" s="74">
        <v>9165</v>
      </c>
    </row>
    <row r="4374" spans="1:1" x14ac:dyDescent="0.25">
      <c r="A4374" s="74">
        <v>9166</v>
      </c>
    </row>
    <row r="4375" spans="1:1" x14ac:dyDescent="0.25">
      <c r="A4375" s="74">
        <v>9167</v>
      </c>
    </row>
    <row r="4376" spans="1:1" x14ac:dyDescent="0.25">
      <c r="A4376" s="74">
        <v>9168</v>
      </c>
    </row>
    <row r="4377" spans="1:1" x14ac:dyDescent="0.25">
      <c r="A4377" s="74">
        <v>9169</v>
      </c>
    </row>
    <row r="4378" spans="1:1" x14ac:dyDescent="0.25">
      <c r="A4378" s="74">
        <v>9170</v>
      </c>
    </row>
    <row r="4379" spans="1:1" x14ac:dyDescent="0.25">
      <c r="A4379" s="74">
        <v>9171</v>
      </c>
    </row>
    <row r="4380" spans="1:1" x14ac:dyDescent="0.25">
      <c r="A4380" s="74">
        <v>9172</v>
      </c>
    </row>
    <row r="4381" spans="1:1" x14ac:dyDescent="0.25">
      <c r="A4381" s="74">
        <v>9173</v>
      </c>
    </row>
    <row r="4382" spans="1:1" x14ac:dyDescent="0.25">
      <c r="A4382" s="74">
        <v>9174</v>
      </c>
    </row>
    <row r="4383" spans="1:1" x14ac:dyDescent="0.25">
      <c r="A4383" s="74">
        <v>9175</v>
      </c>
    </row>
    <row r="4384" spans="1:1" x14ac:dyDescent="0.25">
      <c r="A4384" s="74">
        <v>9176</v>
      </c>
    </row>
    <row r="4385" spans="1:1" x14ac:dyDescent="0.25">
      <c r="A4385" s="74">
        <v>9177</v>
      </c>
    </row>
    <row r="4386" spans="1:1" x14ac:dyDescent="0.25">
      <c r="A4386" s="74">
        <v>9178</v>
      </c>
    </row>
    <row r="4387" spans="1:1" x14ac:dyDescent="0.25">
      <c r="A4387" s="74">
        <v>9179</v>
      </c>
    </row>
    <row r="4388" spans="1:1" x14ac:dyDescent="0.25">
      <c r="A4388" s="74">
        <v>9180</v>
      </c>
    </row>
    <row r="4389" spans="1:1" x14ac:dyDescent="0.25">
      <c r="A4389" s="74">
        <v>9181</v>
      </c>
    </row>
    <row r="4390" spans="1:1" x14ac:dyDescent="0.25">
      <c r="A4390" s="74">
        <v>9182</v>
      </c>
    </row>
    <row r="4391" spans="1:1" x14ac:dyDescent="0.25">
      <c r="A4391" s="74">
        <v>9183</v>
      </c>
    </row>
    <row r="4392" spans="1:1" x14ac:dyDescent="0.25">
      <c r="A4392" s="74">
        <v>9184</v>
      </c>
    </row>
    <row r="4393" spans="1:1" x14ac:dyDescent="0.25">
      <c r="A4393" s="74">
        <v>9185</v>
      </c>
    </row>
    <row r="4394" spans="1:1" x14ac:dyDescent="0.25">
      <c r="A4394" s="74">
        <v>9186</v>
      </c>
    </row>
    <row r="4395" spans="1:1" x14ac:dyDescent="0.25">
      <c r="A4395" s="74">
        <v>9187</v>
      </c>
    </row>
    <row r="4396" spans="1:1" x14ac:dyDescent="0.25">
      <c r="A4396" s="74">
        <v>9188</v>
      </c>
    </row>
    <row r="4397" spans="1:1" x14ac:dyDescent="0.25">
      <c r="A4397" s="74">
        <v>9189</v>
      </c>
    </row>
    <row r="4398" spans="1:1" x14ac:dyDescent="0.25">
      <c r="A4398" s="74">
        <v>9190</v>
      </c>
    </row>
    <row r="4399" spans="1:1" x14ac:dyDescent="0.25">
      <c r="A4399" s="74">
        <v>9191</v>
      </c>
    </row>
    <row r="4400" spans="1:1" x14ac:dyDescent="0.25">
      <c r="A4400" s="74">
        <v>9192</v>
      </c>
    </row>
    <row r="4401" spans="1:1" x14ac:dyDescent="0.25">
      <c r="A4401" s="74">
        <v>9193</v>
      </c>
    </row>
    <row r="4402" spans="1:1" x14ac:dyDescent="0.25">
      <c r="A4402" s="74">
        <v>9194</v>
      </c>
    </row>
    <row r="4403" spans="1:1" x14ac:dyDescent="0.25">
      <c r="A4403" s="74">
        <v>9195</v>
      </c>
    </row>
    <row r="4404" spans="1:1" x14ac:dyDescent="0.25">
      <c r="A4404" s="74">
        <v>9196</v>
      </c>
    </row>
    <row r="4405" spans="1:1" x14ac:dyDescent="0.25">
      <c r="A4405" s="74">
        <v>9197</v>
      </c>
    </row>
    <row r="4406" spans="1:1" x14ac:dyDescent="0.25">
      <c r="A4406" s="74">
        <v>9198</v>
      </c>
    </row>
    <row r="4407" spans="1:1" x14ac:dyDescent="0.25">
      <c r="A4407" s="74">
        <v>9199</v>
      </c>
    </row>
    <row r="4408" spans="1:1" x14ac:dyDescent="0.25">
      <c r="A4408" s="74">
        <v>9200</v>
      </c>
    </row>
    <row r="4409" spans="1:1" x14ac:dyDescent="0.25">
      <c r="A4409" s="74">
        <v>9201</v>
      </c>
    </row>
    <row r="4410" spans="1:1" x14ac:dyDescent="0.25">
      <c r="A4410" s="74">
        <v>9202</v>
      </c>
    </row>
    <row r="4411" spans="1:1" x14ac:dyDescent="0.25">
      <c r="A4411" s="74">
        <v>9203</v>
      </c>
    </row>
    <row r="4412" spans="1:1" x14ac:dyDescent="0.25">
      <c r="A4412" s="74">
        <v>9204</v>
      </c>
    </row>
    <row r="4413" spans="1:1" x14ac:dyDescent="0.25">
      <c r="A4413" s="74">
        <v>9205</v>
      </c>
    </row>
    <row r="4414" spans="1:1" x14ac:dyDescent="0.25">
      <c r="A4414" s="74">
        <v>9206</v>
      </c>
    </row>
    <row r="4415" spans="1:1" x14ac:dyDescent="0.25">
      <c r="A4415" s="74">
        <v>9207</v>
      </c>
    </row>
    <row r="4416" spans="1:1" x14ac:dyDescent="0.25">
      <c r="A4416" s="74">
        <v>9208</v>
      </c>
    </row>
    <row r="4417" spans="1:1" x14ac:dyDescent="0.25">
      <c r="A4417" s="74">
        <v>9209</v>
      </c>
    </row>
    <row r="4418" spans="1:1" x14ac:dyDescent="0.25">
      <c r="A4418" s="74">
        <v>9210</v>
      </c>
    </row>
    <row r="4419" spans="1:1" x14ac:dyDescent="0.25">
      <c r="A4419" s="74">
        <v>9211</v>
      </c>
    </row>
    <row r="4420" spans="1:1" x14ac:dyDescent="0.25">
      <c r="A4420" s="74">
        <v>9212</v>
      </c>
    </row>
    <row r="4421" spans="1:1" x14ac:dyDescent="0.25">
      <c r="A4421" s="74">
        <v>9213</v>
      </c>
    </row>
    <row r="4422" spans="1:1" x14ac:dyDescent="0.25">
      <c r="A4422" s="74">
        <v>9214</v>
      </c>
    </row>
    <row r="4423" spans="1:1" x14ac:dyDescent="0.25">
      <c r="A4423" s="74">
        <v>9215</v>
      </c>
    </row>
    <row r="4424" spans="1:1" x14ac:dyDescent="0.25">
      <c r="A4424" s="74">
        <v>9216</v>
      </c>
    </row>
    <row r="4425" spans="1:1" x14ac:dyDescent="0.25">
      <c r="A4425" s="74">
        <v>9217</v>
      </c>
    </row>
    <row r="4426" spans="1:1" x14ac:dyDescent="0.25">
      <c r="A4426" s="74">
        <v>9218</v>
      </c>
    </row>
    <row r="4427" spans="1:1" x14ac:dyDescent="0.25">
      <c r="A4427" s="74">
        <v>9219</v>
      </c>
    </row>
    <row r="4428" spans="1:1" x14ac:dyDescent="0.25">
      <c r="A4428" s="74">
        <v>9220</v>
      </c>
    </row>
    <row r="4429" spans="1:1" x14ac:dyDescent="0.25">
      <c r="A4429" s="74">
        <v>9221</v>
      </c>
    </row>
    <row r="4430" spans="1:1" x14ac:dyDescent="0.25">
      <c r="A4430" s="74">
        <v>9222</v>
      </c>
    </row>
    <row r="4431" spans="1:1" x14ac:dyDescent="0.25">
      <c r="A4431" s="74">
        <v>9223</v>
      </c>
    </row>
    <row r="4432" spans="1:1" x14ac:dyDescent="0.25">
      <c r="A4432" s="74">
        <v>9224</v>
      </c>
    </row>
    <row r="4433" spans="1:1" x14ac:dyDescent="0.25">
      <c r="A4433" s="74">
        <v>9225</v>
      </c>
    </row>
    <row r="4434" spans="1:1" x14ac:dyDescent="0.25">
      <c r="A4434" s="74">
        <v>9226</v>
      </c>
    </row>
    <row r="4435" spans="1:1" x14ac:dyDescent="0.25">
      <c r="A4435" s="74">
        <v>9227</v>
      </c>
    </row>
    <row r="4436" spans="1:1" x14ac:dyDescent="0.25">
      <c r="A4436" s="74">
        <v>9228</v>
      </c>
    </row>
    <row r="4437" spans="1:1" x14ac:dyDescent="0.25">
      <c r="A4437" s="74">
        <v>9229</v>
      </c>
    </row>
    <row r="4438" spans="1:1" x14ac:dyDescent="0.25">
      <c r="A4438" s="74">
        <v>9230</v>
      </c>
    </row>
    <row r="4439" spans="1:1" x14ac:dyDescent="0.25">
      <c r="A4439" s="74">
        <v>9231</v>
      </c>
    </row>
    <row r="4440" spans="1:1" x14ac:dyDescent="0.25">
      <c r="A4440" s="74">
        <v>9232</v>
      </c>
    </row>
    <row r="4441" spans="1:1" x14ac:dyDescent="0.25">
      <c r="A4441" s="74">
        <v>9233</v>
      </c>
    </row>
    <row r="4442" spans="1:1" x14ac:dyDescent="0.25">
      <c r="A4442" s="74">
        <v>9234</v>
      </c>
    </row>
    <row r="4443" spans="1:1" x14ac:dyDescent="0.25">
      <c r="A4443" s="74">
        <v>9235</v>
      </c>
    </row>
    <row r="4444" spans="1:1" x14ac:dyDescent="0.25">
      <c r="A4444" s="74">
        <v>9236</v>
      </c>
    </row>
    <row r="4445" spans="1:1" x14ac:dyDescent="0.25">
      <c r="A4445" s="74">
        <v>9237</v>
      </c>
    </row>
    <row r="4446" spans="1:1" x14ac:dyDescent="0.25">
      <c r="A4446" s="74">
        <v>9238</v>
      </c>
    </row>
    <row r="4447" spans="1:1" x14ac:dyDescent="0.25">
      <c r="A4447" s="74">
        <v>9239</v>
      </c>
    </row>
    <row r="4448" spans="1:1" x14ac:dyDescent="0.25">
      <c r="A4448" s="74">
        <v>9240</v>
      </c>
    </row>
    <row r="4449" spans="1:1" x14ac:dyDescent="0.25">
      <c r="A4449" s="74">
        <v>9241</v>
      </c>
    </row>
    <row r="4450" spans="1:1" x14ac:dyDescent="0.25">
      <c r="A4450" s="74">
        <v>9242</v>
      </c>
    </row>
    <row r="4451" spans="1:1" x14ac:dyDescent="0.25">
      <c r="A4451" s="74">
        <v>9243</v>
      </c>
    </row>
    <row r="4452" spans="1:1" x14ac:dyDescent="0.25">
      <c r="A4452" s="74">
        <v>9244</v>
      </c>
    </row>
    <row r="4453" spans="1:1" x14ac:dyDescent="0.25">
      <c r="A4453" s="74">
        <v>9245</v>
      </c>
    </row>
    <row r="4454" spans="1:1" x14ac:dyDescent="0.25">
      <c r="A4454" s="74">
        <v>9246</v>
      </c>
    </row>
    <row r="4455" spans="1:1" x14ac:dyDescent="0.25">
      <c r="A4455" s="74">
        <v>9247</v>
      </c>
    </row>
    <row r="4456" spans="1:1" x14ac:dyDescent="0.25">
      <c r="A4456" s="74">
        <v>9248</v>
      </c>
    </row>
    <row r="4457" spans="1:1" x14ac:dyDescent="0.25">
      <c r="A4457" s="74">
        <v>9249</v>
      </c>
    </row>
    <row r="4458" spans="1:1" x14ac:dyDescent="0.25">
      <c r="A4458" s="74">
        <v>9250</v>
      </c>
    </row>
    <row r="4459" spans="1:1" x14ac:dyDescent="0.25">
      <c r="A4459" s="74">
        <v>9251</v>
      </c>
    </row>
    <row r="4460" spans="1:1" x14ac:dyDescent="0.25">
      <c r="A4460" s="74">
        <v>9252</v>
      </c>
    </row>
    <row r="4461" spans="1:1" x14ac:dyDescent="0.25">
      <c r="A4461" s="74">
        <v>9253</v>
      </c>
    </row>
    <row r="4462" spans="1:1" x14ac:dyDescent="0.25">
      <c r="A4462" s="74">
        <v>9254</v>
      </c>
    </row>
    <row r="4463" spans="1:1" x14ac:dyDescent="0.25">
      <c r="A4463" s="74">
        <v>9255</v>
      </c>
    </row>
    <row r="4464" spans="1:1" x14ac:dyDescent="0.25">
      <c r="A4464" s="74">
        <v>9256</v>
      </c>
    </row>
    <row r="4465" spans="1:1" x14ac:dyDescent="0.25">
      <c r="A4465" s="74">
        <v>9257</v>
      </c>
    </row>
    <row r="4466" spans="1:1" x14ac:dyDescent="0.25">
      <c r="A4466" s="74">
        <v>9258</v>
      </c>
    </row>
    <row r="4467" spans="1:1" x14ac:dyDescent="0.25">
      <c r="A4467" s="74">
        <v>9259</v>
      </c>
    </row>
    <row r="4468" spans="1:1" x14ac:dyDescent="0.25">
      <c r="A4468" s="74">
        <v>9260</v>
      </c>
    </row>
    <row r="4469" spans="1:1" x14ac:dyDescent="0.25">
      <c r="A4469" s="74">
        <v>9261</v>
      </c>
    </row>
    <row r="4470" spans="1:1" x14ac:dyDescent="0.25">
      <c r="A4470" s="74">
        <v>9262</v>
      </c>
    </row>
    <row r="4471" spans="1:1" x14ac:dyDescent="0.25">
      <c r="A4471" s="74">
        <v>9263</v>
      </c>
    </row>
    <row r="4472" spans="1:1" x14ac:dyDescent="0.25">
      <c r="A4472" s="74">
        <v>9264</v>
      </c>
    </row>
    <row r="4473" spans="1:1" x14ac:dyDescent="0.25">
      <c r="A4473" s="74">
        <v>9265</v>
      </c>
    </row>
    <row r="4474" spans="1:1" x14ac:dyDescent="0.25">
      <c r="A4474" s="74">
        <v>9266</v>
      </c>
    </row>
    <row r="4475" spans="1:1" x14ac:dyDescent="0.25">
      <c r="A4475" s="74">
        <v>9267</v>
      </c>
    </row>
    <row r="4476" spans="1:1" x14ac:dyDescent="0.25">
      <c r="A4476" s="74">
        <v>9268</v>
      </c>
    </row>
    <row r="4477" spans="1:1" x14ac:dyDescent="0.25">
      <c r="A4477" s="74">
        <v>9269</v>
      </c>
    </row>
    <row r="4478" spans="1:1" x14ac:dyDescent="0.25">
      <c r="A4478" s="74">
        <v>9270</v>
      </c>
    </row>
    <row r="4479" spans="1:1" x14ac:dyDescent="0.25">
      <c r="A4479" s="74">
        <v>9271</v>
      </c>
    </row>
    <row r="4480" spans="1:1" x14ac:dyDescent="0.25">
      <c r="A4480" s="74">
        <v>9272</v>
      </c>
    </row>
    <row r="4481" spans="1:1" x14ac:dyDescent="0.25">
      <c r="A4481" s="74">
        <v>9273</v>
      </c>
    </row>
    <row r="4482" spans="1:1" x14ac:dyDescent="0.25">
      <c r="A4482" s="74">
        <v>9274</v>
      </c>
    </row>
    <row r="4483" spans="1:1" x14ac:dyDescent="0.25">
      <c r="A4483" s="74">
        <v>9275</v>
      </c>
    </row>
    <row r="4484" spans="1:1" x14ac:dyDescent="0.25">
      <c r="A4484" s="74">
        <v>9276</v>
      </c>
    </row>
    <row r="4485" spans="1:1" x14ac:dyDescent="0.25">
      <c r="A4485" s="74">
        <v>9277</v>
      </c>
    </row>
    <row r="4486" spans="1:1" x14ac:dyDescent="0.25">
      <c r="A4486" s="74">
        <v>9278</v>
      </c>
    </row>
    <row r="4487" spans="1:1" x14ac:dyDescent="0.25">
      <c r="A4487" s="74">
        <v>9279</v>
      </c>
    </row>
    <row r="4488" spans="1:1" x14ac:dyDescent="0.25">
      <c r="A4488" s="74">
        <v>9280</v>
      </c>
    </row>
    <row r="4489" spans="1:1" x14ac:dyDescent="0.25">
      <c r="A4489" s="74">
        <v>9281</v>
      </c>
    </row>
    <row r="4490" spans="1:1" x14ac:dyDescent="0.25">
      <c r="A4490" s="74">
        <v>9282</v>
      </c>
    </row>
    <row r="4491" spans="1:1" x14ac:dyDescent="0.25">
      <c r="A4491" s="74">
        <v>9283</v>
      </c>
    </row>
    <row r="4492" spans="1:1" x14ac:dyDescent="0.25">
      <c r="A4492" s="74">
        <v>9284</v>
      </c>
    </row>
    <row r="4493" spans="1:1" x14ac:dyDescent="0.25">
      <c r="A4493" s="74">
        <v>9285</v>
      </c>
    </row>
    <row r="4494" spans="1:1" x14ac:dyDescent="0.25">
      <c r="A4494" s="74">
        <v>9286</v>
      </c>
    </row>
    <row r="4495" spans="1:1" x14ac:dyDescent="0.25">
      <c r="A4495" s="74">
        <v>9287</v>
      </c>
    </row>
    <row r="4496" spans="1:1" x14ac:dyDescent="0.25">
      <c r="A4496" s="74">
        <v>9288</v>
      </c>
    </row>
    <row r="4497" spans="1:1" x14ac:dyDescent="0.25">
      <c r="A4497" s="74">
        <v>9289</v>
      </c>
    </row>
    <row r="4498" spans="1:1" x14ac:dyDescent="0.25">
      <c r="A4498" s="74">
        <v>9290</v>
      </c>
    </row>
    <row r="4499" spans="1:1" x14ac:dyDescent="0.25">
      <c r="A4499" s="74">
        <v>9291</v>
      </c>
    </row>
    <row r="4500" spans="1:1" x14ac:dyDescent="0.25">
      <c r="A4500" s="74">
        <v>9292</v>
      </c>
    </row>
    <row r="4501" spans="1:1" x14ac:dyDescent="0.25">
      <c r="A4501" s="74">
        <v>9293</v>
      </c>
    </row>
    <row r="4502" spans="1:1" x14ac:dyDescent="0.25">
      <c r="A4502" s="74">
        <v>9294</v>
      </c>
    </row>
    <row r="4503" spans="1:1" x14ac:dyDescent="0.25">
      <c r="A4503" s="74">
        <v>9295</v>
      </c>
    </row>
    <row r="4504" spans="1:1" x14ac:dyDescent="0.25">
      <c r="A4504" s="74">
        <v>9296</v>
      </c>
    </row>
    <row r="4505" spans="1:1" x14ac:dyDescent="0.25">
      <c r="A4505" s="74">
        <v>9297</v>
      </c>
    </row>
    <row r="4506" spans="1:1" x14ac:dyDescent="0.25">
      <c r="A4506" s="74">
        <v>9298</v>
      </c>
    </row>
    <row r="4507" spans="1:1" x14ac:dyDescent="0.25">
      <c r="A4507" s="74">
        <v>9299</v>
      </c>
    </row>
    <row r="4508" spans="1:1" x14ac:dyDescent="0.25">
      <c r="A4508" s="74">
        <v>9300</v>
      </c>
    </row>
    <row r="4509" spans="1:1" x14ac:dyDescent="0.25">
      <c r="A4509" s="74">
        <v>9301</v>
      </c>
    </row>
    <row r="4510" spans="1:1" x14ac:dyDescent="0.25">
      <c r="A4510" s="74">
        <v>9302</v>
      </c>
    </row>
    <row r="4511" spans="1:1" x14ac:dyDescent="0.25">
      <c r="A4511" s="74">
        <v>9303</v>
      </c>
    </row>
    <row r="4512" spans="1:1" x14ac:dyDescent="0.25">
      <c r="A4512" s="74">
        <v>9304</v>
      </c>
    </row>
    <row r="4513" spans="1:1" x14ac:dyDescent="0.25">
      <c r="A4513" s="74">
        <v>9305</v>
      </c>
    </row>
    <row r="4514" spans="1:1" x14ac:dyDescent="0.25">
      <c r="A4514" s="74">
        <v>9306</v>
      </c>
    </row>
    <row r="4515" spans="1:1" x14ac:dyDescent="0.25">
      <c r="A4515" s="74">
        <v>9307</v>
      </c>
    </row>
    <row r="4516" spans="1:1" x14ac:dyDescent="0.25">
      <c r="A4516" s="74">
        <v>9308</v>
      </c>
    </row>
    <row r="4517" spans="1:1" x14ac:dyDescent="0.25">
      <c r="A4517" s="74">
        <v>9309</v>
      </c>
    </row>
    <row r="4518" spans="1:1" x14ac:dyDescent="0.25">
      <c r="A4518" s="74">
        <v>9310</v>
      </c>
    </row>
    <row r="4519" spans="1:1" x14ac:dyDescent="0.25">
      <c r="A4519" s="74">
        <v>9311</v>
      </c>
    </row>
    <row r="4520" spans="1:1" x14ac:dyDescent="0.25">
      <c r="A4520" s="74">
        <v>9312</v>
      </c>
    </row>
    <row r="4521" spans="1:1" x14ac:dyDescent="0.25">
      <c r="A4521" s="74">
        <v>9313</v>
      </c>
    </row>
    <row r="4522" spans="1:1" x14ac:dyDescent="0.25">
      <c r="A4522" s="74">
        <v>9314</v>
      </c>
    </row>
    <row r="4523" spans="1:1" x14ac:dyDescent="0.25">
      <c r="A4523" s="74">
        <v>9315</v>
      </c>
    </row>
    <row r="4524" spans="1:1" x14ac:dyDescent="0.25">
      <c r="A4524" s="74">
        <v>9316</v>
      </c>
    </row>
    <row r="4525" spans="1:1" x14ac:dyDescent="0.25">
      <c r="A4525" s="74">
        <v>9317</v>
      </c>
    </row>
    <row r="4526" spans="1:1" x14ac:dyDescent="0.25">
      <c r="A4526" s="74">
        <v>9318</v>
      </c>
    </row>
    <row r="4527" spans="1:1" x14ac:dyDescent="0.25">
      <c r="A4527" s="74">
        <v>9319</v>
      </c>
    </row>
    <row r="4528" spans="1:1" x14ac:dyDescent="0.25">
      <c r="A4528" s="74">
        <v>9320</v>
      </c>
    </row>
    <row r="4529" spans="1:1" x14ac:dyDescent="0.25">
      <c r="A4529" s="74">
        <v>9321</v>
      </c>
    </row>
    <row r="4530" spans="1:1" x14ac:dyDescent="0.25">
      <c r="A4530" s="74">
        <v>9322</v>
      </c>
    </row>
    <row r="4531" spans="1:1" x14ac:dyDescent="0.25">
      <c r="A4531" s="74">
        <v>9323</v>
      </c>
    </row>
    <row r="4532" spans="1:1" x14ac:dyDescent="0.25">
      <c r="A4532" s="74">
        <v>9324</v>
      </c>
    </row>
    <row r="4533" spans="1:1" x14ac:dyDescent="0.25">
      <c r="A4533" s="74">
        <v>9325</v>
      </c>
    </row>
    <row r="4534" spans="1:1" x14ac:dyDescent="0.25">
      <c r="A4534" s="74">
        <v>9326</v>
      </c>
    </row>
    <row r="4535" spans="1:1" x14ac:dyDescent="0.25">
      <c r="A4535" s="74">
        <v>9327</v>
      </c>
    </row>
    <row r="4536" spans="1:1" x14ac:dyDescent="0.25">
      <c r="A4536" s="74">
        <v>9328</v>
      </c>
    </row>
    <row r="4537" spans="1:1" x14ac:dyDescent="0.25">
      <c r="A4537" s="74">
        <v>9329</v>
      </c>
    </row>
    <row r="4538" spans="1:1" x14ac:dyDescent="0.25">
      <c r="A4538" s="74">
        <v>9330</v>
      </c>
    </row>
    <row r="4539" spans="1:1" x14ac:dyDescent="0.25">
      <c r="A4539" s="74">
        <v>9331</v>
      </c>
    </row>
    <row r="4540" spans="1:1" x14ac:dyDescent="0.25">
      <c r="A4540" s="74">
        <v>9332</v>
      </c>
    </row>
    <row r="4541" spans="1:1" x14ac:dyDescent="0.25">
      <c r="A4541" s="74">
        <v>9333</v>
      </c>
    </row>
    <row r="4542" spans="1:1" x14ac:dyDescent="0.25">
      <c r="A4542" s="74">
        <v>9334</v>
      </c>
    </row>
    <row r="4543" spans="1:1" x14ac:dyDescent="0.25">
      <c r="A4543" s="74">
        <v>9335</v>
      </c>
    </row>
    <row r="4544" spans="1:1" x14ac:dyDescent="0.25">
      <c r="A4544" s="74">
        <v>9336</v>
      </c>
    </row>
    <row r="4545" spans="1:1" x14ac:dyDescent="0.25">
      <c r="A4545" s="74">
        <v>9337</v>
      </c>
    </row>
    <row r="4546" spans="1:1" x14ac:dyDescent="0.25">
      <c r="A4546" s="74">
        <v>9338</v>
      </c>
    </row>
    <row r="4547" spans="1:1" x14ac:dyDescent="0.25">
      <c r="A4547" s="74">
        <v>9339</v>
      </c>
    </row>
    <row r="4548" spans="1:1" x14ac:dyDescent="0.25">
      <c r="A4548" s="74">
        <v>9340</v>
      </c>
    </row>
    <row r="4549" spans="1:1" x14ac:dyDescent="0.25">
      <c r="A4549" s="74">
        <v>9341</v>
      </c>
    </row>
    <row r="4550" spans="1:1" x14ac:dyDescent="0.25">
      <c r="A4550" s="74">
        <v>9342</v>
      </c>
    </row>
    <row r="4551" spans="1:1" x14ac:dyDescent="0.25">
      <c r="A4551" s="74">
        <v>9343</v>
      </c>
    </row>
    <row r="4552" spans="1:1" x14ac:dyDescent="0.25">
      <c r="A4552" s="74">
        <v>9344</v>
      </c>
    </row>
    <row r="4553" spans="1:1" x14ac:dyDescent="0.25">
      <c r="A4553" s="74">
        <v>9345</v>
      </c>
    </row>
    <row r="4554" spans="1:1" x14ac:dyDescent="0.25">
      <c r="A4554" s="74">
        <v>9346</v>
      </c>
    </row>
    <row r="4555" spans="1:1" x14ac:dyDescent="0.25">
      <c r="A4555" s="74">
        <v>9347</v>
      </c>
    </row>
    <row r="4556" spans="1:1" x14ac:dyDescent="0.25">
      <c r="A4556" s="74">
        <v>9348</v>
      </c>
    </row>
    <row r="4557" spans="1:1" x14ac:dyDescent="0.25">
      <c r="A4557" s="74">
        <v>9349</v>
      </c>
    </row>
    <row r="4558" spans="1:1" x14ac:dyDescent="0.25">
      <c r="A4558" s="74">
        <v>9350</v>
      </c>
    </row>
    <row r="4559" spans="1:1" x14ac:dyDescent="0.25">
      <c r="A4559" s="74">
        <v>9351</v>
      </c>
    </row>
    <row r="4560" spans="1:1" x14ac:dyDescent="0.25">
      <c r="A4560" s="74">
        <v>9352</v>
      </c>
    </row>
    <row r="4561" spans="1:1" x14ac:dyDescent="0.25">
      <c r="A4561" s="74">
        <v>9353</v>
      </c>
    </row>
    <row r="4562" spans="1:1" x14ac:dyDescent="0.25">
      <c r="A4562" s="74">
        <v>9354</v>
      </c>
    </row>
    <row r="4563" spans="1:1" x14ac:dyDescent="0.25">
      <c r="A4563" s="74">
        <v>9355</v>
      </c>
    </row>
    <row r="4564" spans="1:1" x14ac:dyDescent="0.25">
      <c r="A4564" s="74">
        <v>9356</v>
      </c>
    </row>
    <row r="4565" spans="1:1" x14ac:dyDescent="0.25">
      <c r="A4565" s="74">
        <v>9357</v>
      </c>
    </row>
    <row r="4566" spans="1:1" x14ac:dyDescent="0.25">
      <c r="A4566" s="74">
        <v>9358</v>
      </c>
    </row>
    <row r="4567" spans="1:1" x14ac:dyDescent="0.25">
      <c r="A4567" s="74">
        <v>9359</v>
      </c>
    </row>
    <row r="4568" spans="1:1" x14ac:dyDescent="0.25">
      <c r="A4568" s="74">
        <v>9360</v>
      </c>
    </row>
    <row r="4569" spans="1:1" x14ac:dyDescent="0.25">
      <c r="A4569" s="74">
        <v>9361</v>
      </c>
    </row>
    <row r="4570" spans="1:1" x14ac:dyDescent="0.25">
      <c r="A4570" s="74">
        <v>9362</v>
      </c>
    </row>
    <row r="4571" spans="1:1" x14ac:dyDescent="0.25">
      <c r="A4571" s="74">
        <v>9363</v>
      </c>
    </row>
    <row r="4572" spans="1:1" x14ac:dyDescent="0.25">
      <c r="A4572" s="74">
        <v>9364</v>
      </c>
    </row>
    <row r="4573" spans="1:1" x14ac:dyDescent="0.25">
      <c r="A4573" s="74">
        <v>9365</v>
      </c>
    </row>
    <row r="4574" spans="1:1" x14ac:dyDescent="0.25">
      <c r="A4574" s="74">
        <v>9366</v>
      </c>
    </row>
    <row r="4575" spans="1:1" x14ac:dyDescent="0.25">
      <c r="A4575" s="74">
        <v>9367</v>
      </c>
    </row>
    <row r="4576" spans="1:1" x14ac:dyDescent="0.25">
      <c r="A4576" s="74">
        <v>9368</v>
      </c>
    </row>
    <row r="4577" spans="1:1" x14ac:dyDescent="0.25">
      <c r="A4577" s="74">
        <v>9369</v>
      </c>
    </row>
    <row r="4578" spans="1:1" x14ac:dyDescent="0.25">
      <c r="A4578" s="74">
        <v>9370</v>
      </c>
    </row>
    <row r="4579" spans="1:1" x14ac:dyDescent="0.25">
      <c r="A4579" s="74">
        <v>9371</v>
      </c>
    </row>
    <row r="4580" spans="1:1" x14ac:dyDescent="0.25">
      <c r="A4580" s="74">
        <v>9372</v>
      </c>
    </row>
    <row r="4581" spans="1:1" x14ac:dyDescent="0.25">
      <c r="A4581" s="74">
        <v>9373</v>
      </c>
    </row>
    <row r="4582" spans="1:1" x14ac:dyDescent="0.25">
      <c r="A4582" s="74">
        <v>9374</v>
      </c>
    </row>
    <row r="4583" spans="1:1" x14ac:dyDescent="0.25">
      <c r="A4583" s="74">
        <v>9375</v>
      </c>
    </row>
    <row r="4584" spans="1:1" x14ac:dyDescent="0.25">
      <c r="A4584" s="74">
        <v>9376</v>
      </c>
    </row>
    <row r="4585" spans="1:1" x14ac:dyDescent="0.25">
      <c r="A4585" s="74">
        <v>9377</v>
      </c>
    </row>
    <row r="4586" spans="1:1" x14ac:dyDescent="0.25">
      <c r="A4586" s="74">
        <v>9378</v>
      </c>
    </row>
    <row r="4587" spans="1:1" x14ac:dyDescent="0.25">
      <c r="A4587" s="74">
        <v>9379</v>
      </c>
    </row>
    <row r="4588" spans="1:1" x14ac:dyDescent="0.25">
      <c r="A4588" s="74">
        <v>9380</v>
      </c>
    </row>
    <row r="4589" spans="1:1" x14ac:dyDescent="0.25">
      <c r="A4589" s="74">
        <v>9381</v>
      </c>
    </row>
    <row r="4590" spans="1:1" x14ac:dyDescent="0.25">
      <c r="A4590" s="74">
        <v>9382</v>
      </c>
    </row>
    <row r="4591" spans="1:1" x14ac:dyDescent="0.25">
      <c r="A4591" s="74">
        <v>9383</v>
      </c>
    </row>
    <row r="4592" spans="1:1" x14ac:dyDescent="0.25">
      <c r="A4592" s="74">
        <v>9384</v>
      </c>
    </row>
    <row r="4593" spans="1:1" x14ac:dyDescent="0.25">
      <c r="A4593" s="74">
        <v>9385</v>
      </c>
    </row>
    <row r="4594" spans="1:1" x14ac:dyDescent="0.25">
      <c r="A4594" s="74">
        <v>9386</v>
      </c>
    </row>
    <row r="4595" spans="1:1" x14ac:dyDescent="0.25">
      <c r="A4595" s="74">
        <v>9387</v>
      </c>
    </row>
    <row r="4596" spans="1:1" x14ac:dyDescent="0.25">
      <c r="A4596" s="74">
        <v>9388</v>
      </c>
    </row>
    <row r="4597" spans="1:1" x14ac:dyDescent="0.25">
      <c r="A4597" s="74">
        <v>9389</v>
      </c>
    </row>
    <row r="4598" spans="1:1" x14ac:dyDescent="0.25">
      <c r="A4598" s="74">
        <v>9390</v>
      </c>
    </row>
    <row r="4599" spans="1:1" x14ac:dyDescent="0.25">
      <c r="A4599" s="74">
        <v>9391</v>
      </c>
    </row>
    <row r="4600" spans="1:1" x14ac:dyDescent="0.25">
      <c r="A4600" s="74">
        <v>9392</v>
      </c>
    </row>
    <row r="4601" spans="1:1" x14ac:dyDescent="0.25">
      <c r="A4601" s="74">
        <v>9393</v>
      </c>
    </row>
    <row r="4602" spans="1:1" x14ac:dyDescent="0.25">
      <c r="A4602" s="74">
        <v>9394</v>
      </c>
    </row>
    <row r="4603" spans="1:1" x14ac:dyDescent="0.25">
      <c r="A4603" s="74">
        <v>9395</v>
      </c>
    </row>
    <row r="4604" spans="1:1" x14ac:dyDescent="0.25">
      <c r="A4604" s="74">
        <v>9396</v>
      </c>
    </row>
    <row r="4605" spans="1:1" x14ac:dyDescent="0.25">
      <c r="A4605" s="74">
        <v>9397</v>
      </c>
    </row>
    <row r="4606" spans="1:1" x14ac:dyDescent="0.25">
      <c r="A4606" s="74">
        <v>9398</v>
      </c>
    </row>
    <row r="4607" spans="1:1" x14ac:dyDescent="0.25">
      <c r="A4607" s="74">
        <v>9399</v>
      </c>
    </row>
    <row r="4608" spans="1:1" x14ac:dyDescent="0.25">
      <c r="A4608" s="74">
        <v>9400</v>
      </c>
    </row>
    <row r="4609" spans="1:1" x14ac:dyDescent="0.25">
      <c r="A4609" s="74">
        <v>9401</v>
      </c>
    </row>
    <row r="4610" spans="1:1" x14ac:dyDescent="0.25">
      <c r="A4610" s="74">
        <v>9402</v>
      </c>
    </row>
    <row r="4611" spans="1:1" x14ac:dyDescent="0.25">
      <c r="A4611" s="74">
        <v>9403</v>
      </c>
    </row>
    <row r="4612" spans="1:1" x14ac:dyDescent="0.25">
      <c r="A4612" s="74">
        <v>9404</v>
      </c>
    </row>
    <row r="4613" spans="1:1" x14ac:dyDescent="0.25">
      <c r="A4613" s="74">
        <v>9405</v>
      </c>
    </row>
    <row r="4614" spans="1:1" x14ac:dyDescent="0.25">
      <c r="A4614" s="74">
        <v>9406</v>
      </c>
    </row>
    <row r="4615" spans="1:1" x14ac:dyDescent="0.25">
      <c r="A4615" s="74">
        <v>9407</v>
      </c>
    </row>
    <row r="4616" spans="1:1" x14ac:dyDescent="0.25">
      <c r="A4616" s="74">
        <v>9408</v>
      </c>
    </row>
    <row r="4617" spans="1:1" x14ac:dyDescent="0.25">
      <c r="A4617" s="74">
        <v>9409</v>
      </c>
    </row>
    <row r="4618" spans="1:1" x14ac:dyDescent="0.25">
      <c r="A4618" s="74">
        <v>9410</v>
      </c>
    </row>
    <row r="4619" spans="1:1" x14ac:dyDescent="0.25">
      <c r="A4619" s="74">
        <v>9411</v>
      </c>
    </row>
    <row r="4620" spans="1:1" x14ac:dyDescent="0.25">
      <c r="A4620" s="74">
        <v>9412</v>
      </c>
    </row>
    <row r="4621" spans="1:1" x14ac:dyDescent="0.25">
      <c r="A4621" s="74">
        <v>9413</v>
      </c>
    </row>
    <row r="4622" spans="1:1" x14ac:dyDescent="0.25">
      <c r="A4622" s="74">
        <v>9414</v>
      </c>
    </row>
    <row r="4623" spans="1:1" x14ac:dyDescent="0.25">
      <c r="A4623" s="74">
        <v>9415</v>
      </c>
    </row>
    <row r="4624" spans="1:1" x14ac:dyDescent="0.25">
      <c r="A4624" s="74">
        <v>9416</v>
      </c>
    </row>
    <row r="4625" spans="1:1" x14ac:dyDescent="0.25">
      <c r="A4625" s="74">
        <v>9417</v>
      </c>
    </row>
    <row r="4626" spans="1:1" x14ac:dyDescent="0.25">
      <c r="A4626" s="74">
        <v>9418</v>
      </c>
    </row>
    <row r="4627" spans="1:1" x14ac:dyDescent="0.25">
      <c r="A4627" s="74">
        <v>9419</v>
      </c>
    </row>
    <row r="4628" spans="1:1" x14ac:dyDescent="0.25">
      <c r="A4628" s="74">
        <v>9420</v>
      </c>
    </row>
    <row r="4629" spans="1:1" x14ac:dyDescent="0.25">
      <c r="A4629" s="74">
        <v>9421</v>
      </c>
    </row>
    <row r="4630" spans="1:1" x14ac:dyDescent="0.25">
      <c r="A4630" s="74">
        <v>9422</v>
      </c>
    </row>
    <row r="4631" spans="1:1" x14ac:dyDescent="0.25">
      <c r="A4631" s="74">
        <v>9423</v>
      </c>
    </row>
    <row r="4632" spans="1:1" x14ac:dyDescent="0.25">
      <c r="A4632" s="74">
        <v>9424</v>
      </c>
    </row>
    <row r="4633" spans="1:1" x14ac:dyDescent="0.25">
      <c r="A4633" s="74">
        <v>9425</v>
      </c>
    </row>
    <row r="4634" spans="1:1" x14ac:dyDescent="0.25">
      <c r="A4634" s="74">
        <v>9426</v>
      </c>
    </row>
    <row r="4635" spans="1:1" x14ac:dyDescent="0.25">
      <c r="A4635" s="74">
        <v>9427</v>
      </c>
    </row>
    <row r="4636" spans="1:1" x14ac:dyDescent="0.25">
      <c r="A4636" s="74">
        <v>9428</v>
      </c>
    </row>
    <row r="4637" spans="1:1" x14ac:dyDescent="0.25">
      <c r="A4637" s="74">
        <v>9429</v>
      </c>
    </row>
    <row r="4638" spans="1:1" x14ac:dyDescent="0.25">
      <c r="A4638" s="74">
        <v>9430</v>
      </c>
    </row>
    <row r="4639" spans="1:1" x14ac:dyDescent="0.25">
      <c r="A4639" s="74">
        <v>9431</v>
      </c>
    </row>
    <row r="4640" spans="1:1" x14ac:dyDescent="0.25">
      <c r="A4640" s="74">
        <v>9432</v>
      </c>
    </row>
    <row r="4641" spans="1:1" x14ac:dyDescent="0.25">
      <c r="A4641" s="74">
        <v>9433</v>
      </c>
    </row>
    <row r="4642" spans="1:1" x14ac:dyDescent="0.25">
      <c r="A4642" s="74">
        <v>9434</v>
      </c>
    </row>
    <row r="4643" spans="1:1" x14ac:dyDescent="0.25">
      <c r="A4643" s="74">
        <v>9435</v>
      </c>
    </row>
    <row r="4644" spans="1:1" x14ac:dyDescent="0.25">
      <c r="A4644" s="74">
        <v>9436</v>
      </c>
    </row>
    <row r="4645" spans="1:1" x14ac:dyDescent="0.25">
      <c r="A4645" s="74">
        <v>9437</v>
      </c>
    </row>
    <row r="4646" spans="1:1" x14ac:dyDescent="0.25">
      <c r="A4646" s="74">
        <v>9438</v>
      </c>
    </row>
    <row r="4647" spans="1:1" x14ac:dyDescent="0.25">
      <c r="A4647" s="74">
        <v>9439</v>
      </c>
    </row>
    <row r="4648" spans="1:1" x14ac:dyDescent="0.25">
      <c r="A4648" s="74">
        <v>9440</v>
      </c>
    </row>
    <row r="4649" spans="1:1" x14ac:dyDescent="0.25">
      <c r="A4649" s="74">
        <v>9441</v>
      </c>
    </row>
    <row r="4650" spans="1:1" x14ac:dyDescent="0.25">
      <c r="A4650" s="74">
        <v>9442</v>
      </c>
    </row>
    <row r="4651" spans="1:1" x14ac:dyDescent="0.25">
      <c r="A4651" s="74">
        <v>9443</v>
      </c>
    </row>
    <row r="4652" spans="1:1" x14ac:dyDescent="0.25">
      <c r="A4652" s="74">
        <v>9444</v>
      </c>
    </row>
    <row r="4653" spans="1:1" x14ac:dyDescent="0.25">
      <c r="A4653" s="74">
        <v>9445</v>
      </c>
    </row>
    <row r="4654" spans="1:1" x14ac:dyDescent="0.25">
      <c r="A4654" s="74">
        <v>9446</v>
      </c>
    </row>
    <row r="4655" spans="1:1" x14ac:dyDescent="0.25">
      <c r="A4655" s="74">
        <v>9447</v>
      </c>
    </row>
    <row r="4656" spans="1:1" x14ac:dyDescent="0.25">
      <c r="A4656" s="74">
        <v>9448</v>
      </c>
    </row>
    <row r="4657" spans="1:1" x14ac:dyDescent="0.25">
      <c r="A4657" s="74">
        <v>9449</v>
      </c>
    </row>
    <row r="4658" spans="1:1" x14ac:dyDescent="0.25">
      <c r="A4658" s="74">
        <v>9450</v>
      </c>
    </row>
    <row r="4659" spans="1:1" x14ac:dyDescent="0.25">
      <c r="A4659" s="74">
        <v>9451</v>
      </c>
    </row>
    <row r="4660" spans="1:1" x14ac:dyDescent="0.25">
      <c r="A4660" s="74">
        <v>9452</v>
      </c>
    </row>
    <row r="4661" spans="1:1" x14ac:dyDescent="0.25">
      <c r="A4661" s="74">
        <v>9453</v>
      </c>
    </row>
    <row r="4662" spans="1:1" x14ac:dyDescent="0.25">
      <c r="A4662" s="74">
        <v>9454</v>
      </c>
    </row>
    <row r="4663" spans="1:1" x14ac:dyDescent="0.25">
      <c r="A4663" s="74">
        <v>9455</v>
      </c>
    </row>
    <row r="4664" spans="1:1" x14ac:dyDescent="0.25">
      <c r="A4664" s="74">
        <v>9456</v>
      </c>
    </row>
    <row r="4665" spans="1:1" x14ac:dyDescent="0.25">
      <c r="A4665" s="74">
        <v>9457</v>
      </c>
    </row>
    <row r="4666" spans="1:1" x14ac:dyDescent="0.25">
      <c r="A4666" s="74">
        <v>9458</v>
      </c>
    </row>
    <row r="4667" spans="1:1" x14ac:dyDescent="0.25">
      <c r="A4667" s="74">
        <v>9459</v>
      </c>
    </row>
    <row r="4668" spans="1:1" x14ac:dyDescent="0.25">
      <c r="A4668" s="74">
        <v>9460</v>
      </c>
    </row>
    <row r="4669" spans="1:1" x14ac:dyDescent="0.25">
      <c r="A4669" s="74">
        <v>9461</v>
      </c>
    </row>
    <row r="4670" spans="1:1" x14ac:dyDescent="0.25">
      <c r="A4670" s="74">
        <v>9462</v>
      </c>
    </row>
    <row r="4671" spans="1:1" x14ac:dyDescent="0.25">
      <c r="A4671" s="74">
        <v>9463</v>
      </c>
    </row>
    <row r="4672" spans="1:1" x14ac:dyDescent="0.25">
      <c r="A4672" s="74">
        <v>9464</v>
      </c>
    </row>
    <row r="4673" spans="1:1" x14ac:dyDescent="0.25">
      <c r="A4673" s="74">
        <v>9465</v>
      </c>
    </row>
    <row r="4674" spans="1:1" x14ac:dyDescent="0.25">
      <c r="A4674" s="74">
        <v>9466</v>
      </c>
    </row>
    <row r="4675" spans="1:1" x14ac:dyDescent="0.25">
      <c r="A4675" s="74">
        <v>9467</v>
      </c>
    </row>
    <row r="4676" spans="1:1" x14ac:dyDescent="0.25">
      <c r="A4676" s="74">
        <v>9468</v>
      </c>
    </row>
    <row r="4677" spans="1:1" x14ac:dyDescent="0.25">
      <c r="A4677" s="74">
        <v>9469</v>
      </c>
    </row>
    <row r="4678" spans="1:1" x14ac:dyDescent="0.25">
      <c r="A4678" s="74">
        <v>9470</v>
      </c>
    </row>
    <row r="4679" spans="1:1" x14ac:dyDescent="0.25">
      <c r="A4679" s="74">
        <v>9471</v>
      </c>
    </row>
    <row r="4680" spans="1:1" x14ac:dyDescent="0.25">
      <c r="A4680" s="74">
        <v>9472</v>
      </c>
    </row>
    <row r="4681" spans="1:1" x14ac:dyDescent="0.25">
      <c r="A4681" s="74">
        <v>9473</v>
      </c>
    </row>
    <row r="4682" spans="1:1" x14ac:dyDescent="0.25">
      <c r="A4682" s="74">
        <v>9474</v>
      </c>
    </row>
    <row r="4683" spans="1:1" x14ac:dyDescent="0.25">
      <c r="A4683" s="74">
        <v>9475</v>
      </c>
    </row>
    <row r="4684" spans="1:1" x14ac:dyDescent="0.25">
      <c r="A4684" s="74">
        <v>9476</v>
      </c>
    </row>
    <row r="4685" spans="1:1" x14ac:dyDescent="0.25">
      <c r="A4685" s="74">
        <v>9477</v>
      </c>
    </row>
    <row r="4686" spans="1:1" x14ac:dyDescent="0.25">
      <c r="A4686" s="74">
        <v>9478</v>
      </c>
    </row>
    <row r="4687" spans="1:1" x14ac:dyDescent="0.25">
      <c r="A4687" s="74">
        <v>9479</v>
      </c>
    </row>
    <row r="4688" spans="1:1" x14ac:dyDescent="0.25">
      <c r="A4688" s="74">
        <v>9480</v>
      </c>
    </row>
    <row r="4689" spans="1:1" x14ac:dyDescent="0.25">
      <c r="A4689" s="74">
        <v>9481</v>
      </c>
    </row>
    <row r="4690" spans="1:1" x14ac:dyDescent="0.25">
      <c r="A4690" s="74">
        <v>9482</v>
      </c>
    </row>
    <row r="4691" spans="1:1" x14ac:dyDescent="0.25">
      <c r="A4691" s="74">
        <v>9483</v>
      </c>
    </row>
    <row r="4692" spans="1:1" x14ac:dyDescent="0.25">
      <c r="A4692" s="74">
        <v>9484</v>
      </c>
    </row>
    <row r="4693" spans="1:1" x14ac:dyDescent="0.25">
      <c r="A4693" s="74">
        <v>9485</v>
      </c>
    </row>
    <row r="4694" spans="1:1" x14ac:dyDescent="0.25">
      <c r="A4694" s="74">
        <v>9486</v>
      </c>
    </row>
    <row r="4695" spans="1:1" x14ac:dyDescent="0.25">
      <c r="A4695" s="74">
        <v>9487</v>
      </c>
    </row>
    <row r="4696" spans="1:1" x14ac:dyDescent="0.25">
      <c r="A4696" s="74">
        <v>9488</v>
      </c>
    </row>
    <row r="4697" spans="1:1" x14ac:dyDescent="0.25">
      <c r="A4697" s="74">
        <v>9489</v>
      </c>
    </row>
    <row r="4698" spans="1:1" x14ac:dyDescent="0.25">
      <c r="A4698" s="74">
        <v>9490</v>
      </c>
    </row>
    <row r="4699" spans="1:1" x14ac:dyDescent="0.25">
      <c r="A4699" s="74">
        <v>9491</v>
      </c>
    </row>
    <row r="4700" spans="1:1" x14ac:dyDescent="0.25">
      <c r="A4700" s="74">
        <v>9492</v>
      </c>
    </row>
    <row r="4701" spans="1:1" x14ac:dyDescent="0.25">
      <c r="A4701" s="74">
        <v>9493</v>
      </c>
    </row>
    <row r="4702" spans="1:1" x14ac:dyDescent="0.25">
      <c r="A4702" s="74">
        <v>9494</v>
      </c>
    </row>
    <row r="4703" spans="1:1" x14ac:dyDescent="0.25">
      <c r="A4703" s="74">
        <v>9495</v>
      </c>
    </row>
    <row r="4704" spans="1:1" x14ac:dyDescent="0.25">
      <c r="A4704" s="74">
        <v>9496</v>
      </c>
    </row>
    <row r="4705" spans="1:1" x14ac:dyDescent="0.25">
      <c r="A4705" s="74">
        <v>9497</v>
      </c>
    </row>
    <row r="4706" spans="1:1" x14ac:dyDescent="0.25">
      <c r="A4706" s="74">
        <v>9498</v>
      </c>
    </row>
    <row r="4707" spans="1:1" x14ac:dyDescent="0.25">
      <c r="A4707" s="74">
        <v>9499</v>
      </c>
    </row>
    <row r="4708" spans="1:1" x14ac:dyDescent="0.25">
      <c r="A4708" s="74">
        <v>9500</v>
      </c>
    </row>
    <row r="4709" spans="1:1" x14ac:dyDescent="0.25">
      <c r="A4709" s="74">
        <v>9501</v>
      </c>
    </row>
    <row r="4710" spans="1:1" x14ac:dyDescent="0.25">
      <c r="A4710" s="74">
        <v>9502</v>
      </c>
    </row>
    <row r="4711" spans="1:1" x14ac:dyDescent="0.25">
      <c r="A4711" s="74">
        <v>9503</v>
      </c>
    </row>
    <row r="4712" spans="1:1" x14ac:dyDescent="0.25">
      <c r="A4712" s="74">
        <v>9504</v>
      </c>
    </row>
    <row r="4713" spans="1:1" x14ac:dyDescent="0.25">
      <c r="A4713" s="74">
        <v>9505</v>
      </c>
    </row>
    <row r="4714" spans="1:1" x14ac:dyDescent="0.25">
      <c r="A4714" s="74">
        <v>9506</v>
      </c>
    </row>
    <row r="4715" spans="1:1" x14ac:dyDescent="0.25">
      <c r="A4715" s="74">
        <v>9507</v>
      </c>
    </row>
    <row r="4716" spans="1:1" x14ac:dyDescent="0.25">
      <c r="A4716" s="74">
        <v>9508</v>
      </c>
    </row>
    <row r="4717" spans="1:1" x14ac:dyDescent="0.25">
      <c r="A4717" s="74">
        <v>9509</v>
      </c>
    </row>
    <row r="4718" spans="1:1" x14ac:dyDescent="0.25">
      <c r="A4718" s="74">
        <v>9510</v>
      </c>
    </row>
    <row r="4719" spans="1:1" x14ac:dyDescent="0.25">
      <c r="A4719" s="74">
        <v>9511</v>
      </c>
    </row>
    <row r="4720" spans="1:1" x14ac:dyDescent="0.25">
      <c r="A4720" s="74">
        <v>9512</v>
      </c>
    </row>
    <row r="4721" spans="1:1" x14ac:dyDescent="0.25">
      <c r="A4721" s="74">
        <v>9513</v>
      </c>
    </row>
    <row r="4722" spans="1:1" x14ac:dyDescent="0.25">
      <c r="A4722" s="74">
        <v>9514</v>
      </c>
    </row>
    <row r="4723" spans="1:1" x14ac:dyDescent="0.25">
      <c r="A4723" s="74">
        <v>9515</v>
      </c>
    </row>
    <row r="4724" spans="1:1" x14ac:dyDescent="0.25">
      <c r="A4724" s="74">
        <v>9516</v>
      </c>
    </row>
    <row r="4725" spans="1:1" x14ac:dyDescent="0.25">
      <c r="A4725" s="74">
        <v>9517</v>
      </c>
    </row>
    <row r="4726" spans="1:1" x14ac:dyDescent="0.25">
      <c r="A4726" s="74">
        <v>9518</v>
      </c>
    </row>
    <row r="4727" spans="1:1" x14ac:dyDescent="0.25">
      <c r="A4727" s="74">
        <v>9519</v>
      </c>
    </row>
    <row r="4728" spans="1:1" x14ac:dyDescent="0.25">
      <c r="A4728" s="74">
        <v>9520</v>
      </c>
    </row>
    <row r="4729" spans="1:1" x14ac:dyDescent="0.25">
      <c r="A4729" s="74">
        <v>9521</v>
      </c>
    </row>
    <row r="4730" spans="1:1" x14ac:dyDescent="0.25">
      <c r="A4730" s="74">
        <v>9522</v>
      </c>
    </row>
    <row r="4731" spans="1:1" x14ac:dyDescent="0.25">
      <c r="A4731" s="74">
        <v>9523</v>
      </c>
    </row>
    <row r="4732" spans="1:1" x14ac:dyDescent="0.25">
      <c r="A4732" s="74">
        <v>9524</v>
      </c>
    </row>
    <row r="4733" spans="1:1" x14ac:dyDescent="0.25">
      <c r="A4733" s="74">
        <v>9525</v>
      </c>
    </row>
    <row r="4734" spans="1:1" x14ac:dyDescent="0.25">
      <c r="A4734" s="74">
        <v>9526</v>
      </c>
    </row>
    <row r="4735" spans="1:1" x14ac:dyDescent="0.25">
      <c r="A4735" s="74">
        <v>9527</v>
      </c>
    </row>
    <row r="4736" spans="1:1" x14ac:dyDescent="0.25">
      <c r="A4736" s="74">
        <v>9528</v>
      </c>
    </row>
    <row r="4737" spans="1:1" x14ac:dyDescent="0.25">
      <c r="A4737" s="74">
        <v>9529</v>
      </c>
    </row>
    <row r="4738" spans="1:1" x14ac:dyDescent="0.25">
      <c r="A4738" s="74">
        <v>9530</v>
      </c>
    </row>
    <row r="4739" spans="1:1" x14ac:dyDescent="0.25">
      <c r="A4739" s="74">
        <v>9531</v>
      </c>
    </row>
    <row r="4740" spans="1:1" x14ac:dyDescent="0.25">
      <c r="A4740" s="74">
        <v>9532</v>
      </c>
    </row>
    <row r="4741" spans="1:1" x14ac:dyDescent="0.25">
      <c r="A4741" s="74">
        <v>9533</v>
      </c>
    </row>
    <row r="4742" spans="1:1" x14ac:dyDescent="0.25">
      <c r="A4742" s="74">
        <v>9534</v>
      </c>
    </row>
    <row r="4743" spans="1:1" x14ac:dyDescent="0.25">
      <c r="A4743" s="74">
        <v>9535</v>
      </c>
    </row>
    <row r="4744" spans="1:1" x14ac:dyDescent="0.25">
      <c r="A4744" s="74">
        <v>9536</v>
      </c>
    </row>
    <row r="4745" spans="1:1" x14ac:dyDescent="0.25">
      <c r="A4745" s="74">
        <v>9537</v>
      </c>
    </row>
    <row r="4746" spans="1:1" x14ac:dyDescent="0.25">
      <c r="A4746" s="74">
        <v>9538</v>
      </c>
    </row>
    <row r="4747" spans="1:1" x14ac:dyDescent="0.25">
      <c r="A4747" s="74">
        <v>9539</v>
      </c>
    </row>
    <row r="4748" spans="1:1" x14ac:dyDescent="0.25">
      <c r="A4748" s="74">
        <v>9540</v>
      </c>
    </row>
    <row r="4749" spans="1:1" x14ac:dyDescent="0.25">
      <c r="A4749" s="74">
        <v>9541</v>
      </c>
    </row>
    <row r="4750" spans="1:1" x14ac:dyDescent="0.25">
      <c r="A4750" s="74">
        <v>9542</v>
      </c>
    </row>
    <row r="4751" spans="1:1" x14ac:dyDescent="0.25">
      <c r="A4751" s="74">
        <v>9543</v>
      </c>
    </row>
    <row r="4752" spans="1:1" x14ac:dyDescent="0.25">
      <c r="A4752" s="74">
        <v>9544</v>
      </c>
    </row>
    <row r="4753" spans="1:1" x14ac:dyDescent="0.25">
      <c r="A4753" s="74">
        <v>9545</v>
      </c>
    </row>
    <row r="4754" spans="1:1" x14ac:dyDescent="0.25">
      <c r="A4754" s="74">
        <v>9546</v>
      </c>
    </row>
    <row r="4755" spans="1:1" x14ac:dyDescent="0.25">
      <c r="A4755" s="74">
        <v>9547</v>
      </c>
    </row>
    <row r="4756" spans="1:1" x14ac:dyDescent="0.25">
      <c r="A4756" s="74">
        <v>9548</v>
      </c>
    </row>
    <row r="4757" spans="1:1" x14ac:dyDescent="0.25">
      <c r="A4757" s="74">
        <v>9549</v>
      </c>
    </row>
    <row r="4758" spans="1:1" x14ac:dyDescent="0.25">
      <c r="A4758" s="74">
        <v>9550</v>
      </c>
    </row>
    <row r="4759" spans="1:1" x14ac:dyDescent="0.25">
      <c r="A4759" s="74">
        <v>9551</v>
      </c>
    </row>
    <row r="4760" spans="1:1" x14ac:dyDescent="0.25">
      <c r="A4760" s="74">
        <v>9552</v>
      </c>
    </row>
    <row r="4761" spans="1:1" x14ac:dyDescent="0.25">
      <c r="A4761" s="74">
        <v>9553</v>
      </c>
    </row>
    <row r="4762" spans="1:1" x14ac:dyDescent="0.25">
      <c r="A4762" s="74">
        <v>9554</v>
      </c>
    </row>
    <row r="4763" spans="1:1" x14ac:dyDescent="0.25">
      <c r="A4763" s="74">
        <v>9555</v>
      </c>
    </row>
    <row r="4764" spans="1:1" x14ac:dyDescent="0.25">
      <c r="A4764" s="74">
        <v>9556</v>
      </c>
    </row>
    <row r="4765" spans="1:1" x14ac:dyDescent="0.25">
      <c r="A4765" s="74">
        <v>9557</v>
      </c>
    </row>
    <row r="4766" spans="1:1" x14ac:dyDescent="0.25">
      <c r="A4766" s="74">
        <v>9558</v>
      </c>
    </row>
    <row r="4767" spans="1:1" x14ac:dyDescent="0.25">
      <c r="A4767" s="74">
        <v>9559</v>
      </c>
    </row>
    <row r="4768" spans="1:1" x14ac:dyDescent="0.25">
      <c r="A4768" s="74">
        <v>9560</v>
      </c>
    </row>
    <row r="4769" spans="1:1" x14ac:dyDescent="0.25">
      <c r="A4769" s="74">
        <v>9561</v>
      </c>
    </row>
    <row r="4770" spans="1:1" x14ac:dyDescent="0.25">
      <c r="A4770" s="74">
        <v>9562</v>
      </c>
    </row>
    <row r="4771" spans="1:1" x14ac:dyDescent="0.25">
      <c r="A4771" s="74">
        <v>9563</v>
      </c>
    </row>
    <row r="4772" spans="1:1" x14ac:dyDescent="0.25">
      <c r="A4772" s="74">
        <v>9564</v>
      </c>
    </row>
    <row r="4773" spans="1:1" x14ac:dyDescent="0.25">
      <c r="A4773" s="74">
        <v>9565</v>
      </c>
    </row>
    <row r="4774" spans="1:1" x14ac:dyDescent="0.25">
      <c r="A4774" s="74">
        <v>9566</v>
      </c>
    </row>
    <row r="4775" spans="1:1" x14ac:dyDescent="0.25">
      <c r="A4775" s="74">
        <v>9567</v>
      </c>
    </row>
    <row r="4776" spans="1:1" x14ac:dyDescent="0.25">
      <c r="A4776" s="74">
        <v>9568</v>
      </c>
    </row>
    <row r="4777" spans="1:1" x14ac:dyDescent="0.25">
      <c r="A4777" s="74">
        <v>9569</v>
      </c>
    </row>
    <row r="4778" spans="1:1" x14ac:dyDescent="0.25">
      <c r="A4778" s="74">
        <v>9570</v>
      </c>
    </row>
    <row r="4779" spans="1:1" x14ac:dyDescent="0.25">
      <c r="A4779" s="74">
        <v>9571</v>
      </c>
    </row>
    <row r="4780" spans="1:1" x14ac:dyDescent="0.25">
      <c r="A4780" s="74">
        <v>9572</v>
      </c>
    </row>
    <row r="4781" spans="1:1" x14ac:dyDescent="0.25">
      <c r="A4781" s="74">
        <v>9573</v>
      </c>
    </row>
    <row r="4782" spans="1:1" x14ac:dyDescent="0.25">
      <c r="A4782" s="74">
        <v>9574</v>
      </c>
    </row>
    <row r="4783" spans="1:1" x14ac:dyDescent="0.25">
      <c r="A4783" s="74">
        <v>9575</v>
      </c>
    </row>
    <row r="4784" spans="1:1" x14ac:dyDescent="0.25">
      <c r="A4784" s="74">
        <v>9576</v>
      </c>
    </row>
    <row r="4785" spans="1:1" x14ac:dyDescent="0.25">
      <c r="A4785" s="74">
        <v>9577</v>
      </c>
    </row>
    <row r="4786" spans="1:1" x14ac:dyDescent="0.25">
      <c r="A4786" s="74">
        <v>9578</v>
      </c>
    </row>
    <row r="4787" spans="1:1" x14ac:dyDescent="0.25">
      <c r="A4787" s="74">
        <v>9579</v>
      </c>
    </row>
    <row r="4788" spans="1:1" x14ac:dyDescent="0.25">
      <c r="A4788" s="74">
        <v>9580</v>
      </c>
    </row>
    <row r="4789" spans="1:1" x14ac:dyDescent="0.25">
      <c r="A4789" s="74">
        <v>9581</v>
      </c>
    </row>
    <row r="4790" spans="1:1" x14ac:dyDescent="0.25">
      <c r="A4790" s="74">
        <v>9582</v>
      </c>
    </row>
    <row r="4791" spans="1:1" x14ac:dyDescent="0.25">
      <c r="A4791" s="74">
        <v>9583</v>
      </c>
    </row>
    <row r="4792" spans="1:1" x14ac:dyDescent="0.25">
      <c r="A4792" s="74">
        <v>9584</v>
      </c>
    </row>
    <row r="4793" spans="1:1" x14ac:dyDescent="0.25">
      <c r="A4793" s="74">
        <v>9585</v>
      </c>
    </row>
    <row r="4794" spans="1:1" x14ac:dyDescent="0.25">
      <c r="A4794" s="74">
        <v>9586</v>
      </c>
    </row>
    <row r="4795" spans="1:1" x14ac:dyDescent="0.25">
      <c r="A4795" s="74">
        <v>9587</v>
      </c>
    </row>
    <row r="4796" spans="1:1" x14ac:dyDescent="0.25">
      <c r="A4796" s="74">
        <v>9588</v>
      </c>
    </row>
    <row r="4797" spans="1:1" x14ac:dyDescent="0.25">
      <c r="A4797" s="74">
        <v>9589</v>
      </c>
    </row>
    <row r="4798" spans="1:1" x14ac:dyDescent="0.25">
      <c r="A4798" s="74">
        <v>9590</v>
      </c>
    </row>
    <row r="4799" spans="1:1" x14ac:dyDescent="0.25">
      <c r="A4799" s="74">
        <v>9591</v>
      </c>
    </row>
    <row r="4800" spans="1:1" x14ac:dyDescent="0.25">
      <c r="A4800" s="74">
        <v>9592</v>
      </c>
    </row>
    <row r="4801" spans="1:1" x14ac:dyDescent="0.25">
      <c r="A4801" s="74">
        <v>9593</v>
      </c>
    </row>
    <row r="4802" spans="1:1" x14ac:dyDescent="0.25">
      <c r="A4802" s="74">
        <v>9594</v>
      </c>
    </row>
    <row r="4803" spans="1:1" x14ac:dyDescent="0.25">
      <c r="A4803" s="74">
        <v>9595</v>
      </c>
    </row>
    <row r="4804" spans="1:1" x14ac:dyDescent="0.25">
      <c r="A4804" s="74">
        <v>9596</v>
      </c>
    </row>
    <row r="4805" spans="1:1" x14ac:dyDescent="0.25">
      <c r="A4805" s="74">
        <v>9597</v>
      </c>
    </row>
    <row r="4806" spans="1:1" x14ac:dyDescent="0.25">
      <c r="A4806" s="74">
        <v>9598</v>
      </c>
    </row>
    <row r="4807" spans="1:1" x14ac:dyDescent="0.25">
      <c r="A4807" s="74">
        <v>9599</v>
      </c>
    </row>
    <row r="4808" spans="1:1" x14ac:dyDescent="0.25">
      <c r="A4808" s="74">
        <v>9600</v>
      </c>
    </row>
    <row r="4809" spans="1:1" x14ac:dyDescent="0.25">
      <c r="A4809" s="74">
        <v>9601</v>
      </c>
    </row>
    <row r="4810" spans="1:1" x14ac:dyDescent="0.25">
      <c r="A4810" s="74">
        <v>9602</v>
      </c>
    </row>
    <row r="4811" spans="1:1" x14ac:dyDescent="0.25">
      <c r="A4811" s="74">
        <v>9603</v>
      </c>
    </row>
    <row r="4812" spans="1:1" x14ac:dyDescent="0.25">
      <c r="A4812" s="74">
        <v>9604</v>
      </c>
    </row>
    <row r="4813" spans="1:1" x14ac:dyDescent="0.25">
      <c r="A4813" s="74">
        <v>9605</v>
      </c>
    </row>
    <row r="4814" spans="1:1" x14ac:dyDescent="0.25">
      <c r="A4814" s="74">
        <v>9606</v>
      </c>
    </row>
    <row r="4815" spans="1:1" x14ac:dyDescent="0.25">
      <c r="A4815" s="74">
        <v>9607</v>
      </c>
    </row>
    <row r="4816" spans="1:1" x14ac:dyDescent="0.25">
      <c r="A4816" s="74">
        <v>9608</v>
      </c>
    </row>
    <row r="4817" spans="1:1" x14ac:dyDescent="0.25">
      <c r="A4817" s="74">
        <v>9609</v>
      </c>
    </row>
    <row r="4818" spans="1:1" x14ac:dyDescent="0.25">
      <c r="A4818" s="74">
        <v>9610</v>
      </c>
    </row>
    <row r="4819" spans="1:1" x14ac:dyDescent="0.25">
      <c r="A4819" s="74">
        <v>9611</v>
      </c>
    </row>
    <row r="4820" spans="1:1" x14ac:dyDescent="0.25">
      <c r="A4820" s="74">
        <v>9612</v>
      </c>
    </row>
    <row r="4821" spans="1:1" x14ac:dyDescent="0.25">
      <c r="A4821" s="74">
        <v>9613</v>
      </c>
    </row>
    <row r="4822" spans="1:1" x14ac:dyDescent="0.25">
      <c r="A4822" s="74">
        <v>9614</v>
      </c>
    </row>
    <row r="4823" spans="1:1" x14ac:dyDescent="0.25">
      <c r="A4823" s="74">
        <v>9615</v>
      </c>
    </row>
    <row r="4824" spans="1:1" x14ac:dyDescent="0.25">
      <c r="A4824" s="74">
        <v>9616</v>
      </c>
    </row>
    <row r="4825" spans="1:1" x14ac:dyDescent="0.25">
      <c r="A4825" s="74">
        <v>9617</v>
      </c>
    </row>
    <row r="4826" spans="1:1" x14ac:dyDescent="0.25">
      <c r="A4826" s="74">
        <v>9618</v>
      </c>
    </row>
    <row r="4827" spans="1:1" x14ac:dyDescent="0.25">
      <c r="A4827" s="74">
        <v>9619</v>
      </c>
    </row>
    <row r="4828" spans="1:1" x14ac:dyDescent="0.25">
      <c r="A4828" s="74">
        <v>9620</v>
      </c>
    </row>
    <row r="4829" spans="1:1" x14ac:dyDescent="0.25">
      <c r="A4829" s="74">
        <v>9621</v>
      </c>
    </row>
    <row r="4830" spans="1:1" x14ac:dyDescent="0.25">
      <c r="A4830" s="74">
        <v>9622</v>
      </c>
    </row>
    <row r="4831" spans="1:1" x14ac:dyDescent="0.25">
      <c r="A4831" s="74">
        <v>9623</v>
      </c>
    </row>
    <row r="4832" spans="1:1" x14ac:dyDescent="0.25">
      <c r="A4832" s="74">
        <v>9624</v>
      </c>
    </row>
    <row r="4833" spans="1:1" x14ac:dyDescent="0.25">
      <c r="A4833" s="74">
        <v>9625</v>
      </c>
    </row>
    <row r="4834" spans="1:1" x14ac:dyDescent="0.25">
      <c r="A4834" s="74">
        <v>9626</v>
      </c>
    </row>
    <row r="4835" spans="1:1" x14ac:dyDescent="0.25">
      <c r="A4835" s="74">
        <v>9627</v>
      </c>
    </row>
    <row r="4836" spans="1:1" x14ac:dyDescent="0.25">
      <c r="A4836" s="74">
        <v>9628</v>
      </c>
    </row>
    <row r="4837" spans="1:1" x14ac:dyDescent="0.25">
      <c r="A4837" s="74">
        <v>9629</v>
      </c>
    </row>
    <row r="4838" spans="1:1" x14ac:dyDescent="0.25">
      <c r="A4838" s="74">
        <v>9630</v>
      </c>
    </row>
    <row r="4839" spans="1:1" x14ac:dyDescent="0.25">
      <c r="A4839" s="74">
        <v>9631</v>
      </c>
    </row>
    <row r="4840" spans="1:1" x14ac:dyDescent="0.25">
      <c r="A4840" s="74">
        <v>9632</v>
      </c>
    </row>
    <row r="4841" spans="1:1" x14ac:dyDescent="0.25">
      <c r="A4841" s="74">
        <v>9633</v>
      </c>
    </row>
    <row r="4842" spans="1:1" x14ac:dyDescent="0.25">
      <c r="A4842" s="74">
        <v>9634</v>
      </c>
    </row>
    <row r="4843" spans="1:1" x14ac:dyDescent="0.25">
      <c r="A4843" s="74">
        <v>9635</v>
      </c>
    </row>
    <row r="4844" spans="1:1" x14ac:dyDescent="0.25">
      <c r="A4844" s="74">
        <v>9636</v>
      </c>
    </row>
    <row r="4845" spans="1:1" x14ac:dyDescent="0.25">
      <c r="A4845" s="74">
        <v>9637</v>
      </c>
    </row>
    <row r="4846" spans="1:1" x14ac:dyDescent="0.25">
      <c r="A4846" s="74">
        <v>9638</v>
      </c>
    </row>
    <row r="4847" spans="1:1" x14ac:dyDescent="0.25">
      <c r="A4847" s="74">
        <v>9639</v>
      </c>
    </row>
    <row r="4848" spans="1:1" x14ac:dyDescent="0.25">
      <c r="A4848" s="74">
        <v>9640</v>
      </c>
    </row>
    <row r="4849" spans="1:1" x14ac:dyDescent="0.25">
      <c r="A4849" s="74">
        <v>9641</v>
      </c>
    </row>
    <row r="4850" spans="1:1" x14ac:dyDescent="0.25">
      <c r="A4850" s="74">
        <v>9642</v>
      </c>
    </row>
    <row r="4851" spans="1:1" x14ac:dyDescent="0.25">
      <c r="A4851" s="74">
        <v>9643</v>
      </c>
    </row>
    <row r="4852" spans="1:1" x14ac:dyDescent="0.25">
      <c r="A4852" s="74">
        <v>9644</v>
      </c>
    </row>
    <row r="4853" spans="1:1" x14ac:dyDescent="0.25">
      <c r="A4853" s="74">
        <v>9645</v>
      </c>
    </row>
    <row r="4854" spans="1:1" x14ac:dyDescent="0.25">
      <c r="A4854" s="74">
        <v>9646</v>
      </c>
    </row>
    <row r="4855" spans="1:1" x14ac:dyDescent="0.25">
      <c r="A4855" s="74">
        <v>9647</v>
      </c>
    </row>
    <row r="4856" spans="1:1" x14ac:dyDescent="0.25">
      <c r="A4856" s="74">
        <v>9648</v>
      </c>
    </row>
    <row r="4857" spans="1:1" x14ac:dyDescent="0.25">
      <c r="A4857" s="74">
        <v>9649</v>
      </c>
    </row>
    <row r="4858" spans="1:1" x14ac:dyDescent="0.25">
      <c r="A4858" s="74">
        <v>9650</v>
      </c>
    </row>
    <row r="4859" spans="1:1" x14ac:dyDescent="0.25">
      <c r="A4859" s="74">
        <v>9651</v>
      </c>
    </row>
    <row r="4860" spans="1:1" x14ac:dyDescent="0.25">
      <c r="A4860" s="74">
        <v>9652</v>
      </c>
    </row>
    <row r="4861" spans="1:1" x14ac:dyDescent="0.25">
      <c r="A4861" s="74">
        <v>9653</v>
      </c>
    </row>
    <row r="4862" spans="1:1" x14ac:dyDescent="0.25">
      <c r="A4862" s="74">
        <v>9654</v>
      </c>
    </row>
    <row r="4863" spans="1:1" x14ac:dyDescent="0.25">
      <c r="A4863" s="74">
        <v>9655</v>
      </c>
    </row>
    <row r="4864" spans="1:1" x14ac:dyDescent="0.25">
      <c r="A4864" s="74">
        <v>9656</v>
      </c>
    </row>
    <row r="4865" spans="1:1" x14ac:dyDescent="0.25">
      <c r="A4865" s="74">
        <v>9657</v>
      </c>
    </row>
    <row r="4866" spans="1:1" x14ac:dyDescent="0.25">
      <c r="A4866" s="74">
        <v>9658</v>
      </c>
    </row>
    <row r="4867" spans="1:1" x14ac:dyDescent="0.25">
      <c r="A4867" s="74">
        <v>9659</v>
      </c>
    </row>
    <row r="4868" spans="1:1" x14ac:dyDescent="0.25">
      <c r="A4868" s="74">
        <v>9660</v>
      </c>
    </row>
    <row r="4869" spans="1:1" x14ac:dyDescent="0.25">
      <c r="A4869" s="74">
        <v>9661</v>
      </c>
    </row>
    <row r="4870" spans="1:1" x14ac:dyDescent="0.25">
      <c r="A4870" s="74">
        <v>9662</v>
      </c>
    </row>
    <row r="4871" spans="1:1" x14ac:dyDescent="0.25">
      <c r="A4871" s="74">
        <v>9663</v>
      </c>
    </row>
    <row r="4872" spans="1:1" x14ac:dyDescent="0.25">
      <c r="A4872" s="74">
        <v>9664</v>
      </c>
    </row>
    <row r="4873" spans="1:1" x14ac:dyDescent="0.25">
      <c r="A4873" s="74">
        <v>9665</v>
      </c>
    </row>
    <row r="4874" spans="1:1" x14ac:dyDescent="0.25">
      <c r="A4874" s="74">
        <v>9666</v>
      </c>
    </row>
    <row r="4875" spans="1:1" x14ac:dyDescent="0.25">
      <c r="A4875" s="74">
        <v>9667</v>
      </c>
    </row>
    <row r="4876" spans="1:1" x14ac:dyDescent="0.25">
      <c r="A4876" s="74">
        <v>9668</v>
      </c>
    </row>
    <row r="4877" spans="1:1" x14ac:dyDescent="0.25">
      <c r="A4877" s="74">
        <v>9669</v>
      </c>
    </row>
    <row r="4878" spans="1:1" x14ac:dyDescent="0.25">
      <c r="A4878" s="74">
        <v>9670</v>
      </c>
    </row>
    <row r="4879" spans="1:1" x14ac:dyDescent="0.25">
      <c r="A4879" s="74">
        <v>9671</v>
      </c>
    </row>
    <row r="4880" spans="1:1" x14ac:dyDescent="0.25">
      <c r="A4880" s="74">
        <v>9672</v>
      </c>
    </row>
    <row r="4881" spans="1:1" x14ac:dyDescent="0.25">
      <c r="A4881" s="74">
        <v>9673</v>
      </c>
    </row>
    <row r="4882" spans="1:1" x14ac:dyDescent="0.25">
      <c r="A4882" s="74">
        <v>9674</v>
      </c>
    </row>
    <row r="4883" spans="1:1" x14ac:dyDescent="0.25">
      <c r="A4883" s="74">
        <v>9675</v>
      </c>
    </row>
    <row r="4884" spans="1:1" x14ac:dyDescent="0.25">
      <c r="A4884" s="74">
        <v>9676</v>
      </c>
    </row>
    <row r="4885" spans="1:1" x14ac:dyDescent="0.25">
      <c r="A4885" s="74">
        <v>9677</v>
      </c>
    </row>
    <row r="4886" spans="1:1" x14ac:dyDescent="0.25">
      <c r="A4886" s="74">
        <v>9678</v>
      </c>
    </row>
    <row r="4887" spans="1:1" x14ac:dyDescent="0.25">
      <c r="A4887" s="74">
        <v>9679</v>
      </c>
    </row>
    <row r="4888" spans="1:1" x14ac:dyDescent="0.25">
      <c r="A4888" s="74">
        <v>9680</v>
      </c>
    </row>
    <row r="4889" spans="1:1" x14ac:dyDescent="0.25">
      <c r="A4889" s="74">
        <v>9681</v>
      </c>
    </row>
    <row r="4890" spans="1:1" x14ac:dyDescent="0.25">
      <c r="A4890" s="74">
        <v>9682</v>
      </c>
    </row>
    <row r="4891" spans="1:1" x14ac:dyDescent="0.25">
      <c r="A4891" s="74">
        <v>9683</v>
      </c>
    </row>
    <row r="4892" spans="1:1" x14ac:dyDescent="0.25">
      <c r="A4892" s="74">
        <v>9684</v>
      </c>
    </row>
    <row r="4893" spans="1:1" x14ac:dyDescent="0.25">
      <c r="A4893" s="74">
        <v>9685</v>
      </c>
    </row>
    <row r="4894" spans="1:1" x14ac:dyDescent="0.25">
      <c r="A4894" s="74">
        <v>9686</v>
      </c>
    </row>
    <row r="4895" spans="1:1" x14ac:dyDescent="0.25">
      <c r="A4895" s="74">
        <v>9687</v>
      </c>
    </row>
    <row r="4896" spans="1:1" x14ac:dyDescent="0.25">
      <c r="A4896" s="74">
        <v>9688</v>
      </c>
    </row>
    <row r="4897" spans="1:1" x14ac:dyDescent="0.25">
      <c r="A4897" s="74">
        <v>9689</v>
      </c>
    </row>
    <row r="4898" spans="1:1" x14ac:dyDescent="0.25">
      <c r="A4898" s="74">
        <v>9690</v>
      </c>
    </row>
    <row r="4899" spans="1:1" x14ac:dyDescent="0.25">
      <c r="A4899" s="74">
        <v>9691</v>
      </c>
    </row>
    <row r="4900" spans="1:1" x14ac:dyDescent="0.25">
      <c r="A4900" s="74">
        <v>9692</v>
      </c>
    </row>
    <row r="4901" spans="1:1" x14ac:dyDescent="0.25">
      <c r="A4901" s="74">
        <v>9693</v>
      </c>
    </row>
    <row r="4902" spans="1:1" x14ac:dyDescent="0.25">
      <c r="A4902" s="74">
        <v>9694</v>
      </c>
    </row>
    <row r="4903" spans="1:1" x14ac:dyDescent="0.25">
      <c r="A4903" s="74">
        <v>9695</v>
      </c>
    </row>
    <row r="4904" spans="1:1" x14ac:dyDescent="0.25">
      <c r="A4904" s="74">
        <v>9696</v>
      </c>
    </row>
    <row r="4905" spans="1:1" x14ac:dyDescent="0.25">
      <c r="A4905" s="74">
        <v>9697</v>
      </c>
    </row>
    <row r="4906" spans="1:1" x14ac:dyDescent="0.25">
      <c r="A4906" s="74">
        <v>9698</v>
      </c>
    </row>
    <row r="4907" spans="1:1" x14ac:dyDescent="0.25">
      <c r="A4907" s="74">
        <v>9699</v>
      </c>
    </row>
    <row r="4908" spans="1:1" x14ac:dyDescent="0.25">
      <c r="A4908" s="74">
        <v>9700</v>
      </c>
    </row>
    <row r="4909" spans="1:1" x14ac:dyDescent="0.25">
      <c r="A4909" s="74">
        <v>9701</v>
      </c>
    </row>
    <row r="4910" spans="1:1" x14ac:dyDescent="0.25">
      <c r="A4910" s="74">
        <v>9702</v>
      </c>
    </row>
    <row r="4911" spans="1:1" x14ac:dyDescent="0.25">
      <c r="A4911" s="74">
        <v>9703</v>
      </c>
    </row>
    <row r="4912" spans="1:1" x14ac:dyDescent="0.25">
      <c r="A4912" s="74">
        <v>9704</v>
      </c>
    </row>
    <row r="4913" spans="1:1" x14ac:dyDescent="0.25">
      <c r="A4913" s="74">
        <v>9705</v>
      </c>
    </row>
    <row r="4914" spans="1:1" x14ac:dyDescent="0.25">
      <c r="A4914" s="74">
        <v>9706</v>
      </c>
    </row>
    <row r="4915" spans="1:1" x14ac:dyDescent="0.25">
      <c r="A4915" s="74">
        <v>9707</v>
      </c>
    </row>
    <row r="4916" spans="1:1" x14ac:dyDescent="0.25">
      <c r="A4916" s="74">
        <v>9708</v>
      </c>
    </row>
    <row r="4917" spans="1:1" x14ac:dyDescent="0.25">
      <c r="A4917" s="74">
        <v>9709</v>
      </c>
    </row>
    <row r="4918" spans="1:1" x14ac:dyDescent="0.25">
      <c r="A4918" s="74">
        <v>9710</v>
      </c>
    </row>
    <row r="4919" spans="1:1" x14ac:dyDescent="0.25">
      <c r="A4919" s="74">
        <v>9711</v>
      </c>
    </row>
    <row r="4920" spans="1:1" x14ac:dyDescent="0.25">
      <c r="A4920" s="74">
        <v>9712</v>
      </c>
    </row>
    <row r="4921" spans="1:1" x14ac:dyDescent="0.25">
      <c r="A4921" s="74">
        <v>9713</v>
      </c>
    </row>
    <row r="4922" spans="1:1" x14ac:dyDescent="0.25">
      <c r="A4922" s="74">
        <v>9714</v>
      </c>
    </row>
    <row r="4923" spans="1:1" x14ac:dyDescent="0.25">
      <c r="A4923" s="74">
        <v>9715</v>
      </c>
    </row>
    <row r="4924" spans="1:1" x14ac:dyDescent="0.25">
      <c r="A4924" s="74">
        <v>9716</v>
      </c>
    </row>
    <row r="4925" spans="1:1" x14ac:dyDescent="0.25">
      <c r="A4925" s="74">
        <v>9717</v>
      </c>
    </row>
    <row r="4926" spans="1:1" x14ac:dyDescent="0.25">
      <c r="A4926" s="74">
        <v>9718</v>
      </c>
    </row>
    <row r="4927" spans="1:1" x14ac:dyDescent="0.25">
      <c r="A4927" s="74">
        <v>9719</v>
      </c>
    </row>
    <row r="4928" spans="1:1" x14ac:dyDescent="0.25">
      <c r="A4928" s="74">
        <v>9720</v>
      </c>
    </row>
    <row r="4929" spans="1:1" x14ac:dyDescent="0.25">
      <c r="A4929" s="74">
        <v>9721</v>
      </c>
    </row>
    <row r="4930" spans="1:1" x14ac:dyDescent="0.25">
      <c r="A4930" s="74">
        <v>9722</v>
      </c>
    </row>
    <row r="4931" spans="1:1" x14ac:dyDescent="0.25">
      <c r="A4931" s="74">
        <v>9723</v>
      </c>
    </row>
    <row r="4932" spans="1:1" x14ac:dyDescent="0.25">
      <c r="A4932" s="74">
        <v>9724</v>
      </c>
    </row>
    <row r="4933" spans="1:1" x14ac:dyDescent="0.25">
      <c r="A4933" s="74">
        <v>9725</v>
      </c>
    </row>
    <row r="4934" spans="1:1" x14ac:dyDescent="0.25">
      <c r="A4934" s="74">
        <v>9726</v>
      </c>
    </row>
    <row r="4935" spans="1:1" x14ac:dyDescent="0.25">
      <c r="A4935" s="74">
        <v>9727</v>
      </c>
    </row>
    <row r="4936" spans="1:1" x14ac:dyDescent="0.25">
      <c r="A4936" s="74">
        <v>9728</v>
      </c>
    </row>
    <row r="4937" spans="1:1" x14ac:dyDescent="0.25">
      <c r="A4937" s="74">
        <v>9729</v>
      </c>
    </row>
    <row r="4938" spans="1:1" x14ac:dyDescent="0.25">
      <c r="A4938" s="74">
        <v>9730</v>
      </c>
    </row>
    <row r="4939" spans="1:1" x14ac:dyDescent="0.25">
      <c r="A4939" s="74">
        <v>9731</v>
      </c>
    </row>
    <row r="4940" spans="1:1" x14ac:dyDescent="0.25">
      <c r="A4940" s="74">
        <v>9732</v>
      </c>
    </row>
    <row r="4941" spans="1:1" x14ac:dyDescent="0.25">
      <c r="A4941" s="74">
        <v>9733</v>
      </c>
    </row>
    <row r="4942" spans="1:1" x14ac:dyDescent="0.25">
      <c r="A4942" s="74">
        <v>9734</v>
      </c>
    </row>
    <row r="4943" spans="1:1" x14ac:dyDescent="0.25">
      <c r="A4943" s="74">
        <v>9735</v>
      </c>
    </row>
    <row r="4944" spans="1:1" x14ac:dyDescent="0.25">
      <c r="A4944" s="74">
        <v>9736</v>
      </c>
    </row>
    <row r="4945" spans="1:1" x14ac:dyDescent="0.25">
      <c r="A4945" s="74">
        <v>9737</v>
      </c>
    </row>
    <row r="4946" spans="1:1" x14ac:dyDescent="0.25">
      <c r="A4946" s="74">
        <v>9738</v>
      </c>
    </row>
    <row r="4947" spans="1:1" x14ac:dyDescent="0.25">
      <c r="A4947" s="74">
        <v>9739</v>
      </c>
    </row>
    <row r="4948" spans="1:1" x14ac:dyDescent="0.25">
      <c r="A4948" s="74">
        <v>9740</v>
      </c>
    </row>
    <row r="4949" spans="1:1" x14ac:dyDescent="0.25">
      <c r="A4949" s="74">
        <v>9741</v>
      </c>
    </row>
    <row r="4950" spans="1:1" x14ac:dyDescent="0.25">
      <c r="A4950" s="74">
        <v>9742</v>
      </c>
    </row>
    <row r="4951" spans="1:1" x14ac:dyDescent="0.25">
      <c r="A4951" s="74">
        <v>9743</v>
      </c>
    </row>
    <row r="4952" spans="1:1" x14ac:dyDescent="0.25">
      <c r="A4952" s="74">
        <v>9744</v>
      </c>
    </row>
    <row r="4953" spans="1:1" x14ac:dyDescent="0.25">
      <c r="A4953" s="74">
        <v>9745</v>
      </c>
    </row>
    <row r="4954" spans="1:1" x14ac:dyDescent="0.25">
      <c r="A4954" s="74">
        <v>9746</v>
      </c>
    </row>
    <row r="4955" spans="1:1" x14ac:dyDescent="0.25">
      <c r="A4955" s="74">
        <v>9747</v>
      </c>
    </row>
    <row r="4956" spans="1:1" x14ac:dyDescent="0.25">
      <c r="A4956" s="74">
        <v>9748</v>
      </c>
    </row>
    <row r="4957" spans="1:1" x14ac:dyDescent="0.25">
      <c r="A4957" s="74">
        <v>9749</v>
      </c>
    </row>
    <row r="4958" spans="1:1" x14ac:dyDescent="0.25">
      <c r="A4958" s="74">
        <v>9750</v>
      </c>
    </row>
    <row r="4959" spans="1:1" x14ac:dyDescent="0.25">
      <c r="A4959" s="74">
        <v>9751</v>
      </c>
    </row>
    <row r="4960" spans="1:1" x14ac:dyDescent="0.25">
      <c r="A4960" s="74">
        <v>9752</v>
      </c>
    </row>
    <row r="4961" spans="1:1" x14ac:dyDescent="0.25">
      <c r="A4961" s="74">
        <v>9753</v>
      </c>
    </row>
    <row r="4962" spans="1:1" x14ac:dyDescent="0.25">
      <c r="A4962" s="74">
        <v>9754</v>
      </c>
    </row>
    <row r="4963" spans="1:1" x14ac:dyDescent="0.25">
      <c r="A4963" s="74">
        <v>9755</v>
      </c>
    </row>
    <row r="4964" spans="1:1" x14ac:dyDescent="0.25">
      <c r="A4964" s="74">
        <v>9756</v>
      </c>
    </row>
    <row r="4965" spans="1:1" x14ac:dyDescent="0.25">
      <c r="A4965" s="74">
        <v>9757</v>
      </c>
    </row>
    <row r="4966" spans="1:1" x14ac:dyDescent="0.25">
      <c r="A4966" s="74">
        <v>9758</v>
      </c>
    </row>
    <row r="4967" spans="1:1" x14ac:dyDescent="0.25">
      <c r="A4967" s="74">
        <v>9759</v>
      </c>
    </row>
    <row r="4968" spans="1:1" x14ac:dyDescent="0.25">
      <c r="A4968" s="74">
        <v>9760</v>
      </c>
    </row>
    <row r="4969" spans="1:1" x14ac:dyDescent="0.25">
      <c r="A4969" s="74">
        <v>9761</v>
      </c>
    </row>
    <row r="4970" spans="1:1" x14ac:dyDescent="0.25">
      <c r="A4970" s="74">
        <v>9762</v>
      </c>
    </row>
    <row r="4971" spans="1:1" x14ac:dyDescent="0.25">
      <c r="A4971" s="74">
        <v>9763</v>
      </c>
    </row>
    <row r="4972" spans="1:1" x14ac:dyDescent="0.25">
      <c r="A4972" s="74">
        <v>9764</v>
      </c>
    </row>
    <row r="4973" spans="1:1" x14ac:dyDescent="0.25">
      <c r="A4973" s="74">
        <v>9765</v>
      </c>
    </row>
    <row r="4974" spans="1:1" x14ac:dyDescent="0.25">
      <c r="A4974" s="74">
        <v>9766</v>
      </c>
    </row>
    <row r="4975" spans="1:1" x14ac:dyDescent="0.25">
      <c r="A4975" s="74">
        <v>9767</v>
      </c>
    </row>
    <row r="4976" spans="1:1" x14ac:dyDescent="0.25">
      <c r="A4976" s="74">
        <v>9768</v>
      </c>
    </row>
    <row r="4977" spans="1:1" x14ac:dyDescent="0.25">
      <c r="A4977" s="74">
        <v>9769</v>
      </c>
    </row>
    <row r="4978" spans="1:1" x14ac:dyDescent="0.25">
      <c r="A4978" s="74">
        <v>9770</v>
      </c>
    </row>
    <row r="4979" spans="1:1" x14ac:dyDescent="0.25">
      <c r="A4979" s="74">
        <v>9771</v>
      </c>
    </row>
    <row r="4980" spans="1:1" x14ac:dyDescent="0.25">
      <c r="A4980" s="74">
        <v>9772</v>
      </c>
    </row>
    <row r="4981" spans="1:1" x14ac:dyDescent="0.25">
      <c r="A4981" s="74">
        <v>9773</v>
      </c>
    </row>
    <row r="4982" spans="1:1" x14ac:dyDescent="0.25">
      <c r="A4982" s="74">
        <v>9774</v>
      </c>
    </row>
    <row r="4983" spans="1:1" x14ac:dyDescent="0.25">
      <c r="A4983" s="74">
        <v>9775</v>
      </c>
    </row>
    <row r="4984" spans="1:1" x14ac:dyDescent="0.25">
      <c r="A4984" s="74">
        <v>9776</v>
      </c>
    </row>
    <row r="4985" spans="1:1" x14ac:dyDescent="0.25">
      <c r="A4985" s="74">
        <v>9777</v>
      </c>
    </row>
    <row r="4986" spans="1:1" x14ac:dyDescent="0.25">
      <c r="A4986" s="74">
        <v>9778</v>
      </c>
    </row>
    <row r="4987" spans="1:1" x14ac:dyDescent="0.25">
      <c r="A4987" s="74">
        <v>9779</v>
      </c>
    </row>
    <row r="4988" spans="1:1" x14ac:dyDescent="0.25">
      <c r="A4988" s="74">
        <v>9780</v>
      </c>
    </row>
    <row r="4989" spans="1:1" x14ac:dyDescent="0.25">
      <c r="A4989" s="74">
        <v>9781</v>
      </c>
    </row>
    <row r="4990" spans="1:1" x14ac:dyDescent="0.25">
      <c r="A4990" s="74">
        <v>9782</v>
      </c>
    </row>
    <row r="4991" spans="1:1" x14ac:dyDescent="0.25">
      <c r="A4991" s="74">
        <v>9783</v>
      </c>
    </row>
    <row r="4992" spans="1:1" x14ac:dyDescent="0.25">
      <c r="A4992" s="74">
        <v>9784</v>
      </c>
    </row>
    <row r="4993" spans="1:1" x14ac:dyDescent="0.25">
      <c r="A4993" s="74">
        <v>9785</v>
      </c>
    </row>
    <row r="4994" spans="1:1" x14ac:dyDescent="0.25">
      <c r="A4994" s="74">
        <v>9786</v>
      </c>
    </row>
    <row r="4995" spans="1:1" x14ac:dyDescent="0.25">
      <c r="A4995" s="74">
        <v>9787</v>
      </c>
    </row>
    <row r="4996" spans="1:1" x14ac:dyDescent="0.25">
      <c r="A4996" s="74">
        <v>9788</v>
      </c>
    </row>
    <row r="4997" spans="1:1" x14ac:dyDescent="0.25">
      <c r="A4997" s="74">
        <v>9789</v>
      </c>
    </row>
    <row r="4998" spans="1:1" x14ac:dyDescent="0.25">
      <c r="A4998" s="74">
        <v>9790</v>
      </c>
    </row>
    <row r="4999" spans="1:1" x14ac:dyDescent="0.25">
      <c r="A4999" s="74">
        <v>9791</v>
      </c>
    </row>
    <row r="5000" spans="1:1" x14ac:dyDescent="0.25">
      <c r="A5000" s="74">
        <v>9792</v>
      </c>
    </row>
    <row r="5001" spans="1:1" x14ac:dyDescent="0.25">
      <c r="A5001" s="74">
        <v>9793</v>
      </c>
    </row>
    <row r="5002" spans="1:1" x14ac:dyDescent="0.25">
      <c r="A5002" s="74">
        <v>9794</v>
      </c>
    </row>
    <row r="5003" spans="1:1" x14ac:dyDescent="0.25">
      <c r="A5003" s="74">
        <v>9795</v>
      </c>
    </row>
    <row r="5004" spans="1:1" x14ac:dyDescent="0.25">
      <c r="A5004" s="74">
        <v>9796</v>
      </c>
    </row>
    <row r="5005" spans="1:1" x14ac:dyDescent="0.25">
      <c r="A5005" s="74">
        <v>9797</v>
      </c>
    </row>
    <row r="5006" spans="1:1" x14ac:dyDescent="0.25">
      <c r="A5006" s="74">
        <v>9798</v>
      </c>
    </row>
    <row r="5007" spans="1:1" x14ac:dyDescent="0.25">
      <c r="A5007" s="74">
        <v>9799</v>
      </c>
    </row>
    <row r="5008" spans="1:1" x14ac:dyDescent="0.25">
      <c r="A5008" s="74">
        <v>9800</v>
      </c>
    </row>
    <row r="5009" spans="1:1" x14ac:dyDescent="0.25">
      <c r="A5009" s="74">
        <v>9801</v>
      </c>
    </row>
    <row r="5010" spans="1:1" x14ac:dyDescent="0.25">
      <c r="A5010" s="74">
        <v>9802</v>
      </c>
    </row>
    <row r="5011" spans="1:1" x14ac:dyDescent="0.25">
      <c r="A5011" s="74">
        <v>9803</v>
      </c>
    </row>
    <row r="5012" spans="1:1" x14ac:dyDescent="0.25">
      <c r="A5012" s="74">
        <v>9804</v>
      </c>
    </row>
    <row r="5013" spans="1:1" x14ac:dyDescent="0.25">
      <c r="A5013" s="74">
        <v>9805</v>
      </c>
    </row>
    <row r="5014" spans="1:1" x14ac:dyDescent="0.25">
      <c r="A5014" s="74">
        <v>9806</v>
      </c>
    </row>
    <row r="5015" spans="1:1" x14ac:dyDescent="0.25">
      <c r="A5015" s="74">
        <v>9807</v>
      </c>
    </row>
    <row r="5016" spans="1:1" x14ac:dyDescent="0.25">
      <c r="A5016" s="74">
        <v>9808</v>
      </c>
    </row>
    <row r="5017" spans="1:1" x14ac:dyDescent="0.25">
      <c r="A5017" s="74">
        <v>9809</v>
      </c>
    </row>
    <row r="5018" spans="1:1" x14ac:dyDescent="0.25">
      <c r="A5018" s="74">
        <v>9810</v>
      </c>
    </row>
    <row r="5019" spans="1:1" x14ac:dyDescent="0.25">
      <c r="A5019" s="74">
        <v>9811</v>
      </c>
    </row>
    <row r="5020" spans="1:1" x14ac:dyDescent="0.25">
      <c r="A5020" s="74">
        <v>9812</v>
      </c>
    </row>
    <row r="5021" spans="1:1" x14ac:dyDescent="0.25">
      <c r="A5021" s="74">
        <v>9813</v>
      </c>
    </row>
    <row r="5022" spans="1:1" x14ac:dyDescent="0.25">
      <c r="A5022" s="74">
        <v>9814</v>
      </c>
    </row>
    <row r="5023" spans="1:1" x14ac:dyDescent="0.25">
      <c r="A5023" s="74">
        <v>9815</v>
      </c>
    </row>
    <row r="5024" spans="1:1" x14ac:dyDescent="0.25">
      <c r="A5024" s="74">
        <v>9816</v>
      </c>
    </row>
    <row r="5025" spans="1:1" x14ac:dyDescent="0.25">
      <c r="A5025" s="74">
        <v>9817</v>
      </c>
    </row>
    <row r="5026" spans="1:1" x14ac:dyDescent="0.25">
      <c r="A5026" s="74">
        <v>9818</v>
      </c>
    </row>
    <row r="5027" spans="1:1" x14ac:dyDescent="0.25">
      <c r="A5027" s="74">
        <v>9819</v>
      </c>
    </row>
    <row r="5028" spans="1:1" x14ac:dyDescent="0.25">
      <c r="A5028" s="74">
        <v>9820</v>
      </c>
    </row>
    <row r="5029" spans="1:1" x14ac:dyDescent="0.25">
      <c r="A5029" s="74">
        <v>9821</v>
      </c>
    </row>
    <row r="5030" spans="1:1" x14ac:dyDescent="0.25">
      <c r="A5030" s="74">
        <v>9822</v>
      </c>
    </row>
    <row r="5031" spans="1:1" x14ac:dyDescent="0.25">
      <c r="A5031" s="74">
        <v>9823</v>
      </c>
    </row>
    <row r="5032" spans="1:1" x14ac:dyDescent="0.25">
      <c r="A5032" s="74">
        <v>9824</v>
      </c>
    </row>
    <row r="5033" spans="1:1" x14ac:dyDescent="0.25">
      <c r="A5033" s="74">
        <v>9825</v>
      </c>
    </row>
    <row r="5034" spans="1:1" x14ac:dyDescent="0.25">
      <c r="A5034" s="74">
        <v>9826</v>
      </c>
    </row>
    <row r="5035" spans="1:1" x14ac:dyDescent="0.25">
      <c r="A5035" s="74">
        <v>9827</v>
      </c>
    </row>
    <row r="5036" spans="1:1" x14ac:dyDescent="0.25">
      <c r="A5036" s="74">
        <v>9828</v>
      </c>
    </row>
    <row r="5037" spans="1:1" x14ac:dyDescent="0.25">
      <c r="A5037" s="74">
        <v>9829</v>
      </c>
    </row>
    <row r="5038" spans="1:1" x14ac:dyDescent="0.25">
      <c r="A5038" s="74">
        <v>9830</v>
      </c>
    </row>
    <row r="5039" spans="1:1" x14ac:dyDescent="0.25">
      <c r="A5039" s="74">
        <v>9831</v>
      </c>
    </row>
    <row r="5040" spans="1:1" x14ac:dyDescent="0.25">
      <c r="A5040" s="74">
        <v>9832</v>
      </c>
    </row>
    <row r="5041" spans="1:1" x14ac:dyDescent="0.25">
      <c r="A5041" s="74">
        <v>9833</v>
      </c>
    </row>
    <row r="5042" spans="1:1" x14ac:dyDescent="0.25">
      <c r="A5042" s="74">
        <v>9834</v>
      </c>
    </row>
    <row r="5043" spans="1:1" x14ac:dyDescent="0.25">
      <c r="A5043" s="74">
        <v>9835</v>
      </c>
    </row>
    <row r="5044" spans="1:1" x14ac:dyDescent="0.25">
      <c r="A5044" s="74">
        <v>9836</v>
      </c>
    </row>
    <row r="5045" spans="1:1" x14ac:dyDescent="0.25">
      <c r="A5045" s="74">
        <v>9837</v>
      </c>
    </row>
    <row r="5046" spans="1:1" x14ac:dyDescent="0.25">
      <c r="A5046" s="74">
        <v>9838</v>
      </c>
    </row>
    <row r="5047" spans="1:1" x14ac:dyDescent="0.25">
      <c r="A5047" s="74">
        <v>9839</v>
      </c>
    </row>
    <row r="5048" spans="1:1" x14ac:dyDescent="0.25">
      <c r="A5048" s="74">
        <v>9840</v>
      </c>
    </row>
    <row r="5049" spans="1:1" x14ac:dyDescent="0.25">
      <c r="A5049" s="74">
        <v>9841</v>
      </c>
    </row>
    <row r="5050" spans="1:1" x14ac:dyDescent="0.25">
      <c r="A5050" s="74">
        <v>9842</v>
      </c>
    </row>
    <row r="5051" spans="1:1" x14ac:dyDescent="0.25">
      <c r="A5051" s="74">
        <v>9843</v>
      </c>
    </row>
    <row r="5052" spans="1:1" x14ac:dyDescent="0.25">
      <c r="A5052" s="74">
        <v>9844</v>
      </c>
    </row>
    <row r="5053" spans="1:1" x14ac:dyDescent="0.25">
      <c r="A5053" s="74">
        <v>9845</v>
      </c>
    </row>
    <row r="5054" spans="1:1" x14ac:dyDescent="0.25">
      <c r="A5054" s="74">
        <v>9846</v>
      </c>
    </row>
    <row r="5055" spans="1:1" x14ac:dyDescent="0.25">
      <c r="A5055" s="74">
        <v>9847</v>
      </c>
    </row>
    <row r="5056" spans="1:1" x14ac:dyDescent="0.25">
      <c r="A5056" s="74">
        <v>9848</v>
      </c>
    </row>
    <row r="5057" spans="1:1" x14ac:dyDescent="0.25">
      <c r="A5057" s="74">
        <v>9849</v>
      </c>
    </row>
    <row r="5058" spans="1:1" x14ac:dyDescent="0.25">
      <c r="A5058" s="74">
        <v>9850</v>
      </c>
    </row>
    <row r="5059" spans="1:1" x14ac:dyDescent="0.25">
      <c r="A5059" s="74">
        <v>9851</v>
      </c>
    </row>
    <row r="5060" spans="1:1" x14ac:dyDescent="0.25">
      <c r="A5060" s="74">
        <v>9852</v>
      </c>
    </row>
    <row r="5061" spans="1:1" x14ac:dyDescent="0.25">
      <c r="A5061" s="74">
        <v>9853</v>
      </c>
    </row>
    <row r="5062" spans="1:1" x14ac:dyDescent="0.25">
      <c r="A5062" s="74">
        <v>9854</v>
      </c>
    </row>
    <row r="5063" spans="1:1" x14ac:dyDescent="0.25">
      <c r="A5063" s="74">
        <v>9855</v>
      </c>
    </row>
    <row r="5064" spans="1:1" x14ac:dyDescent="0.25">
      <c r="A5064" s="74">
        <v>9856</v>
      </c>
    </row>
    <row r="5065" spans="1:1" x14ac:dyDescent="0.25">
      <c r="A5065" s="74">
        <v>9857</v>
      </c>
    </row>
    <row r="5066" spans="1:1" x14ac:dyDescent="0.25">
      <c r="A5066" s="74">
        <v>9858</v>
      </c>
    </row>
    <row r="5067" spans="1:1" x14ac:dyDescent="0.25">
      <c r="A5067" s="74">
        <v>9859</v>
      </c>
    </row>
    <row r="5068" spans="1:1" x14ac:dyDescent="0.25">
      <c r="A5068" s="74">
        <v>9860</v>
      </c>
    </row>
    <row r="5069" spans="1:1" x14ac:dyDescent="0.25">
      <c r="A5069" s="74">
        <v>9861</v>
      </c>
    </row>
    <row r="5070" spans="1:1" x14ac:dyDescent="0.25">
      <c r="A5070" s="74">
        <v>9862</v>
      </c>
    </row>
    <row r="5071" spans="1:1" x14ac:dyDescent="0.25">
      <c r="A5071" s="74">
        <v>9863</v>
      </c>
    </row>
    <row r="5072" spans="1:1" x14ac:dyDescent="0.25">
      <c r="A5072" s="74">
        <v>9864</v>
      </c>
    </row>
    <row r="5073" spans="1:1" x14ac:dyDescent="0.25">
      <c r="A5073" s="74">
        <v>9865</v>
      </c>
    </row>
    <row r="5074" spans="1:1" x14ac:dyDescent="0.25">
      <c r="A5074" s="74">
        <v>9866</v>
      </c>
    </row>
    <row r="5075" spans="1:1" x14ac:dyDescent="0.25">
      <c r="A5075" s="74">
        <v>9867</v>
      </c>
    </row>
    <row r="5076" spans="1:1" x14ac:dyDescent="0.25">
      <c r="A5076" s="74">
        <v>9868</v>
      </c>
    </row>
    <row r="5077" spans="1:1" x14ac:dyDescent="0.25">
      <c r="A5077" s="74">
        <v>9869</v>
      </c>
    </row>
    <row r="5078" spans="1:1" x14ac:dyDescent="0.25">
      <c r="A5078" s="74">
        <v>9870</v>
      </c>
    </row>
    <row r="5079" spans="1:1" x14ac:dyDescent="0.25">
      <c r="A5079" s="74">
        <v>9871</v>
      </c>
    </row>
    <row r="5080" spans="1:1" x14ac:dyDescent="0.25">
      <c r="A5080" s="74">
        <v>9872</v>
      </c>
    </row>
    <row r="5081" spans="1:1" x14ac:dyDescent="0.25">
      <c r="A5081" s="74">
        <v>9873</v>
      </c>
    </row>
    <row r="5082" spans="1:1" x14ac:dyDescent="0.25">
      <c r="A5082" s="74">
        <v>9874</v>
      </c>
    </row>
    <row r="5083" spans="1:1" x14ac:dyDescent="0.25">
      <c r="A5083" s="74">
        <v>9875</v>
      </c>
    </row>
    <row r="5084" spans="1:1" x14ac:dyDescent="0.25">
      <c r="A5084" s="74">
        <v>9876</v>
      </c>
    </row>
    <row r="5085" spans="1:1" x14ac:dyDescent="0.25">
      <c r="A5085" s="74">
        <v>9877</v>
      </c>
    </row>
    <row r="5086" spans="1:1" x14ac:dyDescent="0.25">
      <c r="A5086" s="74">
        <v>9878</v>
      </c>
    </row>
    <row r="5087" spans="1:1" x14ac:dyDescent="0.25">
      <c r="A5087" s="74">
        <v>9879</v>
      </c>
    </row>
    <row r="5088" spans="1:1" x14ac:dyDescent="0.25">
      <c r="A5088" s="74">
        <v>9880</v>
      </c>
    </row>
    <row r="5089" spans="1:1" x14ac:dyDescent="0.25">
      <c r="A5089" s="74">
        <v>9881</v>
      </c>
    </row>
    <row r="5090" spans="1:1" x14ac:dyDescent="0.25">
      <c r="A5090" s="74">
        <v>9882</v>
      </c>
    </row>
    <row r="5091" spans="1:1" x14ac:dyDescent="0.25">
      <c r="A5091" s="74">
        <v>9883</v>
      </c>
    </row>
    <row r="5092" spans="1:1" x14ac:dyDescent="0.25">
      <c r="A5092" s="74">
        <v>9884</v>
      </c>
    </row>
    <row r="5093" spans="1:1" x14ac:dyDescent="0.25">
      <c r="A5093" s="74">
        <v>9885</v>
      </c>
    </row>
    <row r="5094" spans="1:1" x14ac:dyDescent="0.25">
      <c r="A5094" s="74">
        <v>9886</v>
      </c>
    </row>
    <row r="5095" spans="1:1" x14ac:dyDescent="0.25">
      <c r="A5095" s="74">
        <v>9887</v>
      </c>
    </row>
    <row r="5096" spans="1:1" x14ac:dyDescent="0.25">
      <c r="A5096" s="74">
        <v>9888</v>
      </c>
    </row>
    <row r="5097" spans="1:1" x14ac:dyDescent="0.25">
      <c r="A5097" s="74">
        <v>9889</v>
      </c>
    </row>
    <row r="5098" spans="1:1" x14ac:dyDescent="0.25">
      <c r="A5098" s="74">
        <v>9890</v>
      </c>
    </row>
    <row r="5099" spans="1:1" x14ac:dyDescent="0.25">
      <c r="A5099" s="74">
        <v>9891</v>
      </c>
    </row>
    <row r="5100" spans="1:1" x14ac:dyDescent="0.25">
      <c r="A5100" s="74">
        <v>9892</v>
      </c>
    </row>
    <row r="5101" spans="1:1" x14ac:dyDescent="0.25">
      <c r="A5101" s="74">
        <v>9893</v>
      </c>
    </row>
    <row r="5102" spans="1:1" x14ac:dyDescent="0.25">
      <c r="A5102" s="74">
        <v>9894</v>
      </c>
    </row>
    <row r="5103" spans="1:1" x14ac:dyDescent="0.25">
      <c r="A5103" s="74">
        <v>9895</v>
      </c>
    </row>
    <row r="5104" spans="1:1" x14ac:dyDescent="0.25">
      <c r="A5104" s="74">
        <v>9896</v>
      </c>
    </row>
    <row r="5105" spans="1:1" x14ac:dyDescent="0.25">
      <c r="A5105" s="74">
        <v>9897</v>
      </c>
    </row>
    <row r="5106" spans="1:1" x14ac:dyDescent="0.25">
      <c r="A5106" s="74">
        <v>9898</v>
      </c>
    </row>
    <row r="5107" spans="1:1" x14ac:dyDescent="0.25">
      <c r="A5107" s="74">
        <v>9899</v>
      </c>
    </row>
    <row r="5108" spans="1:1" x14ac:dyDescent="0.25">
      <c r="A5108" s="74">
        <v>9900</v>
      </c>
    </row>
    <row r="5109" spans="1:1" x14ac:dyDescent="0.25">
      <c r="A5109" s="74">
        <v>9901</v>
      </c>
    </row>
    <row r="5110" spans="1:1" x14ac:dyDescent="0.25">
      <c r="A5110" s="74">
        <v>9902</v>
      </c>
    </row>
    <row r="5111" spans="1:1" x14ac:dyDescent="0.25">
      <c r="A5111" s="74">
        <v>9903</v>
      </c>
    </row>
    <row r="5112" spans="1:1" x14ac:dyDescent="0.25">
      <c r="A5112" s="74">
        <v>9904</v>
      </c>
    </row>
    <row r="5113" spans="1:1" x14ac:dyDescent="0.25">
      <c r="A5113" s="74">
        <v>9905</v>
      </c>
    </row>
    <row r="5114" spans="1:1" x14ac:dyDescent="0.25">
      <c r="A5114" s="74">
        <v>9906</v>
      </c>
    </row>
    <row r="5115" spans="1:1" x14ac:dyDescent="0.25">
      <c r="A5115" s="74">
        <v>9907</v>
      </c>
    </row>
    <row r="5116" spans="1:1" x14ac:dyDescent="0.25">
      <c r="A5116" s="74">
        <v>9908</v>
      </c>
    </row>
    <row r="5117" spans="1:1" x14ac:dyDescent="0.25">
      <c r="A5117" s="74">
        <v>9909</v>
      </c>
    </row>
    <row r="5118" spans="1:1" x14ac:dyDescent="0.25">
      <c r="A5118" s="74">
        <v>9910</v>
      </c>
    </row>
    <row r="5119" spans="1:1" x14ac:dyDescent="0.25">
      <c r="A5119" s="74">
        <v>9911</v>
      </c>
    </row>
    <row r="5120" spans="1:1" x14ac:dyDescent="0.25">
      <c r="A5120" s="74">
        <v>9912</v>
      </c>
    </row>
    <row r="5121" spans="1:1" x14ac:dyDescent="0.25">
      <c r="A5121" s="74">
        <v>9913</v>
      </c>
    </row>
    <row r="5122" spans="1:1" x14ac:dyDescent="0.25">
      <c r="A5122" s="74">
        <v>9914</v>
      </c>
    </row>
    <row r="5123" spans="1:1" x14ac:dyDescent="0.25">
      <c r="A5123" s="74">
        <v>9915</v>
      </c>
    </row>
    <row r="5124" spans="1:1" x14ac:dyDescent="0.25">
      <c r="A5124" s="74">
        <v>9916</v>
      </c>
    </row>
    <row r="5125" spans="1:1" x14ac:dyDescent="0.25">
      <c r="A5125" s="74">
        <v>9917</v>
      </c>
    </row>
    <row r="5126" spans="1:1" x14ac:dyDescent="0.25">
      <c r="A5126" s="74">
        <v>9918</v>
      </c>
    </row>
    <row r="5127" spans="1:1" x14ac:dyDescent="0.25">
      <c r="A5127" s="74">
        <v>9919</v>
      </c>
    </row>
    <row r="5128" spans="1:1" x14ac:dyDescent="0.25">
      <c r="A5128" s="74">
        <v>9920</v>
      </c>
    </row>
    <row r="5129" spans="1:1" x14ac:dyDescent="0.25">
      <c r="A5129" s="74">
        <v>9921</v>
      </c>
    </row>
    <row r="5130" spans="1:1" x14ac:dyDescent="0.25">
      <c r="A5130" s="74">
        <v>9922</v>
      </c>
    </row>
    <row r="5131" spans="1:1" x14ac:dyDescent="0.25">
      <c r="A5131" s="74">
        <v>9923</v>
      </c>
    </row>
    <row r="5132" spans="1:1" x14ac:dyDescent="0.25">
      <c r="A5132" s="74">
        <v>9924</v>
      </c>
    </row>
    <row r="5133" spans="1:1" x14ac:dyDescent="0.25">
      <c r="A5133" s="74">
        <v>9925</v>
      </c>
    </row>
    <row r="5134" spans="1:1" x14ac:dyDescent="0.25">
      <c r="A5134" s="74">
        <v>9926</v>
      </c>
    </row>
    <row r="5135" spans="1:1" x14ac:dyDescent="0.25">
      <c r="A5135" s="74">
        <v>9927</v>
      </c>
    </row>
    <row r="5136" spans="1:1" x14ac:dyDescent="0.25">
      <c r="A5136" s="74">
        <v>9928</v>
      </c>
    </row>
    <row r="5137" spans="1:1" x14ac:dyDescent="0.25">
      <c r="A5137" s="74">
        <v>9929</v>
      </c>
    </row>
    <row r="5138" spans="1:1" x14ac:dyDescent="0.25">
      <c r="A5138" s="74">
        <v>9930</v>
      </c>
    </row>
    <row r="5139" spans="1:1" x14ac:dyDescent="0.25">
      <c r="A5139" s="74">
        <v>9931</v>
      </c>
    </row>
    <row r="5140" spans="1:1" x14ac:dyDescent="0.25">
      <c r="A5140" s="74">
        <v>9932</v>
      </c>
    </row>
    <row r="5141" spans="1:1" x14ac:dyDescent="0.25">
      <c r="A5141" s="74">
        <v>9933</v>
      </c>
    </row>
    <row r="5142" spans="1:1" x14ac:dyDescent="0.25">
      <c r="A5142" s="74">
        <v>9934</v>
      </c>
    </row>
    <row r="5143" spans="1:1" x14ac:dyDescent="0.25">
      <c r="A5143" s="74">
        <v>9935</v>
      </c>
    </row>
    <row r="5144" spans="1:1" x14ac:dyDescent="0.25">
      <c r="A5144" s="74">
        <v>9936</v>
      </c>
    </row>
    <row r="5145" spans="1:1" x14ac:dyDescent="0.25">
      <c r="A5145" s="74">
        <v>9937</v>
      </c>
    </row>
    <row r="5146" spans="1:1" x14ac:dyDescent="0.25">
      <c r="A5146" s="74">
        <v>9938</v>
      </c>
    </row>
    <row r="5147" spans="1:1" x14ac:dyDescent="0.25">
      <c r="A5147" s="74">
        <v>9939</v>
      </c>
    </row>
    <row r="5148" spans="1:1" x14ac:dyDescent="0.25">
      <c r="A5148" s="74">
        <v>9940</v>
      </c>
    </row>
    <row r="5149" spans="1:1" x14ac:dyDescent="0.25">
      <c r="A5149" s="74">
        <v>9941</v>
      </c>
    </row>
    <row r="5150" spans="1:1" x14ac:dyDescent="0.25">
      <c r="A5150" s="74">
        <v>9942</v>
      </c>
    </row>
    <row r="5151" spans="1:1" x14ac:dyDescent="0.25">
      <c r="A5151" s="74">
        <v>9943</v>
      </c>
    </row>
    <row r="5152" spans="1:1" x14ac:dyDescent="0.25">
      <c r="A5152" s="74">
        <v>9944</v>
      </c>
    </row>
    <row r="5153" spans="1:1" x14ac:dyDescent="0.25">
      <c r="A5153" s="74">
        <v>9945</v>
      </c>
    </row>
    <row r="5154" spans="1:1" x14ac:dyDescent="0.25">
      <c r="A5154" s="74">
        <v>9946</v>
      </c>
    </row>
    <row r="5155" spans="1:1" x14ac:dyDescent="0.25">
      <c r="A5155" s="74">
        <v>9947</v>
      </c>
    </row>
    <row r="5156" spans="1:1" x14ac:dyDescent="0.25">
      <c r="A5156" s="74">
        <v>9948</v>
      </c>
    </row>
    <row r="5157" spans="1:1" x14ac:dyDescent="0.25">
      <c r="A5157" s="74">
        <v>9949</v>
      </c>
    </row>
    <row r="5158" spans="1:1" x14ac:dyDescent="0.25">
      <c r="A5158" s="74">
        <v>9950</v>
      </c>
    </row>
    <row r="5159" spans="1:1" x14ac:dyDescent="0.25">
      <c r="A5159" s="74">
        <v>9951</v>
      </c>
    </row>
    <row r="5160" spans="1:1" x14ac:dyDescent="0.25">
      <c r="A5160" s="74">
        <v>9952</v>
      </c>
    </row>
    <row r="5161" spans="1:1" x14ac:dyDescent="0.25">
      <c r="A5161" s="74">
        <v>9953</v>
      </c>
    </row>
    <row r="5162" spans="1:1" x14ac:dyDescent="0.25">
      <c r="A5162" s="74">
        <v>9954</v>
      </c>
    </row>
    <row r="5163" spans="1:1" x14ac:dyDescent="0.25">
      <c r="A5163" s="74">
        <v>9955</v>
      </c>
    </row>
    <row r="5164" spans="1:1" x14ac:dyDescent="0.25">
      <c r="A5164" s="74">
        <v>9956</v>
      </c>
    </row>
    <row r="5165" spans="1:1" x14ac:dyDescent="0.25">
      <c r="A5165" s="74">
        <v>9957</v>
      </c>
    </row>
    <row r="5166" spans="1:1" x14ac:dyDescent="0.25">
      <c r="A5166" s="74">
        <v>9958</v>
      </c>
    </row>
    <row r="5167" spans="1:1" x14ac:dyDescent="0.25">
      <c r="A5167" s="74">
        <v>9959</v>
      </c>
    </row>
    <row r="5168" spans="1:1" x14ac:dyDescent="0.25">
      <c r="A5168" s="74">
        <v>9960</v>
      </c>
    </row>
    <row r="5169" spans="1:1" x14ac:dyDescent="0.25">
      <c r="A5169" s="74">
        <v>9961</v>
      </c>
    </row>
    <row r="5170" spans="1:1" x14ac:dyDescent="0.25">
      <c r="A5170" s="74">
        <v>9962</v>
      </c>
    </row>
    <row r="5171" spans="1:1" x14ac:dyDescent="0.25">
      <c r="A5171" s="74">
        <v>9963</v>
      </c>
    </row>
    <row r="5172" spans="1:1" x14ac:dyDescent="0.25">
      <c r="A5172" s="74">
        <v>9964</v>
      </c>
    </row>
    <row r="5173" spans="1:1" x14ac:dyDescent="0.25">
      <c r="A5173" s="74">
        <v>9965</v>
      </c>
    </row>
    <row r="5174" spans="1:1" x14ac:dyDescent="0.25">
      <c r="A5174" s="74">
        <v>9966</v>
      </c>
    </row>
    <row r="5175" spans="1:1" x14ac:dyDescent="0.25">
      <c r="A5175" s="74">
        <v>9967</v>
      </c>
    </row>
    <row r="5176" spans="1:1" x14ac:dyDescent="0.25">
      <c r="A5176" s="74">
        <v>9968</v>
      </c>
    </row>
    <row r="5177" spans="1:1" x14ac:dyDescent="0.25">
      <c r="A5177" s="74">
        <v>9969</v>
      </c>
    </row>
    <row r="5178" spans="1:1" x14ac:dyDescent="0.25">
      <c r="A5178" s="74">
        <v>9970</v>
      </c>
    </row>
    <row r="5179" spans="1:1" x14ac:dyDescent="0.25">
      <c r="A5179" s="74">
        <v>9971</v>
      </c>
    </row>
    <row r="5180" spans="1:1" x14ac:dyDescent="0.25">
      <c r="A5180" s="74">
        <v>9972</v>
      </c>
    </row>
    <row r="5181" spans="1:1" x14ac:dyDescent="0.25">
      <c r="A5181" s="74">
        <v>9973</v>
      </c>
    </row>
    <row r="5182" spans="1:1" x14ac:dyDescent="0.25">
      <c r="A5182" s="74">
        <v>9974</v>
      </c>
    </row>
    <row r="5183" spans="1:1" x14ac:dyDescent="0.25">
      <c r="A5183" s="74">
        <v>9975</v>
      </c>
    </row>
    <row r="5184" spans="1:1" x14ac:dyDescent="0.25">
      <c r="A5184" s="74">
        <v>9976</v>
      </c>
    </row>
    <row r="5185" spans="1:1" x14ac:dyDescent="0.25">
      <c r="A5185" s="74">
        <v>9977</v>
      </c>
    </row>
    <row r="5186" spans="1:1" x14ac:dyDescent="0.25">
      <c r="A5186" s="74">
        <v>9978</v>
      </c>
    </row>
    <row r="5187" spans="1:1" x14ac:dyDescent="0.25">
      <c r="A5187" s="74">
        <v>9979</v>
      </c>
    </row>
    <row r="5188" spans="1:1" x14ac:dyDescent="0.25">
      <c r="A5188" s="74">
        <v>9980</v>
      </c>
    </row>
    <row r="5189" spans="1:1" x14ac:dyDescent="0.25">
      <c r="A5189" s="74">
        <v>9981</v>
      </c>
    </row>
    <row r="5190" spans="1:1" x14ac:dyDescent="0.25">
      <c r="A5190" s="74">
        <v>9982</v>
      </c>
    </row>
    <row r="5191" spans="1:1" x14ac:dyDescent="0.25">
      <c r="A5191" s="74">
        <v>9983</v>
      </c>
    </row>
    <row r="5192" spans="1:1" x14ac:dyDescent="0.25">
      <c r="A5192" s="74">
        <v>9984</v>
      </c>
    </row>
    <row r="5193" spans="1:1" x14ac:dyDescent="0.25">
      <c r="A5193" s="74">
        <v>9985</v>
      </c>
    </row>
    <row r="5194" spans="1:1" x14ac:dyDescent="0.25">
      <c r="A5194" s="74">
        <v>9986</v>
      </c>
    </row>
    <row r="5195" spans="1:1" x14ac:dyDescent="0.25">
      <c r="A5195" s="74">
        <v>9987</v>
      </c>
    </row>
    <row r="5196" spans="1:1" x14ac:dyDescent="0.25">
      <c r="A5196" s="74">
        <v>9988</v>
      </c>
    </row>
    <row r="5197" spans="1:1" x14ac:dyDescent="0.25">
      <c r="A5197" s="74">
        <v>9989</v>
      </c>
    </row>
    <row r="5198" spans="1:1" x14ac:dyDescent="0.25">
      <c r="A5198" s="74">
        <v>9990</v>
      </c>
    </row>
    <row r="5199" spans="1:1" x14ac:dyDescent="0.25">
      <c r="A5199" s="74">
        <v>9991</v>
      </c>
    </row>
    <row r="5200" spans="1:1" x14ac:dyDescent="0.25">
      <c r="A5200" s="74">
        <v>9992</v>
      </c>
    </row>
    <row r="5201" spans="1:1" x14ac:dyDescent="0.25">
      <c r="A5201" s="74">
        <v>9993</v>
      </c>
    </row>
    <row r="5202" spans="1:1" x14ac:dyDescent="0.25">
      <c r="A5202" s="74">
        <v>9994</v>
      </c>
    </row>
    <row r="5203" spans="1:1" x14ac:dyDescent="0.25">
      <c r="A5203" s="74">
        <v>9995</v>
      </c>
    </row>
    <row r="5204" spans="1:1" x14ac:dyDescent="0.25">
      <c r="A5204" s="74">
        <v>9996</v>
      </c>
    </row>
    <row r="5205" spans="1:1" x14ac:dyDescent="0.25">
      <c r="A5205" s="74">
        <v>9997</v>
      </c>
    </row>
    <row r="5206" spans="1:1" x14ac:dyDescent="0.25">
      <c r="A5206" s="74">
        <v>9998</v>
      </c>
    </row>
    <row r="5207" spans="1:1" x14ac:dyDescent="0.25">
      <c r="A5207" s="74">
        <v>9999</v>
      </c>
    </row>
    <row r="5208" spans="1:1" x14ac:dyDescent="0.25">
      <c r="A5208" s="74">
        <v>10000</v>
      </c>
    </row>
    <row r="5209" spans="1:1" x14ac:dyDescent="0.25">
      <c r="A5209" s="74">
        <v>10001</v>
      </c>
    </row>
    <row r="5210" spans="1:1" x14ac:dyDescent="0.25">
      <c r="A5210" s="74">
        <v>10002</v>
      </c>
    </row>
    <row r="5211" spans="1:1" x14ac:dyDescent="0.25">
      <c r="A5211" s="74">
        <v>10003</v>
      </c>
    </row>
    <row r="5212" spans="1:1" x14ac:dyDescent="0.25">
      <c r="A5212" s="74">
        <v>10004</v>
      </c>
    </row>
    <row r="5213" spans="1:1" x14ac:dyDescent="0.25">
      <c r="A5213" s="74">
        <v>10005</v>
      </c>
    </row>
    <row r="5214" spans="1:1" x14ac:dyDescent="0.25">
      <c r="A5214" s="74">
        <v>10006</v>
      </c>
    </row>
    <row r="5215" spans="1:1" x14ac:dyDescent="0.25">
      <c r="A5215" s="74">
        <v>10007</v>
      </c>
    </row>
    <row r="5216" spans="1:1" x14ac:dyDescent="0.25">
      <c r="A5216" s="74">
        <v>10008</v>
      </c>
    </row>
    <row r="5217" spans="1:1" x14ac:dyDescent="0.25">
      <c r="A5217" s="74">
        <v>10009</v>
      </c>
    </row>
    <row r="5218" spans="1:1" x14ac:dyDescent="0.25">
      <c r="A5218" s="74">
        <v>10010</v>
      </c>
    </row>
    <row r="5219" spans="1:1" x14ac:dyDescent="0.25">
      <c r="A5219" s="74">
        <v>10011</v>
      </c>
    </row>
    <row r="5220" spans="1:1" x14ac:dyDescent="0.25">
      <c r="A5220" s="74">
        <v>10012</v>
      </c>
    </row>
    <row r="5221" spans="1:1" x14ac:dyDescent="0.25">
      <c r="A5221" s="74">
        <v>10013</v>
      </c>
    </row>
    <row r="5222" spans="1:1" x14ac:dyDescent="0.25">
      <c r="A5222" s="74">
        <v>10014</v>
      </c>
    </row>
    <row r="5223" spans="1:1" x14ac:dyDescent="0.25">
      <c r="A5223" s="74">
        <v>10015</v>
      </c>
    </row>
    <row r="5224" spans="1:1" x14ac:dyDescent="0.25">
      <c r="A5224" s="74">
        <v>10016</v>
      </c>
    </row>
    <row r="5225" spans="1:1" x14ac:dyDescent="0.25">
      <c r="A5225" s="74">
        <v>10017</v>
      </c>
    </row>
    <row r="5226" spans="1:1" x14ac:dyDescent="0.25">
      <c r="A5226" s="74">
        <v>10018</v>
      </c>
    </row>
    <row r="5227" spans="1:1" x14ac:dyDescent="0.25">
      <c r="A5227" s="74">
        <v>10019</v>
      </c>
    </row>
    <row r="5228" spans="1:1" x14ac:dyDescent="0.25">
      <c r="A5228" s="74">
        <v>10020</v>
      </c>
    </row>
    <row r="5229" spans="1:1" x14ac:dyDescent="0.25">
      <c r="A5229" s="74">
        <v>10021</v>
      </c>
    </row>
    <row r="5230" spans="1:1" x14ac:dyDescent="0.25">
      <c r="A5230" s="74">
        <v>10022</v>
      </c>
    </row>
    <row r="5231" spans="1:1" x14ac:dyDescent="0.25">
      <c r="A5231" s="74">
        <v>10023</v>
      </c>
    </row>
    <row r="5232" spans="1:1" x14ac:dyDescent="0.25">
      <c r="A5232" s="74">
        <v>10024</v>
      </c>
    </row>
    <row r="5233" spans="1:1" x14ac:dyDescent="0.25">
      <c r="A5233" s="74">
        <v>10025</v>
      </c>
    </row>
    <row r="5234" spans="1:1" x14ac:dyDescent="0.25">
      <c r="A5234" s="74">
        <v>10026</v>
      </c>
    </row>
    <row r="5235" spans="1:1" x14ac:dyDescent="0.25">
      <c r="A5235" s="74">
        <v>10027</v>
      </c>
    </row>
    <row r="5236" spans="1:1" x14ac:dyDescent="0.25">
      <c r="A5236" s="74">
        <v>10028</v>
      </c>
    </row>
    <row r="5237" spans="1:1" x14ac:dyDescent="0.25">
      <c r="A5237" s="74">
        <v>10029</v>
      </c>
    </row>
    <row r="5238" spans="1:1" x14ac:dyDescent="0.25">
      <c r="A5238" s="74">
        <v>10030</v>
      </c>
    </row>
    <row r="5239" spans="1:1" x14ac:dyDescent="0.25">
      <c r="A5239" s="74">
        <v>10031</v>
      </c>
    </row>
    <row r="5240" spans="1:1" x14ac:dyDescent="0.25">
      <c r="A5240" s="74">
        <v>10032</v>
      </c>
    </row>
    <row r="5241" spans="1:1" x14ac:dyDescent="0.25">
      <c r="A5241" s="74">
        <v>10033</v>
      </c>
    </row>
    <row r="5242" spans="1:1" x14ac:dyDescent="0.25">
      <c r="A5242" s="74">
        <v>10034</v>
      </c>
    </row>
    <row r="5243" spans="1:1" x14ac:dyDescent="0.25">
      <c r="A5243" s="74">
        <v>10035</v>
      </c>
    </row>
    <row r="5244" spans="1:1" x14ac:dyDescent="0.25">
      <c r="A5244" s="74">
        <v>10036</v>
      </c>
    </row>
    <row r="5245" spans="1:1" x14ac:dyDescent="0.25">
      <c r="A5245" s="74">
        <v>10037</v>
      </c>
    </row>
    <row r="5246" spans="1:1" x14ac:dyDescent="0.25">
      <c r="A5246" s="74">
        <v>10038</v>
      </c>
    </row>
    <row r="5247" spans="1:1" x14ac:dyDescent="0.25">
      <c r="A5247" s="74">
        <v>10039</v>
      </c>
    </row>
    <row r="5248" spans="1:1" x14ac:dyDescent="0.25">
      <c r="A5248" s="74">
        <v>10040</v>
      </c>
    </row>
    <row r="5249" spans="1:1" x14ac:dyDescent="0.25">
      <c r="A5249" s="74">
        <v>10041</v>
      </c>
    </row>
    <row r="5250" spans="1:1" x14ac:dyDescent="0.25">
      <c r="A5250" s="74">
        <v>10042</v>
      </c>
    </row>
    <row r="5251" spans="1:1" x14ac:dyDescent="0.25">
      <c r="A5251" s="74">
        <v>10043</v>
      </c>
    </row>
    <row r="5252" spans="1:1" x14ac:dyDescent="0.25">
      <c r="A5252" s="74">
        <v>10044</v>
      </c>
    </row>
    <row r="5253" spans="1:1" x14ac:dyDescent="0.25">
      <c r="A5253" s="74">
        <v>10045</v>
      </c>
    </row>
    <row r="5254" spans="1:1" x14ac:dyDescent="0.25">
      <c r="A5254" s="74">
        <v>10046</v>
      </c>
    </row>
    <row r="5255" spans="1:1" x14ac:dyDescent="0.25">
      <c r="A5255" s="74">
        <v>10047</v>
      </c>
    </row>
    <row r="5256" spans="1:1" x14ac:dyDescent="0.25">
      <c r="A5256" s="74">
        <v>10048</v>
      </c>
    </row>
    <row r="5257" spans="1:1" x14ac:dyDescent="0.25">
      <c r="A5257" s="74">
        <v>10049</v>
      </c>
    </row>
    <row r="5258" spans="1:1" x14ac:dyDescent="0.25">
      <c r="A5258" s="74">
        <v>10050</v>
      </c>
    </row>
    <row r="5259" spans="1:1" x14ac:dyDescent="0.25">
      <c r="A5259" s="74">
        <v>10051</v>
      </c>
    </row>
    <row r="5260" spans="1:1" x14ac:dyDescent="0.25">
      <c r="A5260" s="74">
        <v>10052</v>
      </c>
    </row>
    <row r="5261" spans="1:1" x14ac:dyDescent="0.25">
      <c r="A5261" s="74">
        <v>10053</v>
      </c>
    </row>
    <row r="5262" spans="1:1" x14ac:dyDescent="0.25">
      <c r="A5262" s="74">
        <v>10054</v>
      </c>
    </row>
    <row r="5263" spans="1:1" x14ac:dyDescent="0.25">
      <c r="A5263" s="74">
        <v>10055</v>
      </c>
    </row>
    <row r="5264" spans="1:1" x14ac:dyDescent="0.25">
      <c r="A5264" s="74">
        <v>10056</v>
      </c>
    </row>
    <row r="5265" spans="1:1" x14ac:dyDescent="0.25">
      <c r="A5265" s="74">
        <v>10057</v>
      </c>
    </row>
    <row r="5266" spans="1:1" x14ac:dyDescent="0.25">
      <c r="A5266" s="74">
        <v>10058</v>
      </c>
    </row>
    <row r="5267" spans="1:1" x14ac:dyDescent="0.25">
      <c r="A5267" s="74">
        <v>10059</v>
      </c>
    </row>
    <row r="5268" spans="1:1" x14ac:dyDescent="0.25">
      <c r="A5268" s="74">
        <v>10060</v>
      </c>
    </row>
    <row r="5269" spans="1:1" x14ac:dyDescent="0.25">
      <c r="A5269" s="74">
        <v>10061</v>
      </c>
    </row>
    <row r="5270" spans="1:1" x14ac:dyDescent="0.25">
      <c r="A5270" s="74">
        <v>10062</v>
      </c>
    </row>
    <row r="5271" spans="1:1" x14ac:dyDescent="0.25">
      <c r="A5271" s="74">
        <v>10063</v>
      </c>
    </row>
    <row r="5272" spans="1:1" x14ac:dyDescent="0.25">
      <c r="A5272" s="74">
        <v>10064</v>
      </c>
    </row>
    <row r="5273" spans="1:1" x14ac:dyDescent="0.25">
      <c r="A5273" s="74">
        <v>10065</v>
      </c>
    </row>
    <row r="5274" spans="1:1" x14ac:dyDescent="0.25">
      <c r="A5274" s="74">
        <v>10066</v>
      </c>
    </row>
    <row r="5275" spans="1:1" x14ac:dyDescent="0.25">
      <c r="A5275" s="74">
        <v>10067</v>
      </c>
    </row>
    <row r="5276" spans="1:1" x14ac:dyDescent="0.25">
      <c r="A5276" s="74">
        <v>10068</v>
      </c>
    </row>
    <row r="5277" spans="1:1" x14ac:dyDescent="0.25">
      <c r="A5277" s="74">
        <v>10069</v>
      </c>
    </row>
    <row r="5278" spans="1:1" x14ac:dyDescent="0.25">
      <c r="A5278" s="74">
        <v>10070</v>
      </c>
    </row>
    <row r="5279" spans="1:1" x14ac:dyDescent="0.25">
      <c r="A5279" s="74">
        <v>10071</v>
      </c>
    </row>
    <row r="5280" spans="1:1" x14ac:dyDescent="0.25">
      <c r="A5280" s="74">
        <v>10072</v>
      </c>
    </row>
    <row r="5281" spans="1:1" x14ac:dyDescent="0.25">
      <c r="A5281" s="74">
        <v>10073</v>
      </c>
    </row>
    <row r="5282" spans="1:1" x14ac:dyDescent="0.25">
      <c r="A5282" s="74">
        <v>10074</v>
      </c>
    </row>
    <row r="5283" spans="1:1" x14ac:dyDescent="0.25">
      <c r="A5283" s="74">
        <v>10075</v>
      </c>
    </row>
    <row r="5284" spans="1:1" x14ac:dyDescent="0.25">
      <c r="A5284" s="74">
        <v>10076</v>
      </c>
    </row>
    <row r="5285" spans="1:1" x14ac:dyDescent="0.25">
      <c r="A5285" s="74">
        <v>10077</v>
      </c>
    </row>
    <row r="5286" spans="1:1" x14ac:dyDescent="0.25">
      <c r="A5286" s="74">
        <v>10078</v>
      </c>
    </row>
    <row r="5287" spans="1:1" x14ac:dyDescent="0.25">
      <c r="A5287" s="74">
        <v>10079</v>
      </c>
    </row>
    <row r="5288" spans="1:1" x14ac:dyDescent="0.25">
      <c r="A5288" s="74">
        <v>10080</v>
      </c>
    </row>
    <row r="5289" spans="1:1" x14ac:dyDescent="0.25">
      <c r="A5289" s="74">
        <v>10081</v>
      </c>
    </row>
    <row r="5290" spans="1:1" x14ac:dyDescent="0.25">
      <c r="A5290" s="74">
        <v>10082</v>
      </c>
    </row>
    <row r="5291" spans="1:1" x14ac:dyDescent="0.25">
      <c r="A5291" s="74">
        <v>10083</v>
      </c>
    </row>
    <row r="5292" spans="1:1" x14ac:dyDescent="0.25">
      <c r="A5292" s="74">
        <v>10084</v>
      </c>
    </row>
    <row r="5293" spans="1:1" x14ac:dyDescent="0.25">
      <c r="A5293" s="74">
        <v>10085</v>
      </c>
    </row>
    <row r="5294" spans="1:1" x14ac:dyDescent="0.25">
      <c r="A5294" s="74">
        <v>10086</v>
      </c>
    </row>
    <row r="5295" spans="1:1" x14ac:dyDescent="0.25">
      <c r="A5295" s="74">
        <v>10087</v>
      </c>
    </row>
    <row r="5296" spans="1:1" x14ac:dyDescent="0.25">
      <c r="A5296" s="74">
        <v>10088</v>
      </c>
    </row>
    <row r="5297" spans="1:1" x14ac:dyDescent="0.25">
      <c r="A5297" s="74">
        <v>10089</v>
      </c>
    </row>
    <row r="5298" spans="1:1" x14ac:dyDescent="0.25">
      <c r="A5298" s="74">
        <v>10090</v>
      </c>
    </row>
    <row r="5299" spans="1:1" x14ac:dyDescent="0.25">
      <c r="A5299" s="74">
        <v>10091</v>
      </c>
    </row>
    <row r="5300" spans="1:1" x14ac:dyDescent="0.25">
      <c r="A5300" s="74">
        <v>10092</v>
      </c>
    </row>
    <row r="5301" spans="1:1" x14ac:dyDescent="0.25">
      <c r="A5301" s="74">
        <v>10093</v>
      </c>
    </row>
    <row r="5302" spans="1:1" x14ac:dyDescent="0.25">
      <c r="A5302" s="74">
        <v>10094</v>
      </c>
    </row>
    <row r="5303" spans="1:1" x14ac:dyDescent="0.25">
      <c r="A5303" s="74">
        <v>10095</v>
      </c>
    </row>
    <row r="5304" spans="1:1" x14ac:dyDescent="0.25">
      <c r="A5304" s="74">
        <v>10096</v>
      </c>
    </row>
    <row r="5305" spans="1:1" x14ac:dyDescent="0.25">
      <c r="A5305" s="74">
        <v>10097</v>
      </c>
    </row>
    <row r="5306" spans="1:1" x14ac:dyDescent="0.25">
      <c r="A5306" s="74">
        <v>10098</v>
      </c>
    </row>
    <row r="5307" spans="1:1" x14ac:dyDescent="0.25">
      <c r="A5307" s="74">
        <v>10099</v>
      </c>
    </row>
    <row r="5308" spans="1:1" x14ac:dyDescent="0.25">
      <c r="A5308" s="74">
        <v>10100</v>
      </c>
    </row>
    <row r="5309" spans="1:1" x14ac:dyDescent="0.25">
      <c r="A5309" s="74">
        <v>10101</v>
      </c>
    </row>
    <row r="5310" spans="1:1" x14ac:dyDescent="0.25">
      <c r="A5310" s="74">
        <v>10102</v>
      </c>
    </row>
    <row r="5311" spans="1:1" x14ac:dyDescent="0.25">
      <c r="A5311" s="74">
        <v>10103</v>
      </c>
    </row>
    <row r="5312" spans="1:1" x14ac:dyDescent="0.25">
      <c r="A5312" s="74">
        <v>10104</v>
      </c>
    </row>
    <row r="5313" spans="1:1" x14ac:dyDescent="0.25">
      <c r="A5313" s="74">
        <v>10105</v>
      </c>
    </row>
    <row r="5314" spans="1:1" x14ac:dyDescent="0.25">
      <c r="A5314" s="74">
        <v>10106</v>
      </c>
    </row>
    <row r="5315" spans="1:1" x14ac:dyDescent="0.25">
      <c r="A5315" s="74">
        <v>10107</v>
      </c>
    </row>
    <row r="5316" spans="1:1" x14ac:dyDescent="0.25">
      <c r="A5316" s="74">
        <v>10108</v>
      </c>
    </row>
    <row r="5317" spans="1:1" x14ac:dyDescent="0.25">
      <c r="A5317" s="74">
        <v>10109</v>
      </c>
    </row>
    <row r="5318" spans="1:1" x14ac:dyDescent="0.25">
      <c r="A5318" s="74">
        <v>10110</v>
      </c>
    </row>
    <row r="5319" spans="1:1" x14ac:dyDescent="0.25">
      <c r="A5319" s="74">
        <v>10111</v>
      </c>
    </row>
    <row r="5320" spans="1:1" x14ac:dyDescent="0.25">
      <c r="A5320" s="74">
        <v>10112</v>
      </c>
    </row>
    <row r="5321" spans="1:1" x14ac:dyDescent="0.25">
      <c r="A5321" s="74">
        <v>10113</v>
      </c>
    </row>
    <row r="5322" spans="1:1" x14ac:dyDescent="0.25">
      <c r="A5322" s="74">
        <v>10114</v>
      </c>
    </row>
    <row r="5323" spans="1:1" x14ac:dyDescent="0.25">
      <c r="A5323" s="74">
        <v>10115</v>
      </c>
    </row>
    <row r="5324" spans="1:1" x14ac:dyDescent="0.25">
      <c r="A5324" s="74">
        <v>10116</v>
      </c>
    </row>
    <row r="5325" spans="1:1" x14ac:dyDescent="0.25">
      <c r="A5325" s="74">
        <v>10117</v>
      </c>
    </row>
    <row r="5326" spans="1:1" x14ac:dyDescent="0.25">
      <c r="A5326" s="74">
        <v>10118</v>
      </c>
    </row>
    <row r="5327" spans="1:1" x14ac:dyDescent="0.25">
      <c r="A5327" s="74">
        <v>10119</v>
      </c>
    </row>
    <row r="5328" spans="1:1" x14ac:dyDescent="0.25">
      <c r="A5328" s="74">
        <v>10120</v>
      </c>
    </row>
    <row r="5329" spans="1:1" x14ac:dyDescent="0.25">
      <c r="A5329" s="74">
        <v>10121</v>
      </c>
    </row>
    <row r="5330" spans="1:1" x14ac:dyDescent="0.25">
      <c r="A5330" s="74">
        <v>10122</v>
      </c>
    </row>
    <row r="5331" spans="1:1" x14ac:dyDescent="0.25">
      <c r="A5331" s="74">
        <v>10123</v>
      </c>
    </row>
    <row r="5332" spans="1:1" x14ac:dyDescent="0.25">
      <c r="A5332" s="74">
        <v>10124</v>
      </c>
    </row>
    <row r="5333" spans="1:1" x14ac:dyDescent="0.25">
      <c r="A5333" s="74">
        <v>10125</v>
      </c>
    </row>
    <row r="5334" spans="1:1" x14ac:dyDescent="0.25">
      <c r="A5334" s="74">
        <v>10126</v>
      </c>
    </row>
    <row r="5335" spans="1:1" x14ac:dyDescent="0.25">
      <c r="A5335" s="74">
        <v>10127</v>
      </c>
    </row>
    <row r="5336" spans="1:1" x14ac:dyDescent="0.25">
      <c r="A5336" s="74">
        <v>10128</v>
      </c>
    </row>
    <row r="5337" spans="1:1" x14ac:dyDescent="0.25">
      <c r="A5337" s="74">
        <v>10129</v>
      </c>
    </row>
    <row r="5338" spans="1:1" x14ac:dyDescent="0.25">
      <c r="A5338" s="74">
        <v>10130</v>
      </c>
    </row>
    <row r="5339" spans="1:1" x14ac:dyDescent="0.25">
      <c r="A5339" s="74">
        <v>10131</v>
      </c>
    </row>
    <row r="5340" spans="1:1" x14ac:dyDescent="0.25">
      <c r="A5340" s="74">
        <v>10132</v>
      </c>
    </row>
    <row r="5341" spans="1:1" x14ac:dyDescent="0.25">
      <c r="A5341" s="74">
        <v>10133</v>
      </c>
    </row>
    <row r="5342" spans="1:1" x14ac:dyDescent="0.25">
      <c r="A5342" s="74">
        <v>10134</v>
      </c>
    </row>
    <row r="5343" spans="1:1" x14ac:dyDescent="0.25">
      <c r="A5343" s="74">
        <v>10135</v>
      </c>
    </row>
    <row r="5344" spans="1:1" x14ac:dyDescent="0.25">
      <c r="A5344" s="74">
        <v>10136</v>
      </c>
    </row>
    <row r="5345" spans="1:1" x14ac:dyDescent="0.25">
      <c r="A5345" s="74">
        <v>10137</v>
      </c>
    </row>
    <row r="5346" spans="1:1" x14ac:dyDescent="0.25">
      <c r="A5346" s="74">
        <v>10138</v>
      </c>
    </row>
    <row r="5347" spans="1:1" x14ac:dyDescent="0.25">
      <c r="A5347" s="74">
        <v>10139</v>
      </c>
    </row>
    <row r="5348" spans="1:1" x14ac:dyDescent="0.25">
      <c r="A5348" s="74">
        <v>10140</v>
      </c>
    </row>
    <row r="5349" spans="1:1" x14ac:dyDescent="0.25">
      <c r="A5349" s="74">
        <v>10141</v>
      </c>
    </row>
    <row r="5350" spans="1:1" x14ac:dyDescent="0.25">
      <c r="A5350" s="74">
        <v>10142</v>
      </c>
    </row>
    <row r="5351" spans="1:1" x14ac:dyDescent="0.25">
      <c r="A5351" s="74">
        <v>10143</v>
      </c>
    </row>
    <row r="5352" spans="1:1" x14ac:dyDescent="0.25">
      <c r="A5352" s="74">
        <v>10144</v>
      </c>
    </row>
    <row r="5353" spans="1:1" x14ac:dyDescent="0.25">
      <c r="A5353" s="74">
        <v>10145</v>
      </c>
    </row>
    <row r="5354" spans="1:1" x14ac:dyDescent="0.25">
      <c r="A5354" s="74">
        <v>10146</v>
      </c>
    </row>
    <row r="5355" spans="1:1" x14ac:dyDescent="0.25">
      <c r="A5355" s="74">
        <v>10147</v>
      </c>
    </row>
    <row r="5356" spans="1:1" x14ac:dyDescent="0.25">
      <c r="A5356" s="74">
        <v>10148</v>
      </c>
    </row>
    <row r="5357" spans="1:1" x14ac:dyDescent="0.25">
      <c r="A5357" s="74">
        <v>10149</v>
      </c>
    </row>
    <row r="5358" spans="1:1" x14ac:dyDescent="0.25">
      <c r="A5358" s="74">
        <v>10150</v>
      </c>
    </row>
    <row r="5359" spans="1:1" x14ac:dyDescent="0.25">
      <c r="A5359" s="74">
        <v>10151</v>
      </c>
    </row>
    <row r="5360" spans="1:1" x14ac:dyDescent="0.25">
      <c r="A5360" s="74">
        <v>10152</v>
      </c>
    </row>
    <row r="5361" spans="1:1" x14ac:dyDescent="0.25">
      <c r="A5361" s="74">
        <v>10153</v>
      </c>
    </row>
    <row r="5362" spans="1:1" x14ac:dyDescent="0.25">
      <c r="A5362" s="74">
        <v>10154</v>
      </c>
    </row>
    <row r="5363" spans="1:1" x14ac:dyDescent="0.25">
      <c r="A5363" s="74">
        <v>10155</v>
      </c>
    </row>
    <row r="5364" spans="1:1" x14ac:dyDescent="0.25">
      <c r="A5364" s="74">
        <v>10156</v>
      </c>
    </row>
    <row r="5365" spans="1:1" x14ac:dyDescent="0.25">
      <c r="A5365" s="74">
        <v>10157</v>
      </c>
    </row>
    <row r="5366" spans="1:1" x14ac:dyDescent="0.25">
      <c r="A5366" s="74">
        <v>10158</v>
      </c>
    </row>
    <row r="5367" spans="1:1" x14ac:dyDescent="0.25">
      <c r="A5367" s="74">
        <v>10159</v>
      </c>
    </row>
    <row r="5368" spans="1:1" x14ac:dyDescent="0.25">
      <c r="A5368" s="74">
        <v>10160</v>
      </c>
    </row>
    <row r="5369" spans="1:1" x14ac:dyDescent="0.25">
      <c r="A5369" s="74">
        <v>10161</v>
      </c>
    </row>
    <row r="5370" spans="1:1" x14ac:dyDescent="0.25">
      <c r="A5370" s="74">
        <v>10162</v>
      </c>
    </row>
    <row r="5371" spans="1:1" x14ac:dyDescent="0.25">
      <c r="A5371" s="74">
        <v>10163</v>
      </c>
    </row>
    <row r="5372" spans="1:1" x14ac:dyDescent="0.25">
      <c r="A5372" s="74">
        <v>10164</v>
      </c>
    </row>
    <row r="5373" spans="1:1" x14ac:dyDescent="0.25">
      <c r="A5373" s="74">
        <v>10165</v>
      </c>
    </row>
    <row r="5374" spans="1:1" x14ac:dyDescent="0.25">
      <c r="A5374" s="74">
        <v>10166</v>
      </c>
    </row>
    <row r="5375" spans="1:1" x14ac:dyDescent="0.25">
      <c r="A5375" s="74">
        <v>10167</v>
      </c>
    </row>
    <row r="5376" spans="1:1" x14ac:dyDescent="0.25">
      <c r="A5376" s="74">
        <v>10168</v>
      </c>
    </row>
    <row r="5377" spans="1:1" x14ac:dyDescent="0.25">
      <c r="A5377" s="74">
        <v>10169</v>
      </c>
    </row>
    <row r="5378" spans="1:1" x14ac:dyDescent="0.25">
      <c r="A5378" s="74">
        <v>10170</v>
      </c>
    </row>
    <row r="5379" spans="1:1" x14ac:dyDescent="0.25">
      <c r="A5379" s="74">
        <v>10171</v>
      </c>
    </row>
    <row r="5380" spans="1:1" x14ac:dyDescent="0.25">
      <c r="A5380" s="74">
        <v>10172</v>
      </c>
    </row>
    <row r="5381" spans="1:1" x14ac:dyDescent="0.25">
      <c r="A5381" s="74">
        <v>10173</v>
      </c>
    </row>
    <row r="5382" spans="1:1" x14ac:dyDescent="0.25">
      <c r="A5382" s="74">
        <v>10174</v>
      </c>
    </row>
    <row r="5383" spans="1:1" x14ac:dyDescent="0.25">
      <c r="A5383" s="74">
        <v>10175</v>
      </c>
    </row>
    <row r="5384" spans="1:1" x14ac:dyDescent="0.25">
      <c r="A5384" s="74">
        <v>10176</v>
      </c>
    </row>
    <row r="5385" spans="1:1" x14ac:dyDescent="0.25">
      <c r="A5385" s="74">
        <v>10177</v>
      </c>
    </row>
    <row r="5386" spans="1:1" x14ac:dyDescent="0.25">
      <c r="A5386" s="74">
        <v>10178</v>
      </c>
    </row>
    <row r="5387" spans="1:1" x14ac:dyDescent="0.25">
      <c r="A5387" s="74">
        <v>10179</v>
      </c>
    </row>
    <row r="5388" spans="1:1" x14ac:dyDescent="0.25">
      <c r="A5388" s="74">
        <v>10180</v>
      </c>
    </row>
    <row r="5389" spans="1:1" x14ac:dyDescent="0.25">
      <c r="A5389" s="74">
        <v>10181</v>
      </c>
    </row>
    <row r="5390" spans="1:1" x14ac:dyDescent="0.25">
      <c r="A5390" s="74">
        <v>10182</v>
      </c>
    </row>
    <row r="5391" spans="1:1" x14ac:dyDescent="0.25">
      <c r="A5391" s="74">
        <v>10183</v>
      </c>
    </row>
    <row r="5392" spans="1:1" x14ac:dyDescent="0.25">
      <c r="A5392" s="74">
        <v>10184</v>
      </c>
    </row>
    <row r="5393" spans="1:1" x14ac:dyDescent="0.25">
      <c r="A5393" s="74">
        <v>10185</v>
      </c>
    </row>
    <row r="5394" spans="1:1" x14ac:dyDescent="0.25">
      <c r="A5394" s="74">
        <v>10186</v>
      </c>
    </row>
    <row r="5395" spans="1:1" x14ac:dyDescent="0.25">
      <c r="A5395" s="74">
        <v>10187</v>
      </c>
    </row>
    <row r="5396" spans="1:1" x14ac:dyDescent="0.25">
      <c r="A5396" s="74">
        <v>10188</v>
      </c>
    </row>
    <row r="5397" spans="1:1" x14ac:dyDescent="0.25">
      <c r="A5397" s="74">
        <v>10189</v>
      </c>
    </row>
    <row r="5398" spans="1:1" x14ac:dyDescent="0.25">
      <c r="A5398" s="74">
        <v>10190</v>
      </c>
    </row>
    <row r="5399" spans="1:1" x14ac:dyDescent="0.25">
      <c r="A5399" s="74">
        <v>10191</v>
      </c>
    </row>
    <row r="5400" spans="1:1" x14ac:dyDescent="0.25">
      <c r="A5400" s="74">
        <v>10192</v>
      </c>
    </row>
    <row r="5401" spans="1:1" x14ac:dyDescent="0.25">
      <c r="A5401" s="74">
        <v>10193</v>
      </c>
    </row>
    <row r="5402" spans="1:1" x14ac:dyDescent="0.25">
      <c r="A5402" s="74">
        <v>10194</v>
      </c>
    </row>
    <row r="5403" spans="1:1" x14ac:dyDescent="0.25">
      <c r="A5403" s="74">
        <v>10195</v>
      </c>
    </row>
    <row r="5404" spans="1:1" x14ac:dyDescent="0.25">
      <c r="A5404" s="74">
        <v>10196</v>
      </c>
    </row>
    <row r="5405" spans="1:1" x14ac:dyDescent="0.25">
      <c r="A5405" s="74">
        <v>10197</v>
      </c>
    </row>
    <row r="5406" spans="1:1" x14ac:dyDescent="0.25">
      <c r="A5406" s="74">
        <v>10198</v>
      </c>
    </row>
    <row r="5407" spans="1:1" x14ac:dyDescent="0.25">
      <c r="A5407" s="74">
        <v>10199</v>
      </c>
    </row>
    <row r="5408" spans="1:1" x14ac:dyDescent="0.25">
      <c r="A5408" s="74">
        <v>10200</v>
      </c>
    </row>
    <row r="5409" spans="1:1" x14ac:dyDescent="0.25">
      <c r="A5409" s="74">
        <v>10201</v>
      </c>
    </row>
    <row r="5410" spans="1:1" x14ac:dyDescent="0.25">
      <c r="A5410" s="74">
        <v>10202</v>
      </c>
    </row>
    <row r="5411" spans="1:1" x14ac:dyDescent="0.25">
      <c r="A5411" s="74">
        <v>10203</v>
      </c>
    </row>
    <row r="5412" spans="1:1" x14ac:dyDescent="0.25">
      <c r="A5412" s="74">
        <v>10204</v>
      </c>
    </row>
    <row r="5413" spans="1:1" x14ac:dyDescent="0.25">
      <c r="A5413" s="74">
        <v>10205</v>
      </c>
    </row>
    <row r="5414" spans="1:1" x14ac:dyDescent="0.25">
      <c r="A5414" s="74">
        <v>10206</v>
      </c>
    </row>
    <row r="5415" spans="1:1" x14ac:dyDescent="0.25">
      <c r="A5415" s="74">
        <v>10207</v>
      </c>
    </row>
    <row r="5416" spans="1:1" x14ac:dyDescent="0.25">
      <c r="A5416" s="74">
        <v>10208</v>
      </c>
    </row>
    <row r="5417" spans="1:1" x14ac:dyDescent="0.25">
      <c r="A5417" s="74">
        <v>10209</v>
      </c>
    </row>
    <row r="5418" spans="1:1" x14ac:dyDescent="0.25">
      <c r="A5418" s="74">
        <v>10210</v>
      </c>
    </row>
    <row r="5419" spans="1:1" x14ac:dyDescent="0.25">
      <c r="A5419" s="74">
        <v>10211</v>
      </c>
    </row>
    <row r="5420" spans="1:1" x14ac:dyDescent="0.25">
      <c r="A5420" s="74">
        <v>10212</v>
      </c>
    </row>
    <row r="5421" spans="1:1" x14ac:dyDescent="0.25">
      <c r="A5421" s="74">
        <v>10213</v>
      </c>
    </row>
    <row r="5422" spans="1:1" x14ac:dyDescent="0.25">
      <c r="A5422" s="74">
        <v>10214</v>
      </c>
    </row>
    <row r="5423" spans="1:1" x14ac:dyDescent="0.25">
      <c r="A5423" s="74">
        <v>10215</v>
      </c>
    </row>
    <row r="5424" spans="1:1" x14ac:dyDescent="0.25">
      <c r="A5424" s="74">
        <v>10216</v>
      </c>
    </row>
    <row r="5425" spans="1:1" x14ac:dyDescent="0.25">
      <c r="A5425" s="74">
        <v>10217</v>
      </c>
    </row>
    <row r="5426" spans="1:1" x14ac:dyDescent="0.25">
      <c r="A5426" s="74">
        <v>10218</v>
      </c>
    </row>
    <row r="5427" spans="1:1" x14ac:dyDescent="0.25">
      <c r="A5427" s="74">
        <v>10219</v>
      </c>
    </row>
    <row r="5428" spans="1:1" x14ac:dyDescent="0.25">
      <c r="A5428" s="74">
        <v>10220</v>
      </c>
    </row>
    <row r="5429" spans="1:1" x14ac:dyDescent="0.25">
      <c r="A5429" s="74">
        <v>10221</v>
      </c>
    </row>
    <row r="5430" spans="1:1" x14ac:dyDescent="0.25">
      <c r="A5430" s="74">
        <v>10222</v>
      </c>
    </row>
    <row r="5431" spans="1:1" x14ac:dyDescent="0.25">
      <c r="A5431" s="74">
        <v>10223</v>
      </c>
    </row>
    <row r="5432" spans="1:1" x14ac:dyDescent="0.25">
      <c r="A5432" s="74">
        <v>10224</v>
      </c>
    </row>
    <row r="5433" spans="1:1" x14ac:dyDescent="0.25">
      <c r="A5433" s="74">
        <v>10225</v>
      </c>
    </row>
    <row r="5434" spans="1:1" x14ac:dyDescent="0.25">
      <c r="A5434" s="74">
        <v>10226</v>
      </c>
    </row>
    <row r="5435" spans="1:1" x14ac:dyDescent="0.25">
      <c r="A5435" s="74">
        <v>10227</v>
      </c>
    </row>
    <row r="5436" spans="1:1" x14ac:dyDescent="0.25">
      <c r="A5436" s="74">
        <v>10228</v>
      </c>
    </row>
    <row r="5437" spans="1:1" x14ac:dyDescent="0.25">
      <c r="A5437" s="74">
        <v>10229</v>
      </c>
    </row>
    <row r="5438" spans="1:1" x14ac:dyDescent="0.25">
      <c r="A5438" s="74">
        <v>10230</v>
      </c>
    </row>
    <row r="5439" spans="1:1" x14ac:dyDescent="0.25">
      <c r="A5439" s="74">
        <v>10231</v>
      </c>
    </row>
    <row r="5440" spans="1:1" x14ac:dyDescent="0.25">
      <c r="A5440" s="74">
        <v>10232</v>
      </c>
    </row>
    <row r="5441" spans="1:1" x14ac:dyDescent="0.25">
      <c r="A5441" s="74">
        <v>10233</v>
      </c>
    </row>
    <row r="5442" spans="1:1" x14ac:dyDescent="0.25">
      <c r="A5442" s="74">
        <v>10234</v>
      </c>
    </row>
    <row r="5443" spans="1:1" x14ac:dyDescent="0.25">
      <c r="A5443" s="74">
        <v>10235</v>
      </c>
    </row>
    <row r="5444" spans="1:1" x14ac:dyDescent="0.25">
      <c r="A5444" s="74">
        <v>10236</v>
      </c>
    </row>
    <row r="5445" spans="1:1" x14ac:dyDescent="0.25">
      <c r="A5445" s="74">
        <v>10237</v>
      </c>
    </row>
    <row r="5446" spans="1:1" x14ac:dyDescent="0.25">
      <c r="A5446" s="74">
        <v>10238</v>
      </c>
    </row>
    <row r="5447" spans="1:1" x14ac:dyDescent="0.25">
      <c r="A5447" s="74">
        <v>10239</v>
      </c>
    </row>
    <row r="5448" spans="1:1" x14ac:dyDescent="0.25">
      <c r="A5448" s="74">
        <v>10240</v>
      </c>
    </row>
    <row r="5449" spans="1:1" x14ac:dyDescent="0.25">
      <c r="A5449" s="74">
        <v>10241</v>
      </c>
    </row>
    <row r="5450" spans="1:1" x14ac:dyDescent="0.25">
      <c r="A5450" s="74">
        <v>10242</v>
      </c>
    </row>
    <row r="5451" spans="1:1" x14ac:dyDescent="0.25">
      <c r="A5451" s="74">
        <v>10243</v>
      </c>
    </row>
    <row r="5452" spans="1:1" x14ac:dyDescent="0.25">
      <c r="A5452" s="74">
        <v>10244</v>
      </c>
    </row>
    <row r="5453" spans="1:1" x14ac:dyDescent="0.25">
      <c r="A5453" s="74">
        <v>10245</v>
      </c>
    </row>
    <row r="5454" spans="1:1" x14ac:dyDescent="0.25">
      <c r="A5454" s="74">
        <v>10246</v>
      </c>
    </row>
    <row r="5455" spans="1:1" x14ac:dyDescent="0.25">
      <c r="A5455" s="74">
        <v>10247</v>
      </c>
    </row>
    <row r="5456" spans="1:1" x14ac:dyDescent="0.25">
      <c r="A5456" s="74">
        <v>10248</v>
      </c>
    </row>
    <row r="5457" spans="1:1" x14ac:dyDescent="0.25">
      <c r="A5457" s="74">
        <v>10249</v>
      </c>
    </row>
    <row r="5458" spans="1:1" x14ac:dyDescent="0.25">
      <c r="A5458" s="74">
        <v>10250</v>
      </c>
    </row>
    <row r="5459" spans="1:1" x14ac:dyDescent="0.25">
      <c r="A5459" s="74">
        <v>10251</v>
      </c>
    </row>
    <row r="5460" spans="1:1" x14ac:dyDescent="0.25">
      <c r="A5460" s="74">
        <v>10252</v>
      </c>
    </row>
    <row r="5461" spans="1:1" x14ac:dyDescent="0.25">
      <c r="A5461" s="74">
        <v>10253</v>
      </c>
    </row>
    <row r="5462" spans="1:1" x14ac:dyDescent="0.25">
      <c r="A5462" s="74">
        <v>10254</v>
      </c>
    </row>
    <row r="5463" spans="1:1" x14ac:dyDescent="0.25">
      <c r="A5463" s="74">
        <v>10255</v>
      </c>
    </row>
    <row r="5464" spans="1:1" x14ac:dyDescent="0.25">
      <c r="A5464" s="74">
        <v>10256</v>
      </c>
    </row>
    <row r="5465" spans="1:1" x14ac:dyDescent="0.25">
      <c r="A5465" s="74">
        <v>10257</v>
      </c>
    </row>
    <row r="5466" spans="1:1" x14ac:dyDescent="0.25">
      <c r="A5466" s="74">
        <v>10258</v>
      </c>
    </row>
    <row r="5467" spans="1:1" x14ac:dyDescent="0.25">
      <c r="A5467" s="74">
        <v>10259</v>
      </c>
    </row>
    <row r="5468" spans="1:1" x14ac:dyDescent="0.25">
      <c r="A5468" s="74">
        <v>10260</v>
      </c>
    </row>
    <row r="5469" spans="1:1" x14ac:dyDescent="0.25">
      <c r="A5469" s="74">
        <v>10261</v>
      </c>
    </row>
    <row r="5470" spans="1:1" x14ac:dyDescent="0.25">
      <c r="A5470" s="74">
        <v>10262</v>
      </c>
    </row>
    <row r="5471" spans="1:1" x14ac:dyDescent="0.25">
      <c r="A5471" s="74">
        <v>10263</v>
      </c>
    </row>
    <row r="5472" spans="1:1" x14ac:dyDescent="0.25">
      <c r="A5472" s="74">
        <v>10264</v>
      </c>
    </row>
    <row r="5473" spans="1:1" x14ac:dyDescent="0.25">
      <c r="A5473" s="74">
        <v>10265</v>
      </c>
    </row>
    <row r="5474" spans="1:1" x14ac:dyDescent="0.25">
      <c r="A5474" s="74">
        <v>10266</v>
      </c>
    </row>
    <row r="5475" spans="1:1" x14ac:dyDescent="0.25">
      <c r="A5475" s="74">
        <v>10267</v>
      </c>
    </row>
    <row r="5476" spans="1:1" x14ac:dyDescent="0.25">
      <c r="A5476" s="74">
        <v>10268</v>
      </c>
    </row>
    <row r="5477" spans="1:1" x14ac:dyDescent="0.25">
      <c r="A5477" s="74">
        <v>10269</v>
      </c>
    </row>
    <row r="5478" spans="1:1" x14ac:dyDescent="0.25">
      <c r="A5478" s="74">
        <v>10270</v>
      </c>
    </row>
    <row r="5479" spans="1:1" x14ac:dyDescent="0.25">
      <c r="A5479" s="74">
        <v>10271</v>
      </c>
    </row>
    <row r="5480" spans="1:1" x14ac:dyDescent="0.25">
      <c r="A5480" s="74">
        <v>10272</v>
      </c>
    </row>
    <row r="5481" spans="1:1" x14ac:dyDescent="0.25">
      <c r="A5481" s="74">
        <v>10273</v>
      </c>
    </row>
    <row r="5482" spans="1:1" x14ac:dyDescent="0.25">
      <c r="A5482" s="74">
        <v>10274</v>
      </c>
    </row>
    <row r="5483" spans="1:1" x14ac:dyDescent="0.25">
      <c r="A5483" s="74">
        <v>10275</v>
      </c>
    </row>
    <row r="5484" spans="1:1" x14ac:dyDescent="0.25">
      <c r="A5484" s="74">
        <v>10276</v>
      </c>
    </row>
    <row r="5485" spans="1:1" x14ac:dyDescent="0.25">
      <c r="A5485" s="74">
        <v>10277</v>
      </c>
    </row>
    <row r="5486" spans="1:1" x14ac:dyDescent="0.25">
      <c r="A5486" s="74">
        <v>10278</v>
      </c>
    </row>
    <row r="5487" spans="1:1" x14ac:dyDescent="0.25">
      <c r="A5487" s="74">
        <v>10279</v>
      </c>
    </row>
    <row r="5488" spans="1:1" x14ac:dyDescent="0.25">
      <c r="A5488" s="74">
        <v>10280</v>
      </c>
    </row>
    <row r="5489" spans="1:1" x14ac:dyDescent="0.25">
      <c r="A5489" s="74">
        <v>10281</v>
      </c>
    </row>
    <row r="5490" spans="1:1" x14ac:dyDescent="0.25">
      <c r="A5490" s="74">
        <v>10282</v>
      </c>
    </row>
    <row r="5491" spans="1:1" x14ac:dyDescent="0.25">
      <c r="A5491" s="74">
        <v>10283</v>
      </c>
    </row>
    <row r="5492" spans="1:1" x14ac:dyDescent="0.25">
      <c r="A5492" s="74">
        <v>10284</v>
      </c>
    </row>
    <row r="5493" spans="1:1" x14ac:dyDescent="0.25">
      <c r="A5493" s="74">
        <v>10285</v>
      </c>
    </row>
    <row r="5494" spans="1:1" x14ac:dyDescent="0.25">
      <c r="A5494" s="74">
        <v>10286</v>
      </c>
    </row>
    <row r="5495" spans="1:1" x14ac:dyDescent="0.25">
      <c r="A5495" s="74">
        <v>10287</v>
      </c>
    </row>
    <row r="5496" spans="1:1" x14ac:dyDescent="0.25">
      <c r="A5496" s="74">
        <v>10288</v>
      </c>
    </row>
    <row r="5497" spans="1:1" x14ac:dyDescent="0.25">
      <c r="A5497" s="74">
        <v>10289</v>
      </c>
    </row>
    <row r="5498" spans="1:1" x14ac:dyDescent="0.25">
      <c r="A5498" s="74">
        <v>10290</v>
      </c>
    </row>
    <row r="5499" spans="1:1" x14ac:dyDescent="0.25">
      <c r="A5499" s="74">
        <v>10291</v>
      </c>
    </row>
    <row r="5500" spans="1:1" x14ac:dyDescent="0.25">
      <c r="A5500" s="74">
        <v>10292</v>
      </c>
    </row>
    <row r="5501" spans="1:1" x14ac:dyDescent="0.25">
      <c r="A5501" s="74">
        <v>10293</v>
      </c>
    </row>
    <row r="5502" spans="1:1" x14ac:dyDescent="0.25">
      <c r="A5502" s="74">
        <v>10294</v>
      </c>
    </row>
    <row r="5503" spans="1:1" x14ac:dyDescent="0.25">
      <c r="A5503" s="74">
        <v>10295</v>
      </c>
    </row>
    <row r="5504" spans="1:1" x14ac:dyDescent="0.25">
      <c r="A5504" s="74">
        <v>10296</v>
      </c>
    </row>
    <row r="5505" spans="1:1" x14ac:dyDescent="0.25">
      <c r="A5505" s="74">
        <v>10297</v>
      </c>
    </row>
    <row r="5506" spans="1:1" x14ac:dyDescent="0.25">
      <c r="A5506" s="74">
        <v>10298</v>
      </c>
    </row>
    <row r="5507" spans="1:1" x14ac:dyDescent="0.25">
      <c r="A5507" s="74">
        <v>10299</v>
      </c>
    </row>
    <row r="5508" spans="1:1" x14ac:dyDescent="0.25">
      <c r="A5508" s="74">
        <v>10300</v>
      </c>
    </row>
    <row r="5509" spans="1:1" x14ac:dyDescent="0.25">
      <c r="A5509" s="74">
        <v>10301</v>
      </c>
    </row>
    <row r="5510" spans="1:1" x14ac:dyDescent="0.25">
      <c r="A5510" s="74">
        <v>10302</v>
      </c>
    </row>
    <row r="5511" spans="1:1" x14ac:dyDescent="0.25">
      <c r="A5511" s="74">
        <v>10303</v>
      </c>
    </row>
    <row r="5512" spans="1:1" x14ac:dyDescent="0.25">
      <c r="A5512" s="74">
        <v>10304</v>
      </c>
    </row>
    <row r="5513" spans="1:1" x14ac:dyDescent="0.25">
      <c r="A5513" s="74">
        <v>10305</v>
      </c>
    </row>
    <row r="5514" spans="1:1" x14ac:dyDescent="0.25">
      <c r="A5514" s="74">
        <v>10306</v>
      </c>
    </row>
    <row r="5515" spans="1:1" x14ac:dyDescent="0.25">
      <c r="A5515" s="74">
        <v>10307</v>
      </c>
    </row>
    <row r="5516" spans="1:1" x14ac:dyDescent="0.25">
      <c r="A5516" s="74">
        <v>10308</v>
      </c>
    </row>
    <row r="5517" spans="1:1" x14ac:dyDescent="0.25">
      <c r="A5517" s="74">
        <v>10309</v>
      </c>
    </row>
    <row r="5518" spans="1:1" x14ac:dyDescent="0.25">
      <c r="A5518" s="74">
        <v>10310</v>
      </c>
    </row>
    <row r="5519" spans="1:1" x14ac:dyDescent="0.25">
      <c r="A5519" s="74">
        <v>10311</v>
      </c>
    </row>
    <row r="5520" spans="1:1" x14ac:dyDescent="0.25">
      <c r="A5520" s="74">
        <v>10312</v>
      </c>
    </row>
    <row r="5521" spans="1:1" x14ac:dyDescent="0.25">
      <c r="A5521" s="74">
        <v>10313</v>
      </c>
    </row>
    <row r="5522" spans="1:1" x14ac:dyDescent="0.25">
      <c r="A5522" s="74">
        <v>10314</v>
      </c>
    </row>
    <row r="5523" spans="1:1" x14ac:dyDescent="0.25">
      <c r="A5523" s="74">
        <v>10315</v>
      </c>
    </row>
    <row r="5524" spans="1:1" x14ac:dyDescent="0.25">
      <c r="A5524" s="74">
        <v>10316</v>
      </c>
    </row>
    <row r="5525" spans="1:1" x14ac:dyDescent="0.25">
      <c r="A5525" s="74">
        <v>10317</v>
      </c>
    </row>
    <row r="5526" spans="1:1" x14ac:dyDescent="0.25">
      <c r="A5526" s="74">
        <v>10318</v>
      </c>
    </row>
    <row r="5527" spans="1:1" x14ac:dyDescent="0.25">
      <c r="A5527" s="74">
        <v>10319</v>
      </c>
    </row>
    <row r="5528" spans="1:1" x14ac:dyDescent="0.25">
      <c r="A5528" s="74">
        <v>10320</v>
      </c>
    </row>
    <row r="5529" spans="1:1" x14ac:dyDescent="0.25">
      <c r="A5529" s="74">
        <v>10321</v>
      </c>
    </row>
    <row r="5530" spans="1:1" x14ac:dyDescent="0.25">
      <c r="A5530" s="74">
        <v>10322</v>
      </c>
    </row>
    <row r="5531" spans="1:1" x14ac:dyDescent="0.25">
      <c r="A5531" s="74">
        <v>10323</v>
      </c>
    </row>
    <row r="5532" spans="1:1" x14ac:dyDescent="0.25">
      <c r="A5532" s="74">
        <v>10324</v>
      </c>
    </row>
    <row r="5533" spans="1:1" x14ac:dyDescent="0.25">
      <c r="A5533" s="74">
        <v>10325</v>
      </c>
    </row>
    <row r="5534" spans="1:1" x14ac:dyDescent="0.25">
      <c r="A5534" s="74">
        <v>10326</v>
      </c>
    </row>
    <row r="5535" spans="1:1" x14ac:dyDescent="0.25">
      <c r="A5535" s="74">
        <v>10327</v>
      </c>
    </row>
    <row r="5536" spans="1:1" x14ac:dyDescent="0.25">
      <c r="A5536" s="74">
        <v>10328</v>
      </c>
    </row>
    <row r="5537" spans="1:1" x14ac:dyDescent="0.25">
      <c r="A5537" s="74">
        <v>10329</v>
      </c>
    </row>
    <row r="5538" spans="1:1" x14ac:dyDescent="0.25">
      <c r="A5538" s="74">
        <v>10330</v>
      </c>
    </row>
    <row r="5539" spans="1:1" x14ac:dyDescent="0.25">
      <c r="A5539" s="74">
        <v>10331</v>
      </c>
    </row>
    <row r="5540" spans="1:1" x14ac:dyDescent="0.25">
      <c r="A5540" s="74">
        <v>10332</v>
      </c>
    </row>
    <row r="5541" spans="1:1" x14ac:dyDescent="0.25">
      <c r="A5541" s="74">
        <v>10333</v>
      </c>
    </row>
    <row r="5542" spans="1:1" x14ac:dyDescent="0.25">
      <c r="A5542" s="74">
        <v>10334</v>
      </c>
    </row>
    <row r="5543" spans="1:1" x14ac:dyDescent="0.25">
      <c r="A5543" s="74">
        <v>10335</v>
      </c>
    </row>
    <row r="5544" spans="1:1" x14ac:dyDescent="0.25">
      <c r="A5544" s="74">
        <v>10336</v>
      </c>
    </row>
    <row r="5545" spans="1:1" x14ac:dyDescent="0.25">
      <c r="A5545" s="74">
        <v>10337</v>
      </c>
    </row>
    <row r="5546" spans="1:1" x14ac:dyDescent="0.25">
      <c r="A5546" s="74">
        <v>10338</v>
      </c>
    </row>
    <row r="5547" spans="1:1" x14ac:dyDescent="0.25">
      <c r="A5547" s="74">
        <v>10339</v>
      </c>
    </row>
    <row r="5548" spans="1:1" x14ac:dyDescent="0.25">
      <c r="A5548" s="74">
        <v>10340</v>
      </c>
    </row>
    <row r="5549" spans="1:1" x14ac:dyDescent="0.25">
      <c r="A5549" s="74">
        <v>10341</v>
      </c>
    </row>
    <row r="5550" spans="1:1" x14ac:dyDescent="0.25">
      <c r="A5550" s="74">
        <v>10342</v>
      </c>
    </row>
    <row r="5551" spans="1:1" x14ac:dyDescent="0.25">
      <c r="A5551" s="74">
        <v>10343</v>
      </c>
    </row>
    <row r="5552" spans="1:1" x14ac:dyDescent="0.25">
      <c r="A5552" s="74">
        <v>10344</v>
      </c>
    </row>
    <row r="5553" spans="1:1" x14ac:dyDescent="0.25">
      <c r="A5553" s="74">
        <v>10345</v>
      </c>
    </row>
    <row r="5554" spans="1:1" x14ac:dyDescent="0.25">
      <c r="A5554" s="74">
        <v>10346</v>
      </c>
    </row>
    <row r="5555" spans="1:1" x14ac:dyDescent="0.25">
      <c r="A5555" s="74">
        <v>10347</v>
      </c>
    </row>
    <row r="5556" spans="1:1" x14ac:dyDescent="0.25">
      <c r="A5556" s="74">
        <v>10348</v>
      </c>
    </row>
    <row r="5557" spans="1:1" x14ac:dyDescent="0.25">
      <c r="A5557" s="74">
        <v>10349</v>
      </c>
    </row>
    <row r="5558" spans="1:1" x14ac:dyDescent="0.25">
      <c r="A5558" s="74">
        <v>10350</v>
      </c>
    </row>
    <row r="5559" spans="1:1" x14ac:dyDescent="0.25">
      <c r="A5559" s="74">
        <v>10351</v>
      </c>
    </row>
    <row r="5560" spans="1:1" x14ac:dyDescent="0.25">
      <c r="A5560" s="74">
        <v>10352</v>
      </c>
    </row>
    <row r="5561" spans="1:1" x14ac:dyDescent="0.25">
      <c r="A5561" s="74">
        <v>10353</v>
      </c>
    </row>
    <row r="5562" spans="1:1" x14ac:dyDescent="0.25">
      <c r="A5562" s="74">
        <v>10354</v>
      </c>
    </row>
    <row r="5563" spans="1:1" x14ac:dyDescent="0.25">
      <c r="A5563" s="74">
        <v>10355</v>
      </c>
    </row>
    <row r="5564" spans="1:1" x14ac:dyDescent="0.25">
      <c r="A5564" s="74">
        <v>10356</v>
      </c>
    </row>
    <row r="5565" spans="1:1" x14ac:dyDescent="0.25">
      <c r="A5565" s="74">
        <v>10357</v>
      </c>
    </row>
    <row r="5566" spans="1:1" x14ac:dyDescent="0.25">
      <c r="A5566" s="74">
        <v>10358</v>
      </c>
    </row>
    <row r="5567" spans="1:1" x14ac:dyDescent="0.25">
      <c r="A5567" s="74">
        <v>10359</v>
      </c>
    </row>
    <row r="5568" spans="1:1" x14ac:dyDescent="0.25">
      <c r="A5568" s="74">
        <v>10360</v>
      </c>
    </row>
    <row r="5569" spans="1:1" x14ac:dyDescent="0.25">
      <c r="A5569" s="74">
        <v>10361</v>
      </c>
    </row>
    <row r="5570" spans="1:1" x14ac:dyDescent="0.25">
      <c r="A5570" s="74">
        <v>10362</v>
      </c>
    </row>
    <row r="5571" spans="1:1" x14ac:dyDescent="0.25">
      <c r="A5571" s="74">
        <v>10363</v>
      </c>
    </row>
    <row r="5572" spans="1:1" x14ac:dyDescent="0.25">
      <c r="A5572" s="74">
        <v>10364</v>
      </c>
    </row>
    <row r="5573" spans="1:1" x14ac:dyDescent="0.25">
      <c r="A5573" s="74">
        <v>10365</v>
      </c>
    </row>
    <row r="5574" spans="1:1" x14ac:dyDescent="0.25">
      <c r="A5574" s="74">
        <v>10366</v>
      </c>
    </row>
    <row r="5575" spans="1:1" x14ac:dyDescent="0.25">
      <c r="A5575" s="74">
        <v>10367</v>
      </c>
    </row>
    <row r="5576" spans="1:1" x14ac:dyDescent="0.25">
      <c r="A5576" s="74">
        <v>10368</v>
      </c>
    </row>
    <row r="5577" spans="1:1" x14ac:dyDescent="0.25">
      <c r="A5577" s="74">
        <v>10369</v>
      </c>
    </row>
    <row r="5578" spans="1:1" x14ac:dyDescent="0.25">
      <c r="A5578" s="74">
        <v>10370</v>
      </c>
    </row>
    <row r="5579" spans="1:1" x14ac:dyDescent="0.25">
      <c r="A5579" s="74">
        <v>10371</v>
      </c>
    </row>
    <row r="5580" spans="1:1" x14ac:dyDescent="0.25">
      <c r="A5580" s="74">
        <v>10372</v>
      </c>
    </row>
    <row r="5581" spans="1:1" x14ac:dyDescent="0.25">
      <c r="A5581" s="74">
        <v>10373</v>
      </c>
    </row>
    <row r="5582" spans="1:1" x14ac:dyDescent="0.25">
      <c r="A5582" s="74">
        <v>10374</v>
      </c>
    </row>
    <row r="5583" spans="1:1" x14ac:dyDescent="0.25">
      <c r="A5583" s="74">
        <v>10375</v>
      </c>
    </row>
    <row r="5584" spans="1:1" x14ac:dyDescent="0.25">
      <c r="A5584" s="74">
        <v>10376</v>
      </c>
    </row>
    <row r="5585" spans="1:1" x14ac:dyDescent="0.25">
      <c r="A5585" s="74">
        <v>10377</v>
      </c>
    </row>
    <row r="5586" spans="1:1" x14ac:dyDescent="0.25">
      <c r="A5586" s="74">
        <v>10378</v>
      </c>
    </row>
    <row r="5587" spans="1:1" x14ac:dyDescent="0.25">
      <c r="A5587" s="74">
        <v>10379</v>
      </c>
    </row>
    <row r="5588" spans="1:1" x14ac:dyDescent="0.25">
      <c r="A5588" s="74">
        <v>10380</v>
      </c>
    </row>
    <row r="5589" spans="1:1" x14ac:dyDescent="0.25">
      <c r="A5589" s="74">
        <v>10381</v>
      </c>
    </row>
    <row r="5590" spans="1:1" x14ac:dyDescent="0.25">
      <c r="A5590" s="74">
        <v>10382</v>
      </c>
    </row>
    <row r="5591" spans="1:1" x14ac:dyDescent="0.25">
      <c r="A5591" s="74">
        <v>10383</v>
      </c>
    </row>
    <row r="5592" spans="1:1" x14ac:dyDescent="0.25">
      <c r="A5592" s="74">
        <v>10384</v>
      </c>
    </row>
    <row r="5593" spans="1:1" x14ac:dyDescent="0.25">
      <c r="A5593" s="74">
        <v>10385</v>
      </c>
    </row>
    <row r="5594" spans="1:1" x14ac:dyDescent="0.25">
      <c r="A5594" s="74">
        <v>10386</v>
      </c>
    </row>
    <row r="5595" spans="1:1" x14ac:dyDescent="0.25">
      <c r="A5595" s="74">
        <v>10387</v>
      </c>
    </row>
    <row r="5596" spans="1:1" x14ac:dyDescent="0.25">
      <c r="A5596" s="74">
        <v>10388</v>
      </c>
    </row>
    <row r="5597" spans="1:1" x14ac:dyDescent="0.25">
      <c r="A5597" s="74">
        <v>10389</v>
      </c>
    </row>
    <row r="5598" spans="1:1" x14ac:dyDescent="0.25">
      <c r="A5598" s="74">
        <v>10390</v>
      </c>
    </row>
    <row r="5599" spans="1:1" x14ac:dyDescent="0.25">
      <c r="A5599" s="74">
        <v>10391</v>
      </c>
    </row>
    <row r="5600" spans="1:1" x14ac:dyDescent="0.25">
      <c r="A5600" s="74">
        <v>10392</v>
      </c>
    </row>
    <row r="5601" spans="1:1" x14ac:dyDescent="0.25">
      <c r="A5601" s="74">
        <v>10393</v>
      </c>
    </row>
    <row r="5602" spans="1:1" x14ac:dyDescent="0.25">
      <c r="A5602" s="74">
        <v>10394</v>
      </c>
    </row>
    <row r="5603" spans="1:1" x14ac:dyDescent="0.25">
      <c r="A5603" s="74">
        <v>10395</v>
      </c>
    </row>
    <row r="5604" spans="1:1" x14ac:dyDescent="0.25">
      <c r="A5604" s="74">
        <v>10396</v>
      </c>
    </row>
    <row r="5605" spans="1:1" x14ac:dyDescent="0.25">
      <c r="A5605" s="74">
        <v>10397</v>
      </c>
    </row>
    <row r="5606" spans="1:1" x14ac:dyDescent="0.25">
      <c r="A5606" s="74">
        <v>10398</v>
      </c>
    </row>
    <row r="5607" spans="1:1" x14ac:dyDescent="0.25">
      <c r="A5607" s="74">
        <v>10399</v>
      </c>
    </row>
    <row r="5608" spans="1:1" x14ac:dyDescent="0.25">
      <c r="A5608" s="74">
        <v>10400</v>
      </c>
    </row>
    <row r="5609" spans="1:1" x14ac:dyDescent="0.25">
      <c r="A5609" s="74">
        <v>10401</v>
      </c>
    </row>
    <row r="5610" spans="1:1" x14ac:dyDescent="0.25">
      <c r="A5610" s="74">
        <v>10402</v>
      </c>
    </row>
    <row r="5611" spans="1:1" x14ac:dyDescent="0.25">
      <c r="A5611" s="74">
        <v>10403</v>
      </c>
    </row>
    <row r="5612" spans="1:1" x14ac:dyDescent="0.25">
      <c r="A5612" s="74">
        <v>10404</v>
      </c>
    </row>
    <row r="5613" spans="1:1" x14ac:dyDescent="0.25">
      <c r="A5613" s="74">
        <v>10405</v>
      </c>
    </row>
    <row r="5614" spans="1:1" x14ac:dyDescent="0.25">
      <c r="A5614" s="74">
        <v>10406</v>
      </c>
    </row>
    <row r="5615" spans="1:1" x14ac:dyDescent="0.25">
      <c r="A5615" s="74">
        <v>10407</v>
      </c>
    </row>
    <row r="5616" spans="1:1" x14ac:dyDescent="0.25">
      <c r="A5616" s="74">
        <v>10408</v>
      </c>
    </row>
    <row r="5617" spans="1:1" x14ac:dyDescent="0.25">
      <c r="A5617" s="74">
        <v>10409</v>
      </c>
    </row>
    <row r="5618" spans="1:1" x14ac:dyDescent="0.25">
      <c r="A5618" s="74">
        <v>10410</v>
      </c>
    </row>
    <row r="5619" spans="1:1" x14ac:dyDescent="0.25">
      <c r="A5619" s="74">
        <v>10411</v>
      </c>
    </row>
    <row r="5620" spans="1:1" x14ac:dyDescent="0.25">
      <c r="A5620" s="74">
        <v>10412</v>
      </c>
    </row>
    <row r="5621" spans="1:1" x14ac:dyDescent="0.25">
      <c r="A5621" s="74">
        <v>10413</v>
      </c>
    </row>
    <row r="5622" spans="1:1" x14ac:dyDescent="0.25">
      <c r="A5622" s="74">
        <v>10414</v>
      </c>
    </row>
    <row r="5623" spans="1:1" x14ac:dyDescent="0.25">
      <c r="A5623" s="74">
        <v>10415</v>
      </c>
    </row>
    <row r="5624" spans="1:1" x14ac:dyDescent="0.25">
      <c r="A5624" s="74">
        <v>10416</v>
      </c>
    </row>
    <row r="5625" spans="1:1" x14ac:dyDescent="0.25">
      <c r="A5625" s="74">
        <v>10417</v>
      </c>
    </row>
    <row r="5626" spans="1:1" x14ac:dyDescent="0.25">
      <c r="A5626" s="74">
        <v>10418</v>
      </c>
    </row>
    <row r="5627" spans="1:1" x14ac:dyDescent="0.25">
      <c r="A5627" s="74">
        <v>10419</v>
      </c>
    </row>
    <row r="5628" spans="1:1" x14ac:dyDescent="0.25">
      <c r="A5628" s="74">
        <v>10420</v>
      </c>
    </row>
    <row r="5629" spans="1:1" x14ac:dyDescent="0.25">
      <c r="A5629" s="74">
        <v>10421</v>
      </c>
    </row>
    <row r="5630" spans="1:1" x14ac:dyDescent="0.25">
      <c r="A5630" s="74">
        <v>10422</v>
      </c>
    </row>
    <row r="5631" spans="1:1" x14ac:dyDescent="0.25">
      <c r="A5631" s="74">
        <v>10423</v>
      </c>
    </row>
    <row r="5632" spans="1:1" x14ac:dyDescent="0.25">
      <c r="A5632" s="74">
        <v>10424</v>
      </c>
    </row>
    <row r="5633" spans="1:1" x14ac:dyDescent="0.25">
      <c r="A5633" s="74">
        <v>10425</v>
      </c>
    </row>
    <row r="5634" spans="1:1" x14ac:dyDescent="0.25">
      <c r="A5634" s="74">
        <v>10426</v>
      </c>
    </row>
    <row r="5635" spans="1:1" x14ac:dyDescent="0.25">
      <c r="A5635" s="74">
        <v>10427</v>
      </c>
    </row>
    <row r="5636" spans="1:1" x14ac:dyDescent="0.25">
      <c r="A5636" s="74">
        <v>10428</v>
      </c>
    </row>
    <row r="5637" spans="1:1" x14ac:dyDescent="0.25">
      <c r="A5637" s="74">
        <v>10429</v>
      </c>
    </row>
    <row r="5638" spans="1:1" x14ac:dyDescent="0.25">
      <c r="A5638" s="74">
        <v>10430</v>
      </c>
    </row>
    <row r="5639" spans="1:1" x14ac:dyDescent="0.25">
      <c r="A5639" s="74">
        <v>10431</v>
      </c>
    </row>
    <row r="5640" spans="1:1" x14ac:dyDescent="0.25">
      <c r="A5640" s="74">
        <v>10432</v>
      </c>
    </row>
    <row r="5641" spans="1:1" x14ac:dyDescent="0.25">
      <c r="A5641" s="74">
        <v>10433</v>
      </c>
    </row>
    <row r="5642" spans="1:1" x14ac:dyDescent="0.25">
      <c r="A5642" s="74">
        <v>10434</v>
      </c>
    </row>
    <row r="5643" spans="1:1" x14ac:dyDescent="0.25">
      <c r="A5643" s="74">
        <v>10435</v>
      </c>
    </row>
    <row r="5644" spans="1:1" x14ac:dyDescent="0.25">
      <c r="A5644" s="74">
        <v>10436</v>
      </c>
    </row>
    <row r="5645" spans="1:1" x14ac:dyDescent="0.25">
      <c r="A5645" s="74">
        <v>10437</v>
      </c>
    </row>
    <row r="5646" spans="1:1" x14ac:dyDescent="0.25">
      <c r="A5646" s="74">
        <v>10438</v>
      </c>
    </row>
    <row r="5647" spans="1:1" x14ac:dyDescent="0.25">
      <c r="A5647" s="74">
        <v>10439</v>
      </c>
    </row>
    <row r="5648" spans="1:1" x14ac:dyDescent="0.25">
      <c r="A5648" s="74">
        <v>10440</v>
      </c>
    </row>
    <row r="5649" spans="1:1" x14ac:dyDescent="0.25">
      <c r="A5649" s="74">
        <v>10441</v>
      </c>
    </row>
    <row r="5650" spans="1:1" x14ac:dyDescent="0.25">
      <c r="A5650" s="74">
        <v>10442</v>
      </c>
    </row>
    <row r="5651" spans="1:1" x14ac:dyDescent="0.25">
      <c r="A5651" s="74">
        <v>10443</v>
      </c>
    </row>
    <row r="5652" spans="1:1" x14ac:dyDescent="0.25">
      <c r="A5652" s="74">
        <v>10444</v>
      </c>
    </row>
    <row r="5653" spans="1:1" x14ac:dyDescent="0.25">
      <c r="A5653" s="74">
        <v>10445</v>
      </c>
    </row>
    <row r="5654" spans="1:1" x14ac:dyDescent="0.25">
      <c r="A5654" s="74">
        <v>10446</v>
      </c>
    </row>
    <row r="5655" spans="1:1" x14ac:dyDescent="0.25">
      <c r="A5655" s="74">
        <v>10447</v>
      </c>
    </row>
    <row r="5656" spans="1:1" x14ac:dyDescent="0.25">
      <c r="A5656" s="74">
        <v>10448</v>
      </c>
    </row>
    <row r="5657" spans="1:1" x14ac:dyDescent="0.25">
      <c r="A5657" s="74">
        <v>10449</v>
      </c>
    </row>
    <row r="5658" spans="1:1" x14ac:dyDescent="0.25">
      <c r="A5658" s="74">
        <v>10450</v>
      </c>
    </row>
    <row r="5659" spans="1:1" x14ac:dyDescent="0.25">
      <c r="A5659" s="74">
        <v>10451</v>
      </c>
    </row>
    <row r="5660" spans="1:1" x14ac:dyDescent="0.25">
      <c r="A5660" s="74">
        <v>10452</v>
      </c>
    </row>
    <row r="5661" spans="1:1" x14ac:dyDescent="0.25">
      <c r="A5661" s="74">
        <v>10453</v>
      </c>
    </row>
    <row r="5662" spans="1:1" x14ac:dyDescent="0.25">
      <c r="A5662" s="74">
        <v>10454</v>
      </c>
    </row>
    <row r="5663" spans="1:1" x14ac:dyDescent="0.25">
      <c r="A5663" s="74">
        <v>10455</v>
      </c>
    </row>
    <row r="5664" spans="1:1" x14ac:dyDescent="0.25">
      <c r="A5664" s="74">
        <v>10456</v>
      </c>
    </row>
    <row r="5665" spans="1:1" x14ac:dyDescent="0.25">
      <c r="A5665" s="74">
        <v>10457</v>
      </c>
    </row>
    <row r="5666" spans="1:1" x14ac:dyDescent="0.25">
      <c r="A5666" s="74">
        <v>10458</v>
      </c>
    </row>
    <row r="5667" spans="1:1" x14ac:dyDescent="0.25">
      <c r="A5667" s="74">
        <v>10459</v>
      </c>
    </row>
    <row r="5668" spans="1:1" x14ac:dyDescent="0.25">
      <c r="A5668" s="74">
        <v>10460</v>
      </c>
    </row>
    <row r="5669" spans="1:1" x14ac:dyDescent="0.25">
      <c r="A5669" s="74">
        <v>10461</v>
      </c>
    </row>
    <row r="5670" spans="1:1" x14ac:dyDescent="0.25">
      <c r="A5670" s="74">
        <v>10462</v>
      </c>
    </row>
    <row r="5671" spans="1:1" x14ac:dyDescent="0.25">
      <c r="A5671" s="74">
        <v>10463</v>
      </c>
    </row>
    <row r="5672" spans="1:1" x14ac:dyDescent="0.25">
      <c r="A5672" s="74">
        <v>10464</v>
      </c>
    </row>
    <row r="5673" spans="1:1" x14ac:dyDescent="0.25">
      <c r="A5673" s="74">
        <v>10465</v>
      </c>
    </row>
    <row r="5674" spans="1:1" x14ac:dyDescent="0.25">
      <c r="A5674" s="74">
        <v>10466</v>
      </c>
    </row>
    <row r="5675" spans="1:1" x14ac:dyDescent="0.25">
      <c r="A5675" s="74">
        <v>10467</v>
      </c>
    </row>
    <row r="5676" spans="1:1" x14ac:dyDescent="0.25">
      <c r="A5676" s="74">
        <v>10468</v>
      </c>
    </row>
    <row r="5677" spans="1:1" x14ac:dyDescent="0.25">
      <c r="A5677" s="74">
        <v>10469</v>
      </c>
    </row>
    <row r="5678" spans="1:1" x14ac:dyDescent="0.25">
      <c r="A5678" s="74">
        <v>10470</v>
      </c>
    </row>
    <row r="5679" spans="1:1" x14ac:dyDescent="0.25">
      <c r="A5679" s="74">
        <v>10471</v>
      </c>
    </row>
    <row r="5680" spans="1:1" x14ac:dyDescent="0.25">
      <c r="A5680" s="74">
        <v>10472</v>
      </c>
    </row>
    <row r="5681" spans="1:1" x14ac:dyDescent="0.25">
      <c r="A5681" s="74">
        <v>10473</v>
      </c>
    </row>
    <row r="5682" spans="1:1" x14ac:dyDescent="0.25">
      <c r="A5682" s="74">
        <v>10474</v>
      </c>
    </row>
    <row r="5683" spans="1:1" x14ac:dyDescent="0.25">
      <c r="A5683" s="74">
        <v>10475</v>
      </c>
    </row>
    <row r="5684" spans="1:1" x14ac:dyDescent="0.25">
      <c r="A5684" s="74">
        <v>10476</v>
      </c>
    </row>
    <row r="5685" spans="1:1" x14ac:dyDescent="0.25">
      <c r="A5685" s="74">
        <v>10477</v>
      </c>
    </row>
    <row r="5686" spans="1:1" x14ac:dyDescent="0.25">
      <c r="A5686" s="74">
        <v>10478</v>
      </c>
    </row>
    <row r="5687" spans="1:1" x14ac:dyDescent="0.25">
      <c r="A5687" s="74">
        <v>10479</v>
      </c>
    </row>
    <row r="5688" spans="1:1" x14ac:dyDescent="0.25">
      <c r="A5688" s="74">
        <v>10480</v>
      </c>
    </row>
    <row r="5689" spans="1:1" x14ac:dyDescent="0.25">
      <c r="A5689" s="74">
        <v>10481</v>
      </c>
    </row>
    <row r="5690" spans="1:1" x14ac:dyDescent="0.25">
      <c r="A5690" s="74">
        <v>10482</v>
      </c>
    </row>
    <row r="5691" spans="1:1" x14ac:dyDescent="0.25">
      <c r="A5691" s="74">
        <v>10483</v>
      </c>
    </row>
    <row r="5692" spans="1:1" x14ac:dyDescent="0.25">
      <c r="A5692" s="74">
        <v>10484</v>
      </c>
    </row>
    <row r="5693" spans="1:1" x14ac:dyDescent="0.25">
      <c r="A5693" s="74">
        <v>10485</v>
      </c>
    </row>
    <row r="5694" spans="1:1" x14ac:dyDescent="0.25">
      <c r="A5694" s="74">
        <v>10486</v>
      </c>
    </row>
    <row r="5695" spans="1:1" x14ac:dyDescent="0.25">
      <c r="A5695" s="74">
        <v>10487</v>
      </c>
    </row>
    <row r="5696" spans="1:1" x14ac:dyDescent="0.25">
      <c r="A5696" s="74">
        <v>10488</v>
      </c>
    </row>
    <row r="5697" spans="1:1" x14ac:dyDescent="0.25">
      <c r="A5697" s="74">
        <v>10489</v>
      </c>
    </row>
    <row r="5698" spans="1:1" x14ac:dyDescent="0.25">
      <c r="A5698" s="74">
        <v>10490</v>
      </c>
    </row>
    <row r="5699" spans="1:1" x14ac:dyDescent="0.25">
      <c r="A5699" s="74">
        <v>10491</v>
      </c>
    </row>
    <row r="5700" spans="1:1" x14ac:dyDescent="0.25">
      <c r="A5700" s="74">
        <v>10492</v>
      </c>
    </row>
    <row r="5701" spans="1:1" x14ac:dyDescent="0.25">
      <c r="A5701" s="74">
        <v>10493</v>
      </c>
    </row>
    <row r="5702" spans="1:1" x14ac:dyDescent="0.25">
      <c r="A5702" s="74">
        <v>10494</v>
      </c>
    </row>
    <row r="5703" spans="1:1" x14ac:dyDescent="0.25">
      <c r="A5703" s="74">
        <v>10495</v>
      </c>
    </row>
    <row r="5704" spans="1:1" x14ac:dyDescent="0.25">
      <c r="A5704" s="74">
        <v>10496</v>
      </c>
    </row>
    <row r="5705" spans="1:1" x14ac:dyDescent="0.25">
      <c r="A5705" s="74">
        <v>10497</v>
      </c>
    </row>
    <row r="5706" spans="1:1" x14ac:dyDescent="0.25">
      <c r="A5706" s="74">
        <v>10498</v>
      </c>
    </row>
    <row r="5707" spans="1:1" x14ac:dyDescent="0.25">
      <c r="A5707" s="74">
        <v>10499</v>
      </c>
    </row>
    <row r="5708" spans="1:1" x14ac:dyDescent="0.25">
      <c r="A5708" s="74">
        <v>10500</v>
      </c>
    </row>
    <row r="5709" spans="1:1" x14ac:dyDescent="0.25">
      <c r="A5709" s="74">
        <v>10501</v>
      </c>
    </row>
    <row r="5710" spans="1:1" x14ac:dyDescent="0.25">
      <c r="A5710" s="74">
        <v>10502</v>
      </c>
    </row>
    <row r="5711" spans="1:1" x14ac:dyDescent="0.25">
      <c r="A5711" s="74">
        <v>10503</v>
      </c>
    </row>
    <row r="5712" spans="1:1" x14ac:dyDescent="0.25">
      <c r="A5712" s="74">
        <v>10504</v>
      </c>
    </row>
    <row r="5713" spans="1:1" x14ac:dyDescent="0.25">
      <c r="A5713" s="74">
        <v>10505</v>
      </c>
    </row>
    <row r="5714" spans="1:1" x14ac:dyDescent="0.25">
      <c r="A5714" s="74">
        <v>10506</v>
      </c>
    </row>
    <row r="5715" spans="1:1" x14ac:dyDescent="0.25">
      <c r="A5715" s="74">
        <v>10507</v>
      </c>
    </row>
    <row r="5716" spans="1:1" x14ac:dyDescent="0.25">
      <c r="A5716" s="74">
        <v>10508</v>
      </c>
    </row>
    <row r="5717" spans="1:1" x14ac:dyDescent="0.25">
      <c r="A5717" s="74">
        <v>10509</v>
      </c>
    </row>
    <row r="5718" spans="1:1" x14ac:dyDescent="0.25">
      <c r="A5718" s="74">
        <v>10510</v>
      </c>
    </row>
    <row r="5719" spans="1:1" x14ac:dyDescent="0.25">
      <c r="A5719" s="74">
        <v>10511</v>
      </c>
    </row>
    <row r="5720" spans="1:1" x14ac:dyDescent="0.25">
      <c r="A5720" s="74">
        <v>10512</v>
      </c>
    </row>
    <row r="5721" spans="1:1" x14ac:dyDescent="0.25">
      <c r="A5721" s="74">
        <v>10513</v>
      </c>
    </row>
    <row r="5722" spans="1:1" x14ac:dyDescent="0.25">
      <c r="A5722" s="74">
        <v>10514</v>
      </c>
    </row>
    <row r="5723" spans="1:1" x14ac:dyDescent="0.25">
      <c r="A5723" s="74">
        <v>10515</v>
      </c>
    </row>
    <row r="5724" spans="1:1" x14ac:dyDescent="0.25">
      <c r="A5724" s="74">
        <v>10516</v>
      </c>
    </row>
    <row r="5725" spans="1:1" x14ac:dyDescent="0.25">
      <c r="A5725" s="74">
        <v>10517</v>
      </c>
    </row>
    <row r="5726" spans="1:1" x14ac:dyDescent="0.25">
      <c r="A5726" s="74">
        <v>10518</v>
      </c>
    </row>
    <row r="5727" spans="1:1" x14ac:dyDescent="0.25">
      <c r="A5727" s="74">
        <v>10519</v>
      </c>
    </row>
    <row r="5728" spans="1:1" x14ac:dyDescent="0.25">
      <c r="A5728" s="74">
        <v>10520</v>
      </c>
    </row>
    <row r="5729" spans="1:1" x14ac:dyDescent="0.25">
      <c r="A5729" s="74">
        <v>10521</v>
      </c>
    </row>
    <row r="5730" spans="1:1" x14ac:dyDescent="0.25">
      <c r="A5730" s="74">
        <v>10522</v>
      </c>
    </row>
    <row r="5731" spans="1:1" x14ac:dyDescent="0.25">
      <c r="A5731" s="74">
        <v>10523</v>
      </c>
    </row>
    <row r="5732" spans="1:1" x14ac:dyDescent="0.25">
      <c r="A5732" s="74">
        <v>10524</v>
      </c>
    </row>
    <row r="5733" spans="1:1" x14ac:dyDescent="0.25">
      <c r="A5733" s="74">
        <v>10525</v>
      </c>
    </row>
    <row r="5734" spans="1:1" x14ac:dyDescent="0.25">
      <c r="A5734" s="74">
        <v>10526</v>
      </c>
    </row>
    <row r="5735" spans="1:1" x14ac:dyDescent="0.25">
      <c r="A5735" s="74">
        <v>10527</v>
      </c>
    </row>
    <row r="5736" spans="1:1" x14ac:dyDescent="0.25">
      <c r="A5736" s="74">
        <v>10528</v>
      </c>
    </row>
    <row r="5737" spans="1:1" x14ac:dyDescent="0.25">
      <c r="A5737" s="74">
        <v>10529</v>
      </c>
    </row>
    <row r="5738" spans="1:1" x14ac:dyDescent="0.25">
      <c r="A5738" s="74">
        <v>10530</v>
      </c>
    </row>
    <row r="5739" spans="1:1" x14ac:dyDescent="0.25">
      <c r="A5739" s="74">
        <v>10531</v>
      </c>
    </row>
    <row r="5740" spans="1:1" x14ac:dyDescent="0.25">
      <c r="A5740" s="74">
        <v>10532</v>
      </c>
    </row>
    <row r="5741" spans="1:1" x14ac:dyDescent="0.25">
      <c r="A5741" s="74">
        <v>10533</v>
      </c>
    </row>
    <row r="5742" spans="1:1" x14ac:dyDescent="0.25">
      <c r="A5742" s="74">
        <v>10534</v>
      </c>
    </row>
    <row r="5743" spans="1:1" x14ac:dyDescent="0.25">
      <c r="A5743" s="74">
        <v>10535</v>
      </c>
    </row>
    <row r="5744" spans="1:1" x14ac:dyDescent="0.25">
      <c r="A5744" s="74">
        <v>10536</v>
      </c>
    </row>
    <row r="5745" spans="1:1" x14ac:dyDescent="0.25">
      <c r="A5745" s="74">
        <v>10537</v>
      </c>
    </row>
    <row r="5746" spans="1:1" x14ac:dyDescent="0.25">
      <c r="A5746" s="74">
        <v>10538</v>
      </c>
    </row>
    <row r="5747" spans="1:1" x14ac:dyDescent="0.25">
      <c r="A5747" s="74">
        <v>10539</v>
      </c>
    </row>
    <row r="5748" spans="1:1" x14ac:dyDescent="0.25">
      <c r="A5748" s="74">
        <v>10540</v>
      </c>
    </row>
    <row r="5749" spans="1:1" x14ac:dyDescent="0.25">
      <c r="A5749" s="74">
        <v>10541</v>
      </c>
    </row>
    <row r="5750" spans="1:1" x14ac:dyDescent="0.25">
      <c r="A5750" s="74">
        <v>10542</v>
      </c>
    </row>
    <row r="5751" spans="1:1" x14ac:dyDescent="0.25">
      <c r="A5751" s="74">
        <v>10543</v>
      </c>
    </row>
    <row r="5752" spans="1:1" x14ac:dyDescent="0.25">
      <c r="A5752" s="74">
        <v>10544</v>
      </c>
    </row>
    <row r="5753" spans="1:1" x14ac:dyDescent="0.25">
      <c r="A5753" s="74">
        <v>10545</v>
      </c>
    </row>
    <row r="5754" spans="1:1" x14ac:dyDescent="0.25">
      <c r="A5754" s="74">
        <v>10546</v>
      </c>
    </row>
    <row r="5755" spans="1:1" x14ac:dyDescent="0.25">
      <c r="A5755" s="74">
        <v>10547</v>
      </c>
    </row>
    <row r="5756" spans="1:1" x14ac:dyDescent="0.25">
      <c r="A5756" s="74">
        <v>10548</v>
      </c>
    </row>
    <row r="5757" spans="1:1" x14ac:dyDescent="0.25">
      <c r="A5757" s="74">
        <v>10549</v>
      </c>
    </row>
    <row r="5758" spans="1:1" x14ac:dyDescent="0.25">
      <c r="A5758" s="74">
        <v>10550</v>
      </c>
    </row>
    <row r="5759" spans="1:1" x14ac:dyDescent="0.25">
      <c r="A5759" s="74">
        <v>10551</v>
      </c>
    </row>
    <row r="5760" spans="1:1" x14ac:dyDescent="0.25">
      <c r="A5760" s="74">
        <v>10552</v>
      </c>
    </row>
    <row r="5761" spans="1:1" x14ac:dyDescent="0.25">
      <c r="A5761" s="74">
        <v>10553</v>
      </c>
    </row>
    <row r="5762" spans="1:1" x14ac:dyDescent="0.25">
      <c r="A5762" s="74">
        <v>10554</v>
      </c>
    </row>
    <row r="5763" spans="1:1" x14ac:dyDescent="0.25">
      <c r="A5763" s="74">
        <v>10555</v>
      </c>
    </row>
    <row r="5764" spans="1:1" x14ac:dyDescent="0.25">
      <c r="A5764" s="74">
        <v>10556</v>
      </c>
    </row>
    <row r="5765" spans="1:1" x14ac:dyDescent="0.25">
      <c r="A5765" s="74">
        <v>10557</v>
      </c>
    </row>
    <row r="5766" spans="1:1" x14ac:dyDescent="0.25">
      <c r="A5766" s="74">
        <v>10558</v>
      </c>
    </row>
    <row r="5767" spans="1:1" x14ac:dyDescent="0.25">
      <c r="A5767" s="74">
        <v>10559</v>
      </c>
    </row>
    <row r="5768" spans="1:1" x14ac:dyDescent="0.25">
      <c r="A5768" s="74">
        <v>10560</v>
      </c>
    </row>
    <row r="5769" spans="1:1" x14ac:dyDescent="0.25">
      <c r="A5769" s="74">
        <v>10561</v>
      </c>
    </row>
    <row r="5770" spans="1:1" x14ac:dyDescent="0.25">
      <c r="A5770" s="74">
        <v>10562</v>
      </c>
    </row>
    <row r="5771" spans="1:1" x14ac:dyDescent="0.25">
      <c r="A5771" s="74">
        <v>10563</v>
      </c>
    </row>
    <row r="5772" spans="1:1" x14ac:dyDescent="0.25">
      <c r="A5772" s="74">
        <v>10564</v>
      </c>
    </row>
    <row r="5773" spans="1:1" x14ac:dyDescent="0.25">
      <c r="A5773" s="74">
        <v>10565</v>
      </c>
    </row>
    <row r="5774" spans="1:1" x14ac:dyDescent="0.25">
      <c r="A5774" s="74">
        <v>10566</v>
      </c>
    </row>
    <row r="5775" spans="1:1" x14ac:dyDescent="0.25">
      <c r="A5775" s="74">
        <v>10567</v>
      </c>
    </row>
    <row r="5776" spans="1:1" x14ac:dyDescent="0.25">
      <c r="A5776" s="74">
        <v>10568</v>
      </c>
    </row>
    <row r="5777" spans="1:1" x14ac:dyDescent="0.25">
      <c r="A5777" s="74">
        <v>10569</v>
      </c>
    </row>
    <row r="5778" spans="1:1" x14ac:dyDescent="0.25">
      <c r="A5778" s="74">
        <v>10570</v>
      </c>
    </row>
    <row r="5779" spans="1:1" x14ac:dyDescent="0.25">
      <c r="A5779" s="74">
        <v>10571</v>
      </c>
    </row>
    <row r="5780" spans="1:1" x14ac:dyDescent="0.25">
      <c r="A5780" s="74">
        <v>10572</v>
      </c>
    </row>
    <row r="5781" spans="1:1" x14ac:dyDescent="0.25">
      <c r="A5781" s="74">
        <v>10573</v>
      </c>
    </row>
    <row r="5782" spans="1:1" x14ac:dyDescent="0.25">
      <c r="A5782" s="74">
        <v>10574</v>
      </c>
    </row>
    <row r="5783" spans="1:1" x14ac:dyDescent="0.25">
      <c r="A5783" s="74">
        <v>10575</v>
      </c>
    </row>
    <row r="5784" spans="1:1" x14ac:dyDescent="0.25">
      <c r="A5784" s="74">
        <v>10576</v>
      </c>
    </row>
    <row r="5785" spans="1:1" x14ac:dyDescent="0.25">
      <c r="A5785" s="74">
        <v>10577</v>
      </c>
    </row>
    <row r="5786" spans="1:1" x14ac:dyDescent="0.25">
      <c r="A5786" s="74">
        <v>10578</v>
      </c>
    </row>
    <row r="5787" spans="1:1" x14ac:dyDescent="0.25">
      <c r="A5787" s="74">
        <v>10579</v>
      </c>
    </row>
    <row r="5788" spans="1:1" x14ac:dyDescent="0.25">
      <c r="A5788" s="74">
        <v>10580</v>
      </c>
    </row>
    <row r="5789" spans="1:1" x14ac:dyDescent="0.25">
      <c r="A5789" s="74">
        <v>10581</v>
      </c>
    </row>
    <row r="5790" spans="1:1" x14ac:dyDescent="0.25">
      <c r="A5790" s="74">
        <v>10582</v>
      </c>
    </row>
    <row r="5791" spans="1:1" x14ac:dyDescent="0.25">
      <c r="A5791" s="74">
        <v>10583</v>
      </c>
    </row>
    <row r="5792" spans="1:1" x14ac:dyDescent="0.25">
      <c r="A5792" s="74">
        <v>10584</v>
      </c>
    </row>
    <row r="5793" spans="1:1" x14ac:dyDescent="0.25">
      <c r="A5793" s="74">
        <v>10585</v>
      </c>
    </row>
    <row r="5794" spans="1:1" x14ac:dyDescent="0.25">
      <c r="A5794" s="74">
        <v>10586</v>
      </c>
    </row>
    <row r="5795" spans="1:1" x14ac:dyDescent="0.25">
      <c r="A5795" s="74">
        <v>10587</v>
      </c>
    </row>
    <row r="5796" spans="1:1" x14ac:dyDescent="0.25">
      <c r="A5796" s="74">
        <v>10588</v>
      </c>
    </row>
    <row r="5797" spans="1:1" x14ac:dyDescent="0.25">
      <c r="A5797" s="74">
        <v>10589</v>
      </c>
    </row>
    <row r="5798" spans="1:1" x14ac:dyDescent="0.25">
      <c r="A5798" s="74">
        <v>10590</v>
      </c>
    </row>
    <row r="5799" spans="1:1" x14ac:dyDescent="0.25">
      <c r="A5799" s="74">
        <v>10591</v>
      </c>
    </row>
    <row r="5800" spans="1:1" x14ac:dyDescent="0.25">
      <c r="A5800" s="74">
        <v>10592</v>
      </c>
    </row>
    <row r="5801" spans="1:1" x14ac:dyDescent="0.25">
      <c r="A5801" s="74">
        <v>10593</v>
      </c>
    </row>
    <row r="5802" spans="1:1" x14ac:dyDescent="0.25">
      <c r="A5802" s="74">
        <v>10594</v>
      </c>
    </row>
    <row r="5803" spans="1:1" x14ac:dyDescent="0.25">
      <c r="A5803" s="74">
        <v>10595</v>
      </c>
    </row>
    <row r="5804" spans="1:1" x14ac:dyDescent="0.25">
      <c r="A5804" s="74">
        <v>10596</v>
      </c>
    </row>
    <row r="5805" spans="1:1" x14ac:dyDescent="0.25">
      <c r="A5805" s="74">
        <v>10597</v>
      </c>
    </row>
    <row r="5806" spans="1:1" x14ac:dyDescent="0.25">
      <c r="A5806" s="74">
        <v>10598</v>
      </c>
    </row>
    <row r="5807" spans="1:1" x14ac:dyDescent="0.25">
      <c r="A5807" s="74">
        <v>10599</v>
      </c>
    </row>
    <row r="5808" spans="1:1" x14ac:dyDescent="0.25">
      <c r="A5808" s="74">
        <v>10600</v>
      </c>
    </row>
    <row r="5809" spans="1:1" x14ac:dyDescent="0.25">
      <c r="A5809" s="74">
        <v>10601</v>
      </c>
    </row>
    <row r="5810" spans="1:1" x14ac:dyDescent="0.25">
      <c r="A5810" s="74">
        <v>10602</v>
      </c>
    </row>
    <row r="5811" spans="1:1" x14ac:dyDescent="0.25">
      <c r="A5811" s="74">
        <v>10603</v>
      </c>
    </row>
    <row r="5812" spans="1:1" x14ac:dyDescent="0.25">
      <c r="A5812" s="74">
        <v>10604</v>
      </c>
    </row>
    <row r="5813" spans="1:1" x14ac:dyDescent="0.25">
      <c r="A5813" s="74">
        <v>10605</v>
      </c>
    </row>
    <row r="5814" spans="1:1" x14ac:dyDescent="0.25">
      <c r="A5814" s="74">
        <v>10606</v>
      </c>
    </row>
    <row r="5815" spans="1:1" x14ac:dyDescent="0.25">
      <c r="A5815" s="74">
        <v>10607</v>
      </c>
    </row>
    <row r="5816" spans="1:1" x14ac:dyDescent="0.25">
      <c r="A5816" s="74">
        <v>10608</v>
      </c>
    </row>
    <row r="5817" spans="1:1" x14ac:dyDescent="0.25">
      <c r="A5817" s="74">
        <v>10609</v>
      </c>
    </row>
    <row r="5818" spans="1:1" x14ac:dyDescent="0.25">
      <c r="A5818" s="74">
        <v>10610</v>
      </c>
    </row>
    <row r="5819" spans="1:1" x14ac:dyDescent="0.25">
      <c r="A5819" s="74">
        <v>10611</v>
      </c>
    </row>
    <row r="5820" spans="1:1" x14ac:dyDescent="0.25">
      <c r="A5820" s="74">
        <v>10612</v>
      </c>
    </row>
    <row r="5821" spans="1:1" x14ac:dyDescent="0.25">
      <c r="A5821" s="74">
        <v>10613</v>
      </c>
    </row>
    <row r="5822" spans="1:1" x14ac:dyDescent="0.25">
      <c r="A5822" s="74">
        <v>10614</v>
      </c>
    </row>
    <row r="5823" spans="1:1" x14ac:dyDescent="0.25">
      <c r="A5823" s="74">
        <v>10615</v>
      </c>
    </row>
    <row r="5824" spans="1:1" x14ac:dyDescent="0.25">
      <c r="A5824" s="74">
        <v>10616</v>
      </c>
    </row>
    <row r="5825" spans="1:1" x14ac:dyDescent="0.25">
      <c r="A5825" s="74">
        <v>10617</v>
      </c>
    </row>
    <row r="5826" spans="1:1" x14ac:dyDescent="0.25">
      <c r="A5826" s="74">
        <v>10618</v>
      </c>
    </row>
    <row r="5827" spans="1:1" x14ac:dyDescent="0.25">
      <c r="A5827" s="74">
        <v>10619</v>
      </c>
    </row>
    <row r="5828" spans="1:1" x14ac:dyDescent="0.25">
      <c r="A5828" s="74">
        <v>10620</v>
      </c>
    </row>
    <row r="5829" spans="1:1" x14ac:dyDescent="0.25">
      <c r="A5829" s="74">
        <v>10621</v>
      </c>
    </row>
    <row r="5830" spans="1:1" x14ac:dyDescent="0.25">
      <c r="A5830" s="74">
        <v>10622</v>
      </c>
    </row>
    <row r="5831" spans="1:1" x14ac:dyDescent="0.25">
      <c r="A5831" s="74">
        <v>10623</v>
      </c>
    </row>
    <row r="5832" spans="1:1" x14ac:dyDescent="0.25">
      <c r="A5832" s="74">
        <v>10624</v>
      </c>
    </row>
    <row r="5833" spans="1:1" x14ac:dyDescent="0.25">
      <c r="A5833" s="74">
        <v>10625</v>
      </c>
    </row>
    <row r="5834" spans="1:1" x14ac:dyDescent="0.25">
      <c r="A5834" s="74">
        <v>10626</v>
      </c>
    </row>
    <row r="5835" spans="1:1" x14ac:dyDescent="0.25">
      <c r="A5835" s="74">
        <v>10627</v>
      </c>
    </row>
    <row r="5836" spans="1:1" x14ac:dyDescent="0.25">
      <c r="A5836" s="74">
        <v>10628</v>
      </c>
    </row>
    <row r="5837" spans="1:1" x14ac:dyDescent="0.25">
      <c r="A5837" s="74">
        <v>10629</v>
      </c>
    </row>
    <row r="5838" spans="1:1" x14ac:dyDescent="0.25">
      <c r="A5838" s="74">
        <v>10630</v>
      </c>
    </row>
    <row r="5839" spans="1:1" x14ac:dyDescent="0.25">
      <c r="A5839" s="74">
        <v>10631</v>
      </c>
    </row>
    <row r="5840" spans="1:1" x14ac:dyDescent="0.25">
      <c r="A5840" s="74">
        <v>10632</v>
      </c>
    </row>
    <row r="5841" spans="1:1" x14ac:dyDescent="0.25">
      <c r="A5841" s="74">
        <v>10633</v>
      </c>
    </row>
    <row r="5842" spans="1:1" x14ac:dyDescent="0.25">
      <c r="A5842" s="74">
        <v>10634</v>
      </c>
    </row>
    <row r="5843" spans="1:1" x14ac:dyDescent="0.25">
      <c r="A5843" s="74">
        <v>10635</v>
      </c>
    </row>
    <row r="5844" spans="1:1" x14ac:dyDescent="0.25">
      <c r="A5844" s="74">
        <v>10636</v>
      </c>
    </row>
    <row r="5845" spans="1:1" x14ac:dyDescent="0.25">
      <c r="A5845" s="74">
        <v>10637</v>
      </c>
    </row>
    <row r="5846" spans="1:1" x14ac:dyDescent="0.25">
      <c r="A5846" s="74">
        <v>10638</v>
      </c>
    </row>
    <row r="5847" spans="1:1" x14ac:dyDescent="0.25">
      <c r="A5847" s="74">
        <v>10639</v>
      </c>
    </row>
    <row r="5848" spans="1:1" x14ac:dyDescent="0.25">
      <c r="A5848" s="74">
        <v>10640</v>
      </c>
    </row>
    <row r="5849" spans="1:1" x14ac:dyDescent="0.25">
      <c r="A5849" s="74">
        <v>10641</v>
      </c>
    </row>
    <row r="5850" spans="1:1" x14ac:dyDescent="0.25">
      <c r="A5850" s="74">
        <v>10642</v>
      </c>
    </row>
    <row r="5851" spans="1:1" x14ac:dyDescent="0.25">
      <c r="A5851" s="74">
        <v>10643</v>
      </c>
    </row>
    <row r="5852" spans="1:1" x14ac:dyDescent="0.25">
      <c r="A5852" s="74">
        <v>10644</v>
      </c>
    </row>
    <row r="5853" spans="1:1" x14ac:dyDescent="0.25">
      <c r="A5853" s="74">
        <v>10645</v>
      </c>
    </row>
    <row r="5854" spans="1:1" x14ac:dyDescent="0.25">
      <c r="A5854" s="74">
        <v>10646</v>
      </c>
    </row>
    <row r="5855" spans="1:1" x14ac:dyDescent="0.25">
      <c r="A5855" s="74">
        <v>10647</v>
      </c>
    </row>
    <row r="5856" spans="1:1" x14ac:dyDescent="0.25">
      <c r="A5856" s="74">
        <v>10648</v>
      </c>
    </row>
    <row r="5857" spans="1:1" x14ac:dyDescent="0.25">
      <c r="A5857" s="74">
        <v>10649</v>
      </c>
    </row>
    <row r="5858" spans="1:1" x14ac:dyDescent="0.25">
      <c r="A5858" s="74">
        <v>10650</v>
      </c>
    </row>
    <row r="5859" spans="1:1" x14ac:dyDescent="0.25">
      <c r="A5859" s="74">
        <v>10651</v>
      </c>
    </row>
    <row r="5860" spans="1:1" x14ac:dyDescent="0.25">
      <c r="A5860" s="74">
        <v>10652</v>
      </c>
    </row>
    <row r="5861" spans="1:1" x14ac:dyDescent="0.25">
      <c r="A5861" s="74">
        <v>10653</v>
      </c>
    </row>
    <row r="5862" spans="1:1" x14ac:dyDescent="0.25">
      <c r="A5862" s="74">
        <v>10654</v>
      </c>
    </row>
    <row r="5863" spans="1:1" x14ac:dyDescent="0.25">
      <c r="A5863" s="74">
        <v>10655</v>
      </c>
    </row>
    <row r="5864" spans="1:1" x14ac:dyDescent="0.25">
      <c r="A5864" s="74">
        <v>10656</v>
      </c>
    </row>
    <row r="5865" spans="1:1" x14ac:dyDescent="0.25">
      <c r="A5865" s="74">
        <v>10657</v>
      </c>
    </row>
    <row r="5866" spans="1:1" x14ac:dyDescent="0.25">
      <c r="A5866" s="74">
        <v>10658</v>
      </c>
    </row>
    <row r="5867" spans="1:1" x14ac:dyDescent="0.25">
      <c r="A5867" s="74">
        <v>10659</v>
      </c>
    </row>
    <row r="5868" spans="1:1" x14ac:dyDescent="0.25">
      <c r="A5868" s="74">
        <v>10660</v>
      </c>
    </row>
    <row r="5869" spans="1:1" x14ac:dyDescent="0.25">
      <c r="A5869" s="74">
        <v>10661</v>
      </c>
    </row>
    <row r="5870" spans="1:1" x14ac:dyDescent="0.25">
      <c r="A5870" s="74">
        <v>10662</v>
      </c>
    </row>
    <row r="5871" spans="1:1" x14ac:dyDescent="0.25">
      <c r="A5871" s="74">
        <v>10663</v>
      </c>
    </row>
    <row r="5872" spans="1:1" x14ac:dyDescent="0.25">
      <c r="A5872" s="74">
        <v>10664</v>
      </c>
    </row>
    <row r="5873" spans="1:1" x14ac:dyDescent="0.25">
      <c r="A5873" s="74">
        <v>10665</v>
      </c>
    </row>
    <row r="5874" spans="1:1" x14ac:dyDescent="0.25">
      <c r="A5874" s="74">
        <v>10666</v>
      </c>
    </row>
    <row r="5875" spans="1:1" x14ac:dyDescent="0.25">
      <c r="A5875" s="74">
        <v>10667</v>
      </c>
    </row>
    <row r="5876" spans="1:1" x14ac:dyDescent="0.25">
      <c r="A5876" s="74">
        <v>10668</v>
      </c>
    </row>
    <row r="5877" spans="1:1" x14ac:dyDescent="0.25">
      <c r="A5877" s="74">
        <v>10669</v>
      </c>
    </row>
    <row r="5878" spans="1:1" x14ac:dyDescent="0.25">
      <c r="A5878" s="74">
        <v>10670</v>
      </c>
    </row>
    <row r="5879" spans="1:1" x14ac:dyDescent="0.25">
      <c r="A5879" s="74">
        <v>10671</v>
      </c>
    </row>
    <row r="5880" spans="1:1" x14ac:dyDescent="0.25">
      <c r="A5880" s="74">
        <v>10672</v>
      </c>
    </row>
    <row r="5881" spans="1:1" x14ac:dyDescent="0.25">
      <c r="A5881" s="74">
        <v>10673</v>
      </c>
    </row>
    <row r="5882" spans="1:1" x14ac:dyDescent="0.25">
      <c r="A5882" s="74">
        <v>10674</v>
      </c>
    </row>
    <row r="5883" spans="1:1" x14ac:dyDescent="0.25">
      <c r="A5883" s="74">
        <v>10675</v>
      </c>
    </row>
    <row r="5884" spans="1:1" x14ac:dyDescent="0.25">
      <c r="A5884" s="74">
        <v>10676</v>
      </c>
    </row>
    <row r="5885" spans="1:1" x14ac:dyDescent="0.25">
      <c r="A5885" s="74">
        <v>10677</v>
      </c>
    </row>
    <row r="5886" spans="1:1" x14ac:dyDescent="0.25">
      <c r="A5886" s="74">
        <v>10678</v>
      </c>
    </row>
    <row r="5887" spans="1:1" x14ac:dyDescent="0.25">
      <c r="A5887" s="74">
        <v>10679</v>
      </c>
    </row>
    <row r="5888" spans="1:1" x14ac:dyDescent="0.25">
      <c r="A5888" s="74">
        <v>10680</v>
      </c>
    </row>
    <row r="5889" spans="1:1" x14ac:dyDescent="0.25">
      <c r="A5889" s="74">
        <v>10681</v>
      </c>
    </row>
    <row r="5890" spans="1:1" x14ac:dyDescent="0.25">
      <c r="A5890" s="74">
        <v>10682</v>
      </c>
    </row>
    <row r="5891" spans="1:1" x14ac:dyDescent="0.25">
      <c r="A5891" s="74">
        <v>10683</v>
      </c>
    </row>
    <row r="5892" spans="1:1" x14ac:dyDescent="0.25">
      <c r="A5892" s="74">
        <v>10684</v>
      </c>
    </row>
    <row r="5893" spans="1:1" x14ac:dyDescent="0.25">
      <c r="A5893" s="74">
        <v>10685</v>
      </c>
    </row>
    <row r="5894" spans="1:1" x14ac:dyDescent="0.25">
      <c r="A5894" s="74">
        <v>10686</v>
      </c>
    </row>
    <row r="5895" spans="1:1" x14ac:dyDescent="0.25">
      <c r="A5895" s="74">
        <v>10687</v>
      </c>
    </row>
    <row r="5896" spans="1:1" x14ac:dyDescent="0.25">
      <c r="A5896" s="74">
        <v>10688</v>
      </c>
    </row>
    <row r="5897" spans="1:1" x14ac:dyDescent="0.25">
      <c r="A5897" s="74">
        <v>10689</v>
      </c>
    </row>
    <row r="5898" spans="1:1" x14ac:dyDescent="0.25">
      <c r="A5898" s="74">
        <v>10690</v>
      </c>
    </row>
    <row r="5899" spans="1:1" x14ac:dyDescent="0.25">
      <c r="A5899" s="74">
        <v>10691</v>
      </c>
    </row>
    <row r="5900" spans="1:1" x14ac:dyDescent="0.25">
      <c r="A5900" s="74">
        <v>10692</v>
      </c>
    </row>
    <row r="5901" spans="1:1" x14ac:dyDescent="0.25">
      <c r="A5901" s="74">
        <v>10693</v>
      </c>
    </row>
    <row r="5902" spans="1:1" x14ac:dyDescent="0.25">
      <c r="A5902" s="74">
        <v>10694</v>
      </c>
    </row>
    <row r="5903" spans="1:1" x14ac:dyDescent="0.25">
      <c r="A5903" s="74">
        <v>10695</v>
      </c>
    </row>
    <row r="5904" spans="1:1" x14ac:dyDescent="0.25">
      <c r="A5904" s="74">
        <v>10696</v>
      </c>
    </row>
    <row r="5905" spans="1:1" x14ac:dyDescent="0.25">
      <c r="A5905" s="74">
        <v>10697</v>
      </c>
    </row>
    <row r="5906" spans="1:1" x14ac:dyDescent="0.25">
      <c r="A5906" s="74">
        <v>10698</v>
      </c>
    </row>
    <row r="5907" spans="1:1" x14ac:dyDescent="0.25">
      <c r="A5907" s="74">
        <v>10699</v>
      </c>
    </row>
    <row r="5908" spans="1:1" x14ac:dyDescent="0.25">
      <c r="A5908" s="74">
        <v>10700</v>
      </c>
    </row>
    <row r="5909" spans="1:1" x14ac:dyDescent="0.25">
      <c r="A5909" s="74">
        <v>10701</v>
      </c>
    </row>
    <row r="5910" spans="1:1" x14ac:dyDescent="0.25">
      <c r="A5910" s="74">
        <v>10702</v>
      </c>
    </row>
    <row r="5911" spans="1:1" x14ac:dyDescent="0.25">
      <c r="A5911" s="74">
        <v>10703</v>
      </c>
    </row>
    <row r="5912" spans="1:1" x14ac:dyDescent="0.25">
      <c r="A5912" s="74">
        <v>10704</v>
      </c>
    </row>
    <row r="5913" spans="1:1" x14ac:dyDescent="0.25">
      <c r="A5913" s="74">
        <v>10705</v>
      </c>
    </row>
    <row r="5914" spans="1:1" x14ac:dyDescent="0.25">
      <c r="A5914" s="74">
        <v>10706</v>
      </c>
    </row>
    <row r="5915" spans="1:1" x14ac:dyDescent="0.25">
      <c r="A5915" s="74">
        <v>10707</v>
      </c>
    </row>
    <row r="5916" spans="1:1" x14ac:dyDescent="0.25">
      <c r="A5916" s="74">
        <v>10708</v>
      </c>
    </row>
    <row r="5917" spans="1:1" x14ac:dyDescent="0.25">
      <c r="A5917" s="74">
        <v>10709</v>
      </c>
    </row>
    <row r="5918" spans="1:1" x14ac:dyDescent="0.25">
      <c r="A5918" s="74">
        <v>10710</v>
      </c>
    </row>
    <row r="5919" spans="1:1" x14ac:dyDescent="0.25">
      <c r="A5919" s="74">
        <v>10711</v>
      </c>
    </row>
    <row r="5920" spans="1:1" x14ac:dyDescent="0.25">
      <c r="A5920" s="74">
        <v>10712</v>
      </c>
    </row>
    <row r="5921" spans="1:1" x14ac:dyDescent="0.25">
      <c r="A5921" s="74">
        <v>10713</v>
      </c>
    </row>
    <row r="5922" spans="1:1" x14ac:dyDescent="0.25">
      <c r="A5922" s="74">
        <v>10714</v>
      </c>
    </row>
    <row r="5923" spans="1:1" x14ac:dyDescent="0.25">
      <c r="A5923" s="74">
        <v>10715</v>
      </c>
    </row>
    <row r="5924" spans="1:1" x14ac:dyDescent="0.25">
      <c r="A5924" s="74">
        <v>10716</v>
      </c>
    </row>
    <row r="5925" spans="1:1" x14ac:dyDescent="0.25">
      <c r="A5925" s="74">
        <v>10717</v>
      </c>
    </row>
    <row r="5926" spans="1:1" x14ac:dyDescent="0.25">
      <c r="A5926" s="74">
        <v>10718</v>
      </c>
    </row>
    <row r="5927" spans="1:1" x14ac:dyDescent="0.25">
      <c r="A5927" s="74">
        <v>10719</v>
      </c>
    </row>
    <row r="5928" spans="1:1" x14ac:dyDescent="0.25">
      <c r="A5928" s="74">
        <v>10720</v>
      </c>
    </row>
    <row r="5929" spans="1:1" x14ac:dyDescent="0.25">
      <c r="A5929" s="74">
        <v>10721</v>
      </c>
    </row>
    <row r="5930" spans="1:1" x14ac:dyDescent="0.25">
      <c r="A5930" s="74">
        <v>10722</v>
      </c>
    </row>
    <row r="5931" spans="1:1" x14ac:dyDescent="0.25">
      <c r="A5931" s="74">
        <v>10723</v>
      </c>
    </row>
    <row r="5932" spans="1:1" x14ac:dyDescent="0.25">
      <c r="A5932" s="74">
        <v>10724</v>
      </c>
    </row>
    <row r="5933" spans="1:1" x14ac:dyDescent="0.25">
      <c r="A5933" s="74">
        <v>10725</v>
      </c>
    </row>
    <row r="5934" spans="1:1" x14ac:dyDescent="0.25">
      <c r="A5934" s="74">
        <v>10726</v>
      </c>
    </row>
    <row r="5935" spans="1:1" x14ac:dyDescent="0.25">
      <c r="A5935" s="74">
        <v>10727</v>
      </c>
    </row>
    <row r="5936" spans="1:1" x14ac:dyDescent="0.25">
      <c r="A5936" s="74">
        <v>10728</v>
      </c>
    </row>
    <row r="5937" spans="1:1" x14ac:dyDescent="0.25">
      <c r="A5937" s="74">
        <v>10729</v>
      </c>
    </row>
    <row r="5938" spans="1:1" x14ac:dyDescent="0.25">
      <c r="A5938" s="74">
        <v>10730</v>
      </c>
    </row>
    <row r="5939" spans="1:1" x14ac:dyDescent="0.25">
      <c r="A5939" s="74">
        <v>10731</v>
      </c>
    </row>
    <row r="5940" spans="1:1" x14ac:dyDescent="0.25">
      <c r="A5940" s="74">
        <v>10732</v>
      </c>
    </row>
    <row r="5941" spans="1:1" x14ac:dyDescent="0.25">
      <c r="A5941" s="74">
        <v>10733</v>
      </c>
    </row>
    <row r="5942" spans="1:1" x14ac:dyDescent="0.25">
      <c r="A5942" s="74">
        <v>10734</v>
      </c>
    </row>
    <row r="5943" spans="1:1" x14ac:dyDescent="0.25">
      <c r="A5943" s="74">
        <v>10735</v>
      </c>
    </row>
    <row r="5944" spans="1:1" x14ac:dyDescent="0.25">
      <c r="A5944" s="74">
        <v>10736</v>
      </c>
    </row>
    <row r="5945" spans="1:1" x14ac:dyDescent="0.25">
      <c r="A5945" s="74">
        <v>10737</v>
      </c>
    </row>
    <row r="5946" spans="1:1" x14ac:dyDescent="0.25">
      <c r="A5946" s="74">
        <v>10738</v>
      </c>
    </row>
    <row r="5947" spans="1:1" x14ac:dyDescent="0.25">
      <c r="A5947" s="74">
        <v>10739</v>
      </c>
    </row>
    <row r="5948" spans="1:1" x14ac:dyDescent="0.25">
      <c r="A5948" s="74">
        <v>10740</v>
      </c>
    </row>
    <row r="5949" spans="1:1" x14ac:dyDescent="0.25">
      <c r="A5949" s="74">
        <v>10741</v>
      </c>
    </row>
    <row r="5950" spans="1:1" x14ac:dyDescent="0.25">
      <c r="A5950" s="74">
        <v>10742</v>
      </c>
    </row>
    <row r="5951" spans="1:1" x14ac:dyDescent="0.25">
      <c r="A5951" s="74">
        <v>10743</v>
      </c>
    </row>
    <row r="5952" spans="1:1" x14ac:dyDescent="0.25">
      <c r="A5952" s="74">
        <v>10744</v>
      </c>
    </row>
    <row r="5953" spans="1:1" x14ac:dyDescent="0.25">
      <c r="A5953" s="74">
        <v>10745</v>
      </c>
    </row>
    <row r="5954" spans="1:1" x14ac:dyDescent="0.25">
      <c r="A5954" s="74">
        <v>10746</v>
      </c>
    </row>
    <row r="5955" spans="1:1" x14ac:dyDescent="0.25">
      <c r="A5955" s="74">
        <v>10747</v>
      </c>
    </row>
    <row r="5956" spans="1:1" x14ac:dyDescent="0.25">
      <c r="A5956" s="74">
        <v>10748</v>
      </c>
    </row>
    <row r="5957" spans="1:1" x14ac:dyDescent="0.25">
      <c r="A5957" s="74">
        <v>10749</v>
      </c>
    </row>
    <row r="5958" spans="1:1" x14ac:dyDescent="0.25">
      <c r="A5958" s="74">
        <v>10750</v>
      </c>
    </row>
    <row r="5959" spans="1:1" x14ac:dyDescent="0.25">
      <c r="A5959" s="74">
        <v>10751</v>
      </c>
    </row>
    <row r="5960" spans="1:1" x14ac:dyDescent="0.25">
      <c r="A5960" s="74">
        <v>10752</v>
      </c>
    </row>
    <row r="5961" spans="1:1" x14ac:dyDescent="0.25">
      <c r="A5961" s="74">
        <v>10753</v>
      </c>
    </row>
    <row r="5962" spans="1:1" x14ac:dyDescent="0.25">
      <c r="A5962" s="74">
        <v>10754</v>
      </c>
    </row>
    <row r="5963" spans="1:1" x14ac:dyDescent="0.25">
      <c r="A5963" s="74">
        <v>10755</v>
      </c>
    </row>
    <row r="5964" spans="1:1" x14ac:dyDescent="0.25">
      <c r="A5964" s="74">
        <v>10756</v>
      </c>
    </row>
    <row r="5965" spans="1:1" x14ac:dyDescent="0.25">
      <c r="A5965" s="74">
        <v>10757</v>
      </c>
    </row>
    <row r="5966" spans="1:1" x14ac:dyDescent="0.25">
      <c r="A5966" s="74">
        <v>10758</v>
      </c>
    </row>
    <row r="5967" spans="1:1" x14ac:dyDescent="0.25">
      <c r="A5967" s="74">
        <v>10759</v>
      </c>
    </row>
    <row r="5968" spans="1:1" x14ac:dyDescent="0.25">
      <c r="A5968" s="74">
        <v>10760</v>
      </c>
    </row>
    <row r="5969" spans="1:1" x14ac:dyDescent="0.25">
      <c r="A5969" s="74">
        <v>10761</v>
      </c>
    </row>
    <row r="5970" spans="1:1" x14ac:dyDescent="0.25">
      <c r="A5970" s="74">
        <v>10762</v>
      </c>
    </row>
    <row r="5971" spans="1:1" x14ac:dyDescent="0.25">
      <c r="A5971" s="74">
        <v>10763</v>
      </c>
    </row>
    <row r="5972" spans="1:1" x14ac:dyDescent="0.25">
      <c r="A5972" s="74">
        <v>10764</v>
      </c>
    </row>
    <row r="5973" spans="1:1" x14ac:dyDescent="0.25">
      <c r="A5973" s="74">
        <v>10765</v>
      </c>
    </row>
    <row r="5974" spans="1:1" x14ac:dyDescent="0.25">
      <c r="A5974" s="74">
        <v>10766</v>
      </c>
    </row>
    <row r="5975" spans="1:1" x14ac:dyDescent="0.25">
      <c r="A5975" s="74">
        <v>10767</v>
      </c>
    </row>
    <row r="5976" spans="1:1" x14ac:dyDescent="0.25">
      <c r="A5976" s="74">
        <v>10768</v>
      </c>
    </row>
    <row r="5977" spans="1:1" x14ac:dyDescent="0.25">
      <c r="A5977" s="74">
        <v>10769</v>
      </c>
    </row>
    <row r="5978" spans="1:1" x14ac:dyDescent="0.25">
      <c r="A5978" s="74">
        <v>10770</v>
      </c>
    </row>
    <row r="5979" spans="1:1" x14ac:dyDescent="0.25">
      <c r="A5979" s="74">
        <v>10771</v>
      </c>
    </row>
    <row r="5980" spans="1:1" x14ac:dyDescent="0.25">
      <c r="A5980" s="74">
        <v>10772</v>
      </c>
    </row>
    <row r="5981" spans="1:1" x14ac:dyDescent="0.25">
      <c r="A5981" s="74">
        <v>10773</v>
      </c>
    </row>
    <row r="5982" spans="1:1" x14ac:dyDescent="0.25">
      <c r="A5982" s="74">
        <v>10774</v>
      </c>
    </row>
    <row r="5983" spans="1:1" x14ac:dyDescent="0.25">
      <c r="A5983" s="74">
        <v>10775</v>
      </c>
    </row>
    <row r="5984" spans="1:1" x14ac:dyDescent="0.25">
      <c r="A5984" s="74">
        <v>10776</v>
      </c>
    </row>
    <row r="5985" spans="1:1" x14ac:dyDescent="0.25">
      <c r="A5985" s="74">
        <v>10777</v>
      </c>
    </row>
    <row r="5986" spans="1:1" x14ac:dyDescent="0.25">
      <c r="A5986" s="74">
        <v>10778</v>
      </c>
    </row>
    <row r="5987" spans="1:1" x14ac:dyDescent="0.25">
      <c r="A5987" s="74">
        <v>10779</v>
      </c>
    </row>
    <row r="5988" spans="1:1" x14ac:dyDescent="0.25">
      <c r="A5988" s="74">
        <v>10780</v>
      </c>
    </row>
    <row r="5989" spans="1:1" x14ac:dyDescent="0.25">
      <c r="A5989" s="74">
        <v>10781</v>
      </c>
    </row>
    <row r="5990" spans="1:1" x14ac:dyDescent="0.25">
      <c r="A5990" s="74">
        <v>10782</v>
      </c>
    </row>
    <row r="5991" spans="1:1" x14ac:dyDescent="0.25">
      <c r="A5991" s="74">
        <v>10783</v>
      </c>
    </row>
    <row r="5992" spans="1:1" x14ac:dyDescent="0.25">
      <c r="A5992" s="74">
        <v>10784</v>
      </c>
    </row>
    <row r="5993" spans="1:1" x14ac:dyDescent="0.25">
      <c r="A5993" s="74">
        <v>10785</v>
      </c>
    </row>
    <row r="5994" spans="1:1" x14ac:dyDescent="0.25">
      <c r="A5994" s="74">
        <v>10786</v>
      </c>
    </row>
    <row r="5995" spans="1:1" x14ac:dyDescent="0.25">
      <c r="A5995" s="74">
        <v>10787</v>
      </c>
    </row>
    <row r="5996" spans="1:1" x14ac:dyDescent="0.25">
      <c r="A5996" s="74">
        <v>10788</v>
      </c>
    </row>
    <row r="5997" spans="1:1" x14ac:dyDescent="0.25">
      <c r="A5997" s="74">
        <v>10789</v>
      </c>
    </row>
    <row r="5998" spans="1:1" x14ac:dyDescent="0.25">
      <c r="A5998" s="74">
        <v>10790</v>
      </c>
    </row>
    <row r="5999" spans="1:1" x14ac:dyDescent="0.25">
      <c r="A5999" s="74">
        <v>10791</v>
      </c>
    </row>
    <row r="6000" spans="1:1" x14ac:dyDescent="0.25">
      <c r="A6000" s="74">
        <v>10792</v>
      </c>
    </row>
    <row r="6001" spans="1:1" x14ac:dyDescent="0.25">
      <c r="A6001" s="74">
        <v>10793</v>
      </c>
    </row>
    <row r="6002" spans="1:1" x14ac:dyDescent="0.25">
      <c r="A6002" s="74">
        <v>10794</v>
      </c>
    </row>
    <row r="6003" spans="1:1" x14ac:dyDescent="0.25">
      <c r="A6003" s="74">
        <v>10795</v>
      </c>
    </row>
    <row r="6004" spans="1:1" x14ac:dyDescent="0.25">
      <c r="A6004" s="74">
        <v>10796</v>
      </c>
    </row>
    <row r="6005" spans="1:1" x14ac:dyDescent="0.25">
      <c r="A6005" s="74">
        <v>10797</v>
      </c>
    </row>
    <row r="6006" spans="1:1" x14ac:dyDescent="0.25">
      <c r="A6006" s="74">
        <v>10798</v>
      </c>
    </row>
    <row r="6007" spans="1:1" x14ac:dyDescent="0.25">
      <c r="A6007" s="74">
        <v>10799</v>
      </c>
    </row>
    <row r="6008" spans="1:1" x14ac:dyDescent="0.25">
      <c r="A6008" s="74">
        <v>10800</v>
      </c>
    </row>
    <row r="6009" spans="1:1" x14ac:dyDescent="0.25">
      <c r="A6009" s="74">
        <v>10801</v>
      </c>
    </row>
    <row r="6010" spans="1:1" x14ac:dyDescent="0.25">
      <c r="A6010" s="74">
        <v>10802</v>
      </c>
    </row>
    <row r="6011" spans="1:1" x14ac:dyDescent="0.25">
      <c r="A6011" s="74">
        <v>10803</v>
      </c>
    </row>
    <row r="6012" spans="1:1" x14ac:dyDescent="0.25">
      <c r="A6012" s="74">
        <v>10804</v>
      </c>
    </row>
    <row r="6013" spans="1:1" x14ac:dyDescent="0.25">
      <c r="A6013" s="74">
        <v>10805</v>
      </c>
    </row>
    <row r="6014" spans="1:1" x14ac:dyDescent="0.25">
      <c r="A6014" s="74">
        <v>10806</v>
      </c>
    </row>
    <row r="6015" spans="1:1" x14ac:dyDescent="0.25">
      <c r="A6015" s="74">
        <v>10807</v>
      </c>
    </row>
    <row r="6016" spans="1:1" x14ac:dyDescent="0.25">
      <c r="A6016" s="74">
        <v>10808</v>
      </c>
    </row>
    <row r="6017" spans="1:1" x14ac:dyDescent="0.25">
      <c r="A6017" s="74">
        <v>10809</v>
      </c>
    </row>
    <row r="6018" spans="1:1" x14ac:dyDescent="0.25">
      <c r="A6018" s="74">
        <v>10810</v>
      </c>
    </row>
    <row r="6019" spans="1:1" x14ac:dyDescent="0.25">
      <c r="A6019" s="74">
        <v>10811</v>
      </c>
    </row>
    <row r="6020" spans="1:1" x14ac:dyDescent="0.25">
      <c r="A6020" s="74">
        <v>10812</v>
      </c>
    </row>
    <row r="6021" spans="1:1" x14ac:dyDescent="0.25">
      <c r="A6021" s="74">
        <v>10813</v>
      </c>
    </row>
    <row r="6022" spans="1:1" x14ac:dyDescent="0.25">
      <c r="A6022" s="74">
        <v>10814</v>
      </c>
    </row>
    <row r="6023" spans="1:1" x14ac:dyDescent="0.25">
      <c r="A6023" s="74">
        <v>10815</v>
      </c>
    </row>
    <row r="6024" spans="1:1" x14ac:dyDescent="0.25">
      <c r="A6024" s="74">
        <v>10816</v>
      </c>
    </row>
    <row r="6025" spans="1:1" x14ac:dyDescent="0.25">
      <c r="A6025" s="74">
        <v>10817</v>
      </c>
    </row>
    <row r="6026" spans="1:1" x14ac:dyDescent="0.25">
      <c r="A6026" s="74">
        <v>10818</v>
      </c>
    </row>
    <row r="6027" spans="1:1" x14ac:dyDescent="0.25">
      <c r="A6027" s="74">
        <v>10819</v>
      </c>
    </row>
    <row r="6028" spans="1:1" x14ac:dyDescent="0.25">
      <c r="A6028" s="74">
        <v>10820</v>
      </c>
    </row>
    <row r="6029" spans="1:1" x14ac:dyDescent="0.25">
      <c r="A6029" s="74">
        <v>10821</v>
      </c>
    </row>
    <row r="6030" spans="1:1" x14ac:dyDescent="0.25">
      <c r="A6030" s="74">
        <v>10822</v>
      </c>
    </row>
    <row r="6031" spans="1:1" x14ac:dyDescent="0.25">
      <c r="A6031" s="74">
        <v>10823</v>
      </c>
    </row>
    <row r="6032" spans="1:1" x14ac:dyDescent="0.25">
      <c r="A6032" s="74">
        <v>10824</v>
      </c>
    </row>
    <row r="6033" spans="1:1" x14ac:dyDescent="0.25">
      <c r="A6033" s="74">
        <v>10825</v>
      </c>
    </row>
    <row r="6034" spans="1:1" x14ac:dyDescent="0.25">
      <c r="A6034" s="74">
        <v>10826</v>
      </c>
    </row>
    <row r="6035" spans="1:1" x14ac:dyDescent="0.25">
      <c r="A6035" s="74">
        <v>10827</v>
      </c>
    </row>
    <row r="6036" spans="1:1" x14ac:dyDescent="0.25">
      <c r="A6036" s="74">
        <v>10828</v>
      </c>
    </row>
    <row r="6037" spans="1:1" x14ac:dyDescent="0.25">
      <c r="A6037" s="74">
        <v>10829</v>
      </c>
    </row>
    <row r="6038" spans="1:1" x14ac:dyDescent="0.25">
      <c r="A6038" s="74">
        <v>10830</v>
      </c>
    </row>
    <row r="6039" spans="1:1" x14ac:dyDescent="0.25">
      <c r="A6039" s="74">
        <v>10831</v>
      </c>
    </row>
    <row r="6040" spans="1:1" x14ac:dyDescent="0.25">
      <c r="A6040" s="74">
        <v>10832</v>
      </c>
    </row>
    <row r="6041" spans="1:1" x14ac:dyDescent="0.25">
      <c r="A6041" s="74">
        <v>10833</v>
      </c>
    </row>
    <row r="6042" spans="1:1" x14ac:dyDescent="0.25">
      <c r="A6042" s="74">
        <v>10834</v>
      </c>
    </row>
    <row r="6043" spans="1:1" x14ac:dyDescent="0.25">
      <c r="A6043" s="74">
        <v>10835</v>
      </c>
    </row>
    <row r="6044" spans="1:1" x14ac:dyDescent="0.25">
      <c r="A6044" s="74">
        <v>10836</v>
      </c>
    </row>
    <row r="6045" spans="1:1" x14ac:dyDescent="0.25">
      <c r="A6045" s="74">
        <v>10837</v>
      </c>
    </row>
    <row r="6046" spans="1:1" x14ac:dyDescent="0.25">
      <c r="A6046" s="74">
        <v>10838</v>
      </c>
    </row>
    <row r="6047" spans="1:1" x14ac:dyDescent="0.25">
      <c r="A6047" s="74">
        <v>10839</v>
      </c>
    </row>
    <row r="6048" spans="1:1" x14ac:dyDescent="0.25">
      <c r="A6048" s="74">
        <v>10840</v>
      </c>
    </row>
    <row r="6049" spans="1:1" x14ac:dyDescent="0.25">
      <c r="A6049" s="74">
        <v>10841</v>
      </c>
    </row>
    <row r="6050" spans="1:1" x14ac:dyDescent="0.25">
      <c r="A6050" s="74">
        <v>10842</v>
      </c>
    </row>
    <row r="6051" spans="1:1" x14ac:dyDescent="0.25">
      <c r="A6051" s="74">
        <v>10843</v>
      </c>
    </row>
    <row r="6052" spans="1:1" x14ac:dyDescent="0.25">
      <c r="A6052" s="74">
        <v>10844</v>
      </c>
    </row>
    <row r="6053" spans="1:1" x14ac:dyDescent="0.25">
      <c r="A6053" s="74">
        <v>10845</v>
      </c>
    </row>
    <row r="6054" spans="1:1" x14ac:dyDescent="0.25">
      <c r="A6054" s="74">
        <v>10846</v>
      </c>
    </row>
    <row r="6055" spans="1:1" x14ac:dyDescent="0.25">
      <c r="A6055" s="74">
        <v>10847</v>
      </c>
    </row>
    <row r="6056" spans="1:1" x14ac:dyDescent="0.25">
      <c r="A6056" s="74">
        <v>10848</v>
      </c>
    </row>
    <row r="6057" spans="1:1" x14ac:dyDescent="0.25">
      <c r="A6057" s="74">
        <v>10849</v>
      </c>
    </row>
    <row r="6058" spans="1:1" x14ac:dyDescent="0.25">
      <c r="A6058" s="74">
        <v>10850</v>
      </c>
    </row>
    <row r="6059" spans="1:1" x14ac:dyDescent="0.25">
      <c r="A6059" s="74">
        <v>10851</v>
      </c>
    </row>
    <row r="6060" spans="1:1" x14ac:dyDescent="0.25">
      <c r="A6060" s="74">
        <v>10852</v>
      </c>
    </row>
    <row r="6061" spans="1:1" x14ac:dyDescent="0.25">
      <c r="A6061" s="74">
        <v>10853</v>
      </c>
    </row>
    <row r="6062" spans="1:1" x14ac:dyDescent="0.25">
      <c r="A6062" s="74">
        <v>10854</v>
      </c>
    </row>
    <row r="6063" spans="1:1" x14ac:dyDescent="0.25">
      <c r="A6063" s="74">
        <v>10855</v>
      </c>
    </row>
    <row r="6064" spans="1:1" x14ac:dyDescent="0.25">
      <c r="A6064" s="74">
        <v>10856</v>
      </c>
    </row>
    <row r="6065" spans="1:1" x14ac:dyDescent="0.25">
      <c r="A6065" s="74">
        <v>10857</v>
      </c>
    </row>
    <row r="6066" spans="1:1" x14ac:dyDescent="0.25">
      <c r="A6066" s="74">
        <v>10858</v>
      </c>
    </row>
    <row r="6067" spans="1:1" x14ac:dyDescent="0.25">
      <c r="A6067" s="74">
        <v>10859</v>
      </c>
    </row>
    <row r="6068" spans="1:1" x14ac:dyDescent="0.25">
      <c r="A6068" s="74">
        <v>10860</v>
      </c>
    </row>
    <row r="6069" spans="1:1" x14ac:dyDescent="0.25">
      <c r="A6069" s="74">
        <v>10861</v>
      </c>
    </row>
    <row r="6070" spans="1:1" x14ac:dyDescent="0.25">
      <c r="A6070" s="74">
        <v>10862</v>
      </c>
    </row>
    <row r="6071" spans="1:1" x14ac:dyDescent="0.25">
      <c r="A6071" s="74">
        <v>10863</v>
      </c>
    </row>
    <row r="6072" spans="1:1" x14ac:dyDescent="0.25">
      <c r="A6072" s="74">
        <v>10864</v>
      </c>
    </row>
    <row r="6073" spans="1:1" x14ac:dyDescent="0.25">
      <c r="A6073" s="74">
        <v>10865</v>
      </c>
    </row>
    <row r="6074" spans="1:1" x14ac:dyDescent="0.25">
      <c r="A6074" s="74">
        <v>10866</v>
      </c>
    </row>
    <row r="6075" spans="1:1" x14ac:dyDescent="0.25">
      <c r="A6075" s="74">
        <v>10867</v>
      </c>
    </row>
    <row r="6076" spans="1:1" x14ac:dyDescent="0.25">
      <c r="A6076" s="74">
        <v>10868</v>
      </c>
    </row>
    <row r="6077" spans="1:1" x14ac:dyDescent="0.25">
      <c r="A6077" s="74">
        <v>10869</v>
      </c>
    </row>
    <row r="6078" spans="1:1" x14ac:dyDescent="0.25">
      <c r="A6078" s="74">
        <v>10870</v>
      </c>
    </row>
    <row r="6079" spans="1:1" x14ac:dyDescent="0.25">
      <c r="A6079" s="74">
        <v>10871</v>
      </c>
    </row>
    <row r="6080" spans="1:1" x14ac:dyDescent="0.25">
      <c r="A6080" s="74">
        <v>10872</v>
      </c>
    </row>
    <row r="6081" spans="1:1" x14ac:dyDescent="0.25">
      <c r="A6081" s="74">
        <v>10873</v>
      </c>
    </row>
    <row r="6082" spans="1:1" x14ac:dyDescent="0.25">
      <c r="A6082" s="74">
        <v>10874</v>
      </c>
    </row>
    <row r="6083" spans="1:1" x14ac:dyDescent="0.25">
      <c r="A6083" s="74">
        <v>10875</v>
      </c>
    </row>
    <row r="6084" spans="1:1" x14ac:dyDescent="0.25">
      <c r="A6084" s="74">
        <v>10876</v>
      </c>
    </row>
    <row r="6085" spans="1:1" x14ac:dyDescent="0.25">
      <c r="A6085" s="74">
        <v>10877</v>
      </c>
    </row>
    <row r="6086" spans="1:1" x14ac:dyDescent="0.25">
      <c r="A6086" s="74">
        <v>10878</v>
      </c>
    </row>
    <row r="6087" spans="1:1" x14ac:dyDescent="0.25">
      <c r="A6087" s="74">
        <v>10879</v>
      </c>
    </row>
    <row r="6088" spans="1:1" x14ac:dyDescent="0.25">
      <c r="A6088" s="74">
        <v>10880</v>
      </c>
    </row>
    <row r="6089" spans="1:1" x14ac:dyDescent="0.25">
      <c r="A6089" s="74">
        <v>10881</v>
      </c>
    </row>
    <row r="6090" spans="1:1" x14ac:dyDescent="0.25">
      <c r="A6090" s="74">
        <v>10882</v>
      </c>
    </row>
    <row r="6091" spans="1:1" x14ac:dyDescent="0.25">
      <c r="A6091" s="74">
        <v>10883</v>
      </c>
    </row>
    <row r="6092" spans="1:1" x14ac:dyDescent="0.25">
      <c r="A6092" s="74">
        <v>10884</v>
      </c>
    </row>
    <row r="6093" spans="1:1" x14ac:dyDescent="0.25">
      <c r="A6093" s="74">
        <v>10885</v>
      </c>
    </row>
    <row r="6094" spans="1:1" x14ac:dyDescent="0.25">
      <c r="A6094" s="74">
        <v>10886</v>
      </c>
    </row>
    <row r="6095" spans="1:1" x14ac:dyDescent="0.25">
      <c r="A6095" s="74">
        <v>10887</v>
      </c>
    </row>
    <row r="6096" spans="1:1" x14ac:dyDescent="0.25">
      <c r="A6096" s="74">
        <v>10888</v>
      </c>
    </row>
    <row r="6097" spans="1:1" x14ac:dyDescent="0.25">
      <c r="A6097" s="74">
        <v>10889</v>
      </c>
    </row>
    <row r="6098" spans="1:1" x14ac:dyDescent="0.25">
      <c r="A6098" s="74">
        <v>10890</v>
      </c>
    </row>
    <row r="6099" spans="1:1" x14ac:dyDescent="0.25">
      <c r="A6099" s="74">
        <v>10891</v>
      </c>
    </row>
    <row r="6100" spans="1:1" x14ac:dyDescent="0.25">
      <c r="A6100" s="74">
        <v>10892</v>
      </c>
    </row>
    <row r="6101" spans="1:1" x14ac:dyDescent="0.25">
      <c r="A6101" s="74">
        <v>10893</v>
      </c>
    </row>
    <row r="6102" spans="1:1" x14ac:dyDescent="0.25">
      <c r="A6102" s="74">
        <v>10894</v>
      </c>
    </row>
    <row r="6103" spans="1:1" x14ac:dyDescent="0.25">
      <c r="A6103" s="74">
        <v>10895</v>
      </c>
    </row>
    <row r="6104" spans="1:1" x14ac:dyDescent="0.25">
      <c r="A6104" s="74">
        <v>10896</v>
      </c>
    </row>
    <row r="6105" spans="1:1" x14ac:dyDescent="0.25">
      <c r="A6105" s="74">
        <v>10897</v>
      </c>
    </row>
    <row r="6106" spans="1:1" x14ac:dyDescent="0.25">
      <c r="A6106" s="74">
        <v>10898</v>
      </c>
    </row>
    <row r="6107" spans="1:1" x14ac:dyDescent="0.25">
      <c r="A6107" s="74">
        <v>10899</v>
      </c>
    </row>
    <row r="6108" spans="1:1" x14ac:dyDescent="0.25">
      <c r="A6108" s="74">
        <v>10900</v>
      </c>
    </row>
    <row r="6109" spans="1:1" x14ac:dyDescent="0.25">
      <c r="A6109" s="74">
        <v>10901</v>
      </c>
    </row>
    <row r="6110" spans="1:1" x14ac:dyDescent="0.25">
      <c r="A6110" s="74">
        <v>10902</v>
      </c>
    </row>
    <row r="6111" spans="1:1" x14ac:dyDescent="0.25">
      <c r="A6111" s="74">
        <v>10903</v>
      </c>
    </row>
    <row r="6112" spans="1:1" x14ac:dyDescent="0.25">
      <c r="A6112" s="74">
        <v>10904</v>
      </c>
    </row>
    <row r="6113" spans="1:1" x14ac:dyDescent="0.25">
      <c r="A6113" s="74">
        <v>10905</v>
      </c>
    </row>
    <row r="6114" spans="1:1" x14ac:dyDescent="0.25">
      <c r="A6114" s="74">
        <v>10906</v>
      </c>
    </row>
    <row r="6115" spans="1:1" x14ac:dyDescent="0.25">
      <c r="A6115" s="74">
        <v>10907</v>
      </c>
    </row>
    <row r="6116" spans="1:1" x14ac:dyDescent="0.25">
      <c r="A6116" s="74">
        <v>10908</v>
      </c>
    </row>
    <row r="6117" spans="1:1" x14ac:dyDescent="0.25">
      <c r="A6117" s="74">
        <v>10909</v>
      </c>
    </row>
    <row r="6118" spans="1:1" x14ac:dyDescent="0.25">
      <c r="A6118" s="74">
        <v>10910</v>
      </c>
    </row>
    <row r="6119" spans="1:1" x14ac:dyDescent="0.25">
      <c r="A6119" s="74">
        <v>10911</v>
      </c>
    </row>
    <row r="6120" spans="1:1" x14ac:dyDescent="0.25">
      <c r="A6120" s="74">
        <v>10912</v>
      </c>
    </row>
    <row r="6121" spans="1:1" x14ac:dyDescent="0.25">
      <c r="A6121" s="74">
        <v>10913</v>
      </c>
    </row>
    <row r="6122" spans="1:1" x14ac:dyDescent="0.25">
      <c r="A6122" s="74">
        <v>10914</v>
      </c>
    </row>
    <row r="6123" spans="1:1" x14ac:dyDescent="0.25">
      <c r="A6123" s="74">
        <v>10915</v>
      </c>
    </row>
    <row r="6124" spans="1:1" x14ac:dyDescent="0.25">
      <c r="A6124" s="74">
        <v>10916</v>
      </c>
    </row>
    <row r="6125" spans="1:1" x14ac:dyDescent="0.25">
      <c r="A6125" s="74">
        <v>10917</v>
      </c>
    </row>
    <row r="6126" spans="1:1" x14ac:dyDescent="0.25">
      <c r="A6126" s="74">
        <v>10918</v>
      </c>
    </row>
    <row r="6127" spans="1:1" x14ac:dyDescent="0.25">
      <c r="A6127" s="74">
        <v>10919</v>
      </c>
    </row>
    <row r="6128" spans="1:1" x14ac:dyDescent="0.25">
      <c r="A6128" s="74">
        <v>10920</v>
      </c>
    </row>
    <row r="6129" spans="1:1" x14ac:dyDescent="0.25">
      <c r="A6129" s="74">
        <v>10921</v>
      </c>
    </row>
    <row r="6130" spans="1:1" x14ac:dyDescent="0.25">
      <c r="A6130" s="74">
        <v>10922</v>
      </c>
    </row>
    <row r="6131" spans="1:1" x14ac:dyDescent="0.25">
      <c r="A6131" s="74">
        <v>10923</v>
      </c>
    </row>
    <row r="6132" spans="1:1" x14ac:dyDescent="0.25">
      <c r="A6132" s="74">
        <v>10924</v>
      </c>
    </row>
    <row r="6133" spans="1:1" x14ac:dyDescent="0.25">
      <c r="A6133" s="74">
        <v>10925</v>
      </c>
    </row>
    <row r="6134" spans="1:1" x14ac:dyDescent="0.25">
      <c r="A6134" s="74">
        <v>10926</v>
      </c>
    </row>
    <row r="6135" spans="1:1" x14ac:dyDescent="0.25">
      <c r="A6135" s="74">
        <v>10927</v>
      </c>
    </row>
    <row r="6136" spans="1:1" x14ac:dyDescent="0.25">
      <c r="A6136" s="74">
        <v>10928</v>
      </c>
    </row>
    <row r="6137" spans="1:1" x14ac:dyDescent="0.25">
      <c r="A6137" s="74">
        <v>10929</v>
      </c>
    </row>
    <row r="6138" spans="1:1" x14ac:dyDescent="0.25">
      <c r="A6138" s="74">
        <v>10930</v>
      </c>
    </row>
    <row r="6139" spans="1:1" x14ac:dyDescent="0.25">
      <c r="A6139" s="74">
        <v>10931</v>
      </c>
    </row>
    <row r="6140" spans="1:1" x14ac:dyDescent="0.25">
      <c r="A6140" s="74">
        <v>10932</v>
      </c>
    </row>
    <row r="6141" spans="1:1" x14ac:dyDescent="0.25">
      <c r="A6141" s="74">
        <v>10933</v>
      </c>
    </row>
    <row r="6142" spans="1:1" x14ac:dyDescent="0.25">
      <c r="A6142" s="74">
        <v>10934</v>
      </c>
    </row>
    <row r="6143" spans="1:1" x14ac:dyDescent="0.25">
      <c r="A6143" s="74">
        <v>10935</v>
      </c>
    </row>
    <row r="6144" spans="1:1" x14ac:dyDescent="0.25">
      <c r="A6144" s="74">
        <v>10936</v>
      </c>
    </row>
    <row r="6145" spans="1:1" x14ac:dyDescent="0.25">
      <c r="A6145" s="74">
        <v>10937</v>
      </c>
    </row>
    <row r="6146" spans="1:1" x14ac:dyDescent="0.25">
      <c r="A6146" s="74">
        <v>10938</v>
      </c>
    </row>
    <row r="6147" spans="1:1" x14ac:dyDescent="0.25">
      <c r="A6147" s="74">
        <v>10939</v>
      </c>
    </row>
    <row r="6148" spans="1:1" x14ac:dyDescent="0.25">
      <c r="A6148" s="74">
        <v>10940</v>
      </c>
    </row>
    <row r="6149" spans="1:1" x14ac:dyDescent="0.25">
      <c r="A6149" s="74">
        <v>10941</v>
      </c>
    </row>
    <row r="6150" spans="1:1" x14ac:dyDescent="0.25">
      <c r="A6150" s="74">
        <v>10942</v>
      </c>
    </row>
    <row r="6151" spans="1:1" x14ac:dyDescent="0.25">
      <c r="A6151" s="74">
        <v>10943</v>
      </c>
    </row>
    <row r="6152" spans="1:1" x14ac:dyDescent="0.25">
      <c r="A6152" s="74">
        <v>10944</v>
      </c>
    </row>
    <row r="6153" spans="1:1" x14ac:dyDescent="0.25">
      <c r="A6153" s="74">
        <v>10945</v>
      </c>
    </row>
    <row r="6154" spans="1:1" x14ac:dyDescent="0.25">
      <c r="A6154" s="74">
        <v>10946</v>
      </c>
    </row>
    <row r="6155" spans="1:1" x14ac:dyDescent="0.25">
      <c r="A6155" s="74">
        <v>10947</v>
      </c>
    </row>
    <row r="6156" spans="1:1" x14ac:dyDescent="0.25">
      <c r="A6156" s="74">
        <v>10948</v>
      </c>
    </row>
    <row r="6157" spans="1:1" x14ac:dyDescent="0.25">
      <c r="A6157" s="74">
        <v>10949</v>
      </c>
    </row>
    <row r="6158" spans="1:1" x14ac:dyDescent="0.25">
      <c r="A6158" s="74">
        <v>10950</v>
      </c>
    </row>
    <row r="6159" spans="1:1" x14ac:dyDescent="0.25">
      <c r="A6159" s="74">
        <v>10951</v>
      </c>
    </row>
    <row r="6160" spans="1:1" x14ac:dyDescent="0.25">
      <c r="A6160" s="74">
        <v>10952</v>
      </c>
    </row>
    <row r="6161" spans="1:1" x14ac:dyDescent="0.25">
      <c r="A6161" s="74">
        <v>10953</v>
      </c>
    </row>
    <row r="6162" spans="1:1" x14ac:dyDescent="0.25">
      <c r="A6162" s="74">
        <v>10954</v>
      </c>
    </row>
    <row r="6163" spans="1:1" x14ac:dyDescent="0.25">
      <c r="A6163" s="74">
        <v>10955</v>
      </c>
    </row>
    <row r="6164" spans="1:1" x14ac:dyDescent="0.25">
      <c r="A6164" s="74">
        <v>10956</v>
      </c>
    </row>
    <row r="6165" spans="1:1" x14ac:dyDescent="0.25">
      <c r="A6165" s="74">
        <v>10957</v>
      </c>
    </row>
    <row r="6166" spans="1:1" x14ac:dyDescent="0.25">
      <c r="A6166" s="74">
        <v>10958</v>
      </c>
    </row>
    <row r="6167" spans="1:1" x14ac:dyDescent="0.25">
      <c r="A6167" s="74">
        <v>10959</v>
      </c>
    </row>
    <row r="6168" spans="1:1" x14ac:dyDescent="0.25">
      <c r="A6168" s="74">
        <v>10960</v>
      </c>
    </row>
    <row r="6169" spans="1:1" x14ac:dyDescent="0.25">
      <c r="A6169" s="74">
        <v>10961</v>
      </c>
    </row>
    <row r="6170" spans="1:1" x14ac:dyDescent="0.25">
      <c r="A6170" s="74">
        <v>10962</v>
      </c>
    </row>
    <row r="6171" spans="1:1" x14ac:dyDescent="0.25">
      <c r="A6171" s="74">
        <v>10963</v>
      </c>
    </row>
    <row r="6172" spans="1:1" x14ac:dyDescent="0.25">
      <c r="A6172" s="74">
        <v>10964</v>
      </c>
    </row>
    <row r="6173" spans="1:1" x14ac:dyDescent="0.25">
      <c r="A6173" s="74">
        <v>10965</v>
      </c>
    </row>
    <row r="6174" spans="1:1" x14ac:dyDescent="0.25">
      <c r="A6174" s="74">
        <v>10966</v>
      </c>
    </row>
    <row r="6175" spans="1:1" x14ac:dyDescent="0.25">
      <c r="A6175" s="74">
        <v>10967</v>
      </c>
    </row>
    <row r="6176" spans="1:1" x14ac:dyDescent="0.25">
      <c r="A6176" s="74">
        <v>10968</v>
      </c>
    </row>
    <row r="6177" spans="1:1" x14ac:dyDescent="0.25">
      <c r="A6177" s="74">
        <v>10969</v>
      </c>
    </row>
    <row r="6178" spans="1:1" x14ac:dyDescent="0.25">
      <c r="A6178" s="74">
        <v>10970</v>
      </c>
    </row>
    <row r="6179" spans="1:1" x14ac:dyDescent="0.25">
      <c r="A6179" s="74">
        <v>10971</v>
      </c>
    </row>
    <row r="6180" spans="1:1" x14ac:dyDescent="0.25">
      <c r="A6180" s="74">
        <v>10972</v>
      </c>
    </row>
    <row r="6181" spans="1:1" x14ac:dyDescent="0.25">
      <c r="A6181" s="74">
        <v>10973</v>
      </c>
    </row>
    <row r="6182" spans="1:1" x14ac:dyDescent="0.25">
      <c r="A6182" s="74">
        <v>10974</v>
      </c>
    </row>
    <row r="6183" spans="1:1" x14ac:dyDescent="0.25">
      <c r="A6183" s="74">
        <v>10975</v>
      </c>
    </row>
    <row r="6184" spans="1:1" x14ac:dyDescent="0.25">
      <c r="A6184" s="74">
        <v>10976</v>
      </c>
    </row>
    <row r="6185" spans="1:1" x14ac:dyDescent="0.25">
      <c r="A6185" s="74">
        <v>10977</v>
      </c>
    </row>
    <row r="6186" spans="1:1" x14ac:dyDescent="0.25">
      <c r="A6186" s="74">
        <v>10978</v>
      </c>
    </row>
    <row r="6187" spans="1:1" x14ac:dyDescent="0.25">
      <c r="A6187" s="74">
        <v>10979</v>
      </c>
    </row>
    <row r="6188" spans="1:1" x14ac:dyDescent="0.25">
      <c r="A6188" s="74">
        <v>10980</v>
      </c>
    </row>
    <row r="6189" spans="1:1" x14ac:dyDescent="0.25">
      <c r="A6189" s="74">
        <v>10981</v>
      </c>
    </row>
    <row r="6190" spans="1:1" x14ac:dyDescent="0.25">
      <c r="A6190" s="74">
        <v>10982</v>
      </c>
    </row>
    <row r="6191" spans="1:1" x14ac:dyDescent="0.25">
      <c r="A6191" s="74">
        <v>10983</v>
      </c>
    </row>
    <row r="6192" spans="1:1" x14ac:dyDescent="0.25">
      <c r="A6192" s="74">
        <v>10984</v>
      </c>
    </row>
    <row r="6193" spans="1:1" x14ac:dyDescent="0.25">
      <c r="A6193" s="74">
        <v>10985</v>
      </c>
    </row>
    <row r="6194" spans="1:1" x14ac:dyDescent="0.25">
      <c r="A6194" s="74">
        <v>10986</v>
      </c>
    </row>
    <row r="6195" spans="1:1" x14ac:dyDescent="0.25">
      <c r="A6195" s="74">
        <v>10987</v>
      </c>
    </row>
    <row r="6196" spans="1:1" x14ac:dyDescent="0.25">
      <c r="A6196" s="74">
        <v>10988</v>
      </c>
    </row>
    <row r="6197" spans="1:1" x14ac:dyDescent="0.25">
      <c r="A6197" s="74">
        <v>10989</v>
      </c>
    </row>
    <row r="6198" spans="1:1" x14ac:dyDescent="0.25">
      <c r="A6198" s="74">
        <v>10990</v>
      </c>
    </row>
    <row r="6199" spans="1:1" x14ac:dyDescent="0.25">
      <c r="A6199" s="74">
        <v>10991</v>
      </c>
    </row>
    <row r="6200" spans="1:1" x14ac:dyDescent="0.25">
      <c r="A6200" s="74">
        <v>10992</v>
      </c>
    </row>
    <row r="6201" spans="1:1" x14ac:dyDescent="0.25">
      <c r="A6201" s="74">
        <v>10993</v>
      </c>
    </row>
    <row r="6202" spans="1:1" x14ac:dyDescent="0.25">
      <c r="A6202" s="74">
        <v>10994</v>
      </c>
    </row>
    <row r="6203" spans="1:1" x14ac:dyDescent="0.25">
      <c r="A6203" s="74">
        <v>10995</v>
      </c>
    </row>
    <row r="6204" spans="1:1" x14ac:dyDescent="0.25">
      <c r="A6204" s="74">
        <v>10996</v>
      </c>
    </row>
    <row r="6205" spans="1:1" x14ac:dyDescent="0.25">
      <c r="A6205" s="74">
        <v>10997</v>
      </c>
    </row>
    <row r="6206" spans="1:1" x14ac:dyDescent="0.25">
      <c r="A6206" s="74">
        <v>10998</v>
      </c>
    </row>
    <row r="6207" spans="1:1" x14ac:dyDescent="0.25">
      <c r="A6207" s="74">
        <v>10999</v>
      </c>
    </row>
    <row r="6208" spans="1:1" x14ac:dyDescent="0.25">
      <c r="A6208" s="74">
        <v>11000</v>
      </c>
    </row>
    <row r="6209" spans="1:1" x14ac:dyDescent="0.25">
      <c r="A6209" s="74">
        <v>11001</v>
      </c>
    </row>
    <row r="6210" spans="1:1" x14ac:dyDescent="0.25">
      <c r="A6210" s="74">
        <v>11002</v>
      </c>
    </row>
    <row r="6211" spans="1:1" x14ac:dyDescent="0.25">
      <c r="A6211" s="74">
        <v>11003</v>
      </c>
    </row>
    <row r="6212" spans="1:1" x14ac:dyDescent="0.25">
      <c r="A6212" s="74">
        <v>11004</v>
      </c>
    </row>
    <row r="6213" spans="1:1" x14ac:dyDescent="0.25">
      <c r="A6213" s="74">
        <v>11005</v>
      </c>
    </row>
    <row r="6214" spans="1:1" x14ac:dyDescent="0.25">
      <c r="A6214" s="74">
        <v>11006</v>
      </c>
    </row>
    <row r="6215" spans="1:1" x14ac:dyDescent="0.25">
      <c r="A6215" s="74">
        <v>11007</v>
      </c>
    </row>
    <row r="6216" spans="1:1" x14ac:dyDescent="0.25">
      <c r="A6216" s="74">
        <v>11008</v>
      </c>
    </row>
    <row r="6217" spans="1:1" x14ac:dyDescent="0.25">
      <c r="A6217" s="74">
        <v>11009</v>
      </c>
    </row>
    <row r="6218" spans="1:1" x14ac:dyDescent="0.25">
      <c r="A6218" s="74">
        <v>11010</v>
      </c>
    </row>
    <row r="6219" spans="1:1" x14ac:dyDescent="0.25">
      <c r="A6219" s="74">
        <v>11011</v>
      </c>
    </row>
    <row r="6220" spans="1:1" x14ac:dyDescent="0.25">
      <c r="A6220" s="74">
        <v>11012</v>
      </c>
    </row>
    <row r="6221" spans="1:1" x14ac:dyDescent="0.25">
      <c r="A6221" s="74">
        <v>11013</v>
      </c>
    </row>
    <row r="6222" spans="1:1" x14ac:dyDescent="0.25">
      <c r="A6222" s="74">
        <v>11014</v>
      </c>
    </row>
    <row r="6223" spans="1:1" x14ac:dyDescent="0.25">
      <c r="A6223" s="74">
        <v>11015</v>
      </c>
    </row>
    <row r="6224" spans="1:1" x14ac:dyDescent="0.25">
      <c r="A6224" s="74">
        <v>11016</v>
      </c>
    </row>
    <row r="6225" spans="1:1" x14ac:dyDescent="0.25">
      <c r="A6225" s="74">
        <v>11017</v>
      </c>
    </row>
    <row r="6226" spans="1:1" x14ac:dyDescent="0.25">
      <c r="A6226" s="74">
        <v>11018</v>
      </c>
    </row>
    <row r="6227" spans="1:1" x14ac:dyDescent="0.25">
      <c r="A6227" s="74">
        <v>11019</v>
      </c>
    </row>
    <row r="6228" spans="1:1" x14ac:dyDescent="0.25">
      <c r="A6228" s="74">
        <v>11020</v>
      </c>
    </row>
    <row r="6229" spans="1:1" x14ac:dyDescent="0.25">
      <c r="A6229" s="74">
        <v>11021</v>
      </c>
    </row>
    <row r="6230" spans="1:1" x14ac:dyDescent="0.25">
      <c r="A6230" s="74">
        <v>11022</v>
      </c>
    </row>
    <row r="6231" spans="1:1" x14ac:dyDescent="0.25">
      <c r="A6231" s="74">
        <v>11023</v>
      </c>
    </row>
    <row r="6232" spans="1:1" x14ac:dyDescent="0.25">
      <c r="A6232" s="74">
        <v>11024</v>
      </c>
    </row>
    <row r="6233" spans="1:1" x14ac:dyDescent="0.25">
      <c r="A6233" s="74">
        <v>11025</v>
      </c>
    </row>
    <row r="6234" spans="1:1" x14ac:dyDescent="0.25">
      <c r="A6234" s="74">
        <v>11026</v>
      </c>
    </row>
    <row r="6235" spans="1:1" x14ac:dyDescent="0.25">
      <c r="A6235" s="74">
        <v>11027</v>
      </c>
    </row>
    <row r="6236" spans="1:1" x14ac:dyDescent="0.25">
      <c r="A6236" s="74">
        <v>11028</v>
      </c>
    </row>
    <row r="6237" spans="1:1" x14ac:dyDescent="0.25">
      <c r="A6237" s="74">
        <v>11029</v>
      </c>
    </row>
    <row r="6238" spans="1:1" x14ac:dyDescent="0.25">
      <c r="A6238" s="74">
        <v>11030</v>
      </c>
    </row>
    <row r="6239" spans="1:1" x14ac:dyDescent="0.25">
      <c r="A6239" s="74">
        <v>11031</v>
      </c>
    </row>
    <row r="6240" spans="1:1" x14ac:dyDescent="0.25">
      <c r="A6240" s="74">
        <v>11032</v>
      </c>
    </row>
    <row r="6241" spans="1:1" x14ac:dyDescent="0.25">
      <c r="A6241" s="74">
        <v>11033</v>
      </c>
    </row>
    <row r="6242" spans="1:1" x14ac:dyDescent="0.25">
      <c r="A6242" s="74">
        <v>11034</v>
      </c>
    </row>
    <row r="6243" spans="1:1" x14ac:dyDescent="0.25">
      <c r="A6243" s="74">
        <v>11035</v>
      </c>
    </row>
    <row r="6244" spans="1:1" x14ac:dyDescent="0.25">
      <c r="A6244" s="74">
        <v>11036</v>
      </c>
    </row>
    <row r="6245" spans="1:1" x14ac:dyDescent="0.25">
      <c r="A6245" s="74">
        <v>11037</v>
      </c>
    </row>
    <row r="6246" spans="1:1" x14ac:dyDescent="0.25">
      <c r="A6246" s="74">
        <v>11038</v>
      </c>
    </row>
    <row r="6247" spans="1:1" x14ac:dyDescent="0.25">
      <c r="A6247" s="74">
        <v>11039</v>
      </c>
    </row>
    <row r="6248" spans="1:1" x14ac:dyDescent="0.25">
      <c r="A6248" s="74">
        <v>11040</v>
      </c>
    </row>
    <row r="6249" spans="1:1" x14ac:dyDescent="0.25">
      <c r="A6249" s="74">
        <v>11041</v>
      </c>
    </row>
    <row r="6250" spans="1:1" x14ac:dyDescent="0.25">
      <c r="A6250" s="74">
        <v>11042</v>
      </c>
    </row>
    <row r="6251" spans="1:1" x14ac:dyDescent="0.25">
      <c r="A6251" s="74">
        <v>11043</v>
      </c>
    </row>
    <row r="6252" spans="1:1" x14ac:dyDescent="0.25">
      <c r="A6252" s="74">
        <v>11044</v>
      </c>
    </row>
    <row r="6253" spans="1:1" x14ac:dyDescent="0.25">
      <c r="A6253" s="74">
        <v>11045</v>
      </c>
    </row>
    <row r="6254" spans="1:1" x14ac:dyDescent="0.25">
      <c r="A6254" s="74">
        <v>11046</v>
      </c>
    </row>
    <row r="6255" spans="1:1" x14ac:dyDescent="0.25">
      <c r="A6255" s="74">
        <v>11047</v>
      </c>
    </row>
    <row r="6256" spans="1:1" x14ac:dyDescent="0.25">
      <c r="A6256" s="74">
        <v>11048</v>
      </c>
    </row>
    <row r="6257" spans="1:1" x14ac:dyDescent="0.25">
      <c r="A6257" s="74">
        <v>11049</v>
      </c>
    </row>
    <row r="6258" spans="1:1" x14ac:dyDescent="0.25">
      <c r="A6258" s="74">
        <v>11050</v>
      </c>
    </row>
    <row r="6259" spans="1:1" x14ac:dyDescent="0.25">
      <c r="A6259" s="74">
        <v>11051</v>
      </c>
    </row>
    <row r="6260" spans="1:1" x14ac:dyDescent="0.25">
      <c r="A6260" s="74">
        <v>11052</v>
      </c>
    </row>
    <row r="6261" spans="1:1" x14ac:dyDescent="0.25">
      <c r="A6261" s="74">
        <v>11053</v>
      </c>
    </row>
    <row r="6262" spans="1:1" x14ac:dyDescent="0.25">
      <c r="A6262" s="74">
        <v>11054</v>
      </c>
    </row>
    <row r="6263" spans="1:1" x14ac:dyDescent="0.25">
      <c r="A6263" s="74">
        <v>11055</v>
      </c>
    </row>
    <row r="6264" spans="1:1" x14ac:dyDescent="0.25">
      <c r="A6264" s="74">
        <v>11056</v>
      </c>
    </row>
    <row r="6265" spans="1:1" x14ac:dyDescent="0.25">
      <c r="A6265" s="74">
        <v>11057</v>
      </c>
    </row>
    <row r="6266" spans="1:1" x14ac:dyDescent="0.25">
      <c r="A6266" s="74">
        <v>11058</v>
      </c>
    </row>
    <row r="6267" spans="1:1" x14ac:dyDescent="0.25">
      <c r="A6267" s="74">
        <v>11059</v>
      </c>
    </row>
    <row r="6268" spans="1:1" x14ac:dyDescent="0.25">
      <c r="A6268" s="74">
        <v>11060</v>
      </c>
    </row>
    <row r="6269" spans="1:1" x14ac:dyDescent="0.25">
      <c r="A6269" s="74">
        <v>11061</v>
      </c>
    </row>
    <row r="6270" spans="1:1" x14ac:dyDescent="0.25">
      <c r="A6270" s="74">
        <v>11062</v>
      </c>
    </row>
    <row r="6271" spans="1:1" x14ac:dyDescent="0.25">
      <c r="A6271" s="74">
        <v>11063</v>
      </c>
    </row>
    <row r="6272" spans="1:1" x14ac:dyDescent="0.25">
      <c r="A6272" s="74">
        <v>11064</v>
      </c>
    </row>
    <row r="6273" spans="1:1" x14ac:dyDescent="0.25">
      <c r="A6273" s="74">
        <v>11065</v>
      </c>
    </row>
    <row r="6274" spans="1:1" x14ac:dyDescent="0.25">
      <c r="A6274" s="74">
        <v>11066</v>
      </c>
    </row>
    <row r="6275" spans="1:1" x14ac:dyDescent="0.25">
      <c r="A6275" s="74">
        <v>11067</v>
      </c>
    </row>
    <row r="6276" spans="1:1" x14ac:dyDescent="0.25">
      <c r="A6276" s="74">
        <v>11068</v>
      </c>
    </row>
    <row r="6277" spans="1:1" x14ac:dyDescent="0.25">
      <c r="A6277" s="74">
        <v>11069</v>
      </c>
    </row>
    <row r="6278" spans="1:1" x14ac:dyDescent="0.25">
      <c r="A6278" s="74">
        <v>11070</v>
      </c>
    </row>
    <row r="6279" spans="1:1" x14ac:dyDescent="0.25">
      <c r="A6279" s="74">
        <v>11071</v>
      </c>
    </row>
    <row r="6280" spans="1:1" x14ac:dyDescent="0.25">
      <c r="A6280" s="74">
        <v>11072</v>
      </c>
    </row>
    <row r="6281" spans="1:1" x14ac:dyDescent="0.25">
      <c r="A6281" s="74">
        <v>11073</v>
      </c>
    </row>
    <row r="6282" spans="1:1" x14ac:dyDescent="0.25">
      <c r="A6282" s="74">
        <v>11074</v>
      </c>
    </row>
    <row r="6283" spans="1:1" x14ac:dyDescent="0.25">
      <c r="A6283" s="74">
        <v>11075</v>
      </c>
    </row>
    <row r="6284" spans="1:1" x14ac:dyDescent="0.25">
      <c r="A6284" s="74">
        <v>11076</v>
      </c>
    </row>
    <row r="6285" spans="1:1" x14ac:dyDescent="0.25">
      <c r="A6285" s="74">
        <v>11077</v>
      </c>
    </row>
    <row r="6286" spans="1:1" x14ac:dyDescent="0.25">
      <c r="A6286" s="74">
        <v>11078</v>
      </c>
    </row>
    <row r="6287" spans="1:1" x14ac:dyDescent="0.25">
      <c r="A6287" s="74">
        <v>11079</v>
      </c>
    </row>
    <row r="6288" spans="1:1" x14ac:dyDescent="0.25">
      <c r="A6288" s="74">
        <v>11080</v>
      </c>
    </row>
    <row r="6289" spans="1:1" x14ac:dyDescent="0.25">
      <c r="A6289" s="74">
        <v>11081</v>
      </c>
    </row>
    <row r="6290" spans="1:1" x14ac:dyDescent="0.25">
      <c r="A6290" s="74">
        <v>11082</v>
      </c>
    </row>
    <row r="6291" spans="1:1" x14ac:dyDescent="0.25">
      <c r="A6291" s="74">
        <v>11083</v>
      </c>
    </row>
    <row r="6292" spans="1:1" x14ac:dyDescent="0.25">
      <c r="A6292" s="74">
        <v>11084</v>
      </c>
    </row>
    <row r="6293" spans="1:1" x14ac:dyDescent="0.25">
      <c r="A6293" s="74">
        <v>11085</v>
      </c>
    </row>
    <row r="6294" spans="1:1" x14ac:dyDescent="0.25">
      <c r="A6294" s="74">
        <v>11086</v>
      </c>
    </row>
    <row r="6295" spans="1:1" x14ac:dyDescent="0.25">
      <c r="A6295" s="74">
        <v>11087</v>
      </c>
    </row>
    <row r="6296" spans="1:1" x14ac:dyDescent="0.25">
      <c r="A6296" s="74">
        <v>11088</v>
      </c>
    </row>
    <row r="6297" spans="1:1" x14ac:dyDescent="0.25">
      <c r="A6297" s="74">
        <v>11089</v>
      </c>
    </row>
    <row r="6298" spans="1:1" x14ac:dyDescent="0.25">
      <c r="A6298" s="74">
        <v>11090</v>
      </c>
    </row>
    <row r="6299" spans="1:1" x14ac:dyDescent="0.25">
      <c r="A6299" s="74">
        <v>11091</v>
      </c>
    </row>
    <row r="6300" spans="1:1" x14ac:dyDescent="0.25">
      <c r="A6300" s="74">
        <v>11092</v>
      </c>
    </row>
    <row r="6301" spans="1:1" x14ac:dyDescent="0.25">
      <c r="A6301" s="74">
        <v>11093</v>
      </c>
    </row>
    <row r="6302" spans="1:1" x14ac:dyDescent="0.25">
      <c r="A6302" s="74">
        <v>11094</v>
      </c>
    </row>
    <row r="6303" spans="1:1" x14ac:dyDescent="0.25">
      <c r="A6303" s="74">
        <v>11095</v>
      </c>
    </row>
    <row r="6304" spans="1:1" x14ac:dyDescent="0.25">
      <c r="A6304" s="74">
        <v>11096</v>
      </c>
    </row>
    <row r="6305" spans="1:1" x14ac:dyDescent="0.25">
      <c r="A6305" s="74">
        <v>11097</v>
      </c>
    </row>
    <row r="6306" spans="1:1" x14ac:dyDescent="0.25">
      <c r="A6306" s="74">
        <v>11098</v>
      </c>
    </row>
    <row r="6307" spans="1:1" x14ac:dyDescent="0.25">
      <c r="A6307" s="74">
        <v>11099</v>
      </c>
    </row>
    <row r="6308" spans="1:1" x14ac:dyDescent="0.25">
      <c r="A6308" s="74">
        <v>11100</v>
      </c>
    </row>
    <row r="6309" spans="1:1" x14ac:dyDescent="0.25">
      <c r="A6309" s="74">
        <v>11101</v>
      </c>
    </row>
    <row r="6310" spans="1:1" x14ac:dyDescent="0.25">
      <c r="A6310" s="74">
        <v>11102</v>
      </c>
    </row>
    <row r="6311" spans="1:1" x14ac:dyDescent="0.25">
      <c r="A6311" s="74">
        <v>11103</v>
      </c>
    </row>
    <row r="6312" spans="1:1" x14ac:dyDescent="0.25">
      <c r="A6312" s="74">
        <v>11104</v>
      </c>
    </row>
    <row r="6313" spans="1:1" x14ac:dyDescent="0.25">
      <c r="A6313" s="74">
        <v>11105</v>
      </c>
    </row>
    <row r="6314" spans="1:1" x14ac:dyDescent="0.25">
      <c r="A6314" s="74">
        <v>11106</v>
      </c>
    </row>
    <row r="6315" spans="1:1" x14ac:dyDescent="0.25">
      <c r="A6315" s="74">
        <v>11107</v>
      </c>
    </row>
    <row r="6316" spans="1:1" x14ac:dyDescent="0.25">
      <c r="A6316" s="74">
        <v>11108</v>
      </c>
    </row>
    <row r="6317" spans="1:1" x14ac:dyDescent="0.25">
      <c r="A6317" s="74">
        <v>11109</v>
      </c>
    </row>
    <row r="6318" spans="1:1" x14ac:dyDescent="0.25">
      <c r="A6318" s="74">
        <v>11110</v>
      </c>
    </row>
    <row r="6319" spans="1:1" x14ac:dyDescent="0.25">
      <c r="A6319" s="74">
        <v>11111</v>
      </c>
    </row>
    <row r="6320" spans="1:1" x14ac:dyDescent="0.25">
      <c r="A6320" s="74">
        <v>11112</v>
      </c>
    </row>
    <row r="6321" spans="1:1" x14ac:dyDescent="0.25">
      <c r="A6321" s="74">
        <v>11113</v>
      </c>
    </row>
    <row r="6322" spans="1:1" x14ac:dyDescent="0.25">
      <c r="A6322" s="74">
        <v>11114</v>
      </c>
    </row>
    <row r="6323" spans="1:1" x14ac:dyDescent="0.25">
      <c r="A6323" s="74">
        <v>11115</v>
      </c>
    </row>
    <row r="6324" spans="1:1" x14ac:dyDescent="0.25">
      <c r="A6324" s="74">
        <v>11116</v>
      </c>
    </row>
    <row r="6325" spans="1:1" x14ac:dyDescent="0.25">
      <c r="A6325" s="74">
        <v>11117</v>
      </c>
    </row>
    <row r="6326" spans="1:1" x14ac:dyDescent="0.25">
      <c r="A6326" s="74">
        <v>11118</v>
      </c>
    </row>
    <row r="6327" spans="1:1" x14ac:dyDescent="0.25">
      <c r="A6327" s="74">
        <v>11119</v>
      </c>
    </row>
    <row r="6328" spans="1:1" x14ac:dyDescent="0.25">
      <c r="A6328" s="74">
        <v>11120</v>
      </c>
    </row>
    <row r="6329" spans="1:1" x14ac:dyDescent="0.25">
      <c r="A6329" s="74">
        <v>11121</v>
      </c>
    </row>
    <row r="6330" spans="1:1" x14ac:dyDescent="0.25">
      <c r="A6330" s="74">
        <v>11122</v>
      </c>
    </row>
    <row r="6331" spans="1:1" x14ac:dyDescent="0.25">
      <c r="A6331" s="74">
        <v>11123</v>
      </c>
    </row>
    <row r="6332" spans="1:1" x14ac:dyDescent="0.25">
      <c r="A6332" s="74">
        <v>11124</v>
      </c>
    </row>
    <row r="6333" spans="1:1" x14ac:dyDescent="0.25">
      <c r="A6333" s="74">
        <v>11125</v>
      </c>
    </row>
    <row r="6334" spans="1:1" x14ac:dyDescent="0.25">
      <c r="A6334" s="74">
        <v>11126</v>
      </c>
    </row>
    <row r="6335" spans="1:1" x14ac:dyDescent="0.25">
      <c r="A6335" s="74">
        <v>11127</v>
      </c>
    </row>
    <row r="6336" spans="1:1" x14ac:dyDescent="0.25">
      <c r="A6336" s="74">
        <v>11128</v>
      </c>
    </row>
    <row r="6337" spans="1:1" x14ac:dyDescent="0.25">
      <c r="A6337" s="74">
        <v>11129</v>
      </c>
    </row>
    <row r="6338" spans="1:1" x14ac:dyDescent="0.25">
      <c r="A6338" s="74">
        <v>11130</v>
      </c>
    </row>
    <row r="6339" spans="1:1" x14ac:dyDescent="0.25">
      <c r="A6339" s="74">
        <v>11131</v>
      </c>
    </row>
    <row r="6340" spans="1:1" x14ac:dyDescent="0.25">
      <c r="A6340" s="74">
        <v>11132</v>
      </c>
    </row>
    <row r="6341" spans="1:1" x14ac:dyDescent="0.25">
      <c r="A6341" s="74">
        <v>11133</v>
      </c>
    </row>
    <row r="6342" spans="1:1" x14ac:dyDescent="0.25">
      <c r="A6342" s="74">
        <v>11134</v>
      </c>
    </row>
    <row r="6343" spans="1:1" x14ac:dyDescent="0.25">
      <c r="A6343" s="74">
        <v>11135</v>
      </c>
    </row>
    <row r="6344" spans="1:1" x14ac:dyDescent="0.25">
      <c r="A6344" s="74">
        <v>11136</v>
      </c>
    </row>
    <row r="6345" spans="1:1" x14ac:dyDescent="0.25">
      <c r="A6345" s="74">
        <v>11137</v>
      </c>
    </row>
    <row r="6346" spans="1:1" x14ac:dyDescent="0.25">
      <c r="A6346" s="74">
        <v>11138</v>
      </c>
    </row>
    <row r="6347" spans="1:1" x14ac:dyDescent="0.25">
      <c r="A6347" s="74">
        <v>11139</v>
      </c>
    </row>
    <row r="6348" spans="1:1" x14ac:dyDescent="0.25">
      <c r="A6348" s="74">
        <v>11140</v>
      </c>
    </row>
    <row r="6349" spans="1:1" x14ac:dyDescent="0.25">
      <c r="A6349" s="74">
        <v>11141</v>
      </c>
    </row>
    <row r="6350" spans="1:1" x14ac:dyDescent="0.25">
      <c r="A6350" s="74">
        <v>11142</v>
      </c>
    </row>
    <row r="6351" spans="1:1" x14ac:dyDescent="0.25">
      <c r="A6351" s="74">
        <v>11143</v>
      </c>
    </row>
    <row r="6352" spans="1:1" x14ac:dyDescent="0.25">
      <c r="A6352" s="74">
        <v>11144</v>
      </c>
    </row>
    <row r="6353" spans="1:1" x14ac:dyDescent="0.25">
      <c r="A6353" s="74">
        <v>11145</v>
      </c>
    </row>
    <row r="6354" spans="1:1" x14ac:dyDescent="0.25">
      <c r="A6354" s="74">
        <v>11146</v>
      </c>
    </row>
    <row r="6355" spans="1:1" x14ac:dyDescent="0.25">
      <c r="A6355" s="74">
        <v>11147</v>
      </c>
    </row>
    <row r="6356" spans="1:1" x14ac:dyDescent="0.25">
      <c r="A6356" s="74">
        <v>11148</v>
      </c>
    </row>
    <row r="6357" spans="1:1" x14ac:dyDescent="0.25">
      <c r="A6357" s="74">
        <v>11149</v>
      </c>
    </row>
    <row r="6358" spans="1:1" x14ac:dyDescent="0.25">
      <c r="A6358" s="74">
        <v>11150</v>
      </c>
    </row>
    <row r="6359" spans="1:1" x14ac:dyDescent="0.25">
      <c r="A6359" s="74">
        <v>11151</v>
      </c>
    </row>
    <row r="6360" spans="1:1" x14ac:dyDescent="0.25">
      <c r="A6360" s="74">
        <v>11152</v>
      </c>
    </row>
    <row r="6361" spans="1:1" x14ac:dyDescent="0.25">
      <c r="A6361" s="74">
        <v>11153</v>
      </c>
    </row>
    <row r="6362" spans="1:1" x14ac:dyDescent="0.25">
      <c r="A6362" s="74">
        <v>11154</v>
      </c>
    </row>
    <row r="6363" spans="1:1" x14ac:dyDescent="0.25">
      <c r="A6363" s="74">
        <v>11155</v>
      </c>
    </row>
    <row r="6364" spans="1:1" x14ac:dyDescent="0.25">
      <c r="A6364" s="74">
        <v>11156</v>
      </c>
    </row>
    <row r="6365" spans="1:1" x14ac:dyDescent="0.25">
      <c r="A6365" s="74">
        <v>11157</v>
      </c>
    </row>
    <row r="6366" spans="1:1" x14ac:dyDescent="0.25">
      <c r="A6366" s="74">
        <v>11158</v>
      </c>
    </row>
    <row r="6367" spans="1:1" x14ac:dyDescent="0.25">
      <c r="A6367" s="74">
        <v>11159</v>
      </c>
    </row>
    <row r="6368" spans="1:1" x14ac:dyDescent="0.25">
      <c r="A6368" s="74">
        <v>11160</v>
      </c>
    </row>
    <row r="6369" spans="1:1" x14ac:dyDescent="0.25">
      <c r="A6369" s="74">
        <v>11161</v>
      </c>
    </row>
    <row r="6370" spans="1:1" x14ac:dyDescent="0.25">
      <c r="A6370" s="74">
        <v>11162</v>
      </c>
    </row>
    <row r="6371" spans="1:1" x14ac:dyDescent="0.25">
      <c r="A6371" s="74">
        <v>11163</v>
      </c>
    </row>
    <row r="6372" spans="1:1" x14ac:dyDescent="0.25">
      <c r="A6372" s="74">
        <v>11164</v>
      </c>
    </row>
    <row r="6373" spans="1:1" x14ac:dyDescent="0.25">
      <c r="A6373" s="74">
        <v>11165</v>
      </c>
    </row>
    <row r="6374" spans="1:1" x14ac:dyDescent="0.25">
      <c r="A6374" s="74">
        <v>11166</v>
      </c>
    </row>
    <row r="6375" spans="1:1" x14ac:dyDescent="0.25">
      <c r="A6375" s="74">
        <v>11167</v>
      </c>
    </row>
    <row r="6376" spans="1:1" x14ac:dyDescent="0.25">
      <c r="A6376" s="74">
        <v>11168</v>
      </c>
    </row>
    <row r="6377" spans="1:1" x14ac:dyDescent="0.25">
      <c r="A6377" s="74">
        <v>11169</v>
      </c>
    </row>
    <row r="6378" spans="1:1" x14ac:dyDescent="0.25">
      <c r="A6378" s="74">
        <v>11170</v>
      </c>
    </row>
    <row r="6379" spans="1:1" x14ac:dyDescent="0.25">
      <c r="A6379" s="74">
        <v>11171</v>
      </c>
    </row>
    <row r="6380" spans="1:1" x14ac:dyDescent="0.25">
      <c r="A6380" s="74">
        <v>11172</v>
      </c>
    </row>
    <row r="6381" spans="1:1" x14ac:dyDescent="0.25">
      <c r="A6381" s="74">
        <v>11173</v>
      </c>
    </row>
    <row r="6382" spans="1:1" x14ac:dyDescent="0.25">
      <c r="A6382" s="74">
        <v>11174</v>
      </c>
    </row>
    <row r="6383" spans="1:1" x14ac:dyDescent="0.25">
      <c r="A6383" s="74">
        <v>11175</v>
      </c>
    </row>
    <row r="6384" spans="1:1" x14ac:dyDescent="0.25">
      <c r="A6384" s="74">
        <v>11176</v>
      </c>
    </row>
    <row r="6385" spans="1:1" x14ac:dyDescent="0.25">
      <c r="A6385" s="74">
        <v>11177</v>
      </c>
    </row>
    <row r="6386" spans="1:1" x14ac:dyDescent="0.25">
      <c r="A6386" s="74">
        <v>11178</v>
      </c>
    </row>
    <row r="6387" spans="1:1" x14ac:dyDescent="0.25">
      <c r="A6387" s="74">
        <v>11179</v>
      </c>
    </row>
    <row r="6388" spans="1:1" x14ac:dyDescent="0.25">
      <c r="A6388" s="74">
        <v>11180</v>
      </c>
    </row>
    <row r="6389" spans="1:1" x14ac:dyDescent="0.25">
      <c r="A6389" s="74">
        <v>11181</v>
      </c>
    </row>
    <row r="6390" spans="1:1" x14ac:dyDescent="0.25">
      <c r="A6390" s="74">
        <v>11182</v>
      </c>
    </row>
    <row r="6391" spans="1:1" x14ac:dyDescent="0.25">
      <c r="A6391" s="74">
        <v>11183</v>
      </c>
    </row>
    <row r="6392" spans="1:1" x14ac:dyDescent="0.25">
      <c r="A6392" s="74">
        <v>11184</v>
      </c>
    </row>
    <row r="6393" spans="1:1" x14ac:dyDescent="0.25">
      <c r="A6393" s="74">
        <v>11185</v>
      </c>
    </row>
    <row r="6394" spans="1:1" x14ac:dyDescent="0.25">
      <c r="A6394" s="74">
        <v>11186</v>
      </c>
    </row>
    <row r="6395" spans="1:1" x14ac:dyDescent="0.25">
      <c r="A6395" s="74">
        <v>11187</v>
      </c>
    </row>
    <row r="6396" spans="1:1" x14ac:dyDescent="0.25">
      <c r="A6396" s="74">
        <v>11188</v>
      </c>
    </row>
    <row r="6397" spans="1:1" x14ac:dyDescent="0.25">
      <c r="A6397" s="74">
        <v>11189</v>
      </c>
    </row>
    <row r="6398" spans="1:1" x14ac:dyDescent="0.25">
      <c r="A6398" s="74">
        <v>11190</v>
      </c>
    </row>
    <row r="6399" spans="1:1" x14ac:dyDescent="0.25">
      <c r="A6399" s="74">
        <v>11191</v>
      </c>
    </row>
    <row r="6400" spans="1:1" x14ac:dyDescent="0.25">
      <c r="A6400" s="74">
        <v>11192</v>
      </c>
    </row>
    <row r="6401" spans="1:1" x14ac:dyDescent="0.25">
      <c r="A6401" s="74">
        <v>11193</v>
      </c>
    </row>
    <row r="6402" spans="1:1" x14ac:dyDescent="0.25">
      <c r="A6402" s="74">
        <v>11194</v>
      </c>
    </row>
    <row r="6403" spans="1:1" x14ac:dyDescent="0.25">
      <c r="A6403" s="74">
        <v>11195</v>
      </c>
    </row>
    <row r="6404" spans="1:1" x14ac:dyDescent="0.25">
      <c r="A6404" s="74">
        <v>11196</v>
      </c>
    </row>
    <row r="6405" spans="1:1" x14ac:dyDescent="0.25">
      <c r="A6405" s="74">
        <v>11197</v>
      </c>
    </row>
    <row r="6406" spans="1:1" x14ac:dyDescent="0.25">
      <c r="A6406" s="74">
        <v>11198</v>
      </c>
    </row>
    <row r="6407" spans="1:1" x14ac:dyDescent="0.25">
      <c r="A6407" s="74">
        <v>11199</v>
      </c>
    </row>
    <row r="6408" spans="1:1" x14ac:dyDescent="0.25">
      <c r="A6408" s="74">
        <v>11200</v>
      </c>
    </row>
    <row r="6409" spans="1:1" x14ac:dyDescent="0.25">
      <c r="A6409" s="74">
        <v>11201</v>
      </c>
    </row>
    <row r="6410" spans="1:1" x14ac:dyDescent="0.25">
      <c r="A6410" s="74">
        <v>11202</v>
      </c>
    </row>
    <row r="6411" spans="1:1" x14ac:dyDescent="0.25">
      <c r="A6411" s="74">
        <v>11203</v>
      </c>
    </row>
    <row r="6412" spans="1:1" x14ac:dyDescent="0.25">
      <c r="A6412" s="74">
        <v>11204</v>
      </c>
    </row>
    <row r="6413" spans="1:1" x14ac:dyDescent="0.25">
      <c r="A6413" s="74">
        <v>11205</v>
      </c>
    </row>
    <row r="6414" spans="1:1" x14ac:dyDescent="0.25">
      <c r="A6414" s="74">
        <v>11206</v>
      </c>
    </row>
    <row r="6415" spans="1:1" x14ac:dyDescent="0.25">
      <c r="A6415" s="74">
        <v>11207</v>
      </c>
    </row>
    <row r="6416" spans="1:1" x14ac:dyDescent="0.25">
      <c r="A6416" s="74">
        <v>11208</v>
      </c>
    </row>
    <row r="6417" spans="1:1" x14ac:dyDescent="0.25">
      <c r="A6417" s="74">
        <v>11209</v>
      </c>
    </row>
    <row r="6418" spans="1:1" x14ac:dyDescent="0.25">
      <c r="A6418" s="74">
        <v>11210</v>
      </c>
    </row>
    <row r="6419" spans="1:1" x14ac:dyDescent="0.25">
      <c r="A6419" s="74">
        <v>11211</v>
      </c>
    </row>
    <row r="6420" spans="1:1" x14ac:dyDescent="0.25">
      <c r="A6420" s="74">
        <v>11212</v>
      </c>
    </row>
    <row r="6421" spans="1:1" x14ac:dyDescent="0.25">
      <c r="A6421" s="74">
        <v>11213</v>
      </c>
    </row>
    <row r="6422" spans="1:1" x14ac:dyDescent="0.25">
      <c r="A6422" s="74">
        <v>11214</v>
      </c>
    </row>
    <row r="6423" spans="1:1" x14ac:dyDescent="0.25">
      <c r="A6423" s="74">
        <v>11215</v>
      </c>
    </row>
    <row r="6424" spans="1:1" x14ac:dyDescent="0.25">
      <c r="A6424" s="74">
        <v>11216</v>
      </c>
    </row>
    <row r="6425" spans="1:1" x14ac:dyDescent="0.25">
      <c r="A6425" s="74">
        <v>11217</v>
      </c>
    </row>
    <row r="6426" spans="1:1" x14ac:dyDescent="0.25">
      <c r="A6426" s="74">
        <v>11218</v>
      </c>
    </row>
    <row r="6427" spans="1:1" x14ac:dyDescent="0.25">
      <c r="A6427" s="74">
        <v>11219</v>
      </c>
    </row>
    <row r="6428" spans="1:1" x14ac:dyDescent="0.25">
      <c r="A6428" s="74">
        <v>11220</v>
      </c>
    </row>
    <row r="6429" spans="1:1" x14ac:dyDescent="0.25">
      <c r="A6429" s="74">
        <v>11221</v>
      </c>
    </row>
    <row r="6430" spans="1:1" x14ac:dyDescent="0.25">
      <c r="A6430" s="74">
        <v>11222</v>
      </c>
    </row>
    <row r="6431" spans="1:1" x14ac:dyDescent="0.25">
      <c r="A6431" s="74">
        <v>11223</v>
      </c>
    </row>
    <row r="6432" spans="1:1" x14ac:dyDescent="0.25">
      <c r="A6432" s="74">
        <v>11224</v>
      </c>
    </row>
    <row r="6433" spans="1:1" x14ac:dyDescent="0.25">
      <c r="A6433" s="74">
        <v>11225</v>
      </c>
    </row>
    <row r="6434" spans="1:1" x14ac:dyDescent="0.25">
      <c r="A6434" s="74">
        <v>11226</v>
      </c>
    </row>
    <row r="6435" spans="1:1" x14ac:dyDescent="0.25">
      <c r="A6435" s="74">
        <v>11227</v>
      </c>
    </row>
    <row r="6436" spans="1:1" x14ac:dyDescent="0.25">
      <c r="A6436" s="74">
        <v>11228</v>
      </c>
    </row>
    <row r="6437" spans="1:1" x14ac:dyDescent="0.25">
      <c r="A6437" s="74">
        <v>11229</v>
      </c>
    </row>
    <row r="6438" spans="1:1" x14ac:dyDescent="0.25">
      <c r="A6438" s="74">
        <v>11230</v>
      </c>
    </row>
    <row r="6439" spans="1:1" x14ac:dyDescent="0.25">
      <c r="A6439" s="74">
        <v>11231</v>
      </c>
    </row>
    <row r="6440" spans="1:1" x14ac:dyDescent="0.25">
      <c r="A6440" s="74">
        <v>11232</v>
      </c>
    </row>
    <row r="6441" spans="1:1" x14ac:dyDescent="0.25">
      <c r="A6441" s="74">
        <v>11233</v>
      </c>
    </row>
    <row r="6442" spans="1:1" x14ac:dyDescent="0.25">
      <c r="A6442" s="74">
        <v>11234</v>
      </c>
    </row>
    <row r="6443" spans="1:1" x14ac:dyDescent="0.25">
      <c r="A6443" s="74">
        <v>11235</v>
      </c>
    </row>
    <row r="6444" spans="1:1" x14ac:dyDescent="0.25">
      <c r="A6444" s="74">
        <v>11236</v>
      </c>
    </row>
    <row r="6445" spans="1:1" x14ac:dyDescent="0.25">
      <c r="A6445" s="74">
        <v>11237</v>
      </c>
    </row>
    <row r="6446" spans="1:1" x14ac:dyDescent="0.25">
      <c r="A6446" s="74">
        <v>11238</v>
      </c>
    </row>
    <row r="6447" spans="1:1" x14ac:dyDescent="0.25">
      <c r="A6447" s="74">
        <v>11239</v>
      </c>
    </row>
    <row r="6448" spans="1:1" x14ac:dyDescent="0.25">
      <c r="A6448" s="74">
        <v>11240</v>
      </c>
    </row>
    <row r="6449" spans="1:1" x14ac:dyDescent="0.25">
      <c r="A6449" s="74">
        <v>11241</v>
      </c>
    </row>
    <row r="6450" spans="1:1" x14ac:dyDescent="0.25">
      <c r="A6450" s="74">
        <v>11242</v>
      </c>
    </row>
    <row r="6451" spans="1:1" x14ac:dyDescent="0.25">
      <c r="A6451" s="74">
        <v>11243</v>
      </c>
    </row>
    <row r="6452" spans="1:1" x14ac:dyDescent="0.25">
      <c r="A6452" s="74">
        <v>11244</v>
      </c>
    </row>
    <row r="6453" spans="1:1" x14ac:dyDescent="0.25">
      <c r="A6453" s="74">
        <v>11245</v>
      </c>
    </row>
    <row r="6454" spans="1:1" x14ac:dyDescent="0.25">
      <c r="A6454" s="74">
        <v>11246</v>
      </c>
    </row>
    <row r="6455" spans="1:1" x14ac:dyDescent="0.25">
      <c r="A6455" s="74">
        <v>11247</v>
      </c>
    </row>
    <row r="6456" spans="1:1" x14ac:dyDescent="0.25">
      <c r="A6456" s="74">
        <v>11248</v>
      </c>
    </row>
    <row r="6457" spans="1:1" x14ac:dyDescent="0.25">
      <c r="A6457" s="74">
        <v>11249</v>
      </c>
    </row>
    <row r="6458" spans="1:1" x14ac:dyDescent="0.25">
      <c r="A6458" s="74">
        <v>11250</v>
      </c>
    </row>
    <row r="6459" spans="1:1" x14ac:dyDescent="0.25">
      <c r="A6459" s="74">
        <v>11251</v>
      </c>
    </row>
    <row r="6460" spans="1:1" x14ac:dyDescent="0.25">
      <c r="A6460" s="74">
        <v>11252</v>
      </c>
    </row>
    <row r="6461" spans="1:1" x14ac:dyDescent="0.25">
      <c r="A6461" s="74">
        <v>11253</v>
      </c>
    </row>
    <row r="6462" spans="1:1" x14ac:dyDescent="0.25">
      <c r="A6462" s="74">
        <v>11254</v>
      </c>
    </row>
    <row r="6463" spans="1:1" x14ac:dyDescent="0.25">
      <c r="A6463" s="74">
        <v>11255</v>
      </c>
    </row>
    <row r="6464" spans="1:1" x14ac:dyDescent="0.25">
      <c r="A6464" s="74">
        <v>11256</v>
      </c>
    </row>
    <row r="6465" spans="1:1" x14ac:dyDescent="0.25">
      <c r="A6465" s="74">
        <v>11257</v>
      </c>
    </row>
    <row r="6466" spans="1:1" x14ac:dyDescent="0.25">
      <c r="A6466" s="74">
        <v>11258</v>
      </c>
    </row>
    <row r="6467" spans="1:1" x14ac:dyDescent="0.25">
      <c r="A6467" s="74">
        <v>11259</v>
      </c>
    </row>
    <row r="6468" spans="1:1" x14ac:dyDescent="0.25">
      <c r="A6468" s="74">
        <v>11260</v>
      </c>
    </row>
    <row r="6469" spans="1:1" x14ac:dyDescent="0.25">
      <c r="A6469" s="74">
        <v>11261</v>
      </c>
    </row>
    <row r="6470" spans="1:1" x14ac:dyDescent="0.25">
      <c r="A6470" s="74">
        <v>11262</v>
      </c>
    </row>
    <row r="6471" spans="1:1" x14ac:dyDescent="0.25">
      <c r="A6471" s="74">
        <v>11263</v>
      </c>
    </row>
    <row r="6472" spans="1:1" x14ac:dyDescent="0.25">
      <c r="A6472" s="74">
        <v>11264</v>
      </c>
    </row>
    <row r="6473" spans="1:1" x14ac:dyDescent="0.25">
      <c r="A6473" s="74">
        <v>11265</v>
      </c>
    </row>
    <row r="6474" spans="1:1" x14ac:dyDescent="0.25">
      <c r="A6474" s="74">
        <v>11266</v>
      </c>
    </row>
    <row r="6475" spans="1:1" x14ac:dyDescent="0.25">
      <c r="A6475" s="74">
        <v>11267</v>
      </c>
    </row>
    <row r="6476" spans="1:1" x14ac:dyDescent="0.25">
      <c r="A6476" s="74">
        <v>11268</v>
      </c>
    </row>
    <row r="6477" spans="1:1" x14ac:dyDescent="0.25">
      <c r="A6477" s="74">
        <v>11269</v>
      </c>
    </row>
    <row r="6478" spans="1:1" x14ac:dyDescent="0.25">
      <c r="A6478" s="74">
        <v>11270</v>
      </c>
    </row>
    <row r="6479" spans="1:1" x14ac:dyDescent="0.25">
      <c r="A6479" s="74">
        <v>11271</v>
      </c>
    </row>
    <row r="6480" spans="1:1" x14ac:dyDescent="0.25">
      <c r="A6480" s="74">
        <v>11272</v>
      </c>
    </row>
    <row r="6481" spans="1:1" x14ac:dyDescent="0.25">
      <c r="A6481" s="74">
        <v>11273</v>
      </c>
    </row>
    <row r="6482" spans="1:1" x14ac:dyDescent="0.25">
      <c r="A6482" s="74">
        <v>11274</v>
      </c>
    </row>
    <row r="6483" spans="1:1" x14ac:dyDescent="0.25">
      <c r="A6483" s="74">
        <v>11275</v>
      </c>
    </row>
    <row r="6484" spans="1:1" x14ac:dyDescent="0.25">
      <c r="A6484" s="74">
        <v>11276</v>
      </c>
    </row>
    <row r="6485" spans="1:1" x14ac:dyDescent="0.25">
      <c r="A6485" s="74">
        <v>11277</v>
      </c>
    </row>
    <row r="6486" spans="1:1" x14ac:dyDescent="0.25">
      <c r="A6486" s="74">
        <v>11278</v>
      </c>
    </row>
    <row r="6487" spans="1:1" x14ac:dyDescent="0.25">
      <c r="A6487" s="74">
        <v>11279</v>
      </c>
    </row>
    <row r="6488" spans="1:1" x14ac:dyDescent="0.25">
      <c r="A6488" s="74">
        <v>11280</v>
      </c>
    </row>
    <row r="6489" spans="1:1" x14ac:dyDescent="0.25">
      <c r="A6489" s="74">
        <v>11281</v>
      </c>
    </row>
    <row r="6490" spans="1:1" x14ac:dyDescent="0.25">
      <c r="A6490" s="74">
        <v>11282</v>
      </c>
    </row>
    <row r="6491" spans="1:1" x14ac:dyDescent="0.25">
      <c r="A6491" s="74">
        <v>11283</v>
      </c>
    </row>
    <row r="6492" spans="1:1" x14ac:dyDescent="0.25">
      <c r="A6492" s="74">
        <v>11284</v>
      </c>
    </row>
    <row r="6493" spans="1:1" x14ac:dyDescent="0.25">
      <c r="A6493" s="74">
        <v>11285</v>
      </c>
    </row>
    <row r="6494" spans="1:1" x14ac:dyDescent="0.25">
      <c r="A6494" s="74">
        <v>11286</v>
      </c>
    </row>
    <row r="6495" spans="1:1" x14ac:dyDescent="0.25">
      <c r="A6495" s="74">
        <v>11287</v>
      </c>
    </row>
    <row r="6496" spans="1:1" x14ac:dyDescent="0.25">
      <c r="A6496" s="74">
        <v>11288</v>
      </c>
    </row>
    <row r="6497" spans="1:1" x14ac:dyDescent="0.25">
      <c r="A6497" s="74">
        <v>11289</v>
      </c>
    </row>
    <row r="6498" spans="1:1" x14ac:dyDescent="0.25">
      <c r="A6498" s="74">
        <v>11290</v>
      </c>
    </row>
    <row r="6499" spans="1:1" x14ac:dyDescent="0.25">
      <c r="A6499" s="74">
        <v>11291</v>
      </c>
    </row>
    <row r="6500" spans="1:1" x14ac:dyDescent="0.25">
      <c r="A6500" s="74">
        <v>11292</v>
      </c>
    </row>
    <row r="6501" spans="1:1" x14ac:dyDescent="0.25">
      <c r="A6501" s="74">
        <v>11293</v>
      </c>
    </row>
    <row r="6502" spans="1:1" x14ac:dyDescent="0.25">
      <c r="A6502" s="74">
        <v>11294</v>
      </c>
    </row>
    <row r="6503" spans="1:1" x14ac:dyDescent="0.25">
      <c r="A6503" s="74">
        <v>11295</v>
      </c>
    </row>
    <row r="6504" spans="1:1" x14ac:dyDescent="0.25">
      <c r="A6504" s="74">
        <v>11296</v>
      </c>
    </row>
    <row r="6505" spans="1:1" x14ac:dyDescent="0.25">
      <c r="A6505" s="74">
        <v>11297</v>
      </c>
    </row>
    <row r="6506" spans="1:1" x14ac:dyDescent="0.25">
      <c r="A6506" s="74">
        <v>11298</v>
      </c>
    </row>
    <row r="6507" spans="1:1" x14ac:dyDescent="0.25">
      <c r="A6507" s="74">
        <v>11299</v>
      </c>
    </row>
    <row r="6508" spans="1:1" x14ac:dyDescent="0.25">
      <c r="A6508" s="74">
        <v>11300</v>
      </c>
    </row>
    <row r="6509" spans="1:1" x14ac:dyDescent="0.25">
      <c r="A6509" s="74">
        <v>11301</v>
      </c>
    </row>
    <row r="6510" spans="1:1" x14ac:dyDescent="0.25">
      <c r="A6510" s="74">
        <v>11302</v>
      </c>
    </row>
    <row r="6511" spans="1:1" x14ac:dyDescent="0.25">
      <c r="A6511" s="74">
        <v>11303</v>
      </c>
    </row>
    <row r="6512" spans="1:1" x14ac:dyDescent="0.25">
      <c r="A6512" s="74">
        <v>11304</v>
      </c>
    </row>
    <row r="6513" spans="1:1" x14ac:dyDescent="0.25">
      <c r="A6513" s="74">
        <v>11305</v>
      </c>
    </row>
    <row r="6514" spans="1:1" x14ac:dyDescent="0.25">
      <c r="A6514" s="74">
        <v>11306</v>
      </c>
    </row>
    <row r="6515" spans="1:1" x14ac:dyDescent="0.25">
      <c r="A6515" s="74">
        <v>11307</v>
      </c>
    </row>
    <row r="6516" spans="1:1" x14ac:dyDescent="0.25">
      <c r="A6516" s="74">
        <v>11308</v>
      </c>
    </row>
    <row r="6517" spans="1:1" x14ac:dyDescent="0.25">
      <c r="A6517" s="74">
        <v>11309</v>
      </c>
    </row>
    <row r="6518" spans="1:1" x14ac:dyDescent="0.25">
      <c r="A6518" s="74">
        <v>11310</v>
      </c>
    </row>
    <row r="6519" spans="1:1" x14ac:dyDescent="0.25">
      <c r="A6519" s="74">
        <v>11311</v>
      </c>
    </row>
    <row r="6520" spans="1:1" x14ac:dyDescent="0.25">
      <c r="A6520" s="74">
        <v>11312</v>
      </c>
    </row>
    <row r="6521" spans="1:1" x14ac:dyDescent="0.25">
      <c r="A6521" s="74">
        <v>11313</v>
      </c>
    </row>
    <row r="6522" spans="1:1" x14ac:dyDescent="0.25">
      <c r="A6522" s="74">
        <v>11314</v>
      </c>
    </row>
    <row r="6523" spans="1:1" x14ac:dyDescent="0.25">
      <c r="A6523" s="74">
        <v>11315</v>
      </c>
    </row>
    <row r="6524" spans="1:1" x14ac:dyDescent="0.25">
      <c r="A6524" s="74">
        <v>11316</v>
      </c>
    </row>
    <row r="6525" spans="1:1" x14ac:dyDescent="0.25">
      <c r="A6525" s="74">
        <v>11317</v>
      </c>
    </row>
    <row r="6526" spans="1:1" x14ac:dyDescent="0.25">
      <c r="A6526" s="74">
        <v>11318</v>
      </c>
    </row>
    <row r="6527" spans="1:1" x14ac:dyDescent="0.25">
      <c r="A6527" s="74">
        <v>11319</v>
      </c>
    </row>
    <row r="6528" spans="1:1" x14ac:dyDescent="0.25">
      <c r="A6528" s="74">
        <v>11320</v>
      </c>
    </row>
    <row r="6529" spans="1:1" x14ac:dyDescent="0.25">
      <c r="A6529" s="74">
        <v>11321</v>
      </c>
    </row>
    <row r="6530" spans="1:1" x14ac:dyDescent="0.25">
      <c r="A6530" s="74">
        <v>11322</v>
      </c>
    </row>
    <row r="6531" spans="1:1" x14ac:dyDescent="0.25">
      <c r="A6531" s="74">
        <v>11323</v>
      </c>
    </row>
    <row r="6532" spans="1:1" x14ac:dyDescent="0.25">
      <c r="A6532" s="74">
        <v>11324</v>
      </c>
    </row>
    <row r="6533" spans="1:1" x14ac:dyDescent="0.25">
      <c r="A6533" s="74">
        <v>11325</v>
      </c>
    </row>
    <row r="6534" spans="1:1" x14ac:dyDescent="0.25">
      <c r="A6534" s="74">
        <v>11326</v>
      </c>
    </row>
    <row r="6535" spans="1:1" x14ac:dyDescent="0.25">
      <c r="A6535" s="74">
        <v>11327</v>
      </c>
    </row>
    <row r="6536" spans="1:1" x14ac:dyDescent="0.25">
      <c r="A6536" s="74">
        <v>11328</v>
      </c>
    </row>
    <row r="6537" spans="1:1" x14ac:dyDescent="0.25">
      <c r="A6537" s="74">
        <v>11329</v>
      </c>
    </row>
    <row r="6538" spans="1:1" x14ac:dyDescent="0.25">
      <c r="A6538" s="74">
        <v>11330</v>
      </c>
    </row>
    <row r="6539" spans="1:1" x14ac:dyDescent="0.25">
      <c r="A6539" s="74">
        <v>11331</v>
      </c>
    </row>
    <row r="6540" spans="1:1" x14ac:dyDescent="0.25">
      <c r="A6540" s="74">
        <v>11332</v>
      </c>
    </row>
    <row r="6541" spans="1:1" x14ac:dyDescent="0.25">
      <c r="A6541" s="74">
        <v>11333</v>
      </c>
    </row>
    <row r="6542" spans="1:1" x14ac:dyDescent="0.25">
      <c r="A6542" s="74">
        <v>11334</v>
      </c>
    </row>
    <row r="6543" spans="1:1" x14ac:dyDescent="0.25">
      <c r="A6543" s="74">
        <v>11335</v>
      </c>
    </row>
    <row r="6544" spans="1:1" x14ac:dyDescent="0.25">
      <c r="A6544" s="74">
        <v>11336</v>
      </c>
    </row>
    <row r="6545" spans="1:1" x14ac:dyDescent="0.25">
      <c r="A6545" s="74">
        <v>11337</v>
      </c>
    </row>
    <row r="6546" spans="1:1" x14ac:dyDescent="0.25">
      <c r="A6546" s="74">
        <v>11338</v>
      </c>
    </row>
    <row r="6547" spans="1:1" x14ac:dyDescent="0.25">
      <c r="A6547" s="74">
        <v>11339</v>
      </c>
    </row>
    <row r="6548" spans="1:1" x14ac:dyDescent="0.25">
      <c r="A6548" s="74">
        <v>11340</v>
      </c>
    </row>
    <row r="6549" spans="1:1" x14ac:dyDescent="0.25">
      <c r="A6549" s="74">
        <v>11341</v>
      </c>
    </row>
    <row r="6550" spans="1:1" x14ac:dyDescent="0.25">
      <c r="A6550" s="74">
        <v>11342</v>
      </c>
    </row>
    <row r="6551" spans="1:1" x14ac:dyDescent="0.25">
      <c r="A6551" s="74">
        <v>11343</v>
      </c>
    </row>
    <row r="6552" spans="1:1" x14ac:dyDescent="0.25">
      <c r="A6552" s="74">
        <v>11344</v>
      </c>
    </row>
    <row r="6553" spans="1:1" x14ac:dyDescent="0.25">
      <c r="A6553" s="74">
        <v>11345</v>
      </c>
    </row>
    <row r="6554" spans="1:1" x14ac:dyDescent="0.25">
      <c r="A6554" s="74">
        <v>11346</v>
      </c>
    </row>
    <row r="6555" spans="1:1" x14ac:dyDescent="0.25">
      <c r="A6555" s="74">
        <v>11347</v>
      </c>
    </row>
    <row r="6556" spans="1:1" x14ac:dyDescent="0.25">
      <c r="A6556" s="74">
        <v>11348</v>
      </c>
    </row>
    <row r="6557" spans="1:1" x14ac:dyDescent="0.25">
      <c r="A6557" s="74">
        <v>11349</v>
      </c>
    </row>
    <row r="6558" spans="1:1" x14ac:dyDescent="0.25">
      <c r="A6558" s="74">
        <v>11350</v>
      </c>
    </row>
    <row r="6559" spans="1:1" x14ac:dyDescent="0.25">
      <c r="A6559" s="74">
        <v>11351</v>
      </c>
    </row>
    <row r="6560" spans="1:1" x14ac:dyDescent="0.25">
      <c r="A6560" s="74">
        <v>11352</v>
      </c>
    </row>
    <row r="6561" spans="1:1" x14ac:dyDescent="0.25">
      <c r="A6561" s="74">
        <v>11353</v>
      </c>
    </row>
    <row r="6562" spans="1:1" x14ac:dyDescent="0.25">
      <c r="A6562" s="74">
        <v>11354</v>
      </c>
    </row>
    <row r="6563" spans="1:1" x14ac:dyDescent="0.25">
      <c r="A6563" s="74">
        <v>11355</v>
      </c>
    </row>
    <row r="6564" spans="1:1" x14ac:dyDescent="0.25">
      <c r="A6564" s="74">
        <v>11356</v>
      </c>
    </row>
    <row r="6565" spans="1:1" x14ac:dyDescent="0.25">
      <c r="A6565" s="74">
        <v>11357</v>
      </c>
    </row>
    <row r="6566" spans="1:1" x14ac:dyDescent="0.25">
      <c r="A6566" s="74">
        <v>11358</v>
      </c>
    </row>
    <row r="6567" spans="1:1" x14ac:dyDescent="0.25">
      <c r="A6567" s="74">
        <v>11359</v>
      </c>
    </row>
    <row r="6568" spans="1:1" x14ac:dyDescent="0.25">
      <c r="A6568" s="74">
        <v>11360</v>
      </c>
    </row>
    <row r="6569" spans="1:1" x14ac:dyDescent="0.25">
      <c r="A6569" s="74">
        <v>11361</v>
      </c>
    </row>
    <row r="6570" spans="1:1" x14ac:dyDescent="0.25">
      <c r="A6570" s="74">
        <v>11362</v>
      </c>
    </row>
    <row r="6571" spans="1:1" x14ac:dyDescent="0.25">
      <c r="A6571" s="74">
        <v>11363</v>
      </c>
    </row>
    <row r="6572" spans="1:1" x14ac:dyDescent="0.25">
      <c r="A6572" s="74">
        <v>11364</v>
      </c>
    </row>
    <row r="6573" spans="1:1" x14ac:dyDescent="0.25">
      <c r="A6573" s="74">
        <v>11365</v>
      </c>
    </row>
    <row r="6574" spans="1:1" x14ac:dyDescent="0.25">
      <c r="A6574" s="74">
        <v>11366</v>
      </c>
    </row>
    <row r="6575" spans="1:1" x14ac:dyDescent="0.25">
      <c r="A6575" s="74">
        <v>11367</v>
      </c>
    </row>
    <row r="6576" spans="1:1" x14ac:dyDescent="0.25">
      <c r="A6576" s="74">
        <v>11368</v>
      </c>
    </row>
    <row r="6577" spans="1:1" x14ac:dyDescent="0.25">
      <c r="A6577" s="74">
        <v>11369</v>
      </c>
    </row>
    <row r="6578" spans="1:1" x14ac:dyDescent="0.25">
      <c r="A6578" s="74">
        <v>11370</v>
      </c>
    </row>
    <row r="6579" spans="1:1" x14ac:dyDescent="0.25">
      <c r="A6579" s="74">
        <v>11371</v>
      </c>
    </row>
    <row r="6580" spans="1:1" x14ac:dyDescent="0.25">
      <c r="A6580" s="74">
        <v>11372</v>
      </c>
    </row>
    <row r="6581" spans="1:1" x14ac:dyDescent="0.25">
      <c r="A6581" s="74">
        <v>11373</v>
      </c>
    </row>
    <row r="6582" spans="1:1" x14ac:dyDescent="0.25">
      <c r="A6582" s="74">
        <v>11374</v>
      </c>
    </row>
    <row r="6583" spans="1:1" x14ac:dyDescent="0.25">
      <c r="A6583" s="74">
        <v>11375</v>
      </c>
    </row>
    <row r="6584" spans="1:1" x14ac:dyDescent="0.25">
      <c r="A6584" s="74">
        <v>11376</v>
      </c>
    </row>
    <row r="6585" spans="1:1" x14ac:dyDescent="0.25">
      <c r="A6585" s="74">
        <v>11377</v>
      </c>
    </row>
    <row r="6586" spans="1:1" x14ac:dyDescent="0.25">
      <c r="A6586" s="74">
        <v>11378</v>
      </c>
    </row>
    <row r="6587" spans="1:1" x14ac:dyDescent="0.25">
      <c r="A6587" s="74">
        <v>11379</v>
      </c>
    </row>
    <row r="6588" spans="1:1" x14ac:dyDescent="0.25">
      <c r="A6588" s="74">
        <v>11380</v>
      </c>
    </row>
    <row r="6589" spans="1:1" x14ac:dyDescent="0.25">
      <c r="A6589" s="74">
        <v>11381</v>
      </c>
    </row>
    <row r="6590" spans="1:1" x14ac:dyDescent="0.25">
      <c r="A6590" s="74">
        <v>11382</v>
      </c>
    </row>
    <row r="6591" spans="1:1" x14ac:dyDescent="0.25">
      <c r="A6591" s="74">
        <v>11383</v>
      </c>
    </row>
    <row r="6592" spans="1:1" x14ac:dyDescent="0.25">
      <c r="A6592" s="74">
        <v>11384</v>
      </c>
    </row>
    <row r="6593" spans="1:1" x14ac:dyDescent="0.25">
      <c r="A6593" s="74">
        <v>11385</v>
      </c>
    </row>
    <row r="6594" spans="1:1" x14ac:dyDescent="0.25">
      <c r="A6594" s="74">
        <v>11386</v>
      </c>
    </row>
    <row r="6595" spans="1:1" x14ac:dyDescent="0.25">
      <c r="A6595" s="74">
        <v>11387</v>
      </c>
    </row>
    <row r="6596" spans="1:1" x14ac:dyDescent="0.25">
      <c r="A6596" s="74">
        <v>11388</v>
      </c>
    </row>
    <row r="6597" spans="1:1" x14ac:dyDescent="0.25">
      <c r="A6597" s="74">
        <v>11389</v>
      </c>
    </row>
    <row r="6598" spans="1:1" x14ac:dyDescent="0.25">
      <c r="A6598" s="74">
        <v>11390</v>
      </c>
    </row>
    <row r="6599" spans="1:1" x14ac:dyDescent="0.25">
      <c r="A6599" s="74">
        <v>11391</v>
      </c>
    </row>
    <row r="6600" spans="1:1" x14ac:dyDescent="0.25">
      <c r="A6600" s="74">
        <v>11392</v>
      </c>
    </row>
    <row r="6601" spans="1:1" x14ac:dyDescent="0.25">
      <c r="A6601" s="74">
        <v>11393</v>
      </c>
    </row>
    <row r="6602" spans="1:1" x14ac:dyDescent="0.25">
      <c r="A6602" s="74">
        <v>11394</v>
      </c>
    </row>
    <row r="6603" spans="1:1" x14ac:dyDescent="0.25">
      <c r="A6603" s="74">
        <v>11395</v>
      </c>
    </row>
    <row r="6604" spans="1:1" x14ac:dyDescent="0.25">
      <c r="A6604" s="74">
        <v>11396</v>
      </c>
    </row>
    <row r="6605" spans="1:1" x14ac:dyDescent="0.25">
      <c r="A6605" s="74">
        <v>11397</v>
      </c>
    </row>
    <row r="6606" spans="1:1" x14ac:dyDescent="0.25">
      <c r="A6606" s="74">
        <v>11398</v>
      </c>
    </row>
    <row r="6607" spans="1:1" x14ac:dyDescent="0.25">
      <c r="A6607" s="74">
        <v>11399</v>
      </c>
    </row>
    <row r="6608" spans="1:1" x14ac:dyDescent="0.25">
      <c r="A6608" s="74">
        <v>11400</v>
      </c>
    </row>
    <row r="6609" spans="1:1" x14ac:dyDescent="0.25">
      <c r="A6609" s="74">
        <v>11401</v>
      </c>
    </row>
    <row r="6610" spans="1:1" x14ac:dyDescent="0.25">
      <c r="A6610" s="74">
        <v>11402</v>
      </c>
    </row>
    <row r="6611" spans="1:1" x14ac:dyDescent="0.25">
      <c r="A6611" s="74">
        <v>11403</v>
      </c>
    </row>
    <row r="6612" spans="1:1" x14ac:dyDescent="0.25">
      <c r="A6612" s="74">
        <v>11404</v>
      </c>
    </row>
    <row r="6613" spans="1:1" x14ac:dyDescent="0.25">
      <c r="A6613" s="74">
        <v>11405</v>
      </c>
    </row>
    <row r="6614" spans="1:1" x14ac:dyDescent="0.25">
      <c r="A6614" s="74">
        <v>11406</v>
      </c>
    </row>
    <row r="6615" spans="1:1" x14ac:dyDescent="0.25">
      <c r="A6615" s="74">
        <v>11407</v>
      </c>
    </row>
    <row r="6616" spans="1:1" x14ac:dyDescent="0.25">
      <c r="A6616" s="74">
        <v>11408</v>
      </c>
    </row>
    <row r="6617" spans="1:1" x14ac:dyDescent="0.25">
      <c r="A6617" s="74">
        <v>11409</v>
      </c>
    </row>
    <row r="6618" spans="1:1" x14ac:dyDescent="0.25">
      <c r="A6618" s="74">
        <v>11410</v>
      </c>
    </row>
    <row r="6619" spans="1:1" x14ac:dyDescent="0.25">
      <c r="A6619" s="74">
        <v>11411</v>
      </c>
    </row>
    <row r="6620" spans="1:1" x14ac:dyDescent="0.25">
      <c r="A6620" s="74">
        <v>11412</v>
      </c>
    </row>
    <row r="6621" spans="1:1" x14ac:dyDescent="0.25">
      <c r="A6621" s="74">
        <v>11413</v>
      </c>
    </row>
    <row r="6622" spans="1:1" x14ac:dyDescent="0.25">
      <c r="A6622" s="74">
        <v>11414</v>
      </c>
    </row>
    <row r="6623" spans="1:1" x14ac:dyDescent="0.25">
      <c r="A6623" s="74">
        <v>11415</v>
      </c>
    </row>
    <row r="6624" spans="1:1" x14ac:dyDescent="0.25">
      <c r="A6624" s="74">
        <v>11416</v>
      </c>
    </row>
    <row r="6625" spans="1:1" x14ac:dyDescent="0.25">
      <c r="A6625" s="74">
        <v>11417</v>
      </c>
    </row>
    <row r="6626" spans="1:1" x14ac:dyDescent="0.25">
      <c r="A6626" s="74">
        <v>11418</v>
      </c>
    </row>
    <row r="6627" spans="1:1" x14ac:dyDescent="0.25">
      <c r="A6627" s="74">
        <v>11419</v>
      </c>
    </row>
    <row r="6628" spans="1:1" x14ac:dyDescent="0.25">
      <c r="A6628" s="74">
        <v>11420</v>
      </c>
    </row>
    <row r="6629" spans="1:1" x14ac:dyDescent="0.25">
      <c r="A6629" s="74">
        <v>11421</v>
      </c>
    </row>
    <row r="6630" spans="1:1" x14ac:dyDescent="0.25">
      <c r="A6630" s="74">
        <v>11422</v>
      </c>
    </row>
    <row r="6631" spans="1:1" x14ac:dyDescent="0.25">
      <c r="A6631" s="74">
        <v>11423</v>
      </c>
    </row>
    <row r="6632" spans="1:1" x14ac:dyDescent="0.25">
      <c r="A6632" s="74">
        <v>11424</v>
      </c>
    </row>
    <row r="6633" spans="1:1" x14ac:dyDescent="0.25">
      <c r="A6633" s="74">
        <v>11425</v>
      </c>
    </row>
    <row r="6634" spans="1:1" x14ac:dyDescent="0.25">
      <c r="A6634" s="74">
        <v>11426</v>
      </c>
    </row>
    <row r="6635" spans="1:1" x14ac:dyDescent="0.25">
      <c r="A6635" s="74">
        <v>11427</v>
      </c>
    </row>
    <row r="6636" spans="1:1" x14ac:dyDescent="0.25">
      <c r="A6636" s="74">
        <v>11428</v>
      </c>
    </row>
    <row r="6637" spans="1:1" x14ac:dyDescent="0.25">
      <c r="A6637" s="74">
        <v>11429</v>
      </c>
    </row>
    <row r="6638" spans="1:1" x14ac:dyDescent="0.25">
      <c r="A6638" s="74">
        <v>11430</v>
      </c>
    </row>
    <row r="6639" spans="1:1" x14ac:dyDescent="0.25">
      <c r="A6639" s="74">
        <v>11431</v>
      </c>
    </row>
    <row r="6640" spans="1:1" x14ac:dyDescent="0.25">
      <c r="A6640" s="74">
        <v>11432</v>
      </c>
    </row>
    <row r="6641" spans="1:1" x14ac:dyDescent="0.25">
      <c r="A6641" s="74">
        <v>11433</v>
      </c>
    </row>
    <row r="6642" spans="1:1" x14ac:dyDescent="0.25">
      <c r="A6642" s="74">
        <v>11434</v>
      </c>
    </row>
    <row r="6643" spans="1:1" x14ac:dyDescent="0.25">
      <c r="A6643" s="74">
        <v>11435</v>
      </c>
    </row>
    <row r="6644" spans="1:1" x14ac:dyDescent="0.25">
      <c r="A6644" s="74">
        <v>11436</v>
      </c>
    </row>
    <row r="6645" spans="1:1" x14ac:dyDescent="0.25">
      <c r="A6645" s="74">
        <v>11437</v>
      </c>
    </row>
    <row r="6646" spans="1:1" x14ac:dyDescent="0.25">
      <c r="A6646" s="74">
        <v>11438</v>
      </c>
    </row>
    <row r="6647" spans="1:1" x14ac:dyDescent="0.25">
      <c r="A6647" s="74">
        <v>11439</v>
      </c>
    </row>
    <row r="6648" spans="1:1" x14ac:dyDescent="0.25">
      <c r="A6648" s="74">
        <v>11440</v>
      </c>
    </row>
    <row r="6649" spans="1:1" x14ac:dyDescent="0.25">
      <c r="A6649" s="74">
        <v>11441</v>
      </c>
    </row>
    <row r="6650" spans="1:1" x14ac:dyDescent="0.25">
      <c r="A6650" s="74">
        <v>11442</v>
      </c>
    </row>
    <row r="6651" spans="1:1" x14ac:dyDescent="0.25">
      <c r="A6651" s="74">
        <v>11443</v>
      </c>
    </row>
    <row r="6652" spans="1:1" x14ac:dyDescent="0.25">
      <c r="A6652" s="74">
        <v>11444</v>
      </c>
    </row>
    <row r="6653" spans="1:1" x14ac:dyDescent="0.25">
      <c r="A6653" s="74">
        <v>11445</v>
      </c>
    </row>
    <row r="6654" spans="1:1" x14ac:dyDescent="0.25">
      <c r="A6654" s="74">
        <v>11446</v>
      </c>
    </row>
    <row r="6655" spans="1:1" x14ac:dyDescent="0.25">
      <c r="A6655" s="74">
        <v>11447</v>
      </c>
    </row>
    <row r="6656" spans="1:1" x14ac:dyDescent="0.25">
      <c r="A6656" s="74">
        <v>11448</v>
      </c>
    </row>
    <row r="6657" spans="1:1" x14ac:dyDescent="0.25">
      <c r="A6657" s="74">
        <v>11449</v>
      </c>
    </row>
    <row r="6658" spans="1:1" x14ac:dyDescent="0.25">
      <c r="A6658" s="74">
        <v>11450</v>
      </c>
    </row>
    <row r="6659" spans="1:1" x14ac:dyDescent="0.25">
      <c r="A6659" s="74">
        <v>11451</v>
      </c>
    </row>
    <row r="6660" spans="1:1" x14ac:dyDescent="0.25">
      <c r="A6660" s="74">
        <v>11452</v>
      </c>
    </row>
    <row r="6661" spans="1:1" x14ac:dyDescent="0.25">
      <c r="A6661" s="74">
        <v>11453</v>
      </c>
    </row>
    <row r="6662" spans="1:1" x14ac:dyDescent="0.25">
      <c r="A6662" s="74">
        <v>11454</v>
      </c>
    </row>
    <row r="6663" spans="1:1" x14ac:dyDescent="0.25">
      <c r="A6663" s="74">
        <v>11455</v>
      </c>
    </row>
    <row r="6664" spans="1:1" x14ac:dyDescent="0.25">
      <c r="A6664" s="74">
        <v>11456</v>
      </c>
    </row>
    <row r="6665" spans="1:1" x14ac:dyDescent="0.25">
      <c r="A6665" s="74">
        <v>11457</v>
      </c>
    </row>
    <row r="6666" spans="1:1" x14ac:dyDescent="0.25">
      <c r="A6666" s="74">
        <v>11458</v>
      </c>
    </row>
    <row r="6667" spans="1:1" x14ac:dyDescent="0.25">
      <c r="A6667" s="74">
        <v>11459</v>
      </c>
    </row>
    <row r="6668" spans="1:1" x14ac:dyDescent="0.25">
      <c r="A6668" s="74">
        <v>11460</v>
      </c>
    </row>
    <row r="6669" spans="1:1" x14ac:dyDescent="0.25">
      <c r="A6669" s="74">
        <v>11461</v>
      </c>
    </row>
    <row r="6670" spans="1:1" x14ac:dyDescent="0.25">
      <c r="A6670" s="74">
        <v>11462</v>
      </c>
    </row>
    <row r="6671" spans="1:1" x14ac:dyDescent="0.25">
      <c r="A6671" s="74">
        <v>11463</v>
      </c>
    </row>
    <row r="6672" spans="1:1" x14ac:dyDescent="0.25">
      <c r="A6672" s="74">
        <v>11464</v>
      </c>
    </row>
    <row r="6673" spans="1:1" x14ac:dyDescent="0.25">
      <c r="A6673" s="74">
        <v>11465</v>
      </c>
    </row>
    <row r="6674" spans="1:1" x14ac:dyDescent="0.25">
      <c r="A6674" s="74">
        <v>11466</v>
      </c>
    </row>
    <row r="6675" spans="1:1" x14ac:dyDescent="0.25">
      <c r="A6675" s="74">
        <v>11467</v>
      </c>
    </row>
    <row r="6676" spans="1:1" x14ac:dyDescent="0.25">
      <c r="A6676" s="74">
        <v>11468</v>
      </c>
    </row>
    <row r="6677" spans="1:1" x14ac:dyDescent="0.25">
      <c r="A6677" s="74">
        <v>11469</v>
      </c>
    </row>
    <row r="6678" spans="1:1" x14ac:dyDescent="0.25">
      <c r="A6678" s="74">
        <v>11470</v>
      </c>
    </row>
    <row r="6679" spans="1:1" x14ac:dyDescent="0.25">
      <c r="A6679" s="74">
        <v>11471</v>
      </c>
    </row>
    <row r="6680" spans="1:1" x14ac:dyDescent="0.25">
      <c r="A6680" s="74">
        <v>11472</v>
      </c>
    </row>
    <row r="6681" spans="1:1" x14ac:dyDescent="0.25">
      <c r="A6681" s="74">
        <v>11473</v>
      </c>
    </row>
    <row r="6682" spans="1:1" x14ac:dyDescent="0.25">
      <c r="A6682" s="74">
        <v>11474</v>
      </c>
    </row>
    <row r="6683" spans="1:1" x14ac:dyDescent="0.25">
      <c r="A6683" s="74">
        <v>11475</v>
      </c>
    </row>
    <row r="6684" spans="1:1" x14ac:dyDescent="0.25">
      <c r="A6684" s="74">
        <v>11476</v>
      </c>
    </row>
    <row r="6685" spans="1:1" x14ac:dyDescent="0.25">
      <c r="A6685" s="74">
        <v>11477</v>
      </c>
    </row>
    <row r="6686" spans="1:1" x14ac:dyDescent="0.25">
      <c r="A6686" s="74">
        <v>11478</v>
      </c>
    </row>
    <row r="6687" spans="1:1" x14ac:dyDescent="0.25">
      <c r="A6687" s="74">
        <v>11479</v>
      </c>
    </row>
    <row r="6688" spans="1:1" x14ac:dyDescent="0.25">
      <c r="A6688" s="74">
        <v>11480</v>
      </c>
    </row>
    <row r="6689" spans="1:1" x14ac:dyDescent="0.25">
      <c r="A6689" s="74">
        <v>11481</v>
      </c>
    </row>
    <row r="6690" spans="1:1" x14ac:dyDescent="0.25">
      <c r="A6690" s="74">
        <v>11482</v>
      </c>
    </row>
    <row r="6691" spans="1:1" x14ac:dyDescent="0.25">
      <c r="A6691" s="74">
        <v>11483</v>
      </c>
    </row>
    <row r="6692" spans="1:1" x14ac:dyDescent="0.25">
      <c r="A6692" s="74">
        <v>11484</v>
      </c>
    </row>
    <row r="6693" spans="1:1" x14ac:dyDescent="0.25">
      <c r="A6693" s="74">
        <v>11485</v>
      </c>
    </row>
    <row r="6694" spans="1:1" x14ac:dyDescent="0.25">
      <c r="A6694" s="74">
        <v>11486</v>
      </c>
    </row>
    <row r="6695" spans="1:1" x14ac:dyDescent="0.25">
      <c r="A6695" s="74">
        <v>11487</v>
      </c>
    </row>
    <row r="6696" spans="1:1" x14ac:dyDescent="0.25">
      <c r="A6696" s="74">
        <v>11488</v>
      </c>
    </row>
    <row r="6697" spans="1:1" x14ac:dyDescent="0.25">
      <c r="A6697" s="74">
        <v>11489</v>
      </c>
    </row>
    <row r="6698" spans="1:1" x14ac:dyDescent="0.25">
      <c r="A6698" s="74">
        <v>11490</v>
      </c>
    </row>
    <row r="6699" spans="1:1" x14ac:dyDescent="0.25">
      <c r="A6699" s="74">
        <v>11491</v>
      </c>
    </row>
    <row r="6700" spans="1:1" x14ac:dyDescent="0.25">
      <c r="A6700" s="74">
        <v>11492</v>
      </c>
    </row>
    <row r="6701" spans="1:1" x14ac:dyDescent="0.25">
      <c r="A6701" s="74">
        <v>11493</v>
      </c>
    </row>
    <row r="6702" spans="1:1" x14ac:dyDescent="0.25">
      <c r="A6702" s="74">
        <v>11494</v>
      </c>
    </row>
    <row r="6703" spans="1:1" x14ac:dyDescent="0.25">
      <c r="A6703" s="74">
        <v>11495</v>
      </c>
    </row>
    <row r="6704" spans="1:1" x14ac:dyDescent="0.25">
      <c r="A6704" s="74">
        <v>11496</v>
      </c>
    </row>
    <row r="6705" spans="1:1" x14ac:dyDescent="0.25">
      <c r="A6705" s="74">
        <v>11497</v>
      </c>
    </row>
    <row r="6706" spans="1:1" x14ac:dyDescent="0.25">
      <c r="A6706" s="74">
        <v>11498</v>
      </c>
    </row>
    <row r="6707" spans="1:1" x14ac:dyDescent="0.25">
      <c r="A6707" s="74">
        <v>11499</v>
      </c>
    </row>
    <row r="6708" spans="1:1" x14ac:dyDescent="0.25">
      <c r="A6708" s="74">
        <v>11500</v>
      </c>
    </row>
    <row r="6709" spans="1:1" x14ac:dyDescent="0.25">
      <c r="A6709" s="74">
        <v>11501</v>
      </c>
    </row>
    <row r="6710" spans="1:1" x14ac:dyDescent="0.25">
      <c r="A6710" s="74">
        <v>11502</v>
      </c>
    </row>
    <row r="6711" spans="1:1" x14ac:dyDescent="0.25">
      <c r="A6711" s="74">
        <v>11503</v>
      </c>
    </row>
    <row r="6712" spans="1:1" x14ac:dyDescent="0.25">
      <c r="A6712" s="74">
        <v>11504</v>
      </c>
    </row>
    <row r="6713" spans="1:1" x14ac:dyDescent="0.25">
      <c r="A6713" s="74">
        <v>11505</v>
      </c>
    </row>
    <row r="6714" spans="1:1" x14ac:dyDescent="0.25">
      <c r="A6714" s="74">
        <v>11506</v>
      </c>
    </row>
    <row r="6715" spans="1:1" x14ac:dyDescent="0.25">
      <c r="A6715" s="74">
        <v>11507</v>
      </c>
    </row>
    <row r="6716" spans="1:1" x14ac:dyDescent="0.25">
      <c r="A6716" s="74">
        <v>11508</v>
      </c>
    </row>
    <row r="6717" spans="1:1" x14ac:dyDescent="0.25">
      <c r="A6717" s="74">
        <v>11509</v>
      </c>
    </row>
    <row r="6718" spans="1:1" x14ac:dyDescent="0.25">
      <c r="A6718" s="74">
        <v>11510</v>
      </c>
    </row>
    <row r="6719" spans="1:1" x14ac:dyDescent="0.25">
      <c r="A6719" s="74">
        <v>11511</v>
      </c>
    </row>
    <row r="6720" spans="1:1" x14ac:dyDescent="0.25">
      <c r="A6720" s="74">
        <v>11512</v>
      </c>
    </row>
    <row r="6721" spans="1:1" x14ac:dyDescent="0.25">
      <c r="A6721" s="74">
        <v>11513</v>
      </c>
    </row>
    <row r="6722" spans="1:1" x14ac:dyDescent="0.25">
      <c r="A6722" s="74">
        <v>11514</v>
      </c>
    </row>
    <row r="6723" spans="1:1" x14ac:dyDescent="0.25">
      <c r="A6723" s="74">
        <v>11515</v>
      </c>
    </row>
    <row r="6724" spans="1:1" x14ac:dyDescent="0.25">
      <c r="A6724" s="74">
        <v>11516</v>
      </c>
    </row>
    <row r="6725" spans="1:1" x14ac:dyDescent="0.25">
      <c r="A6725" s="74">
        <v>11517</v>
      </c>
    </row>
    <row r="6726" spans="1:1" x14ac:dyDescent="0.25">
      <c r="A6726" s="74">
        <v>11518</v>
      </c>
    </row>
    <row r="6727" spans="1:1" x14ac:dyDescent="0.25">
      <c r="A6727" s="74">
        <v>11519</v>
      </c>
    </row>
    <row r="6728" spans="1:1" x14ac:dyDescent="0.25">
      <c r="A6728" s="74">
        <v>11520</v>
      </c>
    </row>
    <row r="6729" spans="1:1" x14ac:dyDescent="0.25">
      <c r="A6729" s="74">
        <v>11521</v>
      </c>
    </row>
    <row r="6730" spans="1:1" x14ac:dyDescent="0.25">
      <c r="A6730" s="74">
        <v>11522</v>
      </c>
    </row>
    <row r="6731" spans="1:1" x14ac:dyDescent="0.25">
      <c r="A6731" s="74">
        <v>11523</v>
      </c>
    </row>
    <row r="6732" spans="1:1" x14ac:dyDescent="0.25">
      <c r="A6732" s="74">
        <v>11524</v>
      </c>
    </row>
    <row r="6733" spans="1:1" x14ac:dyDescent="0.25">
      <c r="A6733" s="74">
        <v>11525</v>
      </c>
    </row>
    <row r="6734" spans="1:1" x14ac:dyDescent="0.25">
      <c r="A6734" s="74">
        <v>11526</v>
      </c>
    </row>
    <row r="6735" spans="1:1" x14ac:dyDescent="0.25">
      <c r="A6735" s="74">
        <v>11527</v>
      </c>
    </row>
    <row r="6736" spans="1:1" x14ac:dyDescent="0.25">
      <c r="A6736" s="74">
        <v>11528</v>
      </c>
    </row>
    <row r="6737" spans="1:1" x14ac:dyDescent="0.25">
      <c r="A6737" s="74">
        <v>11529</v>
      </c>
    </row>
    <row r="6738" spans="1:1" x14ac:dyDescent="0.25">
      <c r="A6738" s="74">
        <v>11530</v>
      </c>
    </row>
    <row r="6739" spans="1:1" x14ac:dyDescent="0.25">
      <c r="A6739" s="74">
        <v>11531</v>
      </c>
    </row>
    <row r="6740" spans="1:1" x14ac:dyDescent="0.25">
      <c r="A6740" s="74">
        <v>11532</v>
      </c>
    </row>
    <row r="6741" spans="1:1" x14ac:dyDescent="0.25">
      <c r="A6741" s="74">
        <v>11533</v>
      </c>
    </row>
    <row r="6742" spans="1:1" x14ac:dyDescent="0.25">
      <c r="A6742" s="74">
        <v>11534</v>
      </c>
    </row>
    <row r="6743" spans="1:1" x14ac:dyDescent="0.25">
      <c r="A6743" s="74">
        <v>11535</v>
      </c>
    </row>
    <row r="6744" spans="1:1" x14ac:dyDescent="0.25">
      <c r="A6744" s="74">
        <v>11536</v>
      </c>
    </row>
    <row r="6745" spans="1:1" x14ac:dyDescent="0.25">
      <c r="A6745" s="74">
        <v>11537</v>
      </c>
    </row>
    <row r="6746" spans="1:1" x14ac:dyDescent="0.25">
      <c r="A6746" s="74">
        <v>11538</v>
      </c>
    </row>
    <row r="6747" spans="1:1" x14ac:dyDescent="0.25">
      <c r="A6747" s="74">
        <v>11539</v>
      </c>
    </row>
    <row r="6748" spans="1:1" x14ac:dyDescent="0.25">
      <c r="A6748" s="74">
        <v>11540</v>
      </c>
    </row>
    <row r="6749" spans="1:1" x14ac:dyDescent="0.25">
      <c r="A6749" s="74">
        <v>11541</v>
      </c>
    </row>
    <row r="6750" spans="1:1" x14ac:dyDescent="0.25">
      <c r="A6750" s="74">
        <v>11542</v>
      </c>
    </row>
    <row r="6751" spans="1:1" x14ac:dyDescent="0.25">
      <c r="A6751" s="74">
        <v>11543</v>
      </c>
    </row>
    <row r="6752" spans="1:1" x14ac:dyDescent="0.25">
      <c r="A6752" s="74">
        <v>11544</v>
      </c>
    </row>
    <row r="6753" spans="1:1" x14ac:dyDescent="0.25">
      <c r="A6753" s="74">
        <v>11545</v>
      </c>
    </row>
    <row r="6754" spans="1:1" x14ac:dyDescent="0.25">
      <c r="A6754" s="74">
        <v>11546</v>
      </c>
    </row>
    <row r="6755" spans="1:1" x14ac:dyDescent="0.25">
      <c r="A6755" s="74">
        <v>11547</v>
      </c>
    </row>
    <row r="6756" spans="1:1" x14ac:dyDescent="0.25">
      <c r="A6756" s="74">
        <v>11548</v>
      </c>
    </row>
    <row r="6757" spans="1:1" x14ac:dyDescent="0.25">
      <c r="A6757" s="74">
        <v>11549</v>
      </c>
    </row>
    <row r="6758" spans="1:1" x14ac:dyDescent="0.25">
      <c r="A6758" s="74">
        <v>11550</v>
      </c>
    </row>
    <row r="6759" spans="1:1" x14ac:dyDescent="0.25">
      <c r="A6759" s="74">
        <v>11551</v>
      </c>
    </row>
    <row r="6760" spans="1:1" x14ac:dyDescent="0.25">
      <c r="A6760" s="74">
        <v>11552</v>
      </c>
    </row>
    <row r="6761" spans="1:1" x14ac:dyDescent="0.25">
      <c r="A6761" s="74">
        <v>11553</v>
      </c>
    </row>
    <row r="6762" spans="1:1" x14ac:dyDescent="0.25">
      <c r="A6762" s="74">
        <v>11554</v>
      </c>
    </row>
    <row r="6763" spans="1:1" x14ac:dyDescent="0.25">
      <c r="A6763" s="74">
        <v>11555</v>
      </c>
    </row>
    <row r="6764" spans="1:1" x14ac:dyDescent="0.25">
      <c r="A6764" s="74">
        <v>11556</v>
      </c>
    </row>
    <row r="6765" spans="1:1" x14ac:dyDescent="0.25">
      <c r="A6765" s="74">
        <v>11557</v>
      </c>
    </row>
    <row r="6766" spans="1:1" x14ac:dyDescent="0.25">
      <c r="A6766" s="74">
        <v>11558</v>
      </c>
    </row>
    <row r="6767" spans="1:1" x14ac:dyDescent="0.25">
      <c r="A6767" s="74">
        <v>11559</v>
      </c>
    </row>
    <row r="6768" spans="1:1" x14ac:dyDescent="0.25">
      <c r="A6768" s="74">
        <v>11560</v>
      </c>
    </row>
    <row r="6769" spans="1:1" x14ac:dyDescent="0.25">
      <c r="A6769" s="74">
        <v>11561</v>
      </c>
    </row>
    <row r="6770" spans="1:1" x14ac:dyDescent="0.25">
      <c r="A6770" s="74">
        <v>11562</v>
      </c>
    </row>
    <row r="6771" spans="1:1" x14ac:dyDescent="0.25">
      <c r="A6771" s="74">
        <v>11563</v>
      </c>
    </row>
    <row r="6772" spans="1:1" x14ac:dyDescent="0.25">
      <c r="A6772" s="74">
        <v>11564</v>
      </c>
    </row>
    <row r="6773" spans="1:1" x14ac:dyDescent="0.25">
      <c r="A6773" s="74">
        <v>11565</v>
      </c>
    </row>
    <row r="6774" spans="1:1" x14ac:dyDescent="0.25">
      <c r="A6774" s="74">
        <v>11566</v>
      </c>
    </row>
    <row r="6775" spans="1:1" x14ac:dyDescent="0.25">
      <c r="A6775" s="74">
        <v>11567</v>
      </c>
    </row>
    <row r="6776" spans="1:1" x14ac:dyDescent="0.25">
      <c r="A6776" s="74">
        <v>11568</v>
      </c>
    </row>
    <row r="6777" spans="1:1" x14ac:dyDescent="0.25">
      <c r="A6777" s="74">
        <v>11569</v>
      </c>
    </row>
    <row r="6778" spans="1:1" x14ac:dyDescent="0.25">
      <c r="A6778" s="74">
        <v>11570</v>
      </c>
    </row>
    <row r="6779" spans="1:1" x14ac:dyDescent="0.25">
      <c r="A6779" s="74">
        <v>11571</v>
      </c>
    </row>
    <row r="6780" spans="1:1" x14ac:dyDescent="0.25">
      <c r="A6780" s="74">
        <v>11572</v>
      </c>
    </row>
    <row r="6781" spans="1:1" x14ac:dyDescent="0.25">
      <c r="A6781" s="74">
        <v>11573</v>
      </c>
    </row>
    <row r="6782" spans="1:1" x14ac:dyDescent="0.25">
      <c r="A6782" s="74">
        <v>11574</v>
      </c>
    </row>
    <row r="6783" spans="1:1" x14ac:dyDescent="0.25">
      <c r="A6783" s="74">
        <v>11575</v>
      </c>
    </row>
    <row r="6784" spans="1:1" x14ac:dyDescent="0.25">
      <c r="A6784" s="74">
        <v>11576</v>
      </c>
    </row>
    <row r="6785" spans="1:1" x14ac:dyDescent="0.25">
      <c r="A6785" s="74">
        <v>11577</v>
      </c>
    </row>
    <row r="6786" spans="1:1" x14ac:dyDescent="0.25">
      <c r="A6786" s="74">
        <v>11578</v>
      </c>
    </row>
    <row r="6787" spans="1:1" x14ac:dyDescent="0.25">
      <c r="A6787" s="74">
        <v>11579</v>
      </c>
    </row>
    <row r="6788" spans="1:1" x14ac:dyDescent="0.25">
      <c r="A6788" s="74">
        <v>11580</v>
      </c>
    </row>
    <row r="6789" spans="1:1" x14ac:dyDescent="0.25">
      <c r="A6789" s="74">
        <v>11581</v>
      </c>
    </row>
    <row r="6790" spans="1:1" x14ac:dyDescent="0.25">
      <c r="A6790" s="74">
        <v>11582</v>
      </c>
    </row>
    <row r="6791" spans="1:1" x14ac:dyDescent="0.25">
      <c r="A6791" s="74">
        <v>11583</v>
      </c>
    </row>
    <row r="6792" spans="1:1" x14ac:dyDescent="0.25">
      <c r="A6792" s="74">
        <v>11584</v>
      </c>
    </row>
    <row r="6793" spans="1:1" x14ac:dyDescent="0.25">
      <c r="A6793" s="74">
        <v>11585</v>
      </c>
    </row>
    <row r="6794" spans="1:1" x14ac:dyDescent="0.25">
      <c r="A6794" s="74">
        <v>11586</v>
      </c>
    </row>
    <row r="6795" spans="1:1" x14ac:dyDescent="0.25">
      <c r="A6795" s="74">
        <v>11587</v>
      </c>
    </row>
    <row r="6796" spans="1:1" x14ac:dyDescent="0.25">
      <c r="A6796" s="74">
        <v>11588</v>
      </c>
    </row>
    <row r="6797" spans="1:1" x14ac:dyDescent="0.25">
      <c r="A6797" s="74">
        <v>11589</v>
      </c>
    </row>
    <row r="6798" spans="1:1" x14ac:dyDescent="0.25">
      <c r="A6798" s="74">
        <v>11590</v>
      </c>
    </row>
    <row r="6799" spans="1:1" x14ac:dyDescent="0.25">
      <c r="A6799" s="74">
        <v>11591</v>
      </c>
    </row>
    <row r="6800" spans="1:1" x14ac:dyDescent="0.25">
      <c r="A6800" s="74">
        <v>11592</v>
      </c>
    </row>
    <row r="6801" spans="1:1" x14ac:dyDescent="0.25">
      <c r="A6801" s="74">
        <v>11593</v>
      </c>
    </row>
    <row r="6802" spans="1:1" x14ac:dyDescent="0.25">
      <c r="A6802" s="74">
        <v>11594</v>
      </c>
    </row>
    <row r="6803" spans="1:1" x14ac:dyDescent="0.25">
      <c r="A6803" s="74">
        <v>11595</v>
      </c>
    </row>
    <row r="6804" spans="1:1" x14ac:dyDescent="0.25">
      <c r="A6804" s="74">
        <v>11596</v>
      </c>
    </row>
    <row r="6805" spans="1:1" x14ac:dyDescent="0.25">
      <c r="A6805" s="74">
        <v>11597</v>
      </c>
    </row>
    <row r="6806" spans="1:1" x14ac:dyDescent="0.25">
      <c r="A6806" s="74">
        <v>11598</v>
      </c>
    </row>
    <row r="6807" spans="1:1" x14ac:dyDescent="0.25">
      <c r="A6807" s="74">
        <v>11599</v>
      </c>
    </row>
    <row r="6808" spans="1:1" x14ac:dyDescent="0.25">
      <c r="A6808" s="74">
        <v>11600</v>
      </c>
    </row>
    <row r="6809" spans="1:1" x14ac:dyDescent="0.25">
      <c r="A6809" s="74">
        <v>11601</v>
      </c>
    </row>
    <row r="6810" spans="1:1" x14ac:dyDescent="0.25">
      <c r="A6810" s="74">
        <v>11602</v>
      </c>
    </row>
    <row r="6811" spans="1:1" x14ac:dyDescent="0.25">
      <c r="A6811" s="74">
        <v>11603</v>
      </c>
    </row>
    <row r="6812" spans="1:1" x14ac:dyDescent="0.25">
      <c r="A6812" s="74">
        <v>11604</v>
      </c>
    </row>
    <row r="6813" spans="1:1" x14ac:dyDescent="0.25">
      <c r="A6813" s="74">
        <v>11605</v>
      </c>
    </row>
    <row r="6814" spans="1:1" x14ac:dyDescent="0.25">
      <c r="A6814" s="74">
        <v>11606</v>
      </c>
    </row>
    <row r="6815" spans="1:1" x14ac:dyDescent="0.25">
      <c r="A6815" s="74">
        <v>11607</v>
      </c>
    </row>
    <row r="6816" spans="1:1" x14ac:dyDescent="0.25">
      <c r="A6816" s="74">
        <v>11608</v>
      </c>
    </row>
    <row r="6817" spans="1:1" x14ac:dyDescent="0.25">
      <c r="A6817" s="74">
        <v>11609</v>
      </c>
    </row>
    <row r="6818" spans="1:1" x14ac:dyDescent="0.25">
      <c r="A6818" s="74">
        <v>11610</v>
      </c>
    </row>
    <row r="6819" spans="1:1" x14ac:dyDescent="0.25">
      <c r="A6819" s="74">
        <v>11611</v>
      </c>
    </row>
    <row r="6820" spans="1:1" x14ac:dyDescent="0.25">
      <c r="A6820" s="74">
        <v>11612</v>
      </c>
    </row>
    <row r="6821" spans="1:1" x14ac:dyDescent="0.25">
      <c r="A6821" s="74">
        <v>11613</v>
      </c>
    </row>
    <row r="6822" spans="1:1" x14ac:dyDescent="0.25">
      <c r="A6822" s="74">
        <v>11614</v>
      </c>
    </row>
    <row r="6823" spans="1:1" x14ac:dyDescent="0.25">
      <c r="A6823" s="74">
        <v>11615</v>
      </c>
    </row>
    <row r="6824" spans="1:1" x14ac:dyDescent="0.25">
      <c r="A6824" s="74">
        <v>11616</v>
      </c>
    </row>
    <row r="6825" spans="1:1" x14ac:dyDescent="0.25">
      <c r="A6825" s="74">
        <v>11617</v>
      </c>
    </row>
    <row r="6826" spans="1:1" x14ac:dyDescent="0.25">
      <c r="A6826" s="74">
        <v>11618</v>
      </c>
    </row>
    <row r="6827" spans="1:1" x14ac:dyDescent="0.25">
      <c r="A6827" s="74">
        <v>11619</v>
      </c>
    </row>
    <row r="6828" spans="1:1" x14ac:dyDescent="0.25">
      <c r="A6828" s="74">
        <v>11620</v>
      </c>
    </row>
    <row r="6829" spans="1:1" x14ac:dyDescent="0.25">
      <c r="A6829" s="74">
        <v>11621</v>
      </c>
    </row>
    <row r="6830" spans="1:1" x14ac:dyDescent="0.25">
      <c r="A6830" s="74">
        <v>11622</v>
      </c>
    </row>
    <row r="6831" spans="1:1" x14ac:dyDescent="0.25">
      <c r="A6831" s="74">
        <v>11623</v>
      </c>
    </row>
    <row r="6832" spans="1:1" x14ac:dyDescent="0.25">
      <c r="A6832" s="74">
        <v>11624</v>
      </c>
    </row>
    <row r="6833" spans="1:1" x14ac:dyDescent="0.25">
      <c r="A6833" s="74">
        <v>11625</v>
      </c>
    </row>
    <row r="6834" spans="1:1" x14ac:dyDescent="0.25">
      <c r="A6834" s="74">
        <v>11626</v>
      </c>
    </row>
    <row r="6835" spans="1:1" x14ac:dyDescent="0.25">
      <c r="A6835" s="74">
        <v>11627</v>
      </c>
    </row>
    <row r="6836" spans="1:1" x14ac:dyDescent="0.25">
      <c r="A6836" s="74">
        <v>11628</v>
      </c>
    </row>
    <row r="6837" spans="1:1" x14ac:dyDescent="0.25">
      <c r="A6837" s="74">
        <v>11629</v>
      </c>
    </row>
    <row r="6838" spans="1:1" x14ac:dyDescent="0.25">
      <c r="A6838" s="74">
        <v>11630</v>
      </c>
    </row>
    <row r="6839" spans="1:1" x14ac:dyDescent="0.25">
      <c r="A6839" s="74">
        <v>11631</v>
      </c>
    </row>
    <row r="6840" spans="1:1" x14ac:dyDescent="0.25">
      <c r="A6840" s="74">
        <v>11632</v>
      </c>
    </row>
    <row r="6841" spans="1:1" x14ac:dyDescent="0.25">
      <c r="A6841" s="74">
        <v>11633</v>
      </c>
    </row>
    <row r="6842" spans="1:1" x14ac:dyDescent="0.25">
      <c r="A6842" s="74">
        <v>11634</v>
      </c>
    </row>
    <row r="6843" spans="1:1" x14ac:dyDescent="0.25">
      <c r="A6843" s="74">
        <v>11635</v>
      </c>
    </row>
    <row r="6844" spans="1:1" x14ac:dyDescent="0.25">
      <c r="A6844" s="74">
        <v>11636</v>
      </c>
    </row>
    <row r="6845" spans="1:1" x14ac:dyDescent="0.25">
      <c r="A6845" s="74">
        <v>11637</v>
      </c>
    </row>
    <row r="6846" spans="1:1" x14ac:dyDescent="0.25">
      <c r="A6846" s="74">
        <v>11638</v>
      </c>
    </row>
    <row r="6847" spans="1:1" x14ac:dyDescent="0.25">
      <c r="A6847" s="74">
        <v>11639</v>
      </c>
    </row>
    <row r="6848" spans="1:1" x14ac:dyDescent="0.25">
      <c r="A6848" s="74">
        <v>11640</v>
      </c>
    </row>
    <row r="6849" spans="1:1" x14ac:dyDescent="0.25">
      <c r="A6849" s="74">
        <v>11641</v>
      </c>
    </row>
    <row r="6850" spans="1:1" x14ac:dyDescent="0.25">
      <c r="A6850" s="74">
        <v>11642</v>
      </c>
    </row>
    <row r="6851" spans="1:1" x14ac:dyDescent="0.25">
      <c r="A6851" s="74">
        <v>11643</v>
      </c>
    </row>
    <row r="6852" spans="1:1" x14ac:dyDescent="0.25">
      <c r="A6852" s="74">
        <v>11644</v>
      </c>
    </row>
    <row r="6853" spans="1:1" x14ac:dyDescent="0.25">
      <c r="A6853" s="74">
        <v>11645</v>
      </c>
    </row>
    <row r="6854" spans="1:1" x14ac:dyDescent="0.25">
      <c r="A6854" s="74">
        <v>11646</v>
      </c>
    </row>
    <row r="6855" spans="1:1" x14ac:dyDescent="0.25">
      <c r="A6855" s="74">
        <v>11647</v>
      </c>
    </row>
    <row r="6856" spans="1:1" x14ac:dyDescent="0.25">
      <c r="A6856" s="74">
        <v>11648</v>
      </c>
    </row>
    <row r="6857" spans="1:1" x14ac:dyDescent="0.25">
      <c r="A6857" s="74">
        <v>11649</v>
      </c>
    </row>
    <row r="6858" spans="1:1" x14ac:dyDescent="0.25">
      <c r="A6858" s="74">
        <v>11650</v>
      </c>
    </row>
    <row r="6859" spans="1:1" x14ac:dyDescent="0.25">
      <c r="A6859" s="74">
        <v>11651</v>
      </c>
    </row>
    <row r="6860" spans="1:1" x14ac:dyDescent="0.25">
      <c r="A6860" s="74">
        <v>11652</v>
      </c>
    </row>
    <row r="6861" spans="1:1" x14ac:dyDescent="0.25">
      <c r="A6861" s="74">
        <v>11653</v>
      </c>
    </row>
    <row r="6862" spans="1:1" x14ac:dyDescent="0.25">
      <c r="A6862" s="74">
        <v>11654</v>
      </c>
    </row>
    <row r="6863" spans="1:1" x14ac:dyDescent="0.25">
      <c r="A6863" s="74">
        <v>11655</v>
      </c>
    </row>
    <row r="6864" spans="1:1" x14ac:dyDescent="0.25">
      <c r="A6864" s="74">
        <v>11656</v>
      </c>
    </row>
    <row r="6865" spans="1:1" x14ac:dyDescent="0.25">
      <c r="A6865" s="74">
        <v>11657</v>
      </c>
    </row>
    <row r="6866" spans="1:1" x14ac:dyDescent="0.25">
      <c r="A6866" s="74">
        <v>11658</v>
      </c>
    </row>
    <row r="6867" spans="1:1" x14ac:dyDescent="0.25">
      <c r="A6867" s="74">
        <v>11659</v>
      </c>
    </row>
    <row r="6868" spans="1:1" x14ac:dyDescent="0.25">
      <c r="A6868" s="74">
        <v>11660</v>
      </c>
    </row>
    <row r="6869" spans="1:1" x14ac:dyDescent="0.25">
      <c r="A6869" s="74">
        <v>11661</v>
      </c>
    </row>
    <row r="6870" spans="1:1" x14ac:dyDescent="0.25">
      <c r="A6870" s="74">
        <v>11662</v>
      </c>
    </row>
    <row r="6871" spans="1:1" x14ac:dyDescent="0.25">
      <c r="A6871" s="74">
        <v>11663</v>
      </c>
    </row>
    <row r="6872" spans="1:1" x14ac:dyDescent="0.25">
      <c r="A6872" s="74">
        <v>11664</v>
      </c>
    </row>
    <row r="6873" spans="1:1" x14ac:dyDescent="0.25">
      <c r="A6873" s="74">
        <v>11665</v>
      </c>
    </row>
    <row r="6874" spans="1:1" x14ac:dyDescent="0.25">
      <c r="A6874" s="74">
        <v>11666</v>
      </c>
    </row>
    <row r="6875" spans="1:1" x14ac:dyDescent="0.25">
      <c r="A6875" s="74">
        <v>11667</v>
      </c>
    </row>
    <row r="6876" spans="1:1" x14ac:dyDescent="0.25">
      <c r="A6876" s="74">
        <v>11668</v>
      </c>
    </row>
    <row r="6877" spans="1:1" x14ac:dyDescent="0.25">
      <c r="A6877" s="74">
        <v>11669</v>
      </c>
    </row>
    <row r="6878" spans="1:1" x14ac:dyDescent="0.25">
      <c r="A6878" s="74">
        <v>11670</v>
      </c>
    </row>
    <row r="6879" spans="1:1" x14ac:dyDescent="0.25">
      <c r="A6879" s="74">
        <v>11671</v>
      </c>
    </row>
    <row r="6880" spans="1:1" x14ac:dyDescent="0.25">
      <c r="A6880" s="74">
        <v>11672</v>
      </c>
    </row>
    <row r="6881" spans="1:1" x14ac:dyDescent="0.25">
      <c r="A6881" s="74">
        <v>11673</v>
      </c>
    </row>
    <row r="6882" spans="1:1" x14ac:dyDescent="0.25">
      <c r="A6882" s="74">
        <v>11674</v>
      </c>
    </row>
    <row r="6883" spans="1:1" x14ac:dyDescent="0.25">
      <c r="A6883" s="74">
        <v>11675</v>
      </c>
    </row>
    <row r="6884" spans="1:1" x14ac:dyDescent="0.25">
      <c r="A6884" s="74">
        <v>11676</v>
      </c>
    </row>
    <row r="6885" spans="1:1" x14ac:dyDescent="0.25">
      <c r="A6885" s="74">
        <v>11677</v>
      </c>
    </row>
    <row r="6886" spans="1:1" x14ac:dyDescent="0.25">
      <c r="A6886" s="74">
        <v>11678</v>
      </c>
    </row>
    <row r="6887" spans="1:1" x14ac:dyDescent="0.25">
      <c r="A6887" s="74">
        <v>11679</v>
      </c>
    </row>
    <row r="6888" spans="1:1" x14ac:dyDescent="0.25">
      <c r="A6888" s="74">
        <v>11680</v>
      </c>
    </row>
    <row r="6889" spans="1:1" x14ac:dyDescent="0.25">
      <c r="A6889" s="74">
        <v>11681</v>
      </c>
    </row>
    <row r="6890" spans="1:1" x14ac:dyDescent="0.25">
      <c r="A6890" s="74">
        <v>11682</v>
      </c>
    </row>
    <row r="6891" spans="1:1" x14ac:dyDescent="0.25">
      <c r="A6891" s="74">
        <v>11683</v>
      </c>
    </row>
    <row r="6892" spans="1:1" x14ac:dyDescent="0.25">
      <c r="A6892" s="74">
        <v>11684</v>
      </c>
    </row>
    <row r="6893" spans="1:1" x14ac:dyDescent="0.25">
      <c r="A6893" s="74">
        <v>11685</v>
      </c>
    </row>
    <row r="6894" spans="1:1" x14ac:dyDescent="0.25">
      <c r="A6894" s="74">
        <v>11686</v>
      </c>
    </row>
    <row r="6895" spans="1:1" x14ac:dyDescent="0.25">
      <c r="A6895" s="74">
        <v>11687</v>
      </c>
    </row>
    <row r="6896" spans="1:1" x14ac:dyDescent="0.25">
      <c r="A6896" s="74">
        <v>11688</v>
      </c>
    </row>
    <row r="6897" spans="1:1" x14ac:dyDescent="0.25">
      <c r="A6897" s="74">
        <v>11689</v>
      </c>
    </row>
    <row r="6898" spans="1:1" x14ac:dyDescent="0.25">
      <c r="A6898" s="74">
        <v>11690</v>
      </c>
    </row>
    <row r="6899" spans="1:1" x14ac:dyDescent="0.25">
      <c r="A6899" s="74">
        <v>11691</v>
      </c>
    </row>
    <row r="6900" spans="1:1" x14ac:dyDescent="0.25">
      <c r="A6900" s="74">
        <v>11692</v>
      </c>
    </row>
    <row r="6901" spans="1:1" x14ac:dyDescent="0.25">
      <c r="A6901" s="74">
        <v>11693</v>
      </c>
    </row>
    <row r="6902" spans="1:1" x14ac:dyDescent="0.25">
      <c r="A6902" s="74">
        <v>11694</v>
      </c>
    </row>
    <row r="6903" spans="1:1" x14ac:dyDescent="0.25">
      <c r="A6903" s="74">
        <v>11695</v>
      </c>
    </row>
    <row r="6904" spans="1:1" x14ac:dyDescent="0.25">
      <c r="A6904" s="74">
        <v>11696</v>
      </c>
    </row>
    <row r="6905" spans="1:1" x14ac:dyDescent="0.25">
      <c r="A6905" s="74">
        <v>11697</v>
      </c>
    </row>
    <row r="6906" spans="1:1" x14ac:dyDescent="0.25">
      <c r="A6906" s="74">
        <v>11698</v>
      </c>
    </row>
    <row r="6907" spans="1:1" x14ac:dyDescent="0.25">
      <c r="A6907" s="74">
        <v>11699</v>
      </c>
    </row>
    <row r="6908" spans="1:1" x14ac:dyDescent="0.25">
      <c r="A6908" s="74">
        <v>11700</v>
      </c>
    </row>
    <row r="6909" spans="1:1" x14ac:dyDescent="0.25">
      <c r="A6909" s="74">
        <v>11701</v>
      </c>
    </row>
    <row r="6910" spans="1:1" x14ac:dyDescent="0.25">
      <c r="A6910" s="74">
        <v>11702</v>
      </c>
    </row>
    <row r="6911" spans="1:1" x14ac:dyDescent="0.25">
      <c r="A6911" s="74">
        <v>11703</v>
      </c>
    </row>
    <row r="6912" spans="1:1" x14ac:dyDescent="0.25">
      <c r="A6912" s="74">
        <v>11704</v>
      </c>
    </row>
    <row r="6913" spans="1:1" x14ac:dyDescent="0.25">
      <c r="A6913" s="74">
        <v>11705</v>
      </c>
    </row>
    <row r="6914" spans="1:1" x14ac:dyDescent="0.25">
      <c r="A6914" s="74">
        <v>11706</v>
      </c>
    </row>
    <row r="6915" spans="1:1" x14ac:dyDescent="0.25">
      <c r="A6915" s="74">
        <v>11707</v>
      </c>
    </row>
    <row r="6916" spans="1:1" x14ac:dyDescent="0.25">
      <c r="A6916" s="74">
        <v>11708</v>
      </c>
    </row>
    <row r="6917" spans="1:1" x14ac:dyDescent="0.25">
      <c r="A6917" s="74">
        <v>11709</v>
      </c>
    </row>
    <row r="6918" spans="1:1" x14ac:dyDescent="0.25">
      <c r="A6918" s="74">
        <v>11710</v>
      </c>
    </row>
    <row r="6919" spans="1:1" x14ac:dyDescent="0.25">
      <c r="A6919" s="74">
        <v>11711</v>
      </c>
    </row>
    <row r="6920" spans="1:1" x14ac:dyDescent="0.25">
      <c r="A6920" s="74">
        <v>11712</v>
      </c>
    </row>
    <row r="6921" spans="1:1" x14ac:dyDescent="0.25">
      <c r="A6921" s="74">
        <v>11713</v>
      </c>
    </row>
    <row r="6922" spans="1:1" x14ac:dyDescent="0.25">
      <c r="A6922" s="74">
        <v>11714</v>
      </c>
    </row>
    <row r="6923" spans="1:1" x14ac:dyDescent="0.25">
      <c r="A6923" s="74">
        <v>11715</v>
      </c>
    </row>
    <row r="6924" spans="1:1" x14ac:dyDescent="0.25">
      <c r="A6924" s="74">
        <v>11716</v>
      </c>
    </row>
    <row r="6925" spans="1:1" x14ac:dyDescent="0.25">
      <c r="A6925" s="74">
        <v>11717</v>
      </c>
    </row>
    <row r="6926" spans="1:1" x14ac:dyDescent="0.25">
      <c r="A6926" s="74">
        <v>11718</v>
      </c>
    </row>
    <row r="6927" spans="1:1" x14ac:dyDescent="0.25">
      <c r="A6927" s="74">
        <v>11719</v>
      </c>
    </row>
    <row r="6928" spans="1:1" x14ac:dyDescent="0.25">
      <c r="A6928" s="74">
        <v>11720</v>
      </c>
    </row>
    <row r="6929" spans="1:1" x14ac:dyDescent="0.25">
      <c r="A6929" s="74">
        <v>11721</v>
      </c>
    </row>
    <row r="6930" spans="1:1" x14ac:dyDescent="0.25">
      <c r="A6930" s="74">
        <v>11722</v>
      </c>
    </row>
    <row r="6931" spans="1:1" x14ac:dyDescent="0.25">
      <c r="A6931" s="74">
        <v>11723</v>
      </c>
    </row>
    <row r="6932" spans="1:1" x14ac:dyDescent="0.25">
      <c r="A6932" s="74">
        <v>11724</v>
      </c>
    </row>
    <row r="6933" spans="1:1" x14ac:dyDescent="0.25">
      <c r="A6933" s="74">
        <v>11725</v>
      </c>
    </row>
    <row r="6934" spans="1:1" x14ac:dyDescent="0.25">
      <c r="A6934" s="74">
        <v>11726</v>
      </c>
    </row>
    <row r="6935" spans="1:1" x14ac:dyDescent="0.25">
      <c r="A6935" s="74">
        <v>11727</v>
      </c>
    </row>
    <row r="6936" spans="1:1" x14ac:dyDescent="0.25">
      <c r="A6936" s="74">
        <v>11728</v>
      </c>
    </row>
    <row r="6937" spans="1:1" x14ac:dyDescent="0.25">
      <c r="A6937" s="74">
        <v>11729</v>
      </c>
    </row>
    <row r="6938" spans="1:1" x14ac:dyDescent="0.25">
      <c r="A6938" s="74">
        <v>11730</v>
      </c>
    </row>
    <row r="6939" spans="1:1" x14ac:dyDescent="0.25">
      <c r="A6939" s="74">
        <v>11731</v>
      </c>
    </row>
    <row r="6940" spans="1:1" x14ac:dyDescent="0.25">
      <c r="A6940" s="74">
        <v>11732</v>
      </c>
    </row>
    <row r="6941" spans="1:1" x14ac:dyDescent="0.25">
      <c r="A6941" s="74">
        <v>11733</v>
      </c>
    </row>
    <row r="6942" spans="1:1" x14ac:dyDescent="0.25">
      <c r="A6942" s="74">
        <v>11734</v>
      </c>
    </row>
    <row r="6943" spans="1:1" x14ac:dyDescent="0.25">
      <c r="A6943" s="74">
        <v>11735</v>
      </c>
    </row>
    <row r="6944" spans="1:1" x14ac:dyDescent="0.25">
      <c r="A6944" s="74">
        <v>11736</v>
      </c>
    </row>
    <row r="6945" spans="1:1" x14ac:dyDescent="0.25">
      <c r="A6945" s="74">
        <v>11737</v>
      </c>
    </row>
    <row r="6946" spans="1:1" x14ac:dyDescent="0.25">
      <c r="A6946" s="74">
        <v>11738</v>
      </c>
    </row>
    <row r="6947" spans="1:1" x14ac:dyDescent="0.25">
      <c r="A6947" s="74">
        <v>11739</v>
      </c>
    </row>
    <row r="6948" spans="1:1" x14ac:dyDescent="0.25">
      <c r="A6948" s="74">
        <v>11740</v>
      </c>
    </row>
    <row r="6949" spans="1:1" x14ac:dyDescent="0.25">
      <c r="A6949" s="74">
        <v>11741</v>
      </c>
    </row>
    <row r="6950" spans="1:1" x14ac:dyDescent="0.25">
      <c r="A6950" s="74">
        <v>11742</v>
      </c>
    </row>
    <row r="6951" spans="1:1" x14ac:dyDescent="0.25">
      <c r="A6951" s="74">
        <v>11743</v>
      </c>
    </row>
    <row r="6952" spans="1:1" x14ac:dyDescent="0.25">
      <c r="A6952" s="74">
        <v>11744</v>
      </c>
    </row>
    <row r="6953" spans="1:1" x14ac:dyDescent="0.25">
      <c r="A6953" s="74">
        <v>11745</v>
      </c>
    </row>
    <row r="6954" spans="1:1" x14ac:dyDescent="0.25">
      <c r="A6954" s="74">
        <v>11746</v>
      </c>
    </row>
    <row r="6955" spans="1:1" x14ac:dyDescent="0.25">
      <c r="A6955" s="74">
        <v>11747</v>
      </c>
    </row>
    <row r="6956" spans="1:1" x14ac:dyDescent="0.25">
      <c r="A6956" s="74">
        <v>11748</v>
      </c>
    </row>
    <row r="6957" spans="1:1" x14ac:dyDescent="0.25">
      <c r="A6957" s="74">
        <v>11749</v>
      </c>
    </row>
    <row r="6958" spans="1:1" x14ac:dyDescent="0.25">
      <c r="A6958" s="74">
        <v>11750</v>
      </c>
    </row>
    <row r="6959" spans="1:1" x14ac:dyDescent="0.25">
      <c r="A6959" s="74">
        <v>11751</v>
      </c>
    </row>
    <row r="6960" spans="1:1" x14ac:dyDescent="0.25">
      <c r="A6960" s="74">
        <v>11752</v>
      </c>
    </row>
    <row r="6961" spans="1:1" x14ac:dyDescent="0.25">
      <c r="A6961" s="74">
        <v>11753</v>
      </c>
    </row>
    <row r="6962" spans="1:1" x14ac:dyDescent="0.25">
      <c r="A6962" s="74">
        <v>11754</v>
      </c>
    </row>
    <row r="6963" spans="1:1" x14ac:dyDescent="0.25">
      <c r="A6963" s="74">
        <v>11755</v>
      </c>
    </row>
    <row r="6964" spans="1:1" x14ac:dyDescent="0.25">
      <c r="A6964" s="74">
        <v>11756</v>
      </c>
    </row>
    <row r="6965" spans="1:1" x14ac:dyDescent="0.25">
      <c r="A6965" s="74">
        <v>11757</v>
      </c>
    </row>
    <row r="6966" spans="1:1" x14ac:dyDescent="0.25">
      <c r="A6966" s="74">
        <v>11758</v>
      </c>
    </row>
    <row r="6967" spans="1:1" x14ac:dyDescent="0.25">
      <c r="A6967" s="74">
        <v>11759</v>
      </c>
    </row>
    <row r="6968" spans="1:1" x14ac:dyDescent="0.25">
      <c r="A6968" s="74">
        <v>11760</v>
      </c>
    </row>
    <row r="6969" spans="1:1" x14ac:dyDescent="0.25">
      <c r="A6969" s="74">
        <v>11761</v>
      </c>
    </row>
    <row r="6970" spans="1:1" x14ac:dyDescent="0.25">
      <c r="A6970" s="74">
        <v>11762</v>
      </c>
    </row>
    <row r="6971" spans="1:1" x14ac:dyDescent="0.25">
      <c r="A6971" s="74">
        <v>11763</v>
      </c>
    </row>
    <row r="6972" spans="1:1" x14ac:dyDescent="0.25">
      <c r="A6972" s="74">
        <v>11764</v>
      </c>
    </row>
    <row r="6973" spans="1:1" x14ac:dyDescent="0.25">
      <c r="A6973" s="74">
        <v>11765</v>
      </c>
    </row>
    <row r="6974" spans="1:1" x14ac:dyDescent="0.25">
      <c r="A6974" s="74">
        <v>11766</v>
      </c>
    </row>
    <row r="6975" spans="1:1" x14ac:dyDescent="0.25">
      <c r="A6975" s="74">
        <v>11767</v>
      </c>
    </row>
    <row r="6976" spans="1:1" x14ac:dyDescent="0.25">
      <c r="A6976" s="74">
        <v>11768</v>
      </c>
    </row>
    <row r="6977" spans="1:1" x14ac:dyDescent="0.25">
      <c r="A6977" s="74">
        <v>11769</v>
      </c>
    </row>
    <row r="6978" spans="1:1" x14ac:dyDescent="0.25">
      <c r="A6978" s="74">
        <v>11770</v>
      </c>
    </row>
    <row r="6979" spans="1:1" x14ac:dyDescent="0.25">
      <c r="A6979" s="74">
        <v>11771</v>
      </c>
    </row>
    <row r="6980" spans="1:1" x14ac:dyDescent="0.25">
      <c r="A6980" s="74">
        <v>11772</v>
      </c>
    </row>
    <row r="6981" spans="1:1" x14ac:dyDescent="0.25">
      <c r="A6981" s="74">
        <v>11773</v>
      </c>
    </row>
    <row r="6982" spans="1:1" x14ac:dyDescent="0.25">
      <c r="A6982" s="74">
        <v>11774</v>
      </c>
    </row>
    <row r="6983" spans="1:1" x14ac:dyDescent="0.25">
      <c r="A6983" s="74">
        <v>11775</v>
      </c>
    </row>
    <row r="6984" spans="1:1" x14ac:dyDescent="0.25">
      <c r="A6984" s="74">
        <v>11776</v>
      </c>
    </row>
    <row r="6985" spans="1:1" x14ac:dyDescent="0.25">
      <c r="A6985" s="74">
        <v>11777</v>
      </c>
    </row>
    <row r="6986" spans="1:1" x14ac:dyDescent="0.25">
      <c r="A6986" s="74">
        <v>11778</v>
      </c>
    </row>
    <row r="6987" spans="1:1" x14ac:dyDescent="0.25">
      <c r="A6987" s="74">
        <v>11779</v>
      </c>
    </row>
    <row r="6988" spans="1:1" x14ac:dyDescent="0.25">
      <c r="A6988" s="74">
        <v>11780</v>
      </c>
    </row>
    <row r="6989" spans="1:1" x14ac:dyDescent="0.25">
      <c r="A6989" s="74">
        <v>11781</v>
      </c>
    </row>
    <row r="6990" spans="1:1" x14ac:dyDescent="0.25">
      <c r="A6990" s="74">
        <v>11782</v>
      </c>
    </row>
    <row r="6991" spans="1:1" x14ac:dyDescent="0.25">
      <c r="A6991" s="74">
        <v>11783</v>
      </c>
    </row>
    <row r="6992" spans="1:1" x14ac:dyDescent="0.25">
      <c r="A6992" s="74">
        <v>11784</v>
      </c>
    </row>
    <row r="6993" spans="1:1" x14ac:dyDescent="0.25">
      <c r="A6993" s="74">
        <v>11785</v>
      </c>
    </row>
    <row r="6994" spans="1:1" x14ac:dyDescent="0.25">
      <c r="A6994" s="74">
        <v>11786</v>
      </c>
    </row>
    <row r="6995" spans="1:1" x14ac:dyDescent="0.25">
      <c r="A6995" s="74">
        <v>11787</v>
      </c>
    </row>
    <row r="6996" spans="1:1" x14ac:dyDescent="0.25">
      <c r="A6996" s="74">
        <v>11788</v>
      </c>
    </row>
    <row r="6997" spans="1:1" x14ac:dyDescent="0.25">
      <c r="A6997" s="74">
        <v>11789</v>
      </c>
    </row>
    <row r="6998" spans="1:1" x14ac:dyDescent="0.25">
      <c r="A6998" s="74">
        <v>11790</v>
      </c>
    </row>
    <row r="6999" spans="1:1" x14ac:dyDescent="0.25">
      <c r="A6999" s="74">
        <v>11791</v>
      </c>
    </row>
    <row r="7000" spans="1:1" x14ac:dyDescent="0.25">
      <c r="A7000" s="74">
        <v>11792</v>
      </c>
    </row>
    <row r="7001" spans="1:1" x14ac:dyDescent="0.25">
      <c r="A7001" s="74">
        <v>11793</v>
      </c>
    </row>
    <row r="7002" spans="1:1" x14ac:dyDescent="0.25">
      <c r="A7002" s="74">
        <v>11794</v>
      </c>
    </row>
    <row r="7003" spans="1:1" x14ac:dyDescent="0.25">
      <c r="A7003" s="74">
        <v>11795</v>
      </c>
    </row>
    <row r="7004" spans="1:1" x14ac:dyDescent="0.25">
      <c r="A7004" s="74">
        <v>11796</v>
      </c>
    </row>
    <row r="7005" spans="1:1" x14ac:dyDescent="0.25">
      <c r="A7005" s="74">
        <v>11797</v>
      </c>
    </row>
    <row r="7006" spans="1:1" x14ac:dyDescent="0.25">
      <c r="A7006" s="74">
        <v>11798</v>
      </c>
    </row>
    <row r="7007" spans="1:1" x14ac:dyDescent="0.25">
      <c r="A7007" s="74">
        <v>11799</v>
      </c>
    </row>
    <row r="7008" spans="1:1" x14ac:dyDescent="0.25">
      <c r="A7008" s="74">
        <v>11800</v>
      </c>
    </row>
    <row r="7009" spans="1:1" x14ac:dyDescent="0.25">
      <c r="A7009" s="74">
        <v>11801</v>
      </c>
    </row>
    <row r="7010" spans="1:1" x14ac:dyDescent="0.25">
      <c r="A7010" s="74">
        <v>11802</v>
      </c>
    </row>
    <row r="7011" spans="1:1" x14ac:dyDescent="0.25">
      <c r="A7011" s="74">
        <v>11803</v>
      </c>
    </row>
    <row r="7012" spans="1:1" x14ac:dyDescent="0.25">
      <c r="A7012" s="74">
        <v>11804</v>
      </c>
    </row>
    <row r="7013" spans="1:1" x14ac:dyDescent="0.25">
      <c r="A7013" s="74">
        <v>11805</v>
      </c>
    </row>
    <row r="7014" spans="1:1" x14ac:dyDescent="0.25">
      <c r="A7014" s="74">
        <v>11806</v>
      </c>
    </row>
    <row r="7015" spans="1:1" x14ac:dyDescent="0.25">
      <c r="A7015" s="74">
        <v>11807</v>
      </c>
    </row>
    <row r="7016" spans="1:1" x14ac:dyDescent="0.25">
      <c r="A7016" s="74">
        <v>11808</v>
      </c>
    </row>
    <row r="7017" spans="1:1" x14ac:dyDescent="0.25">
      <c r="A7017" s="74">
        <v>11809</v>
      </c>
    </row>
    <row r="7018" spans="1:1" x14ac:dyDescent="0.25">
      <c r="A7018" s="74">
        <v>11810</v>
      </c>
    </row>
    <row r="7019" spans="1:1" x14ac:dyDescent="0.25">
      <c r="A7019" s="74">
        <v>11811</v>
      </c>
    </row>
    <row r="7020" spans="1:1" x14ac:dyDescent="0.25">
      <c r="A7020" s="74">
        <v>11812</v>
      </c>
    </row>
    <row r="7021" spans="1:1" x14ac:dyDescent="0.25">
      <c r="A7021" s="74">
        <v>11813</v>
      </c>
    </row>
    <row r="7022" spans="1:1" x14ac:dyDescent="0.25">
      <c r="A7022" s="74">
        <v>11814</v>
      </c>
    </row>
    <row r="7023" spans="1:1" x14ac:dyDescent="0.25">
      <c r="A7023" s="74">
        <v>11815</v>
      </c>
    </row>
    <row r="7024" spans="1:1" x14ac:dyDescent="0.25">
      <c r="A7024" s="74">
        <v>11816</v>
      </c>
    </row>
    <row r="7025" spans="1:1" x14ac:dyDescent="0.25">
      <c r="A7025" s="74">
        <v>11817</v>
      </c>
    </row>
    <row r="7026" spans="1:1" x14ac:dyDescent="0.25">
      <c r="A7026" s="74">
        <v>11818</v>
      </c>
    </row>
    <row r="7027" spans="1:1" x14ac:dyDescent="0.25">
      <c r="A7027" s="74">
        <v>11819</v>
      </c>
    </row>
    <row r="7028" spans="1:1" x14ac:dyDescent="0.25">
      <c r="A7028" s="74">
        <v>11820</v>
      </c>
    </row>
    <row r="7029" spans="1:1" x14ac:dyDescent="0.25">
      <c r="A7029" s="74">
        <v>11821</v>
      </c>
    </row>
    <row r="7030" spans="1:1" x14ac:dyDescent="0.25">
      <c r="A7030" s="74">
        <v>11822</v>
      </c>
    </row>
    <row r="7031" spans="1:1" x14ac:dyDescent="0.25">
      <c r="A7031" s="74">
        <v>11823</v>
      </c>
    </row>
    <row r="7032" spans="1:1" x14ac:dyDescent="0.25">
      <c r="A7032" s="74">
        <v>11824</v>
      </c>
    </row>
    <row r="7033" spans="1:1" x14ac:dyDescent="0.25">
      <c r="A7033" s="74">
        <v>11825</v>
      </c>
    </row>
    <row r="7034" spans="1:1" x14ac:dyDescent="0.25">
      <c r="A7034" s="74">
        <v>11826</v>
      </c>
    </row>
    <row r="7035" spans="1:1" x14ac:dyDescent="0.25">
      <c r="A7035" s="74">
        <v>11827</v>
      </c>
    </row>
    <row r="7036" spans="1:1" x14ac:dyDescent="0.25">
      <c r="A7036" s="74">
        <v>11828</v>
      </c>
    </row>
    <row r="7037" spans="1:1" x14ac:dyDescent="0.25">
      <c r="A7037" s="74">
        <v>11829</v>
      </c>
    </row>
    <row r="7038" spans="1:1" x14ac:dyDescent="0.25">
      <c r="A7038" s="74">
        <v>11830</v>
      </c>
    </row>
    <row r="7039" spans="1:1" x14ac:dyDescent="0.25">
      <c r="A7039" s="74">
        <v>11831</v>
      </c>
    </row>
    <row r="7040" spans="1:1" x14ac:dyDescent="0.25">
      <c r="A7040" s="74">
        <v>11832</v>
      </c>
    </row>
    <row r="7041" spans="1:1" x14ac:dyDescent="0.25">
      <c r="A7041" s="74">
        <v>11833</v>
      </c>
    </row>
    <row r="7042" spans="1:1" x14ac:dyDescent="0.25">
      <c r="A7042" s="74">
        <v>11834</v>
      </c>
    </row>
    <row r="7043" spans="1:1" x14ac:dyDescent="0.25">
      <c r="A7043" s="74">
        <v>11835</v>
      </c>
    </row>
    <row r="7044" spans="1:1" x14ac:dyDescent="0.25">
      <c r="A7044" s="74">
        <v>11836</v>
      </c>
    </row>
    <row r="7045" spans="1:1" x14ac:dyDescent="0.25">
      <c r="A7045" s="74">
        <v>11837</v>
      </c>
    </row>
    <row r="7046" spans="1:1" x14ac:dyDescent="0.25">
      <c r="A7046" s="74">
        <v>11838</v>
      </c>
    </row>
    <row r="7047" spans="1:1" x14ac:dyDescent="0.25">
      <c r="A7047" s="74">
        <v>11839</v>
      </c>
    </row>
    <row r="7048" spans="1:1" x14ac:dyDescent="0.25">
      <c r="A7048" s="74">
        <v>11840</v>
      </c>
    </row>
    <row r="7049" spans="1:1" x14ac:dyDescent="0.25">
      <c r="A7049" s="74">
        <v>11841</v>
      </c>
    </row>
    <row r="7050" spans="1:1" x14ac:dyDescent="0.25">
      <c r="A7050" s="74">
        <v>11842</v>
      </c>
    </row>
    <row r="7051" spans="1:1" x14ac:dyDescent="0.25">
      <c r="A7051" s="74">
        <v>11843</v>
      </c>
    </row>
    <row r="7052" spans="1:1" x14ac:dyDescent="0.25">
      <c r="A7052" s="74">
        <v>11844</v>
      </c>
    </row>
    <row r="7053" spans="1:1" x14ac:dyDescent="0.25">
      <c r="A7053" s="74">
        <v>11845</v>
      </c>
    </row>
    <row r="7054" spans="1:1" x14ac:dyDescent="0.25">
      <c r="A7054" s="74">
        <v>11846</v>
      </c>
    </row>
    <row r="7055" spans="1:1" x14ac:dyDescent="0.25">
      <c r="A7055" s="74">
        <v>11847</v>
      </c>
    </row>
    <row r="7056" spans="1:1" x14ac:dyDescent="0.25">
      <c r="A7056" s="74">
        <v>11848</v>
      </c>
    </row>
    <row r="7057" spans="1:1" x14ac:dyDescent="0.25">
      <c r="A7057" s="74">
        <v>11849</v>
      </c>
    </row>
    <row r="7058" spans="1:1" x14ac:dyDescent="0.25">
      <c r="A7058" s="74">
        <v>11850</v>
      </c>
    </row>
    <row r="7059" spans="1:1" x14ac:dyDescent="0.25">
      <c r="A7059" s="74">
        <v>11851</v>
      </c>
    </row>
    <row r="7060" spans="1:1" x14ac:dyDescent="0.25">
      <c r="A7060" s="74">
        <v>11852</v>
      </c>
    </row>
    <row r="7061" spans="1:1" x14ac:dyDescent="0.25">
      <c r="A7061" s="74">
        <v>11853</v>
      </c>
    </row>
    <row r="7062" spans="1:1" x14ac:dyDescent="0.25">
      <c r="A7062" s="74">
        <v>11854</v>
      </c>
    </row>
    <row r="7063" spans="1:1" x14ac:dyDescent="0.25">
      <c r="A7063" s="74">
        <v>11855</v>
      </c>
    </row>
    <row r="7064" spans="1:1" x14ac:dyDescent="0.25">
      <c r="A7064" s="74">
        <v>11856</v>
      </c>
    </row>
    <row r="7065" spans="1:1" x14ac:dyDescent="0.25">
      <c r="A7065" s="74">
        <v>11857</v>
      </c>
    </row>
    <row r="7066" spans="1:1" x14ac:dyDescent="0.25">
      <c r="A7066" s="74">
        <v>11858</v>
      </c>
    </row>
    <row r="7067" spans="1:1" x14ac:dyDescent="0.25">
      <c r="A7067" s="74">
        <v>11859</v>
      </c>
    </row>
    <row r="7068" spans="1:1" x14ac:dyDescent="0.25">
      <c r="A7068" s="74">
        <v>11860</v>
      </c>
    </row>
    <row r="7069" spans="1:1" x14ac:dyDescent="0.25">
      <c r="A7069" s="74">
        <v>11861</v>
      </c>
    </row>
    <row r="7070" spans="1:1" x14ac:dyDescent="0.25">
      <c r="A7070" s="74">
        <v>11862</v>
      </c>
    </row>
    <row r="7071" spans="1:1" x14ac:dyDescent="0.25">
      <c r="A7071" s="74">
        <v>11863</v>
      </c>
    </row>
    <row r="7072" spans="1:1" x14ac:dyDescent="0.25">
      <c r="A7072" s="74">
        <v>11864</v>
      </c>
    </row>
    <row r="7073" spans="1:1" x14ac:dyDescent="0.25">
      <c r="A7073" s="74">
        <v>11865</v>
      </c>
    </row>
    <row r="7074" spans="1:1" x14ac:dyDescent="0.25">
      <c r="A7074" s="74">
        <v>11866</v>
      </c>
    </row>
    <row r="7075" spans="1:1" x14ac:dyDescent="0.25">
      <c r="A7075" s="74">
        <v>11867</v>
      </c>
    </row>
    <row r="7076" spans="1:1" x14ac:dyDescent="0.25">
      <c r="A7076" s="74">
        <v>11868</v>
      </c>
    </row>
    <row r="7077" spans="1:1" x14ac:dyDescent="0.25">
      <c r="A7077" s="74">
        <v>11869</v>
      </c>
    </row>
    <row r="7078" spans="1:1" x14ac:dyDescent="0.25">
      <c r="A7078" s="74">
        <v>11870</v>
      </c>
    </row>
    <row r="7079" spans="1:1" x14ac:dyDescent="0.25">
      <c r="A7079" s="74">
        <v>11871</v>
      </c>
    </row>
    <row r="7080" spans="1:1" x14ac:dyDescent="0.25">
      <c r="A7080" s="74">
        <v>11872</v>
      </c>
    </row>
    <row r="7081" spans="1:1" x14ac:dyDescent="0.25">
      <c r="A7081" s="74">
        <v>11873</v>
      </c>
    </row>
    <row r="7082" spans="1:1" x14ac:dyDescent="0.25">
      <c r="A7082" s="74">
        <v>11874</v>
      </c>
    </row>
    <row r="7083" spans="1:1" x14ac:dyDescent="0.25">
      <c r="A7083" s="74">
        <v>11875</v>
      </c>
    </row>
    <row r="7084" spans="1:1" x14ac:dyDescent="0.25">
      <c r="A7084" s="74">
        <v>11876</v>
      </c>
    </row>
    <row r="7085" spans="1:1" x14ac:dyDescent="0.25">
      <c r="A7085" s="74">
        <v>11877</v>
      </c>
    </row>
    <row r="7086" spans="1:1" x14ac:dyDescent="0.25">
      <c r="A7086" s="74">
        <v>11878</v>
      </c>
    </row>
    <row r="7087" spans="1:1" x14ac:dyDescent="0.25">
      <c r="A7087" s="74">
        <v>11879</v>
      </c>
    </row>
    <row r="7088" spans="1:1" x14ac:dyDescent="0.25">
      <c r="A7088" s="74">
        <v>11880</v>
      </c>
    </row>
    <row r="7089" spans="1:1" x14ac:dyDescent="0.25">
      <c r="A7089" s="74">
        <v>11881</v>
      </c>
    </row>
    <row r="7090" spans="1:1" x14ac:dyDescent="0.25">
      <c r="A7090" s="74">
        <v>11882</v>
      </c>
    </row>
    <row r="7091" spans="1:1" x14ac:dyDescent="0.25">
      <c r="A7091" s="74">
        <v>11883</v>
      </c>
    </row>
    <row r="7092" spans="1:1" x14ac:dyDescent="0.25">
      <c r="A7092" s="74">
        <v>11884</v>
      </c>
    </row>
    <row r="7093" spans="1:1" x14ac:dyDescent="0.25">
      <c r="A7093" s="74">
        <v>11885</v>
      </c>
    </row>
    <row r="7094" spans="1:1" x14ac:dyDescent="0.25">
      <c r="A7094" s="74">
        <v>11886</v>
      </c>
    </row>
    <row r="7095" spans="1:1" x14ac:dyDescent="0.25">
      <c r="A7095" s="74">
        <v>11887</v>
      </c>
    </row>
    <row r="7096" spans="1:1" x14ac:dyDescent="0.25">
      <c r="A7096" s="74">
        <v>11888</v>
      </c>
    </row>
    <row r="7097" spans="1:1" x14ac:dyDescent="0.25">
      <c r="A7097" s="74">
        <v>11889</v>
      </c>
    </row>
    <row r="7098" spans="1:1" x14ac:dyDescent="0.25">
      <c r="A7098" s="74">
        <v>11890</v>
      </c>
    </row>
    <row r="7099" spans="1:1" x14ac:dyDescent="0.25">
      <c r="A7099" s="74">
        <v>11891</v>
      </c>
    </row>
    <row r="7100" spans="1:1" x14ac:dyDescent="0.25">
      <c r="A7100" s="74">
        <v>11892</v>
      </c>
    </row>
    <row r="7101" spans="1:1" x14ac:dyDescent="0.25">
      <c r="A7101" s="74">
        <v>11893</v>
      </c>
    </row>
    <row r="7102" spans="1:1" x14ac:dyDescent="0.25">
      <c r="A7102" s="74">
        <v>11894</v>
      </c>
    </row>
    <row r="7103" spans="1:1" x14ac:dyDescent="0.25">
      <c r="A7103" s="74">
        <v>11895</v>
      </c>
    </row>
    <row r="7104" spans="1:1" x14ac:dyDescent="0.25">
      <c r="A7104" s="74">
        <v>11896</v>
      </c>
    </row>
    <row r="7105" spans="1:1" x14ac:dyDescent="0.25">
      <c r="A7105" s="74">
        <v>11897</v>
      </c>
    </row>
    <row r="7106" spans="1:1" x14ac:dyDescent="0.25">
      <c r="A7106" s="74">
        <v>11898</v>
      </c>
    </row>
    <row r="7107" spans="1:1" x14ac:dyDescent="0.25">
      <c r="A7107" s="74">
        <v>11899</v>
      </c>
    </row>
    <row r="7108" spans="1:1" x14ac:dyDescent="0.25">
      <c r="A7108" s="74">
        <v>11900</v>
      </c>
    </row>
    <row r="7109" spans="1:1" x14ac:dyDescent="0.25">
      <c r="A7109" s="74">
        <v>11901</v>
      </c>
    </row>
    <row r="7110" spans="1:1" x14ac:dyDescent="0.25">
      <c r="A7110" s="74">
        <v>11902</v>
      </c>
    </row>
    <row r="7111" spans="1:1" x14ac:dyDescent="0.25">
      <c r="A7111" s="74">
        <v>11903</v>
      </c>
    </row>
    <row r="7112" spans="1:1" x14ac:dyDescent="0.25">
      <c r="A7112" s="74">
        <v>11904</v>
      </c>
    </row>
    <row r="7113" spans="1:1" x14ac:dyDescent="0.25">
      <c r="A7113" s="74">
        <v>11905</v>
      </c>
    </row>
    <row r="7114" spans="1:1" x14ac:dyDescent="0.25">
      <c r="A7114" s="74">
        <v>11906</v>
      </c>
    </row>
    <row r="7115" spans="1:1" x14ac:dyDescent="0.25">
      <c r="A7115" s="74">
        <v>11907</v>
      </c>
    </row>
    <row r="7116" spans="1:1" x14ac:dyDescent="0.25">
      <c r="A7116" s="74">
        <v>11908</v>
      </c>
    </row>
    <row r="7117" spans="1:1" x14ac:dyDescent="0.25">
      <c r="A7117" s="74">
        <v>11909</v>
      </c>
    </row>
    <row r="7118" spans="1:1" x14ac:dyDescent="0.25">
      <c r="A7118" s="74">
        <v>11910</v>
      </c>
    </row>
    <row r="7119" spans="1:1" x14ac:dyDescent="0.25">
      <c r="A7119" s="74">
        <v>11911</v>
      </c>
    </row>
    <row r="7120" spans="1:1" x14ac:dyDescent="0.25">
      <c r="A7120" s="74">
        <v>11912</v>
      </c>
    </row>
    <row r="7121" spans="1:1" x14ac:dyDescent="0.25">
      <c r="A7121" s="74">
        <v>11913</v>
      </c>
    </row>
    <row r="7122" spans="1:1" x14ac:dyDescent="0.25">
      <c r="A7122" s="74">
        <v>11914</v>
      </c>
    </row>
    <row r="7123" spans="1:1" x14ac:dyDescent="0.25">
      <c r="A7123" s="74">
        <v>11915</v>
      </c>
    </row>
    <row r="7124" spans="1:1" x14ac:dyDescent="0.25">
      <c r="A7124" s="74">
        <v>11916</v>
      </c>
    </row>
    <row r="7125" spans="1:1" x14ac:dyDescent="0.25">
      <c r="A7125" s="74">
        <v>11917</v>
      </c>
    </row>
    <row r="7126" spans="1:1" x14ac:dyDescent="0.25">
      <c r="A7126" s="74">
        <v>11918</v>
      </c>
    </row>
    <row r="7127" spans="1:1" x14ac:dyDescent="0.25">
      <c r="A7127" s="74">
        <v>11919</v>
      </c>
    </row>
    <row r="7128" spans="1:1" x14ac:dyDescent="0.25">
      <c r="A7128" s="74">
        <v>11920</v>
      </c>
    </row>
    <row r="7129" spans="1:1" x14ac:dyDescent="0.25">
      <c r="A7129" s="74">
        <v>11921</v>
      </c>
    </row>
    <row r="7130" spans="1:1" x14ac:dyDescent="0.25">
      <c r="A7130" s="74">
        <v>11922</v>
      </c>
    </row>
    <row r="7131" spans="1:1" x14ac:dyDescent="0.25">
      <c r="A7131" s="74">
        <v>11923</v>
      </c>
    </row>
    <row r="7132" spans="1:1" x14ac:dyDescent="0.25">
      <c r="A7132" s="74">
        <v>11924</v>
      </c>
    </row>
    <row r="7133" spans="1:1" x14ac:dyDescent="0.25">
      <c r="A7133" s="74">
        <v>11925</v>
      </c>
    </row>
    <row r="7134" spans="1:1" x14ac:dyDescent="0.25">
      <c r="A7134" s="74">
        <v>11926</v>
      </c>
    </row>
    <row r="7135" spans="1:1" x14ac:dyDescent="0.25">
      <c r="A7135" s="74">
        <v>11927</v>
      </c>
    </row>
    <row r="7136" spans="1:1" x14ac:dyDescent="0.25">
      <c r="A7136" s="74">
        <v>11928</v>
      </c>
    </row>
    <row r="7137" spans="1:1" x14ac:dyDescent="0.25">
      <c r="A7137" s="74">
        <v>11929</v>
      </c>
    </row>
    <row r="7138" spans="1:1" x14ac:dyDescent="0.25">
      <c r="A7138" s="74">
        <v>11930</v>
      </c>
    </row>
    <row r="7139" spans="1:1" x14ac:dyDescent="0.25">
      <c r="A7139" s="74">
        <v>11931</v>
      </c>
    </row>
    <row r="7140" spans="1:1" x14ac:dyDescent="0.25">
      <c r="A7140" s="74">
        <v>11932</v>
      </c>
    </row>
    <row r="7141" spans="1:1" x14ac:dyDescent="0.25">
      <c r="A7141" s="74">
        <v>11933</v>
      </c>
    </row>
    <row r="7142" spans="1:1" x14ac:dyDescent="0.25">
      <c r="A7142" s="74">
        <v>11934</v>
      </c>
    </row>
    <row r="7143" spans="1:1" x14ac:dyDescent="0.25">
      <c r="A7143" s="74">
        <v>11935</v>
      </c>
    </row>
    <row r="7144" spans="1:1" x14ac:dyDescent="0.25">
      <c r="A7144" s="74">
        <v>11936</v>
      </c>
    </row>
    <row r="7145" spans="1:1" x14ac:dyDescent="0.25">
      <c r="A7145" s="74">
        <v>11937</v>
      </c>
    </row>
    <row r="7146" spans="1:1" x14ac:dyDescent="0.25">
      <c r="A7146" s="74">
        <v>11938</v>
      </c>
    </row>
    <row r="7147" spans="1:1" x14ac:dyDescent="0.25">
      <c r="A7147" s="74">
        <v>11939</v>
      </c>
    </row>
    <row r="7148" spans="1:1" x14ac:dyDescent="0.25">
      <c r="A7148" s="74">
        <v>11940</v>
      </c>
    </row>
    <row r="7149" spans="1:1" x14ac:dyDescent="0.25">
      <c r="A7149" s="74">
        <v>11941</v>
      </c>
    </row>
    <row r="7150" spans="1:1" x14ac:dyDescent="0.25">
      <c r="A7150" s="74">
        <v>11942</v>
      </c>
    </row>
    <row r="7151" spans="1:1" x14ac:dyDescent="0.25">
      <c r="A7151" s="74">
        <v>11943</v>
      </c>
    </row>
    <row r="7152" spans="1:1" x14ac:dyDescent="0.25">
      <c r="A7152" s="74">
        <v>11944</v>
      </c>
    </row>
    <row r="7153" spans="1:1" x14ac:dyDescent="0.25">
      <c r="A7153" s="74">
        <v>11945</v>
      </c>
    </row>
    <row r="7154" spans="1:1" x14ac:dyDescent="0.25">
      <c r="A7154" s="74">
        <v>11946</v>
      </c>
    </row>
    <row r="7155" spans="1:1" x14ac:dyDescent="0.25">
      <c r="A7155" s="74">
        <v>11947</v>
      </c>
    </row>
    <row r="7156" spans="1:1" x14ac:dyDescent="0.25">
      <c r="A7156" s="74">
        <v>11948</v>
      </c>
    </row>
    <row r="7157" spans="1:1" x14ac:dyDescent="0.25">
      <c r="A7157" s="74">
        <v>11949</v>
      </c>
    </row>
    <row r="7158" spans="1:1" x14ac:dyDescent="0.25">
      <c r="A7158" s="74">
        <v>11950</v>
      </c>
    </row>
    <row r="7159" spans="1:1" x14ac:dyDescent="0.25">
      <c r="A7159" s="74">
        <v>11951</v>
      </c>
    </row>
    <row r="7160" spans="1:1" x14ac:dyDescent="0.25">
      <c r="A7160" s="74">
        <v>11952</v>
      </c>
    </row>
    <row r="7161" spans="1:1" x14ac:dyDescent="0.25">
      <c r="A7161" s="74">
        <v>11953</v>
      </c>
    </row>
    <row r="7162" spans="1:1" x14ac:dyDescent="0.25">
      <c r="A7162" s="74">
        <v>11954</v>
      </c>
    </row>
    <row r="7163" spans="1:1" x14ac:dyDescent="0.25">
      <c r="A7163" s="74">
        <v>11955</v>
      </c>
    </row>
    <row r="7164" spans="1:1" x14ac:dyDescent="0.25">
      <c r="A7164" s="74">
        <v>11956</v>
      </c>
    </row>
    <row r="7165" spans="1:1" x14ac:dyDescent="0.25">
      <c r="A7165" s="74">
        <v>11957</v>
      </c>
    </row>
    <row r="7166" spans="1:1" x14ac:dyDescent="0.25">
      <c r="A7166" s="74">
        <v>11958</v>
      </c>
    </row>
    <row r="7167" spans="1:1" x14ac:dyDescent="0.25">
      <c r="A7167" s="74">
        <v>11959</v>
      </c>
    </row>
    <row r="7168" spans="1:1" x14ac:dyDescent="0.25">
      <c r="A7168" s="74">
        <v>11960</v>
      </c>
    </row>
    <row r="7169" spans="1:1" x14ac:dyDescent="0.25">
      <c r="A7169" s="74">
        <v>11961</v>
      </c>
    </row>
    <row r="7170" spans="1:1" x14ac:dyDescent="0.25">
      <c r="A7170" s="74">
        <v>11962</v>
      </c>
    </row>
    <row r="7171" spans="1:1" x14ac:dyDescent="0.25">
      <c r="A7171" s="74">
        <v>11963</v>
      </c>
    </row>
    <row r="7172" spans="1:1" x14ac:dyDescent="0.25">
      <c r="A7172" s="74">
        <v>11964</v>
      </c>
    </row>
    <row r="7173" spans="1:1" x14ac:dyDescent="0.25">
      <c r="A7173" s="74">
        <v>11965</v>
      </c>
    </row>
    <row r="7174" spans="1:1" x14ac:dyDescent="0.25">
      <c r="A7174" s="74">
        <v>11966</v>
      </c>
    </row>
    <row r="7175" spans="1:1" x14ac:dyDescent="0.25">
      <c r="A7175" s="74">
        <v>11967</v>
      </c>
    </row>
    <row r="7176" spans="1:1" x14ac:dyDescent="0.25">
      <c r="A7176" s="74">
        <v>11968</v>
      </c>
    </row>
    <row r="7177" spans="1:1" x14ac:dyDescent="0.25">
      <c r="A7177" s="74">
        <v>11969</v>
      </c>
    </row>
    <row r="7178" spans="1:1" x14ac:dyDescent="0.25">
      <c r="A7178" s="74">
        <v>11970</v>
      </c>
    </row>
    <row r="7179" spans="1:1" x14ac:dyDescent="0.25">
      <c r="A7179" s="74">
        <v>11971</v>
      </c>
    </row>
    <row r="7180" spans="1:1" x14ac:dyDescent="0.25">
      <c r="A7180" s="74">
        <v>11972</v>
      </c>
    </row>
    <row r="7181" spans="1:1" x14ac:dyDescent="0.25">
      <c r="A7181" s="74">
        <v>11973</v>
      </c>
    </row>
    <row r="7182" spans="1:1" x14ac:dyDescent="0.25">
      <c r="A7182" s="74">
        <v>11974</v>
      </c>
    </row>
    <row r="7183" spans="1:1" x14ac:dyDescent="0.25">
      <c r="A7183" s="74">
        <v>11975</v>
      </c>
    </row>
    <row r="7184" spans="1:1" x14ac:dyDescent="0.25">
      <c r="A7184" s="74">
        <v>11976</v>
      </c>
    </row>
    <row r="7185" spans="1:1" x14ac:dyDescent="0.25">
      <c r="A7185" s="74">
        <v>11977</v>
      </c>
    </row>
    <row r="7186" spans="1:1" x14ac:dyDescent="0.25">
      <c r="A7186" s="74">
        <v>11978</v>
      </c>
    </row>
    <row r="7187" spans="1:1" x14ac:dyDescent="0.25">
      <c r="A7187" s="74">
        <v>11979</v>
      </c>
    </row>
    <row r="7188" spans="1:1" x14ac:dyDescent="0.25">
      <c r="A7188" s="74">
        <v>11980</v>
      </c>
    </row>
    <row r="7189" spans="1:1" x14ac:dyDescent="0.25">
      <c r="A7189" s="74">
        <v>11981</v>
      </c>
    </row>
    <row r="7190" spans="1:1" x14ac:dyDescent="0.25">
      <c r="A7190" s="74">
        <v>11982</v>
      </c>
    </row>
    <row r="7191" spans="1:1" x14ac:dyDescent="0.25">
      <c r="A7191" s="74">
        <v>11983</v>
      </c>
    </row>
    <row r="7192" spans="1:1" x14ac:dyDescent="0.25">
      <c r="A7192" s="74">
        <v>11984</v>
      </c>
    </row>
    <row r="7193" spans="1:1" x14ac:dyDescent="0.25">
      <c r="A7193" s="74">
        <v>11985</v>
      </c>
    </row>
    <row r="7194" spans="1:1" x14ac:dyDescent="0.25">
      <c r="A7194" s="74">
        <v>11986</v>
      </c>
    </row>
    <row r="7195" spans="1:1" x14ac:dyDescent="0.25">
      <c r="A7195" s="74">
        <v>11987</v>
      </c>
    </row>
    <row r="7196" spans="1:1" x14ac:dyDescent="0.25">
      <c r="A7196" s="74">
        <v>11988</v>
      </c>
    </row>
    <row r="7197" spans="1:1" x14ac:dyDescent="0.25">
      <c r="A7197" s="74">
        <v>11989</v>
      </c>
    </row>
    <row r="7198" spans="1:1" x14ac:dyDescent="0.25">
      <c r="A7198" s="74">
        <v>11990</v>
      </c>
    </row>
    <row r="7199" spans="1:1" x14ac:dyDescent="0.25">
      <c r="A7199" s="74">
        <v>11991</v>
      </c>
    </row>
    <row r="7200" spans="1:1" x14ac:dyDescent="0.25">
      <c r="A7200" s="74">
        <v>11992</v>
      </c>
    </row>
    <row r="7201" spans="1:1" x14ac:dyDescent="0.25">
      <c r="A7201" s="74">
        <v>11993</v>
      </c>
    </row>
    <row r="7202" spans="1:1" x14ac:dyDescent="0.25">
      <c r="A7202" s="74">
        <v>11994</v>
      </c>
    </row>
    <row r="7203" spans="1:1" x14ac:dyDescent="0.25">
      <c r="A7203" s="74">
        <v>11995</v>
      </c>
    </row>
    <row r="7204" spans="1:1" x14ac:dyDescent="0.25">
      <c r="A7204" s="74">
        <v>11996</v>
      </c>
    </row>
    <row r="7205" spans="1:1" x14ac:dyDescent="0.25">
      <c r="A7205" s="74">
        <v>11997</v>
      </c>
    </row>
    <row r="7206" spans="1:1" x14ac:dyDescent="0.25">
      <c r="A7206" s="74">
        <v>11998</v>
      </c>
    </row>
    <row r="7207" spans="1:1" x14ac:dyDescent="0.25">
      <c r="A7207" s="74">
        <v>11999</v>
      </c>
    </row>
    <row r="7208" spans="1:1" x14ac:dyDescent="0.25">
      <c r="A7208" s="74">
        <v>12000</v>
      </c>
    </row>
    <row r="7209" spans="1:1" x14ac:dyDescent="0.25">
      <c r="A7209" s="74">
        <v>12001</v>
      </c>
    </row>
    <row r="7210" spans="1:1" x14ac:dyDescent="0.25">
      <c r="A7210" s="74">
        <v>12002</v>
      </c>
    </row>
    <row r="7211" spans="1:1" x14ac:dyDescent="0.25">
      <c r="A7211" s="74">
        <v>12003</v>
      </c>
    </row>
    <row r="7212" spans="1:1" x14ac:dyDescent="0.25">
      <c r="A7212" s="74">
        <v>12004</v>
      </c>
    </row>
    <row r="7213" spans="1:1" x14ac:dyDescent="0.25">
      <c r="A7213" s="74">
        <v>12005</v>
      </c>
    </row>
    <row r="7214" spans="1:1" x14ac:dyDescent="0.25">
      <c r="A7214" s="74">
        <v>12006</v>
      </c>
    </row>
    <row r="7215" spans="1:1" x14ac:dyDescent="0.25">
      <c r="A7215" s="74">
        <v>12007</v>
      </c>
    </row>
    <row r="7216" spans="1:1" x14ac:dyDescent="0.25">
      <c r="A7216" s="74">
        <v>12008</v>
      </c>
    </row>
    <row r="7217" spans="1:1" x14ac:dyDescent="0.25">
      <c r="A7217" s="74">
        <v>12009</v>
      </c>
    </row>
    <row r="7218" spans="1:1" x14ac:dyDescent="0.25">
      <c r="A7218" s="74">
        <v>12010</v>
      </c>
    </row>
    <row r="7219" spans="1:1" x14ac:dyDescent="0.25">
      <c r="A7219" s="74">
        <v>12011</v>
      </c>
    </row>
    <row r="7220" spans="1:1" x14ac:dyDescent="0.25">
      <c r="A7220" s="74">
        <v>12012</v>
      </c>
    </row>
    <row r="7221" spans="1:1" x14ac:dyDescent="0.25">
      <c r="A7221" s="74">
        <v>12013</v>
      </c>
    </row>
    <row r="7222" spans="1:1" x14ac:dyDescent="0.25">
      <c r="A7222" s="74">
        <v>12014</v>
      </c>
    </row>
    <row r="7223" spans="1:1" x14ac:dyDescent="0.25">
      <c r="A7223" s="74">
        <v>12015</v>
      </c>
    </row>
    <row r="7224" spans="1:1" x14ac:dyDescent="0.25">
      <c r="A7224" s="74">
        <v>12016</v>
      </c>
    </row>
    <row r="7225" spans="1:1" x14ac:dyDescent="0.25">
      <c r="A7225" s="74">
        <v>12017</v>
      </c>
    </row>
    <row r="7226" spans="1:1" x14ac:dyDescent="0.25">
      <c r="A7226" s="74">
        <v>12018</v>
      </c>
    </row>
    <row r="7227" spans="1:1" x14ac:dyDescent="0.25">
      <c r="A7227" s="74">
        <v>12019</v>
      </c>
    </row>
    <row r="7228" spans="1:1" x14ac:dyDescent="0.25">
      <c r="A7228" s="74">
        <v>12020</v>
      </c>
    </row>
    <row r="7229" spans="1:1" x14ac:dyDescent="0.25">
      <c r="A7229" s="74">
        <v>12021</v>
      </c>
    </row>
    <row r="7230" spans="1:1" x14ac:dyDescent="0.25">
      <c r="A7230" s="74">
        <v>12022</v>
      </c>
    </row>
    <row r="7231" spans="1:1" x14ac:dyDescent="0.25">
      <c r="A7231" s="74">
        <v>12023</v>
      </c>
    </row>
    <row r="7232" spans="1:1" x14ac:dyDescent="0.25">
      <c r="A7232" s="74">
        <v>12024</v>
      </c>
    </row>
    <row r="7233" spans="1:1" x14ac:dyDescent="0.25">
      <c r="A7233" s="74">
        <v>12025</v>
      </c>
    </row>
    <row r="7234" spans="1:1" x14ac:dyDescent="0.25">
      <c r="A7234" s="74">
        <v>12026</v>
      </c>
    </row>
    <row r="7235" spans="1:1" x14ac:dyDescent="0.25">
      <c r="A7235" s="74">
        <v>12027</v>
      </c>
    </row>
    <row r="7236" spans="1:1" x14ac:dyDescent="0.25">
      <c r="A7236" s="74">
        <v>12028</v>
      </c>
    </row>
    <row r="7237" spans="1:1" x14ac:dyDescent="0.25">
      <c r="A7237" s="74">
        <v>12029</v>
      </c>
    </row>
    <row r="7238" spans="1:1" x14ac:dyDescent="0.25">
      <c r="A7238" s="74">
        <v>12030</v>
      </c>
    </row>
    <row r="7239" spans="1:1" x14ac:dyDescent="0.25">
      <c r="A7239" s="74">
        <v>12031</v>
      </c>
    </row>
    <row r="7240" spans="1:1" x14ac:dyDescent="0.25">
      <c r="A7240" s="74">
        <v>12032</v>
      </c>
    </row>
    <row r="7241" spans="1:1" x14ac:dyDescent="0.25">
      <c r="A7241" s="74">
        <v>12033</v>
      </c>
    </row>
    <row r="7242" spans="1:1" x14ac:dyDescent="0.25">
      <c r="A7242" s="74">
        <v>12034</v>
      </c>
    </row>
    <row r="7243" spans="1:1" x14ac:dyDescent="0.25">
      <c r="A7243" s="74">
        <v>12035</v>
      </c>
    </row>
    <row r="7244" spans="1:1" x14ac:dyDescent="0.25">
      <c r="A7244" s="74">
        <v>12036</v>
      </c>
    </row>
    <row r="7245" spans="1:1" x14ac:dyDescent="0.25">
      <c r="A7245" s="74">
        <v>12037</v>
      </c>
    </row>
    <row r="7246" spans="1:1" x14ac:dyDescent="0.25">
      <c r="A7246" s="74">
        <v>12038</v>
      </c>
    </row>
    <row r="7247" spans="1:1" x14ac:dyDescent="0.25">
      <c r="A7247" s="74">
        <v>12039</v>
      </c>
    </row>
    <row r="7248" spans="1:1" x14ac:dyDescent="0.25">
      <c r="A7248" s="74">
        <v>12040</v>
      </c>
    </row>
    <row r="7249" spans="1:1" x14ac:dyDescent="0.25">
      <c r="A7249" s="74">
        <v>12041</v>
      </c>
    </row>
    <row r="7250" spans="1:1" x14ac:dyDescent="0.25">
      <c r="A7250" s="74">
        <v>12042</v>
      </c>
    </row>
    <row r="7251" spans="1:1" x14ac:dyDescent="0.25">
      <c r="A7251" s="74">
        <v>12043</v>
      </c>
    </row>
    <row r="7252" spans="1:1" x14ac:dyDescent="0.25">
      <c r="A7252" s="74">
        <v>12044</v>
      </c>
    </row>
    <row r="7253" spans="1:1" x14ac:dyDescent="0.25">
      <c r="A7253" s="74">
        <v>12045</v>
      </c>
    </row>
    <row r="7254" spans="1:1" x14ac:dyDescent="0.25">
      <c r="A7254" s="74">
        <v>12046</v>
      </c>
    </row>
    <row r="7255" spans="1:1" x14ac:dyDescent="0.25">
      <c r="A7255" s="74">
        <v>12047</v>
      </c>
    </row>
    <row r="7256" spans="1:1" x14ac:dyDescent="0.25">
      <c r="A7256" s="74">
        <v>12048</v>
      </c>
    </row>
    <row r="7257" spans="1:1" x14ac:dyDescent="0.25">
      <c r="A7257" s="74">
        <v>12049</v>
      </c>
    </row>
    <row r="7258" spans="1:1" x14ac:dyDescent="0.25">
      <c r="A7258" s="74">
        <v>12050</v>
      </c>
    </row>
    <row r="7259" spans="1:1" x14ac:dyDescent="0.25">
      <c r="A7259" s="74">
        <v>12051</v>
      </c>
    </row>
    <row r="7260" spans="1:1" x14ac:dyDescent="0.25">
      <c r="A7260" s="74">
        <v>12052</v>
      </c>
    </row>
    <row r="7261" spans="1:1" x14ac:dyDescent="0.25">
      <c r="A7261" s="74">
        <v>12053</v>
      </c>
    </row>
    <row r="7262" spans="1:1" x14ac:dyDescent="0.25">
      <c r="A7262" s="74">
        <v>12054</v>
      </c>
    </row>
    <row r="7263" spans="1:1" x14ac:dyDescent="0.25">
      <c r="A7263" s="74">
        <v>12055</v>
      </c>
    </row>
    <row r="7264" spans="1:1" x14ac:dyDescent="0.25">
      <c r="A7264" s="74">
        <v>12056</v>
      </c>
    </row>
    <row r="7265" spans="1:1" x14ac:dyDescent="0.25">
      <c r="A7265" s="74">
        <v>12057</v>
      </c>
    </row>
    <row r="7266" spans="1:1" x14ac:dyDescent="0.25">
      <c r="A7266" s="74">
        <v>12058</v>
      </c>
    </row>
    <row r="7267" spans="1:1" x14ac:dyDescent="0.25">
      <c r="A7267" s="74">
        <v>12059</v>
      </c>
    </row>
    <row r="7268" spans="1:1" x14ac:dyDescent="0.25">
      <c r="A7268" s="74">
        <v>12060</v>
      </c>
    </row>
    <row r="7269" spans="1:1" x14ac:dyDescent="0.25">
      <c r="A7269" s="74">
        <v>12061</v>
      </c>
    </row>
    <row r="7270" spans="1:1" x14ac:dyDescent="0.25">
      <c r="A7270" s="74">
        <v>12062</v>
      </c>
    </row>
    <row r="7271" spans="1:1" x14ac:dyDescent="0.25">
      <c r="A7271" s="74">
        <v>12063</v>
      </c>
    </row>
    <row r="7272" spans="1:1" x14ac:dyDescent="0.25">
      <c r="A7272" s="74">
        <v>12064</v>
      </c>
    </row>
    <row r="7273" spans="1:1" x14ac:dyDescent="0.25">
      <c r="A7273" s="74">
        <v>12065</v>
      </c>
    </row>
    <row r="7274" spans="1:1" x14ac:dyDescent="0.25">
      <c r="A7274" s="74">
        <v>12066</v>
      </c>
    </row>
    <row r="7275" spans="1:1" x14ac:dyDescent="0.25">
      <c r="A7275" s="74">
        <v>12067</v>
      </c>
    </row>
    <row r="7276" spans="1:1" x14ac:dyDescent="0.25">
      <c r="A7276" s="74">
        <v>12068</v>
      </c>
    </row>
    <row r="7277" spans="1:1" x14ac:dyDescent="0.25">
      <c r="A7277" s="74">
        <v>12069</v>
      </c>
    </row>
    <row r="7278" spans="1:1" x14ac:dyDescent="0.25">
      <c r="A7278" s="74">
        <v>12070</v>
      </c>
    </row>
    <row r="7279" spans="1:1" x14ac:dyDescent="0.25">
      <c r="A7279" s="74">
        <v>12071</v>
      </c>
    </row>
    <row r="7280" spans="1:1" x14ac:dyDescent="0.25">
      <c r="A7280" s="74">
        <v>12072</v>
      </c>
    </row>
    <row r="7281" spans="1:1" x14ac:dyDescent="0.25">
      <c r="A7281" s="74">
        <v>12073</v>
      </c>
    </row>
    <row r="7282" spans="1:1" x14ac:dyDescent="0.25">
      <c r="A7282" s="74">
        <v>12074</v>
      </c>
    </row>
    <row r="7283" spans="1:1" x14ac:dyDescent="0.25">
      <c r="A7283" s="74">
        <v>12075</v>
      </c>
    </row>
    <row r="7284" spans="1:1" x14ac:dyDescent="0.25">
      <c r="A7284" s="74">
        <v>12076</v>
      </c>
    </row>
    <row r="7285" spans="1:1" x14ac:dyDescent="0.25">
      <c r="A7285" s="74">
        <v>12077</v>
      </c>
    </row>
    <row r="7286" spans="1:1" x14ac:dyDescent="0.25">
      <c r="A7286" s="74">
        <v>12078</v>
      </c>
    </row>
    <row r="7287" spans="1:1" x14ac:dyDescent="0.25">
      <c r="A7287" s="74">
        <v>12079</v>
      </c>
    </row>
    <row r="7288" spans="1:1" x14ac:dyDescent="0.25">
      <c r="A7288" s="74">
        <v>12080</v>
      </c>
    </row>
    <row r="7289" spans="1:1" x14ac:dyDescent="0.25">
      <c r="A7289" s="74">
        <v>12081</v>
      </c>
    </row>
    <row r="7290" spans="1:1" x14ac:dyDescent="0.25">
      <c r="A7290" s="74">
        <v>12082</v>
      </c>
    </row>
    <row r="7291" spans="1:1" x14ac:dyDescent="0.25">
      <c r="A7291" s="74">
        <v>12083</v>
      </c>
    </row>
    <row r="7292" spans="1:1" x14ac:dyDescent="0.25">
      <c r="A7292" s="74">
        <v>12084</v>
      </c>
    </row>
    <row r="7293" spans="1:1" x14ac:dyDescent="0.25">
      <c r="A7293" s="74">
        <v>12085</v>
      </c>
    </row>
    <row r="7294" spans="1:1" x14ac:dyDescent="0.25">
      <c r="A7294" s="74">
        <v>12086</v>
      </c>
    </row>
    <row r="7295" spans="1:1" x14ac:dyDescent="0.25">
      <c r="A7295" s="74">
        <v>12087</v>
      </c>
    </row>
    <row r="7296" spans="1:1" x14ac:dyDescent="0.25">
      <c r="A7296" s="74">
        <v>12088</v>
      </c>
    </row>
    <row r="7297" spans="1:1" x14ac:dyDescent="0.25">
      <c r="A7297" s="74">
        <v>12089</v>
      </c>
    </row>
    <row r="7298" spans="1:1" x14ac:dyDescent="0.25">
      <c r="A7298" s="74">
        <v>12090</v>
      </c>
    </row>
    <row r="7299" spans="1:1" x14ac:dyDescent="0.25">
      <c r="A7299" s="74">
        <v>12091</v>
      </c>
    </row>
    <row r="7300" spans="1:1" x14ac:dyDescent="0.25">
      <c r="A7300" s="74">
        <v>12092</v>
      </c>
    </row>
    <row r="7301" spans="1:1" x14ac:dyDescent="0.25">
      <c r="A7301" s="74">
        <v>12093</v>
      </c>
    </row>
    <row r="7302" spans="1:1" x14ac:dyDescent="0.25">
      <c r="A7302" s="74">
        <v>12094</v>
      </c>
    </row>
    <row r="7303" spans="1:1" x14ac:dyDescent="0.25">
      <c r="A7303" s="74">
        <v>12095</v>
      </c>
    </row>
    <row r="7304" spans="1:1" x14ac:dyDescent="0.25">
      <c r="A7304" s="74">
        <v>12096</v>
      </c>
    </row>
    <row r="7305" spans="1:1" x14ac:dyDescent="0.25">
      <c r="A7305" s="74">
        <v>12097</v>
      </c>
    </row>
    <row r="7306" spans="1:1" x14ac:dyDescent="0.25">
      <c r="A7306" s="74">
        <v>12098</v>
      </c>
    </row>
    <row r="7307" spans="1:1" x14ac:dyDescent="0.25">
      <c r="A7307" s="74">
        <v>12099</v>
      </c>
    </row>
    <row r="7308" spans="1:1" x14ac:dyDescent="0.25">
      <c r="A7308" s="74">
        <v>12100</v>
      </c>
    </row>
    <row r="7309" spans="1:1" x14ac:dyDescent="0.25">
      <c r="A7309" s="74">
        <v>12101</v>
      </c>
    </row>
    <row r="7310" spans="1:1" x14ac:dyDescent="0.25">
      <c r="A7310" s="74">
        <v>12102</v>
      </c>
    </row>
    <row r="7311" spans="1:1" x14ac:dyDescent="0.25">
      <c r="A7311" s="74">
        <v>12103</v>
      </c>
    </row>
    <row r="7312" spans="1:1" x14ac:dyDescent="0.25">
      <c r="A7312" s="74">
        <v>12104</v>
      </c>
    </row>
    <row r="7313" spans="1:1" x14ac:dyDescent="0.25">
      <c r="A7313" s="74">
        <v>12105</v>
      </c>
    </row>
    <row r="7314" spans="1:1" x14ac:dyDescent="0.25">
      <c r="A7314" s="74">
        <v>12106</v>
      </c>
    </row>
    <row r="7315" spans="1:1" x14ac:dyDescent="0.25">
      <c r="A7315" s="74">
        <v>12107</v>
      </c>
    </row>
    <row r="7316" spans="1:1" x14ac:dyDescent="0.25">
      <c r="A7316" s="74">
        <v>12108</v>
      </c>
    </row>
    <row r="7317" spans="1:1" x14ac:dyDescent="0.25">
      <c r="A7317" s="74">
        <v>12109</v>
      </c>
    </row>
    <row r="7318" spans="1:1" x14ac:dyDescent="0.25">
      <c r="A7318" s="74">
        <v>12110</v>
      </c>
    </row>
    <row r="7319" spans="1:1" x14ac:dyDescent="0.25">
      <c r="A7319" s="74">
        <v>12111</v>
      </c>
    </row>
    <row r="7320" spans="1:1" x14ac:dyDescent="0.25">
      <c r="A7320" s="74">
        <v>12112</v>
      </c>
    </row>
    <row r="7321" spans="1:1" x14ac:dyDescent="0.25">
      <c r="A7321" s="74">
        <v>12113</v>
      </c>
    </row>
    <row r="7322" spans="1:1" x14ac:dyDescent="0.25">
      <c r="A7322" s="74">
        <v>12114</v>
      </c>
    </row>
    <row r="7323" spans="1:1" x14ac:dyDescent="0.25">
      <c r="A7323" s="74">
        <v>12115</v>
      </c>
    </row>
    <row r="7324" spans="1:1" x14ac:dyDescent="0.25">
      <c r="A7324" s="74">
        <v>12116</v>
      </c>
    </row>
    <row r="7325" spans="1:1" x14ac:dyDescent="0.25">
      <c r="A7325" s="74">
        <v>12117</v>
      </c>
    </row>
    <row r="7326" spans="1:1" x14ac:dyDescent="0.25">
      <c r="A7326" s="74">
        <v>12118</v>
      </c>
    </row>
    <row r="7327" spans="1:1" x14ac:dyDescent="0.25">
      <c r="A7327" s="74">
        <v>12119</v>
      </c>
    </row>
    <row r="7328" spans="1:1" x14ac:dyDescent="0.25">
      <c r="A7328" s="74">
        <v>12120</v>
      </c>
    </row>
    <row r="7329" spans="1:1" x14ac:dyDescent="0.25">
      <c r="A7329" s="74">
        <v>12121</v>
      </c>
    </row>
    <row r="7330" spans="1:1" x14ac:dyDescent="0.25">
      <c r="A7330" s="74">
        <v>12122</v>
      </c>
    </row>
    <row r="7331" spans="1:1" x14ac:dyDescent="0.25">
      <c r="A7331" s="74">
        <v>12123</v>
      </c>
    </row>
    <row r="7332" spans="1:1" x14ac:dyDescent="0.25">
      <c r="A7332" s="74">
        <v>12124</v>
      </c>
    </row>
    <row r="7333" spans="1:1" x14ac:dyDescent="0.25">
      <c r="A7333" s="74">
        <v>12125</v>
      </c>
    </row>
    <row r="7334" spans="1:1" x14ac:dyDescent="0.25">
      <c r="A7334" s="74">
        <v>12126</v>
      </c>
    </row>
    <row r="7335" spans="1:1" x14ac:dyDescent="0.25">
      <c r="A7335" s="74">
        <v>12127</v>
      </c>
    </row>
    <row r="7336" spans="1:1" x14ac:dyDescent="0.25">
      <c r="A7336" s="74">
        <v>12128</v>
      </c>
    </row>
    <row r="7337" spans="1:1" x14ac:dyDescent="0.25">
      <c r="A7337" s="74">
        <v>12129</v>
      </c>
    </row>
    <row r="7338" spans="1:1" x14ac:dyDescent="0.25">
      <c r="A7338" s="74">
        <v>12130</v>
      </c>
    </row>
    <row r="7339" spans="1:1" x14ac:dyDescent="0.25">
      <c r="A7339" s="74">
        <v>12131</v>
      </c>
    </row>
    <row r="7340" spans="1:1" x14ac:dyDescent="0.25">
      <c r="A7340" s="74">
        <v>12132</v>
      </c>
    </row>
    <row r="7341" spans="1:1" x14ac:dyDescent="0.25">
      <c r="A7341" s="74">
        <v>12133</v>
      </c>
    </row>
    <row r="7342" spans="1:1" x14ac:dyDescent="0.25">
      <c r="A7342" s="74">
        <v>12134</v>
      </c>
    </row>
    <row r="7343" spans="1:1" x14ac:dyDescent="0.25">
      <c r="A7343" s="74">
        <v>12135</v>
      </c>
    </row>
    <row r="7344" spans="1:1" x14ac:dyDescent="0.25">
      <c r="A7344" s="74">
        <v>12136</v>
      </c>
    </row>
    <row r="7345" spans="1:1" x14ac:dyDescent="0.25">
      <c r="A7345" s="74">
        <v>12137</v>
      </c>
    </row>
    <row r="7346" spans="1:1" x14ac:dyDescent="0.25">
      <c r="A7346" s="74">
        <v>12138</v>
      </c>
    </row>
    <row r="7347" spans="1:1" x14ac:dyDescent="0.25">
      <c r="A7347" s="74">
        <v>12139</v>
      </c>
    </row>
    <row r="7348" spans="1:1" x14ac:dyDescent="0.25">
      <c r="A7348" s="74">
        <v>12140</v>
      </c>
    </row>
    <row r="7349" spans="1:1" x14ac:dyDescent="0.25">
      <c r="A7349" s="74">
        <v>12141</v>
      </c>
    </row>
    <row r="7350" spans="1:1" x14ac:dyDescent="0.25">
      <c r="A7350" s="74">
        <v>12142</v>
      </c>
    </row>
    <row r="7351" spans="1:1" x14ac:dyDescent="0.25">
      <c r="A7351" s="74">
        <v>12143</v>
      </c>
    </row>
    <row r="7352" spans="1:1" x14ac:dyDescent="0.25">
      <c r="A7352" s="74">
        <v>12144</v>
      </c>
    </row>
    <row r="7353" spans="1:1" x14ac:dyDescent="0.25">
      <c r="A7353" s="74">
        <v>12145</v>
      </c>
    </row>
    <row r="7354" spans="1:1" x14ac:dyDescent="0.25">
      <c r="A7354" s="74">
        <v>12146</v>
      </c>
    </row>
    <row r="7355" spans="1:1" x14ac:dyDescent="0.25">
      <c r="A7355" s="74">
        <v>12147</v>
      </c>
    </row>
    <row r="7356" spans="1:1" x14ac:dyDescent="0.25">
      <c r="A7356" s="74">
        <v>12148</v>
      </c>
    </row>
    <row r="7357" spans="1:1" x14ac:dyDescent="0.25">
      <c r="A7357" s="74">
        <v>12149</v>
      </c>
    </row>
    <row r="7358" spans="1:1" x14ac:dyDescent="0.25">
      <c r="A7358" s="74">
        <v>12150</v>
      </c>
    </row>
    <row r="7359" spans="1:1" x14ac:dyDescent="0.25">
      <c r="A7359" s="74">
        <v>12151</v>
      </c>
    </row>
    <row r="7360" spans="1:1" x14ac:dyDescent="0.25">
      <c r="A7360" s="74">
        <v>12152</v>
      </c>
    </row>
    <row r="7361" spans="1:1" x14ac:dyDescent="0.25">
      <c r="A7361" s="74">
        <v>12153</v>
      </c>
    </row>
    <row r="7362" spans="1:1" x14ac:dyDescent="0.25">
      <c r="A7362" s="74">
        <v>12154</v>
      </c>
    </row>
    <row r="7363" spans="1:1" x14ac:dyDescent="0.25">
      <c r="A7363" s="74">
        <v>12155</v>
      </c>
    </row>
    <row r="7364" spans="1:1" x14ac:dyDescent="0.25">
      <c r="A7364" s="74">
        <v>12156</v>
      </c>
    </row>
    <row r="7365" spans="1:1" x14ac:dyDescent="0.25">
      <c r="A7365" s="74">
        <v>12157</v>
      </c>
    </row>
    <row r="7366" spans="1:1" x14ac:dyDescent="0.25">
      <c r="A7366" s="74">
        <v>12158</v>
      </c>
    </row>
    <row r="7367" spans="1:1" x14ac:dyDescent="0.25">
      <c r="A7367" s="74">
        <v>12159</v>
      </c>
    </row>
    <row r="7368" spans="1:1" x14ac:dyDescent="0.25">
      <c r="A7368" s="74">
        <v>12160</v>
      </c>
    </row>
    <row r="7369" spans="1:1" x14ac:dyDescent="0.25">
      <c r="A7369" s="74">
        <v>12161</v>
      </c>
    </row>
    <row r="7370" spans="1:1" x14ac:dyDescent="0.25">
      <c r="A7370" s="74">
        <v>12162</v>
      </c>
    </row>
    <row r="7371" spans="1:1" x14ac:dyDescent="0.25">
      <c r="A7371" s="74">
        <v>12163</v>
      </c>
    </row>
    <row r="7372" spans="1:1" x14ac:dyDescent="0.25">
      <c r="A7372" s="74">
        <v>12164</v>
      </c>
    </row>
    <row r="7373" spans="1:1" x14ac:dyDescent="0.25">
      <c r="A7373" s="74">
        <v>12165</v>
      </c>
    </row>
    <row r="7374" spans="1:1" x14ac:dyDescent="0.25">
      <c r="A7374" s="74">
        <v>12166</v>
      </c>
    </row>
    <row r="7375" spans="1:1" x14ac:dyDescent="0.25">
      <c r="A7375" s="74">
        <v>12167</v>
      </c>
    </row>
    <row r="7376" spans="1:1" x14ac:dyDescent="0.25">
      <c r="A7376" s="74">
        <v>12168</v>
      </c>
    </row>
    <row r="7377" spans="1:1" x14ac:dyDescent="0.25">
      <c r="A7377" s="74">
        <v>12169</v>
      </c>
    </row>
    <row r="7378" spans="1:1" x14ac:dyDescent="0.25">
      <c r="A7378" s="74">
        <v>12170</v>
      </c>
    </row>
    <row r="7379" spans="1:1" x14ac:dyDescent="0.25">
      <c r="A7379" s="74">
        <v>12171</v>
      </c>
    </row>
    <row r="7380" spans="1:1" x14ac:dyDescent="0.25">
      <c r="A7380" s="74">
        <v>12172</v>
      </c>
    </row>
    <row r="7381" spans="1:1" x14ac:dyDescent="0.25">
      <c r="A7381" s="74">
        <v>12173</v>
      </c>
    </row>
    <row r="7382" spans="1:1" x14ac:dyDescent="0.25">
      <c r="A7382" s="74">
        <v>12174</v>
      </c>
    </row>
    <row r="7383" spans="1:1" x14ac:dyDescent="0.25">
      <c r="A7383" s="74">
        <v>12175</v>
      </c>
    </row>
    <row r="7384" spans="1:1" x14ac:dyDescent="0.25">
      <c r="A7384" s="74">
        <v>12176</v>
      </c>
    </row>
    <row r="7385" spans="1:1" x14ac:dyDescent="0.25">
      <c r="A7385" s="74">
        <v>12177</v>
      </c>
    </row>
    <row r="7386" spans="1:1" x14ac:dyDescent="0.25">
      <c r="A7386" s="74">
        <v>12178</v>
      </c>
    </row>
    <row r="7387" spans="1:1" x14ac:dyDescent="0.25">
      <c r="A7387" s="74">
        <v>12179</v>
      </c>
    </row>
    <row r="7388" spans="1:1" x14ac:dyDescent="0.25">
      <c r="A7388" s="74">
        <v>12180</v>
      </c>
    </row>
    <row r="7389" spans="1:1" x14ac:dyDescent="0.25">
      <c r="A7389" s="74">
        <v>12181</v>
      </c>
    </row>
    <row r="7390" spans="1:1" x14ac:dyDescent="0.25">
      <c r="A7390" s="74">
        <v>12182</v>
      </c>
    </row>
    <row r="7391" spans="1:1" x14ac:dyDescent="0.25">
      <c r="A7391" s="74">
        <v>12183</v>
      </c>
    </row>
    <row r="7392" spans="1:1" x14ac:dyDescent="0.25">
      <c r="A7392" s="74">
        <v>12184</v>
      </c>
    </row>
    <row r="7393" spans="1:1" x14ac:dyDescent="0.25">
      <c r="A7393" s="74">
        <v>12185</v>
      </c>
    </row>
    <row r="7394" spans="1:1" x14ac:dyDescent="0.25">
      <c r="A7394" s="74">
        <v>12186</v>
      </c>
    </row>
    <row r="7395" spans="1:1" x14ac:dyDescent="0.25">
      <c r="A7395" s="74">
        <v>12187</v>
      </c>
    </row>
    <row r="7396" spans="1:1" x14ac:dyDescent="0.25">
      <c r="A7396" s="74">
        <v>12188</v>
      </c>
    </row>
    <row r="7397" spans="1:1" x14ac:dyDescent="0.25">
      <c r="A7397" s="74">
        <v>12189</v>
      </c>
    </row>
    <row r="7398" spans="1:1" x14ac:dyDescent="0.25">
      <c r="A7398" s="74">
        <v>12190</v>
      </c>
    </row>
    <row r="7399" spans="1:1" x14ac:dyDescent="0.25">
      <c r="A7399" s="74">
        <v>12191</v>
      </c>
    </row>
    <row r="7400" spans="1:1" x14ac:dyDescent="0.25">
      <c r="A7400" s="74">
        <v>12192</v>
      </c>
    </row>
    <row r="7401" spans="1:1" x14ac:dyDescent="0.25">
      <c r="A7401" s="74">
        <v>12193</v>
      </c>
    </row>
    <row r="7402" spans="1:1" x14ac:dyDescent="0.25">
      <c r="A7402" s="74">
        <v>12194</v>
      </c>
    </row>
    <row r="7403" spans="1:1" x14ac:dyDescent="0.25">
      <c r="A7403" s="74">
        <v>12195</v>
      </c>
    </row>
    <row r="7404" spans="1:1" x14ac:dyDescent="0.25">
      <c r="A7404" s="74">
        <v>12196</v>
      </c>
    </row>
    <row r="7405" spans="1:1" x14ac:dyDescent="0.25">
      <c r="A7405" s="74">
        <v>12197</v>
      </c>
    </row>
    <row r="7406" spans="1:1" x14ac:dyDescent="0.25">
      <c r="A7406" s="74">
        <v>12198</v>
      </c>
    </row>
    <row r="7407" spans="1:1" x14ac:dyDescent="0.25">
      <c r="A7407" s="74">
        <v>12199</v>
      </c>
    </row>
    <row r="7408" spans="1:1" x14ac:dyDescent="0.25">
      <c r="A7408" s="74">
        <v>12200</v>
      </c>
    </row>
    <row r="7409" spans="1:1" x14ac:dyDescent="0.25">
      <c r="A7409" s="74">
        <v>12201</v>
      </c>
    </row>
    <row r="7410" spans="1:1" x14ac:dyDescent="0.25">
      <c r="A7410" s="74">
        <v>12202</v>
      </c>
    </row>
    <row r="7411" spans="1:1" x14ac:dyDescent="0.25">
      <c r="A7411" s="74">
        <v>12203</v>
      </c>
    </row>
    <row r="7412" spans="1:1" x14ac:dyDescent="0.25">
      <c r="A7412" s="74">
        <v>12204</v>
      </c>
    </row>
    <row r="7413" spans="1:1" x14ac:dyDescent="0.25">
      <c r="A7413" s="74">
        <v>12205</v>
      </c>
    </row>
    <row r="7414" spans="1:1" x14ac:dyDescent="0.25">
      <c r="A7414" s="74">
        <v>12206</v>
      </c>
    </row>
    <row r="7415" spans="1:1" x14ac:dyDescent="0.25">
      <c r="A7415" s="74">
        <v>12207</v>
      </c>
    </row>
    <row r="7416" spans="1:1" x14ac:dyDescent="0.25">
      <c r="A7416" s="74">
        <v>12208</v>
      </c>
    </row>
    <row r="7417" spans="1:1" x14ac:dyDescent="0.25">
      <c r="A7417" s="74">
        <v>12209</v>
      </c>
    </row>
    <row r="7418" spans="1:1" x14ac:dyDescent="0.25">
      <c r="A7418" s="74">
        <v>12210</v>
      </c>
    </row>
    <row r="7419" spans="1:1" x14ac:dyDescent="0.25">
      <c r="A7419" s="74">
        <v>12211</v>
      </c>
    </row>
    <row r="7420" spans="1:1" x14ac:dyDescent="0.25">
      <c r="A7420" s="74">
        <v>12212</v>
      </c>
    </row>
    <row r="7421" spans="1:1" x14ac:dyDescent="0.25">
      <c r="A7421" s="74">
        <v>12213</v>
      </c>
    </row>
    <row r="7422" spans="1:1" x14ac:dyDescent="0.25">
      <c r="A7422" s="74">
        <v>12214</v>
      </c>
    </row>
    <row r="7423" spans="1:1" x14ac:dyDescent="0.25">
      <c r="A7423" s="74">
        <v>12215</v>
      </c>
    </row>
    <row r="7424" spans="1:1" x14ac:dyDescent="0.25">
      <c r="A7424" s="74">
        <v>12216</v>
      </c>
    </row>
    <row r="7425" spans="1:1" x14ac:dyDescent="0.25">
      <c r="A7425" s="74">
        <v>12217</v>
      </c>
    </row>
    <row r="7426" spans="1:1" x14ac:dyDescent="0.25">
      <c r="A7426" s="74">
        <v>12218</v>
      </c>
    </row>
    <row r="7427" spans="1:1" x14ac:dyDescent="0.25">
      <c r="A7427" s="74">
        <v>12219</v>
      </c>
    </row>
    <row r="7428" spans="1:1" x14ac:dyDescent="0.25">
      <c r="A7428" s="74">
        <v>12220</v>
      </c>
    </row>
    <row r="7429" spans="1:1" x14ac:dyDescent="0.25">
      <c r="A7429" s="74">
        <v>12221</v>
      </c>
    </row>
    <row r="7430" spans="1:1" x14ac:dyDescent="0.25">
      <c r="A7430" s="74">
        <v>12222</v>
      </c>
    </row>
    <row r="7431" spans="1:1" x14ac:dyDescent="0.25">
      <c r="A7431" s="74">
        <v>12223</v>
      </c>
    </row>
    <row r="7432" spans="1:1" x14ac:dyDescent="0.25">
      <c r="A7432" s="74">
        <v>12224</v>
      </c>
    </row>
    <row r="7433" spans="1:1" x14ac:dyDescent="0.25">
      <c r="A7433" s="74">
        <v>12225</v>
      </c>
    </row>
    <row r="7434" spans="1:1" x14ac:dyDescent="0.25">
      <c r="A7434" s="74">
        <v>12226</v>
      </c>
    </row>
    <row r="7435" spans="1:1" x14ac:dyDescent="0.25">
      <c r="A7435" s="74">
        <v>12227</v>
      </c>
    </row>
    <row r="7436" spans="1:1" x14ac:dyDescent="0.25">
      <c r="A7436" s="74">
        <v>12228</v>
      </c>
    </row>
    <row r="7437" spans="1:1" x14ac:dyDescent="0.25">
      <c r="A7437" s="74">
        <v>12229</v>
      </c>
    </row>
    <row r="7438" spans="1:1" x14ac:dyDescent="0.25">
      <c r="A7438" s="74">
        <v>12230</v>
      </c>
    </row>
    <row r="7439" spans="1:1" x14ac:dyDescent="0.25">
      <c r="A7439" s="74">
        <v>12231</v>
      </c>
    </row>
    <row r="7440" spans="1:1" x14ac:dyDescent="0.25">
      <c r="A7440" s="74">
        <v>12232</v>
      </c>
    </row>
    <row r="7441" spans="1:1" x14ac:dyDescent="0.25">
      <c r="A7441" s="74">
        <v>12233</v>
      </c>
    </row>
    <row r="7442" spans="1:1" x14ac:dyDescent="0.25">
      <c r="A7442" s="74">
        <v>12234</v>
      </c>
    </row>
    <row r="7443" spans="1:1" x14ac:dyDescent="0.25">
      <c r="A7443" s="74">
        <v>12235</v>
      </c>
    </row>
    <row r="7444" spans="1:1" x14ac:dyDescent="0.25">
      <c r="A7444" s="74">
        <v>12236</v>
      </c>
    </row>
    <row r="7445" spans="1:1" x14ac:dyDescent="0.25">
      <c r="A7445" s="74">
        <v>12237</v>
      </c>
    </row>
    <row r="7446" spans="1:1" x14ac:dyDescent="0.25">
      <c r="A7446" s="74">
        <v>12238</v>
      </c>
    </row>
    <row r="7447" spans="1:1" x14ac:dyDescent="0.25">
      <c r="A7447" s="74">
        <v>12239</v>
      </c>
    </row>
    <row r="7448" spans="1:1" x14ac:dyDescent="0.25">
      <c r="A7448" s="74">
        <v>12240</v>
      </c>
    </row>
    <row r="7449" spans="1:1" x14ac:dyDescent="0.25">
      <c r="A7449" s="74">
        <v>12241</v>
      </c>
    </row>
    <row r="7450" spans="1:1" x14ac:dyDescent="0.25">
      <c r="A7450" s="74">
        <v>12242</v>
      </c>
    </row>
    <row r="7451" spans="1:1" x14ac:dyDescent="0.25">
      <c r="A7451" s="74">
        <v>12243</v>
      </c>
    </row>
    <row r="7452" spans="1:1" x14ac:dyDescent="0.25">
      <c r="A7452" s="74">
        <v>12244</v>
      </c>
    </row>
    <row r="7453" spans="1:1" x14ac:dyDescent="0.25">
      <c r="A7453" s="74">
        <v>12245</v>
      </c>
    </row>
    <row r="7454" spans="1:1" x14ac:dyDescent="0.25">
      <c r="A7454" s="74">
        <v>12246</v>
      </c>
    </row>
    <row r="7455" spans="1:1" x14ac:dyDescent="0.25">
      <c r="A7455" s="74">
        <v>12247</v>
      </c>
    </row>
    <row r="7456" spans="1:1" x14ac:dyDescent="0.25">
      <c r="A7456" s="74">
        <v>12248</v>
      </c>
    </row>
    <row r="7457" spans="1:1" x14ac:dyDescent="0.25">
      <c r="A7457" s="74">
        <v>12249</v>
      </c>
    </row>
    <row r="7458" spans="1:1" x14ac:dyDescent="0.25">
      <c r="A7458" s="74">
        <v>12250</v>
      </c>
    </row>
    <row r="7459" spans="1:1" x14ac:dyDescent="0.25">
      <c r="A7459" s="74">
        <v>12251</v>
      </c>
    </row>
    <row r="7460" spans="1:1" x14ac:dyDescent="0.25">
      <c r="A7460" s="74">
        <v>12252</v>
      </c>
    </row>
    <row r="7461" spans="1:1" x14ac:dyDescent="0.25">
      <c r="A7461" s="74">
        <v>12253</v>
      </c>
    </row>
    <row r="7462" spans="1:1" x14ac:dyDescent="0.25">
      <c r="A7462" s="74">
        <v>12254</v>
      </c>
    </row>
    <row r="7463" spans="1:1" x14ac:dyDescent="0.25">
      <c r="A7463" s="74">
        <v>12255</v>
      </c>
    </row>
    <row r="7464" spans="1:1" x14ac:dyDescent="0.25">
      <c r="A7464" s="74">
        <v>12256</v>
      </c>
    </row>
    <row r="7465" spans="1:1" x14ac:dyDescent="0.25">
      <c r="A7465" s="74">
        <v>12257</v>
      </c>
    </row>
    <row r="7466" spans="1:1" x14ac:dyDescent="0.25">
      <c r="A7466" s="74">
        <v>12258</v>
      </c>
    </row>
    <row r="7467" spans="1:1" x14ac:dyDescent="0.25">
      <c r="A7467" s="74">
        <v>12259</v>
      </c>
    </row>
    <row r="7468" spans="1:1" x14ac:dyDescent="0.25">
      <c r="A7468" s="74">
        <v>12260</v>
      </c>
    </row>
    <row r="7469" spans="1:1" x14ac:dyDescent="0.25">
      <c r="A7469" s="74">
        <v>12261</v>
      </c>
    </row>
    <row r="7470" spans="1:1" x14ac:dyDescent="0.25">
      <c r="A7470" s="74">
        <v>12262</v>
      </c>
    </row>
    <row r="7471" spans="1:1" x14ac:dyDescent="0.25">
      <c r="A7471" s="74">
        <v>12263</v>
      </c>
    </row>
    <row r="7472" spans="1:1" x14ac:dyDescent="0.25">
      <c r="A7472" s="74">
        <v>12264</v>
      </c>
    </row>
    <row r="7473" spans="1:1" x14ac:dyDescent="0.25">
      <c r="A7473" s="74">
        <v>12265</v>
      </c>
    </row>
    <row r="7474" spans="1:1" x14ac:dyDescent="0.25">
      <c r="A7474" s="74">
        <v>12266</v>
      </c>
    </row>
    <row r="7475" spans="1:1" x14ac:dyDescent="0.25">
      <c r="A7475" s="74">
        <v>12267</v>
      </c>
    </row>
    <row r="7476" spans="1:1" x14ac:dyDescent="0.25">
      <c r="A7476" s="74">
        <v>12268</v>
      </c>
    </row>
    <row r="7477" spans="1:1" x14ac:dyDescent="0.25">
      <c r="A7477" s="74">
        <v>12269</v>
      </c>
    </row>
    <row r="7478" spans="1:1" x14ac:dyDescent="0.25">
      <c r="A7478" s="74">
        <v>12270</v>
      </c>
    </row>
    <row r="7479" spans="1:1" x14ac:dyDescent="0.25">
      <c r="A7479" s="74">
        <v>12271</v>
      </c>
    </row>
    <row r="7480" spans="1:1" x14ac:dyDescent="0.25">
      <c r="A7480" s="74">
        <v>12272</v>
      </c>
    </row>
    <row r="7481" spans="1:1" x14ac:dyDescent="0.25">
      <c r="A7481" s="74">
        <v>12273</v>
      </c>
    </row>
    <row r="7482" spans="1:1" x14ac:dyDescent="0.25">
      <c r="A7482" s="74">
        <v>12274</v>
      </c>
    </row>
    <row r="7483" spans="1:1" x14ac:dyDescent="0.25">
      <c r="A7483" s="74">
        <v>12275</v>
      </c>
    </row>
    <row r="7484" spans="1:1" x14ac:dyDescent="0.25">
      <c r="A7484" s="74">
        <v>12276</v>
      </c>
    </row>
    <row r="7485" spans="1:1" x14ac:dyDescent="0.25">
      <c r="A7485" s="74">
        <v>12277</v>
      </c>
    </row>
    <row r="7486" spans="1:1" x14ac:dyDescent="0.25">
      <c r="A7486" s="74">
        <v>12278</v>
      </c>
    </row>
    <row r="7487" spans="1:1" x14ac:dyDescent="0.25">
      <c r="A7487" s="74">
        <v>12279</v>
      </c>
    </row>
    <row r="7488" spans="1:1" x14ac:dyDescent="0.25">
      <c r="A7488" s="74">
        <v>12280</v>
      </c>
    </row>
    <row r="7489" spans="1:1" x14ac:dyDescent="0.25">
      <c r="A7489" s="74">
        <v>12281</v>
      </c>
    </row>
    <row r="7490" spans="1:1" x14ac:dyDescent="0.25">
      <c r="A7490" s="74">
        <v>12282</v>
      </c>
    </row>
    <row r="7491" spans="1:1" x14ac:dyDescent="0.25">
      <c r="A7491" s="74">
        <v>12283</v>
      </c>
    </row>
    <row r="7492" spans="1:1" x14ac:dyDescent="0.25">
      <c r="A7492" s="74">
        <v>12284</v>
      </c>
    </row>
    <row r="7493" spans="1:1" x14ac:dyDescent="0.25">
      <c r="A7493" s="74">
        <v>12285</v>
      </c>
    </row>
    <row r="7494" spans="1:1" x14ac:dyDescent="0.25">
      <c r="A7494" s="74">
        <v>12286</v>
      </c>
    </row>
    <row r="7495" spans="1:1" x14ac:dyDescent="0.25">
      <c r="A7495" s="74">
        <v>12287</v>
      </c>
    </row>
    <row r="7496" spans="1:1" x14ac:dyDescent="0.25">
      <c r="A7496" s="74">
        <v>12288</v>
      </c>
    </row>
    <row r="7497" spans="1:1" x14ac:dyDescent="0.25">
      <c r="A7497" s="74">
        <v>12289</v>
      </c>
    </row>
    <row r="7498" spans="1:1" x14ac:dyDescent="0.25">
      <c r="A7498" s="74">
        <v>12290</v>
      </c>
    </row>
    <row r="7499" spans="1:1" x14ac:dyDescent="0.25">
      <c r="A7499" s="74">
        <v>12291</v>
      </c>
    </row>
    <row r="7500" spans="1:1" x14ac:dyDescent="0.25">
      <c r="A7500" s="74">
        <v>12292</v>
      </c>
    </row>
    <row r="7501" spans="1:1" x14ac:dyDescent="0.25">
      <c r="A7501" s="74">
        <v>12293</v>
      </c>
    </row>
    <row r="7502" spans="1:1" x14ac:dyDescent="0.25">
      <c r="A7502" s="74">
        <v>12294</v>
      </c>
    </row>
    <row r="7503" spans="1:1" x14ac:dyDescent="0.25">
      <c r="A7503" s="74">
        <v>12295</v>
      </c>
    </row>
    <row r="7504" spans="1:1" x14ac:dyDescent="0.25">
      <c r="A7504" s="74">
        <v>12296</v>
      </c>
    </row>
    <row r="7505" spans="1:1" x14ac:dyDescent="0.25">
      <c r="A7505" s="74">
        <v>12297</v>
      </c>
    </row>
    <row r="7506" spans="1:1" x14ac:dyDescent="0.25">
      <c r="A7506" s="74">
        <v>12298</v>
      </c>
    </row>
    <row r="7507" spans="1:1" x14ac:dyDescent="0.25">
      <c r="A7507" s="74">
        <v>12299</v>
      </c>
    </row>
    <row r="7508" spans="1:1" x14ac:dyDescent="0.25">
      <c r="A7508" s="74">
        <v>12300</v>
      </c>
    </row>
    <row r="7509" spans="1:1" x14ac:dyDescent="0.25">
      <c r="A7509" s="74">
        <v>12301</v>
      </c>
    </row>
    <row r="7510" spans="1:1" x14ac:dyDescent="0.25">
      <c r="A7510" s="74">
        <v>12302</v>
      </c>
    </row>
    <row r="7511" spans="1:1" x14ac:dyDescent="0.25">
      <c r="A7511" s="74">
        <v>12303</v>
      </c>
    </row>
    <row r="7512" spans="1:1" x14ac:dyDescent="0.25">
      <c r="A7512" s="74">
        <v>12304</v>
      </c>
    </row>
    <row r="7513" spans="1:1" x14ac:dyDescent="0.25">
      <c r="A7513" s="74">
        <v>12305</v>
      </c>
    </row>
    <row r="7514" spans="1:1" x14ac:dyDescent="0.25">
      <c r="A7514" s="74">
        <v>12306</v>
      </c>
    </row>
    <row r="7515" spans="1:1" x14ac:dyDescent="0.25">
      <c r="A7515" s="74">
        <v>12307</v>
      </c>
    </row>
    <row r="7516" spans="1:1" x14ac:dyDescent="0.25">
      <c r="A7516" s="74">
        <v>12308</v>
      </c>
    </row>
    <row r="7517" spans="1:1" x14ac:dyDescent="0.25">
      <c r="A7517" s="74">
        <v>12309</v>
      </c>
    </row>
    <row r="7518" spans="1:1" x14ac:dyDescent="0.25">
      <c r="A7518" s="74">
        <v>12310</v>
      </c>
    </row>
    <row r="7519" spans="1:1" x14ac:dyDescent="0.25">
      <c r="A7519" s="74">
        <v>12311</v>
      </c>
    </row>
    <row r="7520" spans="1:1" x14ac:dyDescent="0.25">
      <c r="A7520" s="74">
        <v>12312</v>
      </c>
    </row>
    <row r="7521" spans="1:1" x14ac:dyDescent="0.25">
      <c r="A7521" s="74">
        <v>12313</v>
      </c>
    </row>
    <row r="7522" spans="1:1" x14ac:dyDescent="0.25">
      <c r="A7522" s="74">
        <v>12314</v>
      </c>
    </row>
    <row r="7523" spans="1:1" x14ac:dyDescent="0.25">
      <c r="A7523" s="74">
        <v>12315</v>
      </c>
    </row>
    <row r="7524" spans="1:1" x14ac:dyDescent="0.25">
      <c r="A7524" s="74">
        <v>12316</v>
      </c>
    </row>
    <row r="7525" spans="1:1" x14ac:dyDescent="0.25">
      <c r="A7525" s="74">
        <v>12317</v>
      </c>
    </row>
    <row r="7526" spans="1:1" x14ac:dyDescent="0.25">
      <c r="A7526" s="74">
        <v>12318</v>
      </c>
    </row>
    <row r="7527" spans="1:1" x14ac:dyDescent="0.25">
      <c r="A7527" s="74">
        <v>12319</v>
      </c>
    </row>
    <row r="7528" spans="1:1" x14ac:dyDescent="0.25">
      <c r="A7528" s="74">
        <v>12320</v>
      </c>
    </row>
    <row r="7529" spans="1:1" x14ac:dyDescent="0.25">
      <c r="A7529" s="74">
        <v>12321</v>
      </c>
    </row>
    <row r="7530" spans="1:1" x14ac:dyDescent="0.25">
      <c r="A7530" s="74">
        <v>12322</v>
      </c>
    </row>
    <row r="7531" spans="1:1" x14ac:dyDescent="0.25">
      <c r="A7531" s="74">
        <v>12323</v>
      </c>
    </row>
    <row r="7532" spans="1:1" x14ac:dyDescent="0.25">
      <c r="A7532" s="74">
        <v>12324</v>
      </c>
    </row>
    <row r="7533" spans="1:1" x14ac:dyDescent="0.25">
      <c r="A7533" s="74">
        <v>12325</v>
      </c>
    </row>
    <row r="7534" spans="1:1" x14ac:dyDescent="0.25">
      <c r="A7534" s="74">
        <v>12326</v>
      </c>
    </row>
    <row r="7535" spans="1:1" x14ac:dyDescent="0.25">
      <c r="A7535" s="74">
        <v>12327</v>
      </c>
    </row>
    <row r="7536" spans="1:1" x14ac:dyDescent="0.25">
      <c r="A7536" s="74">
        <v>12328</v>
      </c>
    </row>
    <row r="7537" spans="1:1" x14ac:dyDescent="0.25">
      <c r="A7537" s="74">
        <v>12329</v>
      </c>
    </row>
    <row r="7538" spans="1:1" x14ac:dyDescent="0.25">
      <c r="A7538" s="74">
        <v>12330</v>
      </c>
    </row>
    <row r="7539" spans="1:1" x14ac:dyDescent="0.25">
      <c r="A7539" s="74">
        <v>12331</v>
      </c>
    </row>
    <row r="7540" spans="1:1" x14ac:dyDescent="0.25">
      <c r="A7540" s="74">
        <v>12332</v>
      </c>
    </row>
    <row r="7541" spans="1:1" x14ac:dyDescent="0.25">
      <c r="A7541" s="74">
        <v>12333</v>
      </c>
    </row>
    <row r="7542" spans="1:1" x14ac:dyDescent="0.25">
      <c r="A7542" s="74">
        <v>12334</v>
      </c>
    </row>
    <row r="7543" spans="1:1" x14ac:dyDescent="0.25">
      <c r="A7543" s="74">
        <v>12335</v>
      </c>
    </row>
    <row r="7544" spans="1:1" x14ac:dyDescent="0.25">
      <c r="A7544" s="74">
        <v>12336</v>
      </c>
    </row>
    <row r="7545" spans="1:1" x14ac:dyDescent="0.25">
      <c r="A7545" s="74">
        <v>12337</v>
      </c>
    </row>
    <row r="7546" spans="1:1" x14ac:dyDescent="0.25">
      <c r="A7546" s="74">
        <v>12338</v>
      </c>
    </row>
    <row r="7547" spans="1:1" x14ac:dyDescent="0.25">
      <c r="A7547" s="74">
        <v>12339</v>
      </c>
    </row>
    <row r="7548" spans="1:1" x14ac:dyDescent="0.25">
      <c r="A7548" s="74">
        <v>12340</v>
      </c>
    </row>
    <row r="7549" spans="1:1" x14ac:dyDescent="0.25">
      <c r="A7549" s="74">
        <v>12341</v>
      </c>
    </row>
    <row r="7550" spans="1:1" x14ac:dyDescent="0.25">
      <c r="A7550" s="74">
        <v>12342</v>
      </c>
    </row>
    <row r="7551" spans="1:1" x14ac:dyDescent="0.25">
      <c r="A7551" s="74">
        <v>12343</v>
      </c>
    </row>
    <row r="7552" spans="1:1" x14ac:dyDescent="0.25">
      <c r="A7552" s="74">
        <v>12344</v>
      </c>
    </row>
    <row r="7553" spans="1:1" x14ac:dyDescent="0.25">
      <c r="A7553" s="74">
        <v>12345</v>
      </c>
    </row>
    <row r="7554" spans="1:1" x14ac:dyDescent="0.25">
      <c r="A7554" s="74">
        <v>12346</v>
      </c>
    </row>
    <row r="7555" spans="1:1" x14ac:dyDescent="0.25">
      <c r="A7555" s="74">
        <v>12347</v>
      </c>
    </row>
    <row r="7556" spans="1:1" x14ac:dyDescent="0.25">
      <c r="A7556" s="74">
        <v>12348</v>
      </c>
    </row>
    <row r="7557" spans="1:1" x14ac:dyDescent="0.25">
      <c r="A7557" s="74">
        <v>12349</v>
      </c>
    </row>
    <row r="7558" spans="1:1" x14ac:dyDescent="0.25">
      <c r="A7558" s="74">
        <v>12350</v>
      </c>
    </row>
    <row r="7559" spans="1:1" x14ac:dyDescent="0.25">
      <c r="A7559" s="74">
        <v>12351</v>
      </c>
    </row>
    <row r="7560" spans="1:1" x14ac:dyDescent="0.25">
      <c r="A7560" s="74">
        <v>12352</v>
      </c>
    </row>
    <row r="7561" spans="1:1" x14ac:dyDescent="0.25">
      <c r="A7561" s="74">
        <v>12353</v>
      </c>
    </row>
    <row r="7562" spans="1:1" x14ac:dyDescent="0.25">
      <c r="A7562" s="74">
        <v>12354</v>
      </c>
    </row>
    <row r="7563" spans="1:1" x14ac:dyDescent="0.25">
      <c r="A7563" s="74">
        <v>12355</v>
      </c>
    </row>
    <row r="7564" spans="1:1" x14ac:dyDescent="0.25">
      <c r="A7564" s="74">
        <v>12356</v>
      </c>
    </row>
    <row r="7565" spans="1:1" x14ac:dyDescent="0.25">
      <c r="A7565" s="74">
        <v>12357</v>
      </c>
    </row>
    <row r="7566" spans="1:1" x14ac:dyDescent="0.25">
      <c r="A7566" s="74">
        <v>12358</v>
      </c>
    </row>
    <row r="7567" spans="1:1" x14ac:dyDescent="0.25">
      <c r="A7567" s="74">
        <v>12359</v>
      </c>
    </row>
    <row r="7568" spans="1:1" x14ac:dyDescent="0.25">
      <c r="A7568" s="74">
        <v>12360</v>
      </c>
    </row>
    <row r="7569" spans="1:1" x14ac:dyDescent="0.25">
      <c r="A7569" s="74">
        <v>12361</v>
      </c>
    </row>
    <row r="7570" spans="1:1" x14ac:dyDescent="0.25">
      <c r="A7570" s="74">
        <v>12362</v>
      </c>
    </row>
    <row r="7571" spans="1:1" x14ac:dyDescent="0.25">
      <c r="A7571" s="74">
        <v>12363</v>
      </c>
    </row>
    <row r="7572" spans="1:1" x14ac:dyDescent="0.25">
      <c r="A7572" s="74">
        <v>12364</v>
      </c>
    </row>
    <row r="7573" spans="1:1" x14ac:dyDescent="0.25">
      <c r="A7573" s="74">
        <v>12365</v>
      </c>
    </row>
    <row r="7574" spans="1:1" x14ac:dyDescent="0.25">
      <c r="A7574" s="74">
        <v>12366</v>
      </c>
    </row>
    <row r="7575" spans="1:1" x14ac:dyDescent="0.25">
      <c r="A7575" s="74">
        <v>12367</v>
      </c>
    </row>
    <row r="7576" spans="1:1" x14ac:dyDescent="0.25">
      <c r="A7576" s="74">
        <v>12368</v>
      </c>
    </row>
    <row r="7577" spans="1:1" x14ac:dyDescent="0.25">
      <c r="A7577" s="74">
        <v>12369</v>
      </c>
    </row>
    <row r="7578" spans="1:1" x14ac:dyDescent="0.25">
      <c r="A7578" s="74">
        <v>12370</v>
      </c>
    </row>
    <row r="7579" spans="1:1" x14ac:dyDescent="0.25">
      <c r="A7579" s="74">
        <v>12371</v>
      </c>
    </row>
    <row r="7580" spans="1:1" x14ac:dyDescent="0.25">
      <c r="A7580" s="74">
        <v>12372</v>
      </c>
    </row>
    <row r="7581" spans="1:1" x14ac:dyDescent="0.25">
      <c r="A7581" s="74">
        <v>12373</v>
      </c>
    </row>
    <row r="7582" spans="1:1" x14ac:dyDescent="0.25">
      <c r="A7582" s="74">
        <v>12374</v>
      </c>
    </row>
    <row r="7583" spans="1:1" x14ac:dyDescent="0.25">
      <c r="A7583" s="74">
        <v>12375</v>
      </c>
    </row>
    <row r="7584" spans="1:1" x14ac:dyDescent="0.25">
      <c r="A7584" s="74">
        <v>12376</v>
      </c>
    </row>
    <row r="7585" spans="1:1" x14ac:dyDescent="0.25">
      <c r="A7585" s="74">
        <v>12377</v>
      </c>
    </row>
    <row r="7586" spans="1:1" x14ac:dyDescent="0.25">
      <c r="A7586" s="74">
        <v>12378</v>
      </c>
    </row>
    <row r="7587" spans="1:1" x14ac:dyDescent="0.25">
      <c r="A7587" s="74">
        <v>12379</v>
      </c>
    </row>
    <row r="7588" spans="1:1" x14ac:dyDescent="0.25">
      <c r="A7588" s="74">
        <v>12380</v>
      </c>
    </row>
    <row r="7589" spans="1:1" x14ac:dyDescent="0.25">
      <c r="A7589" s="74">
        <v>12381</v>
      </c>
    </row>
    <row r="7590" spans="1:1" x14ac:dyDescent="0.25">
      <c r="A7590" s="74">
        <v>12382</v>
      </c>
    </row>
    <row r="7591" spans="1:1" x14ac:dyDescent="0.25">
      <c r="A7591" s="74">
        <v>12383</v>
      </c>
    </row>
    <row r="7592" spans="1:1" x14ac:dyDescent="0.25">
      <c r="A7592" s="74">
        <v>12384</v>
      </c>
    </row>
    <row r="7593" spans="1:1" x14ac:dyDescent="0.25">
      <c r="A7593" s="74">
        <v>12385</v>
      </c>
    </row>
    <row r="7594" spans="1:1" x14ac:dyDescent="0.25">
      <c r="A7594" s="74">
        <v>12386</v>
      </c>
    </row>
    <row r="7595" spans="1:1" x14ac:dyDescent="0.25">
      <c r="A7595" s="74">
        <v>12387</v>
      </c>
    </row>
    <row r="7596" spans="1:1" x14ac:dyDescent="0.25">
      <c r="A7596" s="74">
        <v>12388</v>
      </c>
    </row>
    <row r="7597" spans="1:1" x14ac:dyDescent="0.25">
      <c r="A7597" s="74">
        <v>12389</v>
      </c>
    </row>
    <row r="7598" spans="1:1" x14ac:dyDescent="0.25">
      <c r="A7598" s="74">
        <v>12390</v>
      </c>
    </row>
    <row r="7599" spans="1:1" x14ac:dyDescent="0.25">
      <c r="A7599" s="74">
        <v>12391</v>
      </c>
    </row>
    <row r="7600" spans="1:1" x14ac:dyDescent="0.25">
      <c r="A7600" s="74">
        <v>12392</v>
      </c>
    </row>
    <row r="7601" spans="1:1" x14ac:dyDescent="0.25">
      <c r="A7601" s="74">
        <v>12393</v>
      </c>
    </row>
    <row r="7602" spans="1:1" x14ac:dyDescent="0.25">
      <c r="A7602" s="74">
        <v>12394</v>
      </c>
    </row>
    <row r="7603" spans="1:1" x14ac:dyDescent="0.25">
      <c r="A7603" s="74">
        <v>12395</v>
      </c>
    </row>
    <row r="7604" spans="1:1" x14ac:dyDescent="0.25">
      <c r="A7604" s="74">
        <v>12396</v>
      </c>
    </row>
    <row r="7605" spans="1:1" x14ac:dyDescent="0.25">
      <c r="A7605" s="74">
        <v>12397</v>
      </c>
    </row>
    <row r="7606" spans="1:1" x14ac:dyDescent="0.25">
      <c r="A7606" s="74">
        <v>12398</v>
      </c>
    </row>
    <row r="7607" spans="1:1" x14ac:dyDescent="0.25">
      <c r="A7607" s="74">
        <v>12399</v>
      </c>
    </row>
    <row r="7608" spans="1:1" x14ac:dyDescent="0.25">
      <c r="A7608" s="74">
        <v>12400</v>
      </c>
    </row>
    <row r="7609" spans="1:1" x14ac:dyDescent="0.25">
      <c r="A7609" s="74">
        <v>12401</v>
      </c>
    </row>
    <row r="7610" spans="1:1" x14ac:dyDescent="0.25">
      <c r="A7610" s="74">
        <v>12402</v>
      </c>
    </row>
    <row r="7611" spans="1:1" x14ac:dyDescent="0.25">
      <c r="A7611" s="74">
        <v>12403</v>
      </c>
    </row>
    <row r="7612" spans="1:1" x14ac:dyDescent="0.25">
      <c r="A7612" s="74">
        <v>12404</v>
      </c>
    </row>
    <row r="7613" spans="1:1" x14ac:dyDescent="0.25">
      <c r="A7613" s="74">
        <v>12405</v>
      </c>
    </row>
    <row r="7614" spans="1:1" x14ac:dyDescent="0.25">
      <c r="A7614" s="74">
        <v>12406</v>
      </c>
    </row>
    <row r="7615" spans="1:1" x14ac:dyDescent="0.25">
      <c r="A7615" s="74">
        <v>12407</v>
      </c>
    </row>
    <row r="7616" spans="1:1" x14ac:dyDescent="0.25">
      <c r="A7616" s="74">
        <v>12408</v>
      </c>
    </row>
    <row r="7617" spans="1:1" x14ac:dyDescent="0.25">
      <c r="A7617" s="74">
        <v>12409</v>
      </c>
    </row>
    <row r="7618" spans="1:1" x14ac:dyDescent="0.25">
      <c r="A7618" s="74">
        <v>12410</v>
      </c>
    </row>
    <row r="7619" spans="1:1" x14ac:dyDescent="0.25">
      <c r="A7619" s="74">
        <v>12411</v>
      </c>
    </row>
    <row r="7620" spans="1:1" x14ac:dyDescent="0.25">
      <c r="A7620" s="74">
        <v>12412</v>
      </c>
    </row>
    <row r="7621" spans="1:1" x14ac:dyDescent="0.25">
      <c r="A7621" s="74">
        <v>12413</v>
      </c>
    </row>
    <row r="7622" spans="1:1" x14ac:dyDescent="0.25">
      <c r="A7622" s="74">
        <v>12414</v>
      </c>
    </row>
    <row r="7623" spans="1:1" x14ac:dyDescent="0.25">
      <c r="A7623" s="74">
        <v>12415</v>
      </c>
    </row>
    <row r="7624" spans="1:1" x14ac:dyDescent="0.25">
      <c r="A7624" s="74">
        <v>12416</v>
      </c>
    </row>
    <row r="7625" spans="1:1" x14ac:dyDescent="0.25">
      <c r="A7625" s="74">
        <v>12417</v>
      </c>
    </row>
    <row r="7626" spans="1:1" x14ac:dyDescent="0.25">
      <c r="A7626" s="74">
        <v>12418</v>
      </c>
    </row>
    <row r="7627" spans="1:1" x14ac:dyDescent="0.25">
      <c r="A7627" s="74">
        <v>12419</v>
      </c>
    </row>
    <row r="7628" spans="1:1" x14ac:dyDescent="0.25">
      <c r="A7628" s="74">
        <v>12420</v>
      </c>
    </row>
    <row r="7629" spans="1:1" x14ac:dyDescent="0.25">
      <c r="A7629" s="74">
        <v>12421</v>
      </c>
    </row>
    <row r="7630" spans="1:1" x14ac:dyDescent="0.25">
      <c r="A7630" s="74">
        <v>12422</v>
      </c>
    </row>
    <row r="7631" spans="1:1" x14ac:dyDescent="0.25">
      <c r="A7631" s="74">
        <v>12423</v>
      </c>
    </row>
    <row r="7632" spans="1:1" x14ac:dyDescent="0.25">
      <c r="A7632" s="74">
        <v>12424</v>
      </c>
    </row>
    <row r="7633" spans="1:1" x14ac:dyDescent="0.25">
      <c r="A7633" s="74">
        <v>12425</v>
      </c>
    </row>
    <row r="7634" spans="1:1" x14ac:dyDescent="0.25">
      <c r="A7634" s="74">
        <v>12426</v>
      </c>
    </row>
    <row r="7635" spans="1:1" x14ac:dyDescent="0.25">
      <c r="A7635" s="74">
        <v>12427</v>
      </c>
    </row>
    <row r="7636" spans="1:1" x14ac:dyDescent="0.25">
      <c r="A7636" s="74">
        <v>12428</v>
      </c>
    </row>
    <row r="7637" spans="1:1" x14ac:dyDescent="0.25">
      <c r="A7637" s="74">
        <v>12429</v>
      </c>
    </row>
    <row r="7638" spans="1:1" x14ac:dyDescent="0.25">
      <c r="A7638" s="74">
        <v>12430</v>
      </c>
    </row>
    <row r="7639" spans="1:1" x14ac:dyDescent="0.25">
      <c r="A7639" s="74">
        <v>12431</v>
      </c>
    </row>
    <row r="7640" spans="1:1" x14ac:dyDescent="0.25">
      <c r="A7640" s="74">
        <v>12432</v>
      </c>
    </row>
    <row r="7641" spans="1:1" x14ac:dyDescent="0.25">
      <c r="A7641" s="74">
        <v>12433</v>
      </c>
    </row>
    <row r="7642" spans="1:1" x14ac:dyDescent="0.25">
      <c r="A7642" s="74">
        <v>12434</v>
      </c>
    </row>
    <row r="7643" spans="1:1" x14ac:dyDescent="0.25">
      <c r="A7643" s="74">
        <v>12435</v>
      </c>
    </row>
    <row r="7644" spans="1:1" x14ac:dyDescent="0.25">
      <c r="A7644" s="74">
        <v>12436</v>
      </c>
    </row>
    <row r="7645" spans="1:1" x14ac:dyDescent="0.25">
      <c r="A7645" s="74">
        <v>12437</v>
      </c>
    </row>
    <row r="7646" spans="1:1" x14ac:dyDescent="0.25">
      <c r="A7646" s="74">
        <v>12438</v>
      </c>
    </row>
    <row r="7647" spans="1:1" x14ac:dyDescent="0.25">
      <c r="A7647" s="74">
        <v>12439</v>
      </c>
    </row>
    <row r="7648" spans="1:1" x14ac:dyDescent="0.25">
      <c r="A7648" s="74">
        <v>12440</v>
      </c>
    </row>
    <row r="7649" spans="1:1" x14ac:dyDescent="0.25">
      <c r="A7649" s="74">
        <v>12441</v>
      </c>
    </row>
    <row r="7650" spans="1:1" x14ac:dyDescent="0.25">
      <c r="A7650" s="74">
        <v>12442</v>
      </c>
    </row>
    <row r="7651" spans="1:1" x14ac:dyDescent="0.25">
      <c r="A7651" s="74">
        <v>12443</v>
      </c>
    </row>
    <row r="7652" spans="1:1" x14ac:dyDescent="0.25">
      <c r="A7652" s="74">
        <v>12444</v>
      </c>
    </row>
    <row r="7653" spans="1:1" x14ac:dyDescent="0.25">
      <c r="A7653" s="74">
        <v>12445</v>
      </c>
    </row>
    <row r="7654" spans="1:1" x14ac:dyDescent="0.25">
      <c r="A7654" s="74">
        <v>12446</v>
      </c>
    </row>
    <row r="7655" spans="1:1" x14ac:dyDescent="0.25">
      <c r="A7655" s="74">
        <v>12447</v>
      </c>
    </row>
    <row r="7656" spans="1:1" x14ac:dyDescent="0.25">
      <c r="A7656" s="74">
        <v>12448</v>
      </c>
    </row>
    <row r="7657" spans="1:1" x14ac:dyDescent="0.25">
      <c r="A7657" s="74">
        <v>12449</v>
      </c>
    </row>
    <row r="7658" spans="1:1" x14ac:dyDescent="0.25">
      <c r="A7658" s="74">
        <v>12450</v>
      </c>
    </row>
    <row r="7659" spans="1:1" x14ac:dyDescent="0.25">
      <c r="A7659" s="74">
        <v>12451</v>
      </c>
    </row>
    <row r="7660" spans="1:1" x14ac:dyDescent="0.25">
      <c r="A7660" s="74">
        <v>12452</v>
      </c>
    </row>
    <row r="7661" spans="1:1" x14ac:dyDescent="0.25">
      <c r="A7661" s="74">
        <v>12453</v>
      </c>
    </row>
    <row r="7662" spans="1:1" x14ac:dyDescent="0.25">
      <c r="A7662" s="74">
        <v>12454</v>
      </c>
    </row>
    <row r="7663" spans="1:1" x14ac:dyDescent="0.25">
      <c r="A7663" s="74">
        <v>12455</v>
      </c>
    </row>
    <row r="7664" spans="1:1" x14ac:dyDescent="0.25">
      <c r="A7664" s="74">
        <v>12456</v>
      </c>
    </row>
    <row r="7665" spans="1:1" x14ac:dyDescent="0.25">
      <c r="A7665" s="74">
        <v>12457</v>
      </c>
    </row>
    <row r="7666" spans="1:1" x14ac:dyDescent="0.25">
      <c r="A7666" s="74">
        <v>12458</v>
      </c>
    </row>
    <row r="7667" spans="1:1" x14ac:dyDescent="0.25">
      <c r="A7667" s="74">
        <v>12459</v>
      </c>
    </row>
    <row r="7668" spans="1:1" x14ac:dyDescent="0.25">
      <c r="A7668" s="74">
        <v>12460</v>
      </c>
    </row>
    <row r="7669" spans="1:1" x14ac:dyDescent="0.25">
      <c r="A7669" s="74">
        <v>12461</v>
      </c>
    </row>
    <row r="7670" spans="1:1" x14ac:dyDescent="0.25">
      <c r="A7670" s="74">
        <v>12462</v>
      </c>
    </row>
    <row r="7671" spans="1:1" x14ac:dyDescent="0.25">
      <c r="A7671" s="74">
        <v>12463</v>
      </c>
    </row>
    <row r="7672" spans="1:1" x14ac:dyDescent="0.25">
      <c r="A7672" s="74">
        <v>12464</v>
      </c>
    </row>
    <row r="7673" spans="1:1" x14ac:dyDescent="0.25">
      <c r="A7673" s="74">
        <v>12465</v>
      </c>
    </row>
    <row r="7674" spans="1:1" x14ac:dyDescent="0.25">
      <c r="A7674" s="74">
        <v>12466</v>
      </c>
    </row>
    <row r="7675" spans="1:1" x14ac:dyDescent="0.25">
      <c r="A7675" s="74">
        <v>12467</v>
      </c>
    </row>
    <row r="7676" spans="1:1" x14ac:dyDescent="0.25">
      <c r="A7676" s="74">
        <v>12468</v>
      </c>
    </row>
    <row r="7677" spans="1:1" x14ac:dyDescent="0.25">
      <c r="A7677" s="74">
        <v>12469</v>
      </c>
    </row>
    <row r="7678" spans="1:1" x14ac:dyDescent="0.25">
      <c r="A7678" s="74">
        <v>12470</v>
      </c>
    </row>
    <row r="7679" spans="1:1" x14ac:dyDescent="0.25">
      <c r="A7679" s="74">
        <v>12471</v>
      </c>
    </row>
    <row r="7680" spans="1:1" x14ac:dyDescent="0.25">
      <c r="A7680" s="74">
        <v>12472</v>
      </c>
    </row>
    <row r="7681" spans="1:1" x14ac:dyDescent="0.25">
      <c r="A7681" s="74">
        <v>12473</v>
      </c>
    </row>
    <row r="7682" spans="1:1" x14ac:dyDescent="0.25">
      <c r="A7682" s="74">
        <v>12474</v>
      </c>
    </row>
    <row r="7683" spans="1:1" x14ac:dyDescent="0.25">
      <c r="A7683" s="74">
        <v>12475</v>
      </c>
    </row>
    <row r="7684" spans="1:1" x14ac:dyDescent="0.25">
      <c r="A7684" s="74">
        <v>12476</v>
      </c>
    </row>
    <row r="7685" spans="1:1" x14ac:dyDescent="0.25">
      <c r="A7685" s="74">
        <v>12477</v>
      </c>
    </row>
    <row r="7686" spans="1:1" x14ac:dyDescent="0.25">
      <c r="A7686" s="74">
        <v>12478</v>
      </c>
    </row>
    <row r="7687" spans="1:1" x14ac:dyDescent="0.25">
      <c r="A7687" s="74">
        <v>12479</v>
      </c>
    </row>
    <row r="7688" spans="1:1" x14ac:dyDescent="0.25">
      <c r="A7688" s="74">
        <v>12480</v>
      </c>
    </row>
    <row r="7689" spans="1:1" x14ac:dyDescent="0.25">
      <c r="A7689" s="74">
        <v>12481</v>
      </c>
    </row>
    <row r="7690" spans="1:1" x14ac:dyDescent="0.25">
      <c r="A7690" s="74">
        <v>12482</v>
      </c>
    </row>
    <row r="7691" spans="1:1" x14ac:dyDescent="0.25">
      <c r="A7691" s="74">
        <v>12483</v>
      </c>
    </row>
    <row r="7692" spans="1:1" x14ac:dyDescent="0.25">
      <c r="A7692" s="74">
        <v>12484</v>
      </c>
    </row>
    <row r="7693" spans="1:1" x14ac:dyDescent="0.25">
      <c r="A7693" s="74">
        <v>12485</v>
      </c>
    </row>
    <row r="7694" spans="1:1" x14ac:dyDescent="0.25">
      <c r="A7694" s="74">
        <v>12486</v>
      </c>
    </row>
    <row r="7695" spans="1:1" x14ac:dyDescent="0.25">
      <c r="A7695" s="74">
        <v>12487</v>
      </c>
    </row>
    <row r="7696" spans="1:1" x14ac:dyDescent="0.25">
      <c r="A7696" s="74">
        <v>12488</v>
      </c>
    </row>
    <row r="7697" spans="1:1" x14ac:dyDescent="0.25">
      <c r="A7697" s="74">
        <v>12489</v>
      </c>
    </row>
    <row r="7698" spans="1:1" x14ac:dyDescent="0.25">
      <c r="A7698" s="74">
        <v>12490</v>
      </c>
    </row>
    <row r="7699" spans="1:1" x14ac:dyDescent="0.25">
      <c r="A7699" s="74">
        <v>12491</v>
      </c>
    </row>
    <row r="7700" spans="1:1" x14ac:dyDescent="0.25">
      <c r="A7700" s="74">
        <v>12492</v>
      </c>
    </row>
    <row r="7701" spans="1:1" x14ac:dyDescent="0.25">
      <c r="A7701" s="74">
        <v>12493</v>
      </c>
    </row>
    <row r="7702" spans="1:1" x14ac:dyDescent="0.25">
      <c r="A7702" s="74">
        <v>12494</v>
      </c>
    </row>
    <row r="7703" spans="1:1" x14ac:dyDescent="0.25">
      <c r="A7703" s="74">
        <v>12495</v>
      </c>
    </row>
    <row r="7704" spans="1:1" x14ac:dyDescent="0.25">
      <c r="A7704" s="74">
        <v>12496</v>
      </c>
    </row>
    <row r="7705" spans="1:1" x14ac:dyDescent="0.25">
      <c r="A7705" s="74">
        <v>12497</v>
      </c>
    </row>
    <row r="7706" spans="1:1" x14ac:dyDescent="0.25">
      <c r="A7706" s="74">
        <v>12498</v>
      </c>
    </row>
    <row r="7707" spans="1:1" x14ac:dyDescent="0.25">
      <c r="A7707" s="74">
        <v>12499</v>
      </c>
    </row>
    <row r="7708" spans="1:1" x14ac:dyDescent="0.25">
      <c r="A7708" s="74">
        <v>12500</v>
      </c>
    </row>
    <row r="7709" spans="1:1" x14ac:dyDescent="0.25">
      <c r="A7709" s="74">
        <v>12501</v>
      </c>
    </row>
    <row r="7710" spans="1:1" x14ac:dyDescent="0.25">
      <c r="A7710" s="74">
        <v>12502</v>
      </c>
    </row>
    <row r="7711" spans="1:1" x14ac:dyDescent="0.25">
      <c r="A7711" s="74">
        <v>12503</v>
      </c>
    </row>
    <row r="7712" spans="1:1" x14ac:dyDescent="0.25">
      <c r="A7712" s="74">
        <v>12504</v>
      </c>
    </row>
    <row r="7713" spans="1:1" x14ac:dyDescent="0.25">
      <c r="A7713" s="74">
        <v>12505</v>
      </c>
    </row>
    <row r="7714" spans="1:1" x14ac:dyDescent="0.25">
      <c r="A7714" s="74">
        <v>12506</v>
      </c>
    </row>
    <row r="7715" spans="1:1" x14ac:dyDescent="0.25">
      <c r="A7715" s="74">
        <v>12507</v>
      </c>
    </row>
    <row r="7716" spans="1:1" x14ac:dyDescent="0.25">
      <c r="A7716" s="74">
        <v>12508</v>
      </c>
    </row>
    <row r="7717" spans="1:1" x14ac:dyDescent="0.25">
      <c r="A7717" s="74">
        <v>12509</v>
      </c>
    </row>
    <row r="7718" spans="1:1" x14ac:dyDescent="0.25">
      <c r="A7718" s="74">
        <v>12510</v>
      </c>
    </row>
    <row r="7719" spans="1:1" x14ac:dyDescent="0.25">
      <c r="A7719" s="74">
        <v>12511</v>
      </c>
    </row>
    <row r="7720" spans="1:1" x14ac:dyDescent="0.25">
      <c r="A7720" s="74">
        <v>12512</v>
      </c>
    </row>
    <row r="7721" spans="1:1" x14ac:dyDescent="0.25">
      <c r="A7721" s="74">
        <v>12513</v>
      </c>
    </row>
    <row r="7722" spans="1:1" x14ac:dyDescent="0.25">
      <c r="A7722" s="74">
        <v>12514</v>
      </c>
    </row>
    <row r="7723" spans="1:1" x14ac:dyDescent="0.25">
      <c r="A7723" s="74">
        <v>12515</v>
      </c>
    </row>
    <row r="7724" spans="1:1" x14ac:dyDescent="0.25">
      <c r="A7724" s="74">
        <v>12516</v>
      </c>
    </row>
    <row r="7725" spans="1:1" x14ac:dyDescent="0.25">
      <c r="A7725" s="74">
        <v>12517</v>
      </c>
    </row>
    <row r="7726" spans="1:1" x14ac:dyDescent="0.25">
      <c r="A7726" s="74">
        <v>12518</v>
      </c>
    </row>
    <row r="7727" spans="1:1" x14ac:dyDescent="0.25">
      <c r="A7727" s="74">
        <v>12519</v>
      </c>
    </row>
    <row r="7728" spans="1:1" x14ac:dyDescent="0.25">
      <c r="A7728" s="74">
        <v>12520</v>
      </c>
    </row>
    <row r="7729" spans="1:1" x14ac:dyDescent="0.25">
      <c r="A7729" s="74">
        <v>12521</v>
      </c>
    </row>
    <row r="7730" spans="1:1" x14ac:dyDescent="0.25">
      <c r="A7730" s="74">
        <v>12522</v>
      </c>
    </row>
    <row r="7731" spans="1:1" x14ac:dyDescent="0.25">
      <c r="A7731" s="74">
        <v>12523</v>
      </c>
    </row>
    <row r="7732" spans="1:1" x14ac:dyDescent="0.25">
      <c r="A7732" s="74">
        <v>12524</v>
      </c>
    </row>
    <row r="7733" spans="1:1" x14ac:dyDescent="0.25">
      <c r="A7733" s="74">
        <v>12525</v>
      </c>
    </row>
    <row r="7734" spans="1:1" x14ac:dyDescent="0.25">
      <c r="A7734" s="74">
        <v>12526</v>
      </c>
    </row>
    <row r="7735" spans="1:1" x14ac:dyDescent="0.25">
      <c r="A7735" s="74">
        <v>12527</v>
      </c>
    </row>
    <row r="7736" spans="1:1" x14ac:dyDescent="0.25">
      <c r="A7736" s="74">
        <v>12528</v>
      </c>
    </row>
    <row r="7737" spans="1:1" x14ac:dyDescent="0.25">
      <c r="A7737" s="74">
        <v>12529</v>
      </c>
    </row>
    <row r="7738" spans="1:1" x14ac:dyDescent="0.25">
      <c r="A7738" s="74">
        <v>12530</v>
      </c>
    </row>
    <row r="7739" spans="1:1" x14ac:dyDescent="0.25">
      <c r="A7739" s="74">
        <v>12531</v>
      </c>
    </row>
    <row r="7740" spans="1:1" x14ac:dyDescent="0.25">
      <c r="A7740" s="74">
        <v>12532</v>
      </c>
    </row>
    <row r="7741" spans="1:1" x14ac:dyDescent="0.25">
      <c r="A7741" s="74">
        <v>12533</v>
      </c>
    </row>
    <row r="7742" spans="1:1" x14ac:dyDescent="0.25">
      <c r="A7742" s="74">
        <v>12534</v>
      </c>
    </row>
    <row r="7743" spans="1:1" x14ac:dyDescent="0.25">
      <c r="A7743" s="74">
        <v>12535</v>
      </c>
    </row>
    <row r="7744" spans="1:1" x14ac:dyDescent="0.25">
      <c r="A7744" s="74">
        <v>12536</v>
      </c>
    </row>
    <row r="7745" spans="1:1" x14ac:dyDescent="0.25">
      <c r="A7745" s="74">
        <v>12537</v>
      </c>
    </row>
    <row r="7746" spans="1:1" x14ac:dyDescent="0.25">
      <c r="A7746" s="74">
        <v>12538</v>
      </c>
    </row>
    <row r="7747" spans="1:1" x14ac:dyDescent="0.25">
      <c r="A7747" s="74">
        <v>12539</v>
      </c>
    </row>
    <row r="7748" spans="1:1" x14ac:dyDescent="0.25">
      <c r="A7748" s="74">
        <v>12540</v>
      </c>
    </row>
    <row r="7749" spans="1:1" x14ac:dyDescent="0.25">
      <c r="A7749" s="74">
        <v>12541</v>
      </c>
    </row>
    <row r="7750" spans="1:1" x14ac:dyDescent="0.25">
      <c r="A7750" s="74">
        <v>12542</v>
      </c>
    </row>
    <row r="7751" spans="1:1" x14ac:dyDescent="0.25">
      <c r="A7751" s="74">
        <v>12543</v>
      </c>
    </row>
    <row r="7752" spans="1:1" x14ac:dyDescent="0.25">
      <c r="A7752" s="74">
        <v>12544</v>
      </c>
    </row>
    <row r="7753" spans="1:1" x14ac:dyDescent="0.25">
      <c r="A7753" s="74">
        <v>12545</v>
      </c>
    </row>
    <row r="7754" spans="1:1" x14ac:dyDescent="0.25">
      <c r="A7754" s="74">
        <v>12546</v>
      </c>
    </row>
    <row r="7755" spans="1:1" x14ac:dyDescent="0.25">
      <c r="A7755" s="74">
        <v>12547</v>
      </c>
    </row>
    <row r="7756" spans="1:1" x14ac:dyDescent="0.25">
      <c r="A7756" s="74">
        <v>12548</v>
      </c>
    </row>
    <row r="7757" spans="1:1" x14ac:dyDescent="0.25">
      <c r="A7757" s="74">
        <v>12549</v>
      </c>
    </row>
    <row r="7758" spans="1:1" x14ac:dyDescent="0.25">
      <c r="A7758" s="74">
        <v>12550</v>
      </c>
    </row>
    <row r="7759" spans="1:1" x14ac:dyDescent="0.25">
      <c r="A7759" s="74">
        <v>12551</v>
      </c>
    </row>
    <row r="7760" spans="1:1" x14ac:dyDescent="0.25">
      <c r="A7760" s="74">
        <v>12552</v>
      </c>
    </row>
    <row r="7761" spans="1:1" x14ac:dyDescent="0.25">
      <c r="A7761" s="74">
        <v>12553</v>
      </c>
    </row>
    <row r="7762" spans="1:1" x14ac:dyDescent="0.25">
      <c r="A7762" s="74">
        <v>12554</v>
      </c>
    </row>
    <row r="7763" spans="1:1" x14ac:dyDescent="0.25">
      <c r="A7763" s="74">
        <v>12555</v>
      </c>
    </row>
    <row r="7764" spans="1:1" x14ac:dyDescent="0.25">
      <c r="A7764" s="74">
        <v>12556</v>
      </c>
    </row>
    <row r="7765" spans="1:1" x14ac:dyDescent="0.25">
      <c r="A7765" s="74">
        <v>12557</v>
      </c>
    </row>
    <row r="7766" spans="1:1" x14ac:dyDescent="0.25">
      <c r="A7766" s="74">
        <v>12558</v>
      </c>
    </row>
    <row r="7767" spans="1:1" x14ac:dyDescent="0.25">
      <c r="A7767" s="74">
        <v>12559</v>
      </c>
    </row>
    <row r="7768" spans="1:1" x14ac:dyDescent="0.25">
      <c r="A7768" s="74">
        <v>12560</v>
      </c>
    </row>
    <row r="7769" spans="1:1" x14ac:dyDescent="0.25">
      <c r="A7769" s="74">
        <v>12561</v>
      </c>
    </row>
    <row r="7770" spans="1:1" x14ac:dyDescent="0.25">
      <c r="A7770" s="74">
        <v>12562</v>
      </c>
    </row>
    <row r="7771" spans="1:1" x14ac:dyDescent="0.25">
      <c r="A7771" s="74">
        <v>12563</v>
      </c>
    </row>
    <row r="7772" spans="1:1" x14ac:dyDescent="0.25">
      <c r="A7772" s="74">
        <v>12564</v>
      </c>
    </row>
    <row r="7773" spans="1:1" x14ac:dyDescent="0.25">
      <c r="A7773" s="74">
        <v>12565</v>
      </c>
    </row>
    <row r="7774" spans="1:1" x14ac:dyDescent="0.25">
      <c r="A7774" s="74">
        <v>12566</v>
      </c>
    </row>
    <row r="7775" spans="1:1" x14ac:dyDescent="0.25">
      <c r="A7775" s="74">
        <v>12567</v>
      </c>
    </row>
    <row r="7776" spans="1:1" x14ac:dyDescent="0.25">
      <c r="A7776" s="74">
        <v>12568</v>
      </c>
    </row>
    <row r="7777" spans="1:1" x14ac:dyDescent="0.25">
      <c r="A7777" s="74">
        <v>12569</v>
      </c>
    </row>
    <row r="7778" spans="1:1" x14ac:dyDescent="0.25">
      <c r="A7778" s="74">
        <v>12570</v>
      </c>
    </row>
    <row r="7779" spans="1:1" x14ac:dyDescent="0.25">
      <c r="A7779" s="74">
        <v>12571</v>
      </c>
    </row>
    <row r="7780" spans="1:1" x14ac:dyDescent="0.25">
      <c r="A7780" s="74">
        <v>12572</v>
      </c>
    </row>
    <row r="7781" spans="1:1" x14ac:dyDescent="0.25">
      <c r="A7781" s="74">
        <v>12573</v>
      </c>
    </row>
    <row r="7782" spans="1:1" x14ac:dyDescent="0.25">
      <c r="A7782" s="74">
        <v>12574</v>
      </c>
    </row>
    <row r="7783" spans="1:1" x14ac:dyDescent="0.25">
      <c r="A7783" s="74">
        <v>12575</v>
      </c>
    </row>
    <row r="7784" spans="1:1" x14ac:dyDescent="0.25">
      <c r="A7784" s="74">
        <v>12576</v>
      </c>
    </row>
    <row r="7785" spans="1:1" x14ac:dyDescent="0.25">
      <c r="A7785" s="74">
        <v>12577</v>
      </c>
    </row>
    <row r="7786" spans="1:1" x14ac:dyDescent="0.25">
      <c r="A7786" s="74">
        <v>12578</v>
      </c>
    </row>
    <row r="7787" spans="1:1" x14ac:dyDescent="0.25">
      <c r="A7787" s="74">
        <v>12579</v>
      </c>
    </row>
    <row r="7788" spans="1:1" x14ac:dyDescent="0.25">
      <c r="A7788" s="74">
        <v>12580</v>
      </c>
    </row>
    <row r="7789" spans="1:1" x14ac:dyDescent="0.25">
      <c r="A7789" s="74">
        <v>12581</v>
      </c>
    </row>
    <row r="7790" spans="1:1" x14ac:dyDescent="0.25">
      <c r="A7790" s="74">
        <v>12582</v>
      </c>
    </row>
    <row r="7791" spans="1:1" x14ac:dyDescent="0.25">
      <c r="A7791" s="74">
        <v>12583</v>
      </c>
    </row>
    <row r="7792" spans="1:1" x14ac:dyDescent="0.25">
      <c r="A7792" s="74">
        <v>12584</v>
      </c>
    </row>
    <row r="7793" spans="1:1" x14ac:dyDescent="0.25">
      <c r="A7793" s="74">
        <v>12585</v>
      </c>
    </row>
    <row r="7794" spans="1:1" x14ac:dyDescent="0.25">
      <c r="A7794" s="74">
        <v>12586</v>
      </c>
    </row>
    <row r="7795" spans="1:1" x14ac:dyDescent="0.25">
      <c r="A7795" s="74">
        <v>12587</v>
      </c>
    </row>
    <row r="7796" spans="1:1" x14ac:dyDescent="0.25">
      <c r="A7796" s="74">
        <v>12588</v>
      </c>
    </row>
    <row r="7797" spans="1:1" x14ac:dyDescent="0.25">
      <c r="A7797" s="74">
        <v>12589</v>
      </c>
    </row>
    <row r="7798" spans="1:1" x14ac:dyDescent="0.25">
      <c r="A7798" s="74">
        <v>12590</v>
      </c>
    </row>
    <row r="7799" spans="1:1" x14ac:dyDescent="0.25">
      <c r="A7799" s="74">
        <v>12591</v>
      </c>
    </row>
    <row r="7800" spans="1:1" x14ac:dyDescent="0.25">
      <c r="A7800" s="74">
        <v>12592</v>
      </c>
    </row>
    <row r="7801" spans="1:1" x14ac:dyDescent="0.25">
      <c r="A7801" s="74">
        <v>12593</v>
      </c>
    </row>
    <row r="7802" spans="1:1" x14ac:dyDescent="0.25">
      <c r="A7802" s="74">
        <v>12594</v>
      </c>
    </row>
    <row r="7803" spans="1:1" x14ac:dyDescent="0.25">
      <c r="A7803" s="74">
        <v>12595</v>
      </c>
    </row>
    <row r="7804" spans="1:1" x14ac:dyDescent="0.25">
      <c r="A7804" s="74">
        <v>12596</v>
      </c>
    </row>
    <row r="7805" spans="1:1" x14ac:dyDescent="0.25">
      <c r="A7805" s="74">
        <v>12597</v>
      </c>
    </row>
    <row r="7806" spans="1:1" x14ac:dyDescent="0.25">
      <c r="A7806" s="74">
        <v>12598</v>
      </c>
    </row>
    <row r="7807" spans="1:1" x14ac:dyDescent="0.25">
      <c r="A7807" s="74">
        <v>12599</v>
      </c>
    </row>
    <row r="7808" spans="1:1" x14ac:dyDescent="0.25">
      <c r="A7808" s="74">
        <v>12600</v>
      </c>
    </row>
    <row r="7809" spans="1:1" x14ac:dyDescent="0.25">
      <c r="A7809" s="74">
        <v>12601</v>
      </c>
    </row>
    <row r="7810" spans="1:1" x14ac:dyDescent="0.25">
      <c r="A7810" s="74">
        <v>12602</v>
      </c>
    </row>
    <row r="7811" spans="1:1" x14ac:dyDescent="0.25">
      <c r="A7811" s="74">
        <v>12603</v>
      </c>
    </row>
    <row r="7812" spans="1:1" x14ac:dyDescent="0.25">
      <c r="A7812" s="74">
        <v>12604</v>
      </c>
    </row>
    <row r="7813" spans="1:1" x14ac:dyDescent="0.25">
      <c r="A7813" s="74">
        <v>12605</v>
      </c>
    </row>
    <row r="7814" spans="1:1" x14ac:dyDescent="0.25">
      <c r="A7814" s="74">
        <v>12606</v>
      </c>
    </row>
    <row r="7815" spans="1:1" x14ac:dyDescent="0.25">
      <c r="A7815" s="74">
        <v>12607</v>
      </c>
    </row>
    <row r="7816" spans="1:1" x14ac:dyDescent="0.25">
      <c r="A7816" s="74">
        <v>12608</v>
      </c>
    </row>
    <row r="7817" spans="1:1" x14ac:dyDescent="0.25">
      <c r="A7817" s="74">
        <v>12609</v>
      </c>
    </row>
    <row r="7818" spans="1:1" x14ac:dyDescent="0.25">
      <c r="A7818" s="74">
        <v>12610</v>
      </c>
    </row>
    <row r="7819" spans="1:1" x14ac:dyDescent="0.25">
      <c r="A7819" s="74">
        <v>12611</v>
      </c>
    </row>
    <row r="7820" spans="1:1" x14ac:dyDescent="0.25">
      <c r="A7820" s="74">
        <v>12612</v>
      </c>
    </row>
    <row r="7821" spans="1:1" x14ac:dyDescent="0.25">
      <c r="A7821" s="74">
        <v>12613</v>
      </c>
    </row>
    <row r="7822" spans="1:1" x14ac:dyDescent="0.25">
      <c r="A7822" s="74">
        <v>12614</v>
      </c>
    </row>
    <row r="7823" spans="1:1" x14ac:dyDescent="0.25">
      <c r="A7823" s="74">
        <v>12615</v>
      </c>
    </row>
    <row r="7824" spans="1:1" x14ac:dyDescent="0.25">
      <c r="A7824" s="74">
        <v>12616</v>
      </c>
    </row>
    <row r="7825" spans="1:1" x14ac:dyDescent="0.25">
      <c r="A7825" s="74">
        <v>12617</v>
      </c>
    </row>
    <row r="7826" spans="1:1" x14ac:dyDescent="0.25">
      <c r="A7826" s="74">
        <v>12618</v>
      </c>
    </row>
    <row r="7827" spans="1:1" x14ac:dyDescent="0.25">
      <c r="A7827" s="74">
        <v>12619</v>
      </c>
    </row>
    <row r="7828" spans="1:1" x14ac:dyDescent="0.25">
      <c r="A7828" s="74">
        <v>12620</v>
      </c>
    </row>
    <row r="7829" spans="1:1" x14ac:dyDescent="0.25">
      <c r="A7829" s="74">
        <v>12621</v>
      </c>
    </row>
    <row r="7830" spans="1:1" x14ac:dyDescent="0.25">
      <c r="A7830" s="74">
        <v>12622</v>
      </c>
    </row>
    <row r="7831" spans="1:1" x14ac:dyDescent="0.25">
      <c r="A7831" s="74">
        <v>12623</v>
      </c>
    </row>
    <row r="7832" spans="1:1" x14ac:dyDescent="0.25">
      <c r="A7832" s="74">
        <v>12624</v>
      </c>
    </row>
    <row r="7833" spans="1:1" x14ac:dyDescent="0.25">
      <c r="A7833" s="74">
        <v>12625</v>
      </c>
    </row>
    <row r="7834" spans="1:1" x14ac:dyDescent="0.25">
      <c r="A7834" s="74">
        <v>12626</v>
      </c>
    </row>
    <row r="7835" spans="1:1" x14ac:dyDescent="0.25">
      <c r="A7835" s="74">
        <v>12627</v>
      </c>
    </row>
    <row r="7836" spans="1:1" x14ac:dyDescent="0.25">
      <c r="A7836" s="74">
        <v>12628</v>
      </c>
    </row>
    <row r="7837" spans="1:1" x14ac:dyDescent="0.25">
      <c r="A7837" s="74">
        <v>12629</v>
      </c>
    </row>
    <row r="7838" spans="1:1" x14ac:dyDescent="0.25">
      <c r="A7838" s="74">
        <v>12630</v>
      </c>
    </row>
    <row r="7839" spans="1:1" x14ac:dyDescent="0.25">
      <c r="A7839" s="74">
        <v>12631</v>
      </c>
    </row>
    <row r="7840" spans="1:1" x14ac:dyDescent="0.25">
      <c r="A7840" s="74">
        <v>12632</v>
      </c>
    </row>
    <row r="7841" spans="1:1" x14ac:dyDescent="0.25">
      <c r="A7841" s="74">
        <v>12633</v>
      </c>
    </row>
    <row r="7842" spans="1:1" x14ac:dyDescent="0.25">
      <c r="A7842" s="74">
        <v>12634</v>
      </c>
    </row>
    <row r="7843" spans="1:1" x14ac:dyDescent="0.25">
      <c r="A7843" s="74">
        <v>12635</v>
      </c>
    </row>
    <row r="7844" spans="1:1" x14ac:dyDescent="0.25">
      <c r="A7844" s="74">
        <v>12636</v>
      </c>
    </row>
    <row r="7845" spans="1:1" x14ac:dyDescent="0.25">
      <c r="A7845" s="74">
        <v>12637</v>
      </c>
    </row>
    <row r="7846" spans="1:1" x14ac:dyDescent="0.25">
      <c r="A7846" s="74">
        <v>12638</v>
      </c>
    </row>
    <row r="7847" spans="1:1" x14ac:dyDescent="0.25">
      <c r="A7847" s="74">
        <v>12639</v>
      </c>
    </row>
    <row r="7848" spans="1:1" x14ac:dyDescent="0.25">
      <c r="A7848" s="74">
        <v>12640</v>
      </c>
    </row>
    <row r="7849" spans="1:1" x14ac:dyDescent="0.25">
      <c r="A7849" s="74">
        <v>12641</v>
      </c>
    </row>
    <row r="7850" spans="1:1" x14ac:dyDescent="0.25">
      <c r="A7850" s="74">
        <v>12642</v>
      </c>
    </row>
    <row r="7851" spans="1:1" x14ac:dyDescent="0.25">
      <c r="A7851" s="74">
        <v>12643</v>
      </c>
    </row>
    <row r="7852" spans="1:1" x14ac:dyDescent="0.25">
      <c r="A7852" s="74">
        <v>12644</v>
      </c>
    </row>
    <row r="7853" spans="1:1" x14ac:dyDescent="0.25">
      <c r="A7853" s="74">
        <v>12645</v>
      </c>
    </row>
    <row r="7854" spans="1:1" x14ac:dyDescent="0.25">
      <c r="A7854" s="74">
        <v>12646</v>
      </c>
    </row>
    <row r="7855" spans="1:1" x14ac:dyDescent="0.25">
      <c r="A7855" s="74">
        <v>12647</v>
      </c>
    </row>
    <row r="7856" spans="1:1" x14ac:dyDescent="0.25">
      <c r="A7856" s="74">
        <v>12648</v>
      </c>
    </row>
    <row r="7857" spans="1:1" x14ac:dyDescent="0.25">
      <c r="A7857" s="74">
        <v>12649</v>
      </c>
    </row>
    <row r="7858" spans="1:1" x14ac:dyDescent="0.25">
      <c r="A7858" s="74">
        <v>12650</v>
      </c>
    </row>
    <row r="7859" spans="1:1" x14ac:dyDescent="0.25">
      <c r="A7859" s="74">
        <v>12651</v>
      </c>
    </row>
    <row r="7860" spans="1:1" x14ac:dyDescent="0.25">
      <c r="A7860" s="74">
        <v>12652</v>
      </c>
    </row>
    <row r="7861" spans="1:1" x14ac:dyDescent="0.25">
      <c r="A7861" s="74">
        <v>12653</v>
      </c>
    </row>
    <row r="7862" spans="1:1" x14ac:dyDescent="0.25">
      <c r="A7862" s="74">
        <v>12654</v>
      </c>
    </row>
    <row r="7863" spans="1:1" x14ac:dyDescent="0.25">
      <c r="A7863" s="74">
        <v>12655</v>
      </c>
    </row>
    <row r="7864" spans="1:1" x14ac:dyDescent="0.25">
      <c r="A7864" s="74">
        <v>12656</v>
      </c>
    </row>
    <row r="7865" spans="1:1" x14ac:dyDescent="0.25">
      <c r="A7865" s="74">
        <v>12657</v>
      </c>
    </row>
    <row r="7866" spans="1:1" x14ac:dyDescent="0.25">
      <c r="A7866" s="74">
        <v>12658</v>
      </c>
    </row>
    <row r="7867" spans="1:1" x14ac:dyDescent="0.25">
      <c r="A7867" s="74">
        <v>12659</v>
      </c>
    </row>
    <row r="7868" spans="1:1" x14ac:dyDescent="0.25">
      <c r="A7868" s="74">
        <v>12660</v>
      </c>
    </row>
    <row r="7869" spans="1:1" x14ac:dyDescent="0.25">
      <c r="A7869" s="74">
        <v>12661</v>
      </c>
    </row>
    <row r="7870" spans="1:1" x14ac:dyDescent="0.25">
      <c r="A7870" s="74">
        <v>12662</v>
      </c>
    </row>
    <row r="7871" spans="1:1" x14ac:dyDescent="0.25">
      <c r="A7871" s="74">
        <v>12663</v>
      </c>
    </row>
    <row r="7872" spans="1:1" x14ac:dyDescent="0.25">
      <c r="A7872" s="74">
        <v>12664</v>
      </c>
    </row>
    <row r="7873" spans="1:1" x14ac:dyDescent="0.25">
      <c r="A7873" s="74">
        <v>12665</v>
      </c>
    </row>
    <row r="7874" spans="1:1" x14ac:dyDescent="0.25">
      <c r="A7874" s="74">
        <v>12666</v>
      </c>
    </row>
    <row r="7875" spans="1:1" x14ac:dyDescent="0.25">
      <c r="A7875" s="74">
        <v>12667</v>
      </c>
    </row>
    <row r="7876" spans="1:1" x14ac:dyDescent="0.25">
      <c r="A7876" s="74">
        <v>12668</v>
      </c>
    </row>
    <row r="7877" spans="1:1" x14ac:dyDescent="0.25">
      <c r="A7877" s="74">
        <v>12669</v>
      </c>
    </row>
    <row r="7878" spans="1:1" x14ac:dyDescent="0.25">
      <c r="A7878" s="74">
        <v>12670</v>
      </c>
    </row>
    <row r="7879" spans="1:1" x14ac:dyDescent="0.25">
      <c r="A7879" s="74">
        <v>12671</v>
      </c>
    </row>
    <row r="7880" spans="1:1" x14ac:dyDescent="0.25">
      <c r="A7880" s="74">
        <v>12672</v>
      </c>
    </row>
    <row r="7881" spans="1:1" x14ac:dyDescent="0.25">
      <c r="A7881" s="74">
        <v>12673</v>
      </c>
    </row>
    <row r="7882" spans="1:1" x14ac:dyDescent="0.25">
      <c r="A7882" s="74">
        <v>12674</v>
      </c>
    </row>
    <row r="7883" spans="1:1" x14ac:dyDescent="0.25">
      <c r="A7883" s="74">
        <v>12675</v>
      </c>
    </row>
    <row r="7884" spans="1:1" x14ac:dyDescent="0.25">
      <c r="A7884" s="74">
        <v>12676</v>
      </c>
    </row>
    <row r="7885" spans="1:1" x14ac:dyDescent="0.25">
      <c r="A7885" s="74">
        <v>12677</v>
      </c>
    </row>
    <row r="7886" spans="1:1" x14ac:dyDescent="0.25">
      <c r="A7886" s="74">
        <v>12678</v>
      </c>
    </row>
    <row r="7887" spans="1:1" x14ac:dyDescent="0.25">
      <c r="A7887" s="74">
        <v>12679</v>
      </c>
    </row>
    <row r="7888" spans="1:1" x14ac:dyDescent="0.25">
      <c r="A7888" s="74">
        <v>12680</v>
      </c>
    </row>
    <row r="7889" spans="1:1" x14ac:dyDescent="0.25">
      <c r="A7889" s="74">
        <v>12681</v>
      </c>
    </row>
    <row r="7890" spans="1:1" x14ac:dyDescent="0.25">
      <c r="A7890" s="74">
        <v>12682</v>
      </c>
    </row>
    <row r="7891" spans="1:1" x14ac:dyDescent="0.25">
      <c r="A7891" s="74">
        <v>12683</v>
      </c>
    </row>
    <row r="7892" spans="1:1" x14ac:dyDescent="0.25">
      <c r="A7892" s="74">
        <v>12684</v>
      </c>
    </row>
    <row r="7893" spans="1:1" x14ac:dyDescent="0.25">
      <c r="A7893" s="74">
        <v>12685</v>
      </c>
    </row>
    <row r="7894" spans="1:1" x14ac:dyDescent="0.25">
      <c r="A7894" s="74">
        <v>12686</v>
      </c>
    </row>
    <row r="7895" spans="1:1" x14ac:dyDescent="0.25">
      <c r="A7895" s="74">
        <v>12687</v>
      </c>
    </row>
    <row r="7896" spans="1:1" x14ac:dyDescent="0.25">
      <c r="A7896" s="74">
        <v>12688</v>
      </c>
    </row>
    <row r="7897" spans="1:1" x14ac:dyDescent="0.25">
      <c r="A7897" s="74">
        <v>12689</v>
      </c>
    </row>
    <row r="7898" spans="1:1" x14ac:dyDescent="0.25">
      <c r="A7898" s="74">
        <v>12690</v>
      </c>
    </row>
    <row r="7899" spans="1:1" x14ac:dyDescent="0.25">
      <c r="A7899" s="74">
        <v>12691</v>
      </c>
    </row>
    <row r="7900" spans="1:1" x14ac:dyDescent="0.25">
      <c r="A7900" s="74">
        <v>12692</v>
      </c>
    </row>
    <row r="7901" spans="1:1" x14ac:dyDescent="0.25">
      <c r="A7901" s="74">
        <v>12693</v>
      </c>
    </row>
    <row r="7902" spans="1:1" x14ac:dyDescent="0.25">
      <c r="A7902" s="74">
        <v>12694</v>
      </c>
    </row>
    <row r="7903" spans="1:1" x14ac:dyDescent="0.25">
      <c r="A7903" s="74">
        <v>12695</v>
      </c>
    </row>
    <row r="7904" spans="1:1" x14ac:dyDescent="0.25">
      <c r="A7904" s="74">
        <v>12696</v>
      </c>
    </row>
    <row r="7905" spans="1:1" x14ac:dyDescent="0.25">
      <c r="A7905" s="74">
        <v>12697</v>
      </c>
    </row>
    <row r="7906" spans="1:1" x14ac:dyDescent="0.25">
      <c r="A7906" s="74">
        <v>12698</v>
      </c>
    </row>
    <row r="7907" spans="1:1" x14ac:dyDescent="0.25">
      <c r="A7907" s="74">
        <v>12699</v>
      </c>
    </row>
    <row r="7908" spans="1:1" x14ac:dyDescent="0.25">
      <c r="A7908" s="74">
        <v>12700</v>
      </c>
    </row>
    <row r="7909" spans="1:1" x14ac:dyDescent="0.25">
      <c r="A7909" s="74">
        <v>12701</v>
      </c>
    </row>
    <row r="7910" spans="1:1" x14ac:dyDescent="0.25">
      <c r="A7910" s="74">
        <v>12702</v>
      </c>
    </row>
    <row r="7911" spans="1:1" x14ac:dyDescent="0.25">
      <c r="A7911" s="74">
        <v>12703</v>
      </c>
    </row>
    <row r="7912" spans="1:1" x14ac:dyDescent="0.25">
      <c r="A7912" s="74">
        <v>12704</v>
      </c>
    </row>
    <row r="7913" spans="1:1" x14ac:dyDescent="0.25">
      <c r="A7913" s="74">
        <v>12705</v>
      </c>
    </row>
    <row r="7914" spans="1:1" x14ac:dyDescent="0.25">
      <c r="A7914" s="74">
        <v>12706</v>
      </c>
    </row>
    <row r="7915" spans="1:1" x14ac:dyDescent="0.25">
      <c r="A7915" s="74">
        <v>12707</v>
      </c>
    </row>
    <row r="7916" spans="1:1" x14ac:dyDescent="0.25">
      <c r="A7916" s="74">
        <v>12708</v>
      </c>
    </row>
    <row r="7917" spans="1:1" x14ac:dyDescent="0.25">
      <c r="A7917" s="74">
        <v>12709</v>
      </c>
    </row>
    <row r="7918" spans="1:1" x14ac:dyDescent="0.25">
      <c r="A7918" s="74">
        <v>12710</v>
      </c>
    </row>
    <row r="7919" spans="1:1" x14ac:dyDescent="0.25">
      <c r="A7919" s="74">
        <v>12711</v>
      </c>
    </row>
    <row r="7920" spans="1:1" x14ac:dyDescent="0.25">
      <c r="A7920" s="74">
        <v>12712</v>
      </c>
    </row>
    <row r="7921" spans="1:1" x14ac:dyDescent="0.25">
      <c r="A7921" s="74">
        <v>12713</v>
      </c>
    </row>
    <row r="7922" spans="1:1" x14ac:dyDescent="0.25">
      <c r="A7922" s="74">
        <v>12714</v>
      </c>
    </row>
    <row r="7923" spans="1:1" x14ac:dyDescent="0.25">
      <c r="A7923" s="74">
        <v>12715</v>
      </c>
    </row>
    <row r="7924" spans="1:1" x14ac:dyDescent="0.25">
      <c r="A7924" s="74">
        <v>12716</v>
      </c>
    </row>
    <row r="7925" spans="1:1" x14ac:dyDescent="0.25">
      <c r="A7925" s="74">
        <v>12717</v>
      </c>
    </row>
    <row r="7926" spans="1:1" x14ac:dyDescent="0.25">
      <c r="A7926" s="74">
        <v>12718</v>
      </c>
    </row>
    <row r="7927" spans="1:1" x14ac:dyDescent="0.25">
      <c r="A7927" s="74">
        <v>12719</v>
      </c>
    </row>
    <row r="7928" spans="1:1" x14ac:dyDescent="0.25">
      <c r="A7928" s="74">
        <v>12720</v>
      </c>
    </row>
    <row r="7929" spans="1:1" x14ac:dyDescent="0.25">
      <c r="A7929" s="74">
        <v>12721</v>
      </c>
    </row>
    <row r="7930" spans="1:1" x14ac:dyDescent="0.25">
      <c r="A7930" s="74">
        <v>12722</v>
      </c>
    </row>
    <row r="7931" spans="1:1" x14ac:dyDescent="0.25">
      <c r="A7931" s="74">
        <v>12723</v>
      </c>
    </row>
    <row r="7932" spans="1:1" x14ac:dyDescent="0.25">
      <c r="A7932" s="74">
        <v>12724</v>
      </c>
    </row>
    <row r="7933" spans="1:1" x14ac:dyDescent="0.25">
      <c r="A7933" s="74">
        <v>12725</v>
      </c>
    </row>
    <row r="7934" spans="1:1" x14ac:dyDescent="0.25">
      <c r="A7934" s="74">
        <v>12726</v>
      </c>
    </row>
    <row r="7935" spans="1:1" x14ac:dyDescent="0.25">
      <c r="A7935" s="74">
        <v>12727</v>
      </c>
    </row>
    <row r="7936" spans="1:1" x14ac:dyDescent="0.25">
      <c r="A7936" s="74">
        <v>12728</v>
      </c>
    </row>
    <row r="7937" spans="1:1" x14ac:dyDescent="0.25">
      <c r="A7937" s="74">
        <v>12729</v>
      </c>
    </row>
    <row r="7938" spans="1:1" x14ac:dyDescent="0.25">
      <c r="A7938" s="74">
        <v>12730</v>
      </c>
    </row>
    <row r="7939" spans="1:1" x14ac:dyDescent="0.25">
      <c r="A7939" s="74">
        <v>12731</v>
      </c>
    </row>
    <row r="7940" spans="1:1" x14ac:dyDescent="0.25">
      <c r="A7940" s="74">
        <v>12732</v>
      </c>
    </row>
    <row r="7941" spans="1:1" x14ac:dyDescent="0.25">
      <c r="A7941" s="74">
        <v>12733</v>
      </c>
    </row>
    <row r="7942" spans="1:1" x14ac:dyDescent="0.25">
      <c r="A7942" s="74">
        <v>12734</v>
      </c>
    </row>
    <row r="7943" spans="1:1" x14ac:dyDescent="0.25">
      <c r="A7943" s="74">
        <v>12735</v>
      </c>
    </row>
    <row r="7944" spans="1:1" x14ac:dyDescent="0.25">
      <c r="A7944" s="74">
        <v>12736</v>
      </c>
    </row>
    <row r="7945" spans="1:1" x14ac:dyDescent="0.25">
      <c r="A7945" s="74">
        <v>12737</v>
      </c>
    </row>
    <row r="7946" spans="1:1" x14ac:dyDescent="0.25">
      <c r="A7946" s="74">
        <v>12738</v>
      </c>
    </row>
    <row r="7947" spans="1:1" x14ac:dyDescent="0.25">
      <c r="A7947" s="74">
        <v>12739</v>
      </c>
    </row>
    <row r="7948" spans="1:1" x14ac:dyDescent="0.25">
      <c r="A7948" s="74">
        <v>12740</v>
      </c>
    </row>
    <row r="7949" spans="1:1" x14ac:dyDescent="0.25">
      <c r="A7949" s="74">
        <v>12741</v>
      </c>
    </row>
    <row r="7950" spans="1:1" x14ac:dyDescent="0.25">
      <c r="A7950" s="74">
        <v>12742</v>
      </c>
    </row>
    <row r="7951" spans="1:1" x14ac:dyDescent="0.25">
      <c r="A7951" s="74">
        <v>12743</v>
      </c>
    </row>
    <row r="7952" spans="1:1" x14ac:dyDescent="0.25">
      <c r="A7952" s="74">
        <v>12744</v>
      </c>
    </row>
    <row r="7953" spans="1:1" x14ac:dyDescent="0.25">
      <c r="A7953" s="74">
        <v>12745</v>
      </c>
    </row>
    <row r="7954" spans="1:1" x14ac:dyDescent="0.25">
      <c r="A7954" s="74">
        <v>12746</v>
      </c>
    </row>
    <row r="7955" spans="1:1" x14ac:dyDescent="0.25">
      <c r="A7955" s="74">
        <v>12747</v>
      </c>
    </row>
    <row r="7956" spans="1:1" x14ac:dyDescent="0.25">
      <c r="A7956" s="74">
        <v>12748</v>
      </c>
    </row>
    <row r="7957" spans="1:1" x14ac:dyDescent="0.25">
      <c r="A7957" s="74">
        <v>12749</v>
      </c>
    </row>
    <row r="7958" spans="1:1" x14ac:dyDescent="0.25">
      <c r="A7958" s="74">
        <v>12750</v>
      </c>
    </row>
    <row r="7959" spans="1:1" x14ac:dyDescent="0.25">
      <c r="A7959" s="74">
        <v>12751</v>
      </c>
    </row>
    <row r="7960" spans="1:1" x14ac:dyDescent="0.25">
      <c r="A7960" s="74">
        <v>12752</v>
      </c>
    </row>
    <row r="7961" spans="1:1" x14ac:dyDescent="0.25">
      <c r="A7961" s="74">
        <v>12753</v>
      </c>
    </row>
    <row r="7962" spans="1:1" x14ac:dyDescent="0.25">
      <c r="A7962" s="74">
        <v>12754</v>
      </c>
    </row>
    <row r="7963" spans="1:1" x14ac:dyDescent="0.25">
      <c r="A7963" s="74">
        <v>12755</v>
      </c>
    </row>
    <row r="7964" spans="1:1" x14ac:dyDescent="0.25">
      <c r="A7964" s="74">
        <v>12756</v>
      </c>
    </row>
    <row r="7965" spans="1:1" x14ac:dyDescent="0.25">
      <c r="A7965" s="74">
        <v>12757</v>
      </c>
    </row>
    <row r="7966" spans="1:1" x14ac:dyDescent="0.25">
      <c r="A7966" s="74">
        <v>12758</v>
      </c>
    </row>
    <row r="7967" spans="1:1" x14ac:dyDescent="0.25">
      <c r="A7967" s="74">
        <v>12759</v>
      </c>
    </row>
    <row r="7968" spans="1:1" x14ac:dyDescent="0.25">
      <c r="A7968" s="74">
        <v>12760</v>
      </c>
    </row>
    <row r="7969" spans="1:1" x14ac:dyDescent="0.25">
      <c r="A7969" s="74">
        <v>12761</v>
      </c>
    </row>
    <row r="7970" spans="1:1" x14ac:dyDescent="0.25">
      <c r="A7970" s="74">
        <v>12762</v>
      </c>
    </row>
    <row r="7971" spans="1:1" x14ac:dyDescent="0.25">
      <c r="A7971" s="74">
        <v>12763</v>
      </c>
    </row>
    <row r="7972" spans="1:1" x14ac:dyDescent="0.25">
      <c r="A7972" s="74">
        <v>12764</v>
      </c>
    </row>
    <row r="7973" spans="1:1" x14ac:dyDescent="0.25">
      <c r="A7973" s="74">
        <v>12765</v>
      </c>
    </row>
    <row r="7974" spans="1:1" x14ac:dyDescent="0.25">
      <c r="A7974" s="74">
        <v>12766</v>
      </c>
    </row>
    <row r="7975" spans="1:1" x14ac:dyDescent="0.25">
      <c r="A7975" s="74">
        <v>12767</v>
      </c>
    </row>
    <row r="7976" spans="1:1" x14ac:dyDescent="0.25">
      <c r="A7976" s="74">
        <v>12768</v>
      </c>
    </row>
    <row r="7977" spans="1:1" x14ac:dyDescent="0.25">
      <c r="A7977" s="74">
        <v>12769</v>
      </c>
    </row>
    <row r="7978" spans="1:1" x14ac:dyDescent="0.25">
      <c r="A7978" s="74">
        <v>12770</v>
      </c>
    </row>
    <row r="7979" spans="1:1" x14ac:dyDescent="0.25">
      <c r="A7979" s="74">
        <v>12771</v>
      </c>
    </row>
    <row r="7980" spans="1:1" x14ac:dyDescent="0.25">
      <c r="A7980" s="74">
        <v>12772</v>
      </c>
    </row>
    <row r="7981" spans="1:1" x14ac:dyDescent="0.25">
      <c r="A7981" s="74">
        <v>12773</v>
      </c>
    </row>
    <row r="7982" spans="1:1" x14ac:dyDescent="0.25">
      <c r="A7982" s="74">
        <v>12774</v>
      </c>
    </row>
    <row r="7983" spans="1:1" x14ac:dyDescent="0.25">
      <c r="A7983" s="74">
        <v>12775</v>
      </c>
    </row>
    <row r="7984" spans="1:1" x14ac:dyDescent="0.25">
      <c r="A7984" s="74">
        <v>12776</v>
      </c>
    </row>
    <row r="7985" spans="1:1" x14ac:dyDescent="0.25">
      <c r="A7985" s="74">
        <v>12777</v>
      </c>
    </row>
    <row r="7986" spans="1:1" x14ac:dyDescent="0.25">
      <c r="A7986" s="74">
        <v>12778</v>
      </c>
    </row>
    <row r="7987" spans="1:1" x14ac:dyDescent="0.25">
      <c r="A7987" s="74">
        <v>12779</v>
      </c>
    </row>
    <row r="7988" spans="1:1" x14ac:dyDescent="0.25">
      <c r="A7988" s="74">
        <v>12780</v>
      </c>
    </row>
    <row r="7989" spans="1:1" x14ac:dyDescent="0.25">
      <c r="A7989" s="74">
        <v>12781</v>
      </c>
    </row>
    <row r="7990" spans="1:1" x14ac:dyDescent="0.25">
      <c r="A7990" s="74">
        <v>12782</v>
      </c>
    </row>
    <row r="7991" spans="1:1" x14ac:dyDescent="0.25">
      <c r="A7991" s="74">
        <v>12783</v>
      </c>
    </row>
    <row r="7992" spans="1:1" x14ac:dyDescent="0.25">
      <c r="A7992" s="74">
        <v>12784</v>
      </c>
    </row>
    <row r="7993" spans="1:1" x14ac:dyDescent="0.25">
      <c r="A7993" s="74">
        <v>12785</v>
      </c>
    </row>
    <row r="7994" spans="1:1" x14ac:dyDescent="0.25">
      <c r="A7994" s="74">
        <v>12786</v>
      </c>
    </row>
    <row r="7995" spans="1:1" x14ac:dyDescent="0.25">
      <c r="A7995" s="74">
        <v>12787</v>
      </c>
    </row>
    <row r="7996" spans="1:1" x14ac:dyDescent="0.25">
      <c r="A7996" s="74">
        <v>12788</v>
      </c>
    </row>
    <row r="7997" spans="1:1" x14ac:dyDescent="0.25">
      <c r="A7997" s="74">
        <v>12789</v>
      </c>
    </row>
    <row r="7998" spans="1:1" x14ac:dyDescent="0.25">
      <c r="A7998" s="74">
        <v>12790</v>
      </c>
    </row>
    <row r="7999" spans="1:1" x14ac:dyDescent="0.25">
      <c r="A7999" s="74">
        <v>12791</v>
      </c>
    </row>
    <row r="8000" spans="1:1" x14ac:dyDescent="0.25">
      <c r="A8000" s="74">
        <v>12792</v>
      </c>
    </row>
    <row r="8001" spans="1:1" x14ac:dyDescent="0.25">
      <c r="A8001" s="74">
        <v>12793</v>
      </c>
    </row>
    <row r="8002" spans="1:1" x14ac:dyDescent="0.25">
      <c r="A8002" s="74">
        <v>12794</v>
      </c>
    </row>
    <row r="8003" spans="1:1" x14ac:dyDescent="0.25">
      <c r="A8003" s="74">
        <v>12795</v>
      </c>
    </row>
    <row r="8004" spans="1:1" x14ac:dyDescent="0.25">
      <c r="A8004" s="74">
        <v>12796</v>
      </c>
    </row>
    <row r="8005" spans="1:1" x14ac:dyDescent="0.25">
      <c r="A8005" s="74">
        <v>12797</v>
      </c>
    </row>
    <row r="8006" spans="1:1" x14ac:dyDescent="0.25">
      <c r="A8006" s="74">
        <v>12798</v>
      </c>
    </row>
    <row r="8007" spans="1:1" x14ac:dyDescent="0.25">
      <c r="A8007" s="74">
        <v>12799</v>
      </c>
    </row>
    <row r="8008" spans="1:1" x14ac:dyDescent="0.25">
      <c r="A8008" s="74">
        <v>12800</v>
      </c>
    </row>
    <row r="8009" spans="1:1" x14ac:dyDescent="0.25">
      <c r="A8009" s="74">
        <v>12801</v>
      </c>
    </row>
    <row r="8010" spans="1:1" x14ac:dyDescent="0.25">
      <c r="A8010" s="74">
        <v>12802</v>
      </c>
    </row>
    <row r="8011" spans="1:1" x14ac:dyDescent="0.25">
      <c r="A8011" s="74">
        <v>12803</v>
      </c>
    </row>
    <row r="8012" spans="1:1" x14ac:dyDescent="0.25">
      <c r="A8012" s="74">
        <v>12804</v>
      </c>
    </row>
    <row r="8013" spans="1:1" x14ac:dyDescent="0.25">
      <c r="A8013" s="74">
        <v>12805</v>
      </c>
    </row>
    <row r="8014" spans="1:1" x14ac:dyDescent="0.25">
      <c r="A8014" s="74">
        <v>12806</v>
      </c>
    </row>
    <row r="8015" spans="1:1" x14ac:dyDescent="0.25">
      <c r="A8015" s="74">
        <v>12807</v>
      </c>
    </row>
    <row r="8016" spans="1:1" x14ac:dyDescent="0.25">
      <c r="A8016" s="74">
        <v>12808</v>
      </c>
    </row>
    <row r="8017" spans="1:1" x14ac:dyDescent="0.25">
      <c r="A8017" s="74">
        <v>12809</v>
      </c>
    </row>
    <row r="8018" spans="1:1" x14ac:dyDescent="0.25">
      <c r="A8018" s="74">
        <v>12810</v>
      </c>
    </row>
    <row r="8019" spans="1:1" x14ac:dyDescent="0.25">
      <c r="A8019" s="74">
        <v>12811</v>
      </c>
    </row>
    <row r="8020" spans="1:1" x14ac:dyDescent="0.25">
      <c r="A8020" s="74">
        <v>12812</v>
      </c>
    </row>
    <row r="8021" spans="1:1" x14ac:dyDescent="0.25">
      <c r="A8021" s="74">
        <v>12813</v>
      </c>
    </row>
    <row r="8022" spans="1:1" x14ac:dyDescent="0.25">
      <c r="A8022" s="74">
        <v>12814</v>
      </c>
    </row>
    <row r="8023" spans="1:1" x14ac:dyDescent="0.25">
      <c r="A8023" s="74">
        <v>12815</v>
      </c>
    </row>
    <row r="8024" spans="1:1" x14ac:dyDescent="0.25">
      <c r="A8024" s="74">
        <v>12816</v>
      </c>
    </row>
    <row r="8025" spans="1:1" x14ac:dyDescent="0.25">
      <c r="A8025" s="74">
        <v>12817</v>
      </c>
    </row>
    <row r="8026" spans="1:1" x14ac:dyDescent="0.25">
      <c r="A8026" s="74">
        <v>12818</v>
      </c>
    </row>
    <row r="8027" spans="1:1" x14ac:dyDescent="0.25">
      <c r="A8027" s="74">
        <v>12819</v>
      </c>
    </row>
    <row r="8028" spans="1:1" x14ac:dyDescent="0.25">
      <c r="A8028" s="74">
        <v>12820</v>
      </c>
    </row>
    <row r="8029" spans="1:1" x14ac:dyDescent="0.25">
      <c r="A8029" s="74">
        <v>12821</v>
      </c>
    </row>
    <row r="8030" spans="1:1" x14ac:dyDescent="0.25">
      <c r="A8030" s="74">
        <v>12822</v>
      </c>
    </row>
    <row r="8031" spans="1:1" x14ac:dyDescent="0.25">
      <c r="A8031" s="74">
        <v>12823</v>
      </c>
    </row>
    <row r="8032" spans="1:1" x14ac:dyDescent="0.25">
      <c r="A8032" s="74">
        <v>12824</v>
      </c>
    </row>
    <row r="8033" spans="1:1" x14ac:dyDescent="0.25">
      <c r="A8033" s="74">
        <v>12825</v>
      </c>
    </row>
    <row r="8034" spans="1:1" x14ac:dyDescent="0.25">
      <c r="A8034" s="74">
        <v>12826</v>
      </c>
    </row>
    <row r="8035" spans="1:1" x14ac:dyDescent="0.25">
      <c r="A8035" s="74">
        <v>12827</v>
      </c>
    </row>
    <row r="8036" spans="1:1" x14ac:dyDescent="0.25">
      <c r="A8036" s="74">
        <v>12828</v>
      </c>
    </row>
    <row r="8037" spans="1:1" x14ac:dyDescent="0.25">
      <c r="A8037" s="74">
        <v>12829</v>
      </c>
    </row>
    <row r="8038" spans="1:1" x14ac:dyDescent="0.25">
      <c r="A8038" s="74">
        <v>12830</v>
      </c>
    </row>
    <row r="8039" spans="1:1" x14ac:dyDescent="0.25">
      <c r="A8039" s="74">
        <v>12831</v>
      </c>
    </row>
    <row r="8040" spans="1:1" x14ac:dyDescent="0.25">
      <c r="A8040" s="74">
        <v>12832</v>
      </c>
    </row>
    <row r="8041" spans="1:1" x14ac:dyDescent="0.25">
      <c r="A8041" s="74">
        <v>12833</v>
      </c>
    </row>
    <row r="8042" spans="1:1" x14ac:dyDescent="0.25">
      <c r="A8042" s="74">
        <v>12834</v>
      </c>
    </row>
    <row r="8043" spans="1:1" x14ac:dyDescent="0.25">
      <c r="A8043" s="74">
        <v>12835</v>
      </c>
    </row>
    <row r="8044" spans="1:1" x14ac:dyDescent="0.25">
      <c r="A8044" s="74">
        <v>12836</v>
      </c>
    </row>
    <row r="8045" spans="1:1" x14ac:dyDescent="0.25">
      <c r="A8045" s="74">
        <v>12837</v>
      </c>
    </row>
    <row r="8046" spans="1:1" x14ac:dyDescent="0.25">
      <c r="A8046" s="74">
        <v>12838</v>
      </c>
    </row>
    <row r="8047" spans="1:1" x14ac:dyDescent="0.25">
      <c r="A8047" s="74">
        <v>12839</v>
      </c>
    </row>
    <row r="8048" spans="1:1" x14ac:dyDescent="0.25">
      <c r="A8048" s="74">
        <v>12840</v>
      </c>
    </row>
    <row r="8049" spans="1:1" x14ac:dyDescent="0.25">
      <c r="A8049" s="74">
        <v>12841</v>
      </c>
    </row>
    <row r="8050" spans="1:1" x14ac:dyDescent="0.25">
      <c r="A8050" s="74">
        <v>12842</v>
      </c>
    </row>
    <row r="8051" spans="1:1" x14ac:dyDescent="0.25">
      <c r="A8051" s="74">
        <v>12843</v>
      </c>
    </row>
    <row r="8052" spans="1:1" x14ac:dyDescent="0.25">
      <c r="A8052" s="74">
        <v>12844</v>
      </c>
    </row>
    <row r="8053" spans="1:1" x14ac:dyDescent="0.25">
      <c r="A8053" s="74">
        <v>12845</v>
      </c>
    </row>
    <row r="8054" spans="1:1" x14ac:dyDescent="0.25">
      <c r="A8054" s="74">
        <v>12846</v>
      </c>
    </row>
    <row r="8055" spans="1:1" x14ac:dyDescent="0.25">
      <c r="A8055" s="74">
        <v>12847</v>
      </c>
    </row>
    <row r="8056" spans="1:1" x14ac:dyDescent="0.25">
      <c r="A8056" s="74">
        <v>12848</v>
      </c>
    </row>
    <row r="8057" spans="1:1" x14ac:dyDescent="0.25">
      <c r="A8057" s="74">
        <v>12849</v>
      </c>
    </row>
    <row r="8058" spans="1:1" x14ac:dyDescent="0.25">
      <c r="A8058" s="74">
        <v>12850</v>
      </c>
    </row>
    <row r="8059" spans="1:1" x14ac:dyDescent="0.25">
      <c r="A8059" s="74">
        <v>12851</v>
      </c>
    </row>
    <row r="8060" spans="1:1" x14ac:dyDescent="0.25">
      <c r="A8060" s="74">
        <v>12852</v>
      </c>
    </row>
    <row r="8061" spans="1:1" x14ac:dyDescent="0.25">
      <c r="A8061" s="74">
        <v>12853</v>
      </c>
    </row>
    <row r="8062" spans="1:1" x14ac:dyDescent="0.25">
      <c r="A8062" s="74">
        <v>12854</v>
      </c>
    </row>
    <row r="8063" spans="1:1" x14ac:dyDescent="0.25">
      <c r="A8063" s="74">
        <v>12855</v>
      </c>
    </row>
    <row r="8064" spans="1:1" x14ac:dyDescent="0.25">
      <c r="A8064" s="74">
        <v>12856</v>
      </c>
    </row>
    <row r="8065" spans="1:1" x14ac:dyDescent="0.25">
      <c r="A8065" s="74">
        <v>12857</v>
      </c>
    </row>
    <row r="8066" spans="1:1" x14ac:dyDescent="0.25">
      <c r="A8066" s="74">
        <v>12858</v>
      </c>
    </row>
    <row r="8067" spans="1:1" x14ac:dyDescent="0.25">
      <c r="A8067" s="74">
        <v>12859</v>
      </c>
    </row>
    <row r="8068" spans="1:1" x14ac:dyDescent="0.25">
      <c r="A8068" s="74">
        <v>12860</v>
      </c>
    </row>
    <row r="8069" spans="1:1" x14ac:dyDescent="0.25">
      <c r="A8069" s="74">
        <v>12861</v>
      </c>
    </row>
    <row r="8070" spans="1:1" x14ac:dyDescent="0.25">
      <c r="A8070" s="74">
        <v>12862</v>
      </c>
    </row>
    <row r="8071" spans="1:1" x14ac:dyDescent="0.25">
      <c r="A8071" s="74">
        <v>12863</v>
      </c>
    </row>
    <row r="8072" spans="1:1" x14ac:dyDescent="0.25">
      <c r="A8072" s="74">
        <v>12864</v>
      </c>
    </row>
    <row r="8073" spans="1:1" x14ac:dyDescent="0.25">
      <c r="A8073" s="74">
        <v>12865</v>
      </c>
    </row>
    <row r="8074" spans="1:1" x14ac:dyDescent="0.25">
      <c r="A8074" s="74">
        <v>12866</v>
      </c>
    </row>
    <row r="8075" spans="1:1" x14ac:dyDescent="0.25">
      <c r="A8075" s="74">
        <v>12867</v>
      </c>
    </row>
    <row r="8076" spans="1:1" x14ac:dyDescent="0.25">
      <c r="A8076" s="74">
        <v>12868</v>
      </c>
    </row>
    <row r="8077" spans="1:1" x14ac:dyDescent="0.25">
      <c r="A8077" s="74">
        <v>12869</v>
      </c>
    </row>
    <row r="8078" spans="1:1" x14ac:dyDescent="0.25">
      <c r="A8078" s="74">
        <v>12870</v>
      </c>
    </row>
    <row r="8079" spans="1:1" x14ac:dyDescent="0.25">
      <c r="A8079" s="74">
        <v>12871</v>
      </c>
    </row>
    <row r="8080" spans="1:1" x14ac:dyDescent="0.25">
      <c r="A8080" s="74">
        <v>12872</v>
      </c>
    </row>
    <row r="8081" spans="1:1" x14ac:dyDescent="0.25">
      <c r="A8081" s="74">
        <v>12873</v>
      </c>
    </row>
    <row r="8082" spans="1:1" x14ac:dyDescent="0.25">
      <c r="A8082" s="74">
        <v>12874</v>
      </c>
    </row>
    <row r="8083" spans="1:1" x14ac:dyDescent="0.25">
      <c r="A8083" s="74">
        <v>12875</v>
      </c>
    </row>
    <row r="8084" spans="1:1" x14ac:dyDescent="0.25">
      <c r="A8084" s="74">
        <v>12876</v>
      </c>
    </row>
    <row r="8085" spans="1:1" x14ac:dyDescent="0.25">
      <c r="A8085" s="74">
        <v>12877</v>
      </c>
    </row>
    <row r="8086" spans="1:1" x14ac:dyDescent="0.25">
      <c r="A8086" s="74">
        <v>12878</v>
      </c>
    </row>
    <row r="8087" spans="1:1" x14ac:dyDescent="0.25">
      <c r="A8087" s="74">
        <v>12879</v>
      </c>
    </row>
    <row r="8088" spans="1:1" x14ac:dyDescent="0.25">
      <c r="A8088" s="74">
        <v>12880</v>
      </c>
    </row>
    <row r="8089" spans="1:1" x14ac:dyDescent="0.25">
      <c r="A8089" s="74">
        <v>12881</v>
      </c>
    </row>
    <row r="8090" spans="1:1" x14ac:dyDescent="0.25">
      <c r="A8090" s="74">
        <v>12882</v>
      </c>
    </row>
    <row r="8091" spans="1:1" x14ac:dyDescent="0.25">
      <c r="A8091" s="74">
        <v>12883</v>
      </c>
    </row>
    <row r="8092" spans="1:1" x14ac:dyDescent="0.25">
      <c r="A8092" s="74">
        <v>12884</v>
      </c>
    </row>
    <row r="8093" spans="1:1" x14ac:dyDescent="0.25">
      <c r="A8093" s="74">
        <v>12885</v>
      </c>
    </row>
    <row r="8094" spans="1:1" x14ac:dyDescent="0.25">
      <c r="A8094" s="74">
        <v>12886</v>
      </c>
    </row>
    <row r="8095" spans="1:1" x14ac:dyDescent="0.25">
      <c r="A8095" s="74">
        <v>12887</v>
      </c>
    </row>
    <row r="8096" spans="1:1" x14ac:dyDescent="0.25">
      <c r="A8096" s="74">
        <v>12888</v>
      </c>
    </row>
    <row r="8097" spans="1:1" x14ac:dyDescent="0.25">
      <c r="A8097" s="74">
        <v>12889</v>
      </c>
    </row>
    <row r="8098" spans="1:1" x14ac:dyDescent="0.25">
      <c r="A8098" s="74">
        <v>12890</v>
      </c>
    </row>
    <row r="8099" spans="1:1" x14ac:dyDescent="0.25">
      <c r="A8099" s="74">
        <v>12891</v>
      </c>
    </row>
    <row r="8100" spans="1:1" x14ac:dyDescent="0.25">
      <c r="A8100" s="74">
        <v>12892</v>
      </c>
    </row>
    <row r="8101" spans="1:1" x14ac:dyDescent="0.25">
      <c r="A8101" s="74">
        <v>12893</v>
      </c>
    </row>
    <row r="8102" spans="1:1" x14ac:dyDescent="0.25">
      <c r="A8102" s="74">
        <v>12894</v>
      </c>
    </row>
    <row r="8103" spans="1:1" x14ac:dyDescent="0.25">
      <c r="A8103" s="74">
        <v>12895</v>
      </c>
    </row>
    <row r="8104" spans="1:1" x14ac:dyDescent="0.25">
      <c r="A8104" s="74">
        <v>12896</v>
      </c>
    </row>
    <row r="8105" spans="1:1" x14ac:dyDescent="0.25">
      <c r="A8105" s="74">
        <v>12897</v>
      </c>
    </row>
    <row r="8106" spans="1:1" x14ac:dyDescent="0.25">
      <c r="A8106" s="74">
        <v>12898</v>
      </c>
    </row>
    <row r="8107" spans="1:1" x14ac:dyDescent="0.25">
      <c r="A8107" s="74">
        <v>12899</v>
      </c>
    </row>
    <row r="8108" spans="1:1" x14ac:dyDescent="0.25">
      <c r="A8108" s="74">
        <v>12900</v>
      </c>
    </row>
    <row r="8109" spans="1:1" x14ac:dyDescent="0.25">
      <c r="A8109" s="74">
        <v>12901</v>
      </c>
    </row>
    <row r="8110" spans="1:1" x14ac:dyDescent="0.25">
      <c r="A8110" s="74">
        <v>12902</v>
      </c>
    </row>
    <row r="8111" spans="1:1" x14ac:dyDescent="0.25">
      <c r="A8111" s="74">
        <v>12903</v>
      </c>
    </row>
    <row r="8112" spans="1:1" x14ac:dyDescent="0.25">
      <c r="A8112" s="74">
        <v>12904</v>
      </c>
    </row>
    <row r="8113" spans="1:1" x14ac:dyDescent="0.25">
      <c r="A8113" s="74">
        <v>12905</v>
      </c>
    </row>
    <row r="8114" spans="1:1" x14ac:dyDescent="0.25">
      <c r="A8114" s="74">
        <v>12906</v>
      </c>
    </row>
    <row r="8115" spans="1:1" x14ac:dyDescent="0.25">
      <c r="A8115" s="74">
        <v>12907</v>
      </c>
    </row>
    <row r="8116" spans="1:1" x14ac:dyDescent="0.25">
      <c r="A8116" s="74">
        <v>12908</v>
      </c>
    </row>
    <row r="8117" spans="1:1" x14ac:dyDescent="0.25">
      <c r="A8117" s="74">
        <v>12909</v>
      </c>
    </row>
    <row r="8118" spans="1:1" x14ac:dyDescent="0.25">
      <c r="A8118" s="74">
        <v>12910</v>
      </c>
    </row>
    <row r="8119" spans="1:1" x14ac:dyDescent="0.25">
      <c r="A8119" s="74">
        <v>12911</v>
      </c>
    </row>
    <row r="8120" spans="1:1" x14ac:dyDescent="0.25">
      <c r="A8120" s="74">
        <v>12912</v>
      </c>
    </row>
    <row r="8121" spans="1:1" x14ac:dyDescent="0.25">
      <c r="A8121" s="74">
        <v>12913</v>
      </c>
    </row>
    <row r="8122" spans="1:1" x14ac:dyDescent="0.25">
      <c r="A8122" s="74">
        <v>12914</v>
      </c>
    </row>
    <row r="8123" spans="1:1" x14ac:dyDescent="0.25">
      <c r="A8123" s="74">
        <v>12915</v>
      </c>
    </row>
    <row r="8124" spans="1:1" x14ac:dyDescent="0.25">
      <c r="A8124" s="74">
        <v>12916</v>
      </c>
    </row>
    <row r="8125" spans="1:1" x14ac:dyDescent="0.25">
      <c r="A8125" s="74">
        <v>12917</v>
      </c>
    </row>
    <row r="8126" spans="1:1" x14ac:dyDescent="0.25">
      <c r="A8126" s="74">
        <v>12918</v>
      </c>
    </row>
    <row r="8127" spans="1:1" x14ac:dyDescent="0.25">
      <c r="A8127" s="74">
        <v>12919</v>
      </c>
    </row>
    <row r="8128" spans="1:1" x14ac:dyDescent="0.25">
      <c r="A8128" s="74">
        <v>12920</v>
      </c>
    </row>
    <row r="8129" spans="1:1" x14ac:dyDescent="0.25">
      <c r="A8129" s="74">
        <v>12921</v>
      </c>
    </row>
    <row r="8130" spans="1:1" x14ac:dyDescent="0.25">
      <c r="A8130" s="74">
        <v>12922</v>
      </c>
    </row>
    <row r="8131" spans="1:1" x14ac:dyDescent="0.25">
      <c r="A8131" s="74">
        <v>12923</v>
      </c>
    </row>
    <row r="8132" spans="1:1" x14ac:dyDescent="0.25">
      <c r="A8132" s="74">
        <v>12924</v>
      </c>
    </row>
    <row r="8133" spans="1:1" x14ac:dyDescent="0.25">
      <c r="A8133" s="74">
        <v>12925</v>
      </c>
    </row>
    <row r="8134" spans="1:1" x14ac:dyDescent="0.25">
      <c r="A8134" s="74">
        <v>12926</v>
      </c>
    </row>
    <row r="8135" spans="1:1" x14ac:dyDescent="0.25">
      <c r="A8135" s="74">
        <v>12927</v>
      </c>
    </row>
    <row r="8136" spans="1:1" x14ac:dyDescent="0.25">
      <c r="A8136" s="74">
        <v>12928</v>
      </c>
    </row>
    <row r="8137" spans="1:1" x14ac:dyDescent="0.25">
      <c r="A8137" s="74">
        <v>12929</v>
      </c>
    </row>
    <row r="8138" spans="1:1" x14ac:dyDescent="0.25">
      <c r="A8138" s="74">
        <v>12930</v>
      </c>
    </row>
    <row r="8139" spans="1:1" x14ac:dyDescent="0.25">
      <c r="A8139" s="74">
        <v>12931</v>
      </c>
    </row>
    <row r="8140" spans="1:1" x14ac:dyDescent="0.25">
      <c r="A8140" s="74">
        <v>12932</v>
      </c>
    </row>
    <row r="8141" spans="1:1" x14ac:dyDescent="0.25">
      <c r="A8141" s="74">
        <v>12933</v>
      </c>
    </row>
    <row r="8142" spans="1:1" x14ac:dyDescent="0.25">
      <c r="A8142" s="74">
        <v>12934</v>
      </c>
    </row>
    <row r="8143" spans="1:1" x14ac:dyDescent="0.25">
      <c r="A8143" s="74">
        <v>12935</v>
      </c>
    </row>
    <row r="8144" spans="1:1" x14ac:dyDescent="0.25">
      <c r="A8144" s="74">
        <v>12936</v>
      </c>
    </row>
    <row r="8145" spans="1:1" x14ac:dyDescent="0.25">
      <c r="A8145" s="74">
        <v>12937</v>
      </c>
    </row>
    <row r="8146" spans="1:1" x14ac:dyDescent="0.25">
      <c r="A8146" s="74">
        <v>12938</v>
      </c>
    </row>
    <row r="8147" spans="1:1" x14ac:dyDescent="0.25">
      <c r="A8147" s="74">
        <v>12939</v>
      </c>
    </row>
    <row r="8148" spans="1:1" x14ac:dyDescent="0.25">
      <c r="A8148" s="74">
        <v>12940</v>
      </c>
    </row>
    <row r="8149" spans="1:1" x14ac:dyDescent="0.25">
      <c r="A8149" s="74">
        <v>12941</v>
      </c>
    </row>
    <row r="8150" spans="1:1" x14ac:dyDescent="0.25">
      <c r="A8150" s="74">
        <v>12942</v>
      </c>
    </row>
    <row r="8151" spans="1:1" x14ac:dyDescent="0.25">
      <c r="A8151" s="74">
        <v>12943</v>
      </c>
    </row>
    <row r="8152" spans="1:1" x14ac:dyDescent="0.25">
      <c r="A8152" s="74">
        <v>12944</v>
      </c>
    </row>
    <row r="8153" spans="1:1" x14ac:dyDescent="0.25">
      <c r="A8153" s="74">
        <v>12945</v>
      </c>
    </row>
    <row r="8154" spans="1:1" x14ac:dyDescent="0.25">
      <c r="A8154" s="74">
        <v>12946</v>
      </c>
    </row>
    <row r="8155" spans="1:1" x14ac:dyDescent="0.25">
      <c r="A8155" s="74">
        <v>12947</v>
      </c>
    </row>
    <row r="8156" spans="1:1" x14ac:dyDescent="0.25">
      <c r="A8156" s="74">
        <v>12948</v>
      </c>
    </row>
    <row r="8157" spans="1:1" x14ac:dyDescent="0.25">
      <c r="A8157" s="74">
        <v>12949</v>
      </c>
    </row>
    <row r="8158" spans="1:1" x14ac:dyDescent="0.25">
      <c r="A8158" s="74">
        <v>12950</v>
      </c>
    </row>
    <row r="8159" spans="1:1" x14ac:dyDescent="0.25">
      <c r="A8159" s="74">
        <v>12951</v>
      </c>
    </row>
    <row r="8160" spans="1:1" x14ac:dyDescent="0.25">
      <c r="A8160" s="74">
        <v>12952</v>
      </c>
    </row>
    <row r="8161" spans="1:1" x14ac:dyDescent="0.25">
      <c r="A8161" s="74">
        <v>12953</v>
      </c>
    </row>
    <row r="8162" spans="1:1" x14ac:dyDescent="0.25">
      <c r="A8162" s="74">
        <v>12954</v>
      </c>
    </row>
    <row r="8163" spans="1:1" x14ac:dyDescent="0.25">
      <c r="A8163" s="74">
        <v>12955</v>
      </c>
    </row>
    <row r="8164" spans="1:1" x14ac:dyDescent="0.25">
      <c r="A8164" s="74">
        <v>12956</v>
      </c>
    </row>
    <row r="8165" spans="1:1" x14ac:dyDescent="0.25">
      <c r="A8165" s="74">
        <v>12957</v>
      </c>
    </row>
    <row r="8166" spans="1:1" x14ac:dyDescent="0.25">
      <c r="A8166" s="74">
        <v>12958</v>
      </c>
    </row>
    <row r="8167" spans="1:1" x14ac:dyDescent="0.25">
      <c r="A8167" s="74">
        <v>12959</v>
      </c>
    </row>
    <row r="8168" spans="1:1" x14ac:dyDescent="0.25">
      <c r="A8168" s="74">
        <v>12960</v>
      </c>
    </row>
    <row r="8169" spans="1:1" x14ac:dyDescent="0.25">
      <c r="A8169" s="74">
        <v>12961</v>
      </c>
    </row>
    <row r="8170" spans="1:1" x14ac:dyDescent="0.25">
      <c r="A8170" s="74">
        <v>12962</v>
      </c>
    </row>
    <row r="8171" spans="1:1" x14ac:dyDescent="0.25">
      <c r="A8171" s="74">
        <v>12963</v>
      </c>
    </row>
    <row r="8172" spans="1:1" x14ac:dyDescent="0.25">
      <c r="A8172" s="74">
        <v>12964</v>
      </c>
    </row>
    <row r="8173" spans="1:1" x14ac:dyDescent="0.25">
      <c r="A8173" s="74">
        <v>12965</v>
      </c>
    </row>
    <row r="8174" spans="1:1" x14ac:dyDescent="0.25">
      <c r="A8174" s="74">
        <v>12966</v>
      </c>
    </row>
    <row r="8175" spans="1:1" x14ac:dyDescent="0.25">
      <c r="A8175" s="74">
        <v>12967</v>
      </c>
    </row>
    <row r="8176" spans="1:1" x14ac:dyDescent="0.25">
      <c r="A8176" s="74">
        <v>12968</v>
      </c>
    </row>
    <row r="8177" spans="1:1" x14ac:dyDescent="0.25">
      <c r="A8177" s="74">
        <v>12969</v>
      </c>
    </row>
    <row r="8178" spans="1:1" x14ac:dyDescent="0.25">
      <c r="A8178" s="74">
        <v>12970</v>
      </c>
    </row>
    <row r="8179" spans="1:1" x14ac:dyDescent="0.25">
      <c r="A8179" s="74">
        <v>12971</v>
      </c>
    </row>
    <row r="8180" spans="1:1" x14ac:dyDescent="0.25">
      <c r="A8180" s="74">
        <v>12972</v>
      </c>
    </row>
    <row r="8181" spans="1:1" x14ac:dyDescent="0.25">
      <c r="A8181" s="74">
        <v>12973</v>
      </c>
    </row>
    <row r="8182" spans="1:1" x14ac:dyDescent="0.25">
      <c r="A8182" s="74">
        <v>12974</v>
      </c>
    </row>
    <row r="8183" spans="1:1" x14ac:dyDescent="0.25">
      <c r="A8183" s="74">
        <v>12975</v>
      </c>
    </row>
    <row r="8184" spans="1:1" x14ac:dyDescent="0.25">
      <c r="A8184" s="74">
        <v>12976</v>
      </c>
    </row>
    <row r="8185" spans="1:1" x14ac:dyDescent="0.25">
      <c r="A8185" s="74">
        <v>12977</v>
      </c>
    </row>
    <row r="8186" spans="1:1" x14ac:dyDescent="0.25">
      <c r="A8186" s="74">
        <v>12978</v>
      </c>
    </row>
    <row r="8187" spans="1:1" x14ac:dyDescent="0.25">
      <c r="A8187" s="74">
        <v>12979</v>
      </c>
    </row>
    <row r="8188" spans="1:1" x14ac:dyDescent="0.25">
      <c r="A8188" s="74">
        <v>12980</v>
      </c>
    </row>
    <row r="8189" spans="1:1" x14ac:dyDescent="0.25">
      <c r="A8189" s="74">
        <v>12981</v>
      </c>
    </row>
    <row r="8190" spans="1:1" x14ac:dyDescent="0.25">
      <c r="A8190" s="74">
        <v>12982</v>
      </c>
    </row>
    <row r="8191" spans="1:1" x14ac:dyDescent="0.25">
      <c r="A8191" s="74">
        <v>12983</v>
      </c>
    </row>
    <row r="8192" spans="1:1" x14ac:dyDescent="0.25">
      <c r="A8192" s="74">
        <v>12984</v>
      </c>
    </row>
    <row r="8193" spans="1:1" x14ac:dyDescent="0.25">
      <c r="A8193" s="74">
        <v>12985</v>
      </c>
    </row>
    <row r="8194" spans="1:1" x14ac:dyDescent="0.25">
      <c r="A8194" s="74">
        <v>12986</v>
      </c>
    </row>
    <row r="8195" spans="1:1" x14ac:dyDescent="0.25">
      <c r="A8195" s="74">
        <v>12987</v>
      </c>
    </row>
    <row r="8196" spans="1:1" x14ac:dyDescent="0.25">
      <c r="A8196" s="74">
        <v>12988</v>
      </c>
    </row>
    <row r="8197" spans="1:1" x14ac:dyDescent="0.25">
      <c r="A8197" s="74">
        <v>12989</v>
      </c>
    </row>
    <row r="8198" spans="1:1" x14ac:dyDescent="0.25">
      <c r="A8198" s="74">
        <v>12990</v>
      </c>
    </row>
    <row r="8199" spans="1:1" x14ac:dyDescent="0.25">
      <c r="A8199" s="74">
        <v>12991</v>
      </c>
    </row>
    <row r="8200" spans="1:1" x14ac:dyDescent="0.25">
      <c r="A8200" s="74">
        <v>12992</v>
      </c>
    </row>
    <row r="8201" spans="1:1" x14ac:dyDescent="0.25">
      <c r="A8201" s="74">
        <v>12993</v>
      </c>
    </row>
    <row r="8202" spans="1:1" x14ac:dyDescent="0.25">
      <c r="A8202" s="74">
        <v>12994</v>
      </c>
    </row>
    <row r="8203" spans="1:1" x14ac:dyDescent="0.25">
      <c r="A8203" s="74">
        <v>12995</v>
      </c>
    </row>
    <row r="8204" spans="1:1" x14ac:dyDescent="0.25">
      <c r="A8204" s="74">
        <v>12996</v>
      </c>
    </row>
    <row r="8205" spans="1:1" x14ac:dyDescent="0.25">
      <c r="A8205" s="74">
        <v>12997</v>
      </c>
    </row>
    <row r="8206" spans="1:1" x14ac:dyDescent="0.25">
      <c r="A8206" s="74">
        <v>12998</v>
      </c>
    </row>
    <row r="8207" spans="1:1" x14ac:dyDescent="0.25">
      <c r="A8207" s="74">
        <v>12999</v>
      </c>
    </row>
    <row r="8208" spans="1:1" x14ac:dyDescent="0.25">
      <c r="A8208" s="74">
        <v>13000</v>
      </c>
    </row>
    <row r="8209" spans="1:1" x14ac:dyDescent="0.25">
      <c r="A8209" s="74">
        <v>13001</v>
      </c>
    </row>
    <row r="8210" spans="1:1" x14ac:dyDescent="0.25">
      <c r="A8210" s="74">
        <v>13002</v>
      </c>
    </row>
    <row r="8211" spans="1:1" x14ac:dyDescent="0.25">
      <c r="A8211" s="74">
        <v>13003</v>
      </c>
    </row>
    <row r="8212" spans="1:1" x14ac:dyDescent="0.25">
      <c r="A8212" s="74">
        <v>13004</v>
      </c>
    </row>
    <row r="8213" spans="1:1" x14ac:dyDescent="0.25">
      <c r="A8213" s="74">
        <v>13005</v>
      </c>
    </row>
    <row r="8214" spans="1:1" x14ac:dyDescent="0.25">
      <c r="A8214" s="74">
        <v>13006</v>
      </c>
    </row>
    <row r="8215" spans="1:1" x14ac:dyDescent="0.25">
      <c r="A8215" s="74">
        <v>13007</v>
      </c>
    </row>
    <row r="8216" spans="1:1" x14ac:dyDescent="0.25">
      <c r="A8216" s="74">
        <v>13008</v>
      </c>
    </row>
    <row r="8217" spans="1:1" x14ac:dyDescent="0.25">
      <c r="A8217" s="74">
        <v>13009</v>
      </c>
    </row>
    <row r="8218" spans="1:1" x14ac:dyDescent="0.25">
      <c r="A8218" s="74">
        <v>13010</v>
      </c>
    </row>
    <row r="8219" spans="1:1" x14ac:dyDescent="0.25">
      <c r="A8219" s="74">
        <v>13011</v>
      </c>
    </row>
    <row r="8220" spans="1:1" x14ac:dyDescent="0.25">
      <c r="A8220" s="74">
        <v>13012</v>
      </c>
    </row>
    <row r="8221" spans="1:1" x14ac:dyDescent="0.25">
      <c r="A8221" s="74">
        <v>13013</v>
      </c>
    </row>
    <row r="8222" spans="1:1" x14ac:dyDescent="0.25">
      <c r="A8222" s="74">
        <v>13014</v>
      </c>
    </row>
    <row r="8223" spans="1:1" x14ac:dyDescent="0.25">
      <c r="A8223" s="74">
        <v>13015</v>
      </c>
    </row>
    <row r="8224" spans="1:1" x14ac:dyDescent="0.25">
      <c r="A8224" s="74">
        <v>13016</v>
      </c>
    </row>
    <row r="8225" spans="1:1" x14ac:dyDescent="0.25">
      <c r="A8225" s="74">
        <v>13017</v>
      </c>
    </row>
    <row r="8226" spans="1:1" x14ac:dyDescent="0.25">
      <c r="A8226" s="74">
        <v>13018</v>
      </c>
    </row>
    <row r="8227" spans="1:1" x14ac:dyDescent="0.25">
      <c r="A8227" s="74">
        <v>13019</v>
      </c>
    </row>
    <row r="8228" spans="1:1" x14ac:dyDescent="0.25">
      <c r="A8228" s="74">
        <v>13020</v>
      </c>
    </row>
    <row r="8229" spans="1:1" x14ac:dyDescent="0.25">
      <c r="A8229" s="74">
        <v>13021</v>
      </c>
    </row>
    <row r="8230" spans="1:1" x14ac:dyDescent="0.25">
      <c r="A8230" s="74">
        <v>13022</v>
      </c>
    </row>
    <row r="8231" spans="1:1" x14ac:dyDescent="0.25">
      <c r="A8231" s="74">
        <v>13023</v>
      </c>
    </row>
    <row r="8232" spans="1:1" x14ac:dyDescent="0.25">
      <c r="A8232" s="74">
        <v>13024</v>
      </c>
    </row>
    <row r="8233" spans="1:1" x14ac:dyDescent="0.25">
      <c r="A8233" s="74">
        <v>13025</v>
      </c>
    </row>
    <row r="8234" spans="1:1" x14ac:dyDescent="0.25">
      <c r="A8234" s="74">
        <v>13026</v>
      </c>
    </row>
    <row r="8235" spans="1:1" x14ac:dyDescent="0.25">
      <c r="A8235" s="74">
        <v>13027</v>
      </c>
    </row>
    <row r="8236" spans="1:1" x14ac:dyDescent="0.25">
      <c r="A8236" s="74">
        <v>13028</v>
      </c>
    </row>
    <row r="8237" spans="1:1" x14ac:dyDescent="0.25">
      <c r="A8237" s="74">
        <v>13029</v>
      </c>
    </row>
    <row r="8238" spans="1:1" x14ac:dyDescent="0.25">
      <c r="A8238" s="74">
        <v>13030</v>
      </c>
    </row>
    <row r="8239" spans="1:1" x14ac:dyDescent="0.25">
      <c r="A8239" s="74">
        <v>13031</v>
      </c>
    </row>
    <row r="8240" spans="1:1" x14ac:dyDescent="0.25">
      <c r="A8240" s="74">
        <v>13032</v>
      </c>
    </row>
    <row r="8241" spans="1:1" x14ac:dyDescent="0.25">
      <c r="A8241" s="74">
        <v>13033</v>
      </c>
    </row>
    <row r="8242" spans="1:1" x14ac:dyDescent="0.25">
      <c r="A8242" s="74">
        <v>13034</v>
      </c>
    </row>
    <row r="8243" spans="1:1" x14ac:dyDescent="0.25">
      <c r="A8243" s="74">
        <v>13035</v>
      </c>
    </row>
    <row r="8244" spans="1:1" x14ac:dyDescent="0.25">
      <c r="A8244" s="74">
        <v>13036</v>
      </c>
    </row>
    <row r="8245" spans="1:1" x14ac:dyDescent="0.25">
      <c r="A8245" s="74">
        <v>13037</v>
      </c>
    </row>
    <row r="8246" spans="1:1" x14ac:dyDescent="0.25">
      <c r="A8246" s="74">
        <v>13038</v>
      </c>
    </row>
    <row r="8247" spans="1:1" x14ac:dyDescent="0.25">
      <c r="A8247" s="74">
        <v>13039</v>
      </c>
    </row>
    <row r="8248" spans="1:1" x14ac:dyDescent="0.25">
      <c r="A8248" s="74">
        <v>13040</v>
      </c>
    </row>
    <row r="8249" spans="1:1" x14ac:dyDescent="0.25">
      <c r="A8249" s="74">
        <v>13041</v>
      </c>
    </row>
    <row r="8250" spans="1:1" x14ac:dyDescent="0.25">
      <c r="A8250" s="74">
        <v>13042</v>
      </c>
    </row>
    <row r="8251" spans="1:1" x14ac:dyDescent="0.25">
      <c r="A8251" s="74">
        <v>13043</v>
      </c>
    </row>
    <row r="8252" spans="1:1" x14ac:dyDescent="0.25">
      <c r="A8252" s="74">
        <v>13044</v>
      </c>
    </row>
    <row r="8253" spans="1:1" x14ac:dyDescent="0.25">
      <c r="A8253" s="74">
        <v>13045</v>
      </c>
    </row>
    <row r="8254" spans="1:1" x14ac:dyDescent="0.25">
      <c r="A8254" s="74">
        <v>13046</v>
      </c>
    </row>
    <row r="8255" spans="1:1" x14ac:dyDescent="0.25">
      <c r="A8255" s="74">
        <v>13047</v>
      </c>
    </row>
    <row r="8256" spans="1:1" x14ac:dyDescent="0.25">
      <c r="A8256" s="74">
        <v>13048</v>
      </c>
    </row>
    <row r="8257" spans="1:1" x14ac:dyDescent="0.25">
      <c r="A8257" s="74">
        <v>13049</v>
      </c>
    </row>
    <row r="8258" spans="1:1" x14ac:dyDescent="0.25">
      <c r="A8258" s="74">
        <v>13050</v>
      </c>
    </row>
    <row r="8259" spans="1:1" x14ac:dyDescent="0.25">
      <c r="A8259" s="74">
        <v>13051</v>
      </c>
    </row>
    <row r="8260" spans="1:1" x14ac:dyDescent="0.25">
      <c r="A8260" s="74">
        <v>13052</v>
      </c>
    </row>
    <row r="8261" spans="1:1" x14ac:dyDescent="0.25">
      <c r="A8261" s="74">
        <v>13053</v>
      </c>
    </row>
    <row r="8262" spans="1:1" x14ac:dyDescent="0.25">
      <c r="A8262" s="74">
        <v>13054</v>
      </c>
    </row>
    <row r="8263" spans="1:1" x14ac:dyDescent="0.25">
      <c r="A8263" s="74">
        <v>13055</v>
      </c>
    </row>
    <row r="8264" spans="1:1" x14ac:dyDescent="0.25">
      <c r="A8264" s="74">
        <v>13056</v>
      </c>
    </row>
    <row r="8265" spans="1:1" x14ac:dyDescent="0.25">
      <c r="A8265" s="74">
        <v>13057</v>
      </c>
    </row>
    <row r="8266" spans="1:1" x14ac:dyDescent="0.25">
      <c r="A8266" s="74">
        <v>13058</v>
      </c>
    </row>
    <row r="8267" spans="1:1" x14ac:dyDescent="0.25">
      <c r="A8267" s="74">
        <v>13059</v>
      </c>
    </row>
    <row r="8268" spans="1:1" x14ac:dyDescent="0.25">
      <c r="A8268" s="74">
        <v>13060</v>
      </c>
    </row>
    <row r="8269" spans="1:1" x14ac:dyDescent="0.25">
      <c r="A8269" s="74">
        <v>13061</v>
      </c>
    </row>
    <row r="8270" spans="1:1" x14ac:dyDescent="0.25">
      <c r="A8270" s="74">
        <v>13062</v>
      </c>
    </row>
    <row r="8271" spans="1:1" x14ac:dyDescent="0.25">
      <c r="A8271" s="74">
        <v>13063</v>
      </c>
    </row>
    <row r="8272" spans="1:1" x14ac:dyDescent="0.25">
      <c r="A8272" s="74">
        <v>13064</v>
      </c>
    </row>
    <row r="8273" spans="1:1" x14ac:dyDescent="0.25">
      <c r="A8273" s="74">
        <v>13065</v>
      </c>
    </row>
    <row r="8274" spans="1:1" x14ac:dyDescent="0.25">
      <c r="A8274" s="74">
        <v>13066</v>
      </c>
    </row>
    <row r="8275" spans="1:1" x14ac:dyDescent="0.25">
      <c r="A8275" s="74">
        <v>13067</v>
      </c>
    </row>
    <row r="8276" spans="1:1" x14ac:dyDescent="0.25">
      <c r="A8276" s="74">
        <v>13068</v>
      </c>
    </row>
    <row r="8277" spans="1:1" x14ac:dyDescent="0.25">
      <c r="A8277" s="74">
        <v>13069</v>
      </c>
    </row>
    <row r="8278" spans="1:1" x14ac:dyDescent="0.25">
      <c r="A8278" s="74">
        <v>13070</v>
      </c>
    </row>
    <row r="8279" spans="1:1" x14ac:dyDescent="0.25">
      <c r="A8279" s="74">
        <v>13071</v>
      </c>
    </row>
    <row r="8280" spans="1:1" x14ac:dyDescent="0.25">
      <c r="A8280" s="74">
        <v>13072</v>
      </c>
    </row>
    <row r="8281" spans="1:1" x14ac:dyDescent="0.25">
      <c r="A8281" s="74">
        <v>13073</v>
      </c>
    </row>
    <row r="8282" spans="1:1" x14ac:dyDescent="0.25">
      <c r="A8282" s="74">
        <v>13074</v>
      </c>
    </row>
    <row r="8283" spans="1:1" x14ac:dyDescent="0.25">
      <c r="A8283" s="74">
        <v>13075</v>
      </c>
    </row>
    <row r="8284" spans="1:1" x14ac:dyDescent="0.25">
      <c r="A8284" s="74">
        <v>13076</v>
      </c>
    </row>
    <row r="8285" spans="1:1" x14ac:dyDescent="0.25">
      <c r="A8285" s="74">
        <v>13077</v>
      </c>
    </row>
    <row r="8286" spans="1:1" x14ac:dyDescent="0.25">
      <c r="A8286" s="74">
        <v>13078</v>
      </c>
    </row>
    <row r="8287" spans="1:1" x14ac:dyDescent="0.25">
      <c r="A8287" s="74">
        <v>13079</v>
      </c>
    </row>
    <row r="8288" spans="1:1" x14ac:dyDescent="0.25">
      <c r="A8288" s="74">
        <v>13080</v>
      </c>
    </row>
    <row r="8289" spans="1:1" x14ac:dyDescent="0.25">
      <c r="A8289" s="74">
        <v>13081</v>
      </c>
    </row>
    <row r="8290" spans="1:1" x14ac:dyDescent="0.25">
      <c r="A8290" s="74">
        <v>13082</v>
      </c>
    </row>
    <row r="8291" spans="1:1" x14ac:dyDescent="0.25">
      <c r="A8291" s="74">
        <v>13083</v>
      </c>
    </row>
    <row r="8292" spans="1:1" x14ac:dyDescent="0.25">
      <c r="A8292" s="74">
        <v>13084</v>
      </c>
    </row>
    <row r="8293" spans="1:1" x14ac:dyDescent="0.25">
      <c r="A8293" s="74">
        <v>13085</v>
      </c>
    </row>
    <row r="8294" spans="1:1" x14ac:dyDescent="0.25">
      <c r="A8294" s="74">
        <v>13086</v>
      </c>
    </row>
    <row r="8295" spans="1:1" x14ac:dyDescent="0.25">
      <c r="A8295" s="74">
        <v>13087</v>
      </c>
    </row>
    <row r="8296" spans="1:1" x14ac:dyDescent="0.25">
      <c r="A8296" s="74">
        <v>13088</v>
      </c>
    </row>
    <row r="8297" spans="1:1" x14ac:dyDescent="0.25">
      <c r="A8297" s="74">
        <v>13089</v>
      </c>
    </row>
    <row r="8298" spans="1:1" x14ac:dyDescent="0.25">
      <c r="A8298" s="74">
        <v>13090</v>
      </c>
    </row>
    <row r="8299" spans="1:1" x14ac:dyDescent="0.25">
      <c r="A8299" s="74">
        <v>13091</v>
      </c>
    </row>
    <row r="8300" spans="1:1" x14ac:dyDescent="0.25">
      <c r="A8300" s="74">
        <v>13092</v>
      </c>
    </row>
    <row r="8301" spans="1:1" x14ac:dyDescent="0.25">
      <c r="A8301" s="74">
        <v>13093</v>
      </c>
    </row>
    <row r="8302" spans="1:1" x14ac:dyDescent="0.25">
      <c r="A8302" s="74">
        <v>13094</v>
      </c>
    </row>
    <row r="8303" spans="1:1" x14ac:dyDescent="0.25">
      <c r="A8303" s="74">
        <v>13095</v>
      </c>
    </row>
    <row r="8304" spans="1:1" x14ac:dyDescent="0.25">
      <c r="A8304" s="74">
        <v>13096</v>
      </c>
    </row>
    <row r="8305" spans="1:1" x14ac:dyDescent="0.25">
      <c r="A8305" s="74">
        <v>13097</v>
      </c>
    </row>
    <row r="8306" spans="1:1" x14ac:dyDescent="0.25">
      <c r="A8306" s="74">
        <v>13098</v>
      </c>
    </row>
    <row r="8307" spans="1:1" x14ac:dyDescent="0.25">
      <c r="A8307" s="74">
        <v>13099</v>
      </c>
    </row>
    <row r="8308" spans="1:1" x14ac:dyDescent="0.25">
      <c r="A8308" s="74">
        <v>13100</v>
      </c>
    </row>
    <row r="8309" spans="1:1" x14ac:dyDescent="0.25">
      <c r="A8309" s="74">
        <v>13101</v>
      </c>
    </row>
    <row r="8310" spans="1:1" x14ac:dyDescent="0.25">
      <c r="A8310" s="74">
        <v>13102</v>
      </c>
    </row>
    <row r="8311" spans="1:1" x14ac:dyDescent="0.25">
      <c r="A8311" s="74">
        <v>13103</v>
      </c>
    </row>
    <row r="8312" spans="1:1" x14ac:dyDescent="0.25">
      <c r="A8312" s="74">
        <v>13104</v>
      </c>
    </row>
    <row r="8313" spans="1:1" x14ac:dyDescent="0.25">
      <c r="A8313" s="74">
        <v>13105</v>
      </c>
    </row>
    <row r="8314" spans="1:1" x14ac:dyDescent="0.25">
      <c r="A8314" s="74">
        <v>13106</v>
      </c>
    </row>
    <row r="8315" spans="1:1" x14ac:dyDescent="0.25">
      <c r="A8315" s="74">
        <v>13107</v>
      </c>
    </row>
    <row r="8316" spans="1:1" x14ac:dyDescent="0.25">
      <c r="A8316" s="74">
        <v>13108</v>
      </c>
    </row>
    <row r="8317" spans="1:1" x14ac:dyDescent="0.25">
      <c r="A8317" s="74">
        <v>13109</v>
      </c>
    </row>
    <row r="8318" spans="1:1" x14ac:dyDescent="0.25">
      <c r="A8318" s="74">
        <v>13110</v>
      </c>
    </row>
    <row r="8319" spans="1:1" x14ac:dyDescent="0.25">
      <c r="A8319" s="74">
        <v>13111</v>
      </c>
    </row>
    <row r="8320" spans="1:1" x14ac:dyDescent="0.25">
      <c r="A8320" s="74">
        <v>13112</v>
      </c>
    </row>
    <row r="8321" spans="1:1" x14ac:dyDescent="0.25">
      <c r="A8321" s="74">
        <v>13113</v>
      </c>
    </row>
    <row r="8322" spans="1:1" x14ac:dyDescent="0.25">
      <c r="A8322" s="74">
        <v>13114</v>
      </c>
    </row>
    <row r="8323" spans="1:1" x14ac:dyDescent="0.25">
      <c r="A8323" s="74">
        <v>13115</v>
      </c>
    </row>
    <row r="8324" spans="1:1" x14ac:dyDescent="0.25">
      <c r="A8324" s="74">
        <v>13116</v>
      </c>
    </row>
    <row r="8325" spans="1:1" x14ac:dyDescent="0.25">
      <c r="A8325" s="74">
        <v>13117</v>
      </c>
    </row>
    <row r="8326" spans="1:1" x14ac:dyDescent="0.25">
      <c r="A8326" s="74">
        <v>13118</v>
      </c>
    </row>
    <row r="8327" spans="1:1" x14ac:dyDescent="0.25">
      <c r="A8327" s="74">
        <v>13119</v>
      </c>
    </row>
    <row r="8328" spans="1:1" x14ac:dyDescent="0.25">
      <c r="A8328" s="74">
        <v>13120</v>
      </c>
    </row>
    <row r="8329" spans="1:1" x14ac:dyDescent="0.25">
      <c r="A8329" s="74">
        <v>13121</v>
      </c>
    </row>
    <row r="8330" spans="1:1" x14ac:dyDescent="0.25">
      <c r="A8330" s="74">
        <v>13122</v>
      </c>
    </row>
    <row r="8331" spans="1:1" x14ac:dyDescent="0.25">
      <c r="A8331" s="74">
        <v>13123</v>
      </c>
    </row>
    <row r="8332" spans="1:1" x14ac:dyDescent="0.25">
      <c r="A8332" s="74">
        <v>13124</v>
      </c>
    </row>
    <row r="8333" spans="1:1" x14ac:dyDescent="0.25">
      <c r="A8333" s="74">
        <v>13125</v>
      </c>
    </row>
    <row r="8334" spans="1:1" x14ac:dyDescent="0.25">
      <c r="A8334" s="74">
        <v>13126</v>
      </c>
    </row>
    <row r="8335" spans="1:1" x14ac:dyDescent="0.25">
      <c r="A8335" s="74">
        <v>13127</v>
      </c>
    </row>
    <row r="8336" spans="1:1" x14ac:dyDescent="0.25">
      <c r="A8336" s="74">
        <v>13128</v>
      </c>
    </row>
    <row r="8337" spans="1:1" x14ac:dyDescent="0.25">
      <c r="A8337" s="74">
        <v>13129</v>
      </c>
    </row>
    <row r="8338" spans="1:1" x14ac:dyDescent="0.25">
      <c r="A8338" s="74">
        <v>13130</v>
      </c>
    </row>
    <row r="8339" spans="1:1" x14ac:dyDescent="0.25">
      <c r="A8339" s="74">
        <v>13131</v>
      </c>
    </row>
    <row r="8340" spans="1:1" x14ac:dyDescent="0.25">
      <c r="A8340" s="74">
        <v>13132</v>
      </c>
    </row>
    <row r="8341" spans="1:1" x14ac:dyDescent="0.25">
      <c r="A8341" s="74">
        <v>13133</v>
      </c>
    </row>
    <row r="8342" spans="1:1" x14ac:dyDescent="0.25">
      <c r="A8342" s="74">
        <v>13134</v>
      </c>
    </row>
    <row r="8343" spans="1:1" x14ac:dyDescent="0.25">
      <c r="A8343" s="74">
        <v>13135</v>
      </c>
    </row>
    <row r="8344" spans="1:1" x14ac:dyDescent="0.25">
      <c r="A8344" s="74">
        <v>13136</v>
      </c>
    </row>
    <row r="8345" spans="1:1" x14ac:dyDescent="0.25">
      <c r="A8345" s="74">
        <v>13137</v>
      </c>
    </row>
    <row r="8346" spans="1:1" x14ac:dyDescent="0.25">
      <c r="A8346" s="74">
        <v>13138</v>
      </c>
    </row>
    <row r="8347" spans="1:1" x14ac:dyDescent="0.25">
      <c r="A8347" s="74">
        <v>13139</v>
      </c>
    </row>
    <row r="8348" spans="1:1" x14ac:dyDescent="0.25">
      <c r="A8348" s="74">
        <v>13140</v>
      </c>
    </row>
    <row r="8349" spans="1:1" x14ac:dyDescent="0.25">
      <c r="A8349" s="74">
        <v>13141</v>
      </c>
    </row>
    <row r="8350" spans="1:1" x14ac:dyDescent="0.25">
      <c r="A8350" s="74">
        <v>13142</v>
      </c>
    </row>
    <row r="8351" spans="1:1" x14ac:dyDescent="0.25">
      <c r="A8351" s="74">
        <v>13143</v>
      </c>
    </row>
    <row r="8352" spans="1:1" x14ac:dyDescent="0.25">
      <c r="A8352" s="74">
        <v>13144</v>
      </c>
    </row>
    <row r="8353" spans="1:1" x14ac:dyDescent="0.25">
      <c r="A8353" s="74">
        <v>13145</v>
      </c>
    </row>
    <row r="8354" spans="1:1" x14ac:dyDescent="0.25">
      <c r="A8354" s="74">
        <v>13146</v>
      </c>
    </row>
    <row r="8355" spans="1:1" x14ac:dyDescent="0.25">
      <c r="A8355" s="74">
        <v>13147</v>
      </c>
    </row>
    <row r="8356" spans="1:1" x14ac:dyDescent="0.25">
      <c r="A8356" s="74">
        <v>13148</v>
      </c>
    </row>
    <row r="8357" spans="1:1" x14ac:dyDescent="0.25">
      <c r="A8357" s="74">
        <v>13149</v>
      </c>
    </row>
    <row r="8358" spans="1:1" x14ac:dyDescent="0.25">
      <c r="A8358" s="74">
        <v>13150</v>
      </c>
    </row>
    <row r="8359" spans="1:1" x14ac:dyDescent="0.25">
      <c r="A8359" s="74">
        <v>13151</v>
      </c>
    </row>
    <row r="8360" spans="1:1" x14ac:dyDescent="0.25">
      <c r="A8360" s="74">
        <v>13152</v>
      </c>
    </row>
    <row r="8361" spans="1:1" x14ac:dyDescent="0.25">
      <c r="A8361" s="74">
        <v>13153</v>
      </c>
    </row>
    <row r="8362" spans="1:1" x14ac:dyDescent="0.25">
      <c r="A8362" s="74">
        <v>13154</v>
      </c>
    </row>
    <row r="8363" spans="1:1" x14ac:dyDescent="0.25">
      <c r="A8363" s="74">
        <v>13155</v>
      </c>
    </row>
    <row r="8364" spans="1:1" x14ac:dyDescent="0.25">
      <c r="A8364" s="74">
        <v>13156</v>
      </c>
    </row>
    <row r="8365" spans="1:1" x14ac:dyDescent="0.25">
      <c r="A8365" s="74">
        <v>13157</v>
      </c>
    </row>
    <row r="8366" spans="1:1" x14ac:dyDescent="0.25">
      <c r="A8366" s="74">
        <v>13158</v>
      </c>
    </row>
    <row r="8367" spans="1:1" x14ac:dyDescent="0.25">
      <c r="A8367" s="74">
        <v>13159</v>
      </c>
    </row>
    <row r="8368" spans="1:1" x14ac:dyDescent="0.25">
      <c r="A8368" s="74">
        <v>13160</v>
      </c>
    </row>
    <row r="8369" spans="1:1" x14ac:dyDescent="0.25">
      <c r="A8369" s="74">
        <v>13161</v>
      </c>
    </row>
    <row r="8370" spans="1:1" x14ac:dyDescent="0.25">
      <c r="A8370" s="74">
        <v>13162</v>
      </c>
    </row>
    <row r="8371" spans="1:1" x14ac:dyDescent="0.25">
      <c r="A8371" s="74">
        <v>13163</v>
      </c>
    </row>
    <row r="8372" spans="1:1" x14ac:dyDescent="0.25">
      <c r="A8372" s="74">
        <v>13164</v>
      </c>
    </row>
    <row r="8373" spans="1:1" x14ac:dyDescent="0.25">
      <c r="A8373" s="74">
        <v>13165</v>
      </c>
    </row>
    <row r="8374" spans="1:1" x14ac:dyDescent="0.25">
      <c r="A8374" s="74">
        <v>13166</v>
      </c>
    </row>
    <row r="8375" spans="1:1" x14ac:dyDescent="0.25">
      <c r="A8375" s="74">
        <v>13167</v>
      </c>
    </row>
    <row r="8376" spans="1:1" x14ac:dyDescent="0.25">
      <c r="A8376" s="74">
        <v>13168</v>
      </c>
    </row>
    <row r="8377" spans="1:1" x14ac:dyDescent="0.25">
      <c r="A8377" s="74">
        <v>13169</v>
      </c>
    </row>
    <row r="8378" spans="1:1" x14ac:dyDescent="0.25">
      <c r="A8378" s="74">
        <v>13170</v>
      </c>
    </row>
    <row r="8379" spans="1:1" x14ac:dyDescent="0.25">
      <c r="A8379" s="74">
        <v>13171</v>
      </c>
    </row>
    <row r="8380" spans="1:1" x14ac:dyDescent="0.25">
      <c r="A8380" s="74">
        <v>13172</v>
      </c>
    </row>
    <row r="8381" spans="1:1" x14ac:dyDescent="0.25">
      <c r="A8381" s="74">
        <v>13173</v>
      </c>
    </row>
    <row r="8382" spans="1:1" x14ac:dyDescent="0.25">
      <c r="A8382" s="74">
        <v>13174</v>
      </c>
    </row>
    <row r="8383" spans="1:1" x14ac:dyDescent="0.25">
      <c r="A8383" s="74">
        <v>13175</v>
      </c>
    </row>
    <row r="8384" spans="1:1" x14ac:dyDescent="0.25">
      <c r="A8384" s="74">
        <v>13176</v>
      </c>
    </row>
    <row r="8385" spans="1:1" x14ac:dyDescent="0.25">
      <c r="A8385" s="74">
        <v>13177</v>
      </c>
    </row>
    <row r="8386" spans="1:1" x14ac:dyDescent="0.25">
      <c r="A8386" s="74">
        <v>13178</v>
      </c>
    </row>
    <row r="8387" spans="1:1" x14ac:dyDescent="0.25">
      <c r="A8387" s="74">
        <v>13179</v>
      </c>
    </row>
    <row r="8388" spans="1:1" x14ac:dyDescent="0.25">
      <c r="A8388" s="74">
        <v>13180</v>
      </c>
    </row>
    <row r="8389" spans="1:1" x14ac:dyDescent="0.25">
      <c r="A8389" s="74">
        <v>13181</v>
      </c>
    </row>
    <row r="8390" spans="1:1" x14ac:dyDescent="0.25">
      <c r="A8390" s="74">
        <v>13182</v>
      </c>
    </row>
    <row r="8391" spans="1:1" x14ac:dyDescent="0.25">
      <c r="A8391" s="74">
        <v>13183</v>
      </c>
    </row>
    <row r="8392" spans="1:1" x14ac:dyDescent="0.25">
      <c r="A8392" s="74">
        <v>13184</v>
      </c>
    </row>
    <row r="8393" spans="1:1" x14ac:dyDescent="0.25">
      <c r="A8393" s="74">
        <v>13185</v>
      </c>
    </row>
    <row r="8394" spans="1:1" x14ac:dyDescent="0.25">
      <c r="A8394" s="74">
        <v>13186</v>
      </c>
    </row>
    <row r="8395" spans="1:1" x14ac:dyDescent="0.25">
      <c r="A8395" s="74">
        <v>13187</v>
      </c>
    </row>
    <row r="8396" spans="1:1" x14ac:dyDescent="0.25">
      <c r="A8396" s="74">
        <v>13188</v>
      </c>
    </row>
    <row r="8397" spans="1:1" x14ac:dyDescent="0.25">
      <c r="A8397" s="74">
        <v>13189</v>
      </c>
    </row>
    <row r="8398" spans="1:1" x14ac:dyDescent="0.25">
      <c r="A8398" s="74">
        <v>13190</v>
      </c>
    </row>
    <row r="8399" spans="1:1" x14ac:dyDescent="0.25">
      <c r="A8399" s="74">
        <v>13191</v>
      </c>
    </row>
    <row r="8400" spans="1:1" x14ac:dyDescent="0.25">
      <c r="A8400" s="74">
        <v>13192</v>
      </c>
    </row>
    <row r="8401" spans="1:1" x14ac:dyDescent="0.25">
      <c r="A8401" s="74">
        <v>13193</v>
      </c>
    </row>
    <row r="8402" spans="1:1" x14ac:dyDescent="0.25">
      <c r="A8402" s="74">
        <v>13194</v>
      </c>
    </row>
    <row r="8403" spans="1:1" x14ac:dyDescent="0.25">
      <c r="A8403" s="74">
        <v>13195</v>
      </c>
    </row>
    <row r="8404" spans="1:1" x14ac:dyDescent="0.25">
      <c r="A8404" s="74">
        <v>13196</v>
      </c>
    </row>
    <row r="8405" spans="1:1" x14ac:dyDescent="0.25">
      <c r="A8405" s="74">
        <v>13197</v>
      </c>
    </row>
    <row r="8406" spans="1:1" x14ac:dyDescent="0.25">
      <c r="A8406" s="74">
        <v>13198</v>
      </c>
    </row>
    <row r="8407" spans="1:1" x14ac:dyDescent="0.25">
      <c r="A8407" s="74">
        <v>13199</v>
      </c>
    </row>
    <row r="8408" spans="1:1" x14ac:dyDescent="0.25">
      <c r="A8408" s="74">
        <v>13200</v>
      </c>
    </row>
    <row r="8409" spans="1:1" x14ac:dyDescent="0.25">
      <c r="A8409" s="74">
        <v>13201</v>
      </c>
    </row>
    <row r="8410" spans="1:1" x14ac:dyDescent="0.25">
      <c r="A8410" s="74">
        <v>13202</v>
      </c>
    </row>
    <row r="8411" spans="1:1" x14ac:dyDescent="0.25">
      <c r="A8411" s="74">
        <v>13203</v>
      </c>
    </row>
    <row r="8412" spans="1:1" x14ac:dyDescent="0.25">
      <c r="A8412" s="74">
        <v>13204</v>
      </c>
    </row>
    <row r="8413" spans="1:1" x14ac:dyDescent="0.25">
      <c r="A8413" s="74">
        <v>13205</v>
      </c>
    </row>
    <row r="8414" spans="1:1" x14ac:dyDescent="0.25">
      <c r="A8414" s="74">
        <v>13206</v>
      </c>
    </row>
    <row r="8415" spans="1:1" x14ac:dyDescent="0.25">
      <c r="A8415" s="74">
        <v>13207</v>
      </c>
    </row>
    <row r="8416" spans="1:1" x14ac:dyDescent="0.25">
      <c r="A8416" s="74">
        <v>13208</v>
      </c>
    </row>
    <row r="8417" spans="1:1" x14ac:dyDescent="0.25">
      <c r="A8417" s="74">
        <v>13209</v>
      </c>
    </row>
    <row r="8418" spans="1:1" x14ac:dyDescent="0.25">
      <c r="A8418" s="74">
        <v>13210</v>
      </c>
    </row>
    <row r="8419" spans="1:1" x14ac:dyDescent="0.25">
      <c r="A8419" s="74">
        <v>13211</v>
      </c>
    </row>
    <row r="8420" spans="1:1" x14ac:dyDescent="0.25">
      <c r="A8420" s="74">
        <v>13212</v>
      </c>
    </row>
    <row r="8421" spans="1:1" x14ac:dyDescent="0.25">
      <c r="A8421" s="74">
        <v>13213</v>
      </c>
    </row>
    <row r="8422" spans="1:1" x14ac:dyDescent="0.25">
      <c r="A8422" s="74">
        <v>13214</v>
      </c>
    </row>
    <row r="8423" spans="1:1" x14ac:dyDescent="0.25">
      <c r="A8423" s="74">
        <v>13215</v>
      </c>
    </row>
    <row r="8424" spans="1:1" x14ac:dyDescent="0.25">
      <c r="A8424" s="74">
        <v>13216</v>
      </c>
    </row>
    <row r="8425" spans="1:1" x14ac:dyDescent="0.25">
      <c r="A8425" s="74">
        <v>13217</v>
      </c>
    </row>
    <row r="8426" spans="1:1" x14ac:dyDescent="0.25">
      <c r="A8426" s="74">
        <v>13218</v>
      </c>
    </row>
    <row r="8427" spans="1:1" x14ac:dyDescent="0.25">
      <c r="A8427" s="74">
        <v>13219</v>
      </c>
    </row>
    <row r="8428" spans="1:1" x14ac:dyDescent="0.25">
      <c r="A8428" s="74">
        <v>13220</v>
      </c>
    </row>
    <row r="8429" spans="1:1" x14ac:dyDescent="0.25">
      <c r="A8429" s="74">
        <v>13221</v>
      </c>
    </row>
    <row r="8430" spans="1:1" x14ac:dyDescent="0.25">
      <c r="A8430" s="74">
        <v>13222</v>
      </c>
    </row>
    <row r="8431" spans="1:1" x14ac:dyDescent="0.25">
      <c r="A8431" s="74">
        <v>13223</v>
      </c>
    </row>
    <row r="8432" spans="1:1" x14ac:dyDescent="0.25">
      <c r="A8432" s="74">
        <v>13224</v>
      </c>
    </row>
    <row r="8433" spans="1:1" x14ac:dyDescent="0.25">
      <c r="A8433" s="74">
        <v>13225</v>
      </c>
    </row>
    <row r="8434" spans="1:1" x14ac:dyDescent="0.25">
      <c r="A8434" s="74">
        <v>13226</v>
      </c>
    </row>
    <row r="8435" spans="1:1" x14ac:dyDescent="0.25">
      <c r="A8435" s="74">
        <v>13227</v>
      </c>
    </row>
    <row r="8436" spans="1:1" x14ac:dyDescent="0.25">
      <c r="A8436" s="74">
        <v>13228</v>
      </c>
    </row>
    <row r="8437" spans="1:1" x14ac:dyDescent="0.25">
      <c r="A8437" s="74">
        <v>13229</v>
      </c>
    </row>
    <row r="8438" spans="1:1" x14ac:dyDescent="0.25">
      <c r="A8438" s="74">
        <v>13230</v>
      </c>
    </row>
    <row r="8439" spans="1:1" x14ac:dyDescent="0.25">
      <c r="A8439" s="74">
        <v>13231</v>
      </c>
    </row>
    <row r="8440" spans="1:1" x14ac:dyDescent="0.25">
      <c r="A8440" s="74">
        <v>13232</v>
      </c>
    </row>
    <row r="8441" spans="1:1" x14ac:dyDescent="0.25">
      <c r="A8441" s="74">
        <v>13233</v>
      </c>
    </row>
    <row r="8442" spans="1:1" x14ac:dyDescent="0.25">
      <c r="A8442" s="74">
        <v>13234</v>
      </c>
    </row>
    <row r="8443" spans="1:1" x14ac:dyDescent="0.25">
      <c r="A8443" s="74">
        <v>13235</v>
      </c>
    </row>
    <row r="8444" spans="1:1" x14ac:dyDescent="0.25">
      <c r="A8444" s="74">
        <v>13236</v>
      </c>
    </row>
    <row r="8445" spans="1:1" x14ac:dyDescent="0.25">
      <c r="A8445" s="74">
        <v>13237</v>
      </c>
    </row>
    <row r="8446" spans="1:1" x14ac:dyDescent="0.25">
      <c r="A8446" s="74">
        <v>13238</v>
      </c>
    </row>
    <row r="8447" spans="1:1" x14ac:dyDescent="0.25">
      <c r="A8447" s="74">
        <v>13239</v>
      </c>
    </row>
    <row r="8448" spans="1:1" x14ac:dyDescent="0.25">
      <c r="A8448" s="74">
        <v>13240</v>
      </c>
    </row>
    <row r="8449" spans="1:1" x14ac:dyDescent="0.25">
      <c r="A8449" s="74">
        <v>13241</v>
      </c>
    </row>
    <row r="8450" spans="1:1" x14ac:dyDescent="0.25">
      <c r="A8450" s="74">
        <v>13242</v>
      </c>
    </row>
    <row r="8451" spans="1:1" x14ac:dyDescent="0.25">
      <c r="A8451" s="74">
        <v>13243</v>
      </c>
    </row>
    <row r="8452" spans="1:1" x14ac:dyDescent="0.25">
      <c r="A8452" s="74">
        <v>13244</v>
      </c>
    </row>
    <row r="8453" spans="1:1" x14ac:dyDescent="0.25">
      <c r="A8453" s="74">
        <v>13245</v>
      </c>
    </row>
    <row r="8454" spans="1:1" x14ac:dyDescent="0.25">
      <c r="A8454" s="74">
        <v>13246</v>
      </c>
    </row>
    <row r="8455" spans="1:1" x14ac:dyDescent="0.25">
      <c r="A8455" s="74">
        <v>13247</v>
      </c>
    </row>
    <row r="8456" spans="1:1" x14ac:dyDescent="0.25">
      <c r="A8456" s="74">
        <v>13248</v>
      </c>
    </row>
    <row r="8457" spans="1:1" x14ac:dyDescent="0.25">
      <c r="A8457" s="74">
        <v>13249</v>
      </c>
    </row>
    <row r="8458" spans="1:1" x14ac:dyDescent="0.25">
      <c r="A8458" s="74">
        <v>13250</v>
      </c>
    </row>
    <row r="8459" spans="1:1" x14ac:dyDescent="0.25">
      <c r="A8459" s="74">
        <v>13251</v>
      </c>
    </row>
    <row r="8460" spans="1:1" x14ac:dyDescent="0.25">
      <c r="A8460" s="74">
        <v>13252</v>
      </c>
    </row>
    <row r="8461" spans="1:1" x14ac:dyDescent="0.25">
      <c r="A8461" s="74">
        <v>13253</v>
      </c>
    </row>
    <row r="8462" spans="1:1" x14ac:dyDescent="0.25">
      <c r="A8462" s="74">
        <v>13254</v>
      </c>
    </row>
    <row r="8463" spans="1:1" x14ac:dyDescent="0.25">
      <c r="A8463" s="74">
        <v>13255</v>
      </c>
    </row>
    <row r="8464" spans="1:1" x14ac:dyDescent="0.25">
      <c r="A8464" s="74">
        <v>13256</v>
      </c>
    </row>
    <row r="8465" spans="1:1" x14ac:dyDescent="0.25">
      <c r="A8465" s="74">
        <v>13257</v>
      </c>
    </row>
    <row r="8466" spans="1:1" x14ac:dyDescent="0.25">
      <c r="A8466" s="74">
        <v>13258</v>
      </c>
    </row>
    <row r="8467" spans="1:1" x14ac:dyDescent="0.25">
      <c r="A8467" s="74">
        <v>13259</v>
      </c>
    </row>
    <row r="8468" spans="1:1" x14ac:dyDescent="0.25">
      <c r="A8468" s="74">
        <v>13260</v>
      </c>
    </row>
    <row r="8469" spans="1:1" x14ac:dyDescent="0.25">
      <c r="A8469" s="74">
        <v>13261</v>
      </c>
    </row>
    <row r="8470" spans="1:1" x14ac:dyDescent="0.25">
      <c r="A8470" s="74">
        <v>13262</v>
      </c>
    </row>
    <row r="8471" spans="1:1" x14ac:dyDescent="0.25">
      <c r="A8471" s="74">
        <v>13263</v>
      </c>
    </row>
    <row r="8472" spans="1:1" x14ac:dyDescent="0.25">
      <c r="A8472" s="74">
        <v>13264</v>
      </c>
    </row>
    <row r="8473" spans="1:1" x14ac:dyDescent="0.25">
      <c r="A8473" s="74">
        <v>13265</v>
      </c>
    </row>
    <row r="8474" spans="1:1" x14ac:dyDescent="0.25">
      <c r="A8474" s="74">
        <v>13266</v>
      </c>
    </row>
    <row r="8475" spans="1:1" x14ac:dyDescent="0.25">
      <c r="A8475" s="74">
        <v>13267</v>
      </c>
    </row>
    <row r="8476" spans="1:1" x14ac:dyDescent="0.25">
      <c r="A8476" s="74">
        <v>13268</v>
      </c>
    </row>
    <row r="8477" spans="1:1" x14ac:dyDescent="0.25">
      <c r="A8477" s="74">
        <v>13269</v>
      </c>
    </row>
    <row r="8478" spans="1:1" x14ac:dyDescent="0.25">
      <c r="A8478" s="74">
        <v>13270</v>
      </c>
    </row>
    <row r="8479" spans="1:1" x14ac:dyDescent="0.25">
      <c r="A8479" s="74">
        <v>13271</v>
      </c>
    </row>
    <row r="8480" spans="1:1" x14ac:dyDescent="0.25">
      <c r="A8480" s="74">
        <v>13272</v>
      </c>
    </row>
    <row r="8481" spans="1:1" x14ac:dyDescent="0.25">
      <c r="A8481" s="74">
        <v>13273</v>
      </c>
    </row>
    <row r="8482" spans="1:1" x14ac:dyDescent="0.25">
      <c r="A8482" s="74">
        <v>13274</v>
      </c>
    </row>
    <row r="8483" spans="1:1" x14ac:dyDescent="0.25">
      <c r="A8483" s="74">
        <v>13275</v>
      </c>
    </row>
    <row r="8484" spans="1:1" x14ac:dyDescent="0.25">
      <c r="A8484" s="74">
        <v>13276</v>
      </c>
    </row>
    <row r="8485" spans="1:1" x14ac:dyDescent="0.25">
      <c r="A8485" s="74">
        <v>13277</v>
      </c>
    </row>
    <row r="8486" spans="1:1" x14ac:dyDescent="0.25">
      <c r="A8486" s="74">
        <v>13278</v>
      </c>
    </row>
    <row r="8487" spans="1:1" x14ac:dyDescent="0.25">
      <c r="A8487" s="74">
        <v>13279</v>
      </c>
    </row>
    <row r="8488" spans="1:1" x14ac:dyDescent="0.25">
      <c r="A8488" s="74">
        <v>13280</v>
      </c>
    </row>
    <row r="8489" spans="1:1" x14ac:dyDescent="0.25">
      <c r="A8489" s="74">
        <v>13281</v>
      </c>
    </row>
    <row r="8490" spans="1:1" x14ac:dyDescent="0.25">
      <c r="A8490" s="74">
        <v>13282</v>
      </c>
    </row>
    <row r="8491" spans="1:1" x14ac:dyDescent="0.25">
      <c r="A8491" s="74">
        <v>13283</v>
      </c>
    </row>
    <row r="8492" spans="1:1" x14ac:dyDescent="0.25">
      <c r="A8492" s="74">
        <v>13284</v>
      </c>
    </row>
    <row r="8493" spans="1:1" x14ac:dyDescent="0.25">
      <c r="A8493" s="74">
        <v>13285</v>
      </c>
    </row>
    <row r="8494" spans="1:1" x14ac:dyDescent="0.25">
      <c r="A8494" s="74">
        <v>13286</v>
      </c>
    </row>
    <row r="8495" spans="1:1" x14ac:dyDescent="0.25">
      <c r="A8495" s="74">
        <v>13287</v>
      </c>
    </row>
    <row r="8496" spans="1:1" x14ac:dyDescent="0.25">
      <c r="A8496" s="74">
        <v>13288</v>
      </c>
    </row>
    <row r="8497" spans="1:1" x14ac:dyDescent="0.25">
      <c r="A8497" s="74">
        <v>13289</v>
      </c>
    </row>
    <row r="8498" spans="1:1" x14ac:dyDescent="0.25">
      <c r="A8498" s="74">
        <v>13290</v>
      </c>
    </row>
    <row r="8499" spans="1:1" x14ac:dyDescent="0.25">
      <c r="A8499" s="74">
        <v>13291</v>
      </c>
    </row>
    <row r="8500" spans="1:1" x14ac:dyDescent="0.25">
      <c r="A8500" s="74">
        <v>13292</v>
      </c>
    </row>
    <row r="8501" spans="1:1" x14ac:dyDescent="0.25">
      <c r="A8501" s="74">
        <v>13293</v>
      </c>
    </row>
    <row r="8502" spans="1:1" x14ac:dyDescent="0.25">
      <c r="A8502" s="74">
        <v>13294</v>
      </c>
    </row>
    <row r="8503" spans="1:1" x14ac:dyDescent="0.25">
      <c r="A8503" s="74">
        <v>13295</v>
      </c>
    </row>
    <row r="8504" spans="1:1" x14ac:dyDescent="0.25">
      <c r="A8504" s="74">
        <v>13296</v>
      </c>
    </row>
    <row r="8505" spans="1:1" x14ac:dyDescent="0.25">
      <c r="A8505" s="74">
        <v>13297</v>
      </c>
    </row>
    <row r="8506" spans="1:1" x14ac:dyDescent="0.25">
      <c r="A8506" s="74">
        <v>13298</v>
      </c>
    </row>
    <row r="8507" spans="1:1" x14ac:dyDescent="0.25">
      <c r="A8507" s="74">
        <v>13299</v>
      </c>
    </row>
    <row r="8508" spans="1:1" x14ac:dyDescent="0.25">
      <c r="A8508" s="74">
        <v>13300</v>
      </c>
    </row>
    <row r="8509" spans="1:1" x14ac:dyDescent="0.25">
      <c r="A8509" s="74">
        <v>13301</v>
      </c>
    </row>
    <row r="8510" spans="1:1" x14ac:dyDescent="0.25">
      <c r="A8510" s="74">
        <v>13302</v>
      </c>
    </row>
    <row r="8511" spans="1:1" x14ac:dyDescent="0.25">
      <c r="A8511" s="74">
        <v>13303</v>
      </c>
    </row>
    <row r="8512" spans="1:1" x14ac:dyDescent="0.25">
      <c r="A8512" s="74">
        <v>13304</v>
      </c>
    </row>
    <row r="8513" spans="1:1" x14ac:dyDescent="0.25">
      <c r="A8513" s="74">
        <v>13305</v>
      </c>
    </row>
    <row r="8514" spans="1:1" x14ac:dyDescent="0.25">
      <c r="A8514" s="74">
        <v>13306</v>
      </c>
    </row>
    <row r="8515" spans="1:1" x14ac:dyDescent="0.25">
      <c r="A8515" s="74">
        <v>13307</v>
      </c>
    </row>
    <row r="8516" spans="1:1" x14ac:dyDescent="0.25">
      <c r="A8516" s="74">
        <v>13308</v>
      </c>
    </row>
    <row r="8517" spans="1:1" x14ac:dyDescent="0.25">
      <c r="A8517" s="74">
        <v>13309</v>
      </c>
    </row>
    <row r="8518" spans="1:1" x14ac:dyDescent="0.25">
      <c r="A8518" s="74">
        <v>13310</v>
      </c>
    </row>
    <row r="8519" spans="1:1" x14ac:dyDescent="0.25">
      <c r="A8519" s="74">
        <v>13311</v>
      </c>
    </row>
    <row r="8520" spans="1:1" x14ac:dyDescent="0.25">
      <c r="A8520" s="74">
        <v>13312</v>
      </c>
    </row>
    <row r="8521" spans="1:1" x14ac:dyDescent="0.25">
      <c r="A8521" s="74">
        <v>13313</v>
      </c>
    </row>
    <row r="8522" spans="1:1" x14ac:dyDescent="0.25">
      <c r="A8522" s="74">
        <v>13314</v>
      </c>
    </row>
    <row r="8523" spans="1:1" x14ac:dyDescent="0.25">
      <c r="A8523" s="74">
        <v>13315</v>
      </c>
    </row>
    <row r="8524" spans="1:1" x14ac:dyDescent="0.25">
      <c r="A8524" s="74">
        <v>13316</v>
      </c>
    </row>
    <row r="8525" spans="1:1" x14ac:dyDescent="0.25">
      <c r="A8525" s="74">
        <v>13317</v>
      </c>
    </row>
    <row r="8526" spans="1:1" x14ac:dyDescent="0.25">
      <c r="A8526" s="74">
        <v>13318</v>
      </c>
    </row>
    <row r="8527" spans="1:1" x14ac:dyDescent="0.25">
      <c r="A8527" s="74">
        <v>13319</v>
      </c>
    </row>
    <row r="8528" spans="1:1" x14ac:dyDescent="0.25">
      <c r="A8528" s="74">
        <v>13320</v>
      </c>
    </row>
    <row r="8529" spans="1:1" x14ac:dyDescent="0.25">
      <c r="A8529" s="74">
        <v>13321</v>
      </c>
    </row>
    <row r="8530" spans="1:1" x14ac:dyDescent="0.25">
      <c r="A8530" s="74">
        <v>13322</v>
      </c>
    </row>
    <row r="8531" spans="1:1" x14ac:dyDescent="0.25">
      <c r="A8531" s="74">
        <v>13323</v>
      </c>
    </row>
    <row r="8532" spans="1:1" x14ac:dyDescent="0.25">
      <c r="A8532" s="74">
        <v>13324</v>
      </c>
    </row>
    <row r="8533" spans="1:1" x14ac:dyDescent="0.25">
      <c r="A8533" s="74">
        <v>13325</v>
      </c>
    </row>
    <row r="8534" spans="1:1" x14ac:dyDescent="0.25">
      <c r="A8534" s="74">
        <v>13326</v>
      </c>
    </row>
    <row r="8535" spans="1:1" x14ac:dyDescent="0.25">
      <c r="A8535" s="74">
        <v>13327</v>
      </c>
    </row>
    <row r="8536" spans="1:1" x14ac:dyDescent="0.25">
      <c r="A8536" s="74">
        <v>13328</v>
      </c>
    </row>
    <row r="8537" spans="1:1" x14ac:dyDescent="0.25">
      <c r="A8537" s="74">
        <v>13329</v>
      </c>
    </row>
    <row r="8538" spans="1:1" x14ac:dyDescent="0.25">
      <c r="A8538" s="74">
        <v>13330</v>
      </c>
    </row>
    <row r="8539" spans="1:1" x14ac:dyDescent="0.25">
      <c r="A8539" s="74">
        <v>13331</v>
      </c>
    </row>
    <row r="8540" spans="1:1" x14ac:dyDescent="0.25">
      <c r="A8540" s="74">
        <v>13332</v>
      </c>
    </row>
    <row r="8541" spans="1:1" x14ac:dyDescent="0.25">
      <c r="A8541" s="74">
        <v>13333</v>
      </c>
    </row>
    <row r="8542" spans="1:1" x14ac:dyDescent="0.25">
      <c r="A8542" s="74">
        <v>13334</v>
      </c>
    </row>
    <row r="8543" spans="1:1" x14ac:dyDescent="0.25">
      <c r="A8543" s="74">
        <v>13335</v>
      </c>
    </row>
    <row r="8544" spans="1:1" x14ac:dyDescent="0.25">
      <c r="A8544" s="74">
        <v>13336</v>
      </c>
    </row>
    <row r="8545" spans="1:1" x14ac:dyDescent="0.25">
      <c r="A8545" s="74">
        <v>13337</v>
      </c>
    </row>
    <row r="8546" spans="1:1" x14ac:dyDescent="0.25">
      <c r="A8546" s="74">
        <v>13338</v>
      </c>
    </row>
    <row r="8547" spans="1:1" x14ac:dyDescent="0.25">
      <c r="A8547" s="74">
        <v>13339</v>
      </c>
    </row>
    <row r="8548" spans="1:1" x14ac:dyDescent="0.25">
      <c r="A8548" s="74">
        <v>13340</v>
      </c>
    </row>
    <row r="8549" spans="1:1" x14ac:dyDescent="0.25">
      <c r="A8549" s="74">
        <v>13341</v>
      </c>
    </row>
    <row r="8550" spans="1:1" x14ac:dyDescent="0.25">
      <c r="A8550" s="74">
        <v>13342</v>
      </c>
    </row>
    <row r="8551" spans="1:1" x14ac:dyDescent="0.25">
      <c r="A8551" s="74">
        <v>13343</v>
      </c>
    </row>
    <row r="8552" spans="1:1" x14ac:dyDescent="0.25">
      <c r="A8552" s="74">
        <v>13344</v>
      </c>
    </row>
    <row r="8553" spans="1:1" x14ac:dyDescent="0.25">
      <c r="A8553" s="74">
        <v>13345</v>
      </c>
    </row>
    <row r="8554" spans="1:1" x14ac:dyDescent="0.25">
      <c r="A8554" s="74">
        <v>13346</v>
      </c>
    </row>
    <row r="8555" spans="1:1" x14ac:dyDescent="0.25">
      <c r="A8555" s="74">
        <v>13347</v>
      </c>
    </row>
    <row r="8556" spans="1:1" x14ac:dyDescent="0.25">
      <c r="A8556" s="74">
        <v>13348</v>
      </c>
    </row>
    <row r="8557" spans="1:1" x14ac:dyDescent="0.25">
      <c r="A8557" s="74">
        <v>13349</v>
      </c>
    </row>
    <row r="8558" spans="1:1" x14ac:dyDescent="0.25">
      <c r="A8558" s="74">
        <v>13350</v>
      </c>
    </row>
    <row r="8559" spans="1:1" x14ac:dyDescent="0.25">
      <c r="A8559" s="74">
        <v>13351</v>
      </c>
    </row>
    <row r="8560" spans="1:1" x14ac:dyDescent="0.25">
      <c r="A8560" s="74">
        <v>13352</v>
      </c>
    </row>
    <row r="8561" spans="1:1" x14ac:dyDescent="0.25">
      <c r="A8561" s="74">
        <v>13353</v>
      </c>
    </row>
    <row r="8562" spans="1:1" x14ac:dyDescent="0.25">
      <c r="A8562" s="74">
        <v>13354</v>
      </c>
    </row>
    <row r="8563" spans="1:1" x14ac:dyDescent="0.25">
      <c r="A8563" s="74">
        <v>13355</v>
      </c>
    </row>
    <row r="8564" spans="1:1" x14ac:dyDescent="0.25">
      <c r="A8564" s="74">
        <v>13356</v>
      </c>
    </row>
    <row r="8565" spans="1:1" x14ac:dyDescent="0.25">
      <c r="A8565" s="74">
        <v>13357</v>
      </c>
    </row>
    <row r="8566" spans="1:1" x14ac:dyDescent="0.25">
      <c r="A8566" s="74">
        <v>13358</v>
      </c>
    </row>
    <row r="8567" spans="1:1" x14ac:dyDescent="0.25">
      <c r="A8567" s="74">
        <v>13359</v>
      </c>
    </row>
    <row r="8568" spans="1:1" x14ac:dyDescent="0.25">
      <c r="A8568" s="74">
        <v>13360</v>
      </c>
    </row>
    <row r="8569" spans="1:1" x14ac:dyDescent="0.25">
      <c r="A8569" s="74">
        <v>13361</v>
      </c>
    </row>
    <row r="8570" spans="1:1" x14ac:dyDescent="0.25">
      <c r="A8570" s="74">
        <v>13362</v>
      </c>
    </row>
    <row r="8571" spans="1:1" x14ac:dyDescent="0.25">
      <c r="A8571" s="74">
        <v>13363</v>
      </c>
    </row>
    <row r="8572" spans="1:1" x14ac:dyDescent="0.25">
      <c r="A8572" s="74">
        <v>13364</v>
      </c>
    </row>
    <row r="8573" spans="1:1" x14ac:dyDescent="0.25">
      <c r="A8573" s="74">
        <v>13365</v>
      </c>
    </row>
    <row r="8574" spans="1:1" x14ac:dyDescent="0.25">
      <c r="A8574" s="74">
        <v>13366</v>
      </c>
    </row>
    <row r="8575" spans="1:1" x14ac:dyDescent="0.25">
      <c r="A8575" s="74">
        <v>13367</v>
      </c>
    </row>
    <row r="8576" spans="1:1" x14ac:dyDescent="0.25">
      <c r="A8576" s="74">
        <v>13368</v>
      </c>
    </row>
    <row r="8577" spans="1:1" x14ac:dyDescent="0.25">
      <c r="A8577" s="74">
        <v>13369</v>
      </c>
    </row>
    <row r="8578" spans="1:1" x14ac:dyDescent="0.25">
      <c r="A8578" s="74">
        <v>13370</v>
      </c>
    </row>
    <row r="8579" spans="1:1" x14ac:dyDescent="0.25">
      <c r="A8579" s="74">
        <v>13371</v>
      </c>
    </row>
    <row r="8580" spans="1:1" x14ac:dyDescent="0.25">
      <c r="A8580" s="74">
        <v>13372</v>
      </c>
    </row>
    <row r="8581" spans="1:1" x14ac:dyDescent="0.25">
      <c r="A8581" s="74">
        <v>13373</v>
      </c>
    </row>
    <row r="8582" spans="1:1" x14ac:dyDescent="0.25">
      <c r="A8582" s="74">
        <v>13374</v>
      </c>
    </row>
    <row r="8583" spans="1:1" x14ac:dyDescent="0.25">
      <c r="A8583" s="74">
        <v>13375</v>
      </c>
    </row>
    <row r="8584" spans="1:1" x14ac:dyDescent="0.25">
      <c r="A8584" s="74">
        <v>13376</v>
      </c>
    </row>
    <row r="8585" spans="1:1" x14ac:dyDescent="0.25">
      <c r="A8585" s="74">
        <v>13377</v>
      </c>
    </row>
    <row r="8586" spans="1:1" x14ac:dyDescent="0.25">
      <c r="A8586" s="74">
        <v>13378</v>
      </c>
    </row>
    <row r="8587" spans="1:1" x14ac:dyDescent="0.25">
      <c r="A8587" s="74">
        <v>13379</v>
      </c>
    </row>
    <row r="8588" spans="1:1" x14ac:dyDescent="0.25">
      <c r="A8588" s="74">
        <v>13380</v>
      </c>
    </row>
    <row r="8589" spans="1:1" x14ac:dyDescent="0.25">
      <c r="A8589" s="74">
        <v>13381</v>
      </c>
    </row>
    <row r="8590" spans="1:1" x14ac:dyDescent="0.25">
      <c r="A8590" s="74">
        <v>13382</v>
      </c>
    </row>
    <row r="8591" spans="1:1" x14ac:dyDescent="0.25">
      <c r="A8591" s="74">
        <v>13383</v>
      </c>
    </row>
    <row r="8592" spans="1:1" x14ac:dyDescent="0.25">
      <c r="A8592" s="74">
        <v>13384</v>
      </c>
    </row>
    <row r="8593" spans="1:1" x14ac:dyDescent="0.25">
      <c r="A8593" s="74">
        <v>13385</v>
      </c>
    </row>
    <row r="8594" spans="1:1" x14ac:dyDescent="0.25">
      <c r="A8594" s="74">
        <v>13386</v>
      </c>
    </row>
    <row r="8595" spans="1:1" x14ac:dyDescent="0.25">
      <c r="A8595" s="74">
        <v>13387</v>
      </c>
    </row>
    <row r="8596" spans="1:1" x14ac:dyDescent="0.25">
      <c r="A8596" s="74">
        <v>13388</v>
      </c>
    </row>
    <row r="8597" spans="1:1" x14ac:dyDescent="0.25">
      <c r="A8597" s="74">
        <v>13389</v>
      </c>
    </row>
    <row r="8598" spans="1:1" x14ac:dyDescent="0.25">
      <c r="A8598" s="74">
        <v>13390</v>
      </c>
    </row>
    <row r="8599" spans="1:1" x14ac:dyDescent="0.25">
      <c r="A8599" s="74">
        <v>13391</v>
      </c>
    </row>
    <row r="8600" spans="1:1" x14ac:dyDescent="0.25">
      <c r="A8600" s="74">
        <v>13392</v>
      </c>
    </row>
    <row r="8601" spans="1:1" x14ac:dyDescent="0.25">
      <c r="A8601" s="74">
        <v>13393</v>
      </c>
    </row>
    <row r="8602" spans="1:1" x14ac:dyDescent="0.25">
      <c r="A8602" s="74">
        <v>13394</v>
      </c>
    </row>
    <row r="8603" spans="1:1" x14ac:dyDescent="0.25">
      <c r="A8603" s="74">
        <v>13395</v>
      </c>
    </row>
    <row r="8604" spans="1:1" x14ac:dyDescent="0.25">
      <c r="A8604" s="74">
        <v>13396</v>
      </c>
    </row>
    <row r="8605" spans="1:1" x14ac:dyDescent="0.25">
      <c r="A8605" s="74">
        <v>13397</v>
      </c>
    </row>
    <row r="8606" spans="1:1" x14ac:dyDescent="0.25">
      <c r="A8606" s="74">
        <v>13398</v>
      </c>
    </row>
    <row r="8607" spans="1:1" x14ac:dyDescent="0.25">
      <c r="A8607" s="74">
        <v>13399</v>
      </c>
    </row>
    <row r="8608" spans="1:1" x14ac:dyDescent="0.25">
      <c r="A8608" s="74">
        <v>13400</v>
      </c>
    </row>
    <row r="8609" spans="1:1" x14ac:dyDescent="0.25">
      <c r="A8609" s="74">
        <v>13401</v>
      </c>
    </row>
    <row r="8610" spans="1:1" x14ac:dyDescent="0.25">
      <c r="A8610" s="74">
        <v>13402</v>
      </c>
    </row>
    <row r="8611" spans="1:1" x14ac:dyDescent="0.25">
      <c r="A8611" s="74">
        <v>13403</v>
      </c>
    </row>
    <row r="8612" spans="1:1" x14ac:dyDescent="0.25">
      <c r="A8612" s="74">
        <v>13404</v>
      </c>
    </row>
    <row r="8613" spans="1:1" x14ac:dyDescent="0.25">
      <c r="A8613" s="74">
        <v>13405</v>
      </c>
    </row>
    <row r="8614" spans="1:1" x14ac:dyDescent="0.25">
      <c r="A8614" s="74">
        <v>13406</v>
      </c>
    </row>
    <row r="8615" spans="1:1" x14ac:dyDescent="0.25">
      <c r="A8615" s="74">
        <v>13407</v>
      </c>
    </row>
    <row r="8616" spans="1:1" x14ac:dyDescent="0.25">
      <c r="A8616" s="74">
        <v>13408</v>
      </c>
    </row>
    <row r="8617" spans="1:1" x14ac:dyDescent="0.25">
      <c r="A8617" s="74">
        <v>13409</v>
      </c>
    </row>
    <row r="8618" spans="1:1" x14ac:dyDescent="0.25">
      <c r="A8618" s="74">
        <v>13410</v>
      </c>
    </row>
    <row r="8619" spans="1:1" x14ac:dyDescent="0.25">
      <c r="A8619" s="74">
        <v>13411</v>
      </c>
    </row>
    <row r="8620" spans="1:1" x14ac:dyDescent="0.25">
      <c r="A8620" s="74">
        <v>13412</v>
      </c>
    </row>
    <row r="8621" spans="1:1" x14ac:dyDescent="0.25">
      <c r="A8621" s="74">
        <v>13413</v>
      </c>
    </row>
    <row r="8622" spans="1:1" x14ac:dyDescent="0.25">
      <c r="A8622" s="74">
        <v>13414</v>
      </c>
    </row>
    <row r="8623" spans="1:1" x14ac:dyDescent="0.25">
      <c r="A8623" s="74">
        <v>13415</v>
      </c>
    </row>
    <row r="8624" spans="1:1" x14ac:dyDescent="0.25">
      <c r="A8624" s="74">
        <v>13416</v>
      </c>
    </row>
    <row r="8625" spans="1:1" x14ac:dyDescent="0.25">
      <c r="A8625" s="74">
        <v>13417</v>
      </c>
    </row>
    <row r="8626" spans="1:1" x14ac:dyDescent="0.25">
      <c r="A8626" s="74">
        <v>13418</v>
      </c>
    </row>
    <row r="8627" spans="1:1" x14ac:dyDescent="0.25">
      <c r="A8627" s="74">
        <v>13419</v>
      </c>
    </row>
    <row r="8628" spans="1:1" x14ac:dyDescent="0.25">
      <c r="A8628" s="74">
        <v>13420</v>
      </c>
    </row>
    <row r="8629" spans="1:1" x14ac:dyDescent="0.25">
      <c r="A8629" s="74">
        <v>13421</v>
      </c>
    </row>
    <row r="8630" spans="1:1" x14ac:dyDescent="0.25">
      <c r="A8630" s="74">
        <v>13422</v>
      </c>
    </row>
    <row r="8631" spans="1:1" x14ac:dyDescent="0.25">
      <c r="A8631" s="74">
        <v>13423</v>
      </c>
    </row>
    <row r="8632" spans="1:1" x14ac:dyDescent="0.25">
      <c r="A8632" s="74">
        <v>13424</v>
      </c>
    </row>
    <row r="8633" spans="1:1" x14ac:dyDescent="0.25">
      <c r="A8633" s="74">
        <v>13425</v>
      </c>
    </row>
    <row r="8634" spans="1:1" x14ac:dyDescent="0.25">
      <c r="A8634" s="74">
        <v>13426</v>
      </c>
    </row>
    <row r="8635" spans="1:1" x14ac:dyDescent="0.25">
      <c r="A8635" s="74">
        <v>13427</v>
      </c>
    </row>
    <row r="8636" spans="1:1" x14ac:dyDescent="0.25">
      <c r="A8636" s="74">
        <v>13428</v>
      </c>
    </row>
    <row r="8637" spans="1:1" x14ac:dyDescent="0.25">
      <c r="A8637" s="74">
        <v>13429</v>
      </c>
    </row>
    <row r="8638" spans="1:1" x14ac:dyDescent="0.25">
      <c r="A8638" s="74">
        <v>13430</v>
      </c>
    </row>
    <row r="8639" spans="1:1" x14ac:dyDescent="0.25">
      <c r="A8639" s="74">
        <v>13431</v>
      </c>
    </row>
    <row r="8640" spans="1:1" x14ac:dyDescent="0.25">
      <c r="A8640" s="74">
        <v>13432</v>
      </c>
    </row>
    <row r="8641" spans="1:1" x14ac:dyDescent="0.25">
      <c r="A8641" s="74">
        <v>13433</v>
      </c>
    </row>
    <row r="8642" spans="1:1" x14ac:dyDescent="0.25">
      <c r="A8642" s="74">
        <v>13434</v>
      </c>
    </row>
    <row r="8643" spans="1:1" x14ac:dyDescent="0.25">
      <c r="A8643" s="74">
        <v>13435</v>
      </c>
    </row>
    <row r="8644" spans="1:1" x14ac:dyDescent="0.25">
      <c r="A8644" s="74">
        <v>13436</v>
      </c>
    </row>
    <row r="8645" spans="1:1" x14ac:dyDescent="0.25">
      <c r="A8645" s="74">
        <v>13437</v>
      </c>
    </row>
    <row r="8646" spans="1:1" x14ac:dyDescent="0.25">
      <c r="A8646" s="74">
        <v>13438</v>
      </c>
    </row>
    <row r="8647" spans="1:1" x14ac:dyDescent="0.25">
      <c r="A8647" s="74">
        <v>13439</v>
      </c>
    </row>
    <row r="8648" spans="1:1" x14ac:dyDescent="0.25">
      <c r="A8648" s="74">
        <v>13440</v>
      </c>
    </row>
    <row r="8649" spans="1:1" x14ac:dyDescent="0.25">
      <c r="A8649" s="74">
        <v>13441</v>
      </c>
    </row>
    <row r="8650" spans="1:1" x14ac:dyDescent="0.25">
      <c r="A8650" s="74">
        <v>13442</v>
      </c>
    </row>
    <row r="8651" spans="1:1" x14ac:dyDescent="0.25">
      <c r="A8651" s="74">
        <v>13443</v>
      </c>
    </row>
    <row r="8652" spans="1:1" x14ac:dyDescent="0.25">
      <c r="A8652" s="74">
        <v>13444</v>
      </c>
    </row>
    <row r="8653" spans="1:1" x14ac:dyDescent="0.25">
      <c r="A8653" s="74">
        <v>13445</v>
      </c>
    </row>
    <row r="8654" spans="1:1" x14ac:dyDescent="0.25">
      <c r="A8654" s="74">
        <v>13446</v>
      </c>
    </row>
    <row r="8655" spans="1:1" x14ac:dyDescent="0.25">
      <c r="A8655" s="74">
        <v>13447</v>
      </c>
    </row>
    <row r="8656" spans="1:1" x14ac:dyDescent="0.25">
      <c r="A8656" s="74">
        <v>13448</v>
      </c>
    </row>
    <row r="8657" spans="1:1" x14ac:dyDescent="0.25">
      <c r="A8657" s="74">
        <v>13449</v>
      </c>
    </row>
    <row r="8658" spans="1:1" x14ac:dyDescent="0.25">
      <c r="A8658" s="74">
        <v>13450</v>
      </c>
    </row>
    <row r="8659" spans="1:1" x14ac:dyDescent="0.25">
      <c r="A8659" s="74">
        <v>13451</v>
      </c>
    </row>
    <row r="8660" spans="1:1" x14ac:dyDescent="0.25">
      <c r="A8660" s="74">
        <v>13452</v>
      </c>
    </row>
    <row r="8661" spans="1:1" x14ac:dyDescent="0.25">
      <c r="A8661" s="74">
        <v>13453</v>
      </c>
    </row>
    <row r="8662" spans="1:1" x14ac:dyDescent="0.25">
      <c r="A8662" s="74">
        <v>13454</v>
      </c>
    </row>
    <row r="8663" spans="1:1" x14ac:dyDescent="0.25">
      <c r="A8663" s="74">
        <v>13455</v>
      </c>
    </row>
    <row r="8664" spans="1:1" x14ac:dyDescent="0.25">
      <c r="A8664" s="74">
        <v>13456</v>
      </c>
    </row>
    <row r="8665" spans="1:1" x14ac:dyDescent="0.25">
      <c r="A8665" s="74">
        <v>13457</v>
      </c>
    </row>
    <row r="8666" spans="1:1" x14ac:dyDescent="0.25">
      <c r="A8666" s="74">
        <v>13458</v>
      </c>
    </row>
    <row r="8667" spans="1:1" x14ac:dyDescent="0.25">
      <c r="A8667" s="74">
        <v>13459</v>
      </c>
    </row>
    <row r="8668" spans="1:1" x14ac:dyDescent="0.25">
      <c r="A8668" s="74">
        <v>13460</v>
      </c>
    </row>
    <row r="8669" spans="1:1" x14ac:dyDescent="0.25">
      <c r="A8669" s="74">
        <v>13461</v>
      </c>
    </row>
    <row r="8670" spans="1:1" x14ac:dyDescent="0.25">
      <c r="A8670" s="74">
        <v>13462</v>
      </c>
    </row>
    <row r="8671" spans="1:1" x14ac:dyDescent="0.25">
      <c r="A8671" s="74">
        <v>13463</v>
      </c>
    </row>
    <row r="8672" spans="1:1" x14ac:dyDescent="0.25">
      <c r="A8672" s="74">
        <v>13464</v>
      </c>
    </row>
    <row r="8673" spans="1:1" x14ac:dyDescent="0.25">
      <c r="A8673" s="74">
        <v>13465</v>
      </c>
    </row>
    <row r="8674" spans="1:1" x14ac:dyDescent="0.25">
      <c r="A8674" s="74">
        <v>13466</v>
      </c>
    </row>
    <row r="8675" spans="1:1" x14ac:dyDescent="0.25">
      <c r="A8675" s="74">
        <v>13467</v>
      </c>
    </row>
    <row r="8676" spans="1:1" x14ac:dyDescent="0.25">
      <c r="A8676" s="74">
        <v>13468</v>
      </c>
    </row>
    <row r="8677" spans="1:1" x14ac:dyDescent="0.25">
      <c r="A8677" s="74">
        <v>13469</v>
      </c>
    </row>
    <row r="8678" spans="1:1" x14ac:dyDescent="0.25">
      <c r="A8678" s="74">
        <v>13470</v>
      </c>
    </row>
    <row r="8679" spans="1:1" x14ac:dyDescent="0.25">
      <c r="A8679" s="74">
        <v>13471</v>
      </c>
    </row>
    <row r="8680" spans="1:1" x14ac:dyDescent="0.25">
      <c r="A8680" s="74">
        <v>13472</v>
      </c>
    </row>
    <row r="8681" spans="1:1" x14ac:dyDescent="0.25">
      <c r="A8681" s="74">
        <v>13473</v>
      </c>
    </row>
    <row r="8682" spans="1:1" x14ac:dyDescent="0.25">
      <c r="A8682" s="74">
        <v>13474</v>
      </c>
    </row>
    <row r="8683" spans="1:1" x14ac:dyDescent="0.25">
      <c r="A8683" s="74">
        <v>13475</v>
      </c>
    </row>
    <row r="8684" spans="1:1" x14ac:dyDescent="0.25">
      <c r="A8684" s="74">
        <v>13476</v>
      </c>
    </row>
    <row r="8685" spans="1:1" x14ac:dyDescent="0.25">
      <c r="A8685" s="74">
        <v>13477</v>
      </c>
    </row>
    <row r="8686" spans="1:1" x14ac:dyDescent="0.25">
      <c r="A8686" s="74">
        <v>13478</v>
      </c>
    </row>
    <row r="8687" spans="1:1" x14ac:dyDescent="0.25">
      <c r="A8687" s="74">
        <v>13479</v>
      </c>
    </row>
    <row r="8688" spans="1:1" x14ac:dyDescent="0.25">
      <c r="A8688" s="74">
        <v>13480</v>
      </c>
    </row>
    <row r="8689" spans="1:1" x14ac:dyDescent="0.25">
      <c r="A8689" s="74">
        <v>13481</v>
      </c>
    </row>
    <row r="8690" spans="1:1" x14ac:dyDescent="0.25">
      <c r="A8690" s="74">
        <v>13482</v>
      </c>
    </row>
    <row r="8691" spans="1:1" x14ac:dyDescent="0.25">
      <c r="A8691" s="74">
        <v>13483</v>
      </c>
    </row>
    <row r="8692" spans="1:1" x14ac:dyDescent="0.25">
      <c r="A8692" s="74">
        <v>13484</v>
      </c>
    </row>
    <row r="8693" spans="1:1" x14ac:dyDescent="0.25">
      <c r="A8693" s="74">
        <v>13485</v>
      </c>
    </row>
    <row r="8694" spans="1:1" x14ac:dyDescent="0.25">
      <c r="A8694" s="74">
        <v>13486</v>
      </c>
    </row>
    <row r="8695" spans="1:1" x14ac:dyDescent="0.25">
      <c r="A8695" s="74">
        <v>13487</v>
      </c>
    </row>
    <row r="8696" spans="1:1" x14ac:dyDescent="0.25">
      <c r="A8696" s="74">
        <v>13488</v>
      </c>
    </row>
    <row r="8697" spans="1:1" x14ac:dyDescent="0.25">
      <c r="A8697" s="74">
        <v>13489</v>
      </c>
    </row>
    <row r="8698" spans="1:1" x14ac:dyDescent="0.25">
      <c r="A8698" s="74">
        <v>13490</v>
      </c>
    </row>
    <row r="8699" spans="1:1" x14ac:dyDescent="0.25">
      <c r="A8699" s="74">
        <v>13491</v>
      </c>
    </row>
    <row r="8700" spans="1:1" x14ac:dyDescent="0.25">
      <c r="A8700" s="74">
        <v>13492</v>
      </c>
    </row>
    <row r="8701" spans="1:1" x14ac:dyDescent="0.25">
      <c r="A8701" s="74">
        <v>13493</v>
      </c>
    </row>
    <row r="8702" spans="1:1" x14ac:dyDescent="0.25">
      <c r="A8702" s="74">
        <v>13494</v>
      </c>
    </row>
    <row r="8703" spans="1:1" x14ac:dyDescent="0.25">
      <c r="A8703" s="74">
        <v>13495</v>
      </c>
    </row>
    <row r="8704" spans="1:1" x14ac:dyDescent="0.25">
      <c r="A8704" s="74">
        <v>13496</v>
      </c>
    </row>
    <row r="8705" spans="1:1" x14ac:dyDescent="0.25">
      <c r="A8705" s="74">
        <v>13497</v>
      </c>
    </row>
    <row r="8706" spans="1:1" x14ac:dyDescent="0.25">
      <c r="A8706" s="74">
        <v>13498</v>
      </c>
    </row>
    <row r="8707" spans="1:1" x14ac:dyDescent="0.25">
      <c r="A8707" s="74">
        <v>13499</v>
      </c>
    </row>
    <row r="8708" spans="1:1" x14ac:dyDescent="0.25">
      <c r="A8708" s="74">
        <v>13500</v>
      </c>
    </row>
    <row r="8709" spans="1:1" x14ac:dyDescent="0.25">
      <c r="A8709" s="74">
        <v>13501</v>
      </c>
    </row>
    <row r="8710" spans="1:1" x14ac:dyDescent="0.25">
      <c r="A8710" s="74">
        <v>13502</v>
      </c>
    </row>
    <row r="8711" spans="1:1" x14ac:dyDescent="0.25">
      <c r="A8711" s="74">
        <v>13503</v>
      </c>
    </row>
    <row r="8712" spans="1:1" x14ac:dyDescent="0.25">
      <c r="A8712" s="74">
        <v>13504</v>
      </c>
    </row>
    <row r="8713" spans="1:1" x14ac:dyDescent="0.25">
      <c r="A8713" s="74">
        <v>13505</v>
      </c>
    </row>
    <row r="8714" spans="1:1" x14ac:dyDescent="0.25">
      <c r="A8714" s="74">
        <v>13506</v>
      </c>
    </row>
    <row r="8715" spans="1:1" x14ac:dyDescent="0.25">
      <c r="A8715" s="74">
        <v>13507</v>
      </c>
    </row>
    <row r="8716" spans="1:1" x14ac:dyDescent="0.25">
      <c r="A8716" s="74">
        <v>13508</v>
      </c>
    </row>
    <row r="8717" spans="1:1" x14ac:dyDescent="0.25">
      <c r="A8717" s="74">
        <v>13509</v>
      </c>
    </row>
    <row r="8718" spans="1:1" x14ac:dyDescent="0.25">
      <c r="A8718" s="74">
        <v>13510</v>
      </c>
    </row>
    <row r="8719" spans="1:1" x14ac:dyDescent="0.25">
      <c r="A8719" s="74">
        <v>13511</v>
      </c>
    </row>
    <row r="8720" spans="1:1" x14ac:dyDescent="0.25">
      <c r="A8720" s="74">
        <v>13512</v>
      </c>
    </row>
    <row r="8721" spans="1:1" x14ac:dyDescent="0.25">
      <c r="A8721" s="74">
        <v>13513</v>
      </c>
    </row>
    <row r="8722" spans="1:1" x14ac:dyDescent="0.25">
      <c r="A8722" s="74">
        <v>13514</v>
      </c>
    </row>
    <row r="8723" spans="1:1" x14ac:dyDescent="0.25">
      <c r="A8723" s="74">
        <v>13515</v>
      </c>
    </row>
    <row r="8724" spans="1:1" x14ac:dyDescent="0.25">
      <c r="A8724" s="74">
        <v>13516</v>
      </c>
    </row>
    <row r="8725" spans="1:1" x14ac:dyDescent="0.25">
      <c r="A8725" s="74">
        <v>13517</v>
      </c>
    </row>
    <row r="8726" spans="1:1" x14ac:dyDescent="0.25">
      <c r="A8726" s="74">
        <v>13518</v>
      </c>
    </row>
    <row r="8727" spans="1:1" x14ac:dyDescent="0.25">
      <c r="A8727" s="74">
        <v>13519</v>
      </c>
    </row>
    <row r="8728" spans="1:1" x14ac:dyDescent="0.25">
      <c r="A8728" s="74">
        <v>13520</v>
      </c>
    </row>
    <row r="8729" spans="1:1" x14ac:dyDescent="0.25">
      <c r="A8729" s="74">
        <v>13521</v>
      </c>
    </row>
    <row r="8730" spans="1:1" x14ac:dyDescent="0.25">
      <c r="A8730" s="74">
        <v>13522</v>
      </c>
    </row>
    <row r="8731" spans="1:1" x14ac:dyDescent="0.25">
      <c r="A8731" s="74">
        <v>13523</v>
      </c>
    </row>
    <row r="8732" spans="1:1" x14ac:dyDescent="0.25">
      <c r="A8732" s="74">
        <v>13524</v>
      </c>
    </row>
    <row r="8733" spans="1:1" x14ac:dyDescent="0.25">
      <c r="A8733" s="74">
        <v>13525</v>
      </c>
    </row>
    <row r="8734" spans="1:1" x14ac:dyDescent="0.25">
      <c r="A8734" s="74">
        <v>13526</v>
      </c>
    </row>
    <row r="8735" spans="1:1" x14ac:dyDescent="0.25">
      <c r="A8735" s="74">
        <v>13527</v>
      </c>
    </row>
    <row r="8736" spans="1:1" x14ac:dyDescent="0.25">
      <c r="A8736" s="74">
        <v>13528</v>
      </c>
    </row>
    <row r="8737" spans="1:1" x14ac:dyDescent="0.25">
      <c r="A8737" s="74">
        <v>13529</v>
      </c>
    </row>
    <row r="8738" spans="1:1" x14ac:dyDescent="0.25">
      <c r="A8738" s="74">
        <v>13530</v>
      </c>
    </row>
    <row r="8739" spans="1:1" x14ac:dyDescent="0.25">
      <c r="A8739" s="74">
        <v>13531</v>
      </c>
    </row>
    <row r="8740" spans="1:1" x14ac:dyDescent="0.25">
      <c r="A8740" s="74">
        <v>13532</v>
      </c>
    </row>
    <row r="8741" spans="1:1" x14ac:dyDescent="0.25">
      <c r="A8741" s="74">
        <v>13533</v>
      </c>
    </row>
    <row r="8742" spans="1:1" x14ac:dyDescent="0.25">
      <c r="A8742" s="74">
        <v>13534</v>
      </c>
    </row>
    <row r="8743" spans="1:1" x14ac:dyDescent="0.25">
      <c r="A8743" s="74">
        <v>13535</v>
      </c>
    </row>
    <row r="8744" spans="1:1" x14ac:dyDescent="0.25">
      <c r="A8744" s="74">
        <v>13536</v>
      </c>
    </row>
    <row r="8745" spans="1:1" x14ac:dyDescent="0.25">
      <c r="A8745" s="74">
        <v>13537</v>
      </c>
    </row>
    <row r="8746" spans="1:1" x14ac:dyDescent="0.25">
      <c r="A8746" s="74">
        <v>13538</v>
      </c>
    </row>
    <row r="8747" spans="1:1" x14ac:dyDescent="0.25">
      <c r="A8747" s="74">
        <v>13539</v>
      </c>
    </row>
    <row r="8748" spans="1:1" x14ac:dyDescent="0.25">
      <c r="A8748" s="74">
        <v>13540</v>
      </c>
    </row>
    <row r="8749" spans="1:1" x14ac:dyDescent="0.25">
      <c r="A8749" s="74">
        <v>13541</v>
      </c>
    </row>
    <row r="8750" spans="1:1" x14ac:dyDescent="0.25">
      <c r="A8750" s="74">
        <v>13542</v>
      </c>
    </row>
    <row r="8751" spans="1:1" x14ac:dyDescent="0.25">
      <c r="A8751" s="74">
        <v>13543</v>
      </c>
    </row>
    <row r="8752" spans="1:1" x14ac:dyDescent="0.25">
      <c r="A8752" s="74">
        <v>13544</v>
      </c>
    </row>
    <row r="8753" spans="1:1" x14ac:dyDescent="0.25">
      <c r="A8753" s="74">
        <v>13545</v>
      </c>
    </row>
    <row r="8754" spans="1:1" x14ac:dyDescent="0.25">
      <c r="A8754" s="74">
        <v>13546</v>
      </c>
    </row>
    <row r="8755" spans="1:1" x14ac:dyDescent="0.25">
      <c r="A8755" s="74">
        <v>13547</v>
      </c>
    </row>
    <row r="8756" spans="1:1" x14ac:dyDescent="0.25">
      <c r="A8756" s="74">
        <v>13548</v>
      </c>
    </row>
    <row r="8757" spans="1:1" x14ac:dyDescent="0.25">
      <c r="A8757" s="74">
        <v>13549</v>
      </c>
    </row>
    <row r="8758" spans="1:1" x14ac:dyDescent="0.25">
      <c r="A8758" s="74">
        <v>13550</v>
      </c>
    </row>
    <row r="8759" spans="1:1" x14ac:dyDescent="0.25">
      <c r="A8759" s="74">
        <v>13551</v>
      </c>
    </row>
    <row r="8760" spans="1:1" x14ac:dyDescent="0.25">
      <c r="A8760" s="74">
        <v>13552</v>
      </c>
    </row>
    <row r="8761" spans="1:1" x14ac:dyDescent="0.25">
      <c r="A8761" s="74">
        <v>13553</v>
      </c>
    </row>
    <row r="8762" spans="1:1" x14ac:dyDescent="0.25">
      <c r="A8762" s="74">
        <v>13554</v>
      </c>
    </row>
    <row r="8763" spans="1:1" x14ac:dyDescent="0.25">
      <c r="A8763" s="74">
        <v>13555</v>
      </c>
    </row>
    <row r="8764" spans="1:1" x14ac:dyDescent="0.25">
      <c r="A8764" s="74">
        <v>13556</v>
      </c>
    </row>
    <row r="8765" spans="1:1" x14ac:dyDescent="0.25">
      <c r="A8765" s="74">
        <v>13557</v>
      </c>
    </row>
    <row r="8766" spans="1:1" x14ac:dyDescent="0.25">
      <c r="A8766" s="74">
        <v>13558</v>
      </c>
    </row>
    <row r="8767" spans="1:1" x14ac:dyDescent="0.25">
      <c r="A8767" s="74">
        <v>13559</v>
      </c>
    </row>
    <row r="8768" spans="1:1" x14ac:dyDescent="0.25">
      <c r="A8768" s="74">
        <v>13560</v>
      </c>
    </row>
    <row r="8769" spans="1:1" x14ac:dyDescent="0.25">
      <c r="A8769" s="74">
        <v>13561</v>
      </c>
    </row>
    <row r="8770" spans="1:1" x14ac:dyDescent="0.25">
      <c r="A8770" s="74">
        <v>13562</v>
      </c>
    </row>
    <row r="8771" spans="1:1" x14ac:dyDescent="0.25">
      <c r="A8771" s="74">
        <v>13563</v>
      </c>
    </row>
    <row r="8772" spans="1:1" x14ac:dyDescent="0.25">
      <c r="A8772" s="74">
        <v>13564</v>
      </c>
    </row>
    <row r="8773" spans="1:1" x14ac:dyDescent="0.25">
      <c r="A8773" s="74">
        <v>13565</v>
      </c>
    </row>
    <row r="8774" spans="1:1" x14ac:dyDescent="0.25">
      <c r="A8774" s="74">
        <v>13566</v>
      </c>
    </row>
    <row r="8775" spans="1:1" x14ac:dyDescent="0.25">
      <c r="A8775" s="74">
        <v>13567</v>
      </c>
    </row>
    <row r="8776" spans="1:1" x14ac:dyDescent="0.25">
      <c r="A8776" s="74">
        <v>13568</v>
      </c>
    </row>
    <row r="8777" spans="1:1" x14ac:dyDescent="0.25">
      <c r="A8777" s="74">
        <v>13569</v>
      </c>
    </row>
    <row r="8778" spans="1:1" x14ac:dyDescent="0.25">
      <c r="A8778" s="74">
        <v>13570</v>
      </c>
    </row>
    <row r="8779" spans="1:1" x14ac:dyDescent="0.25">
      <c r="A8779" s="74">
        <v>13571</v>
      </c>
    </row>
    <row r="8780" spans="1:1" x14ac:dyDescent="0.25">
      <c r="A8780" s="74">
        <v>13572</v>
      </c>
    </row>
    <row r="8781" spans="1:1" x14ac:dyDescent="0.25">
      <c r="A8781" s="74">
        <v>13573</v>
      </c>
    </row>
    <row r="8782" spans="1:1" x14ac:dyDescent="0.25">
      <c r="A8782" s="74">
        <v>13574</v>
      </c>
    </row>
    <row r="8783" spans="1:1" x14ac:dyDescent="0.25">
      <c r="A8783" s="74">
        <v>13575</v>
      </c>
    </row>
    <row r="8784" spans="1:1" x14ac:dyDescent="0.25">
      <c r="A8784" s="74">
        <v>13576</v>
      </c>
    </row>
    <row r="8785" spans="1:1" x14ac:dyDescent="0.25">
      <c r="A8785" s="74">
        <v>13577</v>
      </c>
    </row>
    <row r="8786" spans="1:1" x14ac:dyDescent="0.25">
      <c r="A8786" s="74">
        <v>13578</v>
      </c>
    </row>
    <row r="8787" spans="1:1" x14ac:dyDescent="0.25">
      <c r="A8787" s="74">
        <v>13579</v>
      </c>
    </row>
    <row r="8788" spans="1:1" x14ac:dyDescent="0.25">
      <c r="A8788" s="74">
        <v>13580</v>
      </c>
    </row>
    <row r="8789" spans="1:1" x14ac:dyDescent="0.25">
      <c r="A8789" s="74">
        <v>13581</v>
      </c>
    </row>
    <row r="8790" spans="1:1" x14ac:dyDescent="0.25">
      <c r="A8790" s="74">
        <v>13582</v>
      </c>
    </row>
    <row r="8791" spans="1:1" x14ac:dyDescent="0.25">
      <c r="A8791" s="74">
        <v>13583</v>
      </c>
    </row>
    <row r="8792" spans="1:1" x14ac:dyDescent="0.25">
      <c r="A8792" s="74">
        <v>13584</v>
      </c>
    </row>
    <row r="8793" spans="1:1" x14ac:dyDescent="0.25">
      <c r="A8793" s="74">
        <v>13585</v>
      </c>
    </row>
    <row r="8794" spans="1:1" x14ac:dyDescent="0.25">
      <c r="A8794" s="74">
        <v>13586</v>
      </c>
    </row>
    <row r="8795" spans="1:1" x14ac:dyDescent="0.25">
      <c r="A8795" s="74">
        <v>13587</v>
      </c>
    </row>
    <row r="8796" spans="1:1" x14ac:dyDescent="0.25">
      <c r="A8796" s="74">
        <v>13588</v>
      </c>
    </row>
    <row r="8797" spans="1:1" x14ac:dyDescent="0.25">
      <c r="A8797" s="74">
        <v>13589</v>
      </c>
    </row>
    <row r="8798" spans="1:1" x14ac:dyDescent="0.25">
      <c r="A8798" s="74">
        <v>13590</v>
      </c>
    </row>
    <row r="8799" spans="1:1" x14ac:dyDescent="0.25">
      <c r="A8799" s="74">
        <v>13591</v>
      </c>
    </row>
    <row r="8800" spans="1:1" x14ac:dyDescent="0.25">
      <c r="A8800" s="74">
        <v>13592</v>
      </c>
    </row>
    <row r="8801" spans="1:1" x14ac:dyDescent="0.25">
      <c r="A8801" s="74">
        <v>13593</v>
      </c>
    </row>
    <row r="8802" spans="1:1" x14ac:dyDescent="0.25">
      <c r="A8802" s="74">
        <v>13594</v>
      </c>
    </row>
    <row r="8803" spans="1:1" x14ac:dyDescent="0.25">
      <c r="A8803" s="74">
        <v>13595</v>
      </c>
    </row>
    <row r="8804" spans="1:1" x14ac:dyDescent="0.25">
      <c r="A8804" s="74">
        <v>13596</v>
      </c>
    </row>
    <row r="8805" spans="1:1" x14ac:dyDescent="0.25">
      <c r="A8805" s="74">
        <v>13597</v>
      </c>
    </row>
    <row r="8806" spans="1:1" x14ac:dyDescent="0.25">
      <c r="A8806" s="74">
        <v>13598</v>
      </c>
    </row>
    <row r="8807" spans="1:1" x14ac:dyDescent="0.25">
      <c r="A8807" s="74">
        <v>13599</v>
      </c>
    </row>
    <row r="8808" spans="1:1" x14ac:dyDescent="0.25">
      <c r="A8808" s="74">
        <v>13600</v>
      </c>
    </row>
    <row r="8809" spans="1:1" x14ac:dyDescent="0.25">
      <c r="A8809" s="74">
        <v>13601</v>
      </c>
    </row>
    <row r="8810" spans="1:1" x14ac:dyDescent="0.25">
      <c r="A8810" s="74">
        <v>13602</v>
      </c>
    </row>
    <row r="8811" spans="1:1" x14ac:dyDescent="0.25">
      <c r="A8811" s="74">
        <v>13603</v>
      </c>
    </row>
    <row r="8812" spans="1:1" x14ac:dyDescent="0.25">
      <c r="A8812" s="74">
        <v>13604</v>
      </c>
    </row>
    <row r="8813" spans="1:1" x14ac:dyDescent="0.25">
      <c r="A8813" s="74">
        <v>13605</v>
      </c>
    </row>
    <row r="8814" spans="1:1" x14ac:dyDescent="0.25">
      <c r="A8814" s="74">
        <v>13606</v>
      </c>
    </row>
    <row r="8815" spans="1:1" x14ac:dyDescent="0.25">
      <c r="A8815" s="74">
        <v>13607</v>
      </c>
    </row>
    <row r="8816" spans="1:1" x14ac:dyDescent="0.25">
      <c r="A8816" s="74">
        <v>13608</v>
      </c>
    </row>
    <row r="8817" spans="1:1" x14ac:dyDescent="0.25">
      <c r="A8817" s="74">
        <v>13609</v>
      </c>
    </row>
    <row r="8818" spans="1:1" x14ac:dyDescent="0.25">
      <c r="A8818" s="74">
        <v>13610</v>
      </c>
    </row>
    <row r="8819" spans="1:1" x14ac:dyDescent="0.25">
      <c r="A8819" s="74">
        <v>13611</v>
      </c>
    </row>
    <row r="8820" spans="1:1" x14ac:dyDescent="0.25">
      <c r="A8820" s="74">
        <v>13612</v>
      </c>
    </row>
    <row r="8821" spans="1:1" x14ac:dyDescent="0.25">
      <c r="A8821" s="74">
        <v>13613</v>
      </c>
    </row>
    <row r="8822" spans="1:1" x14ac:dyDescent="0.25">
      <c r="A8822" s="74">
        <v>13614</v>
      </c>
    </row>
    <row r="8823" spans="1:1" x14ac:dyDescent="0.25">
      <c r="A8823" s="74">
        <v>13615</v>
      </c>
    </row>
    <row r="8824" spans="1:1" x14ac:dyDescent="0.25">
      <c r="A8824" s="74">
        <v>13616</v>
      </c>
    </row>
    <row r="8825" spans="1:1" x14ac:dyDescent="0.25">
      <c r="A8825" s="74">
        <v>13617</v>
      </c>
    </row>
    <row r="8826" spans="1:1" x14ac:dyDescent="0.25">
      <c r="A8826" s="74">
        <v>13618</v>
      </c>
    </row>
    <row r="8827" spans="1:1" x14ac:dyDescent="0.25">
      <c r="A8827" s="74">
        <v>13619</v>
      </c>
    </row>
    <row r="8828" spans="1:1" x14ac:dyDescent="0.25">
      <c r="A8828" s="74">
        <v>13620</v>
      </c>
    </row>
    <row r="8829" spans="1:1" x14ac:dyDescent="0.25">
      <c r="A8829" s="74">
        <v>13621</v>
      </c>
    </row>
    <row r="8830" spans="1:1" x14ac:dyDescent="0.25">
      <c r="A8830" s="74">
        <v>13622</v>
      </c>
    </row>
    <row r="8831" spans="1:1" x14ac:dyDescent="0.25">
      <c r="A8831" s="74">
        <v>13623</v>
      </c>
    </row>
    <row r="8832" spans="1:1" x14ac:dyDescent="0.25">
      <c r="A8832" s="74">
        <v>13624</v>
      </c>
    </row>
    <row r="8833" spans="1:1" x14ac:dyDescent="0.25">
      <c r="A8833" s="74">
        <v>13625</v>
      </c>
    </row>
    <row r="8834" spans="1:1" x14ac:dyDescent="0.25">
      <c r="A8834" s="74">
        <v>13626</v>
      </c>
    </row>
    <row r="8835" spans="1:1" x14ac:dyDescent="0.25">
      <c r="A8835" s="74">
        <v>13627</v>
      </c>
    </row>
    <row r="8836" spans="1:1" x14ac:dyDescent="0.25">
      <c r="A8836" s="74">
        <v>13628</v>
      </c>
    </row>
    <row r="8837" spans="1:1" x14ac:dyDescent="0.25">
      <c r="A8837" s="74">
        <v>13629</v>
      </c>
    </row>
    <row r="8838" spans="1:1" x14ac:dyDescent="0.25">
      <c r="A8838" s="74">
        <v>13630</v>
      </c>
    </row>
    <row r="8839" spans="1:1" x14ac:dyDescent="0.25">
      <c r="A8839" s="74">
        <v>13631</v>
      </c>
    </row>
    <row r="8840" spans="1:1" x14ac:dyDescent="0.25">
      <c r="A8840" s="74">
        <v>13632</v>
      </c>
    </row>
    <row r="8841" spans="1:1" x14ac:dyDescent="0.25">
      <c r="A8841" s="74">
        <v>13633</v>
      </c>
    </row>
    <row r="8842" spans="1:1" x14ac:dyDescent="0.25">
      <c r="A8842" s="74">
        <v>13634</v>
      </c>
    </row>
    <row r="8843" spans="1:1" x14ac:dyDescent="0.25">
      <c r="A8843" s="74">
        <v>13635</v>
      </c>
    </row>
    <row r="8844" spans="1:1" x14ac:dyDescent="0.25">
      <c r="A8844" s="74">
        <v>13636</v>
      </c>
    </row>
    <row r="8845" spans="1:1" x14ac:dyDescent="0.25">
      <c r="A8845" s="74">
        <v>13637</v>
      </c>
    </row>
    <row r="8846" spans="1:1" x14ac:dyDescent="0.25">
      <c r="A8846" s="74">
        <v>13638</v>
      </c>
    </row>
    <row r="8847" spans="1:1" x14ac:dyDescent="0.25">
      <c r="A8847" s="74">
        <v>13639</v>
      </c>
    </row>
    <row r="8848" spans="1:1" x14ac:dyDescent="0.25">
      <c r="A8848" s="74">
        <v>13640</v>
      </c>
    </row>
    <row r="8849" spans="1:1" x14ac:dyDescent="0.25">
      <c r="A8849" s="74">
        <v>13641</v>
      </c>
    </row>
    <row r="8850" spans="1:1" x14ac:dyDescent="0.25">
      <c r="A8850" s="74">
        <v>13642</v>
      </c>
    </row>
    <row r="8851" spans="1:1" x14ac:dyDescent="0.25">
      <c r="A8851" s="74">
        <v>13643</v>
      </c>
    </row>
    <row r="8852" spans="1:1" x14ac:dyDescent="0.25">
      <c r="A8852" s="74">
        <v>13644</v>
      </c>
    </row>
    <row r="8853" spans="1:1" x14ac:dyDescent="0.25">
      <c r="A8853" s="74">
        <v>13645</v>
      </c>
    </row>
    <row r="8854" spans="1:1" x14ac:dyDescent="0.25">
      <c r="A8854" s="74">
        <v>13646</v>
      </c>
    </row>
    <row r="8855" spans="1:1" x14ac:dyDescent="0.25">
      <c r="A8855" s="74">
        <v>13647</v>
      </c>
    </row>
    <row r="8856" spans="1:1" x14ac:dyDescent="0.25">
      <c r="A8856" s="74">
        <v>13648</v>
      </c>
    </row>
    <row r="8857" spans="1:1" x14ac:dyDescent="0.25">
      <c r="A8857" s="74">
        <v>13649</v>
      </c>
    </row>
    <row r="8858" spans="1:1" x14ac:dyDescent="0.25">
      <c r="A8858" s="74">
        <v>13650</v>
      </c>
    </row>
    <row r="8859" spans="1:1" x14ac:dyDescent="0.25">
      <c r="A8859" s="74">
        <v>13651</v>
      </c>
    </row>
    <row r="8860" spans="1:1" x14ac:dyDescent="0.25">
      <c r="A8860" s="74">
        <v>13652</v>
      </c>
    </row>
    <row r="8861" spans="1:1" x14ac:dyDescent="0.25">
      <c r="A8861" s="74">
        <v>13653</v>
      </c>
    </row>
    <row r="8862" spans="1:1" x14ac:dyDescent="0.25">
      <c r="A8862" s="74">
        <v>13654</v>
      </c>
    </row>
    <row r="8863" spans="1:1" x14ac:dyDescent="0.25">
      <c r="A8863" s="74">
        <v>13655</v>
      </c>
    </row>
    <row r="8864" spans="1:1" x14ac:dyDescent="0.25">
      <c r="A8864" s="74">
        <v>13656</v>
      </c>
    </row>
    <row r="8865" spans="1:1" x14ac:dyDescent="0.25">
      <c r="A8865" s="74">
        <v>13657</v>
      </c>
    </row>
    <row r="8866" spans="1:1" x14ac:dyDescent="0.25">
      <c r="A8866" s="74">
        <v>13658</v>
      </c>
    </row>
    <row r="8867" spans="1:1" x14ac:dyDescent="0.25">
      <c r="A8867" s="74">
        <v>13659</v>
      </c>
    </row>
    <row r="8868" spans="1:1" x14ac:dyDescent="0.25">
      <c r="A8868" s="74">
        <v>13660</v>
      </c>
    </row>
    <row r="8869" spans="1:1" x14ac:dyDescent="0.25">
      <c r="A8869" s="74">
        <v>13661</v>
      </c>
    </row>
    <row r="8870" spans="1:1" x14ac:dyDescent="0.25">
      <c r="A8870" s="74">
        <v>13662</v>
      </c>
    </row>
    <row r="8871" spans="1:1" x14ac:dyDescent="0.25">
      <c r="A8871" s="74">
        <v>13663</v>
      </c>
    </row>
    <row r="8872" spans="1:1" x14ac:dyDescent="0.25">
      <c r="A8872" s="74">
        <v>13664</v>
      </c>
    </row>
    <row r="8873" spans="1:1" x14ac:dyDescent="0.25">
      <c r="A8873" s="74">
        <v>13665</v>
      </c>
    </row>
    <row r="8874" spans="1:1" x14ac:dyDescent="0.25">
      <c r="A8874" s="74">
        <v>13666</v>
      </c>
    </row>
    <row r="8875" spans="1:1" x14ac:dyDescent="0.25">
      <c r="A8875" s="74">
        <v>13667</v>
      </c>
    </row>
    <row r="8876" spans="1:1" x14ac:dyDescent="0.25">
      <c r="A8876" s="74">
        <v>13668</v>
      </c>
    </row>
    <row r="8877" spans="1:1" x14ac:dyDescent="0.25">
      <c r="A8877" s="74">
        <v>13669</v>
      </c>
    </row>
    <row r="8878" spans="1:1" x14ac:dyDescent="0.25">
      <c r="A8878" s="74">
        <v>13670</v>
      </c>
    </row>
    <row r="8879" spans="1:1" x14ac:dyDescent="0.25">
      <c r="A8879" s="74">
        <v>13671</v>
      </c>
    </row>
    <row r="8880" spans="1:1" x14ac:dyDescent="0.25">
      <c r="A8880" s="74">
        <v>13672</v>
      </c>
    </row>
    <row r="8881" spans="1:1" x14ac:dyDescent="0.25">
      <c r="A8881" s="74">
        <v>13673</v>
      </c>
    </row>
    <row r="8882" spans="1:1" x14ac:dyDescent="0.25">
      <c r="A8882" s="74">
        <v>13674</v>
      </c>
    </row>
    <row r="8883" spans="1:1" x14ac:dyDescent="0.25">
      <c r="A8883" s="74">
        <v>13675</v>
      </c>
    </row>
    <row r="8884" spans="1:1" x14ac:dyDescent="0.25">
      <c r="A8884" s="74">
        <v>13676</v>
      </c>
    </row>
    <row r="8885" spans="1:1" x14ac:dyDescent="0.25">
      <c r="A8885" s="74">
        <v>13677</v>
      </c>
    </row>
    <row r="8886" spans="1:1" x14ac:dyDescent="0.25">
      <c r="A8886" s="74">
        <v>13678</v>
      </c>
    </row>
    <row r="8887" spans="1:1" x14ac:dyDescent="0.25">
      <c r="A8887" s="74">
        <v>13679</v>
      </c>
    </row>
    <row r="8888" spans="1:1" x14ac:dyDescent="0.25">
      <c r="A8888" s="74">
        <v>13680</v>
      </c>
    </row>
    <row r="8889" spans="1:1" x14ac:dyDescent="0.25">
      <c r="A8889" s="74">
        <v>13681</v>
      </c>
    </row>
    <row r="8890" spans="1:1" x14ac:dyDescent="0.25">
      <c r="A8890" s="74">
        <v>13682</v>
      </c>
    </row>
    <row r="8891" spans="1:1" x14ac:dyDescent="0.25">
      <c r="A8891" s="74">
        <v>13683</v>
      </c>
    </row>
    <row r="8892" spans="1:1" x14ac:dyDescent="0.25">
      <c r="A8892" s="74">
        <v>13684</v>
      </c>
    </row>
    <row r="8893" spans="1:1" x14ac:dyDescent="0.25">
      <c r="A8893" s="74">
        <v>13685</v>
      </c>
    </row>
    <row r="8894" spans="1:1" x14ac:dyDescent="0.25">
      <c r="A8894" s="74">
        <v>13686</v>
      </c>
    </row>
    <row r="8895" spans="1:1" x14ac:dyDescent="0.25">
      <c r="A8895" s="74">
        <v>13687</v>
      </c>
    </row>
    <row r="8896" spans="1:1" x14ac:dyDescent="0.25">
      <c r="A8896" s="74">
        <v>13688</v>
      </c>
    </row>
    <row r="8897" spans="1:1" x14ac:dyDescent="0.25">
      <c r="A8897" s="74">
        <v>13689</v>
      </c>
    </row>
    <row r="8898" spans="1:1" x14ac:dyDescent="0.25">
      <c r="A8898" s="74">
        <v>13690</v>
      </c>
    </row>
    <row r="8899" spans="1:1" x14ac:dyDescent="0.25">
      <c r="A8899" s="74">
        <v>13691</v>
      </c>
    </row>
    <row r="8900" spans="1:1" x14ac:dyDescent="0.25">
      <c r="A8900" s="74">
        <v>13692</v>
      </c>
    </row>
    <row r="8901" spans="1:1" x14ac:dyDescent="0.25">
      <c r="A8901" s="74">
        <v>13693</v>
      </c>
    </row>
    <row r="8902" spans="1:1" x14ac:dyDescent="0.25">
      <c r="A8902" s="74">
        <v>13694</v>
      </c>
    </row>
    <row r="8903" spans="1:1" x14ac:dyDescent="0.25">
      <c r="A8903" s="74">
        <v>13695</v>
      </c>
    </row>
    <row r="8904" spans="1:1" x14ac:dyDescent="0.25">
      <c r="A8904" s="74">
        <v>13696</v>
      </c>
    </row>
    <row r="8905" spans="1:1" x14ac:dyDescent="0.25">
      <c r="A8905" s="74">
        <v>13697</v>
      </c>
    </row>
    <row r="8906" spans="1:1" x14ac:dyDescent="0.25">
      <c r="A8906" s="74">
        <v>13698</v>
      </c>
    </row>
    <row r="8907" spans="1:1" x14ac:dyDescent="0.25">
      <c r="A8907" s="74">
        <v>13699</v>
      </c>
    </row>
    <row r="8908" spans="1:1" x14ac:dyDescent="0.25">
      <c r="A8908" s="74">
        <v>13700</v>
      </c>
    </row>
    <row r="8909" spans="1:1" x14ac:dyDescent="0.25">
      <c r="A8909" s="74">
        <v>13701</v>
      </c>
    </row>
    <row r="8910" spans="1:1" x14ac:dyDescent="0.25">
      <c r="A8910" s="74">
        <v>13702</v>
      </c>
    </row>
    <row r="8911" spans="1:1" x14ac:dyDescent="0.25">
      <c r="A8911" s="74">
        <v>13703</v>
      </c>
    </row>
    <row r="8912" spans="1:1" x14ac:dyDescent="0.25">
      <c r="A8912" s="74">
        <v>13704</v>
      </c>
    </row>
    <row r="8913" spans="1:1" x14ac:dyDescent="0.25">
      <c r="A8913" s="74">
        <v>13705</v>
      </c>
    </row>
    <row r="8914" spans="1:1" x14ac:dyDescent="0.25">
      <c r="A8914" s="74">
        <v>13706</v>
      </c>
    </row>
    <row r="8915" spans="1:1" x14ac:dyDescent="0.25">
      <c r="A8915" s="74">
        <v>13707</v>
      </c>
    </row>
    <row r="8916" spans="1:1" x14ac:dyDescent="0.25">
      <c r="A8916" s="74">
        <v>13708</v>
      </c>
    </row>
    <row r="8917" spans="1:1" x14ac:dyDescent="0.25">
      <c r="A8917" s="74">
        <v>13709</v>
      </c>
    </row>
    <row r="8918" spans="1:1" x14ac:dyDescent="0.25">
      <c r="A8918" s="74">
        <v>13710</v>
      </c>
    </row>
    <row r="8919" spans="1:1" x14ac:dyDescent="0.25">
      <c r="A8919" s="74">
        <v>13711</v>
      </c>
    </row>
    <row r="8920" spans="1:1" x14ac:dyDescent="0.25">
      <c r="A8920" s="74">
        <v>13712</v>
      </c>
    </row>
    <row r="8921" spans="1:1" x14ac:dyDescent="0.25">
      <c r="A8921" s="74">
        <v>13713</v>
      </c>
    </row>
    <row r="8922" spans="1:1" x14ac:dyDescent="0.25">
      <c r="A8922" s="74">
        <v>13714</v>
      </c>
    </row>
    <row r="8923" spans="1:1" x14ac:dyDescent="0.25">
      <c r="A8923" s="74">
        <v>13715</v>
      </c>
    </row>
    <row r="8924" spans="1:1" x14ac:dyDescent="0.25">
      <c r="A8924" s="74">
        <v>13716</v>
      </c>
    </row>
    <row r="8925" spans="1:1" x14ac:dyDescent="0.25">
      <c r="A8925" s="74">
        <v>13717</v>
      </c>
    </row>
    <row r="8926" spans="1:1" x14ac:dyDescent="0.25">
      <c r="A8926" s="74">
        <v>13718</v>
      </c>
    </row>
    <row r="8927" spans="1:1" x14ac:dyDescent="0.25">
      <c r="A8927" s="74">
        <v>13719</v>
      </c>
    </row>
    <row r="8928" spans="1:1" x14ac:dyDescent="0.25">
      <c r="A8928" s="74">
        <v>13720</v>
      </c>
    </row>
    <row r="8929" spans="1:1" x14ac:dyDescent="0.25">
      <c r="A8929" s="74">
        <v>13721</v>
      </c>
    </row>
    <row r="8930" spans="1:1" x14ac:dyDescent="0.25">
      <c r="A8930" s="74">
        <v>13722</v>
      </c>
    </row>
    <row r="8931" spans="1:1" x14ac:dyDescent="0.25">
      <c r="A8931" s="74">
        <v>13723</v>
      </c>
    </row>
    <row r="8932" spans="1:1" x14ac:dyDescent="0.25">
      <c r="A8932" s="74">
        <v>13724</v>
      </c>
    </row>
    <row r="8933" spans="1:1" x14ac:dyDescent="0.25">
      <c r="A8933" s="74">
        <v>13725</v>
      </c>
    </row>
    <row r="8934" spans="1:1" x14ac:dyDescent="0.25">
      <c r="A8934" s="74">
        <v>13726</v>
      </c>
    </row>
    <row r="8935" spans="1:1" x14ac:dyDescent="0.25">
      <c r="A8935" s="74">
        <v>13727</v>
      </c>
    </row>
    <row r="8936" spans="1:1" x14ac:dyDescent="0.25">
      <c r="A8936" s="74">
        <v>13728</v>
      </c>
    </row>
    <row r="8937" spans="1:1" x14ac:dyDescent="0.25">
      <c r="A8937" s="74">
        <v>13729</v>
      </c>
    </row>
    <row r="8938" spans="1:1" x14ac:dyDescent="0.25">
      <c r="A8938" s="74">
        <v>13730</v>
      </c>
    </row>
    <row r="8939" spans="1:1" x14ac:dyDescent="0.25">
      <c r="A8939" s="74">
        <v>13731</v>
      </c>
    </row>
    <row r="8940" spans="1:1" x14ac:dyDescent="0.25">
      <c r="A8940" s="74">
        <v>13732</v>
      </c>
    </row>
    <row r="8941" spans="1:1" x14ac:dyDescent="0.25">
      <c r="A8941" s="74">
        <v>13733</v>
      </c>
    </row>
    <row r="8942" spans="1:1" x14ac:dyDescent="0.25">
      <c r="A8942" s="74">
        <v>13734</v>
      </c>
    </row>
    <row r="8943" spans="1:1" x14ac:dyDescent="0.25">
      <c r="A8943" s="74">
        <v>13735</v>
      </c>
    </row>
    <row r="8944" spans="1:1" x14ac:dyDescent="0.25">
      <c r="A8944" s="74">
        <v>13736</v>
      </c>
    </row>
    <row r="8945" spans="1:1" x14ac:dyDescent="0.25">
      <c r="A8945" s="74">
        <v>13737</v>
      </c>
    </row>
    <row r="8946" spans="1:1" x14ac:dyDescent="0.25">
      <c r="A8946" s="74">
        <v>13738</v>
      </c>
    </row>
    <row r="8947" spans="1:1" x14ac:dyDescent="0.25">
      <c r="A8947" s="74">
        <v>13739</v>
      </c>
    </row>
    <row r="8948" spans="1:1" x14ac:dyDescent="0.25">
      <c r="A8948" s="74">
        <v>13740</v>
      </c>
    </row>
    <row r="8949" spans="1:1" x14ac:dyDescent="0.25">
      <c r="A8949" s="74">
        <v>13741</v>
      </c>
    </row>
    <row r="8950" spans="1:1" x14ac:dyDescent="0.25">
      <c r="A8950" s="74">
        <v>13742</v>
      </c>
    </row>
    <row r="8951" spans="1:1" x14ac:dyDescent="0.25">
      <c r="A8951" s="74">
        <v>13743</v>
      </c>
    </row>
    <row r="8952" spans="1:1" x14ac:dyDescent="0.25">
      <c r="A8952" s="74">
        <v>13744</v>
      </c>
    </row>
    <row r="8953" spans="1:1" x14ac:dyDescent="0.25">
      <c r="A8953" s="74">
        <v>13745</v>
      </c>
    </row>
    <row r="8954" spans="1:1" x14ac:dyDescent="0.25">
      <c r="A8954" s="74">
        <v>13746</v>
      </c>
    </row>
    <row r="8955" spans="1:1" x14ac:dyDescent="0.25">
      <c r="A8955" s="74">
        <v>13747</v>
      </c>
    </row>
    <row r="8956" spans="1:1" x14ac:dyDescent="0.25">
      <c r="A8956" s="74">
        <v>13748</v>
      </c>
    </row>
    <row r="8957" spans="1:1" x14ac:dyDescent="0.25">
      <c r="A8957" s="74">
        <v>13749</v>
      </c>
    </row>
    <row r="8958" spans="1:1" x14ac:dyDescent="0.25">
      <c r="A8958" s="74">
        <v>13750</v>
      </c>
    </row>
    <row r="8959" spans="1:1" x14ac:dyDescent="0.25">
      <c r="A8959" s="74">
        <v>13751</v>
      </c>
    </row>
    <row r="8960" spans="1:1" x14ac:dyDescent="0.25">
      <c r="A8960" s="74">
        <v>13752</v>
      </c>
    </row>
    <row r="8961" spans="1:1" x14ac:dyDescent="0.25">
      <c r="A8961" s="74">
        <v>13753</v>
      </c>
    </row>
    <row r="8962" spans="1:1" x14ac:dyDescent="0.25">
      <c r="A8962" s="74">
        <v>13754</v>
      </c>
    </row>
    <row r="8963" spans="1:1" x14ac:dyDescent="0.25">
      <c r="A8963" s="74">
        <v>13755</v>
      </c>
    </row>
    <row r="8964" spans="1:1" x14ac:dyDescent="0.25">
      <c r="A8964" s="74">
        <v>13756</v>
      </c>
    </row>
    <row r="8965" spans="1:1" x14ac:dyDescent="0.25">
      <c r="A8965" s="74">
        <v>13757</v>
      </c>
    </row>
    <row r="8966" spans="1:1" x14ac:dyDescent="0.25">
      <c r="A8966" s="74">
        <v>13758</v>
      </c>
    </row>
    <row r="8967" spans="1:1" x14ac:dyDescent="0.25">
      <c r="A8967" s="74">
        <v>13759</v>
      </c>
    </row>
    <row r="8968" spans="1:1" x14ac:dyDescent="0.25">
      <c r="A8968" s="74">
        <v>13760</v>
      </c>
    </row>
    <row r="8969" spans="1:1" x14ac:dyDescent="0.25">
      <c r="A8969" s="74">
        <v>13761</v>
      </c>
    </row>
    <row r="8970" spans="1:1" x14ac:dyDescent="0.25">
      <c r="A8970" s="74">
        <v>13762</v>
      </c>
    </row>
    <row r="8971" spans="1:1" x14ac:dyDescent="0.25">
      <c r="A8971" s="74">
        <v>13763</v>
      </c>
    </row>
    <row r="8972" spans="1:1" x14ac:dyDescent="0.25">
      <c r="A8972" s="74">
        <v>13764</v>
      </c>
    </row>
    <row r="8973" spans="1:1" x14ac:dyDescent="0.25">
      <c r="A8973" s="74">
        <v>13765</v>
      </c>
    </row>
    <row r="8974" spans="1:1" x14ac:dyDescent="0.25">
      <c r="A8974" s="74">
        <v>13766</v>
      </c>
    </row>
    <row r="8975" spans="1:1" x14ac:dyDescent="0.25">
      <c r="A8975" s="74">
        <v>13767</v>
      </c>
    </row>
    <row r="8976" spans="1:1" x14ac:dyDescent="0.25">
      <c r="A8976" s="74">
        <v>13768</v>
      </c>
    </row>
    <row r="8977" spans="1:1" x14ac:dyDescent="0.25">
      <c r="A8977" s="74">
        <v>13769</v>
      </c>
    </row>
    <row r="8978" spans="1:1" x14ac:dyDescent="0.25">
      <c r="A8978" s="74">
        <v>13770</v>
      </c>
    </row>
    <row r="8979" spans="1:1" x14ac:dyDescent="0.25">
      <c r="A8979" s="74">
        <v>13771</v>
      </c>
    </row>
    <row r="8980" spans="1:1" x14ac:dyDescent="0.25">
      <c r="A8980" s="74">
        <v>13772</v>
      </c>
    </row>
    <row r="8981" spans="1:1" x14ac:dyDescent="0.25">
      <c r="A8981" s="74">
        <v>13773</v>
      </c>
    </row>
    <row r="8982" spans="1:1" x14ac:dyDescent="0.25">
      <c r="A8982" s="74">
        <v>13774</v>
      </c>
    </row>
    <row r="8983" spans="1:1" x14ac:dyDescent="0.25">
      <c r="A8983" s="74">
        <v>13775</v>
      </c>
    </row>
    <row r="8984" spans="1:1" x14ac:dyDescent="0.25">
      <c r="A8984" s="74">
        <v>13776</v>
      </c>
    </row>
    <row r="8985" spans="1:1" x14ac:dyDescent="0.25">
      <c r="A8985" s="74">
        <v>13777</v>
      </c>
    </row>
    <row r="8986" spans="1:1" x14ac:dyDescent="0.25">
      <c r="A8986" s="74">
        <v>13778</v>
      </c>
    </row>
    <row r="8987" spans="1:1" x14ac:dyDescent="0.25">
      <c r="A8987" s="74">
        <v>13779</v>
      </c>
    </row>
    <row r="8988" spans="1:1" x14ac:dyDescent="0.25">
      <c r="A8988" s="74">
        <v>13780</v>
      </c>
    </row>
    <row r="8989" spans="1:1" x14ac:dyDescent="0.25">
      <c r="A8989" s="74">
        <v>13781</v>
      </c>
    </row>
    <row r="8990" spans="1:1" x14ac:dyDescent="0.25">
      <c r="A8990" s="74">
        <v>13782</v>
      </c>
    </row>
    <row r="8991" spans="1:1" x14ac:dyDescent="0.25">
      <c r="A8991" s="74">
        <v>13783</v>
      </c>
    </row>
    <row r="8992" spans="1:1" x14ac:dyDescent="0.25">
      <c r="A8992" s="74">
        <v>13784</v>
      </c>
    </row>
    <row r="8993" spans="1:1" x14ac:dyDescent="0.25">
      <c r="A8993" s="74">
        <v>13785</v>
      </c>
    </row>
    <row r="8994" spans="1:1" x14ac:dyDescent="0.25">
      <c r="A8994" s="74">
        <v>13786</v>
      </c>
    </row>
    <row r="8995" spans="1:1" x14ac:dyDescent="0.25">
      <c r="A8995" s="74">
        <v>13787</v>
      </c>
    </row>
    <row r="8996" spans="1:1" x14ac:dyDescent="0.25">
      <c r="A8996" s="74">
        <v>13788</v>
      </c>
    </row>
    <row r="8997" spans="1:1" x14ac:dyDescent="0.25">
      <c r="A8997" s="74">
        <v>13789</v>
      </c>
    </row>
    <row r="8998" spans="1:1" x14ac:dyDescent="0.25">
      <c r="A8998" s="74">
        <v>13790</v>
      </c>
    </row>
    <row r="8999" spans="1:1" x14ac:dyDescent="0.25">
      <c r="A8999" s="74">
        <v>13791</v>
      </c>
    </row>
    <row r="9000" spans="1:1" x14ac:dyDescent="0.25">
      <c r="A9000" s="74">
        <v>13792</v>
      </c>
    </row>
    <row r="9001" spans="1:1" x14ac:dyDescent="0.25">
      <c r="A9001" s="74">
        <v>13793</v>
      </c>
    </row>
    <row r="9002" spans="1:1" x14ac:dyDescent="0.25">
      <c r="A9002" s="74">
        <v>13794</v>
      </c>
    </row>
    <row r="9003" spans="1:1" x14ac:dyDescent="0.25">
      <c r="A9003" s="74">
        <v>13795</v>
      </c>
    </row>
    <row r="9004" spans="1:1" x14ac:dyDescent="0.25">
      <c r="A9004" s="74">
        <v>13796</v>
      </c>
    </row>
    <row r="9005" spans="1:1" x14ac:dyDescent="0.25">
      <c r="A9005" s="74">
        <v>13797</v>
      </c>
    </row>
    <row r="9006" spans="1:1" x14ac:dyDescent="0.25">
      <c r="A9006" s="74">
        <v>13798</v>
      </c>
    </row>
    <row r="9007" spans="1:1" x14ac:dyDescent="0.25">
      <c r="A9007" s="74">
        <v>13799</v>
      </c>
    </row>
    <row r="9008" spans="1:1" x14ac:dyDescent="0.25">
      <c r="A9008" s="74">
        <v>13800</v>
      </c>
    </row>
    <row r="9009" spans="1:1" x14ac:dyDescent="0.25">
      <c r="A9009" s="74">
        <v>13801</v>
      </c>
    </row>
    <row r="9010" spans="1:1" x14ac:dyDescent="0.25">
      <c r="A9010" s="74">
        <v>13802</v>
      </c>
    </row>
    <row r="9011" spans="1:1" x14ac:dyDescent="0.25">
      <c r="A9011" s="74">
        <v>13803</v>
      </c>
    </row>
    <row r="9012" spans="1:1" x14ac:dyDescent="0.25">
      <c r="A9012" s="74">
        <v>13804</v>
      </c>
    </row>
    <row r="9013" spans="1:1" x14ac:dyDescent="0.25">
      <c r="A9013" s="74">
        <v>13805</v>
      </c>
    </row>
    <row r="9014" spans="1:1" x14ac:dyDescent="0.25">
      <c r="A9014" s="74">
        <v>13806</v>
      </c>
    </row>
    <row r="9015" spans="1:1" x14ac:dyDescent="0.25">
      <c r="A9015" s="74">
        <v>13807</v>
      </c>
    </row>
    <row r="9016" spans="1:1" x14ac:dyDescent="0.25">
      <c r="A9016" s="74">
        <v>13808</v>
      </c>
    </row>
    <row r="9017" spans="1:1" x14ac:dyDescent="0.25">
      <c r="A9017" s="74">
        <v>13809</v>
      </c>
    </row>
    <row r="9018" spans="1:1" x14ac:dyDescent="0.25">
      <c r="A9018" s="74">
        <v>13810</v>
      </c>
    </row>
    <row r="9019" spans="1:1" x14ac:dyDescent="0.25">
      <c r="A9019" s="74">
        <v>13811</v>
      </c>
    </row>
    <row r="9020" spans="1:1" x14ac:dyDescent="0.25">
      <c r="A9020" s="74">
        <v>13812</v>
      </c>
    </row>
    <row r="9021" spans="1:1" x14ac:dyDescent="0.25">
      <c r="A9021" s="74">
        <v>13813</v>
      </c>
    </row>
    <row r="9022" spans="1:1" x14ac:dyDescent="0.25">
      <c r="A9022" s="74">
        <v>13814</v>
      </c>
    </row>
    <row r="9023" spans="1:1" x14ac:dyDescent="0.25">
      <c r="A9023" s="74">
        <v>13815</v>
      </c>
    </row>
    <row r="9024" spans="1:1" x14ac:dyDescent="0.25">
      <c r="A9024" s="74">
        <v>13816</v>
      </c>
    </row>
    <row r="9025" spans="1:1" x14ac:dyDescent="0.25">
      <c r="A9025" s="74">
        <v>13817</v>
      </c>
    </row>
    <row r="9026" spans="1:1" x14ac:dyDescent="0.25">
      <c r="A9026" s="74">
        <v>13818</v>
      </c>
    </row>
    <row r="9027" spans="1:1" x14ac:dyDescent="0.25">
      <c r="A9027" s="74">
        <v>13819</v>
      </c>
    </row>
    <row r="9028" spans="1:1" x14ac:dyDescent="0.25">
      <c r="A9028" s="74">
        <v>13820</v>
      </c>
    </row>
    <row r="9029" spans="1:1" x14ac:dyDescent="0.25">
      <c r="A9029" s="74">
        <v>13821</v>
      </c>
    </row>
    <row r="9030" spans="1:1" x14ac:dyDescent="0.25">
      <c r="A9030" s="74">
        <v>13822</v>
      </c>
    </row>
    <row r="9031" spans="1:1" x14ac:dyDescent="0.25">
      <c r="A9031" s="74">
        <v>13823</v>
      </c>
    </row>
    <row r="9032" spans="1:1" x14ac:dyDescent="0.25">
      <c r="A9032" s="74">
        <v>13824</v>
      </c>
    </row>
    <row r="9033" spans="1:1" x14ac:dyDescent="0.25">
      <c r="A9033" s="74">
        <v>13825</v>
      </c>
    </row>
    <row r="9034" spans="1:1" x14ac:dyDescent="0.25">
      <c r="A9034" s="74">
        <v>13826</v>
      </c>
    </row>
    <row r="9035" spans="1:1" x14ac:dyDescent="0.25">
      <c r="A9035" s="74">
        <v>13827</v>
      </c>
    </row>
    <row r="9036" spans="1:1" x14ac:dyDescent="0.25">
      <c r="A9036" s="74">
        <v>13828</v>
      </c>
    </row>
    <row r="9037" spans="1:1" x14ac:dyDescent="0.25">
      <c r="A9037" s="74">
        <v>13829</v>
      </c>
    </row>
    <row r="9038" spans="1:1" x14ac:dyDescent="0.25">
      <c r="A9038" s="74">
        <v>13830</v>
      </c>
    </row>
    <row r="9039" spans="1:1" x14ac:dyDescent="0.25">
      <c r="A9039" s="74">
        <v>13831</v>
      </c>
    </row>
    <row r="9040" spans="1:1" x14ac:dyDescent="0.25">
      <c r="A9040" s="74">
        <v>13832</v>
      </c>
    </row>
    <row r="9041" spans="1:1" x14ac:dyDescent="0.25">
      <c r="A9041" s="74">
        <v>13833</v>
      </c>
    </row>
    <row r="9042" spans="1:1" x14ac:dyDescent="0.25">
      <c r="A9042" s="74">
        <v>13834</v>
      </c>
    </row>
    <row r="9043" spans="1:1" x14ac:dyDescent="0.25">
      <c r="A9043" s="74">
        <v>13835</v>
      </c>
    </row>
    <row r="9044" spans="1:1" x14ac:dyDescent="0.25">
      <c r="A9044" s="74">
        <v>13836</v>
      </c>
    </row>
    <row r="9045" spans="1:1" x14ac:dyDescent="0.25">
      <c r="A9045" s="74">
        <v>13837</v>
      </c>
    </row>
    <row r="9046" spans="1:1" x14ac:dyDescent="0.25">
      <c r="A9046" s="74">
        <v>13838</v>
      </c>
    </row>
    <row r="9047" spans="1:1" x14ac:dyDescent="0.25">
      <c r="A9047" s="74">
        <v>13839</v>
      </c>
    </row>
    <row r="9048" spans="1:1" x14ac:dyDescent="0.25">
      <c r="A9048" s="74">
        <v>13840</v>
      </c>
    </row>
    <row r="9049" spans="1:1" x14ac:dyDescent="0.25">
      <c r="A9049" s="74">
        <v>13841</v>
      </c>
    </row>
    <row r="9050" spans="1:1" x14ac:dyDescent="0.25">
      <c r="A9050" s="74">
        <v>13842</v>
      </c>
    </row>
    <row r="9051" spans="1:1" x14ac:dyDescent="0.25">
      <c r="A9051" s="74">
        <v>13843</v>
      </c>
    </row>
    <row r="9052" spans="1:1" x14ac:dyDescent="0.25">
      <c r="A9052" s="74">
        <v>13844</v>
      </c>
    </row>
    <row r="9053" spans="1:1" x14ac:dyDescent="0.25">
      <c r="A9053" s="74">
        <v>13845</v>
      </c>
    </row>
    <row r="9054" spans="1:1" x14ac:dyDescent="0.25">
      <c r="A9054" s="74">
        <v>13846</v>
      </c>
    </row>
    <row r="9055" spans="1:1" x14ac:dyDescent="0.25">
      <c r="A9055" s="74">
        <v>13847</v>
      </c>
    </row>
    <row r="9056" spans="1:1" x14ac:dyDescent="0.25">
      <c r="A9056" s="74">
        <v>13848</v>
      </c>
    </row>
    <row r="9057" spans="1:1" x14ac:dyDescent="0.25">
      <c r="A9057" s="74">
        <v>13849</v>
      </c>
    </row>
    <row r="9058" spans="1:1" x14ac:dyDescent="0.25">
      <c r="A9058" s="74">
        <v>13850</v>
      </c>
    </row>
    <row r="9059" spans="1:1" x14ac:dyDescent="0.25">
      <c r="A9059" s="74">
        <v>13851</v>
      </c>
    </row>
    <row r="9060" spans="1:1" x14ac:dyDescent="0.25">
      <c r="A9060" s="74">
        <v>13852</v>
      </c>
    </row>
    <row r="9061" spans="1:1" x14ac:dyDescent="0.25">
      <c r="A9061" s="74">
        <v>13853</v>
      </c>
    </row>
    <row r="9062" spans="1:1" x14ac:dyDescent="0.25">
      <c r="A9062" s="74">
        <v>13854</v>
      </c>
    </row>
    <row r="9063" spans="1:1" x14ac:dyDescent="0.25">
      <c r="A9063" s="74">
        <v>13855</v>
      </c>
    </row>
    <row r="9064" spans="1:1" x14ac:dyDescent="0.25">
      <c r="A9064" s="74">
        <v>13856</v>
      </c>
    </row>
    <row r="9065" spans="1:1" x14ac:dyDescent="0.25">
      <c r="A9065" s="74">
        <v>13857</v>
      </c>
    </row>
    <row r="9066" spans="1:1" x14ac:dyDescent="0.25">
      <c r="A9066" s="74">
        <v>13858</v>
      </c>
    </row>
    <row r="9067" spans="1:1" x14ac:dyDescent="0.25">
      <c r="A9067" s="74">
        <v>13859</v>
      </c>
    </row>
    <row r="9068" spans="1:1" x14ac:dyDescent="0.25">
      <c r="A9068" s="74">
        <v>13860</v>
      </c>
    </row>
    <row r="9069" spans="1:1" x14ac:dyDescent="0.25">
      <c r="A9069" s="74">
        <v>13861</v>
      </c>
    </row>
    <row r="9070" spans="1:1" x14ac:dyDescent="0.25">
      <c r="A9070" s="74">
        <v>13862</v>
      </c>
    </row>
    <row r="9071" spans="1:1" x14ac:dyDescent="0.25">
      <c r="A9071" s="74">
        <v>13863</v>
      </c>
    </row>
    <row r="9072" spans="1:1" x14ac:dyDescent="0.25">
      <c r="A9072" s="74">
        <v>13864</v>
      </c>
    </row>
    <row r="9073" spans="1:1" x14ac:dyDescent="0.25">
      <c r="A9073" s="74">
        <v>13865</v>
      </c>
    </row>
    <row r="9074" spans="1:1" x14ac:dyDescent="0.25">
      <c r="A9074" s="74">
        <v>13866</v>
      </c>
    </row>
    <row r="9075" spans="1:1" x14ac:dyDescent="0.25">
      <c r="A9075" s="74">
        <v>13867</v>
      </c>
    </row>
    <row r="9076" spans="1:1" x14ac:dyDescent="0.25">
      <c r="A9076" s="74">
        <v>13868</v>
      </c>
    </row>
    <row r="9077" spans="1:1" x14ac:dyDescent="0.25">
      <c r="A9077" s="74">
        <v>13869</v>
      </c>
    </row>
    <row r="9078" spans="1:1" x14ac:dyDescent="0.25">
      <c r="A9078" s="74">
        <v>13870</v>
      </c>
    </row>
    <row r="9079" spans="1:1" x14ac:dyDescent="0.25">
      <c r="A9079" s="74">
        <v>13871</v>
      </c>
    </row>
    <row r="9080" spans="1:1" x14ac:dyDescent="0.25">
      <c r="A9080" s="74">
        <v>13872</v>
      </c>
    </row>
    <row r="9081" spans="1:1" x14ac:dyDescent="0.25">
      <c r="A9081" s="74">
        <v>13873</v>
      </c>
    </row>
    <row r="9082" spans="1:1" x14ac:dyDescent="0.25">
      <c r="A9082" s="74">
        <v>13874</v>
      </c>
    </row>
    <row r="9083" spans="1:1" x14ac:dyDescent="0.25">
      <c r="A9083" s="74">
        <v>13875</v>
      </c>
    </row>
    <row r="9084" spans="1:1" x14ac:dyDescent="0.25">
      <c r="A9084" s="74">
        <v>13876</v>
      </c>
    </row>
    <row r="9085" spans="1:1" x14ac:dyDescent="0.25">
      <c r="A9085" s="74">
        <v>13877</v>
      </c>
    </row>
    <row r="9086" spans="1:1" x14ac:dyDescent="0.25">
      <c r="A9086" s="74">
        <v>13878</v>
      </c>
    </row>
    <row r="9087" spans="1:1" x14ac:dyDescent="0.25">
      <c r="A9087" s="74">
        <v>13879</v>
      </c>
    </row>
    <row r="9088" spans="1:1" x14ac:dyDescent="0.25">
      <c r="A9088" s="74">
        <v>13880</v>
      </c>
    </row>
    <row r="9089" spans="1:1" x14ac:dyDescent="0.25">
      <c r="A9089" s="74">
        <v>13881</v>
      </c>
    </row>
    <row r="9090" spans="1:1" x14ac:dyDescent="0.25">
      <c r="A9090" s="74">
        <v>13882</v>
      </c>
    </row>
    <row r="9091" spans="1:1" x14ac:dyDescent="0.25">
      <c r="A9091" s="74">
        <v>13883</v>
      </c>
    </row>
    <row r="9092" spans="1:1" x14ac:dyDescent="0.25">
      <c r="A9092" s="74">
        <v>13884</v>
      </c>
    </row>
    <row r="9093" spans="1:1" x14ac:dyDescent="0.25">
      <c r="A9093" s="74">
        <v>13885</v>
      </c>
    </row>
    <row r="9094" spans="1:1" x14ac:dyDescent="0.25">
      <c r="A9094" s="74">
        <v>13886</v>
      </c>
    </row>
    <row r="9095" spans="1:1" x14ac:dyDescent="0.25">
      <c r="A9095" s="74">
        <v>13887</v>
      </c>
    </row>
    <row r="9096" spans="1:1" x14ac:dyDescent="0.25">
      <c r="A9096" s="74">
        <v>13888</v>
      </c>
    </row>
    <row r="9097" spans="1:1" x14ac:dyDescent="0.25">
      <c r="A9097" s="74">
        <v>13889</v>
      </c>
    </row>
    <row r="9098" spans="1:1" x14ac:dyDescent="0.25">
      <c r="A9098" s="74">
        <v>13890</v>
      </c>
    </row>
    <row r="9099" spans="1:1" x14ac:dyDescent="0.25">
      <c r="A9099" s="74">
        <v>13891</v>
      </c>
    </row>
    <row r="9100" spans="1:1" x14ac:dyDescent="0.25">
      <c r="A9100" s="74">
        <v>13892</v>
      </c>
    </row>
    <row r="9101" spans="1:1" x14ac:dyDescent="0.25">
      <c r="A9101" s="74">
        <v>13893</v>
      </c>
    </row>
    <row r="9102" spans="1:1" x14ac:dyDescent="0.25">
      <c r="A9102" s="74">
        <v>13894</v>
      </c>
    </row>
    <row r="9103" spans="1:1" x14ac:dyDescent="0.25">
      <c r="A9103" s="74">
        <v>13895</v>
      </c>
    </row>
    <row r="9104" spans="1:1" x14ac:dyDescent="0.25">
      <c r="A9104" s="74">
        <v>13896</v>
      </c>
    </row>
    <row r="9105" spans="1:1" x14ac:dyDescent="0.25">
      <c r="A9105" s="74">
        <v>13897</v>
      </c>
    </row>
    <row r="9106" spans="1:1" x14ac:dyDescent="0.25">
      <c r="A9106" s="74">
        <v>13898</v>
      </c>
    </row>
    <row r="9107" spans="1:1" x14ac:dyDescent="0.25">
      <c r="A9107" s="74">
        <v>13899</v>
      </c>
    </row>
    <row r="9108" spans="1:1" x14ac:dyDescent="0.25">
      <c r="A9108" s="74">
        <v>13900</v>
      </c>
    </row>
    <row r="9109" spans="1:1" x14ac:dyDescent="0.25">
      <c r="A9109" s="74">
        <v>13901</v>
      </c>
    </row>
    <row r="9110" spans="1:1" x14ac:dyDescent="0.25">
      <c r="A9110" s="74">
        <v>13902</v>
      </c>
    </row>
    <row r="9111" spans="1:1" x14ac:dyDescent="0.25">
      <c r="A9111" s="74">
        <v>13903</v>
      </c>
    </row>
    <row r="9112" spans="1:1" x14ac:dyDescent="0.25">
      <c r="A9112" s="74">
        <v>13904</v>
      </c>
    </row>
    <row r="9113" spans="1:1" x14ac:dyDescent="0.25">
      <c r="A9113" s="74">
        <v>13905</v>
      </c>
    </row>
    <row r="9114" spans="1:1" x14ac:dyDescent="0.25">
      <c r="A9114" s="74">
        <v>13906</v>
      </c>
    </row>
    <row r="9115" spans="1:1" x14ac:dyDescent="0.25">
      <c r="A9115" s="74">
        <v>13907</v>
      </c>
    </row>
    <row r="9116" spans="1:1" x14ac:dyDescent="0.25">
      <c r="A9116" s="74">
        <v>13908</v>
      </c>
    </row>
    <row r="9117" spans="1:1" x14ac:dyDescent="0.25">
      <c r="A9117" s="74">
        <v>13909</v>
      </c>
    </row>
    <row r="9118" spans="1:1" x14ac:dyDescent="0.25">
      <c r="A9118" s="74">
        <v>13910</v>
      </c>
    </row>
    <row r="9119" spans="1:1" x14ac:dyDescent="0.25">
      <c r="A9119" s="74">
        <v>13911</v>
      </c>
    </row>
    <row r="9120" spans="1:1" x14ac:dyDescent="0.25">
      <c r="A9120" s="74">
        <v>13912</v>
      </c>
    </row>
    <row r="9121" spans="1:1" x14ac:dyDescent="0.25">
      <c r="A9121" s="74">
        <v>13913</v>
      </c>
    </row>
    <row r="9122" spans="1:1" x14ac:dyDescent="0.25">
      <c r="A9122" s="74">
        <v>13914</v>
      </c>
    </row>
    <row r="9123" spans="1:1" x14ac:dyDescent="0.25">
      <c r="A9123" s="74">
        <v>13915</v>
      </c>
    </row>
    <row r="9124" spans="1:1" x14ac:dyDescent="0.25">
      <c r="A9124" s="74">
        <v>13916</v>
      </c>
    </row>
    <row r="9125" spans="1:1" x14ac:dyDescent="0.25">
      <c r="A9125" s="74">
        <v>13917</v>
      </c>
    </row>
    <row r="9126" spans="1:1" x14ac:dyDescent="0.25">
      <c r="A9126" s="74">
        <v>13918</v>
      </c>
    </row>
    <row r="9127" spans="1:1" x14ac:dyDescent="0.25">
      <c r="A9127" s="74">
        <v>13919</v>
      </c>
    </row>
    <row r="9128" spans="1:1" x14ac:dyDescent="0.25">
      <c r="A9128" s="74">
        <v>13920</v>
      </c>
    </row>
    <row r="9129" spans="1:1" x14ac:dyDescent="0.25">
      <c r="A9129" s="74">
        <v>13921</v>
      </c>
    </row>
    <row r="9130" spans="1:1" x14ac:dyDescent="0.25">
      <c r="A9130" s="74">
        <v>13922</v>
      </c>
    </row>
    <row r="9131" spans="1:1" x14ac:dyDescent="0.25">
      <c r="A9131" s="74">
        <v>13923</v>
      </c>
    </row>
    <row r="9132" spans="1:1" x14ac:dyDescent="0.25">
      <c r="A9132" s="74">
        <v>13924</v>
      </c>
    </row>
    <row r="9133" spans="1:1" x14ac:dyDescent="0.25">
      <c r="A9133" s="74">
        <v>13925</v>
      </c>
    </row>
    <row r="9134" spans="1:1" x14ac:dyDescent="0.25">
      <c r="A9134" s="74">
        <v>13926</v>
      </c>
    </row>
    <row r="9135" spans="1:1" x14ac:dyDescent="0.25">
      <c r="A9135" s="74">
        <v>13927</v>
      </c>
    </row>
    <row r="9136" spans="1:1" x14ac:dyDescent="0.25">
      <c r="A9136" s="74">
        <v>13928</v>
      </c>
    </row>
    <row r="9137" spans="1:1" x14ac:dyDescent="0.25">
      <c r="A9137" s="74">
        <v>13929</v>
      </c>
    </row>
    <row r="9138" spans="1:1" x14ac:dyDescent="0.25">
      <c r="A9138" s="74">
        <v>13930</v>
      </c>
    </row>
    <row r="9139" spans="1:1" x14ac:dyDescent="0.25">
      <c r="A9139" s="74">
        <v>13931</v>
      </c>
    </row>
    <row r="9140" spans="1:1" x14ac:dyDescent="0.25">
      <c r="A9140" s="74">
        <v>13932</v>
      </c>
    </row>
    <row r="9141" spans="1:1" x14ac:dyDescent="0.25">
      <c r="A9141" s="74">
        <v>13933</v>
      </c>
    </row>
    <row r="9142" spans="1:1" x14ac:dyDescent="0.25">
      <c r="A9142" s="74">
        <v>13934</v>
      </c>
    </row>
    <row r="9143" spans="1:1" x14ac:dyDescent="0.25">
      <c r="A9143" s="74">
        <v>13935</v>
      </c>
    </row>
    <row r="9144" spans="1:1" x14ac:dyDescent="0.25">
      <c r="A9144" s="74">
        <v>13936</v>
      </c>
    </row>
    <row r="9145" spans="1:1" x14ac:dyDescent="0.25">
      <c r="A9145" s="74">
        <v>13937</v>
      </c>
    </row>
    <row r="9146" spans="1:1" x14ac:dyDescent="0.25">
      <c r="A9146" s="74">
        <v>13938</v>
      </c>
    </row>
    <row r="9147" spans="1:1" x14ac:dyDescent="0.25">
      <c r="A9147" s="74">
        <v>13939</v>
      </c>
    </row>
    <row r="9148" spans="1:1" x14ac:dyDescent="0.25">
      <c r="A9148" s="74">
        <v>13940</v>
      </c>
    </row>
    <row r="9149" spans="1:1" x14ac:dyDescent="0.25">
      <c r="A9149" s="74">
        <v>13941</v>
      </c>
    </row>
    <row r="9150" spans="1:1" x14ac:dyDescent="0.25">
      <c r="A9150" s="74">
        <v>13942</v>
      </c>
    </row>
    <row r="9151" spans="1:1" x14ac:dyDescent="0.25">
      <c r="A9151" s="74">
        <v>13943</v>
      </c>
    </row>
    <row r="9152" spans="1:1" x14ac:dyDescent="0.25">
      <c r="A9152" s="74">
        <v>13944</v>
      </c>
    </row>
    <row r="9153" spans="1:1" x14ac:dyDescent="0.25">
      <c r="A9153" s="74">
        <v>13945</v>
      </c>
    </row>
    <row r="9154" spans="1:1" x14ac:dyDescent="0.25">
      <c r="A9154" s="74">
        <v>13946</v>
      </c>
    </row>
    <row r="9155" spans="1:1" x14ac:dyDescent="0.25">
      <c r="A9155" s="74">
        <v>13947</v>
      </c>
    </row>
    <row r="9156" spans="1:1" x14ac:dyDescent="0.25">
      <c r="A9156" s="74">
        <v>13948</v>
      </c>
    </row>
    <row r="9157" spans="1:1" x14ac:dyDescent="0.25">
      <c r="A9157" s="74">
        <v>13949</v>
      </c>
    </row>
    <row r="9158" spans="1:1" x14ac:dyDescent="0.25">
      <c r="A9158" s="74">
        <v>13950</v>
      </c>
    </row>
    <row r="9159" spans="1:1" x14ac:dyDescent="0.25">
      <c r="A9159" s="74">
        <v>13951</v>
      </c>
    </row>
    <row r="9160" spans="1:1" x14ac:dyDescent="0.25">
      <c r="A9160" s="74">
        <v>13952</v>
      </c>
    </row>
    <row r="9161" spans="1:1" x14ac:dyDescent="0.25">
      <c r="A9161" s="74">
        <v>13953</v>
      </c>
    </row>
    <row r="9162" spans="1:1" x14ac:dyDescent="0.25">
      <c r="A9162" s="74">
        <v>13954</v>
      </c>
    </row>
    <row r="9163" spans="1:1" x14ac:dyDescent="0.25">
      <c r="A9163" s="74">
        <v>13955</v>
      </c>
    </row>
    <row r="9164" spans="1:1" x14ac:dyDescent="0.25">
      <c r="A9164" s="74">
        <v>13956</v>
      </c>
    </row>
    <row r="9165" spans="1:1" x14ac:dyDescent="0.25">
      <c r="A9165" s="74">
        <v>13957</v>
      </c>
    </row>
    <row r="9166" spans="1:1" x14ac:dyDescent="0.25">
      <c r="A9166" s="74">
        <v>13958</v>
      </c>
    </row>
    <row r="9167" spans="1:1" x14ac:dyDescent="0.25">
      <c r="A9167" s="74">
        <v>13959</v>
      </c>
    </row>
    <row r="9168" spans="1:1" x14ac:dyDescent="0.25">
      <c r="A9168" s="74">
        <v>13960</v>
      </c>
    </row>
    <row r="9169" spans="1:1" x14ac:dyDescent="0.25">
      <c r="A9169" s="74">
        <v>13961</v>
      </c>
    </row>
    <row r="9170" spans="1:1" x14ac:dyDescent="0.25">
      <c r="A9170" s="74">
        <v>13962</v>
      </c>
    </row>
    <row r="9171" spans="1:1" x14ac:dyDescent="0.25">
      <c r="A9171" s="74">
        <v>13963</v>
      </c>
    </row>
    <row r="9172" spans="1:1" x14ac:dyDescent="0.25">
      <c r="A9172" s="74">
        <v>13964</v>
      </c>
    </row>
    <row r="9173" spans="1:1" x14ac:dyDescent="0.25">
      <c r="A9173" s="74">
        <v>13965</v>
      </c>
    </row>
    <row r="9174" spans="1:1" x14ac:dyDescent="0.25">
      <c r="A9174" s="74">
        <v>13966</v>
      </c>
    </row>
    <row r="9175" spans="1:1" x14ac:dyDescent="0.25">
      <c r="A9175" s="74">
        <v>13967</v>
      </c>
    </row>
    <row r="9176" spans="1:1" x14ac:dyDescent="0.25">
      <c r="A9176" s="74">
        <v>13968</v>
      </c>
    </row>
    <row r="9177" spans="1:1" x14ac:dyDescent="0.25">
      <c r="A9177" s="74">
        <v>13969</v>
      </c>
    </row>
    <row r="9178" spans="1:1" x14ac:dyDescent="0.25">
      <c r="A9178" s="74">
        <v>13970</v>
      </c>
    </row>
    <row r="9179" spans="1:1" x14ac:dyDescent="0.25">
      <c r="A9179" s="74">
        <v>13971</v>
      </c>
    </row>
    <row r="9180" spans="1:1" x14ac:dyDescent="0.25">
      <c r="A9180" s="74">
        <v>13972</v>
      </c>
    </row>
    <row r="9181" spans="1:1" x14ac:dyDescent="0.25">
      <c r="A9181" s="74">
        <v>13973</v>
      </c>
    </row>
    <row r="9182" spans="1:1" x14ac:dyDescent="0.25">
      <c r="A9182" s="74">
        <v>13974</v>
      </c>
    </row>
    <row r="9183" spans="1:1" x14ac:dyDescent="0.25">
      <c r="A9183" s="74">
        <v>13975</v>
      </c>
    </row>
    <row r="9184" spans="1:1" x14ac:dyDescent="0.25">
      <c r="A9184" s="74">
        <v>13976</v>
      </c>
    </row>
    <row r="9185" spans="1:1" x14ac:dyDescent="0.25">
      <c r="A9185" s="74">
        <v>13977</v>
      </c>
    </row>
    <row r="9186" spans="1:1" x14ac:dyDescent="0.25">
      <c r="A9186" s="74">
        <v>13978</v>
      </c>
    </row>
    <row r="9187" spans="1:1" x14ac:dyDescent="0.25">
      <c r="A9187" s="74">
        <v>13979</v>
      </c>
    </row>
    <row r="9188" spans="1:1" x14ac:dyDescent="0.25">
      <c r="A9188" s="74">
        <v>13980</v>
      </c>
    </row>
    <row r="9189" spans="1:1" x14ac:dyDescent="0.25">
      <c r="A9189" s="74">
        <v>13981</v>
      </c>
    </row>
    <row r="9190" spans="1:1" x14ac:dyDescent="0.25">
      <c r="A9190" s="74">
        <v>13982</v>
      </c>
    </row>
    <row r="9191" spans="1:1" x14ac:dyDescent="0.25">
      <c r="A9191" s="74">
        <v>13983</v>
      </c>
    </row>
    <row r="9192" spans="1:1" x14ac:dyDescent="0.25">
      <c r="A9192" s="74">
        <v>13984</v>
      </c>
    </row>
    <row r="9193" spans="1:1" x14ac:dyDescent="0.25">
      <c r="A9193" s="74">
        <v>13985</v>
      </c>
    </row>
    <row r="9194" spans="1:1" x14ac:dyDescent="0.25">
      <c r="A9194" s="74">
        <v>13986</v>
      </c>
    </row>
    <row r="9195" spans="1:1" x14ac:dyDescent="0.25">
      <c r="A9195" s="74">
        <v>13987</v>
      </c>
    </row>
    <row r="9196" spans="1:1" x14ac:dyDescent="0.25">
      <c r="A9196" s="74">
        <v>13988</v>
      </c>
    </row>
    <row r="9197" spans="1:1" x14ac:dyDescent="0.25">
      <c r="A9197" s="74">
        <v>13989</v>
      </c>
    </row>
    <row r="9198" spans="1:1" x14ac:dyDescent="0.25">
      <c r="A9198" s="74">
        <v>13990</v>
      </c>
    </row>
    <row r="9199" spans="1:1" x14ac:dyDescent="0.25">
      <c r="A9199" s="74">
        <v>13991</v>
      </c>
    </row>
    <row r="9200" spans="1:1" x14ac:dyDescent="0.25">
      <c r="A9200" s="74">
        <v>13992</v>
      </c>
    </row>
    <row r="9201" spans="1:1" x14ac:dyDescent="0.25">
      <c r="A9201" s="74">
        <v>13993</v>
      </c>
    </row>
    <row r="9202" spans="1:1" x14ac:dyDescent="0.25">
      <c r="A9202" s="74">
        <v>13994</v>
      </c>
    </row>
    <row r="9203" spans="1:1" x14ac:dyDescent="0.25">
      <c r="A9203" s="74">
        <v>13995</v>
      </c>
    </row>
    <row r="9204" spans="1:1" x14ac:dyDescent="0.25">
      <c r="A9204" s="74">
        <v>13996</v>
      </c>
    </row>
    <row r="9205" spans="1:1" x14ac:dyDescent="0.25">
      <c r="A9205" s="74">
        <v>13997</v>
      </c>
    </row>
    <row r="9206" spans="1:1" x14ac:dyDescent="0.25">
      <c r="A9206" s="74">
        <v>13998</v>
      </c>
    </row>
    <row r="9207" spans="1:1" x14ac:dyDescent="0.25">
      <c r="A9207" s="74">
        <v>13999</v>
      </c>
    </row>
    <row r="9208" spans="1:1" x14ac:dyDescent="0.25">
      <c r="A9208" s="74">
        <v>14000</v>
      </c>
    </row>
    <row r="9209" spans="1:1" x14ac:dyDescent="0.25">
      <c r="A9209" s="74">
        <v>14001</v>
      </c>
    </row>
    <row r="9210" spans="1:1" x14ac:dyDescent="0.25">
      <c r="A9210" s="74">
        <v>14002</v>
      </c>
    </row>
    <row r="9211" spans="1:1" x14ac:dyDescent="0.25">
      <c r="A9211" s="74">
        <v>14003</v>
      </c>
    </row>
    <row r="9212" spans="1:1" x14ac:dyDescent="0.25">
      <c r="A9212" s="74">
        <v>14004</v>
      </c>
    </row>
    <row r="9213" spans="1:1" x14ac:dyDescent="0.25">
      <c r="A9213" s="74">
        <v>14005</v>
      </c>
    </row>
    <row r="9214" spans="1:1" x14ac:dyDescent="0.25">
      <c r="A9214" s="74">
        <v>14006</v>
      </c>
    </row>
    <row r="9215" spans="1:1" x14ac:dyDescent="0.25">
      <c r="A9215" s="74">
        <v>14007</v>
      </c>
    </row>
    <row r="9216" spans="1:1" x14ac:dyDescent="0.25">
      <c r="A9216" s="74">
        <v>14008</v>
      </c>
    </row>
    <row r="9217" spans="1:1" x14ac:dyDescent="0.25">
      <c r="A9217" s="74">
        <v>14009</v>
      </c>
    </row>
    <row r="9218" spans="1:1" x14ac:dyDescent="0.25">
      <c r="A9218" s="74">
        <v>14010</v>
      </c>
    </row>
    <row r="9219" spans="1:1" x14ac:dyDescent="0.25">
      <c r="A9219" s="74">
        <v>14011</v>
      </c>
    </row>
    <row r="9220" spans="1:1" x14ac:dyDescent="0.25">
      <c r="A9220" s="74">
        <v>14012</v>
      </c>
    </row>
    <row r="9221" spans="1:1" x14ac:dyDescent="0.25">
      <c r="A9221" s="74">
        <v>14013</v>
      </c>
    </row>
    <row r="9222" spans="1:1" x14ac:dyDescent="0.25">
      <c r="A9222" s="74">
        <v>14014</v>
      </c>
    </row>
    <row r="9223" spans="1:1" x14ac:dyDescent="0.25">
      <c r="A9223" s="74">
        <v>14015</v>
      </c>
    </row>
    <row r="9224" spans="1:1" x14ac:dyDescent="0.25">
      <c r="A9224" s="74">
        <v>14016</v>
      </c>
    </row>
    <row r="9225" spans="1:1" x14ac:dyDescent="0.25">
      <c r="A9225" s="74">
        <v>14017</v>
      </c>
    </row>
    <row r="9226" spans="1:1" x14ac:dyDescent="0.25">
      <c r="A9226" s="74">
        <v>14018</v>
      </c>
    </row>
    <row r="9227" spans="1:1" x14ac:dyDescent="0.25">
      <c r="A9227" s="74">
        <v>14019</v>
      </c>
    </row>
    <row r="9228" spans="1:1" x14ac:dyDescent="0.25">
      <c r="A9228" s="74">
        <v>14020</v>
      </c>
    </row>
    <row r="9229" spans="1:1" x14ac:dyDescent="0.25">
      <c r="A9229" s="74">
        <v>14021</v>
      </c>
    </row>
    <row r="9230" spans="1:1" x14ac:dyDescent="0.25">
      <c r="A9230" s="74">
        <v>14022</v>
      </c>
    </row>
    <row r="9231" spans="1:1" x14ac:dyDescent="0.25">
      <c r="A9231" s="74">
        <v>14023</v>
      </c>
    </row>
    <row r="9232" spans="1:1" x14ac:dyDescent="0.25">
      <c r="A9232" s="74">
        <v>14024</v>
      </c>
    </row>
    <row r="9233" spans="1:1" x14ac:dyDescent="0.25">
      <c r="A9233" s="74">
        <v>14025</v>
      </c>
    </row>
    <row r="9234" spans="1:1" x14ac:dyDescent="0.25">
      <c r="A9234" s="74">
        <v>14026</v>
      </c>
    </row>
    <row r="9235" spans="1:1" x14ac:dyDescent="0.25">
      <c r="A9235" s="74">
        <v>14027</v>
      </c>
    </row>
    <row r="9236" spans="1:1" x14ac:dyDescent="0.25">
      <c r="A9236" s="74">
        <v>14028</v>
      </c>
    </row>
    <row r="9237" spans="1:1" x14ac:dyDescent="0.25">
      <c r="A9237" s="74">
        <v>14029</v>
      </c>
    </row>
    <row r="9238" spans="1:1" x14ac:dyDescent="0.25">
      <c r="A9238" s="74">
        <v>14030</v>
      </c>
    </row>
    <row r="9239" spans="1:1" x14ac:dyDescent="0.25">
      <c r="A9239" s="74">
        <v>14031</v>
      </c>
    </row>
    <row r="9240" spans="1:1" x14ac:dyDescent="0.25">
      <c r="A9240" s="74">
        <v>14032</v>
      </c>
    </row>
    <row r="9241" spans="1:1" x14ac:dyDescent="0.25">
      <c r="A9241" s="74">
        <v>14033</v>
      </c>
    </row>
    <row r="9242" spans="1:1" x14ac:dyDescent="0.25">
      <c r="A9242" s="74">
        <v>14034</v>
      </c>
    </row>
    <row r="9243" spans="1:1" x14ac:dyDescent="0.25">
      <c r="A9243" s="74">
        <v>14035</v>
      </c>
    </row>
    <row r="9244" spans="1:1" x14ac:dyDescent="0.25">
      <c r="A9244" s="74">
        <v>14036</v>
      </c>
    </row>
    <row r="9245" spans="1:1" x14ac:dyDescent="0.25">
      <c r="A9245" s="74">
        <v>14037</v>
      </c>
    </row>
    <row r="9246" spans="1:1" x14ac:dyDescent="0.25">
      <c r="A9246" s="74">
        <v>14038</v>
      </c>
    </row>
    <row r="9247" spans="1:1" x14ac:dyDescent="0.25">
      <c r="A9247" s="74">
        <v>14039</v>
      </c>
    </row>
    <row r="9248" spans="1:1" x14ac:dyDescent="0.25">
      <c r="A9248" s="74">
        <v>14040</v>
      </c>
    </row>
    <row r="9249" spans="1:1" x14ac:dyDescent="0.25">
      <c r="A9249" s="74">
        <v>14041</v>
      </c>
    </row>
    <row r="9250" spans="1:1" x14ac:dyDescent="0.25">
      <c r="A9250" s="74">
        <v>14042</v>
      </c>
    </row>
    <row r="9251" spans="1:1" x14ac:dyDescent="0.25">
      <c r="A9251" s="74">
        <v>14043</v>
      </c>
    </row>
    <row r="9252" spans="1:1" x14ac:dyDescent="0.25">
      <c r="A9252" s="74">
        <v>14044</v>
      </c>
    </row>
    <row r="9253" spans="1:1" x14ac:dyDescent="0.25">
      <c r="A9253" s="74">
        <v>14045</v>
      </c>
    </row>
    <row r="9254" spans="1:1" x14ac:dyDescent="0.25">
      <c r="A9254" s="74">
        <v>14046</v>
      </c>
    </row>
    <row r="9255" spans="1:1" x14ac:dyDescent="0.25">
      <c r="A9255" s="74">
        <v>14047</v>
      </c>
    </row>
    <row r="9256" spans="1:1" x14ac:dyDescent="0.25">
      <c r="A9256" s="74">
        <v>14048</v>
      </c>
    </row>
    <row r="9257" spans="1:1" x14ac:dyDescent="0.25">
      <c r="A9257" s="74">
        <v>14049</v>
      </c>
    </row>
    <row r="9258" spans="1:1" x14ac:dyDescent="0.25">
      <c r="A9258" s="74">
        <v>14050</v>
      </c>
    </row>
    <row r="9259" spans="1:1" x14ac:dyDescent="0.25">
      <c r="A9259" s="74">
        <v>14051</v>
      </c>
    </row>
    <row r="9260" spans="1:1" x14ac:dyDescent="0.25">
      <c r="A9260" s="74">
        <v>14052</v>
      </c>
    </row>
    <row r="9261" spans="1:1" x14ac:dyDescent="0.25">
      <c r="A9261" s="74">
        <v>14053</v>
      </c>
    </row>
    <row r="9262" spans="1:1" x14ac:dyDescent="0.25">
      <c r="A9262" s="74">
        <v>14054</v>
      </c>
    </row>
    <row r="9263" spans="1:1" x14ac:dyDescent="0.25">
      <c r="A9263" s="74">
        <v>14055</v>
      </c>
    </row>
    <row r="9264" spans="1:1" x14ac:dyDescent="0.25">
      <c r="A9264" s="74">
        <v>14056</v>
      </c>
    </row>
    <row r="9265" spans="1:1" x14ac:dyDescent="0.25">
      <c r="A9265" s="74">
        <v>14057</v>
      </c>
    </row>
    <row r="9266" spans="1:1" x14ac:dyDescent="0.25">
      <c r="A9266" s="74">
        <v>14058</v>
      </c>
    </row>
    <row r="9267" spans="1:1" x14ac:dyDescent="0.25">
      <c r="A9267" s="74">
        <v>14059</v>
      </c>
    </row>
    <row r="9268" spans="1:1" x14ac:dyDescent="0.25">
      <c r="A9268" s="74">
        <v>14060</v>
      </c>
    </row>
    <row r="9269" spans="1:1" x14ac:dyDescent="0.25">
      <c r="A9269" s="74">
        <v>14061</v>
      </c>
    </row>
    <row r="9270" spans="1:1" x14ac:dyDescent="0.25">
      <c r="A9270" s="74">
        <v>14062</v>
      </c>
    </row>
    <row r="9271" spans="1:1" x14ac:dyDescent="0.25">
      <c r="A9271" s="74">
        <v>14063</v>
      </c>
    </row>
    <row r="9272" spans="1:1" x14ac:dyDescent="0.25">
      <c r="A9272" s="74">
        <v>14064</v>
      </c>
    </row>
    <row r="9273" spans="1:1" x14ac:dyDescent="0.25">
      <c r="A9273" s="74">
        <v>14065</v>
      </c>
    </row>
    <row r="9274" spans="1:1" x14ac:dyDescent="0.25">
      <c r="A9274" s="74">
        <v>14066</v>
      </c>
    </row>
    <row r="9275" spans="1:1" x14ac:dyDescent="0.25">
      <c r="A9275" s="74">
        <v>14067</v>
      </c>
    </row>
    <row r="9276" spans="1:1" x14ac:dyDescent="0.25">
      <c r="A9276" s="74">
        <v>14068</v>
      </c>
    </row>
    <row r="9277" spans="1:1" x14ac:dyDescent="0.25">
      <c r="A9277" s="74">
        <v>14069</v>
      </c>
    </row>
    <row r="9278" spans="1:1" x14ac:dyDescent="0.25">
      <c r="A9278" s="74">
        <v>14070</v>
      </c>
    </row>
    <row r="9279" spans="1:1" x14ac:dyDescent="0.25">
      <c r="A9279" s="74">
        <v>14071</v>
      </c>
    </row>
    <row r="9280" spans="1:1" x14ac:dyDescent="0.25">
      <c r="A9280" s="74">
        <v>14072</v>
      </c>
    </row>
    <row r="9281" spans="1:1" x14ac:dyDescent="0.25">
      <c r="A9281" s="74">
        <v>14073</v>
      </c>
    </row>
    <row r="9282" spans="1:1" x14ac:dyDescent="0.25">
      <c r="A9282" s="74">
        <v>14074</v>
      </c>
    </row>
    <row r="9283" spans="1:1" x14ac:dyDescent="0.25">
      <c r="A9283" s="74">
        <v>14075</v>
      </c>
    </row>
    <row r="9284" spans="1:1" x14ac:dyDescent="0.25">
      <c r="A9284" s="74">
        <v>14076</v>
      </c>
    </row>
    <row r="9285" spans="1:1" x14ac:dyDescent="0.25">
      <c r="A9285" s="74">
        <v>14077</v>
      </c>
    </row>
    <row r="9286" spans="1:1" x14ac:dyDescent="0.25">
      <c r="A9286" s="74">
        <v>14078</v>
      </c>
    </row>
    <row r="9287" spans="1:1" x14ac:dyDescent="0.25">
      <c r="A9287" s="74">
        <v>14079</v>
      </c>
    </row>
    <row r="9288" spans="1:1" x14ac:dyDescent="0.25">
      <c r="A9288" s="74">
        <v>14080</v>
      </c>
    </row>
    <row r="9289" spans="1:1" x14ac:dyDescent="0.25">
      <c r="A9289" s="74">
        <v>14081</v>
      </c>
    </row>
    <row r="9290" spans="1:1" x14ac:dyDescent="0.25">
      <c r="A9290" s="74">
        <v>14082</v>
      </c>
    </row>
    <row r="9291" spans="1:1" x14ac:dyDescent="0.25">
      <c r="A9291" s="74">
        <v>14083</v>
      </c>
    </row>
    <row r="9292" spans="1:1" x14ac:dyDescent="0.25">
      <c r="A9292" s="74">
        <v>14084</v>
      </c>
    </row>
    <row r="9293" spans="1:1" x14ac:dyDescent="0.25">
      <c r="A9293" s="74">
        <v>14085</v>
      </c>
    </row>
    <row r="9294" spans="1:1" x14ac:dyDescent="0.25">
      <c r="A9294" s="74">
        <v>14086</v>
      </c>
    </row>
    <row r="9295" spans="1:1" x14ac:dyDescent="0.25">
      <c r="A9295" s="74">
        <v>14087</v>
      </c>
    </row>
    <row r="9296" spans="1:1" x14ac:dyDescent="0.25">
      <c r="A9296" s="74">
        <v>14088</v>
      </c>
    </row>
    <row r="9297" spans="1:1" x14ac:dyDescent="0.25">
      <c r="A9297" s="74">
        <v>14089</v>
      </c>
    </row>
    <row r="9298" spans="1:1" x14ac:dyDescent="0.25">
      <c r="A9298" s="74">
        <v>14090</v>
      </c>
    </row>
    <row r="9299" spans="1:1" x14ac:dyDescent="0.25">
      <c r="A9299" s="74">
        <v>14091</v>
      </c>
    </row>
    <row r="9300" spans="1:1" x14ac:dyDescent="0.25">
      <c r="A9300" s="74">
        <v>14092</v>
      </c>
    </row>
    <row r="9301" spans="1:1" x14ac:dyDescent="0.25">
      <c r="A9301" s="74">
        <v>14093</v>
      </c>
    </row>
    <row r="9302" spans="1:1" x14ac:dyDescent="0.25">
      <c r="A9302" s="74">
        <v>14094</v>
      </c>
    </row>
    <row r="9303" spans="1:1" x14ac:dyDescent="0.25">
      <c r="A9303" s="74">
        <v>14095</v>
      </c>
    </row>
    <row r="9304" spans="1:1" x14ac:dyDescent="0.25">
      <c r="A9304" s="74">
        <v>14096</v>
      </c>
    </row>
    <row r="9305" spans="1:1" x14ac:dyDescent="0.25">
      <c r="A9305" s="74">
        <v>14097</v>
      </c>
    </row>
    <row r="9306" spans="1:1" x14ac:dyDescent="0.25">
      <c r="A9306" s="74">
        <v>14098</v>
      </c>
    </row>
    <row r="9307" spans="1:1" x14ac:dyDescent="0.25">
      <c r="A9307" s="74">
        <v>14099</v>
      </c>
    </row>
    <row r="9308" spans="1:1" x14ac:dyDescent="0.25">
      <c r="A9308" s="74">
        <v>14100</v>
      </c>
    </row>
    <row r="9309" spans="1:1" x14ac:dyDescent="0.25">
      <c r="A9309" s="74">
        <v>14101</v>
      </c>
    </row>
    <row r="9310" spans="1:1" x14ac:dyDescent="0.25">
      <c r="A9310" s="74">
        <v>14102</v>
      </c>
    </row>
    <row r="9311" spans="1:1" x14ac:dyDescent="0.25">
      <c r="A9311" s="74">
        <v>14103</v>
      </c>
    </row>
    <row r="9312" spans="1:1" x14ac:dyDescent="0.25">
      <c r="A9312" s="74">
        <v>14104</v>
      </c>
    </row>
    <row r="9313" spans="1:1" x14ac:dyDescent="0.25">
      <c r="A9313" s="74">
        <v>14105</v>
      </c>
    </row>
    <row r="9314" spans="1:1" x14ac:dyDescent="0.25">
      <c r="A9314" s="74">
        <v>14106</v>
      </c>
    </row>
    <row r="9315" spans="1:1" x14ac:dyDescent="0.25">
      <c r="A9315" s="74">
        <v>14107</v>
      </c>
    </row>
    <row r="9316" spans="1:1" x14ac:dyDescent="0.25">
      <c r="A9316" s="74">
        <v>14108</v>
      </c>
    </row>
    <row r="9317" spans="1:1" x14ac:dyDescent="0.25">
      <c r="A9317" s="74">
        <v>14109</v>
      </c>
    </row>
    <row r="9318" spans="1:1" x14ac:dyDescent="0.25">
      <c r="A9318" s="74">
        <v>14110</v>
      </c>
    </row>
    <row r="9319" spans="1:1" x14ac:dyDescent="0.25">
      <c r="A9319" s="74">
        <v>14111</v>
      </c>
    </row>
    <row r="9320" spans="1:1" x14ac:dyDescent="0.25">
      <c r="A9320" s="74">
        <v>14112</v>
      </c>
    </row>
    <row r="9321" spans="1:1" x14ac:dyDescent="0.25">
      <c r="A9321" s="74">
        <v>14113</v>
      </c>
    </row>
    <row r="9322" spans="1:1" x14ac:dyDescent="0.25">
      <c r="A9322" s="74">
        <v>14114</v>
      </c>
    </row>
    <row r="9323" spans="1:1" x14ac:dyDescent="0.25">
      <c r="A9323" s="74">
        <v>14115</v>
      </c>
    </row>
    <row r="9324" spans="1:1" x14ac:dyDescent="0.25">
      <c r="A9324" s="74">
        <v>14116</v>
      </c>
    </row>
    <row r="9325" spans="1:1" x14ac:dyDescent="0.25">
      <c r="A9325" s="74">
        <v>14117</v>
      </c>
    </row>
    <row r="9326" spans="1:1" x14ac:dyDescent="0.25">
      <c r="A9326" s="74">
        <v>14118</v>
      </c>
    </row>
    <row r="9327" spans="1:1" x14ac:dyDescent="0.25">
      <c r="A9327" s="74">
        <v>14119</v>
      </c>
    </row>
    <row r="9328" spans="1:1" x14ac:dyDescent="0.25">
      <c r="A9328" s="74">
        <v>14120</v>
      </c>
    </row>
    <row r="9329" spans="1:1" x14ac:dyDescent="0.25">
      <c r="A9329" s="74">
        <v>14121</v>
      </c>
    </row>
    <row r="9330" spans="1:1" x14ac:dyDescent="0.25">
      <c r="A9330" s="74">
        <v>14122</v>
      </c>
    </row>
    <row r="9331" spans="1:1" x14ac:dyDescent="0.25">
      <c r="A9331" s="74">
        <v>14123</v>
      </c>
    </row>
    <row r="9332" spans="1:1" x14ac:dyDescent="0.25">
      <c r="A9332" s="74">
        <v>14124</v>
      </c>
    </row>
    <row r="9333" spans="1:1" x14ac:dyDescent="0.25">
      <c r="A9333" s="74">
        <v>14125</v>
      </c>
    </row>
    <row r="9334" spans="1:1" x14ac:dyDescent="0.25">
      <c r="A9334" s="74">
        <v>14126</v>
      </c>
    </row>
    <row r="9335" spans="1:1" x14ac:dyDescent="0.25">
      <c r="A9335" s="74">
        <v>14127</v>
      </c>
    </row>
    <row r="9336" spans="1:1" x14ac:dyDescent="0.25">
      <c r="A9336" s="74">
        <v>14128</v>
      </c>
    </row>
    <row r="9337" spans="1:1" x14ac:dyDescent="0.25">
      <c r="A9337" s="74">
        <v>14129</v>
      </c>
    </row>
    <row r="9338" spans="1:1" x14ac:dyDescent="0.25">
      <c r="A9338" s="74">
        <v>14130</v>
      </c>
    </row>
    <row r="9339" spans="1:1" x14ac:dyDescent="0.25">
      <c r="A9339" s="74">
        <v>14131</v>
      </c>
    </row>
    <row r="9340" spans="1:1" x14ac:dyDescent="0.25">
      <c r="A9340" s="74">
        <v>14132</v>
      </c>
    </row>
    <row r="9341" spans="1:1" x14ac:dyDescent="0.25">
      <c r="A9341" s="74">
        <v>14133</v>
      </c>
    </row>
    <row r="9342" spans="1:1" x14ac:dyDescent="0.25">
      <c r="A9342" s="74">
        <v>14134</v>
      </c>
    </row>
    <row r="9343" spans="1:1" x14ac:dyDescent="0.25">
      <c r="A9343" s="74">
        <v>14135</v>
      </c>
    </row>
    <row r="9344" spans="1:1" x14ac:dyDescent="0.25">
      <c r="A9344" s="74">
        <v>14136</v>
      </c>
    </row>
    <row r="9345" spans="1:1" x14ac:dyDescent="0.25">
      <c r="A9345" s="74">
        <v>14137</v>
      </c>
    </row>
    <row r="9346" spans="1:1" x14ac:dyDescent="0.25">
      <c r="A9346" s="74">
        <v>14138</v>
      </c>
    </row>
    <row r="9347" spans="1:1" x14ac:dyDescent="0.25">
      <c r="A9347" s="74">
        <v>14139</v>
      </c>
    </row>
    <row r="9348" spans="1:1" x14ac:dyDescent="0.25">
      <c r="A9348" s="74">
        <v>14140</v>
      </c>
    </row>
    <row r="9349" spans="1:1" x14ac:dyDescent="0.25">
      <c r="A9349" s="74">
        <v>14141</v>
      </c>
    </row>
    <row r="9350" spans="1:1" x14ac:dyDescent="0.25">
      <c r="A9350" s="74">
        <v>14142</v>
      </c>
    </row>
    <row r="9351" spans="1:1" x14ac:dyDescent="0.25">
      <c r="A9351" s="74">
        <v>14143</v>
      </c>
    </row>
    <row r="9352" spans="1:1" x14ac:dyDescent="0.25">
      <c r="A9352" s="74">
        <v>14144</v>
      </c>
    </row>
    <row r="9353" spans="1:1" x14ac:dyDescent="0.25">
      <c r="A9353" s="74">
        <v>14145</v>
      </c>
    </row>
    <row r="9354" spans="1:1" x14ac:dyDescent="0.25">
      <c r="A9354" s="74">
        <v>14146</v>
      </c>
    </row>
    <row r="9355" spans="1:1" x14ac:dyDescent="0.25">
      <c r="A9355" s="74">
        <v>14147</v>
      </c>
    </row>
    <row r="9356" spans="1:1" x14ac:dyDescent="0.25">
      <c r="A9356" s="74">
        <v>14148</v>
      </c>
    </row>
    <row r="9357" spans="1:1" x14ac:dyDescent="0.25">
      <c r="A9357" s="74">
        <v>14149</v>
      </c>
    </row>
    <row r="9358" spans="1:1" x14ac:dyDescent="0.25">
      <c r="A9358" s="74">
        <v>14150</v>
      </c>
    </row>
    <row r="9359" spans="1:1" x14ac:dyDescent="0.25">
      <c r="A9359" s="74">
        <v>14151</v>
      </c>
    </row>
    <row r="9360" spans="1:1" x14ac:dyDescent="0.25">
      <c r="A9360" s="74">
        <v>14152</v>
      </c>
    </row>
    <row r="9361" spans="1:1" x14ac:dyDescent="0.25">
      <c r="A9361" s="74">
        <v>14153</v>
      </c>
    </row>
    <row r="9362" spans="1:1" x14ac:dyDescent="0.25">
      <c r="A9362" s="74">
        <v>14154</v>
      </c>
    </row>
    <row r="9363" spans="1:1" x14ac:dyDescent="0.25">
      <c r="A9363" s="74">
        <v>14155</v>
      </c>
    </row>
    <row r="9364" spans="1:1" x14ac:dyDescent="0.25">
      <c r="A9364" s="74">
        <v>14156</v>
      </c>
    </row>
    <row r="9365" spans="1:1" x14ac:dyDescent="0.25">
      <c r="A9365" s="74">
        <v>14157</v>
      </c>
    </row>
    <row r="9366" spans="1:1" x14ac:dyDescent="0.25">
      <c r="A9366" s="74">
        <v>14158</v>
      </c>
    </row>
    <row r="9367" spans="1:1" x14ac:dyDescent="0.25">
      <c r="A9367" s="74">
        <v>14159</v>
      </c>
    </row>
    <row r="9368" spans="1:1" x14ac:dyDescent="0.25">
      <c r="A9368" s="74">
        <v>14160</v>
      </c>
    </row>
    <row r="9369" spans="1:1" x14ac:dyDescent="0.25">
      <c r="A9369" s="74">
        <v>14161</v>
      </c>
    </row>
    <row r="9370" spans="1:1" x14ac:dyDescent="0.25">
      <c r="A9370" s="74">
        <v>14162</v>
      </c>
    </row>
    <row r="9371" spans="1:1" x14ac:dyDescent="0.25">
      <c r="A9371" s="74">
        <v>14163</v>
      </c>
    </row>
    <row r="9372" spans="1:1" x14ac:dyDescent="0.25">
      <c r="A9372" s="74">
        <v>14164</v>
      </c>
    </row>
    <row r="9373" spans="1:1" x14ac:dyDescent="0.25">
      <c r="A9373" s="74">
        <v>14165</v>
      </c>
    </row>
    <row r="9374" spans="1:1" x14ac:dyDescent="0.25">
      <c r="A9374" s="74">
        <v>14166</v>
      </c>
    </row>
    <row r="9375" spans="1:1" x14ac:dyDescent="0.25">
      <c r="A9375" s="74">
        <v>14167</v>
      </c>
    </row>
    <row r="9376" spans="1:1" x14ac:dyDescent="0.25">
      <c r="A9376" s="74">
        <v>14168</v>
      </c>
    </row>
    <row r="9377" spans="1:1" x14ac:dyDescent="0.25">
      <c r="A9377" s="74">
        <v>14169</v>
      </c>
    </row>
    <row r="9378" spans="1:1" x14ac:dyDescent="0.25">
      <c r="A9378" s="74">
        <v>14170</v>
      </c>
    </row>
    <row r="9379" spans="1:1" x14ac:dyDescent="0.25">
      <c r="A9379" s="74">
        <v>14171</v>
      </c>
    </row>
    <row r="9380" spans="1:1" x14ac:dyDescent="0.25">
      <c r="A9380" s="74">
        <v>14172</v>
      </c>
    </row>
    <row r="9381" spans="1:1" x14ac:dyDescent="0.25">
      <c r="A9381" s="74">
        <v>14173</v>
      </c>
    </row>
    <row r="9382" spans="1:1" x14ac:dyDescent="0.25">
      <c r="A9382" s="74">
        <v>14174</v>
      </c>
    </row>
    <row r="9383" spans="1:1" x14ac:dyDescent="0.25">
      <c r="A9383" s="74">
        <v>14175</v>
      </c>
    </row>
    <row r="9384" spans="1:1" x14ac:dyDescent="0.25">
      <c r="A9384" s="74">
        <v>14176</v>
      </c>
    </row>
    <row r="9385" spans="1:1" x14ac:dyDescent="0.25">
      <c r="A9385" s="74">
        <v>14177</v>
      </c>
    </row>
    <row r="9386" spans="1:1" x14ac:dyDescent="0.25">
      <c r="A9386" s="74">
        <v>14178</v>
      </c>
    </row>
    <row r="9387" spans="1:1" x14ac:dyDescent="0.25">
      <c r="A9387" s="74">
        <v>14179</v>
      </c>
    </row>
    <row r="9388" spans="1:1" x14ac:dyDescent="0.25">
      <c r="A9388" s="74">
        <v>14180</v>
      </c>
    </row>
    <row r="9389" spans="1:1" x14ac:dyDescent="0.25">
      <c r="A9389" s="74">
        <v>14181</v>
      </c>
    </row>
    <row r="9390" spans="1:1" x14ac:dyDescent="0.25">
      <c r="A9390" s="74">
        <v>14182</v>
      </c>
    </row>
    <row r="9391" spans="1:1" x14ac:dyDescent="0.25">
      <c r="A9391" s="74">
        <v>14183</v>
      </c>
    </row>
    <row r="9392" spans="1:1" x14ac:dyDescent="0.25">
      <c r="A9392" s="74">
        <v>14184</v>
      </c>
    </row>
    <row r="9393" spans="1:1" x14ac:dyDescent="0.25">
      <c r="A9393" s="74">
        <v>14185</v>
      </c>
    </row>
    <row r="9394" spans="1:1" x14ac:dyDescent="0.25">
      <c r="A9394" s="74">
        <v>14186</v>
      </c>
    </row>
    <row r="9395" spans="1:1" x14ac:dyDescent="0.25">
      <c r="A9395" s="74">
        <v>14187</v>
      </c>
    </row>
    <row r="9396" spans="1:1" x14ac:dyDescent="0.25">
      <c r="A9396" s="74">
        <v>14188</v>
      </c>
    </row>
    <row r="9397" spans="1:1" x14ac:dyDescent="0.25">
      <c r="A9397" s="74">
        <v>14189</v>
      </c>
    </row>
    <row r="9398" spans="1:1" x14ac:dyDescent="0.25">
      <c r="A9398" s="74">
        <v>14190</v>
      </c>
    </row>
    <row r="9399" spans="1:1" x14ac:dyDescent="0.25">
      <c r="A9399" s="74">
        <v>14191</v>
      </c>
    </row>
    <row r="9400" spans="1:1" x14ac:dyDescent="0.25">
      <c r="A9400" s="74">
        <v>14192</v>
      </c>
    </row>
    <row r="9401" spans="1:1" x14ac:dyDescent="0.25">
      <c r="A9401" s="74">
        <v>14193</v>
      </c>
    </row>
    <row r="9402" spans="1:1" x14ac:dyDescent="0.25">
      <c r="A9402" s="74">
        <v>14194</v>
      </c>
    </row>
    <row r="9403" spans="1:1" x14ac:dyDescent="0.25">
      <c r="A9403" s="74">
        <v>14195</v>
      </c>
    </row>
    <row r="9404" spans="1:1" x14ac:dyDescent="0.25">
      <c r="A9404" s="74">
        <v>14196</v>
      </c>
    </row>
    <row r="9405" spans="1:1" x14ac:dyDescent="0.25">
      <c r="A9405" s="74">
        <v>14197</v>
      </c>
    </row>
    <row r="9406" spans="1:1" x14ac:dyDescent="0.25">
      <c r="A9406" s="74">
        <v>14198</v>
      </c>
    </row>
    <row r="9407" spans="1:1" x14ac:dyDescent="0.25">
      <c r="A9407" s="74">
        <v>14199</v>
      </c>
    </row>
    <row r="9408" spans="1:1" x14ac:dyDescent="0.25">
      <c r="A9408" s="74">
        <v>14200</v>
      </c>
    </row>
    <row r="9409" spans="1:1" x14ac:dyDescent="0.25">
      <c r="A9409" s="74">
        <v>14201</v>
      </c>
    </row>
    <row r="9410" spans="1:1" x14ac:dyDescent="0.25">
      <c r="A9410" s="74">
        <v>14202</v>
      </c>
    </row>
    <row r="9411" spans="1:1" x14ac:dyDescent="0.25">
      <c r="A9411" s="74">
        <v>14203</v>
      </c>
    </row>
    <row r="9412" spans="1:1" x14ac:dyDescent="0.25">
      <c r="A9412" s="74">
        <v>14204</v>
      </c>
    </row>
    <row r="9413" spans="1:1" x14ac:dyDescent="0.25">
      <c r="A9413" s="74">
        <v>14205</v>
      </c>
    </row>
    <row r="9414" spans="1:1" x14ac:dyDescent="0.25">
      <c r="A9414" s="74">
        <v>14206</v>
      </c>
    </row>
    <row r="9415" spans="1:1" x14ac:dyDescent="0.25">
      <c r="A9415" s="74">
        <v>14207</v>
      </c>
    </row>
    <row r="9416" spans="1:1" x14ac:dyDescent="0.25">
      <c r="A9416" s="74">
        <v>14208</v>
      </c>
    </row>
    <row r="9417" spans="1:1" x14ac:dyDescent="0.25">
      <c r="A9417" s="74">
        <v>14209</v>
      </c>
    </row>
    <row r="9418" spans="1:1" x14ac:dyDescent="0.25">
      <c r="A9418" s="74">
        <v>14210</v>
      </c>
    </row>
    <row r="9419" spans="1:1" x14ac:dyDescent="0.25">
      <c r="A9419" s="74">
        <v>14211</v>
      </c>
    </row>
    <row r="9420" spans="1:1" x14ac:dyDescent="0.25">
      <c r="A9420" s="74">
        <v>14212</v>
      </c>
    </row>
    <row r="9421" spans="1:1" x14ac:dyDescent="0.25">
      <c r="A9421" s="74">
        <v>14213</v>
      </c>
    </row>
    <row r="9422" spans="1:1" x14ac:dyDescent="0.25">
      <c r="A9422" s="74">
        <v>14214</v>
      </c>
    </row>
    <row r="9423" spans="1:1" x14ac:dyDescent="0.25">
      <c r="A9423" s="74">
        <v>14215</v>
      </c>
    </row>
    <row r="9424" spans="1:1" x14ac:dyDescent="0.25">
      <c r="A9424" s="74">
        <v>14216</v>
      </c>
    </row>
    <row r="9425" spans="1:1" x14ac:dyDescent="0.25">
      <c r="A9425" s="74">
        <v>14217</v>
      </c>
    </row>
    <row r="9426" spans="1:1" x14ac:dyDescent="0.25">
      <c r="A9426" s="74">
        <v>14218</v>
      </c>
    </row>
    <row r="9427" spans="1:1" x14ac:dyDescent="0.25">
      <c r="A9427" s="74">
        <v>14219</v>
      </c>
    </row>
    <row r="9428" spans="1:1" x14ac:dyDescent="0.25">
      <c r="A9428" s="74">
        <v>14220</v>
      </c>
    </row>
    <row r="9429" spans="1:1" x14ac:dyDescent="0.25">
      <c r="A9429" s="74">
        <v>14221</v>
      </c>
    </row>
    <row r="9430" spans="1:1" x14ac:dyDescent="0.25">
      <c r="A9430" s="74">
        <v>14222</v>
      </c>
    </row>
    <row r="9431" spans="1:1" x14ac:dyDescent="0.25">
      <c r="A9431" s="74">
        <v>14223</v>
      </c>
    </row>
    <row r="9432" spans="1:1" x14ac:dyDescent="0.25">
      <c r="A9432" s="74">
        <v>14224</v>
      </c>
    </row>
    <row r="9433" spans="1:1" x14ac:dyDescent="0.25">
      <c r="A9433" s="74">
        <v>14225</v>
      </c>
    </row>
    <row r="9434" spans="1:1" x14ac:dyDescent="0.25">
      <c r="A9434" s="74">
        <v>14226</v>
      </c>
    </row>
    <row r="9435" spans="1:1" x14ac:dyDescent="0.25">
      <c r="A9435" s="74">
        <v>14227</v>
      </c>
    </row>
    <row r="9436" spans="1:1" x14ac:dyDescent="0.25">
      <c r="A9436" s="74">
        <v>14228</v>
      </c>
    </row>
    <row r="9437" spans="1:1" x14ac:dyDescent="0.25">
      <c r="A9437" s="74">
        <v>14229</v>
      </c>
    </row>
    <row r="9438" spans="1:1" x14ac:dyDescent="0.25">
      <c r="A9438" s="74">
        <v>14230</v>
      </c>
    </row>
    <row r="9439" spans="1:1" x14ac:dyDescent="0.25">
      <c r="A9439" s="74">
        <v>14231</v>
      </c>
    </row>
    <row r="9440" spans="1:1" x14ac:dyDescent="0.25">
      <c r="A9440" s="74">
        <v>14232</v>
      </c>
    </row>
    <row r="9441" spans="1:1" x14ac:dyDescent="0.25">
      <c r="A9441" s="74">
        <v>14233</v>
      </c>
    </row>
    <row r="9442" spans="1:1" x14ac:dyDescent="0.25">
      <c r="A9442" s="74">
        <v>14234</v>
      </c>
    </row>
    <row r="9443" spans="1:1" x14ac:dyDescent="0.25">
      <c r="A9443" s="74">
        <v>14235</v>
      </c>
    </row>
    <row r="9444" spans="1:1" x14ac:dyDescent="0.25">
      <c r="A9444" s="74">
        <v>14236</v>
      </c>
    </row>
    <row r="9445" spans="1:1" x14ac:dyDescent="0.25">
      <c r="A9445" s="74">
        <v>14237</v>
      </c>
    </row>
    <row r="9446" spans="1:1" x14ac:dyDescent="0.25">
      <c r="A9446" s="74">
        <v>14238</v>
      </c>
    </row>
    <row r="9447" spans="1:1" x14ac:dyDescent="0.25">
      <c r="A9447" s="74">
        <v>14239</v>
      </c>
    </row>
    <row r="9448" spans="1:1" x14ac:dyDescent="0.25">
      <c r="A9448" s="74">
        <v>14240</v>
      </c>
    </row>
    <row r="9449" spans="1:1" x14ac:dyDescent="0.25">
      <c r="A9449" s="74">
        <v>14241</v>
      </c>
    </row>
    <row r="9450" spans="1:1" x14ac:dyDescent="0.25">
      <c r="A9450" s="74">
        <v>14242</v>
      </c>
    </row>
    <row r="9451" spans="1:1" x14ac:dyDescent="0.25">
      <c r="A9451" s="74">
        <v>14243</v>
      </c>
    </row>
    <row r="9452" spans="1:1" x14ac:dyDescent="0.25">
      <c r="A9452" s="74">
        <v>14244</v>
      </c>
    </row>
    <row r="9453" spans="1:1" x14ac:dyDescent="0.25">
      <c r="A9453" s="74">
        <v>14245</v>
      </c>
    </row>
    <row r="9454" spans="1:1" x14ac:dyDescent="0.25">
      <c r="A9454" s="74">
        <v>14246</v>
      </c>
    </row>
    <row r="9455" spans="1:1" x14ac:dyDescent="0.25">
      <c r="A9455" s="74">
        <v>14247</v>
      </c>
    </row>
    <row r="9456" spans="1:1" x14ac:dyDescent="0.25">
      <c r="A9456" s="74">
        <v>14248</v>
      </c>
    </row>
    <row r="9457" spans="1:1" x14ac:dyDescent="0.25">
      <c r="A9457" s="74">
        <v>14249</v>
      </c>
    </row>
    <row r="9458" spans="1:1" x14ac:dyDescent="0.25">
      <c r="A9458" s="74">
        <v>14250</v>
      </c>
    </row>
    <row r="9459" spans="1:1" x14ac:dyDescent="0.25">
      <c r="A9459" s="74">
        <v>14251</v>
      </c>
    </row>
    <row r="9460" spans="1:1" x14ac:dyDescent="0.25">
      <c r="A9460" s="74">
        <v>14252</v>
      </c>
    </row>
    <row r="9461" spans="1:1" x14ac:dyDescent="0.25">
      <c r="A9461" s="74">
        <v>14253</v>
      </c>
    </row>
    <row r="9462" spans="1:1" x14ac:dyDescent="0.25">
      <c r="A9462" s="74">
        <v>14254</v>
      </c>
    </row>
    <row r="9463" spans="1:1" x14ac:dyDescent="0.25">
      <c r="A9463" s="74">
        <v>14255</v>
      </c>
    </row>
    <row r="9464" spans="1:1" x14ac:dyDescent="0.25">
      <c r="A9464" s="74">
        <v>14256</v>
      </c>
    </row>
    <row r="9465" spans="1:1" x14ac:dyDescent="0.25">
      <c r="A9465" s="74">
        <v>14257</v>
      </c>
    </row>
    <row r="9466" spans="1:1" x14ac:dyDescent="0.25">
      <c r="A9466" s="74">
        <v>14258</v>
      </c>
    </row>
    <row r="9467" spans="1:1" x14ac:dyDescent="0.25">
      <c r="A9467" s="74">
        <v>14259</v>
      </c>
    </row>
    <row r="9468" spans="1:1" x14ac:dyDescent="0.25">
      <c r="A9468" s="74">
        <v>14260</v>
      </c>
    </row>
    <row r="9469" spans="1:1" x14ac:dyDescent="0.25">
      <c r="A9469" s="74">
        <v>14261</v>
      </c>
    </row>
    <row r="9470" spans="1:1" x14ac:dyDescent="0.25">
      <c r="A9470" s="74">
        <v>14262</v>
      </c>
    </row>
    <row r="9471" spans="1:1" x14ac:dyDescent="0.25">
      <c r="A9471" s="74">
        <v>14263</v>
      </c>
    </row>
    <row r="9472" spans="1:1" x14ac:dyDescent="0.25">
      <c r="A9472" s="74">
        <v>14264</v>
      </c>
    </row>
    <row r="9473" spans="1:1" x14ac:dyDescent="0.25">
      <c r="A9473" s="74">
        <v>14265</v>
      </c>
    </row>
    <row r="9474" spans="1:1" x14ac:dyDescent="0.25">
      <c r="A9474" s="74">
        <v>14266</v>
      </c>
    </row>
    <row r="9475" spans="1:1" x14ac:dyDescent="0.25">
      <c r="A9475" s="74">
        <v>14267</v>
      </c>
    </row>
    <row r="9476" spans="1:1" x14ac:dyDescent="0.25">
      <c r="A9476" s="74">
        <v>14268</v>
      </c>
    </row>
    <row r="9477" spans="1:1" x14ac:dyDescent="0.25">
      <c r="A9477" s="74">
        <v>14269</v>
      </c>
    </row>
    <row r="9478" spans="1:1" x14ac:dyDescent="0.25">
      <c r="A9478" s="74">
        <v>14270</v>
      </c>
    </row>
    <row r="9479" spans="1:1" x14ac:dyDescent="0.25">
      <c r="A9479" s="74">
        <v>14271</v>
      </c>
    </row>
    <row r="9480" spans="1:1" x14ac:dyDescent="0.25">
      <c r="A9480" s="74">
        <v>14272</v>
      </c>
    </row>
    <row r="9481" spans="1:1" x14ac:dyDescent="0.25">
      <c r="A9481" s="74">
        <v>14273</v>
      </c>
    </row>
    <row r="9482" spans="1:1" x14ac:dyDescent="0.25">
      <c r="A9482" s="74">
        <v>14274</v>
      </c>
    </row>
    <row r="9483" spans="1:1" x14ac:dyDescent="0.25">
      <c r="A9483" s="74">
        <v>14275</v>
      </c>
    </row>
    <row r="9484" spans="1:1" x14ac:dyDescent="0.25">
      <c r="A9484" s="74">
        <v>14276</v>
      </c>
    </row>
    <row r="9485" spans="1:1" x14ac:dyDescent="0.25">
      <c r="A9485" s="74">
        <v>14277</v>
      </c>
    </row>
    <row r="9486" spans="1:1" x14ac:dyDescent="0.25">
      <c r="A9486" s="74">
        <v>14278</v>
      </c>
    </row>
    <row r="9487" spans="1:1" x14ac:dyDescent="0.25">
      <c r="A9487" s="74">
        <v>14279</v>
      </c>
    </row>
    <row r="9488" spans="1:1" x14ac:dyDescent="0.25">
      <c r="A9488" s="74">
        <v>14280</v>
      </c>
    </row>
    <row r="9489" spans="1:1" x14ac:dyDescent="0.25">
      <c r="A9489" s="74">
        <v>14281</v>
      </c>
    </row>
    <row r="9490" spans="1:1" x14ac:dyDescent="0.25">
      <c r="A9490" s="74">
        <v>14282</v>
      </c>
    </row>
    <row r="9491" spans="1:1" x14ac:dyDescent="0.25">
      <c r="A9491" s="74">
        <v>14283</v>
      </c>
    </row>
    <row r="9492" spans="1:1" x14ac:dyDescent="0.25">
      <c r="A9492" s="74">
        <v>14284</v>
      </c>
    </row>
    <row r="9493" spans="1:1" x14ac:dyDescent="0.25">
      <c r="A9493" s="74">
        <v>14285</v>
      </c>
    </row>
    <row r="9494" spans="1:1" x14ac:dyDescent="0.25">
      <c r="A9494" s="74">
        <v>14286</v>
      </c>
    </row>
    <row r="9495" spans="1:1" x14ac:dyDescent="0.25">
      <c r="A9495" s="74">
        <v>14287</v>
      </c>
    </row>
    <row r="9496" spans="1:1" x14ac:dyDescent="0.25">
      <c r="A9496" s="74">
        <v>14288</v>
      </c>
    </row>
    <row r="9497" spans="1:1" x14ac:dyDescent="0.25">
      <c r="A9497" s="74">
        <v>14289</v>
      </c>
    </row>
    <row r="9498" spans="1:1" x14ac:dyDescent="0.25">
      <c r="A9498" s="74">
        <v>14290</v>
      </c>
    </row>
    <row r="9499" spans="1:1" x14ac:dyDescent="0.25">
      <c r="A9499" s="74">
        <v>14291</v>
      </c>
    </row>
    <row r="9500" spans="1:1" x14ac:dyDescent="0.25">
      <c r="A9500" s="74">
        <v>14292</v>
      </c>
    </row>
    <row r="9501" spans="1:1" x14ac:dyDescent="0.25">
      <c r="A9501" s="74">
        <v>14293</v>
      </c>
    </row>
    <row r="9502" spans="1:1" x14ac:dyDescent="0.25">
      <c r="A9502" s="74">
        <v>14294</v>
      </c>
    </row>
    <row r="9503" spans="1:1" x14ac:dyDescent="0.25">
      <c r="A9503" s="74">
        <v>14295</v>
      </c>
    </row>
    <row r="9504" spans="1:1" x14ac:dyDescent="0.25">
      <c r="A9504" s="74">
        <v>14296</v>
      </c>
    </row>
    <row r="9505" spans="1:1" x14ac:dyDescent="0.25">
      <c r="A9505" s="74">
        <v>14297</v>
      </c>
    </row>
    <row r="9506" spans="1:1" x14ac:dyDescent="0.25">
      <c r="A9506" s="74">
        <v>14298</v>
      </c>
    </row>
    <row r="9507" spans="1:1" x14ac:dyDescent="0.25">
      <c r="A9507" s="74">
        <v>14299</v>
      </c>
    </row>
    <row r="9508" spans="1:1" x14ac:dyDescent="0.25">
      <c r="A9508" s="74">
        <v>14300</v>
      </c>
    </row>
    <row r="9509" spans="1:1" x14ac:dyDescent="0.25">
      <c r="A9509" s="74">
        <v>14301</v>
      </c>
    </row>
    <row r="9510" spans="1:1" x14ac:dyDescent="0.25">
      <c r="A9510" s="74">
        <v>14302</v>
      </c>
    </row>
    <row r="9511" spans="1:1" x14ac:dyDescent="0.25">
      <c r="A9511" s="74">
        <v>14303</v>
      </c>
    </row>
    <row r="9512" spans="1:1" x14ac:dyDescent="0.25">
      <c r="A9512" s="74">
        <v>14304</v>
      </c>
    </row>
    <row r="9513" spans="1:1" x14ac:dyDescent="0.25">
      <c r="A9513" s="74">
        <v>14305</v>
      </c>
    </row>
    <row r="9514" spans="1:1" x14ac:dyDescent="0.25">
      <c r="A9514" s="74">
        <v>14306</v>
      </c>
    </row>
    <row r="9515" spans="1:1" x14ac:dyDescent="0.25">
      <c r="A9515" s="74">
        <v>14307</v>
      </c>
    </row>
    <row r="9516" spans="1:1" x14ac:dyDescent="0.25">
      <c r="A9516" s="74">
        <v>14308</v>
      </c>
    </row>
    <row r="9517" spans="1:1" x14ac:dyDescent="0.25">
      <c r="A9517" s="74">
        <v>14309</v>
      </c>
    </row>
    <row r="9518" spans="1:1" x14ac:dyDescent="0.25">
      <c r="A9518" s="74">
        <v>14310</v>
      </c>
    </row>
    <row r="9519" spans="1:1" x14ac:dyDescent="0.25">
      <c r="A9519" s="74">
        <v>14311</v>
      </c>
    </row>
    <row r="9520" spans="1:1" x14ac:dyDescent="0.25">
      <c r="A9520" s="74">
        <v>14312</v>
      </c>
    </row>
    <row r="9521" spans="1:1" x14ac:dyDescent="0.25">
      <c r="A9521" s="74">
        <v>14313</v>
      </c>
    </row>
    <row r="9522" spans="1:1" x14ac:dyDescent="0.25">
      <c r="A9522" s="74">
        <v>14314</v>
      </c>
    </row>
    <row r="9523" spans="1:1" x14ac:dyDescent="0.25">
      <c r="A9523" s="74">
        <v>14315</v>
      </c>
    </row>
    <row r="9524" spans="1:1" x14ac:dyDescent="0.25">
      <c r="A9524" s="74">
        <v>14316</v>
      </c>
    </row>
    <row r="9525" spans="1:1" x14ac:dyDescent="0.25">
      <c r="A9525" s="74">
        <v>14317</v>
      </c>
    </row>
    <row r="9526" spans="1:1" x14ac:dyDescent="0.25">
      <c r="A9526" s="74">
        <v>14318</v>
      </c>
    </row>
    <row r="9527" spans="1:1" x14ac:dyDescent="0.25">
      <c r="A9527" s="74">
        <v>14319</v>
      </c>
    </row>
    <row r="9528" spans="1:1" x14ac:dyDescent="0.25">
      <c r="A9528" s="74">
        <v>14320</v>
      </c>
    </row>
    <row r="9529" spans="1:1" x14ac:dyDescent="0.25">
      <c r="A9529" s="74">
        <v>14321</v>
      </c>
    </row>
    <row r="9530" spans="1:1" x14ac:dyDescent="0.25">
      <c r="A9530" s="74">
        <v>14322</v>
      </c>
    </row>
    <row r="9531" spans="1:1" x14ac:dyDescent="0.25">
      <c r="A9531" s="74">
        <v>14323</v>
      </c>
    </row>
    <row r="9532" spans="1:1" x14ac:dyDescent="0.25">
      <c r="A9532" s="74">
        <v>14324</v>
      </c>
    </row>
    <row r="9533" spans="1:1" x14ac:dyDescent="0.25">
      <c r="A9533" s="74">
        <v>14325</v>
      </c>
    </row>
    <row r="9534" spans="1:1" x14ac:dyDescent="0.25">
      <c r="A9534" s="74">
        <v>14326</v>
      </c>
    </row>
    <row r="9535" spans="1:1" x14ac:dyDescent="0.25">
      <c r="A9535" s="74">
        <v>14327</v>
      </c>
    </row>
    <row r="9536" spans="1:1" x14ac:dyDescent="0.25">
      <c r="A9536" s="74">
        <v>14328</v>
      </c>
    </row>
    <row r="9537" spans="1:1" x14ac:dyDescent="0.25">
      <c r="A9537" s="74">
        <v>14329</v>
      </c>
    </row>
    <row r="9538" spans="1:1" x14ac:dyDescent="0.25">
      <c r="A9538" s="74">
        <v>14330</v>
      </c>
    </row>
    <row r="9539" spans="1:1" x14ac:dyDescent="0.25">
      <c r="A9539" s="74">
        <v>14331</v>
      </c>
    </row>
    <row r="9540" spans="1:1" x14ac:dyDescent="0.25">
      <c r="A9540" s="74">
        <v>14332</v>
      </c>
    </row>
    <row r="9541" spans="1:1" x14ac:dyDescent="0.25">
      <c r="A9541" s="74">
        <v>14333</v>
      </c>
    </row>
    <row r="9542" spans="1:1" x14ac:dyDescent="0.25">
      <c r="A9542" s="74">
        <v>14334</v>
      </c>
    </row>
    <row r="9543" spans="1:1" x14ac:dyDescent="0.25">
      <c r="A9543" s="74">
        <v>14335</v>
      </c>
    </row>
    <row r="9544" spans="1:1" x14ac:dyDescent="0.25">
      <c r="A9544" s="74">
        <v>14336</v>
      </c>
    </row>
    <row r="9545" spans="1:1" x14ac:dyDescent="0.25">
      <c r="A9545" s="74">
        <v>14337</v>
      </c>
    </row>
    <row r="9546" spans="1:1" x14ac:dyDescent="0.25">
      <c r="A9546" s="74">
        <v>14338</v>
      </c>
    </row>
    <row r="9547" spans="1:1" x14ac:dyDescent="0.25">
      <c r="A9547" s="74">
        <v>14339</v>
      </c>
    </row>
    <row r="9548" spans="1:1" x14ac:dyDescent="0.25">
      <c r="A9548" s="74">
        <v>14340</v>
      </c>
    </row>
    <row r="9549" spans="1:1" x14ac:dyDescent="0.25">
      <c r="A9549" s="74">
        <v>14341</v>
      </c>
    </row>
    <row r="9550" spans="1:1" x14ac:dyDescent="0.25">
      <c r="A9550" s="74">
        <v>14342</v>
      </c>
    </row>
    <row r="9551" spans="1:1" x14ac:dyDescent="0.25">
      <c r="A9551" s="74">
        <v>14343</v>
      </c>
    </row>
    <row r="9552" spans="1:1" x14ac:dyDescent="0.25">
      <c r="A9552" s="74">
        <v>14344</v>
      </c>
    </row>
    <row r="9553" spans="1:1" x14ac:dyDescent="0.25">
      <c r="A9553" s="74">
        <v>14345</v>
      </c>
    </row>
    <row r="9554" spans="1:1" x14ac:dyDescent="0.25">
      <c r="A9554" s="74">
        <v>14346</v>
      </c>
    </row>
    <row r="9555" spans="1:1" x14ac:dyDescent="0.25">
      <c r="A9555" s="74">
        <v>14347</v>
      </c>
    </row>
    <row r="9556" spans="1:1" x14ac:dyDescent="0.25">
      <c r="A9556" s="74">
        <v>14348</v>
      </c>
    </row>
    <row r="9557" spans="1:1" x14ac:dyDescent="0.25">
      <c r="A9557" s="74">
        <v>14349</v>
      </c>
    </row>
    <row r="9558" spans="1:1" x14ac:dyDescent="0.25">
      <c r="A9558" s="74">
        <v>14350</v>
      </c>
    </row>
    <row r="9559" spans="1:1" x14ac:dyDescent="0.25">
      <c r="A9559" s="74">
        <v>14351</v>
      </c>
    </row>
    <row r="9560" spans="1:1" x14ac:dyDescent="0.25">
      <c r="A9560" s="74">
        <v>14352</v>
      </c>
    </row>
    <row r="9561" spans="1:1" x14ac:dyDescent="0.25">
      <c r="A9561" s="74">
        <v>14353</v>
      </c>
    </row>
    <row r="9562" spans="1:1" x14ac:dyDescent="0.25">
      <c r="A9562" s="74">
        <v>14354</v>
      </c>
    </row>
    <row r="9563" spans="1:1" x14ac:dyDescent="0.25">
      <c r="A9563" s="74">
        <v>14355</v>
      </c>
    </row>
    <row r="9564" spans="1:1" x14ac:dyDescent="0.25">
      <c r="A9564" s="74">
        <v>14356</v>
      </c>
    </row>
    <row r="9565" spans="1:1" x14ac:dyDescent="0.25">
      <c r="A9565" s="74">
        <v>14357</v>
      </c>
    </row>
    <row r="9566" spans="1:1" x14ac:dyDescent="0.25">
      <c r="A9566" s="74">
        <v>14358</v>
      </c>
    </row>
    <row r="9567" spans="1:1" x14ac:dyDescent="0.25">
      <c r="A9567" s="74">
        <v>14359</v>
      </c>
    </row>
    <row r="9568" spans="1:1" x14ac:dyDescent="0.25">
      <c r="A9568" s="74">
        <v>14360</v>
      </c>
    </row>
    <row r="9569" spans="1:1" x14ac:dyDescent="0.25">
      <c r="A9569" s="74">
        <v>14361</v>
      </c>
    </row>
    <row r="9570" spans="1:1" x14ac:dyDescent="0.25">
      <c r="A9570" s="74">
        <v>14362</v>
      </c>
    </row>
    <row r="9571" spans="1:1" x14ac:dyDescent="0.25">
      <c r="A9571" s="74">
        <v>14363</v>
      </c>
    </row>
    <row r="9572" spans="1:1" x14ac:dyDescent="0.25">
      <c r="A9572" s="74">
        <v>14364</v>
      </c>
    </row>
    <row r="9573" spans="1:1" x14ac:dyDescent="0.25">
      <c r="A9573" s="74">
        <v>14365</v>
      </c>
    </row>
    <row r="9574" spans="1:1" x14ac:dyDescent="0.25">
      <c r="A9574" s="74">
        <v>14366</v>
      </c>
    </row>
    <row r="9575" spans="1:1" x14ac:dyDescent="0.25">
      <c r="A9575" s="74">
        <v>14367</v>
      </c>
    </row>
    <row r="9576" spans="1:1" x14ac:dyDescent="0.25">
      <c r="A9576" s="74">
        <v>14368</v>
      </c>
    </row>
    <row r="9577" spans="1:1" x14ac:dyDescent="0.25">
      <c r="A9577" s="74">
        <v>14369</v>
      </c>
    </row>
    <row r="9578" spans="1:1" x14ac:dyDescent="0.25">
      <c r="A9578" s="74">
        <v>14370</v>
      </c>
    </row>
    <row r="9579" spans="1:1" x14ac:dyDescent="0.25">
      <c r="A9579" s="74">
        <v>14371</v>
      </c>
    </row>
    <row r="9580" spans="1:1" x14ac:dyDescent="0.25">
      <c r="A9580" s="74">
        <v>14372</v>
      </c>
    </row>
    <row r="9581" spans="1:1" x14ac:dyDescent="0.25">
      <c r="A9581" s="74">
        <v>14373</v>
      </c>
    </row>
    <row r="9582" spans="1:1" x14ac:dyDescent="0.25">
      <c r="A9582" s="74">
        <v>14374</v>
      </c>
    </row>
    <row r="9583" spans="1:1" x14ac:dyDescent="0.25">
      <c r="A9583" s="74">
        <v>14375</v>
      </c>
    </row>
    <row r="9584" spans="1:1" x14ac:dyDescent="0.25">
      <c r="A9584" s="74">
        <v>14376</v>
      </c>
    </row>
    <row r="9585" spans="1:1" x14ac:dyDescent="0.25">
      <c r="A9585" s="74">
        <v>14377</v>
      </c>
    </row>
    <row r="9586" spans="1:1" x14ac:dyDescent="0.25">
      <c r="A9586" s="74">
        <v>14378</v>
      </c>
    </row>
    <row r="9587" spans="1:1" x14ac:dyDescent="0.25">
      <c r="A9587" s="74">
        <v>14379</v>
      </c>
    </row>
    <row r="9588" spans="1:1" x14ac:dyDescent="0.25">
      <c r="A9588" s="74">
        <v>14380</v>
      </c>
    </row>
    <row r="9589" spans="1:1" x14ac:dyDescent="0.25">
      <c r="A9589" s="74">
        <v>14381</v>
      </c>
    </row>
    <row r="9590" spans="1:1" x14ac:dyDescent="0.25">
      <c r="A9590" s="74">
        <v>14382</v>
      </c>
    </row>
    <row r="9591" spans="1:1" x14ac:dyDescent="0.25">
      <c r="A9591" s="74">
        <v>14383</v>
      </c>
    </row>
    <row r="9592" spans="1:1" x14ac:dyDescent="0.25">
      <c r="A9592" s="74">
        <v>14384</v>
      </c>
    </row>
    <row r="9593" spans="1:1" x14ac:dyDescent="0.25">
      <c r="A9593" s="74">
        <v>14385</v>
      </c>
    </row>
    <row r="9594" spans="1:1" x14ac:dyDescent="0.25">
      <c r="A9594" s="74">
        <v>14386</v>
      </c>
    </row>
    <row r="9595" spans="1:1" x14ac:dyDescent="0.25">
      <c r="A9595" s="74">
        <v>14387</v>
      </c>
    </row>
    <row r="9596" spans="1:1" x14ac:dyDescent="0.25">
      <c r="A9596" s="74">
        <v>14388</v>
      </c>
    </row>
    <row r="9597" spans="1:1" x14ac:dyDescent="0.25">
      <c r="A9597" s="74">
        <v>14389</v>
      </c>
    </row>
    <row r="9598" spans="1:1" x14ac:dyDescent="0.25">
      <c r="A9598" s="74">
        <v>14390</v>
      </c>
    </row>
    <row r="9599" spans="1:1" x14ac:dyDescent="0.25">
      <c r="A9599" s="74">
        <v>14391</v>
      </c>
    </row>
    <row r="9600" spans="1:1" x14ac:dyDescent="0.25">
      <c r="A9600" s="74">
        <v>14392</v>
      </c>
    </row>
    <row r="9601" spans="1:1" x14ac:dyDescent="0.25">
      <c r="A9601" s="74">
        <v>14393</v>
      </c>
    </row>
    <row r="9602" spans="1:1" x14ac:dyDescent="0.25">
      <c r="A9602" s="74">
        <v>14394</v>
      </c>
    </row>
    <row r="9603" spans="1:1" x14ac:dyDescent="0.25">
      <c r="A9603" s="74">
        <v>14395</v>
      </c>
    </row>
    <row r="9604" spans="1:1" x14ac:dyDescent="0.25">
      <c r="A9604" s="74">
        <v>14396</v>
      </c>
    </row>
    <row r="9605" spans="1:1" x14ac:dyDescent="0.25">
      <c r="A9605" s="74">
        <v>14397</v>
      </c>
    </row>
    <row r="9606" spans="1:1" x14ac:dyDescent="0.25">
      <c r="A9606" s="74">
        <v>14398</v>
      </c>
    </row>
    <row r="9607" spans="1:1" x14ac:dyDescent="0.25">
      <c r="A9607" s="74">
        <v>14399</v>
      </c>
    </row>
    <row r="9608" spans="1:1" x14ac:dyDescent="0.25">
      <c r="A9608" s="74">
        <v>14400</v>
      </c>
    </row>
    <row r="9609" spans="1:1" x14ac:dyDescent="0.25">
      <c r="A9609" s="74">
        <v>14401</v>
      </c>
    </row>
    <row r="9610" spans="1:1" x14ac:dyDescent="0.25">
      <c r="A9610" s="74">
        <v>14402</v>
      </c>
    </row>
    <row r="9611" spans="1:1" x14ac:dyDescent="0.25">
      <c r="A9611" s="74">
        <v>14403</v>
      </c>
    </row>
    <row r="9612" spans="1:1" x14ac:dyDescent="0.25">
      <c r="A9612" s="74">
        <v>14404</v>
      </c>
    </row>
    <row r="9613" spans="1:1" x14ac:dyDescent="0.25">
      <c r="A9613" s="74">
        <v>14405</v>
      </c>
    </row>
    <row r="9614" spans="1:1" x14ac:dyDescent="0.25">
      <c r="A9614" s="74">
        <v>14406</v>
      </c>
    </row>
    <row r="9615" spans="1:1" x14ac:dyDescent="0.25">
      <c r="A9615" s="74">
        <v>14407</v>
      </c>
    </row>
    <row r="9616" spans="1:1" x14ac:dyDescent="0.25">
      <c r="A9616" s="74">
        <v>14408</v>
      </c>
    </row>
    <row r="9617" spans="1:1" x14ac:dyDescent="0.25">
      <c r="A9617" s="74">
        <v>14409</v>
      </c>
    </row>
    <row r="9618" spans="1:1" x14ac:dyDescent="0.25">
      <c r="A9618" s="74">
        <v>14410</v>
      </c>
    </row>
    <row r="9619" spans="1:1" x14ac:dyDescent="0.25">
      <c r="A9619" s="74">
        <v>14411</v>
      </c>
    </row>
    <row r="9620" spans="1:1" x14ac:dyDescent="0.25">
      <c r="A9620" s="74">
        <v>14412</v>
      </c>
    </row>
    <row r="9621" spans="1:1" x14ac:dyDescent="0.25">
      <c r="A9621" s="74">
        <v>14413</v>
      </c>
    </row>
    <row r="9622" spans="1:1" x14ac:dyDescent="0.25">
      <c r="A9622" s="74">
        <v>14414</v>
      </c>
    </row>
    <row r="9623" spans="1:1" x14ac:dyDescent="0.25">
      <c r="A9623" s="74">
        <v>14415</v>
      </c>
    </row>
    <row r="9624" spans="1:1" x14ac:dyDescent="0.25">
      <c r="A9624" s="74">
        <v>14416</v>
      </c>
    </row>
    <row r="9625" spans="1:1" x14ac:dyDescent="0.25">
      <c r="A9625" s="74">
        <v>14417</v>
      </c>
    </row>
    <row r="9626" spans="1:1" x14ac:dyDescent="0.25">
      <c r="A9626" s="74">
        <v>14418</v>
      </c>
    </row>
    <row r="9627" spans="1:1" x14ac:dyDescent="0.25">
      <c r="A9627" s="74">
        <v>14419</v>
      </c>
    </row>
    <row r="9628" spans="1:1" x14ac:dyDescent="0.25">
      <c r="A9628" s="74">
        <v>14420</v>
      </c>
    </row>
    <row r="9629" spans="1:1" x14ac:dyDescent="0.25">
      <c r="A9629" s="74">
        <v>14421</v>
      </c>
    </row>
    <row r="9630" spans="1:1" x14ac:dyDescent="0.25">
      <c r="A9630" s="74">
        <v>14422</v>
      </c>
    </row>
    <row r="9631" spans="1:1" x14ac:dyDescent="0.25">
      <c r="A9631" s="74">
        <v>14423</v>
      </c>
    </row>
    <row r="9632" spans="1:1" x14ac:dyDescent="0.25">
      <c r="A9632" s="74">
        <v>14424</v>
      </c>
    </row>
    <row r="9633" spans="1:1" x14ac:dyDescent="0.25">
      <c r="A9633" s="74">
        <v>14425</v>
      </c>
    </row>
    <row r="9634" spans="1:1" x14ac:dyDescent="0.25">
      <c r="A9634" s="74">
        <v>14426</v>
      </c>
    </row>
    <row r="9635" spans="1:1" x14ac:dyDescent="0.25">
      <c r="A9635" s="74">
        <v>14427</v>
      </c>
    </row>
    <row r="9636" spans="1:1" x14ac:dyDescent="0.25">
      <c r="A9636" s="74">
        <v>14428</v>
      </c>
    </row>
    <row r="9637" spans="1:1" x14ac:dyDescent="0.25">
      <c r="A9637" s="74">
        <v>14429</v>
      </c>
    </row>
    <row r="9638" spans="1:1" x14ac:dyDescent="0.25">
      <c r="A9638" s="74">
        <v>14430</v>
      </c>
    </row>
    <row r="9639" spans="1:1" x14ac:dyDescent="0.25">
      <c r="A9639" s="74">
        <v>14431</v>
      </c>
    </row>
    <row r="9640" spans="1:1" x14ac:dyDescent="0.25">
      <c r="A9640" s="74">
        <v>14432</v>
      </c>
    </row>
    <row r="9641" spans="1:1" x14ac:dyDescent="0.25">
      <c r="A9641" s="74">
        <v>14433</v>
      </c>
    </row>
    <row r="9642" spans="1:1" x14ac:dyDescent="0.25">
      <c r="A9642" s="74">
        <v>14434</v>
      </c>
    </row>
    <row r="9643" spans="1:1" x14ac:dyDescent="0.25">
      <c r="A9643" s="74">
        <v>14435</v>
      </c>
    </row>
    <row r="9644" spans="1:1" x14ac:dyDescent="0.25">
      <c r="A9644" s="74">
        <v>14436</v>
      </c>
    </row>
    <row r="9645" spans="1:1" x14ac:dyDescent="0.25">
      <c r="A9645" s="74">
        <v>14437</v>
      </c>
    </row>
    <row r="9646" spans="1:1" x14ac:dyDescent="0.25">
      <c r="A9646" s="74">
        <v>14438</v>
      </c>
    </row>
    <row r="9647" spans="1:1" x14ac:dyDescent="0.25">
      <c r="A9647" s="74">
        <v>14439</v>
      </c>
    </row>
    <row r="9648" spans="1:1" x14ac:dyDescent="0.25">
      <c r="A9648" s="74">
        <v>14440</v>
      </c>
    </row>
    <row r="9649" spans="1:1" x14ac:dyDescent="0.25">
      <c r="A9649" s="74">
        <v>14441</v>
      </c>
    </row>
    <row r="9650" spans="1:1" x14ac:dyDescent="0.25">
      <c r="A9650" s="74">
        <v>14442</v>
      </c>
    </row>
    <row r="9651" spans="1:1" x14ac:dyDescent="0.25">
      <c r="A9651" s="74">
        <v>14443</v>
      </c>
    </row>
    <row r="9652" spans="1:1" x14ac:dyDescent="0.25">
      <c r="A9652" s="74">
        <v>14444</v>
      </c>
    </row>
    <row r="9653" spans="1:1" x14ac:dyDescent="0.25">
      <c r="A9653" s="74">
        <v>14445</v>
      </c>
    </row>
    <row r="9654" spans="1:1" x14ac:dyDescent="0.25">
      <c r="A9654" s="74">
        <v>14446</v>
      </c>
    </row>
    <row r="9655" spans="1:1" x14ac:dyDescent="0.25">
      <c r="A9655" s="74">
        <v>14447</v>
      </c>
    </row>
    <row r="9656" spans="1:1" x14ac:dyDescent="0.25">
      <c r="A9656" s="74">
        <v>14448</v>
      </c>
    </row>
    <row r="9657" spans="1:1" x14ac:dyDescent="0.25">
      <c r="A9657" s="74">
        <v>14449</v>
      </c>
    </row>
    <row r="9658" spans="1:1" x14ac:dyDescent="0.25">
      <c r="A9658" s="74">
        <v>14450</v>
      </c>
    </row>
    <row r="9659" spans="1:1" x14ac:dyDescent="0.25">
      <c r="A9659" s="74">
        <v>14451</v>
      </c>
    </row>
    <row r="9660" spans="1:1" x14ac:dyDescent="0.25">
      <c r="A9660" s="74">
        <v>14452</v>
      </c>
    </row>
    <row r="9661" spans="1:1" x14ac:dyDescent="0.25">
      <c r="A9661" s="74">
        <v>14453</v>
      </c>
    </row>
    <row r="9662" spans="1:1" x14ac:dyDescent="0.25">
      <c r="A9662" s="74">
        <v>14454</v>
      </c>
    </row>
    <row r="9663" spans="1:1" x14ac:dyDescent="0.25">
      <c r="A9663" s="74">
        <v>14455</v>
      </c>
    </row>
    <row r="9664" spans="1:1" x14ac:dyDescent="0.25">
      <c r="A9664" s="74">
        <v>14456</v>
      </c>
    </row>
    <row r="9665" spans="1:1" x14ac:dyDescent="0.25">
      <c r="A9665" s="74">
        <v>14457</v>
      </c>
    </row>
    <row r="9666" spans="1:1" x14ac:dyDescent="0.25">
      <c r="A9666" s="74">
        <v>14458</v>
      </c>
    </row>
    <row r="9667" spans="1:1" x14ac:dyDescent="0.25">
      <c r="A9667" s="74">
        <v>14459</v>
      </c>
    </row>
    <row r="9668" spans="1:1" x14ac:dyDescent="0.25">
      <c r="A9668" s="74">
        <v>14460</v>
      </c>
    </row>
    <row r="9669" spans="1:1" x14ac:dyDescent="0.25">
      <c r="A9669" s="74">
        <v>14461</v>
      </c>
    </row>
    <row r="9670" spans="1:1" x14ac:dyDescent="0.25">
      <c r="A9670" s="74">
        <v>14462</v>
      </c>
    </row>
    <row r="9671" spans="1:1" x14ac:dyDescent="0.25">
      <c r="A9671" s="74">
        <v>14463</v>
      </c>
    </row>
    <row r="9672" spans="1:1" x14ac:dyDescent="0.25">
      <c r="A9672" s="74">
        <v>14464</v>
      </c>
    </row>
    <row r="9673" spans="1:1" x14ac:dyDescent="0.25">
      <c r="A9673" s="74">
        <v>14465</v>
      </c>
    </row>
    <row r="9674" spans="1:1" x14ac:dyDescent="0.25">
      <c r="A9674" s="74">
        <v>14466</v>
      </c>
    </row>
    <row r="9675" spans="1:1" x14ac:dyDescent="0.25">
      <c r="A9675" s="74">
        <v>14467</v>
      </c>
    </row>
    <row r="9676" spans="1:1" x14ac:dyDescent="0.25">
      <c r="A9676" s="74">
        <v>14468</v>
      </c>
    </row>
    <row r="9677" spans="1:1" x14ac:dyDescent="0.25">
      <c r="A9677" s="74">
        <v>14469</v>
      </c>
    </row>
    <row r="9678" spans="1:1" x14ac:dyDescent="0.25">
      <c r="A9678" s="74">
        <v>14470</v>
      </c>
    </row>
    <row r="9679" spans="1:1" x14ac:dyDescent="0.25">
      <c r="A9679" s="74">
        <v>14471</v>
      </c>
    </row>
    <row r="9680" spans="1:1" x14ac:dyDescent="0.25">
      <c r="A9680" s="74">
        <v>14472</v>
      </c>
    </row>
    <row r="9681" spans="1:1" x14ac:dyDescent="0.25">
      <c r="A9681" s="74">
        <v>14473</v>
      </c>
    </row>
    <row r="9682" spans="1:1" x14ac:dyDescent="0.25">
      <c r="A9682" s="74">
        <v>14474</v>
      </c>
    </row>
    <row r="9683" spans="1:1" x14ac:dyDescent="0.25">
      <c r="A9683" s="74">
        <v>14475</v>
      </c>
    </row>
    <row r="9684" spans="1:1" x14ac:dyDescent="0.25">
      <c r="A9684" s="74">
        <v>14476</v>
      </c>
    </row>
    <row r="9685" spans="1:1" x14ac:dyDescent="0.25">
      <c r="A9685" s="74">
        <v>14477</v>
      </c>
    </row>
    <row r="9686" spans="1:1" x14ac:dyDescent="0.25">
      <c r="A9686" s="74">
        <v>14478</v>
      </c>
    </row>
    <row r="9687" spans="1:1" x14ac:dyDescent="0.25">
      <c r="A9687" s="74">
        <v>14479</v>
      </c>
    </row>
    <row r="9688" spans="1:1" x14ac:dyDescent="0.25">
      <c r="A9688" s="74">
        <v>14480</v>
      </c>
    </row>
    <row r="9689" spans="1:1" x14ac:dyDescent="0.25">
      <c r="A9689" s="74">
        <v>14481</v>
      </c>
    </row>
    <row r="9690" spans="1:1" x14ac:dyDescent="0.25">
      <c r="A9690" s="74">
        <v>14482</v>
      </c>
    </row>
    <row r="9691" spans="1:1" x14ac:dyDescent="0.25">
      <c r="A9691" s="74">
        <v>14483</v>
      </c>
    </row>
    <row r="9692" spans="1:1" x14ac:dyDescent="0.25">
      <c r="A9692" s="74">
        <v>14484</v>
      </c>
    </row>
    <row r="9693" spans="1:1" x14ac:dyDescent="0.25">
      <c r="A9693" s="74">
        <v>14485</v>
      </c>
    </row>
    <row r="9694" spans="1:1" x14ac:dyDescent="0.25">
      <c r="A9694" s="74">
        <v>14486</v>
      </c>
    </row>
    <row r="9695" spans="1:1" x14ac:dyDescent="0.25">
      <c r="A9695" s="74">
        <v>14487</v>
      </c>
    </row>
    <row r="9696" spans="1:1" x14ac:dyDescent="0.25">
      <c r="A9696" s="74">
        <v>14488</v>
      </c>
    </row>
    <row r="9697" spans="1:1" x14ac:dyDescent="0.25">
      <c r="A9697" s="74">
        <v>14489</v>
      </c>
    </row>
    <row r="9698" spans="1:1" x14ac:dyDescent="0.25">
      <c r="A9698" s="74">
        <v>14490</v>
      </c>
    </row>
    <row r="9699" spans="1:1" x14ac:dyDescent="0.25">
      <c r="A9699" s="74">
        <v>14491</v>
      </c>
    </row>
    <row r="9700" spans="1:1" x14ac:dyDescent="0.25">
      <c r="A9700" s="74">
        <v>14492</v>
      </c>
    </row>
    <row r="9701" spans="1:1" x14ac:dyDescent="0.25">
      <c r="A9701" s="74">
        <v>14493</v>
      </c>
    </row>
    <row r="9702" spans="1:1" x14ac:dyDescent="0.25">
      <c r="A9702" s="74">
        <v>14494</v>
      </c>
    </row>
    <row r="9703" spans="1:1" x14ac:dyDescent="0.25">
      <c r="A9703" s="74">
        <v>14495</v>
      </c>
    </row>
    <row r="9704" spans="1:1" x14ac:dyDescent="0.25">
      <c r="A9704" s="74">
        <v>14496</v>
      </c>
    </row>
    <row r="9705" spans="1:1" x14ac:dyDescent="0.25">
      <c r="A9705" s="74">
        <v>14497</v>
      </c>
    </row>
    <row r="9706" spans="1:1" x14ac:dyDescent="0.25">
      <c r="A9706" s="74">
        <v>14498</v>
      </c>
    </row>
    <row r="9707" spans="1:1" x14ac:dyDescent="0.25">
      <c r="A9707" s="74">
        <v>14499</v>
      </c>
    </row>
    <row r="9708" spans="1:1" x14ac:dyDescent="0.25">
      <c r="A9708" s="74">
        <v>14500</v>
      </c>
    </row>
    <row r="9709" spans="1:1" x14ac:dyDescent="0.25">
      <c r="A9709" s="74">
        <v>14501</v>
      </c>
    </row>
    <row r="9710" spans="1:1" x14ac:dyDescent="0.25">
      <c r="A9710" s="74">
        <v>14502</v>
      </c>
    </row>
    <row r="9711" spans="1:1" x14ac:dyDescent="0.25">
      <c r="A9711" s="74">
        <v>14503</v>
      </c>
    </row>
    <row r="9712" spans="1:1" x14ac:dyDescent="0.25">
      <c r="A9712" s="74">
        <v>14504</v>
      </c>
    </row>
    <row r="9713" spans="1:1" x14ac:dyDescent="0.25">
      <c r="A9713" s="74">
        <v>14505</v>
      </c>
    </row>
    <row r="9714" spans="1:1" x14ac:dyDescent="0.25">
      <c r="A9714" s="74">
        <v>14506</v>
      </c>
    </row>
    <row r="9715" spans="1:1" x14ac:dyDescent="0.25">
      <c r="A9715" s="74">
        <v>14507</v>
      </c>
    </row>
    <row r="9716" spans="1:1" x14ac:dyDescent="0.25">
      <c r="A9716" s="74">
        <v>14508</v>
      </c>
    </row>
    <row r="9717" spans="1:1" x14ac:dyDescent="0.25">
      <c r="A9717" s="74">
        <v>14509</v>
      </c>
    </row>
    <row r="9718" spans="1:1" x14ac:dyDescent="0.25">
      <c r="A9718" s="74">
        <v>14510</v>
      </c>
    </row>
    <row r="9719" spans="1:1" x14ac:dyDescent="0.25">
      <c r="A9719" s="74">
        <v>14511</v>
      </c>
    </row>
    <row r="9720" spans="1:1" x14ac:dyDescent="0.25">
      <c r="A9720" s="74">
        <v>14512</v>
      </c>
    </row>
    <row r="9721" spans="1:1" x14ac:dyDescent="0.25">
      <c r="A9721" s="74">
        <v>14513</v>
      </c>
    </row>
    <row r="9722" spans="1:1" x14ac:dyDescent="0.25">
      <c r="A9722" s="74">
        <v>14514</v>
      </c>
    </row>
    <row r="9723" spans="1:1" x14ac:dyDescent="0.25">
      <c r="A9723" s="74">
        <v>14515</v>
      </c>
    </row>
    <row r="9724" spans="1:1" x14ac:dyDescent="0.25">
      <c r="A9724" s="74">
        <v>14516</v>
      </c>
    </row>
    <row r="9725" spans="1:1" x14ac:dyDescent="0.25">
      <c r="A9725" s="74">
        <v>14517</v>
      </c>
    </row>
    <row r="9726" spans="1:1" x14ac:dyDescent="0.25">
      <c r="A9726" s="74">
        <v>14518</v>
      </c>
    </row>
    <row r="9727" spans="1:1" x14ac:dyDescent="0.25">
      <c r="A9727" s="74">
        <v>14519</v>
      </c>
    </row>
    <row r="9728" spans="1:1" x14ac:dyDescent="0.25">
      <c r="A9728" s="74">
        <v>14520</v>
      </c>
    </row>
    <row r="9729" spans="1:1" x14ac:dyDescent="0.25">
      <c r="A9729" s="74">
        <v>14521</v>
      </c>
    </row>
    <row r="9730" spans="1:1" x14ac:dyDescent="0.25">
      <c r="A9730" s="74">
        <v>14522</v>
      </c>
    </row>
    <row r="9731" spans="1:1" x14ac:dyDescent="0.25">
      <c r="A9731" s="74">
        <v>14523</v>
      </c>
    </row>
    <row r="9732" spans="1:1" x14ac:dyDescent="0.25">
      <c r="A9732" s="74">
        <v>14524</v>
      </c>
    </row>
    <row r="9733" spans="1:1" x14ac:dyDescent="0.25">
      <c r="A9733" s="74">
        <v>14525</v>
      </c>
    </row>
    <row r="9734" spans="1:1" x14ac:dyDescent="0.25">
      <c r="A9734" s="74">
        <v>14526</v>
      </c>
    </row>
    <row r="9735" spans="1:1" x14ac:dyDescent="0.25">
      <c r="A9735" s="74">
        <v>14527</v>
      </c>
    </row>
    <row r="9736" spans="1:1" x14ac:dyDescent="0.25">
      <c r="A9736" s="74">
        <v>14528</v>
      </c>
    </row>
    <row r="9737" spans="1:1" x14ac:dyDescent="0.25">
      <c r="A9737" s="74">
        <v>14529</v>
      </c>
    </row>
    <row r="9738" spans="1:1" x14ac:dyDescent="0.25">
      <c r="A9738" s="74">
        <v>14530</v>
      </c>
    </row>
    <row r="9739" spans="1:1" x14ac:dyDescent="0.25">
      <c r="A9739" s="74">
        <v>14531</v>
      </c>
    </row>
    <row r="9740" spans="1:1" x14ac:dyDescent="0.25">
      <c r="A9740" s="74">
        <v>14532</v>
      </c>
    </row>
    <row r="9741" spans="1:1" x14ac:dyDescent="0.25">
      <c r="A9741" s="74">
        <v>14533</v>
      </c>
    </row>
    <row r="9742" spans="1:1" x14ac:dyDescent="0.25">
      <c r="A9742" s="74">
        <v>14534</v>
      </c>
    </row>
    <row r="9743" spans="1:1" x14ac:dyDescent="0.25">
      <c r="A9743" s="74">
        <v>14535</v>
      </c>
    </row>
    <row r="9744" spans="1:1" x14ac:dyDescent="0.25">
      <c r="A9744" s="74">
        <v>14536</v>
      </c>
    </row>
    <row r="9745" spans="1:1" x14ac:dyDescent="0.25">
      <c r="A9745" s="74">
        <v>14537</v>
      </c>
    </row>
    <row r="9746" spans="1:1" x14ac:dyDescent="0.25">
      <c r="A9746" s="74">
        <v>14538</v>
      </c>
    </row>
    <row r="9747" spans="1:1" x14ac:dyDescent="0.25">
      <c r="A9747" s="74">
        <v>14539</v>
      </c>
    </row>
    <row r="9748" spans="1:1" x14ac:dyDescent="0.25">
      <c r="A9748" s="74">
        <v>14540</v>
      </c>
    </row>
    <row r="9749" spans="1:1" x14ac:dyDescent="0.25">
      <c r="A9749" s="74">
        <v>14541</v>
      </c>
    </row>
    <row r="9750" spans="1:1" x14ac:dyDescent="0.25">
      <c r="A9750" s="74">
        <v>14542</v>
      </c>
    </row>
    <row r="9751" spans="1:1" x14ac:dyDescent="0.25">
      <c r="A9751" s="74">
        <v>14543</v>
      </c>
    </row>
    <row r="9752" spans="1:1" x14ac:dyDescent="0.25">
      <c r="A9752" s="74">
        <v>14544</v>
      </c>
    </row>
    <row r="9753" spans="1:1" x14ac:dyDescent="0.25">
      <c r="A9753" s="74">
        <v>14545</v>
      </c>
    </row>
    <row r="9754" spans="1:1" x14ac:dyDescent="0.25">
      <c r="A9754" s="74">
        <v>14546</v>
      </c>
    </row>
    <row r="9755" spans="1:1" x14ac:dyDescent="0.25">
      <c r="A9755" s="74">
        <v>14547</v>
      </c>
    </row>
    <row r="9756" spans="1:1" x14ac:dyDescent="0.25">
      <c r="A9756" s="74">
        <v>14548</v>
      </c>
    </row>
    <row r="9757" spans="1:1" x14ac:dyDescent="0.25">
      <c r="A9757" s="74">
        <v>14549</v>
      </c>
    </row>
    <row r="9758" spans="1:1" x14ac:dyDescent="0.25">
      <c r="A9758" s="74">
        <v>14550</v>
      </c>
    </row>
    <row r="9759" spans="1:1" x14ac:dyDescent="0.25">
      <c r="A9759" s="74">
        <v>14551</v>
      </c>
    </row>
    <row r="9760" spans="1:1" x14ac:dyDescent="0.25">
      <c r="A9760" s="74">
        <v>14552</v>
      </c>
    </row>
    <row r="9761" spans="1:1" x14ac:dyDescent="0.25">
      <c r="A9761" s="74">
        <v>14553</v>
      </c>
    </row>
    <row r="9762" spans="1:1" x14ac:dyDescent="0.25">
      <c r="A9762" s="74">
        <v>14554</v>
      </c>
    </row>
    <row r="9763" spans="1:1" x14ac:dyDescent="0.25">
      <c r="A9763" s="74">
        <v>14555</v>
      </c>
    </row>
    <row r="9764" spans="1:1" x14ac:dyDescent="0.25">
      <c r="A9764" s="74">
        <v>14556</v>
      </c>
    </row>
    <row r="9765" spans="1:1" x14ac:dyDescent="0.25">
      <c r="A9765" s="74">
        <v>14557</v>
      </c>
    </row>
    <row r="9766" spans="1:1" x14ac:dyDescent="0.25">
      <c r="A9766" s="74">
        <v>14558</v>
      </c>
    </row>
    <row r="9767" spans="1:1" x14ac:dyDescent="0.25">
      <c r="A9767" s="74">
        <v>14559</v>
      </c>
    </row>
    <row r="9768" spans="1:1" x14ac:dyDescent="0.25">
      <c r="A9768" s="74">
        <v>14560</v>
      </c>
    </row>
    <row r="9769" spans="1:1" x14ac:dyDescent="0.25">
      <c r="A9769" s="74">
        <v>14561</v>
      </c>
    </row>
    <row r="9770" spans="1:1" x14ac:dyDescent="0.25">
      <c r="A9770" s="74">
        <v>14562</v>
      </c>
    </row>
    <row r="9771" spans="1:1" x14ac:dyDescent="0.25">
      <c r="A9771" s="74">
        <v>14563</v>
      </c>
    </row>
    <row r="9772" spans="1:1" x14ac:dyDescent="0.25">
      <c r="A9772" s="74">
        <v>14564</v>
      </c>
    </row>
    <row r="9773" spans="1:1" x14ac:dyDescent="0.25">
      <c r="A9773" s="74">
        <v>14565</v>
      </c>
    </row>
    <row r="9774" spans="1:1" x14ac:dyDescent="0.25">
      <c r="A9774" s="74">
        <v>14566</v>
      </c>
    </row>
    <row r="9775" spans="1:1" x14ac:dyDescent="0.25">
      <c r="A9775" s="74">
        <v>14567</v>
      </c>
    </row>
    <row r="9776" spans="1:1" x14ac:dyDescent="0.25">
      <c r="A9776" s="74">
        <v>14568</v>
      </c>
    </row>
    <row r="9777" spans="1:1" x14ac:dyDescent="0.25">
      <c r="A9777" s="74">
        <v>14569</v>
      </c>
    </row>
    <row r="9778" spans="1:1" x14ac:dyDescent="0.25">
      <c r="A9778" s="74">
        <v>14570</v>
      </c>
    </row>
    <row r="9779" spans="1:1" x14ac:dyDescent="0.25">
      <c r="A9779" s="74">
        <v>14571</v>
      </c>
    </row>
    <row r="9780" spans="1:1" x14ac:dyDescent="0.25">
      <c r="A9780" s="74">
        <v>14572</v>
      </c>
    </row>
    <row r="9781" spans="1:1" x14ac:dyDescent="0.25">
      <c r="A9781" s="74">
        <v>14573</v>
      </c>
    </row>
    <row r="9782" spans="1:1" x14ac:dyDescent="0.25">
      <c r="A9782" s="74">
        <v>14574</v>
      </c>
    </row>
    <row r="9783" spans="1:1" x14ac:dyDescent="0.25">
      <c r="A9783" s="74">
        <v>14575</v>
      </c>
    </row>
    <row r="9784" spans="1:1" x14ac:dyDescent="0.25">
      <c r="A9784" s="74">
        <v>14576</v>
      </c>
    </row>
    <row r="9785" spans="1:1" x14ac:dyDescent="0.25">
      <c r="A9785" s="74">
        <v>14577</v>
      </c>
    </row>
    <row r="9786" spans="1:1" x14ac:dyDescent="0.25">
      <c r="A9786" s="74">
        <v>14578</v>
      </c>
    </row>
    <row r="9787" spans="1:1" x14ac:dyDescent="0.25">
      <c r="A9787" s="74">
        <v>14579</v>
      </c>
    </row>
    <row r="9788" spans="1:1" x14ac:dyDescent="0.25">
      <c r="A9788" s="74">
        <v>14580</v>
      </c>
    </row>
    <row r="9789" spans="1:1" x14ac:dyDescent="0.25">
      <c r="A9789" s="74">
        <v>14581</v>
      </c>
    </row>
    <row r="9790" spans="1:1" x14ac:dyDescent="0.25">
      <c r="A9790" s="74">
        <v>14582</v>
      </c>
    </row>
    <row r="9791" spans="1:1" x14ac:dyDescent="0.25">
      <c r="A9791" s="74">
        <v>14583</v>
      </c>
    </row>
    <row r="9792" spans="1:1" x14ac:dyDescent="0.25">
      <c r="A9792" s="74">
        <v>14584</v>
      </c>
    </row>
    <row r="9793" spans="1:1" x14ac:dyDescent="0.25">
      <c r="A9793" s="74">
        <v>14585</v>
      </c>
    </row>
    <row r="9794" spans="1:1" x14ac:dyDescent="0.25">
      <c r="A9794" s="74">
        <v>14586</v>
      </c>
    </row>
    <row r="9795" spans="1:1" x14ac:dyDescent="0.25">
      <c r="A9795" s="74">
        <v>14587</v>
      </c>
    </row>
    <row r="9796" spans="1:1" x14ac:dyDescent="0.25">
      <c r="A9796" s="74">
        <v>14588</v>
      </c>
    </row>
    <row r="9797" spans="1:1" x14ac:dyDescent="0.25">
      <c r="A9797" s="74">
        <v>14589</v>
      </c>
    </row>
    <row r="9798" spans="1:1" x14ac:dyDescent="0.25">
      <c r="A9798" s="74">
        <v>14590</v>
      </c>
    </row>
    <row r="9799" spans="1:1" x14ac:dyDescent="0.25">
      <c r="A9799" s="74">
        <v>14591</v>
      </c>
    </row>
    <row r="9800" spans="1:1" x14ac:dyDescent="0.25">
      <c r="A9800" s="74">
        <v>14592</v>
      </c>
    </row>
    <row r="9801" spans="1:1" x14ac:dyDescent="0.25">
      <c r="A9801" s="74">
        <v>14593</v>
      </c>
    </row>
    <row r="9802" spans="1:1" x14ac:dyDescent="0.25">
      <c r="A9802" s="74">
        <v>14594</v>
      </c>
    </row>
    <row r="9803" spans="1:1" x14ac:dyDescent="0.25">
      <c r="A9803" s="74">
        <v>14595</v>
      </c>
    </row>
    <row r="9804" spans="1:1" x14ac:dyDescent="0.25">
      <c r="A9804" s="74">
        <v>14596</v>
      </c>
    </row>
    <row r="9805" spans="1:1" x14ac:dyDescent="0.25">
      <c r="A9805" s="74">
        <v>14597</v>
      </c>
    </row>
    <row r="9806" spans="1:1" x14ac:dyDescent="0.25">
      <c r="A9806" s="74">
        <v>14598</v>
      </c>
    </row>
    <row r="9807" spans="1:1" x14ac:dyDescent="0.25">
      <c r="A9807" s="74">
        <v>14599</v>
      </c>
    </row>
    <row r="9808" spans="1:1" x14ac:dyDescent="0.25">
      <c r="A9808" s="74">
        <v>14600</v>
      </c>
    </row>
    <row r="9809" spans="1:1" x14ac:dyDescent="0.25">
      <c r="A9809" s="74">
        <v>14601</v>
      </c>
    </row>
    <row r="9810" spans="1:1" x14ac:dyDescent="0.25">
      <c r="A9810" s="74">
        <v>14602</v>
      </c>
    </row>
    <row r="9811" spans="1:1" x14ac:dyDescent="0.25">
      <c r="A9811" s="74">
        <v>14603</v>
      </c>
    </row>
    <row r="9812" spans="1:1" x14ac:dyDescent="0.25">
      <c r="A9812" s="74">
        <v>14604</v>
      </c>
    </row>
    <row r="9813" spans="1:1" x14ac:dyDescent="0.25">
      <c r="A9813" s="74">
        <v>14605</v>
      </c>
    </row>
    <row r="9814" spans="1:1" x14ac:dyDescent="0.25">
      <c r="A9814" s="74">
        <v>14606</v>
      </c>
    </row>
    <row r="9815" spans="1:1" x14ac:dyDescent="0.25">
      <c r="A9815" s="74">
        <v>14607</v>
      </c>
    </row>
    <row r="9816" spans="1:1" x14ac:dyDescent="0.25">
      <c r="A9816" s="74">
        <v>14608</v>
      </c>
    </row>
    <row r="9817" spans="1:1" x14ac:dyDescent="0.25">
      <c r="A9817" s="74">
        <v>14609</v>
      </c>
    </row>
    <row r="9818" spans="1:1" x14ac:dyDescent="0.25">
      <c r="A9818" s="74">
        <v>14610</v>
      </c>
    </row>
    <row r="9819" spans="1:1" x14ac:dyDescent="0.25">
      <c r="A9819" s="74">
        <v>14611</v>
      </c>
    </row>
    <row r="9820" spans="1:1" x14ac:dyDescent="0.25">
      <c r="A9820" s="74">
        <v>14612</v>
      </c>
    </row>
    <row r="9821" spans="1:1" x14ac:dyDescent="0.25">
      <c r="A9821" s="74">
        <v>14613</v>
      </c>
    </row>
    <row r="9822" spans="1:1" x14ac:dyDescent="0.25">
      <c r="A9822" s="74">
        <v>14614</v>
      </c>
    </row>
    <row r="9823" spans="1:1" x14ac:dyDescent="0.25">
      <c r="A9823" s="74">
        <v>14615</v>
      </c>
    </row>
    <row r="9824" spans="1:1" x14ac:dyDescent="0.25">
      <c r="A9824" s="74">
        <v>14616</v>
      </c>
    </row>
    <row r="9825" spans="1:1" x14ac:dyDescent="0.25">
      <c r="A9825" s="74">
        <v>14617</v>
      </c>
    </row>
    <row r="9826" spans="1:1" x14ac:dyDescent="0.25">
      <c r="A9826" s="74">
        <v>14618</v>
      </c>
    </row>
    <row r="9827" spans="1:1" x14ac:dyDescent="0.25">
      <c r="A9827" s="74">
        <v>14619</v>
      </c>
    </row>
    <row r="9828" spans="1:1" x14ac:dyDescent="0.25">
      <c r="A9828" s="74">
        <v>14620</v>
      </c>
    </row>
    <row r="9829" spans="1:1" x14ac:dyDescent="0.25">
      <c r="A9829" s="74">
        <v>14621</v>
      </c>
    </row>
    <row r="9830" spans="1:1" x14ac:dyDescent="0.25">
      <c r="A9830" s="74">
        <v>14622</v>
      </c>
    </row>
    <row r="9831" spans="1:1" x14ac:dyDescent="0.25">
      <c r="A9831" s="74">
        <v>14623</v>
      </c>
    </row>
    <row r="9832" spans="1:1" x14ac:dyDescent="0.25">
      <c r="A9832" s="74">
        <v>14624</v>
      </c>
    </row>
    <row r="9833" spans="1:1" x14ac:dyDescent="0.25">
      <c r="A9833" s="74">
        <v>14625</v>
      </c>
    </row>
    <row r="9834" spans="1:1" x14ac:dyDescent="0.25">
      <c r="A9834" s="74">
        <v>14626</v>
      </c>
    </row>
    <row r="9835" spans="1:1" x14ac:dyDescent="0.25">
      <c r="A9835" s="74">
        <v>14627</v>
      </c>
    </row>
    <row r="9836" spans="1:1" x14ac:dyDescent="0.25">
      <c r="A9836" s="74">
        <v>14628</v>
      </c>
    </row>
    <row r="9837" spans="1:1" x14ac:dyDescent="0.25">
      <c r="A9837" s="74">
        <v>14629</v>
      </c>
    </row>
    <row r="9838" spans="1:1" x14ac:dyDescent="0.25">
      <c r="A9838" s="74">
        <v>14630</v>
      </c>
    </row>
    <row r="9839" spans="1:1" x14ac:dyDescent="0.25">
      <c r="A9839" s="74">
        <v>14631</v>
      </c>
    </row>
    <row r="9840" spans="1:1" x14ac:dyDescent="0.25">
      <c r="A9840" s="74">
        <v>14632</v>
      </c>
    </row>
    <row r="9841" spans="1:1" x14ac:dyDescent="0.25">
      <c r="A9841" s="74">
        <v>14633</v>
      </c>
    </row>
    <row r="9842" spans="1:1" x14ac:dyDescent="0.25">
      <c r="A9842" s="74">
        <v>14634</v>
      </c>
    </row>
    <row r="9843" spans="1:1" x14ac:dyDescent="0.25">
      <c r="A9843" s="74">
        <v>14635</v>
      </c>
    </row>
    <row r="9844" spans="1:1" x14ac:dyDescent="0.25">
      <c r="A9844" s="74">
        <v>14636</v>
      </c>
    </row>
    <row r="9845" spans="1:1" x14ac:dyDescent="0.25">
      <c r="A9845" s="74">
        <v>14637</v>
      </c>
    </row>
    <row r="9846" spans="1:1" x14ac:dyDescent="0.25">
      <c r="A9846" s="74">
        <v>14638</v>
      </c>
    </row>
    <row r="9847" spans="1:1" x14ac:dyDescent="0.25">
      <c r="A9847" s="74">
        <v>14639</v>
      </c>
    </row>
    <row r="9848" spans="1:1" x14ac:dyDescent="0.25">
      <c r="A9848" s="74">
        <v>14640</v>
      </c>
    </row>
    <row r="9849" spans="1:1" x14ac:dyDescent="0.25">
      <c r="A9849" s="74">
        <v>14641</v>
      </c>
    </row>
    <row r="9850" spans="1:1" x14ac:dyDescent="0.25">
      <c r="A9850" s="74">
        <v>14642</v>
      </c>
    </row>
    <row r="9851" spans="1:1" x14ac:dyDescent="0.25">
      <c r="A9851" s="74">
        <v>14643</v>
      </c>
    </row>
    <row r="9852" spans="1:1" x14ac:dyDescent="0.25">
      <c r="A9852" s="74">
        <v>14644</v>
      </c>
    </row>
    <row r="9853" spans="1:1" x14ac:dyDescent="0.25">
      <c r="A9853" s="74">
        <v>14645</v>
      </c>
    </row>
    <row r="9854" spans="1:1" x14ac:dyDescent="0.25">
      <c r="A9854" s="74">
        <v>14646</v>
      </c>
    </row>
    <row r="9855" spans="1:1" x14ac:dyDescent="0.25">
      <c r="A9855" s="74">
        <v>14647</v>
      </c>
    </row>
    <row r="9856" spans="1:1" x14ac:dyDescent="0.25">
      <c r="A9856" s="74">
        <v>14648</v>
      </c>
    </row>
    <row r="9857" spans="1:1" x14ac:dyDescent="0.25">
      <c r="A9857" s="74">
        <v>14649</v>
      </c>
    </row>
    <row r="9858" spans="1:1" x14ac:dyDescent="0.25">
      <c r="A9858" s="74">
        <v>14650</v>
      </c>
    </row>
    <row r="9859" spans="1:1" x14ac:dyDescent="0.25">
      <c r="A9859" s="74">
        <v>14651</v>
      </c>
    </row>
    <row r="9860" spans="1:1" x14ac:dyDescent="0.25">
      <c r="A9860" s="74">
        <v>14652</v>
      </c>
    </row>
    <row r="9861" spans="1:1" x14ac:dyDescent="0.25">
      <c r="A9861" s="74">
        <v>14653</v>
      </c>
    </row>
    <row r="9862" spans="1:1" x14ac:dyDescent="0.25">
      <c r="A9862" s="74">
        <v>14654</v>
      </c>
    </row>
    <row r="9863" spans="1:1" x14ac:dyDescent="0.25">
      <c r="A9863" s="74">
        <v>14655</v>
      </c>
    </row>
    <row r="9864" spans="1:1" x14ac:dyDescent="0.25">
      <c r="A9864" s="74">
        <v>14656</v>
      </c>
    </row>
    <row r="9865" spans="1:1" x14ac:dyDescent="0.25">
      <c r="A9865" s="74">
        <v>14657</v>
      </c>
    </row>
    <row r="9866" spans="1:1" x14ac:dyDescent="0.25">
      <c r="A9866" s="74">
        <v>14658</v>
      </c>
    </row>
    <row r="9867" spans="1:1" x14ac:dyDescent="0.25">
      <c r="A9867" s="74">
        <v>14659</v>
      </c>
    </row>
    <row r="9868" spans="1:1" x14ac:dyDescent="0.25">
      <c r="A9868" s="74">
        <v>14660</v>
      </c>
    </row>
    <row r="9869" spans="1:1" x14ac:dyDescent="0.25">
      <c r="A9869" s="74">
        <v>14661</v>
      </c>
    </row>
    <row r="9870" spans="1:1" x14ac:dyDescent="0.25">
      <c r="A9870" s="74">
        <v>14662</v>
      </c>
    </row>
    <row r="9871" spans="1:1" x14ac:dyDescent="0.25">
      <c r="A9871" s="74">
        <v>14663</v>
      </c>
    </row>
    <row r="9872" spans="1:1" x14ac:dyDescent="0.25">
      <c r="A9872" s="74">
        <v>14664</v>
      </c>
    </row>
    <row r="9873" spans="1:1" x14ac:dyDescent="0.25">
      <c r="A9873" s="74">
        <v>14665</v>
      </c>
    </row>
    <row r="9874" spans="1:1" x14ac:dyDescent="0.25">
      <c r="A9874" s="74">
        <v>14666</v>
      </c>
    </row>
    <row r="9875" spans="1:1" x14ac:dyDescent="0.25">
      <c r="A9875" s="74">
        <v>14667</v>
      </c>
    </row>
    <row r="9876" spans="1:1" x14ac:dyDescent="0.25">
      <c r="A9876" s="74">
        <v>14668</v>
      </c>
    </row>
    <row r="9877" spans="1:1" x14ac:dyDescent="0.25">
      <c r="A9877" s="74">
        <v>14669</v>
      </c>
    </row>
    <row r="9878" spans="1:1" x14ac:dyDescent="0.25">
      <c r="A9878" s="74">
        <v>14670</v>
      </c>
    </row>
    <row r="9879" spans="1:1" x14ac:dyDescent="0.25">
      <c r="A9879" s="74">
        <v>14671</v>
      </c>
    </row>
    <row r="9880" spans="1:1" x14ac:dyDescent="0.25">
      <c r="A9880" s="74">
        <v>14672</v>
      </c>
    </row>
    <row r="9881" spans="1:1" x14ac:dyDescent="0.25">
      <c r="A9881" s="74">
        <v>14673</v>
      </c>
    </row>
    <row r="9882" spans="1:1" x14ac:dyDescent="0.25">
      <c r="A9882" s="74">
        <v>14674</v>
      </c>
    </row>
    <row r="9883" spans="1:1" x14ac:dyDescent="0.25">
      <c r="A9883" s="74">
        <v>14675</v>
      </c>
    </row>
    <row r="9884" spans="1:1" x14ac:dyDescent="0.25">
      <c r="A9884" s="74">
        <v>14676</v>
      </c>
    </row>
    <row r="9885" spans="1:1" x14ac:dyDescent="0.25">
      <c r="A9885" s="74">
        <v>14677</v>
      </c>
    </row>
    <row r="9886" spans="1:1" x14ac:dyDescent="0.25">
      <c r="A9886" s="74">
        <v>14678</v>
      </c>
    </row>
    <row r="9887" spans="1:1" x14ac:dyDescent="0.25">
      <c r="A9887" s="74">
        <v>14679</v>
      </c>
    </row>
    <row r="9888" spans="1:1" x14ac:dyDescent="0.25">
      <c r="A9888" s="74">
        <v>14680</v>
      </c>
    </row>
    <row r="9889" spans="1:1" x14ac:dyDescent="0.25">
      <c r="A9889" s="74">
        <v>14681</v>
      </c>
    </row>
    <row r="9890" spans="1:1" x14ac:dyDescent="0.25">
      <c r="A9890" s="74">
        <v>14682</v>
      </c>
    </row>
    <row r="9891" spans="1:1" x14ac:dyDescent="0.25">
      <c r="A9891" s="74">
        <v>14683</v>
      </c>
    </row>
    <row r="9892" spans="1:1" x14ac:dyDescent="0.25">
      <c r="A9892" s="74">
        <v>14684</v>
      </c>
    </row>
    <row r="9893" spans="1:1" x14ac:dyDescent="0.25">
      <c r="A9893" s="74">
        <v>14685</v>
      </c>
    </row>
    <row r="9894" spans="1:1" x14ac:dyDescent="0.25">
      <c r="A9894" s="74">
        <v>14686</v>
      </c>
    </row>
    <row r="9895" spans="1:1" x14ac:dyDescent="0.25">
      <c r="A9895" s="74">
        <v>14687</v>
      </c>
    </row>
    <row r="9896" spans="1:1" x14ac:dyDescent="0.25">
      <c r="A9896" s="74">
        <v>14688</v>
      </c>
    </row>
    <row r="9897" spans="1:1" x14ac:dyDescent="0.25">
      <c r="A9897" s="74">
        <v>14689</v>
      </c>
    </row>
    <row r="9898" spans="1:1" x14ac:dyDescent="0.25">
      <c r="A9898" s="74">
        <v>14690</v>
      </c>
    </row>
    <row r="9899" spans="1:1" x14ac:dyDescent="0.25">
      <c r="A9899" s="74">
        <v>14691</v>
      </c>
    </row>
    <row r="9900" spans="1:1" x14ac:dyDescent="0.25">
      <c r="A9900" s="74">
        <v>14692</v>
      </c>
    </row>
    <row r="9901" spans="1:1" x14ac:dyDescent="0.25">
      <c r="A9901" s="74">
        <v>14693</v>
      </c>
    </row>
    <row r="9902" spans="1:1" x14ac:dyDescent="0.25">
      <c r="A9902" s="74">
        <v>14694</v>
      </c>
    </row>
    <row r="9903" spans="1:1" x14ac:dyDescent="0.25">
      <c r="A9903" s="74">
        <v>14695</v>
      </c>
    </row>
    <row r="9904" spans="1:1" x14ac:dyDescent="0.25">
      <c r="A9904" s="74">
        <v>14696</v>
      </c>
    </row>
    <row r="9905" spans="1:1" x14ac:dyDescent="0.25">
      <c r="A9905" s="74">
        <v>14697</v>
      </c>
    </row>
    <row r="9906" spans="1:1" x14ac:dyDescent="0.25">
      <c r="A9906" s="74">
        <v>14698</v>
      </c>
    </row>
    <row r="9907" spans="1:1" x14ac:dyDescent="0.25">
      <c r="A9907" s="74">
        <v>14699</v>
      </c>
    </row>
    <row r="9908" spans="1:1" x14ac:dyDescent="0.25">
      <c r="A9908" s="74">
        <v>14700</v>
      </c>
    </row>
    <row r="9909" spans="1:1" x14ac:dyDescent="0.25">
      <c r="A9909" s="74">
        <v>14701</v>
      </c>
    </row>
    <row r="9910" spans="1:1" x14ac:dyDescent="0.25">
      <c r="A9910" s="74">
        <v>14702</v>
      </c>
    </row>
    <row r="9911" spans="1:1" x14ac:dyDescent="0.25">
      <c r="A9911" s="74">
        <v>14703</v>
      </c>
    </row>
    <row r="9912" spans="1:1" x14ac:dyDescent="0.25">
      <c r="A9912" s="74">
        <v>14704</v>
      </c>
    </row>
    <row r="9913" spans="1:1" x14ac:dyDescent="0.25">
      <c r="A9913" s="74">
        <v>14705</v>
      </c>
    </row>
    <row r="9914" spans="1:1" x14ac:dyDescent="0.25">
      <c r="A9914" s="74">
        <v>14706</v>
      </c>
    </row>
    <row r="9915" spans="1:1" x14ac:dyDescent="0.25">
      <c r="A9915" s="74">
        <v>14707</v>
      </c>
    </row>
    <row r="9916" spans="1:1" x14ac:dyDescent="0.25">
      <c r="A9916" s="74">
        <v>14708</v>
      </c>
    </row>
    <row r="9917" spans="1:1" x14ac:dyDescent="0.25">
      <c r="A9917" s="74">
        <v>14709</v>
      </c>
    </row>
    <row r="9918" spans="1:1" x14ac:dyDescent="0.25">
      <c r="A9918" s="74">
        <v>14710</v>
      </c>
    </row>
    <row r="9919" spans="1:1" x14ac:dyDescent="0.25">
      <c r="A9919" s="74">
        <v>14711</v>
      </c>
    </row>
    <row r="9920" spans="1:1" x14ac:dyDescent="0.25">
      <c r="A9920" s="74">
        <v>14712</v>
      </c>
    </row>
    <row r="9921" spans="1:1" x14ac:dyDescent="0.25">
      <c r="A9921" s="74">
        <v>14713</v>
      </c>
    </row>
    <row r="9922" spans="1:1" x14ac:dyDescent="0.25">
      <c r="A9922" s="74">
        <v>14714</v>
      </c>
    </row>
    <row r="9923" spans="1:1" x14ac:dyDescent="0.25">
      <c r="A9923" s="74">
        <v>14715</v>
      </c>
    </row>
    <row r="9924" spans="1:1" x14ac:dyDescent="0.25">
      <c r="A9924" s="74">
        <v>14716</v>
      </c>
    </row>
    <row r="9925" spans="1:1" x14ac:dyDescent="0.25">
      <c r="A9925" s="74">
        <v>14717</v>
      </c>
    </row>
    <row r="9926" spans="1:1" x14ac:dyDescent="0.25">
      <c r="A9926" s="74">
        <v>14718</v>
      </c>
    </row>
    <row r="9927" spans="1:1" x14ac:dyDescent="0.25">
      <c r="A9927" s="74">
        <v>14719</v>
      </c>
    </row>
    <row r="9928" spans="1:1" x14ac:dyDescent="0.25">
      <c r="A9928" s="74">
        <v>14720</v>
      </c>
    </row>
    <row r="9929" spans="1:1" x14ac:dyDescent="0.25">
      <c r="A9929" s="74">
        <v>14721</v>
      </c>
    </row>
    <row r="9930" spans="1:1" x14ac:dyDescent="0.25">
      <c r="A9930" s="74">
        <v>14722</v>
      </c>
    </row>
    <row r="9931" spans="1:1" x14ac:dyDescent="0.25">
      <c r="A9931" s="74">
        <v>14723</v>
      </c>
    </row>
    <row r="9932" spans="1:1" x14ac:dyDescent="0.25">
      <c r="A9932" s="74">
        <v>14724</v>
      </c>
    </row>
    <row r="9933" spans="1:1" x14ac:dyDescent="0.25">
      <c r="A9933" s="74">
        <v>14725</v>
      </c>
    </row>
    <row r="9934" spans="1:1" x14ac:dyDescent="0.25">
      <c r="A9934" s="74">
        <v>14726</v>
      </c>
    </row>
    <row r="9935" spans="1:1" x14ac:dyDescent="0.25">
      <c r="A9935" s="74">
        <v>14727</v>
      </c>
    </row>
    <row r="9936" spans="1:1" x14ac:dyDescent="0.25">
      <c r="A9936" s="74">
        <v>14728</v>
      </c>
    </row>
    <row r="9937" spans="1:1" x14ac:dyDescent="0.25">
      <c r="A9937" s="74">
        <v>14729</v>
      </c>
    </row>
    <row r="9938" spans="1:1" x14ac:dyDescent="0.25">
      <c r="A9938" s="74">
        <v>14730</v>
      </c>
    </row>
    <row r="9939" spans="1:1" x14ac:dyDescent="0.25">
      <c r="A9939" s="74">
        <v>14731</v>
      </c>
    </row>
    <row r="9940" spans="1:1" x14ac:dyDescent="0.25">
      <c r="A9940" s="74">
        <v>14732</v>
      </c>
    </row>
    <row r="9941" spans="1:1" x14ac:dyDescent="0.25">
      <c r="A9941" s="74">
        <v>14733</v>
      </c>
    </row>
    <row r="9942" spans="1:1" x14ac:dyDescent="0.25">
      <c r="A9942" s="74">
        <v>14734</v>
      </c>
    </row>
    <row r="9943" spans="1:1" x14ac:dyDescent="0.25">
      <c r="A9943" s="74">
        <v>14735</v>
      </c>
    </row>
    <row r="9944" spans="1:1" x14ac:dyDescent="0.25">
      <c r="A9944" s="74">
        <v>14736</v>
      </c>
    </row>
    <row r="9945" spans="1:1" x14ac:dyDescent="0.25">
      <c r="A9945" s="74">
        <v>14737</v>
      </c>
    </row>
    <row r="9946" spans="1:1" x14ac:dyDescent="0.25">
      <c r="A9946" s="74">
        <v>14738</v>
      </c>
    </row>
    <row r="9947" spans="1:1" x14ac:dyDescent="0.25">
      <c r="A9947" s="74">
        <v>14739</v>
      </c>
    </row>
    <row r="9948" spans="1:1" x14ac:dyDescent="0.25">
      <c r="A9948" s="74">
        <v>14740</v>
      </c>
    </row>
    <row r="9949" spans="1:1" x14ac:dyDescent="0.25">
      <c r="A9949" s="74">
        <v>14741</v>
      </c>
    </row>
    <row r="9950" spans="1:1" x14ac:dyDescent="0.25">
      <c r="A9950" s="74">
        <v>14742</v>
      </c>
    </row>
    <row r="9951" spans="1:1" x14ac:dyDescent="0.25">
      <c r="A9951" s="74">
        <v>14743</v>
      </c>
    </row>
    <row r="9952" spans="1:1" x14ac:dyDescent="0.25">
      <c r="A9952" s="74">
        <v>14744</v>
      </c>
    </row>
    <row r="9953" spans="1:1" x14ac:dyDescent="0.25">
      <c r="A9953" s="74">
        <v>14745</v>
      </c>
    </row>
    <row r="9954" spans="1:1" x14ac:dyDescent="0.25">
      <c r="A9954" s="74">
        <v>14746</v>
      </c>
    </row>
    <row r="9955" spans="1:1" x14ac:dyDescent="0.25">
      <c r="A9955" s="74">
        <v>14747</v>
      </c>
    </row>
    <row r="9956" spans="1:1" x14ac:dyDescent="0.25">
      <c r="A9956" s="74">
        <v>14748</v>
      </c>
    </row>
    <row r="9957" spans="1:1" x14ac:dyDescent="0.25">
      <c r="A9957" s="74">
        <v>14749</v>
      </c>
    </row>
    <row r="9958" spans="1:1" x14ac:dyDescent="0.25">
      <c r="A9958" s="74">
        <v>14750</v>
      </c>
    </row>
    <row r="9959" spans="1:1" x14ac:dyDescent="0.25">
      <c r="A9959" s="74">
        <v>14751</v>
      </c>
    </row>
    <row r="9960" spans="1:1" x14ac:dyDescent="0.25">
      <c r="A9960" s="74">
        <v>14752</v>
      </c>
    </row>
    <row r="9961" spans="1:1" x14ac:dyDescent="0.25">
      <c r="A9961" s="74">
        <v>14753</v>
      </c>
    </row>
    <row r="9962" spans="1:1" x14ac:dyDescent="0.25">
      <c r="A9962" s="74">
        <v>14754</v>
      </c>
    </row>
    <row r="9963" spans="1:1" x14ac:dyDescent="0.25">
      <c r="A9963" s="74">
        <v>14755</v>
      </c>
    </row>
    <row r="9964" spans="1:1" x14ac:dyDescent="0.25">
      <c r="A9964" s="74">
        <v>14756</v>
      </c>
    </row>
    <row r="9965" spans="1:1" x14ac:dyDescent="0.25">
      <c r="A9965" s="74">
        <v>14757</v>
      </c>
    </row>
    <row r="9966" spans="1:1" x14ac:dyDescent="0.25">
      <c r="A9966" s="74">
        <v>14758</v>
      </c>
    </row>
    <row r="9967" spans="1:1" x14ac:dyDescent="0.25">
      <c r="A9967" s="74">
        <v>14759</v>
      </c>
    </row>
    <row r="9968" spans="1:1" x14ac:dyDescent="0.25">
      <c r="A9968" s="74">
        <v>14760</v>
      </c>
    </row>
    <row r="9969" spans="1:1" x14ac:dyDescent="0.25">
      <c r="A9969" s="74">
        <v>14761</v>
      </c>
    </row>
    <row r="9970" spans="1:1" x14ac:dyDescent="0.25">
      <c r="A9970" s="74">
        <v>14762</v>
      </c>
    </row>
    <row r="9971" spans="1:1" x14ac:dyDescent="0.25">
      <c r="A9971" s="74">
        <v>14763</v>
      </c>
    </row>
    <row r="9972" spans="1:1" x14ac:dyDescent="0.25">
      <c r="A9972" s="74">
        <v>14764</v>
      </c>
    </row>
    <row r="9973" spans="1:1" x14ac:dyDescent="0.25">
      <c r="A9973" s="74">
        <v>14765</v>
      </c>
    </row>
    <row r="9974" spans="1:1" x14ac:dyDescent="0.25">
      <c r="A9974" s="74">
        <v>14766</v>
      </c>
    </row>
    <row r="9975" spans="1:1" x14ac:dyDescent="0.25">
      <c r="A9975" s="74">
        <v>14767</v>
      </c>
    </row>
    <row r="9976" spans="1:1" x14ac:dyDescent="0.25">
      <c r="A9976" s="74">
        <v>14768</v>
      </c>
    </row>
    <row r="9977" spans="1:1" x14ac:dyDescent="0.25">
      <c r="A9977" s="74">
        <v>14769</v>
      </c>
    </row>
    <row r="9978" spans="1:1" x14ac:dyDescent="0.25">
      <c r="A9978" s="74">
        <v>14770</v>
      </c>
    </row>
    <row r="9979" spans="1:1" x14ac:dyDescent="0.25">
      <c r="A9979" s="74">
        <v>14771</v>
      </c>
    </row>
    <row r="9980" spans="1:1" x14ac:dyDescent="0.25">
      <c r="A9980" s="74">
        <v>14772</v>
      </c>
    </row>
    <row r="9981" spans="1:1" x14ac:dyDescent="0.25">
      <c r="A9981" s="74">
        <v>14773</v>
      </c>
    </row>
    <row r="9982" spans="1:1" x14ac:dyDescent="0.25">
      <c r="A9982" s="74">
        <v>14774</v>
      </c>
    </row>
    <row r="9983" spans="1:1" x14ac:dyDescent="0.25">
      <c r="A9983" s="74">
        <v>14775</v>
      </c>
    </row>
    <row r="9984" spans="1:1" x14ac:dyDescent="0.25">
      <c r="A9984" s="74">
        <v>14776</v>
      </c>
    </row>
    <row r="9985" spans="1:1" x14ac:dyDescent="0.25">
      <c r="A9985" s="74">
        <v>14777</v>
      </c>
    </row>
    <row r="9986" spans="1:1" x14ac:dyDescent="0.25">
      <c r="A9986" s="74">
        <v>14778</v>
      </c>
    </row>
    <row r="9987" spans="1:1" x14ac:dyDescent="0.25">
      <c r="A9987" s="74">
        <v>14779</v>
      </c>
    </row>
    <row r="9988" spans="1:1" x14ac:dyDescent="0.25">
      <c r="A9988" s="74">
        <v>14780</v>
      </c>
    </row>
    <row r="9989" spans="1:1" x14ac:dyDescent="0.25">
      <c r="A9989" s="74">
        <v>14781</v>
      </c>
    </row>
    <row r="9990" spans="1:1" x14ac:dyDescent="0.25">
      <c r="A9990" s="74">
        <v>14782</v>
      </c>
    </row>
    <row r="9991" spans="1:1" x14ac:dyDescent="0.25">
      <c r="A9991" s="74">
        <v>14783</v>
      </c>
    </row>
    <row r="9992" spans="1:1" x14ac:dyDescent="0.25">
      <c r="A9992" s="74">
        <v>14784</v>
      </c>
    </row>
    <row r="9993" spans="1:1" x14ac:dyDescent="0.25">
      <c r="A9993" s="74">
        <v>14785</v>
      </c>
    </row>
    <row r="9994" spans="1:1" x14ac:dyDescent="0.25">
      <c r="A9994" s="74">
        <v>14786</v>
      </c>
    </row>
    <row r="9995" spans="1:1" x14ac:dyDescent="0.25">
      <c r="A9995" s="74">
        <v>14787</v>
      </c>
    </row>
    <row r="9996" spans="1:1" x14ac:dyDescent="0.25">
      <c r="A9996" s="74">
        <v>14788</v>
      </c>
    </row>
    <row r="9997" spans="1:1" x14ac:dyDescent="0.25">
      <c r="A9997" s="74">
        <v>14789</v>
      </c>
    </row>
    <row r="9998" spans="1:1" x14ac:dyDescent="0.25">
      <c r="A9998" s="74">
        <v>14790</v>
      </c>
    </row>
    <row r="9999" spans="1:1" x14ac:dyDescent="0.25">
      <c r="A9999" s="74">
        <v>14791</v>
      </c>
    </row>
    <row r="10000" spans="1:1" x14ac:dyDescent="0.25">
      <c r="A10000" s="74">
        <v>14792</v>
      </c>
    </row>
    <row r="10001" spans="1:1" x14ac:dyDescent="0.25">
      <c r="A10001" s="74">
        <v>14793</v>
      </c>
    </row>
    <row r="10002" spans="1:1" x14ac:dyDescent="0.25">
      <c r="A10002" s="74">
        <v>14794</v>
      </c>
    </row>
    <row r="10003" spans="1:1" x14ac:dyDescent="0.25">
      <c r="A10003" s="74">
        <v>14795</v>
      </c>
    </row>
    <row r="10004" spans="1:1" x14ac:dyDescent="0.25">
      <c r="A10004" s="74">
        <v>14796</v>
      </c>
    </row>
    <row r="10005" spans="1:1" x14ac:dyDescent="0.25">
      <c r="A10005" s="74">
        <v>14797</v>
      </c>
    </row>
    <row r="10006" spans="1:1" x14ac:dyDescent="0.25">
      <c r="A10006" s="74">
        <v>14798</v>
      </c>
    </row>
    <row r="10007" spans="1:1" x14ac:dyDescent="0.25">
      <c r="A10007" s="74">
        <v>14799</v>
      </c>
    </row>
    <row r="10008" spans="1:1" x14ac:dyDescent="0.25">
      <c r="A10008" s="74">
        <v>14800</v>
      </c>
    </row>
    <row r="10009" spans="1:1" x14ac:dyDescent="0.25">
      <c r="A10009" s="74">
        <v>14801</v>
      </c>
    </row>
    <row r="10010" spans="1:1" x14ac:dyDescent="0.25">
      <c r="A10010" s="74">
        <v>14802</v>
      </c>
    </row>
    <row r="10011" spans="1:1" x14ac:dyDescent="0.25">
      <c r="A10011" s="74">
        <v>14803</v>
      </c>
    </row>
    <row r="10012" spans="1:1" x14ac:dyDescent="0.25">
      <c r="A10012" s="74">
        <v>14804</v>
      </c>
    </row>
    <row r="10013" spans="1:1" x14ac:dyDescent="0.25">
      <c r="A10013" s="74">
        <v>14805</v>
      </c>
    </row>
    <row r="10014" spans="1:1" x14ac:dyDescent="0.25">
      <c r="A10014" s="74">
        <v>14806</v>
      </c>
    </row>
    <row r="10015" spans="1:1" x14ac:dyDescent="0.25">
      <c r="A10015" s="74">
        <v>14807</v>
      </c>
    </row>
    <row r="10016" spans="1:1" x14ac:dyDescent="0.25">
      <c r="A10016" s="74">
        <v>14808</v>
      </c>
    </row>
    <row r="10017" spans="1:1" x14ac:dyDescent="0.25">
      <c r="A10017" s="74">
        <v>14809</v>
      </c>
    </row>
    <row r="10018" spans="1:1" x14ac:dyDescent="0.25">
      <c r="A10018" s="74">
        <v>14810</v>
      </c>
    </row>
    <row r="10019" spans="1:1" x14ac:dyDescent="0.25">
      <c r="A10019" s="74">
        <v>14811</v>
      </c>
    </row>
    <row r="10020" spans="1:1" x14ac:dyDescent="0.25">
      <c r="A10020" s="74">
        <v>14812</v>
      </c>
    </row>
    <row r="10021" spans="1:1" x14ac:dyDescent="0.25">
      <c r="A10021" s="74">
        <v>14813</v>
      </c>
    </row>
    <row r="10022" spans="1:1" x14ac:dyDescent="0.25">
      <c r="A10022" s="74">
        <v>14814</v>
      </c>
    </row>
    <row r="10023" spans="1:1" x14ac:dyDescent="0.25">
      <c r="A10023" s="74">
        <v>14815</v>
      </c>
    </row>
    <row r="10024" spans="1:1" x14ac:dyDescent="0.25">
      <c r="A10024" s="74">
        <v>14816</v>
      </c>
    </row>
    <row r="10025" spans="1:1" x14ac:dyDescent="0.25">
      <c r="A10025" s="74">
        <v>14817</v>
      </c>
    </row>
    <row r="10026" spans="1:1" x14ac:dyDescent="0.25">
      <c r="A10026" s="74">
        <v>14818</v>
      </c>
    </row>
    <row r="10027" spans="1:1" x14ac:dyDescent="0.25">
      <c r="A10027" s="74">
        <v>14819</v>
      </c>
    </row>
    <row r="10028" spans="1:1" x14ac:dyDescent="0.25">
      <c r="A10028" s="74">
        <v>14820</v>
      </c>
    </row>
    <row r="10029" spans="1:1" x14ac:dyDescent="0.25">
      <c r="A10029" s="74">
        <v>14821</v>
      </c>
    </row>
    <row r="10030" spans="1:1" x14ac:dyDescent="0.25">
      <c r="A10030" s="74">
        <v>14822</v>
      </c>
    </row>
    <row r="10031" spans="1:1" x14ac:dyDescent="0.25">
      <c r="A10031" s="74">
        <v>14823</v>
      </c>
    </row>
    <row r="10032" spans="1:1" x14ac:dyDescent="0.25">
      <c r="A10032" s="74">
        <v>14824</v>
      </c>
    </row>
    <row r="10033" spans="1:1" x14ac:dyDescent="0.25">
      <c r="A10033" s="74">
        <v>14825</v>
      </c>
    </row>
    <row r="10034" spans="1:1" x14ac:dyDescent="0.25">
      <c r="A10034" s="74">
        <v>14826</v>
      </c>
    </row>
    <row r="10035" spans="1:1" x14ac:dyDescent="0.25">
      <c r="A10035" s="74">
        <v>14827</v>
      </c>
    </row>
    <row r="10036" spans="1:1" x14ac:dyDescent="0.25">
      <c r="A10036" s="74">
        <v>14828</v>
      </c>
    </row>
    <row r="10037" spans="1:1" x14ac:dyDescent="0.25">
      <c r="A10037" s="74">
        <v>14829</v>
      </c>
    </row>
    <row r="10038" spans="1:1" x14ac:dyDescent="0.25">
      <c r="A10038" s="74">
        <v>14830</v>
      </c>
    </row>
    <row r="10039" spans="1:1" x14ac:dyDescent="0.25">
      <c r="A10039" s="74">
        <v>14831</v>
      </c>
    </row>
    <row r="10040" spans="1:1" x14ac:dyDescent="0.25">
      <c r="A10040" s="74">
        <v>14832</v>
      </c>
    </row>
    <row r="10041" spans="1:1" x14ac:dyDescent="0.25">
      <c r="A10041" s="74">
        <v>14833</v>
      </c>
    </row>
    <row r="10042" spans="1:1" x14ac:dyDescent="0.25">
      <c r="A10042" s="74">
        <v>14834</v>
      </c>
    </row>
    <row r="10043" spans="1:1" x14ac:dyDescent="0.25">
      <c r="A10043" s="74">
        <v>14835</v>
      </c>
    </row>
    <row r="10044" spans="1:1" x14ac:dyDescent="0.25">
      <c r="A10044" s="74">
        <v>14836</v>
      </c>
    </row>
    <row r="10045" spans="1:1" x14ac:dyDescent="0.25">
      <c r="A10045" s="74">
        <v>14837</v>
      </c>
    </row>
    <row r="10046" spans="1:1" x14ac:dyDescent="0.25">
      <c r="A10046" s="74">
        <v>14838</v>
      </c>
    </row>
    <row r="10047" spans="1:1" x14ac:dyDescent="0.25">
      <c r="A10047" s="74">
        <v>14839</v>
      </c>
    </row>
    <row r="10048" spans="1:1" x14ac:dyDescent="0.25">
      <c r="A10048" s="74">
        <v>14840</v>
      </c>
    </row>
    <row r="10049" spans="1:1" x14ac:dyDescent="0.25">
      <c r="A10049" s="74">
        <v>14841</v>
      </c>
    </row>
    <row r="10050" spans="1:1" x14ac:dyDescent="0.25">
      <c r="A10050" s="74">
        <v>14842</v>
      </c>
    </row>
    <row r="10051" spans="1:1" x14ac:dyDescent="0.25">
      <c r="A10051" s="74">
        <v>14843</v>
      </c>
    </row>
    <row r="10052" spans="1:1" x14ac:dyDescent="0.25">
      <c r="A10052" s="74">
        <v>14844</v>
      </c>
    </row>
    <row r="10053" spans="1:1" x14ac:dyDescent="0.25">
      <c r="A10053" s="74">
        <v>14845</v>
      </c>
    </row>
    <row r="10054" spans="1:1" x14ac:dyDescent="0.25">
      <c r="A10054" s="74">
        <v>14846</v>
      </c>
    </row>
    <row r="10055" spans="1:1" x14ac:dyDescent="0.25">
      <c r="A10055" s="74">
        <v>14847</v>
      </c>
    </row>
    <row r="10056" spans="1:1" x14ac:dyDescent="0.25">
      <c r="A10056" s="74">
        <v>14848</v>
      </c>
    </row>
    <row r="10057" spans="1:1" x14ac:dyDescent="0.25">
      <c r="A10057" s="74">
        <v>14849</v>
      </c>
    </row>
    <row r="10058" spans="1:1" x14ac:dyDescent="0.25">
      <c r="A10058" s="74">
        <v>14850</v>
      </c>
    </row>
    <row r="10059" spans="1:1" x14ac:dyDescent="0.25">
      <c r="A10059" s="74">
        <v>14851</v>
      </c>
    </row>
    <row r="10060" spans="1:1" x14ac:dyDescent="0.25">
      <c r="A10060" s="74">
        <v>14852</v>
      </c>
    </row>
    <row r="10061" spans="1:1" x14ac:dyDescent="0.25">
      <c r="A10061" s="74">
        <v>14853</v>
      </c>
    </row>
    <row r="10062" spans="1:1" x14ac:dyDescent="0.25">
      <c r="A10062" s="74">
        <v>14854</v>
      </c>
    </row>
    <row r="10063" spans="1:1" x14ac:dyDescent="0.25">
      <c r="A10063" s="74">
        <v>14855</v>
      </c>
    </row>
    <row r="10064" spans="1:1" x14ac:dyDescent="0.25">
      <c r="A10064" s="74">
        <v>14856</v>
      </c>
    </row>
    <row r="10065" spans="1:1" x14ac:dyDescent="0.25">
      <c r="A10065" s="74">
        <v>14857</v>
      </c>
    </row>
    <row r="10066" spans="1:1" x14ac:dyDescent="0.25">
      <c r="A10066" s="74">
        <v>14858</v>
      </c>
    </row>
    <row r="10067" spans="1:1" x14ac:dyDescent="0.25">
      <c r="A10067" s="74">
        <v>14859</v>
      </c>
    </row>
    <row r="10068" spans="1:1" x14ac:dyDescent="0.25">
      <c r="A10068" s="74">
        <v>14860</v>
      </c>
    </row>
    <row r="10069" spans="1:1" x14ac:dyDescent="0.25">
      <c r="A10069" s="74">
        <v>14861</v>
      </c>
    </row>
    <row r="10070" spans="1:1" x14ac:dyDescent="0.25">
      <c r="A10070" s="74">
        <v>14862</v>
      </c>
    </row>
    <row r="10071" spans="1:1" x14ac:dyDescent="0.25">
      <c r="A10071" s="74">
        <v>14863</v>
      </c>
    </row>
    <row r="10072" spans="1:1" x14ac:dyDescent="0.25">
      <c r="A10072" s="74">
        <v>14864</v>
      </c>
    </row>
    <row r="10073" spans="1:1" x14ac:dyDescent="0.25">
      <c r="A10073" s="74">
        <v>14865</v>
      </c>
    </row>
    <row r="10074" spans="1:1" x14ac:dyDescent="0.25">
      <c r="A10074" s="74">
        <v>14866</v>
      </c>
    </row>
    <row r="10075" spans="1:1" x14ac:dyDescent="0.25">
      <c r="A10075" s="74">
        <v>14867</v>
      </c>
    </row>
    <row r="10076" spans="1:1" x14ac:dyDescent="0.25">
      <c r="A10076" s="74">
        <v>14868</v>
      </c>
    </row>
    <row r="10077" spans="1:1" x14ac:dyDescent="0.25">
      <c r="A10077" s="74">
        <v>14869</v>
      </c>
    </row>
    <row r="10078" spans="1:1" x14ac:dyDescent="0.25">
      <c r="A10078" s="74">
        <v>14870</v>
      </c>
    </row>
    <row r="10079" spans="1:1" x14ac:dyDescent="0.25">
      <c r="A10079" s="74">
        <v>14871</v>
      </c>
    </row>
    <row r="10080" spans="1:1" x14ac:dyDescent="0.25">
      <c r="A10080" s="74">
        <v>14872</v>
      </c>
    </row>
    <row r="10081" spans="1:1" x14ac:dyDescent="0.25">
      <c r="A10081" s="74">
        <v>14873</v>
      </c>
    </row>
    <row r="10082" spans="1:1" x14ac:dyDescent="0.25">
      <c r="A10082" s="74">
        <v>14874</v>
      </c>
    </row>
    <row r="10083" spans="1:1" x14ac:dyDescent="0.25">
      <c r="A10083" s="74">
        <v>14875</v>
      </c>
    </row>
    <row r="10084" spans="1:1" x14ac:dyDescent="0.25">
      <c r="A10084" s="74">
        <v>14876</v>
      </c>
    </row>
    <row r="10085" spans="1:1" x14ac:dyDescent="0.25">
      <c r="A10085" s="74">
        <v>14877</v>
      </c>
    </row>
    <row r="10086" spans="1:1" x14ac:dyDescent="0.25">
      <c r="A10086" s="74">
        <v>14878</v>
      </c>
    </row>
    <row r="10087" spans="1:1" x14ac:dyDescent="0.25">
      <c r="A10087" s="74">
        <v>14879</v>
      </c>
    </row>
    <row r="10088" spans="1:1" x14ac:dyDescent="0.25">
      <c r="A10088" s="74">
        <v>14880</v>
      </c>
    </row>
    <row r="10089" spans="1:1" x14ac:dyDescent="0.25">
      <c r="A10089" s="74">
        <v>14881</v>
      </c>
    </row>
    <row r="10090" spans="1:1" x14ac:dyDescent="0.25">
      <c r="A10090" s="74">
        <v>14882</v>
      </c>
    </row>
    <row r="10091" spans="1:1" x14ac:dyDescent="0.25">
      <c r="A10091" s="74">
        <v>14883</v>
      </c>
    </row>
    <row r="10092" spans="1:1" x14ac:dyDescent="0.25">
      <c r="A10092" s="74">
        <v>14884</v>
      </c>
    </row>
    <row r="10093" spans="1:1" x14ac:dyDescent="0.25">
      <c r="A10093" s="74">
        <v>14885</v>
      </c>
    </row>
    <row r="10094" spans="1:1" x14ac:dyDescent="0.25">
      <c r="A10094" s="74">
        <v>14886</v>
      </c>
    </row>
    <row r="10095" spans="1:1" x14ac:dyDescent="0.25">
      <c r="A10095" s="74">
        <v>14887</v>
      </c>
    </row>
    <row r="10096" spans="1:1" x14ac:dyDescent="0.25">
      <c r="A10096" s="74">
        <v>14888</v>
      </c>
    </row>
    <row r="10097" spans="1:1" x14ac:dyDescent="0.25">
      <c r="A10097" s="74">
        <v>14889</v>
      </c>
    </row>
    <row r="10098" spans="1:1" x14ac:dyDescent="0.25">
      <c r="A10098" s="74">
        <v>14890</v>
      </c>
    </row>
    <row r="10099" spans="1:1" x14ac:dyDescent="0.25">
      <c r="A10099" s="74">
        <v>14891</v>
      </c>
    </row>
    <row r="10100" spans="1:1" x14ac:dyDescent="0.25">
      <c r="A10100" s="74">
        <v>14892</v>
      </c>
    </row>
    <row r="10101" spans="1:1" x14ac:dyDescent="0.25">
      <c r="A10101" s="74">
        <v>14893</v>
      </c>
    </row>
    <row r="10102" spans="1:1" x14ac:dyDescent="0.25">
      <c r="A10102" s="74">
        <v>14894</v>
      </c>
    </row>
    <row r="10103" spans="1:1" x14ac:dyDescent="0.25">
      <c r="A10103" s="74">
        <v>14895</v>
      </c>
    </row>
    <row r="10104" spans="1:1" x14ac:dyDescent="0.25">
      <c r="A10104" s="74">
        <v>14896</v>
      </c>
    </row>
    <row r="10105" spans="1:1" x14ac:dyDescent="0.25">
      <c r="A10105" s="74">
        <v>14897</v>
      </c>
    </row>
    <row r="10106" spans="1:1" x14ac:dyDescent="0.25">
      <c r="A10106" s="74">
        <v>14898</v>
      </c>
    </row>
    <row r="10107" spans="1:1" x14ac:dyDescent="0.25">
      <c r="A10107" s="74">
        <v>14899</v>
      </c>
    </row>
    <row r="10108" spans="1:1" x14ac:dyDescent="0.25">
      <c r="A10108" s="74">
        <v>14900</v>
      </c>
    </row>
    <row r="10109" spans="1:1" x14ac:dyDescent="0.25">
      <c r="A10109" s="74">
        <v>14901</v>
      </c>
    </row>
    <row r="10110" spans="1:1" x14ac:dyDescent="0.25">
      <c r="A10110" s="74">
        <v>14902</v>
      </c>
    </row>
    <row r="10111" spans="1:1" x14ac:dyDescent="0.25">
      <c r="A10111" s="74">
        <v>14903</v>
      </c>
    </row>
    <row r="10112" spans="1:1" x14ac:dyDescent="0.25">
      <c r="A10112" s="74">
        <v>14904</v>
      </c>
    </row>
    <row r="10113" spans="1:1" x14ac:dyDescent="0.25">
      <c r="A10113" s="74">
        <v>14905</v>
      </c>
    </row>
    <row r="10114" spans="1:1" x14ac:dyDescent="0.25">
      <c r="A10114" s="74">
        <v>14906</v>
      </c>
    </row>
    <row r="10115" spans="1:1" x14ac:dyDescent="0.25">
      <c r="A10115" s="74">
        <v>14907</v>
      </c>
    </row>
    <row r="10116" spans="1:1" x14ac:dyDescent="0.25">
      <c r="A10116" s="74">
        <v>14908</v>
      </c>
    </row>
    <row r="10117" spans="1:1" x14ac:dyDescent="0.25">
      <c r="A10117" s="74">
        <v>14909</v>
      </c>
    </row>
    <row r="10118" spans="1:1" x14ac:dyDescent="0.25">
      <c r="A10118" s="74">
        <v>14910</v>
      </c>
    </row>
    <row r="10119" spans="1:1" x14ac:dyDescent="0.25">
      <c r="A10119" s="74">
        <v>14911</v>
      </c>
    </row>
    <row r="10120" spans="1:1" x14ac:dyDescent="0.25">
      <c r="A10120" s="74">
        <v>14912</v>
      </c>
    </row>
    <row r="10121" spans="1:1" x14ac:dyDescent="0.25">
      <c r="A10121" s="74">
        <v>14913</v>
      </c>
    </row>
    <row r="10122" spans="1:1" x14ac:dyDescent="0.25">
      <c r="A10122" s="74">
        <v>14914</v>
      </c>
    </row>
    <row r="10123" spans="1:1" x14ac:dyDescent="0.25">
      <c r="A10123" s="74">
        <v>14915</v>
      </c>
    </row>
    <row r="10124" spans="1:1" x14ac:dyDescent="0.25">
      <c r="A10124" s="74">
        <v>14916</v>
      </c>
    </row>
    <row r="10125" spans="1:1" x14ac:dyDescent="0.25">
      <c r="A10125" s="74">
        <v>14917</v>
      </c>
    </row>
    <row r="10126" spans="1:1" x14ac:dyDescent="0.25">
      <c r="A10126" s="74">
        <v>14918</v>
      </c>
    </row>
    <row r="10127" spans="1:1" x14ac:dyDescent="0.25">
      <c r="A10127" s="74">
        <v>14919</v>
      </c>
    </row>
    <row r="10128" spans="1:1" x14ac:dyDescent="0.25">
      <c r="A10128" s="74">
        <v>14920</v>
      </c>
    </row>
    <row r="10129" spans="1:1" x14ac:dyDescent="0.25">
      <c r="A10129" s="74">
        <v>14921</v>
      </c>
    </row>
    <row r="10130" spans="1:1" x14ac:dyDescent="0.25">
      <c r="A10130" s="74">
        <v>14922</v>
      </c>
    </row>
    <row r="10131" spans="1:1" x14ac:dyDescent="0.25">
      <c r="A10131" s="74">
        <v>14923</v>
      </c>
    </row>
    <row r="10132" spans="1:1" x14ac:dyDescent="0.25">
      <c r="A10132" s="74">
        <v>14924</v>
      </c>
    </row>
    <row r="10133" spans="1:1" x14ac:dyDescent="0.25">
      <c r="A10133" s="74">
        <v>14925</v>
      </c>
    </row>
    <row r="10134" spans="1:1" x14ac:dyDescent="0.25">
      <c r="A10134" s="74">
        <v>14926</v>
      </c>
    </row>
    <row r="10135" spans="1:1" x14ac:dyDescent="0.25">
      <c r="A10135" s="74">
        <v>14927</v>
      </c>
    </row>
    <row r="10136" spans="1:1" x14ac:dyDescent="0.25">
      <c r="A10136" s="74">
        <v>14928</v>
      </c>
    </row>
    <row r="10137" spans="1:1" x14ac:dyDescent="0.25">
      <c r="A10137" s="74">
        <v>14929</v>
      </c>
    </row>
    <row r="10138" spans="1:1" x14ac:dyDescent="0.25">
      <c r="A10138" s="74">
        <v>14930</v>
      </c>
    </row>
    <row r="10139" spans="1:1" x14ac:dyDescent="0.25">
      <c r="A10139" s="74">
        <v>14931</v>
      </c>
    </row>
    <row r="10140" spans="1:1" x14ac:dyDescent="0.25">
      <c r="A10140" s="74">
        <v>14932</v>
      </c>
    </row>
    <row r="10141" spans="1:1" x14ac:dyDescent="0.25">
      <c r="A10141" s="74">
        <v>14933</v>
      </c>
    </row>
    <row r="10142" spans="1:1" x14ac:dyDescent="0.25">
      <c r="A10142" s="74">
        <v>14934</v>
      </c>
    </row>
    <row r="10143" spans="1:1" x14ac:dyDescent="0.25">
      <c r="A10143" s="74">
        <v>14935</v>
      </c>
    </row>
    <row r="10144" spans="1:1" x14ac:dyDescent="0.25">
      <c r="A10144" s="74">
        <v>14936</v>
      </c>
    </row>
    <row r="10145" spans="1:1" x14ac:dyDescent="0.25">
      <c r="A10145" s="74">
        <v>14937</v>
      </c>
    </row>
    <row r="10146" spans="1:1" x14ac:dyDescent="0.25">
      <c r="A10146" s="74">
        <v>14938</v>
      </c>
    </row>
    <row r="10147" spans="1:1" x14ac:dyDescent="0.25">
      <c r="A10147" s="74">
        <v>14939</v>
      </c>
    </row>
    <row r="10148" spans="1:1" x14ac:dyDescent="0.25">
      <c r="A10148" s="74">
        <v>14940</v>
      </c>
    </row>
    <row r="10149" spans="1:1" x14ac:dyDescent="0.25">
      <c r="A10149" s="74">
        <v>14941</v>
      </c>
    </row>
    <row r="10150" spans="1:1" x14ac:dyDescent="0.25">
      <c r="A10150" s="74">
        <v>14942</v>
      </c>
    </row>
    <row r="10151" spans="1:1" x14ac:dyDescent="0.25">
      <c r="A10151" s="74">
        <v>14943</v>
      </c>
    </row>
    <row r="10152" spans="1:1" x14ac:dyDescent="0.25">
      <c r="A10152" s="74">
        <v>14944</v>
      </c>
    </row>
    <row r="10153" spans="1:1" x14ac:dyDescent="0.25">
      <c r="A10153" s="74">
        <v>14945</v>
      </c>
    </row>
    <row r="10154" spans="1:1" x14ac:dyDescent="0.25">
      <c r="A10154" s="74">
        <v>14946</v>
      </c>
    </row>
    <row r="10155" spans="1:1" x14ac:dyDescent="0.25">
      <c r="A10155" s="74">
        <v>14947</v>
      </c>
    </row>
    <row r="10156" spans="1:1" x14ac:dyDescent="0.25">
      <c r="A10156" s="74">
        <v>14948</v>
      </c>
    </row>
    <row r="10157" spans="1:1" x14ac:dyDescent="0.25">
      <c r="A10157" s="74">
        <v>14949</v>
      </c>
    </row>
    <row r="10158" spans="1:1" x14ac:dyDescent="0.25">
      <c r="A10158" s="74">
        <v>14950</v>
      </c>
    </row>
    <row r="10159" spans="1:1" x14ac:dyDescent="0.25">
      <c r="A10159" s="74">
        <v>14951</v>
      </c>
    </row>
    <row r="10160" spans="1:1" x14ac:dyDescent="0.25">
      <c r="A10160" s="74">
        <v>14952</v>
      </c>
    </row>
    <row r="10161" spans="1:1" x14ac:dyDescent="0.25">
      <c r="A10161" s="74">
        <v>14953</v>
      </c>
    </row>
    <row r="10162" spans="1:1" x14ac:dyDescent="0.25">
      <c r="A10162" s="74">
        <v>14954</v>
      </c>
    </row>
    <row r="10163" spans="1:1" x14ac:dyDescent="0.25">
      <c r="A10163" s="74">
        <v>14955</v>
      </c>
    </row>
    <row r="10164" spans="1:1" x14ac:dyDescent="0.25">
      <c r="A10164" s="74">
        <v>14956</v>
      </c>
    </row>
    <row r="10165" spans="1:1" x14ac:dyDescent="0.25">
      <c r="A10165" s="74">
        <v>14957</v>
      </c>
    </row>
    <row r="10166" spans="1:1" x14ac:dyDescent="0.25">
      <c r="A10166" s="74">
        <v>14958</v>
      </c>
    </row>
    <row r="10167" spans="1:1" x14ac:dyDescent="0.25">
      <c r="A10167" s="74">
        <v>14959</v>
      </c>
    </row>
    <row r="10168" spans="1:1" x14ac:dyDescent="0.25">
      <c r="A10168" s="74">
        <v>14960</v>
      </c>
    </row>
    <row r="10169" spans="1:1" x14ac:dyDescent="0.25">
      <c r="A10169" s="74">
        <v>14961</v>
      </c>
    </row>
    <row r="10170" spans="1:1" x14ac:dyDescent="0.25">
      <c r="A10170" s="74">
        <v>14962</v>
      </c>
    </row>
    <row r="10171" spans="1:1" x14ac:dyDescent="0.25">
      <c r="A10171" s="74">
        <v>14963</v>
      </c>
    </row>
    <row r="10172" spans="1:1" x14ac:dyDescent="0.25">
      <c r="A10172" s="74">
        <v>14964</v>
      </c>
    </row>
    <row r="10173" spans="1:1" x14ac:dyDescent="0.25">
      <c r="A10173" s="74">
        <v>14965</v>
      </c>
    </row>
    <row r="10174" spans="1:1" x14ac:dyDescent="0.25">
      <c r="A10174" s="74">
        <v>14966</v>
      </c>
    </row>
    <row r="10175" spans="1:1" x14ac:dyDescent="0.25">
      <c r="A10175" s="74">
        <v>14967</v>
      </c>
    </row>
    <row r="10176" spans="1:1" x14ac:dyDescent="0.25">
      <c r="A10176" s="74">
        <v>14968</v>
      </c>
    </row>
    <row r="10177" spans="1:1" x14ac:dyDescent="0.25">
      <c r="A10177" s="74">
        <v>14969</v>
      </c>
    </row>
    <row r="10178" spans="1:1" x14ac:dyDescent="0.25">
      <c r="A10178" s="74">
        <v>14970</v>
      </c>
    </row>
    <row r="10179" spans="1:1" x14ac:dyDescent="0.25">
      <c r="A10179" s="74">
        <v>14971</v>
      </c>
    </row>
    <row r="10180" spans="1:1" x14ac:dyDescent="0.25">
      <c r="A10180" s="74">
        <v>14972</v>
      </c>
    </row>
    <row r="10181" spans="1:1" x14ac:dyDescent="0.25">
      <c r="A10181" s="74">
        <v>14973</v>
      </c>
    </row>
    <row r="10182" spans="1:1" x14ac:dyDescent="0.25">
      <c r="A10182" s="74">
        <v>14974</v>
      </c>
    </row>
    <row r="10183" spans="1:1" x14ac:dyDescent="0.25">
      <c r="A10183" s="74">
        <v>14975</v>
      </c>
    </row>
    <row r="10184" spans="1:1" x14ac:dyDescent="0.25">
      <c r="A10184" s="74">
        <v>14976</v>
      </c>
    </row>
    <row r="10185" spans="1:1" x14ac:dyDescent="0.25">
      <c r="A10185" s="74">
        <v>14977</v>
      </c>
    </row>
    <row r="10186" spans="1:1" x14ac:dyDescent="0.25">
      <c r="A10186" s="74">
        <v>14978</v>
      </c>
    </row>
    <row r="10187" spans="1:1" x14ac:dyDescent="0.25">
      <c r="A10187" s="74">
        <v>14979</v>
      </c>
    </row>
    <row r="10188" spans="1:1" x14ac:dyDescent="0.25">
      <c r="A10188" s="74">
        <v>14980</v>
      </c>
    </row>
    <row r="10189" spans="1:1" x14ac:dyDescent="0.25">
      <c r="A10189" s="74">
        <v>14981</v>
      </c>
    </row>
    <row r="10190" spans="1:1" x14ac:dyDescent="0.25">
      <c r="A10190" s="74">
        <v>14982</v>
      </c>
    </row>
    <row r="10191" spans="1:1" x14ac:dyDescent="0.25">
      <c r="A10191" s="74">
        <v>14983</v>
      </c>
    </row>
    <row r="10192" spans="1:1" x14ac:dyDescent="0.25">
      <c r="A10192" s="74">
        <v>14984</v>
      </c>
    </row>
    <row r="10193" spans="1:1" x14ac:dyDescent="0.25">
      <c r="A10193" s="74">
        <v>14985</v>
      </c>
    </row>
    <row r="10194" spans="1:1" x14ac:dyDescent="0.25">
      <c r="A10194" s="74">
        <v>14986</v>
      </c>
    </row>
    <row r="10195" spans="1:1" x14ac:dyDescent="0.25">
      <c r="A10195" s="74">
        <v>14987</v>
      </c>
    </row>
    <row r="10196" spans="1:1" x14ac:dyDescent="0.25">
      <c r="A10196" s="74">
        <v>14988</v>
      </c>
    </row>
    <row r="10197" spans="1:1" x14ac:dyDescent="0.25">
      <c r="A10197" s="74">
        <v>14989</v>
      </c>
    </row>
    <row r="10198" spans="1:1" x14ac:dyDescent="0.25">
      <c r="A10198" s="74">
        <v>14990</v>
      </c>
    </row>
    <row r="10199" spans="1:1" x14ac:dyDescent="0.25">
      <c r="A10199" s="74">
        <v>14991</v>
      </c>
    </row>
    <row r="10200" spans="1:1" x14ac:dyDescent="0.25">
      <c r="A10200" s="74">
        <v>14992</v>
      </c>
    </row>
    <row r="10201" spans="1:1" x14ac:dyDescent="0.25">
      <c r="A10201" s="74">
        <v>14993</v>
      </c>
    </row>
    <row r="10202" spans="1:1" x14ac:dyDescent="0.25">
      <c r="A10202" s="74">
        <v>14994</v>
      </c>
    </row>
    <row r="10203" spans="1:1" x14ac:dyDescent="0.25">
      <c r="A10203" s="74">
        <v>14995</v>
      </c>
    </row>
    <row r="10204" spans="1:1" x14ac:dyDescent="0.25">
      <c r="A10204" s="74">
        <v>14996</v>
      </c>
    </row>
    <row r="10205" spans="1:1" x14ac:dyDescent="0.25">
      <c r="A10205" s="74">
        <v>14997</v>
      </c>
    </row>
    <row r="10206" spans="1:1" x14ac:dyDescent="0.25">
      <c r="A10206" s="74">
        <v>14998</v>
      </c>
    </row>
    <row r="10207" spans="1:1" x14ac:dyDescent="0.25">
      <c r="A10207" s="74">
        <v>14999</v>
      </c>
    </row>
    <row r="10208" spans="1:1" x14ac:dyDescent="0.25">
      <c r="A10208" s="74">
        <v>15000</v>
      </c>
    </row>
    <row r="10209" spans="1:1" x14ac:dyDescent="0.25">
      <c r="A10209" s="74">
        <v>15001</v>
      </c>
    </row>
    <row r="10210" spans="1:1" x14ac:dyDescent="0.25">
      <c r="A10210" s="74">
        <v>15002</v>
      </c>
    </row>
    <row r="10211" spans="1:1" x14ac:dyDescent="0.25">
      <c r="A10211" s="74">
        <v>15003</v>
      </c>
    </row>
    <row r="10212" spans="1:1" x14ac:dyDescent="0.25">
      <c r="A10212" s="74">
        <v>15004</v>
      </c>
    </row>
    <row r="10213" spans="1:1" x14ac:dyDescent="0.25">
      <c r="A10213" s="74">
        <v>15005</v>
      </c>
    </row>
    <row r="10214" spans="1:1" x14ac:dyDescent="0.25">
      <c r="A10214" s="74">
        <v>15006</v>
      </c>
    </row>
    <row r="10215" spans="1:1" x14ac:dyDescent="0.25">
      <c r="A10215" s="74">
        <v>15007</v>
      </c>
    </row>
    <row r="10216" spans="1:1" x14ac:dyDescent="0.25">
      <c r="A10216" s="74">
        <v>15008</v>
      </c>
    </row>
    <row r="10217" spans="1:1" x14ac:dyDescent="0.25">
      <c r="A10217" s="74">
        <v>15009</v>
      </c>
    </row>
    <row r="10218" spans="1:1" x14ac:dyDescent="0.25">
      <c r="A10218" s="74">
        <v>15010</v>
      </c>
    </row>
    <row r="10219" spans="1:1" x14ac:dyDescent="0.25">
      <c r="A10219" s="74">
        <v>15011</v>
      </c>
    </row>
    <row r="10220" spans="1:1" x14ac:dyDescent="0.25">
      <c r="A10220" s="74">
        <v>15012</v>
      </c>
    </row>
    <row r="10221" spans="1:1" x14ac:dyDescent="0.25">
      <c r="A10221" s="74">
        <v>15013</v>
      </c>
    </row>
    <row r="10222" spans="1:1" x14ac:dyDescent="0.25">
      <c r="A10222" s="74">
        <v>15014</v>
      </c>
    </row>
    <row r="10223" spans="1:1" x14ac:dyDescent="0.25">
      <c r="A10223" s="74">
        <v>15015</v>
      </c>
    </row>
    <row r="10224" spans="1:1" x14ac:dyDescent="0.25">
      <c r="A10224" s="74">
        <v>15016</v>
      </c>
    </row>
    <row r="10225" spans="1:1" x14ac:dyDescent="0.25">
      <c r="A10225" s="74">
        <v>15017</v>
      </c>
    </row>
    <row r="10226" spans="1:1" x14ac:dyDescent="0.25">
      <c r="A10226" s="74">
        <v>15018</v>
      </c>
    </row>
    <row r="10227" spans="1:1" x14ac:dyDescent="0.25">
      <c r="A10227" s="74">
        <v>15019</v>
      </c>
    </row>
    <row r="10228" spans="1:1" x14ac:dyDescent="0.25">
      <c r="A10228" s="74">
        <v>15020</v>
      </c>
    </row>
    <row r="10229" spans="1:1" x14ac:dyDescent="0.25">
      <c r="A10229" s="74">
        <v>15021</v>
      </c>
    </row>
    <row r="10230" spans="1:1" x14ac:dyDescent="0.25">
      <c r="A10230" s="74">
        <v>15022</v>
      </c>
    </row>
    <row r="10231" spans="1:1" x14ac:dyDescent="0.25">
      <c r="A10231" s="74">
        <v>15023</v>
      </c>
    </row>
    <row r="10232" spans="1:1" x14ac:dyDescent="0.25">
      <c r="A10232" s="74">
        <v>15024</v>
      </c>
    </row>
    <row r="10233" spans="1:1" x14ac:dyDescent="0.25">
      <c r="A10233" s="74">
        <v>15025</v>
      </c>
    </row>
    <row r="10234" spans="1:1" x14ac:dyDescent="0.25">
      <c r="A10234" s="74">
        <v>15026</v>
      </c>
    </row>
    <row r="10235" spans="1:1" x14ac:dyDescent="0.25">
      <c r="A10235" s="74">
        <v>15027</v>
      </c>
    </row>
    <row r="10236" spans="1:1" x14ac:dyDescent="0.25">
      <c r="A10236" s="74">
        <v>15028</v>
      </c>
    </row>
    <row r="10237" spans="1:1" x14ac:dyDescent="0.25">
      <c r="A10237" s="74">
        <v>15029</v>
      </c>
    </row>
    <row r="10238" spans="1:1" x14ac:dyDescent="0.25">
      <c r="A10238" s="74">
        <v>15030</v>
      </c>
    </row>
    <row r="10239" spans="1:1" x14ac:dyDescent="0.25">
      <c r="A10239" s="74">
        <v>15031</v>
      </c>
    </row>
    <row r="10240" spans="1:1" x14ac:dyDescent="0.25">
      <c r="A10240" s="74">
        <v>15032</v>
      </c>
    </row>
    <row r="10241" spans="1:1" x14ac:dyDescent="0.25">
      <c r="A10241" s="74">
        <v>15033</v>
      </c>
    </row>
    <row r="10242" spans="1:1" x14ac:dyDescent="0.25">
      <c r="A10242" s="74">
        <v>15034</v>
      </c>
    </row>
    <row r="10243" spans="1:1" x14ac:dyDescent="0.25">
      <c r="A10243" s="74">
        <v>15035</v>
      </c>
    </row>
    <row r="10244" spans="1:1" x14ac:dyDescent="0.25">
      <c r="A10244" s="74">
        <v>15036</v>
      </c>
    </row>
    <row r="10245" spans="1:1" x14ac:dyDescent="0.25">
      <c r="A10245" s="74">
        <v>15037</v>
      </c>
    </row>
    <row r="10246" spans="1:1" x14ac:dyDescent="0.25">
      <c r="A10246" s="74">
        <v>15038</v>
      </c>
    </row>
    <row r="10247" spans="1:1" x14ac:dyDescent="0.25">
      <c r="A10247" s="74">
        <v>15039</v>
      </c>
    </row>
    <row r="10248" spans="1:1" x14ac:dyDescent="0.25">
      <c r="A10248" s="74">
        <v>15040</v>
      </c>
    </row>
    <row r="10249" spans="1:1" x14ac:dyDescent="0.25">
      <c r="A10249" s="74">
        <v>15041</v>
      </c>
    </row>
    <row r="10250" spans="1:1" x14ac:dyDescent="0.25">
      <c r="A10250" s="74">
        <v>15042</v>
      </c>
    </row>
    <row r="10251" spans="1:1" x14ac:dyDescent="0.25">
      <c r="A10251" s="74">
        <v>15043</v>
      </c>
    </row>
    <row r="10252" spans="1:1" x14ac:dyDescent="0.25">
      <c r="A10252" s="74">
        <v>15044</v>
      </c>
    </row>
    <row r="10253" spans="1:1" x14ac:dyDescent="0.25">
      <c r="A10253" s="74">
        <v>15045</v>
      </c>
    </row>
    <row r="10254" spans="1:1" x14ac:dyDescent="0.25">
      <c r="A10254" s="74">
        <v>15046</v>
      </c>
    </row>
    <row r="10255" spans="1:1" x14ac:dyDescent="0.25">
      <c r="A10255" s="74">
        <v>15047</v>
      </c>
    </row>
    <row r="10256" spans="1:1" x14ac:dyDescent="0.25">
      <c r="A10256" s="74">
        <v>15048</v>
      </c>
    </row>
    <row r="10257" spans="1:1" x14ac:dyDescent="0.25">
      <c r="A10257" s="74">
        <v>15049</v>
      </c>
    </row>
    <row r="10258" spans="1:1" x14ac:dyDescent="0.25">
      <c r="A10258" s="74">
        <v>15050</v>
      </c>
    </row>
    <row r="10259" spans="1:1" x14ac:dyDescent="0.25">
      <c r="A10259" s="74">
        <v>15051</v>
      </c>
    </row>
    <row r="10260" spans="1:1" x14ac:dyDescent="0.25">
      <c r="A10260" s="74">
        <v>15052</v>
      </c>
    </row>
    <row r="10261" spans="1:1" x14ac:dyDescent="0.25">
      <c r="A10261" s="74">
        <v>15053</v>
      </c>
    </row>
    <row r="10262" spans="1:1" x14ac:dyDescent="0.25">
      <c r="A10262" s="74">
        <v>15054</v>
      </c>
    </row>
    <row r="10263" spans="1:1" x14ac:dyDescent="0.25">
      <c r="A10263" s="74">
        <v>15055</v>
      </c>
    </row>
    <row r="10264" spans="1:1" x14ac:dyDescent="0.25">
      <c r="A10264" s="74">
        <v>15056</v>
      </c>
    </row>
    <row r="10265" spans="1:1" x14ac:dyDescent="0.25">
      <c r="A10265" s="74">
        <v>15057</v>
      </c>
    </row>
    <row r="10266" spans="1:1" x14ac:dyDescent="0.25">
      <c r="A10266" s="74">
        <v>15058</v>
      </c>
    </row>
    <row r="10267" spans="1:1" x14ac:dyDescent="0.25">
      <c r="A10267" s="74">
        <v>15059</v>
      </c>
    </row>
    <row r="10268" spans="1:1" x14ac:dyDescent="0.25">
      <c r="A10268" s="74">
        <v>15060</v>
      </c>
    </row>
    <row r="10269" spans="1:1" x14ac:dyDescent="0.25">
      <c r="A10269" s="74">
        <v>15061</v>
      </c>
    </row>
    <row r="10270" spans="1:1" x14ac:dyDescent="0.25">
      <c r="A10270" s="74">
        <v>15062</v>
      </c>
    </row>
    <row r="10271" spans="1:1" x14ac:dyDescent="0.25">
      <c r="A10271" s="74">
        <v>15063</v>
      </c>
    </row>
    <row r="10272" spans="1:1" x14ac:dyDescent="0.25">
      <c r="A10272" s="74">
        <v>15064</v>
      </c>
    </row>
    <row r="10273" spans="1:1" x14ac:dyDescent="0.25">
      <c r="A10273" s="74">
        <v>15065</v>
      </c>
    </row>
    <row r="10274" spans="1:1" x14ac:dyDescent="0.25">
      <c r="A10274" s="74">
        <v>15066</v>
      </c>
    </row>
    <row r="10275" spans="1:1" x14ac:dyDescent="0.25">
      <c r="A10275" s="74">
        <v>15067</v>
      </c>
    </row>
    <row r="10276" spans="1:1" x14ac:dyDescent="0.25">
      <c r="A10276" s="74">
        <v>15068</v>
      </c>
    </row>
    <row r="10277" spans="1:1" x14ac:dyDescent="0.25">
      <c r="A10277" s="74">
        <v>15069</v>
      </c>
    </row>
    <row r="10278" spans="1:1" x14ac:dyDescent="0.25">
      <c r="A10278" s="74">
        <v>15070</v>
      </c>
    </row>
    <row r="10279" spans="1:1" x14ac:dyDescent="0.25">
      <c r="A10279" s="74">
        <v>15071</v>
      </c>
    </row>
    <row r="10280" spans="1:1" x14ac:dyDescent="0.25">
      <c r="A10280" s="74">
        <v>15072</v>
      </c>
    </row>
    <row r="10281" spans="1:1" x14ac:dyDescent="0.25">
      <c r="A10281" s="74">
        <v>15073</v>
      </c>
    </row>
    <row r="10282" spans="1:1" x14ac:dyDescent="0.25">
      <c r="A10282" s="74">
        <v>15074</v>
      </c>
    </row>
    <row r="10283" spans="1:1" x14ac:dyDescent="0.25">
      <c r="A10283" s="74">
        <v>15075</v>
      </c>
    </row>
    <row r="10284" spans="1:1" x14ac:dyDescent="0.25">
      <c r="A10284" s="74">
        <v>15076</v>
      </c>
    </row>
    <row r="10285" spans="1:1" x14ac:dyDescent="0.25">
      <c r="A10285" s="74">
        <v>15077</v>
      </c>
    </row>
    <row r="10286" spans="1:1" x14ac:dyDescent="0.25">
      <c r="A10286" s="74">
        <v>15078</v>
      </c>
    </row>
    <row r="10287" spans="1:1" x14ac:dyDescent="0.25">
      <c r="A10287" s="74">
        <v>15079</v>
      </c>
    </row>
    <row r="10288" spans="1:1" x14ac:dyDescent="0.25">
      <c r="A10288" s="74">
        <v>15080</v>
      </c>
    </row>
    <row r="10289" spans="1:1" x14ac:dyDescent="0.25">
      <c r="A10289" s="74">
        <v>15081</v>
      </c>
    </row>
    <row r="10290" spans="1:1" x14ac:dyDescent="0.25">
      <c r="A10290" s="74">
        <v>15082</v>
      </c>
    </row>
    <row r="10291" spans="1:1" x14ac:dyDescent="0.25">
      <c r="A10291" s="74">
        <v>15083</v>
      </c>
    </row>
    <row r="10292" spans="1:1" x14ac:dyDescent="0.25">
      <c r="A10292" s="74">
        <v>15084</v>
      </c>
    </row>
    <row r="10293" spans="1:1" x14ac:dyDescent="0.25">
      <c r="A10293" s="74">
        <v>15085</v>
      </c>
    </row>
    <row r="10294" spans="1:1" x14ac:dyDescent="0.25">
      <c r="A10294" s="74">
        <v>15086</v>
      </c>
    </row>
    <row r="10295" spans="1:1" x14ac:dyDescent="0.25">
      <c r="A10295" s="74">
        <v>15087</v>
      </c>
    </row>
    <row r="10296" spans="1:1" x14ac:dyDescent="0.25">
      <c r="A10296" s="74">
        <v>15088</v>
      </c>
    </row>
    <row r="10297" spans="1:1" x14ac:dyDescent="0.25">
      <c r="A10297" s="74">
        <v>15089</v>
      </c>
    </row>
    <row r="10298" spans="1:1" x14ac:dyDescent="0.25">
      <c r="A10298" s="74">
        <v>15090</v>
      </c>
    </row>
    <row r="10299" spans="1:1" x14ac:dyDescent="0.25">
      <c r="A10299" s="74">
        <v>15091</v>
      </c>
    </row>
    <row r="10300" spans="1:1" x14ac:dyDescent="0.25">
      <c r="A10300" s="74">
        <v>15092</v>
      </c>
    </row>
    <row r="10301" spans="1:1" x14ac:dyDescent="0.25">
      <c r="A10301" s="74">
        <v>15093</v>
      </c>
    </row>
    <row r="10302" spans="1:1" x14ac:dyDescent="0.25">
      <c r="A10302" s="74">
        <v>15094</v>
      </c>
    </row>
    <row r="10303" spans="1:1" x14ac:dyDescent="0.25">
      <c r="A10303" s="74">
        <v>15095</v>
      </c>
    </row>
    <row r="10304" spans="1:1" x14ac:dyDescent="0.25">
      <c r="A10304" s="74">
        <v>15096</v>
      </c>
    </row>
    <row r="10305" spans="1:1" x14ac:dyDescent="0.25">
      <c r="A10305" s="74">
        <v>15097</v>
      </c>
    </row>
    <row r="10306" spans="1:1" x14ac:dyDescent="0.25">
      <c r="A10306" s="74">
        <v>15098</v>
      </c>
    </row>
    <row r="10307" spans="1:1" x14ac:dyDescent="0.25">
      <c r="A10307" s="74">
        <v>15099</v>
      </c>
    </row>
    <row r="10308" spans="1:1" x14ac:dyDescent="0.25">
      <c r="A10308" s="74">
        <v>15100</v>
      </c>
    </row>
    <row r="10309" spans="1:1" x14ac:dyDescent="0.25">
      <c r="A10309" s="74">
        <v>15101</v>
      </c>
    </row>
    <row r="10310" spans="1:1" x14ac:dyDescent="0.25">
      <c r="A10310" s="74">
        <v>15102</v>
      </c>
    </row>
    <row r="10311" spans="1:1" x14ac:dyDescent="0.25">
      <c r="A10311" s="74">
        <v>15103</v>
      </c>
    </row>
    <row r="10312" spans="1:1" x14ac:dyDescent="0.25">
      <c r="A10312" s="74">
        <v>15104</v>
      </c>
    </row>
    <row r="10313" spans="1:1" x14ac:dyDescent="0.25">
      <c r="A10313" s="74">
        <v>15105</v>
      </c>
    </row>
    <row r="10314" spans="1:1" x14ac:dyDescent="0.25">
      <c r="A10314" s="74">
        <v>15106</v>
      </c>
    </row>
    <row r="10315" spans="1:1" x14ac:dyDescent="0.25">
      <c r="A10315" s="74">
        <v>15107</v>
      </c>
    </row>
    <row r="10316" spans="1:1" x14ac:dyDescent="0.25">
      <c r="A10316" s="74">
        <v>15108</v>
      </c>
    </row>
    <row r="10317" spans="1:1" x14ac:dyDescent="0.25">
      <c r="A10317" s="74">
        <v>15109</v>
      </c>
    </row>
    <row r="10318" spans="1:1" x14ac:dyDescent="0.25">
      <c r="A10318" s="74">
        <v>15110</v>
      </c>
    </row>
    <row r="10319" spans="1:1" x14ac:dyDescent="0.25">
      <c r="A10319" s="74">
        <v>15111</v>
      </c>
    </row>
    <row r="10320" spans="1:1" x14ac:dyDescent="0.25">
      <c r="A10320" s="74">
        <v>15112</v>
      </c>
    </row>
    <row r="10321" spans="1:1" x14ac:dyDescent="0.25">
      <c r="A10321" s="74">
        <v>15113</v>
      </c>
    </row>
    <row r="10322" spans="1:1" x14ac:dyDescent="0.25">
      <c r="A10322" s="74">
        <v>15114</v>
      </c>
    </row>
    <row r="10323" spans="1:1" x14ac:dyDescent="0.25">
      <c r="A10323" s="74">
        <v>15115</v>
      </c>
    </row>
    <row r="10324" spans="1:1" x14ac:dyDescent="0.25">
      <c r="A10324" s="74">
        <v>15116</v>
      </c>
    </row>
    <row r="10325" spans="1:1" x14ac:dyDescent="0.25">
      <c r="A10325" s="74">
        <v>15117</v>
      </c>
    </row>
    <row r="10326" spans="1:1" x14ac:dyDescent="0.25">
      <c r="A10326" s="74">
        <v>15118</v>
      </c>
    </row>
    <row r="10327" spans="1:1" x14ac:dyDescent="0.25">
      <c r="A10327" s="74">
        <v>15119</v>
      </c>
    </row>
    <row r="10328" spans="1:1" x14ac:dyDescent="0.25">
      <c r="A10328" s="74">
        <v>15120</v>
      </c>
    </row>
    <row r="10329" spans="1:1" x14ac:dyDescent="0.25">
      <c r="A10329" s="74">
        <v>15121</v>
      </c>
    </row>
    <row r="10330" spans="1:1" x14ac:dyDescent="0.25">
      <c r="A10330" s="74">
        <v>15122</v>
      </c>
    </row>
    <row r="10331" spans="1:1" x14ac:dyDescent="0.25">
      <c r="A10331" s="74">
        <v>15123</v>
      </c>
    </row>
    <row r="10332" spans="1:1" x14ac:dyDescent="0.25">
      <c r="A10332" s="74">
        <v>15124</v>
      </c>
    </row>
    <row r="10333" spans="1:1" x14ac:dyDescent="0.25">
      <c r="A10333" s="74">
        <v>15125</v>
      </c>
    </row>
    <row r="10334" spans="1:1" x14ac:dyDescent="0.25">
      <c r="A10334" s="74">
        <v>15126</v>
      </c>
    </row>
    <row r="10335" spans="1:1" x14ac:dyDescent="0.25">
      <c r="A10335" s="74">
        <v>15127</v>
      </c>
    </row>
    <row r="10336" spans="1:1" x14ac:dyDescent="0.25">
      <c r="A10336" s="74">
        <v>15128</v>
      </c>
    </row>
    <row r="10337" spans="1:1" x14ac:dyDescent="0.25">
      <c r="A10337" s="74">
        <v>15129</v>
      </c>
    </row>
    <row r="10338" spans="1:1" x14ac:dyDescent="0.25">
      <c r="A10338" s="74">
        <v>15130</v>
      </c>
    </row>
    <row r="10339" spans="1:1" x14ac:dyDescent="0.25">
      <c r="A10339" s="74">
        <v>15131</v>
      </c>
    </row>
    <row r="10340" spans="1:1" x14ac:dyDescent="0.25">
      <c r="A10340" s="74">
        <v>15132</v>
      </c>
    </row>
    <row r="10341" spans="1:1" x14ac:dyDescent="0.25">
      <c r="A10341" s="74">
        <v>15133</v>
      </c>
    </row>
    <row r="10342" spans="1:1" x14ac:dyDescent="0.25">
      <c r="A10342" s="74">
        <v>15134</v>
      </c>
    </row>
    <row r="10343" spans="1:1" x14ac:dyDescent="0.25">
      <c r="A10343" s="74">
        <v>15135</v>
      </c>
    </row>
    <row r="10344" spans="1:1" x14ac:dyDescent="0.25">
      <c r="A10344" s="74">
        <v>15136</v>
      </c>
    </row>
    <row r="10345" spans="1:1" x14ac:dyDescent="0.25">
      <c r="A10345" s="74">
        <v>15137</v>
      </c>
    </row>
    <row r="10346" spans="1:1" x14ac:dyDescent="0.25">
      <c r="A10346" s="74">
        <v>15138</v>
      </c>
    </row>
    <row r="10347" spans="1:1" x14ac:dyDescent="0.25">
      <c r="A10347" s="74">
        <v>15139</v>
      </c>
    </row>
    <row r="10348" spans="1:1" x14ac:dyDescent="0.25">
      <c r="A10348" s="74">
        <v>15140</v>
      </c>
    </row>
    <row r="10349" spans="1:1" x14ac:dyDescent="0.25">
      <c r="A10349" s="74">
        <v>15141</v>
      </c>
    </row>
    <row r="10350" spans="1:1" x14ac:dyDescent="0.25">
      <c r="A10350" s="74">
        <v>15142</v>
      </c>
    </row>
    <row r="10351" spans="1:1" x14ac:dyDescent="0.25">
      <c r="A10351" s="74">
        <v>15143</v>
      </c>
    </row>
    <row r="10352" spans="1:1" x14ac:dyDescent="0.25">
      <c r="A10352" s="74">
        <v>15144</v>
      </c>
    </row>
    <row r="10353" spans="1:1" x14ac:dyDescent="0.25">
      <c r="A10353" s="74">
        <v>15145</v>
      </c>
    </row>
    <row r="10354" spans="1:1" x14ac:dyDescent="0.25">
      <c r="A10354" s="74">
        <v>15146</v>
      </c>
    </row>
    <row r="10355" spans="1:1" x14ac:dyDescent="0.25">
      <c r="A10355" s="74">
        <v>15147</v>
      </c>
    </row>
    <row r="10356" spans="1:1" x14ac:dyDescent="0.25">
      <c r="A10356" s="74">
        <v>15148</v>
      </c>
    </row>
    <row r="10357" spans="1:1" x14ac:dyDescent="0.25">
      <c r="A10357" s="74">
        <v>15149</v>
      </c>
    </row>
    <row r="10358" spans="1:1" x14ac:dyDescent="0.25">
      <c r="A10358" s="74">
        <v>15150</v>
      </c>
    </row>
    <row r="10359" spans="1:1" x14ac:dyDescent="0.25">
      <c r="A10359" s="74">
        <v>15151</v>
      </c>
    </row>
    <row r="10360" spans="1:1" x14ac:dyDescent="0.25">
      <c r="A10360" s="74">
        <v>15152</v>
      </c>
    </row>
    <row r="10361" spans="1:1" x14ac:dyDescent="0.25">
      <c r="A10361" s="74">
        <v>15153</v>
      </c>
    </row>
    <row r="10362" spans="1:1" x14ac:dyDescent="0.25">
      <c r="A10362" s="74">
        <v>15154</v>
      </c>
    </row>
    <row r="10363" spans="1:1" x14ac:dyDescent="0.25">
      <c r="A10363" s="74">
        <v>15155</v>
      </c>
    </row>
    <row r="10364" spans="1:1" x14ac:dyDescent="0.25">
      <c r="A10364" s="74">
        <v>15156</v>
      </c>
    </row>
    <row r="10365" spans="1:1" x14ac:dyDescent="0.25">
      <c r="A10365" s="74">
        <v>15157</v>
      </c>
    </row>
    <row r="10366" spans="1:1" x14ac:dyDescent="0.25">
      <c r="A10366" s="74">
        <v>15158</v>
      </c>
    </row>
    <row r="10367" spans="1:1" x14ac:dyDescent="0.25">
      <c r="A10367" s="74">
        <v>15159</v>
      </c>
    </row>
    <row r="10368" spans="1:1" x14ac:dyDescent="0.25">
      <c r="A10368" s="74">
        <v>15160</v>
      </c>
    </row>
    <row r="10369" spans="1:1" x14ac:dyDescent="0.25">
      <c r="A10369" s="74">
        <v>15161</v>
      </c>
    </row>
    <row r="10370" spans="1:1" x14ac:dyDescent="0.25">
      <c r="A10370" s="74">
        <v>15162</v>
      </c>
    </row>
    <row r="10371" spans="1:1" x14ac:dyDescent="0.25">
      <c r="A10371" s="74">
        <v>15163</v>
      </c>
    </row>
    <row r="10372" spans="1:1" x14ac:dyDescent="0.25">
      <c r="A10372" s="74">
        <v>15164</v>
      </c>
    </row>
    <row r="10373" spans="1:1" x14ac:dyDescent="0.25">
      <c r="A10373" s="74">
        <v>15165</v>
      </c>
    </row>
    <row r="10374" spans="1:1" x14ac:dyDescent="0.25">
      <c r="A10374" s="74">
        <v>15166</v>
      </c>
    </row>
    <row r="10375" spans="1:1" x14ac:dyDescent="0.25">
      <c r="A10375" s="74">
        <v>15167</v>
      </c>
    </row>
    <row r="10376" spans="1:1" x14ac:dyDescent="0.25">
      <c r="A10376" s="74">
        <v>15168</v>
      </c>
    </row>
    <row r="10377" spans="1:1" x14ac:dyDescent="0.25">
      <c r="A10377" s="74">
        <v>15169</v>
      </c>
    </row>
    <row r="10378" spans="1:1" x14ac:dyDescent="0.25">
      <c r="A10378" s="74">
        <v>15170</v>
      </c>
    </row>
    <row r="10379" spans="1:1" x14ac:dyDescent="0.25">
      <c r="A10379" s="74">
        <v>15171</v>
      </c>
    </row>
    <row r="10380" spans="1:1" x14ac:dyDescent="0.25">
      <c r="A10380" s="74">
        <v>15172</v>
      </c>
    </row>
    <row r="10381" spans="1:1" x14ac:dyDescent="0.25">
      <c r="A10381" s="74">
        <v>15173</v>
      </c>
    </row>
    <row r="10382" spans="1:1" x14ac:dyDescent="0.25">
      <c r="A10382" s="74">
        <v>15174</v>
      </c>
    </row>
    <row r="10383" spans="1:1" x14ac:dyDescent="0.25">
      <c r="A10383" s="74">
        <v>15175</v>
      </c>
    </row>
    <row r="10384" spans="1:1" x14ac:dyDescent="0.25">
      <c r="A10384" s="74">
        <v>15176</v>
      </c>
    </row>
    <row r="10385" spans="1:1" x14ac:dyDescent="0.25">
      <c r="A10385" s="74">
        <v>15177</v>
      </c>
    </row>
    <row r="10386" spans="1:1" x14ac:dyDescent="0.25">
      <c r="A10386" s="74">
        <v>15178</v>
      </c>
    </row>
    <row r="10387" spans="1:1" x14ac:dyDescent="0.25">
      <c r="A10387" s="74">
        <v>15179</v>
      </c>
    </row>
    <row r="10388" spans="1:1" x14ac:dyDescent="0.25">
      <c r="A10388" s="74">
        <v>15180</v>
      </c>
    </row>
    <row r="10389" spans="1:1" x14ac:dyDescent="0.25">
      <c r="A10389" s="74">
        <v>15181</v>
      </c>
    </row>
    <row r="10390" spans="1:1" x14ac:dyDescent="0.25">
      <c r="A10390" s="74">
        <v>15182</v>
      </c>
    </row>
    <row r="10391" spans="1:1" x14ac:dyDescent="0.25">
      <c r="A10391" s="74">
        <v>15183</v>
      </c>
    </row>
    <row r="10392" spans="1:1" x14ac:dyDescent="0.25">
      <c r="A10392" s="74">
        <v>15184</v>
      </c>
    </row>
    <row r="10393" spans="1:1" x14ac:dyDescent="0.25">
      <c r="A10393" s="74">
        <v>15185</v>
      </c>
    </row>
    <row r="10394" spans="1:1" x14ac:dyDescent="0.25">
      <c r="A10394" s="74">
        <v>15186</v>
      </c>
    </row>
    <row r="10395" spans="1:1" x14ac:dyDescent="0.25">
      <c r="A10395" s="74">
        <v>15187</v>
      </c>
    </row>
    <row r="10396" spans="1:1" x14ac:dyDescent="0.25">
      <c r="A10396" s="74">
        <v>15188</v>
      </c>
    </row>
    <row r="10397" spans="1:1" x14ac:dyDescent="0.25">
      <c r="A10397" s="74">
        <v>15189</v>
      </c>
    </row>
    <row r="10398" spans="1:1" x14ac:dyDescent="0.25">
      <c r="A10398" s="74">
        <v>15190</v>
      </c>
    </row>
    <row r="10399" spans="1:1" x14ac:dyDescent="0.25">
      <c r="A10399" s="74">
        <v>15191</v>
      </c>
    </row>
    <row r="10400" spans="1:1" x14ac:dyDescent="0.25">
      <c r="A10400" s="74">
        <v>15192</v>
      </c>
    </row>
    <row r="10401" spans="1:1" x14ac:dyDescent="0.25">
      <c r="A10401" s="74">
        <v>15193</v>
      </c>
    </row>
    <row r="10402" spans="1:1" x14ac:dyDescent="0.25">
      <c r="A10402" s="74">
        <v>15194</v>
      </c>
    </row>
    <row r="10403" spans="1:1" x14ac:dyDescent="0.25">
      <c r="A10403" s="74">
        <v>15195</v>
      </c>
    </row>
    <row r="10404" spans="1:1" x14ac:dyDescent="0.25">
      <c r="A10404" s="74">
        <v>15196</v>
      </c>
    </row>
    <row r="10405" spans="1:1" x14ac:dyDescent="0.25">
      <c r="A10405" s="74">
        <v>15197</v>
      </c>
    </row>
    <row r="10406" spans="1:1" x14ac:dyDescent="0.25">
      <c r="A10406" s="74">
        <v>15198</v>
      </c>
    </row>
    <row r="10407" spans="1:1" x14ac:dyDescent="0.25">
      <c r="A10407" s="74">
        <v>15199</v>
      </c>
    </row>
    <row r="10408" spans="1:1" x14ac:dyDescent="0.25">
      <c r="A10408" s="74">
        <v>15200</v>
      </c>
    </row>
    <row r="10409" spans="1:1" x14ac:dyDescent="0.25">
      <c r="A10409" s="74">
        <v>15201</v>
      </c>
    </row>
    <row r="10410" spans="1:1" x14ac:dyDescent="0.25">
      <c r="A10410" s="74">
        <v>15202</v>
      </c>
    </row>
    <row r="10411" spans="1:1" x14ac:dyDescent="0.25">
      <c r="A10411" s="74">
        <v>15203</v>
      </c>
    </row>
    <row r="10412" spans="1:1" x14ac:dyDescent="0.25">
      <c r="A10412" s="74">
        <v>15204</v>
      </c>
    </row>
    <row r="10413" spans="1:1" x14ac:dyDescent="0.25">
      <c r="A10413" s="74">
        <v>15205</v>
      </c>
    </row>
    <row r="10414" spans="1:1" x14ac:dyDescent="0.25">
      <c r="A10414" s="74">
        <v>15206</v>
      </c>
    </row>
    <row r="10415" spans="1:1" x14ac:dyDescent="0.25">
      <c r="A10415" s="74">
        <v>15207</v>
      </c>
    </row>
    <row r="10416" spans="1:1" x14ac:dyDescent="0.25">
      <c r="A10416" s="74">
        <v>15208</v>
      </c>
    </row>
    <row r="10417" spans="1:1" x14ac:dyDescent="0.25">
      <c r="A10417" s="74">
        <v>15209</v>
      </c>
    </row>
    <row r="10418" spans="1:1" x14ac:dyDescent="0.25">
      <c r="A10418" s="74">
        <v>15210</v>
      </c>
    </row>
    <row r="10419" spans="1:1" x14ac:dyDescent="0.25">
      <c r="A10419" s="74">
        <v>15211</v>
      </c>
    </row>
    <row r="10420" spans="1:1" x14ac:dyDescent="0.25">
      <c r="A10420" s="74">
        <v>15212</v>
      </c>
    </row>
    <row r="10421" spans="1:1" x14ac:dyDescent="0.25">
      <c r="A10421" s="74">
        <v>15213</v>
      </c>
    </row>
    <row r="10422" spans="1:1" x14ac:dyDescent="0.25">
      <c r="A10422" s="74">
        <v>15214</v>
      </c>
    </row>
    <row r="10423" spans="1:1" x14ac:dyDescent="0.25">
      <c r="A10423" s="74">
        <v>15215</v>
      </c>
    </row>
    <row r="10424" spans="1:1" x14ac:dyDescent="0.25">
      <c r="A10424" s="74">
        <v>15216</v>
      </c>
    </row>
    <row r="10425" spans="1:1" x14ac:dyDescent="0.25">
      <c r="A10425" s="74">
        <v>15217</v>
      </c>
    </row>
    <row r="10426" spans="1:1" x14ac:dyDescent="0.25">
      <c r="A10426" s="74">
        <v>15218</v>
      </c>
    </row>
    <row r="10427" spans="1:1" x14ac:dyDescent="0.25">
      <c r="A10427" s="74">
        <v>15219</v>
      </c>
    </row>
    <row r="10428" spans="1:1" x14ac:dyDescent="0.25">
      <c r="A10428" s="74">
        <v>15220</v>
      </c>
    </row>
    <row r="10429" spans="1:1" x14ac:dyDescent="0.25">
      <c r="A10429" s="74">
        <v>15221</v>
      </c>
    </row>
    <row r="10430" spans="1:1" x14ac:dyDescent="0.25">
      <c r="A10430" s="74">
        <v>15222</v>
      </c>
    </row>
    <row r="10431" spans="1:1" x14ac:dyDescent="0.25">
      <c r="A10431" s="74">
        <v>15223</v>
      </c>
    </row>
    <row r="10432" spans="1:1" x14ac:dyDescent="0.25">
      <c r="A10432" s="74">
        <v>15224</v>
      </c>
    </row>
    <row r="10433" spans="1:1" x14ac:dyDescent="0.25">
      <c r="A10433" s="74">
        <v>15225</v>
      </c>
    </row>
    <row r="10434" spans="1:1" x14ac:dyDescent="0.25">
      <c r="A10434" s="74">
        <v>15226</v>
      </c>
    </row>
    <row r="10435" spans="1:1" x14ac:dyDescent="0.25">
      <c r="A10435" s="74">
        <v>15227</v>
      </c>
    </row>
    <row r="10436" spans="1:1" x14ac:dyDescent="0.25">
      <c r="A10436" s="74">
        <v>15228</v>
      </c>
    </row>
    <row r="10437" spans="1:1" x14ac:dyDescent="0.25">
      <c r="A10437" s="74">
        <v>15229</v>
      </c>
    </row>
    <row r="10438" spans="1:1" x14ac:dyDescent="0.25">
      <c r="A10438" s="74">
        <v>15230</v>
      </c>
    </row>
    <row r="10439" spans="1:1" x14ac:dyDescent="0.25">
      <c r="A10439" s="74">
        <v>15231</v>
      </c>
    </row>
    <row r="10440" spans="1:1" x14ac:dyDescent="0.25">
      <c r="A10440" s="74">
        <v>15232</v>
      </c>
    </row>
    <row r="10441" spans="1:1" x14ac:dyDescent="0.25">
      <c r="A10441" s="74">
        <v>15233</v>
      </c>
    </row>
    <row r="10442" spans="1:1" x14ac:dyDescent="0.25">
      <c r="A10442" s="74">
        <v>15234</v>
      </c>
    </row>
    <row r="10443" spans="1:1" x14ac:dyDescent="0.25">
      <c r="A10443" s="74">
        <v>15235</v>
      </c>
    </row>
    <row r="10444" spans="1:1" x14ac:dyDescent="0.25">
      <c r="A10444" s="74">
        <v>15236</v>
      </c>
    </row>
    <row r="10445" spans="1:1" x14ac:dyDescent="0.25">
      <c r="A10445" s="74">
        <v>15237</v>
      </c>
    </row>
    <row r="10446" spans="1:1" x14ac:dyDescent="0.25">
      <c r="A10446" s="74">
        <v>15238</v>
      </c>
    </row>
    <row r="10447" spans="1:1" x14ac:dyDescent="0.25">
      <c r="A10447" s="74">
        <v>15239</v>
      </c>
    </row>
    <row r="10448" spans="1:1" x14ac:dyDescent="0.25">
      <c r="A10448" s="74">
        <v>15240</v>
      </c>
    </row>
    <row r="10449" spans="1:1" x14ac:dyDescent="0.25">
      <c r="A10449" s="74">
        <v>15241</v>
      </c>
    </row>
    <row r="10450" spans="1:1" x14ac:dyDescent="0.25">
      <c r="A10450" s="74">
        <v>15242</v>
      </c>
    </row>
    <row r="10451" spans="1:1" x14ac:dyDescent="0.25">
      <c r="A10451" s="74">
        <v>15243</v>
      </c>
    </row>
    <row r="10452" spans="1:1" x14ac:dyDescent="0.25">
      <c r="A10452" s="74">
        <v>15244</v>
      </c>
    </row>
    <row r="10453" spans="1:1" x14ac:dyDescent="0.25">
      <c r="A10453" s="74">
        <v>15245</v>
      </c>
    </row>
    <row r="10454" spans="1:1" x14ac:dyDescent="0.25">
      <c r="A10454" s="74">
        <v>15246</v>
      </c>
    </row>
    <row r="10455" spans="1:1" x14ac:dyDescent="0.25">
      <c r="A10455" s="74">
        <v>15247</v>
      </c>
    </row>
    <row r="10456" spans="1:1" x14ac:dyDescent="0.25">
      <c r="A10456" s="74">
        <v>15248</v>
      </c>
    </row>
    <row r="10457" spans="1:1" x14ac:dyDescent="0.25">
      <c r="A10457" s="74">
        <v>15249</v>
      </c>
    </row>
    <row r="10458" spans="1:1" x14ac:dyDescent="0.25">
      <c r="A10458" s="74">
        <v>15250</v>
      </c>
    </row>
    <row r="10459" spans="1:1" x14ac:dyDescent="0.25">
      <c r="A10459" s="74">
        <v>15251</v>
      </c>
    </row>
    <row r="10460" spans="1:1" x14ac:dyDescent="0.25">
      <c r="A10460" s="74">
        <v>15252</v>
      </c>
    </row>
    <row r="10461" spans="1:1" x14ac:dyDescent="0.25">
      <c r="A10461" s="74">
        <v>15253</v>
      </c>
    </row>
    <row r="10462" spans="1:1" x14ac:dyDescent="0.25">
      <c r="A10462" s="74">
        <v>15254</v>
      </c>
    </row>
    <row r="10463" spans="1:1" x14ac:dyDescent="0.25">
      <c r="A10463" s="74">
        <v>15255</v>
      </c>
    </row>
    <row r="10464" spans="1:1" x14ac:dyDescent="0.25">
      <c r="A10464" s="74">
        <v>15256</v>
      </c>
    </row>
    <row r="10465" spans="1:1" x14ac:dyDescent="0.25">
      <c r="A10465" s="74">
        <v>15257</v>
      </c>
    </row>
    <row r="10466" spans="1:1" x14ac:dyDescent="0.25">
      <c r="A10466" s="74">
        <v>15258</v>
      </c>
    </row>
    <row r="10467" spans="1:1" x14ac:dyDescent="0.25">
      <c r="A10467" s="74">
        <v>15259</v>
      </c>
    </row>
    <row r="10468" spans="1:1" x14ac:dyDescent="0.25">
      <c r="A10468" s="74">
        <v>15260</v>
      </c>
    </row>
    <row r="10469" spans="1:1" x14ac:dyDescent="0.25">
      <c r="A10469" s="74">
        <v>15261</v>
      </c>
    </row>
    <row r="10470" spans="1:1" x14ac:dyDescent="0.25">
      <c r="A10470" s="74">
        <v>15262</v>
      </c>
    </row>
    <row r="10471" spans="1:1" x14ac:dyDescent="0.25">
      <c r="A10471" s="74">
        <v>15263</v>
      </c>
    </row>
    <row r="10472" spans="1:1" x14ac:dyDescent="0.25">
      <c r="A10472" s="74">
        <v>15264</v>
      </c>
    </row>
    <row r="10473" spans="1:1" x14ac:dyDescent="0.25">
      <c r="A10473" s="74">
        <v>15265</v>
      </c>
    </row>
    <row r="10474" spans="1:1" x14ac:dyDescent="0.25">
      <c r="A10474" s="74">
        <v>15266</v>
      </c>
    </row>
    <row r="10475" spans="1:1" x14ac:dyDescent="0.25">
      <c r="A10475" s="74">
        <v>15267</v>
      </c>
    </row>
    <row r="10476" spans="1:1" x14ac:dyDescent="0.25">
      <c r="A10476" s="74">
        <v>15268</v>
      </c>
    </row>
    <row r="10477" spans="1:1" x14ac:dyDescent="0.25">
      <c r="A10477" s="74">
        <v>15269</v>
      </c>
    </row>
    <row r="10478" spans="1:1" x14ac:dyDescent="0.25">
      <c r="A10478" s="74">
        <v>15270</v>
      </c>
    </row>
    <row r="10479" spans="1:1" x14ac:dyDescent="0.25">
      <c r="A10479" s="74">
        <v>15271</v>
      </c>
    </row>
    <row r="10480" spans="1:1" x14ac:dyDescent="0.25">
      <c r="A10480" s="74">
        <v>15272</v>
      </c>
    </row>
    <row r="10481" spans="1:1" x14ac:dyDescent="0.25">
      <c r="A10481" s="74">
        <v>15273</v>
      </c>
    </row>
    <row r="10482" spans="1:1" x14ac:dyDescent="0.25">
      <c r="A10482" s="74">
        <v>15274</v>
      </c>
    </row>
    <row r="10483" spans="1:1" x14ac:dyDescent="0.25">
      <c r="A10483" s="74">
        <v>15275</v>
      </c>
    </row>
    <row r="10484" spans="1:1" x14ac:dyDescent="0.25">
      <c r="A10484" s="74">
        <v>15276</v>
      </c>
    </row>
    <row r="10485" spans="1:1" x14ac:dyDescent="0.25">
      <c r="A10485" s="74">
        <v>15277</v>
      </c>
    </row>
    <row r="10486" spans="1:1" x14ac:dyDescent="0.25">
      <c r="A10486" s="74">
        <v>15278</v>
      </c>
    </row>
    <row r="10487" spans="1:1" x14ac:dyDescent="0.25">
      <c r="A10487" s="74">
        <v>15279</v>
      </c>
    </row>
    <row r="10488" spans="1:1" x14ac:dyDescent="0.25">
      <c r="A10488" s="74">
        <v>15280</v>
      </c>
    </row>
    <row r="10489" spans="1:1" x14ac:dyDescent="0.25">
      <c r="A10489" s="74">
        <v>15281</v>
      </c>
    </row>
    <row r="10490" spans="1:1" x14ac:dyDescent="0.25">
      <c r="A10490" s="74">
        <v>15282</v>
      </c>
    </row>
    <row r="10491" spans="1:1" x14ac:dyDescent="0.25">
      <c r="A10491" s="74">
        <v>15283</v>
      </c>
    </row>
    <row r="10492" spans="1:1" x14ac:dyDescent="0.25">
      <c r="A10492" s="74">
        <v>15284</v>
      </c>
    </row>
    <row r="10493" spans="1:1" x14ac:dyDescent="0.25">
      <c r="A10493" s="74">
        <v>15285</v>
      </c>
    </row>
    <row r="10494" spans="1:1" x14ac:dyDescent="0.25">
      <c r="A10494" s="74">
        <v>15286</v>
      </c>
    </row>
    <row r="10495" spans="1:1" x14ac:dyDescent="0.25">
      <c r="A10495" s="74">
        <v>15287</v>
      </c>
    </row>
    <row r="10496" spans="1:1" x14ac:dyDescent="0.25">
      <c r="A10496" s="74">
        <v>15288</v>
      </c>
    </row>
    <row r="10497" spans="1:1" x14ac:dyDescent="0.25">
      <c r="A10497" s="74">
        <v>15289</v>
      </c>
    </row>
    <row r="10498" spans="1:1" x14ac:dyDescent="0.25">
      <c r="A10498" s="74">
        <v>15290</v>
      </c>
    </row>
    <row r="10499" spans="1:1" x14ac:dyDescent="0.25">
      <c r="A10499" s="74">
        <v>15291</v>
      </c>
    </row>
    <row r="10500" spans="1:1" x14ac:dyDescent="0.25">
      <c r="A10500" s="74">
        <v>15292</v>
      </c>
    </row>
    <row r="10501" spans="1:1" x14ac:dyDescent="0.25">
      <c r="A10501" s="74">
        <v>15293</v>
      </c>
    </row>
    <row r="10502" spans="1:1" x14ac:dyDescent="0.25">
      <c r="A10502" s="74">
        <v>15294</v>
      </c>
    </row>
    <row r="10503" spans="1:1" x14ac:dyDescent="0.25">
      <c r="A10503" s="74">
        <v>15295</v>
      </c>
    </row>
    <row r="10504" spans="1:1" x14ac:dyDescent="0.25">
      <c r="A10504" s="74">
        <v>15296</v>
      </c>
    </row>
    <row r="10505" spans="1:1" x14ac:dyDescent="0.25">
      <c r="A10505" s="74">
        <v>15297</v>
      </c>
    </row>
    <row r="10506" spans="1:1" x14ac:dyDescent="0.25">
      <c r="A10506" s="74">
        <v>15298</v>
      </c>
    </row>
    <row r="10507" spans="1:1" x14ac:dyDescent="0.25">
      <c r="A10507" s="74">
        <v>15299</v>
      </c>
    </row>
    <row r="10508" spans="1:1" x14ac:dyDescent="0.25">
      <c r="A10508" s="74">
        <v>15300</v>
      </c>
    </row>
    <row r="10509" spans="1:1" x14ac:dyDescent="0.25">
      <c r="A10509" s="74">
        <v>15301</v>
      </c>
    </row>
    <row r="10510" spans="1:1" x14ac:dyDescent="0.25">
      <c r="A10510" s="74">
        <v>15302</v>
      </c>
    </row>
    <row r="10511" spans="1:1" x14ac:dyDescent="0.25">
      <c r="A10511" s="74">
        <v>15303</v>
      </c>
    </row>
    <row r="10512" spans="1:1" x14ac:dyDescent="0.25">
      <c r="A10512" s="74">
        <v>15304</v>
      </c>
    </row>
    <row r="10513" spans="1:1" x14ac:dyDescent="0.25">
      <c r="A10513" s="74">
        <v>15305</v>
      </c>
    </row>
    <row r="10514" spans="1:1" x14ac:dyDescent="0.25">
      <c r="A10514" s="74">
        <v>15306</v>
      </c>
    </row>
    <row r="10515" spans="1:1" x14ac:dyDescent="0.25">
      <c r="A10515" s="74">
        <v>15307</v>
      </c>
    </row>
    <row r="10516" spans="1:1" x14ac:dyDescent="0.25">
      <c r="A10516" s="74">
        <v>15308</v>
      </c>
    </row>
    <row r="10517" spans="1:1" x14ac:dyDescent="0.25">
      <c r="A10517" s="74">
        <v>15309</v>
      </c>
    </row>
    <row r="10518" spans="1:1" x14ac:dyDescent="0.25">
      <c r="A10518" s="74">
        <v>15310</v>
      </c>
    </row>
    <row r="10519" spans="1:1" x14ac:dyDescent="0.25">
      <c r="A10519" s="74">
        <v>15311</v>
      </c>
    </row>
    <row r="10520" spans="1:1" x14ac:dyDescent="0.25">
      <c r="A10520" s="74">
        <v>15312</v>
      </c>
    </row>
    <row r="10521" spans="1:1" x14ac:dyDescent="0.25">
      <c r="A10521" s="74">
        <v>15313</v>
      </c>
    </row>
    <row r="10522" spans="1:1" x14ac:dyDescent="0.25">
      <c r="A10522" s="74">
        <v>15314</v>
      </c>
    </row>
    <row r="10523" spans="1:1" x14ac:dyDescent="0.25">
      <c r="A10523" s="74">
        <v>15315</v>
      </c>
    </row>
    <row r="10524" spans="1:1" x14ac:dyDescent="0.25">
      <c r="A10524" s="74">
        <v>15316</v>
      </c>
    </row>
    <row r="10525" spans="1:1" x14ac:dyDescent="0.25">
      <c r="A10525" s="74">
        <v>15317</v>
      </c>
    </row>
    <row r="10526" spans="1:1" x14ac:dyDescent="0.25">
      <c r="A10526" s="74">
        <v>15318</v>
      </c>
    </row>
    <row r="10527" spans="1:1" x14ac:dyDescent="0.25">
      <c r="A10527" s="74">
        <v>15319</v>
      </c>
    </row>
    <row r="10528" spans="1:1" x14ac:dyDescent="0.25">
      <c r="A10528" s="74">
        <v>15320</v>
      </c>
    </row>
    <row r="10529" spans="1:1" x14ac:dyDescent="0.25">
      <c r="A10529" s="74">
        <v>15321</v>
      </c>
    </row>
    <row r="10530" spans="1:1" x14ac:dyDescent="0.25">
      <c r="A10530" s="74">
        <v>15322</v>
      </c>
    </row>
    <row r="10531" spans="1:1" x14ac:dyDescent="0.25">
      <c r="A10531" s="74">
        <v>15323</v>
      </c>
    </row>
    <row r="10532" spans="1:1" x14ac:dyDescent="0.25">
      <c r="A10532" s="74">
        <v>15324</v>
      </c>
    </row>
    <row r="10533" spans="1:1" x14ac:dyDescent="0.25">
      <c r="A10533" s="74">
        <v>15325</v>
      </c>
    </row>
    <row r="10534" spans="1:1" x14ac:dyDescent="0.25">
      <c r="A10534" s="74">
        <v>15326</v>
      </c>
    </row>
    <row r="10535" spans="1:1" x14ac:dyDescent="0.25">
      <c r="A10535" s="74">
        <v>15327</v>
      </c>
    </row>
    <row r="10536" spans="1:1" x14ac:dyDescent="0.25">
      <c r="A10536" s="74">
        <v>15328</v>
      </c>
    </row>
    <row r="10537" spans="1:1" x14ac:dyDescent="0.25">
      <c r="A10537" s="74">
        <v>15329</v>
      </c>
    </row>
    <row r="10538" spans="1:1" x14ac:dyDescent="0.25">
      <c r="A10538" s="74">
        <v>15330</v>
      </c>
    </row>
    <row r="10539" spans="1:1" x14ac:dyDescent="0.25">
      <c r="A10539" s="74">
        <v>15331</v>
      </c>
    </row>
    <row r="10540" spans="1:1" x14ac:dyDescent="0.25">
      <c r="A10540" s="74">
        <v>15332</v>
      </c>
    </row>
    <row r="10541" spans="1:1" x14ac:dyDescent="0.25">
      <c r="A10541" s="74">
        <v>15333</v>
      </c>
    </row>
    <row r="10542" spans="1:1" x14ac:dyDescent="0.25">
      <c r="A10542" s="74">
        <v>15334</v>
      </c>
    </row>
    <row r="10543" spans="1:1" x14ac:dyDescent="0.25">
      <c r="A10543" s="74">
        <v>15335</v>
      </c>
    </row>
    <row r="10544" spans="1:1" x14ac:dyDescent="0.25">
      <c r="A10544" s="74">
        <v>15336</v>
      </c>
    </row>
    <row r="10545" spans="1:1" x14ac:dyDescent="0.25">
      <c r="A10545" s="74">
        <v>15337</v>
      </c>
    </row>
    <row r="10546" spans="1:1" x14ac:dyDescent="0.25">
      <c r="A10546" s="74">
        <v>15338</v>
      </c>
    </row>
    <row r="10547" spans="1:1" x14ac:dyDescent="0.25">
      <c r="A10547" s="74">
        <v>15339</v>
      </c>
    </row>
    <row r="10548" spans="1:1" x14ac:dyDescent="0.25">
      <c r="A10548" s="74">
        <v>15340</v>
      </c>
    </row>
    <row r="10549" spans="1:1" x14ac:dyDescent="0.25">
      <c r="A10549" s="74">
        <v>15341</v>
      </c>
    </row>
    <row r="10550" spans="1:1" x14ac:dyDescent="0.25">
      <c r="A10550" s="74">
        <v>15342</v>
      </c>
    </row>
    <row r="10551" spans="1:1" x14ac:dyDescent="0.25">
      <c r="A10551" s="74">
        <v>15343</v>
      </c>
    </row>
    <row r="10552" spans="1:1" x14ac:dyDescent="0.25">
      <c r="A10552" s="74">
        <v>15344</v>
      </c>
    </row>
    <row r="10553" spans="1:1" x14ac:dyDescent="0.25">
      <c r="A10553" s="74">
        <v>15345</v>
      </c>
    </row>
    <row r="10554" spans="1:1" x14ac:dyDescent="0.25">
      <c r="A10554" s="74">
        <v>15346</v>
      </c>
    </row>
    <row r="10555" spans="1:1" x14ac:dyDescent="0.25">
      <c r="A10555" s="74">
        <v>15347</v>
      </c>
    </row>
    <row r="10556" spans="1:1" x14ac:dyDescent="0.25">
      <c r="A10556" s="74">
        <v>15348</v>
      </c>
    </row>
    <row r="10557" spans="1:1" x14ac:dyDescent="0.25">
      <c r="A10557" s="74">
        <v>15349</v>
      </c>
    </row>
    <row r="10558" spans="1:1" x14ac:dyDescent="0.25">
      <c r="A10558" s="74">
        <v>15350</v>
      </c>
    </row>
    <row r="10559" spans="1:1" x14ac:dyDescent="0.25">
      <c r="A10559" s="74">
        <v>15351</v>
      </c>
    </row>
    <row r="10560" spans="1:1" x14ac:dyDescent="0.25">
      <c r="A10560" s="74">
        <v>15352</v>
      </c>
    </row>
    <row r="10561" spans="1:1" x14ac:dyDescent="0.25">
      <c r="A10561" s="74">
        <v>15353</v>
      </c>
    </row>
    <row r="10562" spans="1:1" x14ac:dyDescent="0.25">
      <c r="A10562" s="74">
        <v>15354</v>
      </c>
    </row>
    <row r="10563" spans="1:1" x14ac:dyDescent="0.25">
      <c r="A10563" s="74">
        <v>15355</v>
      </c>
    </row>
    <row r="10564" spans="1:1" x14ac:dyDescent="0.25">
      <c r="A10564" s="74">
        <v>15356</v>
      </c>
    </row>
    <row r="10565" spans="1:1" x14ac:dyDescent="0.25">
      <c r="A10565" s="74">
        <v>15357</v>
      </c>
    </row>
    <row r="10566" spans="1:1" x14ac:dyDescent="0.25">
      <c r="A10566" s="74">
        <v>15358</v>
      </c>
    </row>
    <row r="10567" spans="1:1" x14ac:dyDescent="0.25">
      <c r="A10567" s="74">
        <v>15359</v>
      </c>
    </row>
    <row r="10568" spans="1:1" x14ac:dyDescent="0.25">
      <c r="A10568" s="74">
        <v>15360</v>
      </c>
    </row>
    <row r="10569" spans="1:1" x14ac:dyDescent="0.25">
      <c r="A10569" s="74">
        <v>15361</v>
      </c>
    </row>
    <row r="10570" spans="1:1" x14ac:dyDescent="0.25">
      <c r="A10570" s="74">
        <v>15362</v>
      </c>
    </row>
    <row r="10571" spans="1:1" x14ac:dyDescent="0.25">
      <c r="A10571" s="74">
        <v>15363</v>
      </c>
    </row>
    <row r="10572" spans="1:1" x14ac:dyDescent="0.25">
      <c r="A10572" s="74">
        <v>15364</v>
      </c>
    </row>
    <row r="10573" spans="1:1" x14ac:dyDescent="0.25">
      <c r="A10573" s="74">
        <v>15365</v>
      </c>
    </row>
    <row r="10574" spans="1:1" x14ac:dyDescent="0.25">
      <c r="A10574" s="74">
        <v>15366</v>
      </c>
    </row>
    <row r="10575" spans="1:1" x14ac:dyDescent="0.25">
      <c r="A10575" s="74">
        <v>15367</v>
      </c>
    </row>
    <row r="10576" spans="1:1" x14ac:dyDescent="0.25">
      <c r="A10576" s="74">
        <v>15368</v>
      </c>
    </row>
    <row r="10577" spans="1:1" x14ac:dyDescent="0.25">
      <c r="A10577" s="74">
        <v>15369</v>
      </c>
    </row>
    <row r="10578" spans="1:1" x14ac:dyDescent="0.25">
      <c r="A10578" s="74">
        <v>15370</v>
      </c>
    </row>
    <row r="10579" spans="1:1" x14ac:dyDescent="0.25">
      <c r="A10579" s="74">
        <v>15371</v>
      </c>
    </row>
    <row r="10580" spans="1:1" x14ac:dyDescent="0.25">
      <c r="A10580" s="74">
        <v>15372</v>
      </c>
    </row>
    <row r="10581" spans="1:1" x14ac:dyDescent="0.25">
      <c r="A10581" s="74">
        <v>15373</v>
      </c>
    </row>
    <row r="10582" spans="1:1" x14ac:dyDescent="0.25">
      <c r="A10582" s="74">
        <v>15374</v>
      </c>
    </row>
    <row r="10583" spans="1:1" x14ac:dyDescent="0.25">
      <c r="A10583" s="74">
        <v>15375</v>
      </c>
    </row>
    <row r="10584" spans="1:1" x14ac:dyDescent="0.25">
      <c r="A10584" s="74">
        <v>15376</v>
      </c>
    </row>
    <row r="10585" spans="1:1" x14ac:dyDescent="0.25">
      <c r="A10585" s="74">
        <v>15377</v>
      </c>
    </row>
    <row r="10586" spans="1:1" x14ac:dyDescent="0.25">
      <c r="A10586" s="74">
        <v>15378</v>
      </c>
    </row>
    <row r="10587" spans="1:1" x14ac:dyDescent="0.25">
      <c r="A10587" s="74">
        <v>15379</v>
      </c>
    </row>
    <row r="10588" spans="1:1" x14ac:dyDescent="0.25">
      <c r="A10588" s="74">
        <v>15380</v>
      </c>
    </row>
    <row r="10589" spans="1:1" x14ac:dyDescent="0.25">
      <c r="A10589" s="74">
        <v>15381</v>
      </c>
    </row>
    <row r="10590" spans="1:1" x14ac:dyDescent="0.25">
      <c r="A10590" s="74">
        <v>15382</v>
      </c>
    </row>
    <row r="10591" spans="1:1" x14ac:dyDescent="0.25">
      <c r="A10591" s="74">
        <v>15383</v>
      </c>
    </row>
    <row r="10592" spans="1:1" x14ac:dyDescent="0.25">
      <c r="A10592" s="74">
        <v>15384</v>
      </c>
    </row>
    <row r="10593" spans="1:1" x14ac:dyDescent="0.25">
      <c r="A10593" s="74">
        <v>15385</v>
      </c>
    </row>
    <row r="10594" spans="1:1" x14ac:dyDescent="0.25">
      <c r="A10594" s="74">
        <v>15386</v>
      </c>
    </row>
    <row r="10595" spans="1:1" x14ac:dyDescent="0.25">
      <c r="A10595" s="74">
        <v>15387</v>
      </c>
    </row>
    <row r="10596" spans="1:1" x14ac:dyDescent="0.25">
      <c r="A10596" s="74">
        <v>15388</v>
      </c>
    </row>
    <row r="10597" spans="1:1" x14ac:dyDescent="0.25">
      <c r="A10597" s="74">
        <v>15389</v>
      </c>
    </row>
    <row r="10598" spans="1:1" x14ac:dyDescent="0.25">
      <c r="A10598" s="74">
        <v>15390</v>
      </c>
    </row>
    <row r="10599" spans="1:1" x14ac:dyDescent="0.25">
      <c r="A10599" s="74">
        <v>15391</v>
      </c>
    </row>
    <row r="10600" spans="1:1" x14ac:dyDescent="0.25">
      <c r="A10600" s="74">
        <v>15392</v>
      </c>
    </row>
    <row r="10601" spans="1:1" x14ac:dyDescent="0.25">
      <c r="A10601" s="74">
        <v>15393</v>
      </c>
    </row>
    <row r="10602" spans="1:1" x14ac:dyDescent="0.25">
      <c r="A10602" s="74">
        <v>15394</v>
      </c>
    </row>
    <row r="10603" spans="1:1" x14ac:dyDescent="0.25">
      <c r="A10603" s="74">
        <v>15395</v>
      </c>
    </row>
    <row r="10604" spans="1:1" x14ac:dyDescent="0.25">
      <c r="A10604" s="74">
        <v>15396</v>
      </c>
    </row>
    <row r="10605" spans="1:1" x14ac:dyDescent="0.25">
      <c r="A10605" s="74">
        <v>15397</v>
      </c>
    </row>
    <row r="10606" spans="1:1" x14ac:dyDescent="0.25">
      <c r="A10606" s="74">
        <v>15398</v>
      </c>
    </row>
    <row r="10607" spans="1:1" x14ac:dyDescent="0.25">
      <c r="A10607" s="74">
        <v>15399</v>
      </c>
    </row>
    <row r="10608" spans="1:1" x14ac:dyDescent="0.25">
      <c r="A10608" s="74">
        <v>15400</v>
      </c>
    </row>
    <row r="10609" spans="1:1" x14ac:dyDescent="0.25">
      <c r="A10609" s="74">
        <v>15401</v>
      </c>
    </row>
    <row r="10610" spans="1:1" x14ac:dyDescent="0.25">
      <c r="A10610" s="74">
        <v>15402</v>
      </c>
    </row>
    <row r="10611" spans="1:1" x14ac:dyDescent="0.25">
      <c r="A10611" s="74">
        <v>15403</v>
      </c>
    </row>
    <row r="10612" spans="1:1" x14ac:dyDescent="0.25">
      <c r="A10612" s="74">
        <v>15404</v>
      </c>
    </row>
    <row r="10613" spans="1:1" x14ac:dyDescent="0.25">
      <c r="A10613" s="74">
        <v>15405</v>
      </c>
    </row>
    <row r="10614" spans="1:1" x14ac:dyDescent="0.25">
      <c r="A10614" s="74">
        <v>15406</v>
      </c>
    </row>
    <row r="10615" spans="1:1" x14ac:dyDescent="0.25">
      <c r="A10615" s="74">
        <v>15407</v>
      </c>
    </row>
    <row r="10616" spans="1:1" x14ac:dyDescent="0.25">
      <c r="A10616" s="74">
        <v>15408</v>
      </c>
    </row>
    <row r="10617" spans="1:1" x14ac:dyDescent="0.25">
      <c r="A10617" s="74">
        <v>15409</v>
      </c>
    </row>
    <row r="10618" spans="1:1" x14ac:dyDescent="0.25">
      <c r="A10618" s="74">
        <v>15410</v>
      </c>
    </row>
    <row r="10619" spans="1:1" x14ac:dyDescent="0.25">
      <c r="A10619" s="74">
        <v>15411</v>
      </c>
    </row>
    <row r="10620" spans="1:1" x14ac:dyDescent="0.25">
      <c r="A10620" s="74">
        <v>15412</v>
      </c>
    </row>
    <row r="10621" spans="1:1" x14ac:dyDescent="0.25">
      <c r="A10621" s="74">
        <v>15413</v>
      </c>
    </row>
    <row r="10622" spans="1:1" x14ac:dyDescent="0.25">
      <c r="A10622" s="74">
        <v>15414</v>
      </c>
    </row>
    <row r="10623" spans="1:1" x14ac:dyDescent="0.25">
      <c r="A10623" s="74">
        <v>15415</v>
      </c>
    </row>
    <row r="10624" spans="1:1" x14ac:dyDescent="0.25">
      <c r="A10624" s="74">
        <v>15416</v>
      </c>
    </row>
    <row r="10625" spans="1:1" x14ac:dyDescent="0.25">
      <c r="A10625" s="74">
        <v>15417</v>
      </c>
    </row>
    <row r="10626" spans="1:1" x14ac:dyDescent="0.25">
      <c r="A10626" s="74">
        <v>15418</v>
      </c>
    </row>
    <row r="10627" spans="1:1" x14ac:dyDescent="0.25">
      <c r="A10627" s="74">
        <v>15419</v>
      </c>
    </row>
    <row r="10628" spans="1:1" x14ac:dyDescent="0.25">
      <c r="A10628" s="74">
        <v>15420</v>
      </c>
    </row>
    <row r="10629" spans="1:1" x14ac:dyDescent="0.25">
      <c r="A10629" s="74">
        <v>15421</v>
      </c>
    </row>
    <row r="10630" spans="1:1" x14ac:dyDescent="0.25">
      <c r="A10630" s="74">
        <v>15422</v>
      </c>
    </row>
    <row r="10631" spans="1:1" x14ac:dyDescent="0.25">
      <c r="A10631" s="74">
        <v>15423</v>
      </c>
    </row>
    <row r="10632" spans="1:1" x14ac:dyDescent="0.25">
      <c r="A10632" s="74">
        <v>15424</v>
      </c>
    </row>
    <row r="10633" spans="1:1" x14ac:dyDescent="0.25">
      <c r="A10633" s="74">
        <v>15425</v>
      </c>
    </row>
    <row r="10634" spans="1:1" x14ac:dyDescent="0.25">
      <c r="A10634" s="74">
        <v>15426</v>
      </c>
    </row>
    <row r="10635" spans="1:1" x14ac:dyDescent="0.25">
      <c r="A10635" s="74">
        <v>15427</v>
      </c>
    </row>
    <row r="10636" spans="1:1" x14ac:dyDescent="0.25">
      <c r="A10636" s="74">
        <v>15428</v>
      </c>
    </row>
    <row r="10637" spans="1:1" x14ac:dyDescent="0.25">
      <c r="A10637" s="74">
        <v>15429</v>
      </c>
    </row>
    <row r="10638" spans="1:1" x14ac:dyDescent="0.25">
      <c r="A10638" s="74">
        <v>15430</v>
      </c>
    </row>
    <row r="10639" spans="1:1" x14ac:dyDescent="0.25">
      <c r="A10639" s="74">
        <v>15431</v>
      </c>
    </row>
    <row r="10640" spans="1:1" x14ac:dyDescent="0.25">
      <c r="A10640" s="74">
        <v>15432</v>
      </c>
    </row>
    <row r="10641" spans="1:1" x14ac:dyDescent="0.25">
      <c r="A10641" s="74">
        <v>15433</v>
      </c>
    </row>
    <row r="10642" spans="1:1" x14ac:dyDescent="0.25">
      <c r="A10642" s="74">
        <v>15434</v>
      </c>
    </row>
    <row r="10643" spans="1:1" x14ac:dyDescent="0.25">
      <c r="A10643" s="74">
        <v>15435</v>
      </c>
    </row>
    <row r="10644" spans="1:1" x14ac:dyDescent="0.25">
      <c r="A10644" s="74">
        <v>15436</v>
      </c>
    </row>
    <row r="10645" spans="1:1" x14ac:dyDescent="0.25">
      <c r="A10645" s="74">
        <v>15437</v>
      </c>
    </row>
    <row r="10646" spans="1:1" x14ac:dyDescent="0.25">
      <c r="A10646" s="74">
        <v>15438</v>
      </c>
    </row>
    <row r="10647" spans="1:1" x14ac:dyDescent="0.25">
      <c r="A10647" s="74">
        <v>15439</v>
      </c>
    </row>
    <row r="10648" spans="1:1" x14ac:dyDescent="0.25">
      <c r="A10648" s="74">
        <v>15440</v>
      </c>
    </row>
    <row r="10649" spans="1:1" x14ac:dyDescent="0.25">
      <c r="A10649" s="74">
        <v>15441</v>
      </c>
    </row>
    <row r="10650" spans="1:1" x14ac:dyDescent="0.25">
      <c r="A10650" s="74">
        <v>15442</v>
      </c>
    </row>
    <row r="10651" spans="1:1" x14ac:dyDescent="0.25">
      <c r="A10651" s="74">
        <v>15443</v>
      </c>
    </row>
    <row r="10652" spans="1:1" x14ac:dyDescent="0.25">
      <c r="A10652" s="74">
        <v>15444</v>
      </c>
    </row>
    <row r="10653" spans="1:1" x14ac:dyDescent="0.25">
      <c r="A10653" s="74">
        <v>15445</v>
      </c>
    </row>
    <row r="10654" spans="1:1" x14ac:dyDescent="0.25">
      <c r="A10654" s="74">
        <v>15446</v>
      </c>
    </row>
    <row r="10655" spans="1:1" x14ac:dyDescent="0.25">
      <c r="A10655" s="74">
        <v>15447</v>
      </c>
    </row>
    <row r="10656" spans="1:1" x14ac:dyDescent="0.25">
      <c r="A10656" s="74">
        <v>15448</v>
      </c>
    </row>
    <row r="10657" spans="1:1" x14ac:dyDescent="0.25">
      <c r="A10657" s="74">
        <v>15449</v>
      </c>
    </row>
    <row r="10658" spans="1:1" x14ac:dyDescent="0.25">
      <c r="A10658" s="74">
        <v>15450</v>
      </c>
    </row>
    <row r="10659" spans="1:1" x14ac:dyDescent="0.25">
      <c r="A10659" s="74">
        <v>15451</v>
      </c>
    </row>
    <row r="10660" spans="1:1" x14ac:dyDescent="0.25">
      <c r="A10660" s="74">
        <v>15452</v>
      </c>
    </row>
    <row r="10661" spans="1:1" x14ac:dyDescent="0.25">
      <c r="A10661" s="74">
        <v>15453</v>
      </c>
    </row>
    <row r="10662" spans="1:1" x14ac:dyDescent="0.25">
      <c r="A10662" s="74">
        <v>15454</v>
      </c>
    </row>
    <row r="10663" spans="1:1" x14ac:dyDescent="0.25">
      <c r="A10663" s="74">
        <v>15455</v>
      </c>
    </row>
    <row r="10664" spans="1:1" x14ac:dyDescent="0.25">
      <c r="A10664" s="74">
        <v>15456</v>
      </c>
    </row>
    <row r="10665" spans="1:1" x14ac:dyDescent="0.25">
      <c r="A10665" s="74">
        <v>15457</v>
      </c>
    </row>
    <row r="10666" spans="1:1" x14ac:dyDescent="0.25">
      <c r="A10666" s="74">
        <v>15458</v>
      </c>
    </row>
    <row r="10667" spans="1:1" x14ac:dyDescent="0.25">
      <c r="A10667" s="74">
        <v>15459</v>
      </c>
    </row>
    <row r="10668" spans="1:1" x14ac:dyDescent="0.25">
      <c r="A10668" s="74">
        <v>15460</v>
      </c>
    </row>
    <row r="10669" spans="1:1" x14ac:dyDescent="0.25">
      <c r="A10669" s="74">
        <v>15461</v>
      </c>
    </row>
    <row r="10670" spans="1:1" x14ac:dyDescent="0.25">
      <c r="A10670" s="74">
        <v>15462</v>
      </c>
    </row>
    <row r="10671" spans="1:1" x14ac:dyDescent="0.25">
      <c r="A10671" s="74">
        <v>15463</v>
      </c>
    </row>
    <row r="10672" spans="1:1" x14ac:dyDescent="0.25">
      <c r="A10672" s="74">
        <v>15464</v>
      </c>
    </row>
    <row r="10673" spans="1:1" x14ac:dyDescent="0.25">
      <c r="A10673" s="74">
        <v>15465</v>
      </c>
    </row>
    <row r="10674" spans="1:1" x14ac:dyDescent="0.25">
      <c r="A10674" s="74">
        <v>15466</v>
      </c>
    </row>
    <row r="10675" spans="1:1" x14ac:dyDescent="0.25">
      <c r="A10675" s="74">
        <v>15467</v>
      </c>
    </row>
    <row r="10676" spans="1:1" x14ac:dyDescent="0.25">
      <c r="A10676" s="74">
        <v>15468</v>
      </c>
    </row>
    <row r="10677" spans="1:1" x14ac:dyDescent="0.25">
      <c r="A10677" s="74">
        <v>15469</v>
      </c>
    </row>
    <row r="10678" spans="1:1" x14ac:dyDescent="0.25">
      <c r="A10678" s="74">
        <v>15470</v>
      </c>
    </row>
    <row r="10679" spans="1:1" x14ac:dyDescent="0.25">
      <c r="A10679" s="74">
        <v>15471</v>
      </c>
    </row>
    <row r="10680" spans="1:1" x14ac:dyDescent="0.25">
      <c r="A10680" s="74">
        <v>15472</v>
      </c>
    </row>
    <row r="10681" spans="1:1" x14ac:dyDescent="0.25">
      <c r="A10681" s="74">
        <v>15473</v>
      </c>
    </row>
    <row r="10682" spans="1:1" x14ac:dyDescent="0.25">
      <c r="A10682" s="74">
        <v>15474</v>
      </c>
    </row>
    <row r="10683" spans="1:1" x14ac:dyDescent="0.25">
      <c r="A10683" s="74">
        <v>15475</v>
      </c>
    </row>
    <row r="10684" spans="1:1" x14ac:dyDescent="0.25">
      <c r="A10684" s="74">
        <v>15476</v>
      </c>
    </row>
    <row r="10685" spans="1:1" x14ac:dyDescent="0.25">
      <c r="A10685" s="74">
        <v>15477</v>
      </c>
    </row>
    <row r="10686" spans="1:1" x14ac:dyDescent="0.25">
      <c r="A10686" s="74">
        <v>15478</v>
      </c>
    </row>
    <row r="10687" spans="1:1" x14ac:dyDescent="0.25">
      <c r="A10687" s="74">
        <v>15479</v>
      </c>
    </row>
    <row r="10688" spans="1:1" x14ac:dyDescent="0.25">
      <c r="A10688" s="74">
        <v>15480</v>
      </c>
    </row>
    <row r="10689" spans="1:1" x14ac:dyDescent="0.25">
      <c r="A10689" s="74">
        <v>15481</v>
      </c>
    </row>
    <row r="10690" spans="1:1" x14ac:dyDescent="0.25">
      <c r="A10690" s="74">
        <v>15482</v>
      </c>
    </row>
    <row r="10691" spans="1:1" x14ac:dyDescent="0.25">
      <c r="A10691" s="74">
        <v>15483</v>
      </c>
    </row>
    <row r="10692" spans="1:1" x14ac:dyDescent="0.25">
      <c r="A10692" s="74">
        <v>15484</v>
      </c>
    </row>
    <row r="10693" spans="1:1" x14ac:dyDescent="0.25">
      <c r="A10693" s="74">
        <v>15485</v>
      </c>
    </row>
    <row r="10694" spans="1:1" x14ac:dyDescent="0.25">
      <c r="A10694" s="74">
        <v>15486</v>
      </c>
    </row>
    <row r="10695" spans="1:1" x14ac:dyDescent="0.25">
      <c r="A10695" s="74">
        <v>15487</v>
      </c>
    </row>
    <row r="10696" spans="1:1" x14ac:dyDescent="0.25">
      <c r="A10696" s="74">
        <v>15488</v>
      </c>
    </row>
    <row r="10697" spans="1:1" x14ac:dyDescent="0.25">
      <c r="A10697" s="74">
        <v>15489</v>
      </c>
    </row>
    <row r="10698" spans="1:1" x14ac:dyDescent="0.25">
      <c r="A10698" s="74">
        <v>15490</v>
      </c>
    </row>
    <row r="10699" spans="1:1" x14ac:dyDescent="0.25">
      <c r="A10699" s="74">
        <v>15491</v>
      </c>
    </row>
    <row r="10700" spans="1:1" x14ac:dyDescent="0.25">
      <c r="A10700" s="74">
        <v>15492</v>
      </c>
    </row>
    <row r="10701" spans="1:1" x14ac:dyDescent="0.25">
      <c r="A10701" s="74">
        <v>15493</v>
      </c>
    </row>
    <row r="10702" spans="1:1" x14ac:dyDescent="0.25">
      <c r="A10702" s="74">
        <v>15494</v>
      </c>
    </row>
    <row r="10703" spans="1:1" x14ac:dyDescent="0.25">
      <c r="A10703" s="74">
        <v>15495</v>
      </c>
    </row>
    <row r="10704" spans="1:1" x14ac:dyDescent="0.25">
      <c r="A10704" s="74">
        <v>15496</v>
      </c>
    </row>
    <row r="10705" spans="1:1" x14ac:dyDescent="0.25">
      <c r="A10705" s="74">
        <v>15497</v>
      </c>
    </row>
    <row r="10706" spans="1:1" x14ac:dyDescent="0.25">
      <c r="A10706" s="74">
        <v>15498</v>
      </c>
    </row>
    <row r="10707" spans="1:1" x14ac:dyDescent="0.25">
      <c r="A10707" s="74">
        <v>15499</v>
      </c>
    </row>
    <row r="10708" spans="1:1" x14ac:dyDescent="0.25">
      <c r="A10708" s="74">
        <v>15500</v>
      </c>
    </row>
    <row r="10709" spans="1:1" x14ac:dyDescent="0.25">
      <c r="A10709" s="74">
        <v>15501</v>
      </c>
    </row>
    <row r="10710" spans="1:1" x14ac:dyDescent="0.25">
      <c r="A10710" s="74">
        <v>15502</v>
      </c>
    </row>
    <row r="10711" spans="1:1" x14ac:dyDescent="0.25">
      <c r="A10711" s="74">
        <v>15503</v>
      </c>
    </row>
    <row r="10712" spans="1:1" x14ac:dyDescent="0.25">
      <c r="A10712" s="74">
        <v>15504</v>
      </c>
    </row>
    <row r="10713" spans="1:1" x14ac:dyDescent="0.25">
      <c r="A10713" s="74">
        <v>15505</v>
      </c>
    </row>
    <row r="10714" spans="1:1" x14ac:dyDescent="0.25">
      <c r="A10714" s="74">
        <v>15506</v>
      </c>
    </row>
    <row r="10715" spans="1:1" x14ac:dyDescent="0.25">
      <c r="A10715" s="74">
        <v>15507</v>
      </c>
    </row>
    <row r="10716" spans="1:1" x14ac:dyDescent="0.25">
      <c r="A10716" s="74">
        <v>15508</v>
      </c>
    </row>
    <row r="10717" spans="1:1" x14ac:dyDescent="0.25">
      <c r="A10717" s="74">
        <v>15509</v>
      </c>
    </row>
    <row r="10718" spans="1:1" x14ac:dyDescent="0.25">
      <c r="A10718" s="74">
        <v>15510</v>
      </c>
    </row>
    <row r="10719" spans="1:1" x14ac:dyDescent="0.25">
      <c r="A10719" s="74">
        <v>15511</v>
      </c>
    </row>
    <row r="10720" spans="1:1" x14ac:dyDescent="0.25">
      <c r="A10720" s="74">
        <v>15512</v>
      </c>
    </row>
    <row r="10721" spans="1:1" x14ac:dyDescent="0.25">
      <c r="A10721" s="74">
        <v>15513</v>
      </c>
    </row>
    <row r="10722" spans="1:1" x14ac:dyDescent="0.25">
      <c r="A10722" s="74">
        <v>15514</v>
      </c>
    </row>
    <row r="10723" spans="1:1" x14ac:dyDescent="0.25">
      <c r="A10723" s="74">
        <v>15515</v>
      </c>
    </row>
    <row r="10724" spans="1:1" x14ac:dyDescent="0.25">
      <c r="A10724" s="74">
        <v>15516</v>
      </c>
    </row>
    <row r="10725" spans="1:1" x14ac:dyDescent="0.25">
      <c r="A10725" s="74">
        <v>15517</v>
      </c>
    </row>
    <row r="10726" spans="1:1" x14ac:dyDescent="0.25">
      <c r="A10726" s="74">
        <v>15518</v>
      </c>
    </row>
    <row r="10727" spans="1:1" x14ac:dyDescent="0.25">
      <c r="A10727" s="74">
        <v>15519</v>
      </c>
    </row>
    <row r="10728" spans="1:1" x14ac:dyDescent="0.25">
      <c r="A10728" s="74">
        <v>15520</v>
      </c>
    </row>
    <row r="10729" spans="1:1" x14ac:dyDescent="0.25">
      <c r="A10729" s="74">
        <v>15521</v>
      </c>
    </row>
    <row r="10730" spans="1:1" x14ac:dyDescent="0.25">
      <c r="A10730" s="74">
        <v>15522</v>
      </c>
    </row>
    <row r="10731" spans="1:1" x14ac:dyDescent="0.25">
      <c r="A10731" s="74">
        <v>15523</v>
      </c>
    </row>
    <row r="10732" spans="1:1" x14ac:dyDescent="0.25">
      <c r="A10732" s="74">
        <v>15524</v>
      </c>
    </row>
    <row r="10733" spans="1:1" x14ac:dyDescent="0.25">
      <c r="A10733" s="74">
        <v>15525</v>
      </c>
    </row>
    <row r="10734" spans="1:1" x14ac:dyDescent="0.25">
      <c r="A10734" s="74">
        <v>15526</v>
      </c>
    </row>
    <row r="10735" spans="1:1" x14ac:dyDescent="0.25">
      <c r="A10735" s="74">
        <v>15527</v>
      </c>
    </row>
    <row r="10736" spans="1:1" x14ac:dyDescent="0.25">
      <c r="A10736" s="74">
        <v>15528</v>
      </c>
    </row>
    <row r="10737" spans="1:1" x14ac:dyDescent="0.25">
      <c r="A10737" s="74">
        <v>15529</v>
      </c>
    </row>
    <row r="10738" spans="1:1" x14ac:dyDescent="0.25">
      <c r="A10738" s="74">
        <v>15530</v>
      </c>
    </row>
    <row r="10739" spans="1:1" x14ac:dyDescent="0.25">
      <c r="A10739" s="74">
        <v>15531</v>
      </c>
    </row>
    <row r="10740" spans="1:1" x14ac:dyDescent="0.25">
      <c r="A10740" s="74">
        <v>15532</v>
      </c>
    </row>
    <row r="10741" spans="1:1" x14ac:dyDescent="0.25">
      <c r="A10741" s="74">
        <v>15533</v>
      </c>
    </row>
    <row r="10742" spans="1:1" x14ac:dyDescent="0.25">
      <c r="A10742" s="74">
        <v>15534</v>
      </c>
    </row>
    <row r="10743" spans="1:1" x14ac:dyDescent="0.25">
      <c r="A10743" s="74">
        <v>15535</v>
      </c>
    </row>
    <row r="10744" spans="1:1" x14ac:dyDescent="0.25">
      <c r="A10744" s="74">
        <v>15536</v>
      </c>
    </row>
    <row r="10745" spans="1:1" x14ac:dyDescent="0.25">
      <c r="A10745" s="74">
        <v>15537</v>
      </c>
    </row>
    <row r="10746" spans="1:1" x14ac:dyDescent="0.25">
      <c r="A10746" s="74">
        <v>15538</v>
      </c>
    </row>
    <row r="10747" spans="1:1" x14ac:dyDescent="0.25">
      <c r="A10747" s="74">
        <v>15539</v>
      </c>
    </row>
    <row r="10748" spans="1:1" x14ac:dyDescent="0.25">
      <c r="A10748" s="74">
        <v>15540</v>
      </c>
    </row>
    <row r="10749" spans="1:1" x14ac:dyDescent="0.25">
      <c r="A10749" s="74">
        <v>15541</v>
      </c>
    </row>
    <row r="10750" spans="1:1" x14ac:dyDescent="0.25">
      <c r="A10750" s="74">
        <v>15542</v>
      </c>
    </row>
    <row r="10751" spans="1:1" x14ac:dyDescent="0.25">
      <c r="A10751" s="74">
        <v>15543</v>
      </c>
    </row>
    <row r="10752" spans="1:1" x14ac:dyDescent="0.25">
      <c r="A10752" s="74">
        <v>15544</v>
      </c>
    </row>
    <row r="10753" spans="1:1" x14ac:dyDescent="0.25">
      <c r="A10753" s="74">
        <v>15545</v>
      </c>
    </row>
    <row r="10754" spans="1:1" x14ac:dyDescent="0.25">
      <c r="A10754" s="74">
        <v>15546</v>
      </c>
    </row>
    <row r="10755" spans="1:1" x14ac:dyDescent="0.25">
      <c r="A10755" s="74">
        <v>15547</v>
      </c>
    </row>
    <row r="10756" spans="1:1" x14ac:dyDescent="0.25">
      <c r="A10756" s="74">
        <v>15548</v>
      </c>
    </row>
    <row r="10757" spans="1:1" x14ac:dyDescent="0.25">
      <c r="A10757" s="74">
        <v>15549</v>
      </c>
    </row>
    <row r="10758" spans="1:1" x14ac:dyDescent="0.25">
      <c r="A10758" s="74">
        <v>15550</v>
      </c>
    </row>
    <row r="10759" spans="1:1" x14ac:dyDescent="0.25">
      <c r="A10759" s="74">
        <v>15551</v>
      </c>
    </row>
    <row r="10760" spans="1:1" x14ac:dyDescent="0.25">
      <c r="A10760" s="74">
        <v>15552</v>
      </c>
    </row>
    <row r="10761" spans="1:1" x14ac:dyDescent="0.25">
      <c r="A10761" s="74">
        <v>15553</v>
      </c>
    </row>
    <row r="10762" spans="1:1" x14ac:dyDescent="0.25">
      <c r="A10762" s="74">
        <v>15554</v>
      </c>
    </row>
    <row r="10763" spans="1:1" x14ac:dyDescent="0.25">
      <c r="A10763" s="74">
        <v>15555</v>
      </c>
    </row>
    <row r="10764" spans="1:1" x14ac:dyDescent="0.25">
      <c r="A10764" s="74">
        <v>15556</v>
      </c>
    </row>
    <row r="10765" spans="1:1" x14ac:dyDescent="0.25">
      <c r="A10765" s="74">
        <v>15557</v>
      </c>
    </row>
    <row r="10766" spans="1:1" x14ac:dyDescent="0.25">
      <c r="A10766" s="74">
        <v>15558</v>
      </c>
    </row>
    <row r="10767" spans="1:1" x14ac:dyDescent="0.25">
      <c r="A10767" s="74">
        <v>15559</v>
      </c>
    </row>
    <row r="10768" spans="1:1" x14ac:dyDescent="0.25">
      <c r="A10768" s="74">
        <v>15560</v>
      </c>
    </row>
    <row r="10769" spans="1:1" x14ac:dyDescent="0.25">
      <c r="A10769" s="74">
        <v>15561</v>
      </c>
    </row>
    <row r="10770" spans="1:1" x14ac:dyDescent="0.25">
      <c r="A10770" s="74">
        <v>15562</v>
      </c>
    </row>
    <row r="10771" spans="1:1" x14ac:dyDescent="0.25">
      <c r="A10771" s="74">
        <v>15563</v>
      </c>
    </row>
    <row r="10772" spans="1:1" x14ac:dyDescent="0.25">
      <c r="A10772" s="74">
        <v>15564</v>
      </c>
    </row>
    <row r="10773" spans="1:1" x14ac:dyDescent="0.25">
      <c r="A10773" s="74">
        <v>15565</v>
      </c>
    </row>
    <row r="10774" spans="1:1" x14ac:dyDescent="0.25">
      <c r="A10774" s="74">
        <v>15566</v>
      </c>
    </row>
    <row r="10775" spans="1:1" x14ac:dyDescent="0.25">
      <c r="A10775" s="74">
        <v>15567</v>
      </c>
    </row>
    <row r="10776" spans="1:1" x14ac:dyDescent="0.25">
      <c r="A10776" s="74">
        <v>15568</v>
      </c>
    </row>
    <row r="10777" spans="1:1" x14ac:dyDescent="0.25">
      <c r="A10777" s="74">
        <v>15569</v>
      </c>
    </row>
    <row r="10778" spans="1:1" x14ac:dyDescent="0.25">
      <c r="A10778" s="74">
        <v>15570</v>
      </c>
    </row>
    <row r="10779" spans="1:1" x14ac:dyDescent="0.25">
      <c r="A10779" s="74">
        <v>15571</v>
      </c>
    </row>
    <row r="10780" spans="1:1" x14ac:dyDescent="0.25">
      <c r="A10780" s="74">
        <v>15572</v>
      </c>
    </row>
    <row r="10781" spans="1:1" x14ac:dyDescent="0.25">
      <c r="A10781" s="74">
        <v>15573</v>
      </c>
    </row>
    <row r="10782" spans="1:1" x14ac:dyDescent="0.25">
      <c r="A10782" s="74">
        <v>15574</v>
      </c>
    </row>
    <row r="10783" spans="1:1" x14ac:dyDescent="0.25">
      <c r="A10783" s="74">
        <v>15575</v>
      </c>
    </row>
    <row r="10784" spans="1:1" x14ac:dyDescent="0.25">
      <c r="A10784" s="74">
        <v>15576</v>
      </c>
    </row>
    <row r="10785" spans="1:1" x14ac:dyDescent="0.25">
      <c r="A10785" s="74">
        <v>15577</v>
      </c>
    </row>
    <row r="10786" spans="1:1" x14ac:dyDescent="0.25">
      <c r="A10786" s="74">
        <v>15578</v>
      </c>
    </row>
    <row r="10787" spans="1:1" x14ac:dyDescent="0.25">
      <c r="A10787" s="74">
        <v>15579</v>
      </c>
    </row>
    <row r="10788" spans="1:1" x14ac:dyDescent="0.25">
      <c r="A10788" s="74">
        <v>15580</v>
      </c>
    </row>
    <row r="10789" spans="1:1" x14ac:dyDescent="0.25">
      <c r="A10789" s="74">
        <v>15581</v>
      </c>
    </row>
    <row r="10790" spans="1:1" x14ac:dyDescent="0.25">
      <c r="A10790" s="74">
        <v>15582</v>
      </c>
    </row>
    <row r="10791" spans="1:1" x14ac:dyDescent="0.25">
      <c r="A10791" s="74">
        <v>15583</v>
      </c>
    </row>
    <row r="10792" spans="1:1" x14ac:dyDescent="0.25">
      <c r="A10792" s="74">
        <v>15584</v>
      </c>
    </row>
    <row r="10793" spans="1:1" x14ac:dyDescent="0.25">
      <c r="A10793" s="74">
        <v>15585</v>
      </c>
    </row>
    <row r="10794" spans="1:1" x14ac:dyDescent="0.25">
      <c r="A10794" s="74">
        <v>15586</v>
      </c>
    </row>
    <row r="10795" spans="1:1" x14ac:dyDescent="0.25">
      <c r="A10795" s="74">
        <v>15587</v>
      </c>
    </row>
    <row r="10796" spans="1:1" x14ac:dyDescent="0.25">
      <c r="A10796" s="74">
        <v>15588</v>
      </c>
    </row>
    <row r="10797" spans="1:1" x14ac:dyDescent="0.25">
      <c r="A10797" s="74">
        <v>15589</v>
      </c>
    </row>
    <row r="10798" spans="1:1" x14ac:dyDescent="0.25">
      <c r="A10798" s="74">
        <v>15590</v>
      </c>
    </row>
    <row r="10799" spans="1:1" x14ac:dyDescent="0.25">
      <c r="A10799" s="74">
        <v>15591</v>
      </c>
    </row>
    <row r="10800" spans="1:1" x14ac:dyDescent="0.25">
      <c r="A10800" s="74">
        <v>15592</v>
      </c>
    </row>
    <row r="10801" spans="1:1" x14ac:dyDescent="0.25">
      <c r="A10801" s="74">
        <v>15593</v>
      </c>
    </row>
    <row r="10802" spans="1:1" x14ac:dyDescent="0.25">
      <c r="A10802" s="74">
        <v>15594</v>
      </c>
    </row>
    <row r="10803" spans="1:1" x14ac:dyDescent="0.25">
      <c r="A10803" s="74">
        <v>15595</v>
      </c>
    </row>
    <row r="10804" spans="1:1" x14ac:dyDescent="0.25">
      <c r="A10804" s="74">
        <v>15596</v>
      </c>
    </row>
    <row r="10805" spans="1:1" x14ac:dyDescent="0.25">
      <c r="A10805" s="74">
        <v>15597</v>
      </c>
    </row>
    <row r="10806" spans="1:1" x14ac:dyDescent="0.25">
      <c r="A10806" s="74">
        <v>15598</v>
      </c>
    </row>
    <row r="10807" spans="1:1" x14ac:dyDescent="0.25">
      <c r="A10807" s="74">
        <v>15599</v>
      </c>
    </row>
    <row r="10808" spans="1:1" x14ac:dyDescent="0.25">
      <c r="A10808" s="74">
        <v>15600</v>
      </c>
    </row>
    <row r="10809" spans="1:1" x14ac:dyDescent="0.25">
      <c r="A10809" s="74">
        <v>15601</v>
      </c>
    </row>
    <row r="10810" spans="1:1" x14ac:dyDescent="0.25">
      <c r="A10810" s="74">
        <v>15602</v>
      </c>
    </row>
    <row r="10811" spans="1:1" x14ac:dyDescent="0.25">
      <c r="A10811" s="74">
        <v>15603</v>
      </c>
    </row>
    <row r="10812" spans="1:1" x14ac:dyDescent="0.25">
      <c r="A10812" s="74">
        <v>15604</v>
      </c>
    </row>
    <row r="10813" spans="1:1" x14ac:dyDescent="0.25">
      <c r="A10813" s="74">
        <v>15605</v>
      </c>
    </row>
    <row r="10814" spans="1:1" x14ac:dyDescent="0.25">
      <c r="A10814" s="74">
        <v>15606</v>
      </c>
    </row>
    <row r="10815" spans="1:1" x14ac:dyDescent="0.25">
      <c r="A10815" s="74">
        <v>15607</v>
      </c>
    </row>
    <row r="10816" spans="1:1" x14ac:dyDescent="0.25">
      <c r="A10816" s="74">
        <v>15608</v>
      </c>
    </row>
    <row r="10817" spans="1:1" x14ac:dyDescent="0.25">
      <c r="A10817" s="74">
        <v>15609</v>
      </c>
    </row>
    <row r="10818" spans="1:1" x14ac:dyDescent="0.25">
      <c r="A10818" s="74">
        <v>15610</v>
      </c>
    </row>
    <row r="10819" spans="1:1" x14ac:dyDescent="0.25">
      <c r="A10819" s="74">
        <v>15611</v>
      </c>
    </row>
    <row r="10820" spans="1:1" x14ac:dyDescent="0.25">
      <c r="A10820" s="74">
        <v>15612</v>
      </c>
    </row>
    <row r="10821" spans="1:1" x14ac:dyDescent="0.25">
      <c r="A10821" s="74">
        <v>15613</v>
      </c>
    </row>
    <row r="10822" spans="1:1" x14ac:dyDescent="0.25">
      <c r="A10822" s="74">
        <v>15614</v>
      </c>
    </row>
    <row r="10823" spans="1:1" x14ac:dyDescent="0.25">
      <c r="A10823" s="74">
        <v>15615</v>
      </c>
    </row>
    <row r="10824" spans="1:1" x14ac:dyDescent="0.25">
      <c r="A10824" s="74">
        <v>15616</v>
      </c>
    </row>
    <row r="10825" spans="1:1" x14ac:dyDescent="0.25">
      <c r="A10825" s="74">
        <v>15617</v>
      </c>
    </row>
    <row r="10826" spans="1:1" x14ac:dyDescent="0.25">
      <c r="A10826" s="74">
        <v>15618</v>
      </c>
    </row>
    <row r="10827" spans="1:1" x14ac:dyDescent="0.25">
      <c r="A10827" s="74">
        <v>15619</v>
      </c>
    </row>
    <row r="10828" spans="1:1" x14ac:dyDescent="0.25">
      <c r="A10828" s="74">
        <v>15620</v>
      </c>
    </row>
    <row r="10829" spans="1:1" x14ac:dyDescent="0.25">
      <c r="A10829" s="74">
        <v>15621</v>
      </c>
    </row>
    <row r="10830" spans="1:1" x14ac:dyDescent="0.25">
      <c r="A10830" s="74">
        <v>15622</v>
      </c>
    </row>
    <row r="10831" spans="1:1" x14ac:dyDescent="0.25">
      <c r="A10831" s="74">
        <v>15623</v>
      </c>
    </row>
    <row r="10832" spans="1:1" x14ac:dyDescent="0.25">
      <c r="A10832" s="74">
        <v>15624</v>
      </c>
    </row>
    <row r="10833" spans="1:1" x14ac:dyDescent="0.25">
      <c r="A10833" s="74">
        <v>15625</v>
      </c>
    </row>
    <row r="10834" spans="1:1" x14ac:dyDescent="0.25">
      <c r="A10834" s="74">
        <v>15626</v>
      </c>
    </row>
    <row r="10835" spans="1:1" x14ac:dyDescent="0.25">
      <c r="A10835" s="74">
        <v>15627</v>
      </c>
    </row>
    <row r="10836" spans="1:1" x14ac:dyDescent="0.25">
      <c r="A10836" s="74">
        <v>15628</v>
      </c>
    </row>
    <row r="10837" spans="1:1" x14ac:dyDescent="0.25">
      <c r="A10837" s="74">
        <v>15629</v>
      </c>
    </row>
    <row r="10838" spans="1:1" x14ac:dyDescent="0.25">
      <c r="A10838" s="74">
        <v>15630</v>
      </c>
    </row>
    <row r="10839" spans="1:1" x14ac:dyDescent="0.25">
      <c r="A10839" s="74">
        <v>15631</v>
      </c>
    </row>
    <row r="10840" spans="1:1" x14ac:dyDescent="0.25">
      <c r="A10840" s="74">
        <v>15632</v>
      </c>
    </row>
    <row r="10841" spans="1:1" x14ac:dyDescent="0.25">
      <c r="A10841" s="74">
        <v>15633</v>
      </c>
    </row>
    <row r="10842" spans="1:1" x14ac:dyDescent="0.25">
      <c r="A10842" s="74">
        <v>15634</v>
      </c>
    </row>
    <row r="10843" spans="1:1" x14ac:dyDescent="0.25">
      <c r="A10843" s="74">
        <v>15635</v>
      </c>
    </row>
    <row r="10844" spans="1:1" x14ac:dyDescent="0.25">
      <c r="A10844" s="74">
        <v>15636</v>
      </c>
    </row>
    <row r="10845" spans="1:1" x14ac:dyDescent="0.25">
      <c r="A10845" s="74">
        <v>15637</v>
      </c>
    </row>
    <row r="10846" spans="1:1" x14ac:dyDescent="0.25">
      <c r="A10846" s="74">
        <v>15638</v>
      </c>
    </row>
    <row r="10847" spans="1:1" x14ac:dyDescent="0.25">
      <c r="A10847" s="74">
        <v>15639</v>
      </c>
    </row>
    <row r="10848" spans="1:1" x14ac:dyDescent="0.25">
      <c r="A10848" s="74">
        <v>15640</v>
      </c>
    </row>
    <row r="10849" spans="1:1" x14ac:dyDescent="0.25">
      <c r="A10849" s="74">
        <v>15641</v>
      </c>
    </row>
    <row r="10850" spans="1:1" x14ac:dyDescent="0.25">
      <c r="A10850" s="74">
        <v>15642</v>
      </c>
    </row>
    <row r="10851" spans="1:1" x14ac:dyDescent="0.25">
      <c r="A10851" s="74">
        <v>15643</v>
      </c>
    </row>
    <row r="10852" spans="1:1" x14ac:dyDescent="0.25">
      <c r="A10852" s="74">
        <v>15644</v>
      </c>
    </row>
    <row r="10853" spans="1:1" x14ac:dyDescent="0.25">
      <c r="A10853" s="74">
        <v>15645</v>
      </c>
    </row>
    <row r="10854" spans="1:1" x14ac:dyDescent="0.25">
      <c r="A10854" s="74">
        <v>15646</v>
      </c>
    </row>
    <row r="10855" spans="1:1" x14ac:dyDescent="0.25">
      <c r="A10855" s="74">
        <v>15647</v>
      </c>
    </row>
    <row r="10856" spans="1:1" x14ac:dyDescent="0.25">
      <c r="A10856" s="74">
        <v>15648</v>
      </c>
    </row>
    <row r="10857" spans="1:1" x14ac:dyDescent="0.25">
      <c r="A10857" s="74">
        <v>15649</v>
      </c>
    </row>
    <row r="10858" spans="1:1" x14ac:dyDescent="0.25">
      <c r="A10858" s="74">
        <v>15650</v>
      </c>
    </row>
    <row r="10859" spans="1:1" x14ac:dyDescent="0.25">
      <c r="A10859" s="74">
        <v>15651</v>
      </c>
    </row>
    <row r="10860" spans="1:1" x14ac:dyDescent="0.25">
      <c r="A10860" s="74">
        <v>15652</v>
      </c>
    </row>
    <row r="10861" spans="1:1" x14ac:dyDescent="0.25">
      <c r="A10861" s="74">
        <v>15653</v>
      </c>
    </row>
    <row r="10862" spans="1:1" x14ac:dyDescent="0.25">
      <c r="A10862" s="74">
        <v>15654</v>
      </c>
    </row>
    <row r="10863" spans="1:1" x14ac:dyDescent="0.25">
      <c r="A10863" s="74">
        <v>15655</v>
      </c>
    </row>
    <row r="10864" spans="1:1" x14ac:dyDescent="0.25">
      <c r="A10864" s="74">
        <v>15656</v>
      </c>
    </row>
    <row r="10865" spans="1:1" x14ac:dyDescent="0.25">
      <c r="A10865" s="74">
        <v>15657</v>
      </c>
    </row>
    <row r="10866" spans="1:1" x14ac:dyDescent="0.25">
      <c r="A10866" s="74">
        <v>15658</v>
      </c>
    </row>
    <row r="10867" spans="1:1" x14ac:dyDescent="0.25">
      <c r="A10867" s="74">
        <v>15659</v>
      </c>
    </row>
    <row r="10868" spans="1:1" x14ac:dyDescent="0.25">
      <c r="A10868" s="74">
        <v>15660</v>
      </c>
    </row>
    <row r="10869" spans="1:1" x14ac:dyDescent="0.25">
      <c r="A10869" s="74">
        <v>15661</v>
      </c>
    </row>
    <row r="10870" spans="1:1" x14ac:dyDescent="0.25">
      <c r="A10870" s="74">
        <v>15662</v>
      </c>
    </row>
    <row r="10871" spans="1:1" x14ac:dyDescent="0.25">
      <c r="A10871" s="74">
        <v>15663</v>
      </c>
    </row>
    <row r="10872" spans="1:1" x14ac:dyDescent="0.25">
      <c r="A10872" s="74">
        <v>15664</v>
      </c>
    </row>
    <row r="10873" spans="1:1" x14ac:dyDescent="0.25">
      <c r="A10873" s="74">
        <v>15665</v>
      </c>
    </row>
    <row r="10874" spans="1:1" x14ac:dyDescent="0.25">
      <c r="A10874" s="74">
        <v>15666</v>
      </c>
    </row>
    <row r="10875" spans="1:1" x14ac:dyDescent="0.25">
      <c r="A10875" s="74">
        <v>15667</v>
      </c>
    </row>
    <row r="10876" spans="1:1" x14ac:dyDescent="0.25">
      <c r="A10876" s="74">
        <v>15668</v>
      </c>
    </row>
    <row r="10877" spans="1:1" x14ac:dyDescent="0.25">
      <c r="A10877" s="74">
        <v>15669</v>
      </c>
    </row>
    <row r="10878" spans="1:1" x14ac:dyDescent="0.25">
      <c r="A10878" s="74">
        <v>15670</v>
      </c>
    </row>
    <row r="10879" spans="1:1" x14ac:dyDescent="0.25">
      <c r="A10879" s="74">
        <v>15671</v>
      </c>
    </row>
    <row r="10880" spans="1:1" x14ac:dyDescent="0.25">
      <c r="A10880" s="74">
        <v>15672</v>
      </c>
    </row>
    <row r="10881" spans="1:1" x14ac:dyDescent="0.25">
      <c r="A10881" s="74">
        <v>15673</v>
      </c>
    </row>
    <row r="10882" spans="1:1" x14ac:dyDescent="0.25">
      <c r="A10882" s="74">
        <v>15674</v>
      </c>
    </row>
    <row r="10883" spans="1:1" x14ac:dyDescent="0.25">
      <c r="A10883" s="74">
        <v>15675</v>
      </c>
    </row>
    <row r="10884" spans="1:1" x14ac:dyDescent="0.25">
      <c r="A10884" s="74">
        <v>15676</v>
      </c>
    </row>
    <row r="10885" spans="1:1" x14ac:dyDescent="0.25">
      <c r="A10885" s="74">
        <v>15677</v>
      </c>
    </row>
    <row r="10886" spans="1:1" x14ac:dyDescent="0.25">
      <c r="A10886" s="74">
        <v>15678</v>
      </c>
    </row>
    <row r="10887" spans="1:1" x14ac:dyDescent="0.25">
      <c r="A10887" s="74">
        <v>15679</v>
      </c>
    </row>
    <row r="10888" spans="1:1" x14ac:dyDescent="0.25">
      <c r="A10888" s="74">
        <v>15680</v>
      </c>
    </row>
    <row r="10889" spans="1:1" x14ac:dyDescent="0.25">
      <c r="A10889" s="74">
        <v>15681</v>
      </c>
    </row>
    <row r="10890" spans="1:1" x14ac:dyDescent="0.25">
      <c r="A10890" s="74">
        <v>15682</v>
      </c>
    </row>
    <row r="10891" spans="1:1" x14ac:dyDescent="0.25">
      <c r="A10891" s="74">
        <v>15683</v>
      </c>
    </row>
    <row r="10892" spans="1:1" x14ac:dyDescent="0.25">
      <c r="A10892" s="74">
        <v>15684</v>
      </c>
    </row>
    <row r="10893" spans="1:1" x14ac:dyDescent="0.25">
      <c r="A10893" s="74">
        <v>15685</v>
      </c>
    </row>
    <row r="10894" spans="1:1" x14ac:dyDescent="0.25">
      <c r="A10894" s="74">
        <v>15686</v>
      </c>
    </row>
    <row r="10895" spans="1:1" x14ac:dyDescent="0.25">
      <c r="A10895" s="74">
        <v>15687</v>
      </c>
    </row>
    <row r="10896" spans="1:1" x14ac:dyDescent="0.25">
      <c r="A10896" s="74">
        <v>15688</v>
      </c>
    </row>
    <row r="10897" spans="1:1" x14ac:dyDescent="0.25">
      <c r="A10897" s="74">
        <v>15689</v>
      </c>
    </row>
    <row r="10898" spans="1:1" x14ac:dyDescent="0.25">
      <c r="A10898" s="74">
        <v>15690</v>
      </c>
    </row>
    <row r="10899" spans="1:1" x14ac:dyDescent="0.25">
      <c r="A10899" s="74">
        <v>15691</v>
      </c>
    </row>
    <row r="10900" spans="1:1" x14ac:dyDescent="0.25">
      <c r="A10900" s="74">
        <v>15692</v>
      </c>
    </row>
    <row r="10901" spans="1:1" x14ac:dyDescent="0.25">
      <c r="A10901" s="74">
        <v>15693</v>
      </c>
    </row>
    <row r="10902" spans="1:1" x14ac:dyDescent="0.25">
      <c r="A10902" s="74">
        <v>15694</v>
      </c>
    </row>
    <row r="10903" spans="1:1" x14ac:dyDescent="0.25">
      <c r="A10903" s="74">
        <v>15695</v>
      </c>
    </row>
    <row r="10904" spans="1:1" x14ac:dyDescent="0.25">
      <c r="A10904" s="74">
        <v>15696</v>
      </c>
    </row>
    <row r="10905" spans="1:1" x14ac:dyDescent="0.25">
      <c r="A10905" s="74">
        <v>15697</v>
      </c>
    </row>
    <row r="10906" spans="1:1" x14ac:dyDescent="0.25">
      <c r="A10906" s="74">
        <v>15698</v>
      </c>
    </row>
    <row r="10907" spans="1:1" x14ac:dyDescent="0.25">
      <c r="A10907" s="74">
        <v>15699</v>
      </c>
    </row>
    <row r="10908" spans="1:1" x14ac:dyDescent="0.25">
      <c r="A10908" s="74">
        <v>15700</v>
      </c>
    </row>
    <row r="10909" spans="1:1" x14ac:dyDescent="0.25">
      <c r="A10909" s="74">
        <v>15701</v>
      </c>
    </row>
    <row r="10910" spans="1:1" x14ac:dyDescent="0.25">
      <c r="A10910" s="74">
        <v>15702</v>
      </c>
    </row>
    <row r="10911" spans="1:1" x14ac:dyDescent="0.25">
      <c r="A10911" s="74">
        <v>15703</v>
      </c>
    </row>
    <row r="10912" spans="1:1" x14ac:dyDescent="0.25">
      <c r="A10912" s="74">
        <v>15704</v>
      </c>
    </row>
    <row r="10913" spans="1:1" x14ac:dyDescent="0.25">
      <c r="A10913" s="74">
        <v>15705</v>
      </c>
    </row>
    <row r="10914" spans="1:1" x14ac:dyDescent="0.25">
      <c r="A10914" s="74">
        <v>15706</v>
      </c>
    </row>
    <row r="10915" spans="1:1" x14ac:dyDescent="0.25">
      <c r="A10915" s="74">
        <v>15707</v>
      </c>
    </row>
    <row r="10916" spans="1:1" x14ac:dyDescent="0.25">
      <c r="A10916" s="74">
        <v>15708</v>
      </c>
    </row>
    <row r="10917" spans="1:1" x14ac:dyDescent="0.25">
      <c r="A10917" s="74">
        <v>15709</v>
      </c>
    </row>
    <row r="10918" spans="1:1" x14ac:dyDescent="0.25">
      <c r="A10918" s="74">
        <v>15710</v>
      </c>
    </row>
    <row r="10919" spans="1:1" x14ac:dyDescent="0.25">
      <c r="A10919" s="74">
        <v>15711</v>
      </c>
    </row>
    <row r="10920" spans="1:1" x14ac:dyDescent="0.25">
      <c r="A10920" s="74">
        <v>15712</v>
      </c>
    </row>
    <row r="10921" spans="1:1" x14ac:dyDescent="0.25">
      <c r="A10921" s="74">
        <v>15713</v>
      </c>
    </row>
    <row r="10922" spans="1:1" x14ac:dyDescent="0.25">
      <c r="A10922" s="74">
        <v>15714</v>
      </c>
    </row>
    <row r="10923" spans="1:1" x14ac:dyDescent="0.25">
      <c r="A10923" s="74">
        <v>15715</v>
      </c>
    </row>
    <row r="10924" spans="1:1" x14ac:dyDescent="0.25">
      <c r="A10924" s="74">
        <v>15716</v>
      </c>
    </row>
    <row r="10925" spans="1:1" x14ac:dyDescent="0.25">
      <c r="A10925" s="74">
        <v>15717</v>
      </c>
    </row>
    <row r="10926" spans="1:1" x14ac:dyDescent="0.25">
      <c r="A10926" s="74">
        <v>15718</v>
      </c>
    </row>
    <row r="10927" spans="1:1" x14ac:dyDescent="0.25">
      <c r="A10927" s="74">
        <v>15719</v>
      </c>
    </row>
    <row r="10928" spans="1:1" x14ac:dyDescent="0.25">
      <c r="A10928" s="74">
        <v>15720</v>
      </c>
    </row>
    <row r="10929" spans="1:1" x14ac:dyDescent="0.25">
      <c r="A10929" s="74">
        <v>15721</v>
      </c>
    </row>
    <row r="10930" spans="1:1" x14ac:dyDescent="0.25">
      <c r="A10930" s="74">
        <v>15722</v>
      </c>
    </row>
    <row r="10931" spans="1:1" x14ac:dyDescent="0.25">
      <c r="A10931" s="74">
        <v>15723</v>
      </c>
    </row>
    <row r="10932" spans="1:1" x14ac:dyDescent="0.25">
      <c r="A10932" s="74">
        <v>15724</v>
      </c>
    </row>
    <row r="10933" spans="1:1" x14ac:dyDescent="0.25">
      <c r="A10933" s="74">
        <v>15725</v>
      </c>
    </row>
    <row r="10934" spans="1:1" x14ac:dyDescent="0.25">
      <c r="A10934" s="74">
        <v>15726</v>
      </c>
    </row>
    <row r="10935" spans="1:1" x14ac:dyDescent="0.25">
      <c r="A10935" s="74">
        <v>15727</v>
      </c>
    </row>
    <row r="10936" spans="1:1" x14ac:dyDescent="0.25">
      <c r="A10936" s="74">
        <v>15728</v>
      </c>
    </row>
    <row r="10937" spans="1:1" x14ac:dyDescent="0.25">
      <c r="A10937" s="74">
        <v>15729</v>
      </c>
    </row>
    <row r="10938" spans="1:1" x14ac:dyDescent="0.25">
      <c r="A10938" s="74">
        <v>15730</v>
      </c>
    </row>
    <row r="10939" spans="1:1" x14ac:dyDescent="0.25">
      <c r="A10939" s="74">
        <v>15731</v>
      </c>
    </row>
    <row r="10940" spans="1:1" x14ac:dyDescent="0.25">
      <c r="A10940" s="74">
        <v>15732</v>
      </c>
    </row>
    <row r="10941" spans="1:1" x14ac:dyDescent="0.25">
      <c r="A10941" s="74">
        <v>15733</v>
      </c>
    </row>
    <row r="10942" spans="1:1" x14ac:dyDescent="0.25">
      <c r="A10942" s="74">
        <v>15734</v>
      </c>
    </row>
    <row r="10943" spans="1:1" x14ac:dyDescent="0.25">
      <c r="A10943" s="74">
        <v>15735</v>
      </c>
    </row>
    <row r="10944" spans="1:1" x14ac:dyDescent="0.25">
      <c r="A10944" s="74">
        <v>15736</v>
      </c>
    </row>
    <row r="10945" spans="1:1" x14ac:dyDescent="0.25">
      <c r="A10945" s="74">
        <v>15737</v>
      </c>
    </row>
    <row r="10946" spans="1:1" x14ac:dyDescent="0.25">
      <c r="A10946" s="74">
        <v>15738</v>
      </c>
    </row>
    <row r="10947" spans="1:1" x14ac:dyDescent="0.25">
      <c r="A10947" s="74">
        <v>15739</v>
      </c>
    </row>
    <row r="10948" spans="1:1" x14ac:dyDescent="0.25">
      <c r="A10948" s="74">
        <v>15740</v>
      </c>
    </row>
    <row r="10949" spans="1:1" x14ac:dyDescent="0.25">
      <c r="A10949" s="74">
        <v>15741</v>
      </c>
    </row>
    <row r="10950" spans="1:1" x14ac:dyDescent="0.25">
      <c r="A10950" s="74">
        <v>15742</v>
      </c>
    </row>
    <row r="10951" spans="1:1" x14ac:dyDescent="0.25">
      <c r="A10951" s="74">
        <v>15743</v>
      </c>
    </row>
    <row r="10952" spans="1:1" x14ac:dyDescent="0.25">
      <c r="A10952" s="74">
        <v>15744</v>
      </c>
    </row>
    <row r="10953" spans="1:1" x14ac:dyDescent="0.25">
      <c r="A10953" s="74">
        <v>15745</v>
      </c>
    </row>
    <row r="10954" spans="1:1" x14ac:dyDescent="0.25">
      <c r="A10954" s="74">
        <v>15746</v>
      </c>
    </row>
    <row r="10955" spans="1:1" x14ac:dyDescent="0.25">
      <c r="A10955" s="74">
        <v>15747</v>
      </c>
    </row>
    <row r="10956" spans="1:1" x14ac:dyDescent="0.25">
      <c r="A10956" s="74">
        <v>15748</v>
      </c>
    </row>
    <row r="10957" spans="1:1" x14ac:dyDescent="0.25">
      <c r="A10957" s="74">
        <v>15749</v>
      </c>
    </row>
    <row r="10958" spans="1:1" x14ac:dyDescent="0.25">
      <c r="A10958" s="74">
        <v>15750</v>
      </c>
    </row>
    <row r="10959" spans="1:1" x14ac:dyDescent="0.25">
      <c r="A10959" s="74">
        <v>15751</v>
      </c>
    </row>
    <row r="10960" spans="1:1" x14ac:dyDescent="0.25">
      <c r="A10960" s="74">
        <v>15752</v>
      </c>
    </row>
    <row r="10961" spans="1:1" x14ac:dyDescent="0.25">
      <c r="A10961" s="74">
        <v>15753</v>
      </c>
    </row>
    <row r="10962" spans="1:1" x14ac:dyDescent="0.25">
      <c r="A10962" s="74">
        <v>15754</v>
      </c>
    </row>
    <row r="10963" spans="1:1" x14ac:dyDescent="0.25">
      <c r="A10963" s="74">
        <v>15755</v>
      </c>
    </row>
    <row r="10964" spans="1:1" x14ac:dyDescent="0.25">
      <c r="A10964" s="74">
        <v>15756</v>
      </c>
    </row>
    <row r="10965" spans="1:1" x14ac:dyDescent="0.25">
      <c r="A10965" s="74">
        <v>15757</v>
      </c>
    </row>
    <row r="10966" spans="1:1" x14ac:dyDescent="0.25">
      <c r="A10966" s="74">
        <v>15758</v>
      </c>
    </row>
    <row r="10967" spans="1:1" x14ac:dyDescent="0.25">
      <c r="A10967" s="74">
        <v>15759</v>
      </c>
    </row>
    <row r="10968" spans="1:1" x14ac:dyDescent="0.25">
      <c r="A10968" s="74">
        <v>15760</v>
      </c>
    </row>
    <row r="10969" spans="1:1" x14ac:dyDescent="0.25">
      <c r="A10969" s="74">
        <v>15761</v>
      </c>
    </row>
    <row r="10970" spans="1:1" x14ac:dyDescent="0.25">
      <c r="A10970" s="74">
        <v>15762</v>
      </c>
    </row>
    <row r="10971" spans="1:1" x14ac:dyDescent="0.25">
      <c r="A10971" s="74">
        <v>15763</v>
      </c>
    </row>
    <row r="10972" spans="1:1" x14ac:dyDescent="0.25">
      <c r="A10972" s="74">
        <v>15764</v>
      </c>
    </row>
    <row r="10973" spans="1:1" x14ac:dyDescent="0.25">
      <c r="A10973" s="74">
        <v>15765</v>
      </c>
    </row>
    <row r="10974" spans="1:1" x14ac:dyDescent="0.25">
      <c r="A10974" s="74">
        <v>15766</v>
      </c>
    </row>
    <row r="10975" spans="1:1" x14ac:dyDescent="0.25">
      <c r="A10975" s="74">
        <v>15767</v>
      </c>
    </row>
    <row r="10976" spans="1:1" x14ac:dyDescent="0.25">
      <c r="A10976" s="74">
        <v>15768</v>
      </c>
    </row>
    <row r="10977" spans="1:1" x14ac:dyDescent="0.25">
      <c r="A10977" s="74">
        <v>15769</v>
      </c>
    </row>
    <row r="10978" spans="1:1" x14ac:dyDescent="0.25">
      <c r="A10978" s="74">
        <v>15770</v>
      </c>
    </row>
    <row r="10979" spans="1:1" x14ac:dyDescent="0.25">
      <c r="A10979" s="74">
        <v>15771</v>
      </c>
    </row>
    <row r="10980" spans="1:1" x14ac:dyDescent="0.25">
      <c r="A10980" s="74">
        <v>15772</v>
      </c>
    </row>
    <row r="10981" spans="1:1" x14ac:dyDescent="0.25">
      <c r="A10981" s="74">
        <v>15773</v>
      </c>
    </row>
    <row r="10982" spans="1:1" x14ac:dyDescent="0.25">
      <c r="A10982" s="74">
        <v>15774</v>
      </c>
    </row>
    <row r="10983" spans="1:1" x14ac:dyDescent="0.25">
      <c r="A10983" s="74">
        <v>15775</v>
      </c>
    </row>
    <row r="10984" spans="1:1" x14ac:dyDescent="0.25">
      <c r="A10984" s="74">
        <v>15776</v>
      </c>
    </row>
    <row r="10985" spans="1:1" x14ac:dyDescent="0.25">
      <c r="A10985" s="74">
        <v>15777</v>
      </c>
    </row>
    <row r="10986" spans="1:1" x14ac:dyDescent="0.25">
      <c r="A10986" s="74">
        <v>15778</v>
      </c>
    </row>
    <row r="10987" spans="1:1" x14ac:dyDescent="0.25">
      <c r="A10987" s="74">
        <v>15779</v>
      </c>
    </row>
    <row r="10988" spans="1:1" x14ac:dyDescent="0.25">
      <c r="A10988" s="74">
        <v>15780</v>
      </c>
    </row>
    <row r="10989" spans="1:1" x14ac:dyDescent="0.25">
      <c r="A10989" s="74">
        <v>15781</v>
      </c>
    </row>
    <row r="10990" spans="1:1" x14ac:dyDescent="0.25">
      <c r="A10990" s="74">
        <v>15782</v>
      </c>
    </row>
    <row r="10991" spans="1:1" x14ac:dyDescent="0.25">
      <c r="A10991" s="74">
        <v>15783</v>
      </c>
    </row>
    <row r="10992" spans="1:1" x14ac:dyDescent="0.25">
      <c r="A10992" s="74">
        <v>15784</v>
      </c>
    </row>
    <row r="10993" spans="1:1" x14ac:dyDescent="0.25">
      <c r="A10993" s="74">
        <v>15785</v>
      </c>
    </row>
    <row r="10994" spans="1:1" x14ac:dyDescent="0.25">
      <c r="A10994" s="74">
        <v>15786</v>
      </c>
    </row>
    <row r="10995" spans="1:1" x14ac:dyDescent="0.25">
      <c r="A10995" s="74">
        <v>15787</v>
      </c>
    </row>
    <row r="10996" spans="1:1" x14ac:dyDescent="0.25">
      <c r="A10996" s="74">
        <v>15788</v>
      </c>
    </row>
    <row r="10997" spans="1:1" x14ac:dyDescent="0.25">
      <c r="A10997" s="74">
        <v>15789</v>
      </c>
    </row>
    <row r="10998" spans="1:1" x14ac:dyDescent="0.25">
      <c r="A10998" s="74">
        <v>15790</v>
      </c>
    </row>
    <row r="10999" spans="1:1" x14ac:dyDescent="0.25">
      <c r="A10999" s="74">
        <v>15791</v>
      </c>
    </row>
    <row r="11000" spans="1:1" x14ac:dyDescent="0.25">
      <c r="A11000" s="74">
        <v>15792</v>
      </c>
    </row>
    <row r="11001" spans="1:1" x14ac:dyDescent="0.25">
      <c r="A11001" s="74">
        <v>15793</v>
      </c>
    </row>
    <row r="11002" spans="1:1" x14ac:dyDescent="0.25">
      <c r="A11002" s="74">
        <v>15794</v>
      </c>
    </row>
    <row r="11003" spans="1:1" x14ac:dyDescent="0.25">
      <c r="A11003" s="74">
        <v>15795</v>
      </c>
    </row>
    <row r="11004" spans="1:1" x14ac:dyDescent="0.25">
      <c r="A11004" s="74">
        <v>15796</v>
      </c>
    </row>
    <row r="11005" spans="1:1" x14ac:dyDescent="0.25">
      <c r="A11005" s="74">
        <v>15797</v>
      </c>
    </row>
    <row r="11006" spans="1:1" x14ac:dyDescent="0.25">
      <c r="A11006" s="74">
        <v>15798</v>
      </c>
    </row>
    <row r="11007" spans="1:1" x14ac:dyDescent="0.25">
      <c r="A11007" s="74">
        <v>15799</v>
      </c>
    </row>
    <row r="11008" spans="1:1" x14ac:dyDescent="0.25">
      <c r="A11008" s="74">
        <v>15800</v>
      </c>
    </row>
    <row r="11009" spans="1:1" x14ac:dyDescent="0.25">
      <c r="A11009" s="74">
        <v>15801</v>
      </c>
    </row>
    <row r="11010" spans="1:1" x14ac:dyDescent="0.25">
      <c r="A11010" s="74">
        <v>15802</v>
      </c>
    </row>
    <row r="11011" spans="1:1" x14ac:dyDescent="0.25">
      <c r="A11011" s="74">
        <v>15803</v>
      </c>
    </row>
    <row r="11012" spans="1:1" x14ac:dyDescent="0.25">
      <c r="A11012" s="74">
        <v>15804</v>
      </c>
    </row>
    <row r="11013" spans="1:1" x14ac:dyDescent="0.25">
      <c r="A11013" s="74">
        <v>15805</v>
      </c>
    </row>
    <row r="11014" spans="1:1" x14ac:dyDescent="0.25">
      <c r="A11014" s="74">
        <v>15806</v>
      </c>
    </row>
    <row r="11015" spans="1:1" x14ac:dyDescent="0.25">
      <c r="A11015" s="74">
        <v>15807</v>
      </c>
    </row>
    <row r="11016" spans="1:1" x14ac:dyDescent="0.25">
      <c r="A11016" s="74">
        <v>15808</v>
      </c>
    </row>
    <row r="11017" spans="1:1" x14ac:dyDescent="0.25">
      <c r="A11017" s="74">
        <v>15809</v>
      </c>
    </row>
    <row r="11018" spans="1:1" x14ac:dyDescent="0.25">
      <c r="A11018" s="74">
        <v>15810</v>
      </c>
    </row>
    <row r="11019" spans="1:1" x14ac:dyDescent="0.25">
      <c r="A11019" s="74">
        <v>15811</v>
      </c>
    </row>
    <row r="11020" spans="1:1" x14ac:dyDescent="0.25">
      <c r="A11020" s="74">
        <v>15812</v>
      </c>
    </row>
    <row r="11021" spans="1:1" x14ac:dyDescent="0.25">
      <c r="A11021" s="74">
        <v>15813</v>
      </c>
    </row>
    <row r="11022" spans="1:1" x14ac:dyDescent="0.25">
      <c r="A11022" s="74">
        <v>15814</v>
      </c>
    </row>
    <row r="11023" spans="1:1" x14ac:dyDescent="0.25">
      <c r="A11023" s="74">
        <v>15815</v>
      </c>
    </row>
    <row r="11024" spans="1:1" x14ac:dyDescent="0.25">
      <c r="A11024" s="74">
        <v>15816</v>
      </c>
    </row>
    <row r="11025" spans="1:1" x14ac:dyDescent="0.25">
      <c r="A11025" s="74">
        <v>15817</v>
      </c>
    </row>
    <row r="11026" spans="1:1" x14ac:dyDescent="0.25">
      <c r="A11026" s="74">
        <v>15818</v>
      </c>
    </row>
    <row r="11027" spans="1:1" x14ac:dyDescent="0.25">
      <c r="A11027" s="74">
        <v>15819</v>
      </c>
    </row>
    <row r="11028" spans="1:1" x14ac:dyDescent="0.25">
      <c r="A11028" s="74">
        <v>15820</v>
      </c>
    </row>
    <row r="11029" spans="1:1" x14ac:dyDescent="0.25">
      <c r="A11029" s="74">
        <v>15821</v>
      </c>
    </row>
    <row r="11030" spans="1:1" x14ac:dyDescent="0.25">
      <c r="A11030" s="74">
        <v>15822</v>
      </c>
    </row>
    <row r="11031" spans="1:1" x14ac:dyDescent="0.25">
      <c r="A11031" s="74">
        <v>15823</v>
      </c>
    </row>
    <row r="11032" spans="1:1" x14ac:dyDescent="0.25">
      <c r="A11032" s="74">
        <v>15824</v>
      </c>
    </row>
    <row r="11033" spans="1:1" x14ac:dyDescent="0.25">
      <c r="A11033" s="74">
        <v>15825</v>
      </c>
    </row>
    <row r="11034" spans="1:1" x14ac:dyDescent="0.25">
      <c r="A11034" s="74">
        <v>15826</v>
      </c>
    </row>
    <row r="11035" spans="1:1" x14ac:dyDescent="0.25">
      <c r="A11035" s="74">
        <v>15827</v>
      </c>
    </row>
    <row r="11036" spans="1:1" x14ac:dyDescent="0.25">
      <c r="A11036" s="74">
        <v>15828</v>
      </c>
    </row>
    <row r="11037" spans="1:1" x14ac:dyDescent="0.25">
      <c r="A11037" s="74">
        <v>15829</v>
      </c>
    </row>
    <row r="11038" spans="1:1" x14ac:dyDescent="0.25">
      <c r="A11038" s="74">
        <v>15830</v>
      </c>
    </row>
    <row r="11039" spans="1:1" x14ac:dyDescent="0.25">
      <c r="A11039" s="74">
        <v>15831</v>
      </c>
    </row>
    <row r="11040" spans="1:1" x14ac:dyDescent="0.25">
      <c r="A11040" s="74">
        <v>15832</v>
      </c>
    </row>
    <row r="11041" spans="1:1" x14ac:dyDescent="0.25">
      <c r="A11041" s="74">
        <v>15833</v>
      </c>
    </row>
    <row r="11042" spans="1:1" x14ac:dyDescent="0.25">
      <c r="A11042" s="74">
        <v>15834</v>
      </c>
    </row>
    <row r="11043" spans="1:1" x14ac:dyDescent="0.25">
      <c r="A11043" s="74">
        <v>15835</v>
      </c>
    </row>
    <row r="11044" spans="1:1" x14ac:dyDescent="0.25">
      <c r="A11044" s="74">
        <v>15836</v>
      </c>
    </row>
    <row r="11045" spans="1:1" x14ac:dyDescent="0.25">
      <c r="A11045" s="74">
        <v>15837</v>
      </c>
    </row>
    <row r="11046" spans="1:1" x14ac:dyDescent="0.25">
      <c r="A11046" s="74">
        <v>15838</v>
      </c>
    </row>
    <row r="11047" spans="1:1" x14ac:dyDescent="0.25">
      <c r="A11047" s="74">
        <v>15839</v>
      </c>
    </row>
    <row r="11048" spans="1:1" x14ac:dyDescent="0.25">
      <c r="A11048" s="74">
        <v>15840</v>
      </c>
    </row>
    <row r="11049" spans="1:1" x14ac:dyDescent="0.25">
      <c r="A11049" s="74">
        <v>15841</v>
      </c>
    </row>
    <row r="11050" spans="1:1" x14ac:dyDescent="0.25">
      <c r="A11050" s="74">
        <v>15842</v>
      </c>
    </row>
    <row r="11051" spans="1:1" x14ac:dyDescent="0.25">
      <c r="A11051" s="74">
        <v>15843</v>
      </c>
    </row>
    <row r="11052" spans="1:1" x14ac:dyDescent="0.25">
      <c r="A11052" s="74">
        <v>15844</v>
      </c>
    </row>
    <row r="11053" spans="1:1" x14ac:dyDescent="0.25">
      <c r="A11053" s="74">
        <v>15845</v>
      </c>
    </row>
    <row r="11054" spans="1:1" x14ac:dyDescent="0.25">
      <c r="A11054" s="74">
        <v>15846</v>
      </c>
    </row>
    <row r="11055" spans="1:1" x14ac:dyDescent="0.25">
      <c r="A11055" s="74">
        <v>15847</v>
      </c>
    </row>
    <row r="11056" spans="1:1" x14ac:dyDescent="0.25">
      <c r="A11056" s="74">
        <v>15848</v>
      </c>
    </row>
    <row r="11057" spans="1:1" x14ac:dyDescent="0.25">
      <c r="A11057" s="74">
        <v>15849</v>
      </c>
    </row>
    <row r="11058" spans="1:1" x14ac:dyDescent="0.25">
      <c r="A11058" s="74">
        <v>15850</v>
      </c>
    </row>
    <row r="11059" spans="1:1" x14ac:dyDescent="0.25">
      <c r="A11059" s="74">
        <v>15851</v>
      </c>
    </row>
    <row r="11060" spans="1:1" x14ac:dyDescent="0.25">
      <c r="A11060" s="74">
        <v>15852</v>
      </c>
    </row>
    <row r="11061" spans="1:1" x14ac:dyDescent="0.25">
      <c r="A11061" s="74">
        <v>15853</v>
      </c>
    </row>
    <row r="11062" spans="1:1" x14ac:dyDescent="0.25">
      <c r="A11062" s="74">
        <v>15854</v>
      </c>
    </row>
    <row r="11063" spans="1:1" x14ac:dyDescent="0.25">
      <c r="A11063" s="74">
        <v>15855</v>
      </c>
    </row>
    <row r="11064" spans="1:1" x14ac:dyDescent="0.25">
      <c r="A11064" s="74">
        <v>15856</v>
      </c>
    </row>
    <row r="11065" spans="1:1" x14ac:dyDescent="0.25">
      <c r="A11065" s="74">
        <v>15857</v>
      </c>
    </row>
    <row r="11066" spans="1:1" x14ac:dyDescent="0.25">
      <c r="A11066" s="74">
        <v>15858</v>
      </c>
    </row>
    <row r="11067" spans="1:1" x14ac:dyDescent="0.25">
      <c r="A11067" s="74">
        <v>15859</v>
      </c>
    </row>
    <row r="11068" spans="1:1" x14ac:dyDescent="0.25">
      <c r="A11068" s="74">
        <v>15860</v>
      </c>
    </row>
    <row r="11069" spans="1:1" x14ac:dyDescent="0.25">
      <c r="A11069" s="74">
        <v>15861</v>
      </c>
    </row>
    <row r="11070" spans="1:1" x14ac:dyDescent="0.25">
      <c r="A11070" s="74">
        <v>15862</v>
      </c>
    </row>
    <row r="11071" spans="1:1" x14ac:dyDescent="0.25">
      <c r="A11071" s="74">
        <v>15863</v>
      </c>
    </row>
    <row r="11072" spans="1:1" x14ac:dyDescent="0.25">
      <c r="A11072" s="74">
        <v>15864</v>
      </c>
    </row>
    <row r="11073" spans="1:1" x14ac:dyDescent="0.25">
      <c r="A11073" s="74">
        <v>15865</v>
      </c>
    </row>
    <row r="11074" spans="1:1" x14ac:dyDescent="0.25">
      <c r="A11074" s="74">
        <v>15866</v>
      </c>
    </row>
    <row r="11075" spans="1:1" x14ac:dyDescent="0.25">
      <c r="A11075" s="74">
        <v>15867</v>
      </c>
    </row>
    <row r="11076" spans="1:1" x14ac:dyDescent="0.25">
      <c r="A11076" s="74">
        <v>15868</v>
      </c>
    </row>
    <row r="11077" spans="1:1" x14ac:dyDescent="0.25">
      <c r="A11077" s="74">
        <v>15869</v>
      </c>
    </row>
    <row r="11078" spans="1:1" x14ac:dyDescent="0.25">
      <c r="A11078" s="74">
        <v>15870</v>
      </c>
    </row>
    <row r="11079" spans="1:1" x14ac:dyDescent="0.25">
      <c r="A11079" s="74">
        <v>15871</v>
      </c>
    </row>
    <row r="11080" spans="1:1" x14ac:dyDescent="0.25">
      <c r="A11080" s="74">
        <v>15872</v>
      </c>
    </row>
    <row r="11081" spans="1:1" x14ac:dyDescent="0.25">
      <c r="A11081" s="74">
        <v>15873</v>
      </c>
    </row>
    <row r="11082" spans="1:1" x14ac:dyDescent="0.25">
      <c r="A11082" s="74">
        <v>15874</v>
      </c>
    </row>
    <row r="11083" spans="1:1" x14ac:dyDescent="0.25">
      <c r="A11083" s="74">
        <v>15875</v>
      </c>
    </row>
    <row r="11084" spans="1:1" x14ac:dyDescent="0.25">
      <c r="A11084" s="74">
        <v>15876</v>
      </c>
    </row>
    <row r="11085" spans="1:1" x14ac:dyDescent="0.25">
      <c r="A11085" s="74">
        <v>15877</v>
      </c>
    </row>
    <row r="11086" spans="1:1" x14ac:dyDescent="0.25">
      <c r="A11086" s="74">
        <v>15878</v>
      </c>
    </row>
    <row r="11087" spans="1:1" x14ac:dyDescent="0.25">
      <c r="A11087" s="74">
        <v>15879</v>
      </c>
    </row>
    <row r="11088" spans="1:1" x14ac:dyDescent="0.25">
      <c r="A11088" s="74">
        <v>15880</v>
      </c>
    </row>
    <row r="11089" spans="1:1" x14ac:dyDescent="0.25">
      <c r="A11089" s="74">
        <v>15881</v>
      </c>
    </row>
    <row r="11090" spans="1:1" x14ac:dyDescent="0.25">
      <c r="A11090" s="74">
        <v>15882</v>
      </c>
    </row>
    <row r="11091" spans="1:1" x14ac:dyDescent="0.25">
      <c r="A11091" s="74">
        <v>15883</v>
      </c>
    </row>
    <row r="11092" spans="1:1" x14ac:dyDescent="0.25">
      <c r="A11092" s="74">
        <v>15884</v>
      </c>
    </row>
    <row r="11093" spans="1:1" x14ac:dyDescent="0.25">
      <c r="A11093" s="74">
        <v>15885</v>
      </c>
    </row>
    <row r="11094" spans="1:1" x14ac:dyDescent="0.25">
      <c r="A11094" s="74">
        <v>15886</v>
      </c>
    </row>
    <row r="11095" spans="1:1" x14ac:dyDescent="0.25">
      <c r="A11095" s="74">
        <v>15887</v>
      </c>
    </row>
    <row r="11096" spans="1:1" x14ac:dyDescent="0.25">
      <c r="A11096" s="74">
        <v>15888</v>
      </c>
    </row>
    <row r="11097" spans="1:1" x14ac:dyDescent="0.25">
      <c r="A11097" s="74">
        <v>15889</v>
      </c>
    </row>
    <row r="11098" spans="1:1" x14ac:dyDescent="0.25">
      <c r="A11098" s="74">
        <v>15890</v>
      </c>
    </row>
    <row r="11099" spans="1:1" x14ac:dyDescent="0.25">
      <c r="A11099" s="74">
        <v>15891</v>
      </c>
    </row>
    <row r="11100" spans="1:1" x14ac:dyDescent="0.25">
      <c r="A11100" s="74">
        <v>15892</v>
      </c>
    </row>
    <row r="11101" spans="1:1" x14ac:dyDescent="0.25">
      <c r="A11101" s="74">
        <v>15893</v>
      </c>
    </row>
    <row r="11102" spans="1:1" x14ac:dyDescent="0.25">
      <c r="A11102" s="74">
        <v>15894</v>
      </c>
    </row>
    <row r="11103" spans="1:1" x14ac:dyDescent="0.25">
      <c r="A11103" s="74">
        <v>15895</v>
      </c>
    </row>
    <row r="11104" spans="1:1" x14ac:dyDescent="0.25">
      <c r="A11104" s="74">
        <v>15896</v>
      </c>
    </row>
    <row r="11105" spans="1:1" x14ac:dyDescent="0.25">
      <c r="A11105" s="74">
        <v>15897</v>
      </c>
    </row>
    <row r="11106" spans="1:1" x14ac:dyDescent="0.25">
      <c r="A11106" s="74">
        <v>15898</v>
      </c>
    </row>
    <row r="11107" spans="1:1" x14ac:dyDescent="0.25">
      <c r="A11107" s="74">
        <v>15899</v>
      </c>
    </row>
    <row r="11108" spans="1:1" x14ac:dyDescent="0.25">
      <c r="A11108" s="74">
        <v>15900</v>
      </c>
    </row>
    <row r="11109" spans="1:1" x14ac:dyDescent="0.25">
      <c r="A11109" s="74">
        <v>15901</v>
      </c>
    </row>
    <row r="11110" spans="1:1" x14ac:dyDescent="0.25">
      <c r="A11110" s="74">
        <v>15902</v>
      </c>
    </row>
    <row r="11111" spans="1:1" x14ac:dyDescent="0.25">
      <c r="A11111" s="74">
        <v>15903</v>
      </c>
    </row>
    <row r="11112" spans="1:1" x14ac:dyDescent="0.25">
      <c r="A11112" s="74">
        <v>15904</v>
      </c>
    </row>
    <row r="11113" spans="1:1" x14ac:dyDescent="0.25">
      <c r="A11113" s="74">
        <v>15905</v>
      </c>
    </row>
    <row r="11114" spans="1:1" x14ac:dyDescent="0.25">
      <c r="A11114" s="74">
        <v>15906</v>
      </c>
    </row>
    <row r="11115" spans="1:1" x14ac:dyDescent="0.25">
      <c r="A11115" s="74">
        <v>15907</v>
      </c>
    </row>
    <row r="11116" spans="1:1" x14ac:dyDescent="0.25">
      <c r="A11116" s="74">
        <v>15908</v>
      </c>
    </row>
    <row r="11117" spans="1:1" x14ac:dyDescent="0.25">
      <c r="A11117" s="74">
        <v>15909</v>
      </c>
    </row>
    <row r="11118" spans="1:1" x14ac:dyDescent="0.25">
      <c r="A11118" s="74">
        <v>15910</v>
      </c>
    </row>
    <row r="11119" spans="1:1" x14ac:dyDescent="0.25">
      <c r="A11119" s="74">
        <v>15911</v>
      </c>
    </row>
    <row r="11120" spans="1:1" x14ac:dyDescent="0.25">
      <c r="A11120" s="74">
        <v>15912</v>
      </c>
    </row>
    <row r="11121" spans="1:1" x14ac:dyDescent="0.25">
      <c r="A11121" s="74">
        <v>15913</v>
      </c>
    </row>
    <row r="11122" spans="1:1" x14ac:dyDescent="0.25">
      <c r="A11122" s="74">
        <v>15914</v>
      </c>
    </row>
    <row r="11123" spans="1:1" x14ac:dyDescent="0.25">
      <c r="A11123" s="74">
        <v>15915</v>
      </c>
    </row>
    <row r="11124" spans="1:1" x14ac:dyDescent="0.25">
      <c r="A11124" s="74">
        <v>15916</v>
      </c>
    </row>
    <row r="11125" spans="1:1" x14ac:dyDescent="0.25">
      <c r="A11125" s="74">
        <v>15917</v>
      </c>
    </row>
    <row r="11126" spans="1:1" x14ac:dyDescent="0.25">
      <c r="A11126" s="74">
        <v>15918</v>
      </c>
    </row>
    <row r="11127" spans="1:1" x14ac:dyDescent="0.25">
      <c r="A11127" s="74">
        <v>15919</v>
      </c>
    </row>
    <row r="11128" spans="1:1" x14ac:dyDescent="0.25">
      <c r="A11128" s="74">
        <v>15920</v>
      </c>
    </row>
    <row r="11129" spans="1:1" x14ac:dyDescent="0.25">
      <c r="A11129" s="74">
        <v>15921</v>
      </c>
    </row>
    <row r="11130" spans="1:1" x14ac:dyDescent="0.25">
      <c r="A11130" s="74">
        <v>15922</v>
      </c>
    </row>
    <row r="11131" spans="1:1" x14ac:dyDescent="0.25">
      <c r="A11131" s="74">
        <v>15923</v>
      </c>
    </row>
    <row r="11132" spans="1:1" x14ac:dyDescent="0.25">
      <c r="A11132" s="74">
        <v>15924</v>
      </c>
    </row>
    <row r="11133" spans="1:1" x14ac:dyDescent="0.25">
      <c r="A11133" s="74">
        <v>15925</v>
      </c>
    </row>
    <row r="11134" spans="1:1" x14ac:dyDescent="0.25">
      <c r="A11134" s="74">
        <v>15926</v>
      </c>
    </row>
    <row r="11135" spans="1:1" x14ac:dyDescent="0.25">
      <c r="A11135" s="74">
        <v>15927</v>
      </c>
    </row>
    <row r="11136" spans="1:1" x14ac:dyDescent="0.25">
      <c r="A11136" s="74">
        <v>15928</v>
      </c>
    </row>
    <row r="11137" spans="1:1" x14ac:dyDescent="0.25">
      <c r="A11137" s="74">
        <v>15929</v>
      </c>
    </row>
    <row r="11138" spans="1:1" x14ac:dyDescent="0.25">
      <c r="A11138" s="74">
        <v>15930</v>
      </c>
    </row>
    <row r="11139" spans="1:1" x14ac:dyDescent="0.25">
      <c r="A11139" s="74">
        <v>15931</v>
      </c>
    </row>
    <row r="11140" spans="1:1" x14ac:dyDescent="0.25">
      <c r="A11140" s="74">
        <v>15932</v>
      </c>
    </row>
    <row r="11141" spans="1:1" x14ac:dyDescent="0.25">
      <c r="A11141" s="74">
        <v>15933</v>
      </c>
    </row>
    <row r="11142" spans="1:1" x14ac:dyDescent="0.25">
      <c r="A11142" s="74">
        <v>15934</v>
      </c>
    </row>
    <row r="11143" spans="1:1" x14ac:dyDescent="0.25">
      <c r="A11143" s="74">
        <v>15935</v>
      </c>
    </row>
    <row r="11144" spans="1:1" x14ac:dyDescent="0.25">
      <c r="A11144" s="74">
        <v>15936</v>
      </c>
    </row>
    <row r="11145" spans="1:1" x14ac:dyDescent="0.25">
      <c r="A11145" s="74">
        <v>15937</v>
      </c>
    </row>
    <row r="11146" spans="1:1" x14ac:dyDescent="0.25">
      <c r="A11146" s="74">
        <v>15938</v>
      </c>
    </row>
    <row r="11147" spans="1:1" x14ac:dyDescent="0.25">
      <c r="A11147" s="74">
        <v>15939</v>
      </c>
    </row>
    <row r="11148" spans="1:1" x14ac:dyDescent="0.25">
      <c r="A11148" s="74">
        <v>15940</v>
      </c>
    </row>
    <row r="11149" spans="1:1" x14ac:dyDescent="0.25">
      <c r="A11149" s="74">
        <v>15941</v>
      </c>
    </row>
    <row r="11150" spans="1:1" x14ac:dyDescent="0.25">
      <c r="A11150" s="74">
        <v>15942</v>
      </c>
    </row>
    <row r="11151" spans="1:1" x14ac:dyDescent="0.25">
      <c r="A11151" s="74">
        <v>15943</v>
      </c>
    </row>
    <row r="11152" spans="1:1" x14ac:dyDescent="0.25">
      <c r="A11152" s="74">
        <v>15944</v>
      </c>
    </row>
    <row r="11153" spans="1:1" x14ac:dyDescent="0.25">
      <c r="A11153" s="74">
        <v>15945</v>
      </c>
    </row>
    <row r="11154" spans="1:1" x14ac:dyDescent="0.25">
      <c r="A11154" s="74">
        <v>15946</v>
      </c>
    </row>
    <row r="11155" spans="1:1" x14ac:dyDescent="0.25">
      <c r="A11155" s="74">
        <v>15947</v>
      </c>
    </row>
    <row r="11156" spans="1:1" x14ac:dyDescent="0.25">
      <c r="A11156" s="74">
        <v>15948</v>
      </c>
    </row>
    <row r="11157" spans="1:1" x14ac:dyDescent="0.25">
      <c r="A11157" s="74">
        <v>15949</v>
      </c>
    </row>
    <row r="11158" spans="1:1" x14ac:dyDescent="0.25">
      <c r="A11158" s="74">
        <v>15950</v>
      </c>
    </row>
    <row r="11159" spans="1:1" x14ac:dyDescent="0.25">
      <c r="A11159" s="74">
        <v>15951</v>
      </c>
    </row>
    <row r="11160" spans="1:1" x14ac:dyDescent="0.25">
      <c r="A11160" s="74">
        <v>15952</v>
      </c>
    </row>
    <row r="11161" spans="1:1" x14ac:dyDescent="0.25">
      <c r="A11161" s="74">
        <v>15953</v>
      </c>
    </row>
    <row r="11162" spans="1:1" x14ac:dyDescent="0.25">
      <c r="A11162" s="74">
        <v>15954</v>
      </c>
    </row>
    <row r="11163" spans="1:1" x14ac:dyDescent="0.25">
      <c r="A11163" s="74">
        <v>15955</v>
      </c>
    </row>
    <row r="11164" spans="1:1" x14ac:dyDescent="0.25">
      <c r="A11164" s="74">
        <v>15956</v>
      </c>
    </row>
    <row r="11165" spans="1:1" x14ac:dyDescent="0.25">
      <c r="A11165" s="74">
        <v>15957</v>
      </c>
    </row>
    <row r="11166" spans="1:1" x14ac:dyDescent="0.25">
      <c r="A11166" s="74">
        <v>15958</v>
      </c>
    </row>
    <row r="11167" spans="1:1" x14ac:dyDescent="0.25">
      <c r="A11167" s="74">
        <v>15959</v>
      </c>
    </row>
    <row r="11168" spans="1:1" x14ac:dyDescent="0.25">
      <c r="A11168" s="74">
        <v>15960</v>
      </c>
    </row>
    <row r="11169" spans="1:1" x14ac:dyDescent="0.25">
      <c r="A11169" s="74">
        <v>15961</v>
      </c>
    </row>
    <row r="11170" spans="1:1" x14ac:dyDescent="0.25">
      <c r="A11170" s="74">
        <v>15962</v>
      </c>
    </row>
    <row r="11171" spans="1:1" x14ac:dyDescent="0.25">
      <c r="A11171" s="74">
        <v>15963</v>
      </c>
    </row>
    <row r="11172" spans="1:1" x14ac:dyDescent="0.25">
      <c r="A11172" s="74">
        <v>15964</v>
      </c>
    </row>
    <row r="11173" spans="1:1" x14ac:dyDescent="0.25">
      <c r="A11173" s="74">
        <v>15965</v>
      </c>
    </row>
    <row r="11174" spans="1:1" x14ac:dyDescent="0.25">
      <c r="A11174" s="74">
        <v>15966</v>
      </c>
    </row>
    <row r="11175" spans="1:1" x14ac:dyDescent="0.25">
      <c r="A11175" s="74">
        <v>15967</v>
      </c>
    </row>
    <row r="11176" spans="1:1" x14ac:dyDescent="0.25">
      <c r="A11176" s="74">
        <v>15968</v>
      </c>
    </row>
    <row r="11177" spans="1:1" x14ac:dyDescent="0.25">
      <c r="A11177" s="74">
        <v>15969</v>
      </c>
    </row>
    <row r="11178" spans="1:1" x14ac:dyDescent="0.25">
      <c r="A11178" s="74">
        <v>15970</v>
      </c>
    </row>
    <row r="11179" spans="1:1" x14ac:dyDescent="0.25">
      <c r="A11179" s="74">
        <v>15971</v>
      </c>
    </row>
    <row r="11180" spans="1:1" x14ac:dyDescent="0.25">
      <c r="A11180" s="74">
        <v>15972</v>
      </c>
    </row>
    <row r="11181" spans="1:1" x14ac:dyDescent="0.25">
      <c r="A11181" s="74">
        <v>15973</v>
      </c>
    </row>
    <row r="11182" spans="1:1" x14ac:dyDescent="0.25">
      <c r="A11182" s="74">
        <v>15974</v>
      </c>
    </row>
    <row r="11183" spans="1:1" x14ac:dyDescent="0.25">
      <c r="A11183" s="74">
        <v>15975</v>
      </c>
    </row>
    <row r="11184" spans="1:1" x14ac:dyDescent="0.25">
      <c r="A11184" s="74">
        <v>15976</v>
      </c>
    </row>
    <row r="11185" spans="1:1" x14ac:dyDescent="0.25">
      <c r="A11185" s="74">
        <v>15977</v>
      </c>
    </row>
    <row r="11186" spans="1:1" x14ac:dyDescent="0.25">
      <c r="A11186" s="74">
        <v>15978</v>
      </c>
    </row>
    <row r="11187" spans="1:1" x14ac:dyDescent="0.25">
      <c r="A11187" s="74">
        <v>15979</v>
      </c>
    </row>
    <row r="11188" spans="1:1" x14ac:dyDescent="0.25">
      <c r="A11188" s="74">
        <v>15980</v>
      </c>
    </row>
    <row r="11189" spans="1:1" x14ac:dyDescent="0.25">
      <c r="A11189" s="74">
        <v>15981</v>
      </c>
    </row>
    <row r="11190" spans="1:1" x14ac:dyDescent="0.25">
      <c r="A11190" s="74">
        <v>15982</v>
      </c>
    </row>
    <row r="11191" spans="1:1" x14ac:dyDescent="0.25">
      <c r="A11191" s="74">
        <v>15983</v>
      </c>
    </row>
    <row r="11192" spans="1:1" x14ac:dyDescent="0.25">
      <c r="A11192" s="74">
        <v>15984</v>
      </c>
    </row>
    <row r="11193" spans="1:1" x14ac:dyDescent="0.25">
      <c r="A11193" s="74">
        <v>15985</v>
      </c>
    </row>
    <row r="11194" spans="1:1" x14ac:dyDescent="0.25">
      <c r="A11194" s="74">
        <v>15986</v>
      </c>
    </row>
    <row r="11195" spans="1:1" x14ac:dyDescent="0.25">
      <c r="A11195" s="74">
        <v>15987</v>
      </c>
    </row>
    <row r="11196" spans="1:1" x14ac:dyDescent="0.25">
      <c r="A11196" s="74">
        <v>15988</v>
      </c>
    </row>
    <row r="11197" spans="1:1" x14ac:dyDescent="0.25">
      <c r="A11197" s="74">
        <v>15989</v>
      </c>
    </row>
    <row r="11198" spans="1:1" x14ac:dyDescent="0.25">
      <c r="A11198" s="74">
        <v>15990</v>
      </c>
    </row>
    <row r="11199" spans="1:1" x14ac:dyDescent="0.25">
      <c r="A11199" s="74">
        <v>15991</v>
      </c>
    </row>
    <row r="11200" spans="1:1" x14ac:dyDescent="0.25">
      <c r="A11200" s="74">
        <v>15992</v>
      </c>
    </row>
    <row r="11201" spans="1:1" x14ac:dyDescent="0.25">
      <c r="A11201" s="74">
        <v>15993</v>
      </c>
    </row>
    <row r="11202" spans="1:1" x14ac:dyDescent="0.25">
      <c r="A11202" s="74">
        <v>15994</v>
      </c>
    </row>
    <row r="11203" spans="1:1" x14ac:dyDescent="0.25">
      <c r="A11203" s="74">
        <v>15995</v>
      </c>
    </row>
    <row r="11204" spans="1:1" x14ac:dyDescent="0.25">
      <c r="A11204" s="74">
        <v>15996</v>
      </c>
    </row>
    <row r="11205" spans="1:1" x14ac:dyDescent="0.25">
      <c r="A11205" s="74">
        <v>15997</v>
      </c>
    </row>
    <row r="11206" spans="1:1" x14ac:dyDescent="0.25">
      <c r="A11206" s="74">
        <v>15998</v>
      </c>
    </row>
    <row r="11207" spans="1:1" x14ac:dyDescent="0.25">
      <c r="A11207" s="74">
        <v>15999</v>
      </c>
    </row>
    <row r="11208" spans="1:1" x14ac:dyDescent="0.25">
      <c r="A11208" s="74">
        <v>16000</v>
      </c>
    </row>
    <row r="11209" spans="1:1" x14ac:dyDescent="0.25">
      <c r="A11209" s="74">
        <v>16001</v>
      </c>
    </row>
    <row r="11210" spans="1:1" x14ac:dyDescent="0.25">
      <c r="A11210" s="74">
        <v>16002</v>
      </c>
    </row>
    <row r="11211" spans="1:1" x14ac:dyDescent="0.25">
      <c r="A11211" s="74">
        <v>16003</v>
      </c>
    </row>
    <row r="11212" spans="1:1" x14ac:dyDescent="0.25">
      <c r="A11212" s="74">
        <v>16004</v>
      </c>
    </row>
    <row r="11213" spans="1:1" x14ac:dyDescent="0.25">
      <c r="A11213" s="74">
        <v>16005</v>
      </c>
    </row>
    <row r="11214" spans="1:1" x14ac:dyDescent="0.25">
      <c r="A11214" s="74">
        <v>16006</v>
      </c>
    </row>
    <row r="11215" spans="1:1" x14ac:dyDescent="0.25">
      <c r="A11215" s="74">
        <v>16007</v>
      </c>
    </row>
    <row r="11216" spans="1:1" x14ac:dyDescent="0.25">
      <c r="A11216" s="74">
        <v>16008</v>
      </c>
    </row>
    <row r="11217" spans="1:1" x14ac:dyDescent="0.25">
      <c r="A11217" s="74">
        <v>16009</v>
      </c>
    </row>
    <row r="11218" spans="1:1" x14ac:dyDescent="0.25">
      <c r="A11218" s="74">
        <v>16010</v>
      </c>
    </row>
    <row r="11219" spans="1:1" x14ac:dyDescent="0.25">
      <c r="A11219" s="74">
        <v>16011</v>
      </c>
    </row>
    <row r="11220" spans="1:1" x14ac:dyDescent="0.25">
      <c r="A11220" s="74">
        <v>16012</v>
      </c>
    </row>
    <row r="11221" spans="1:1" x14ac:dyDescent="0.25">
      <c r="A11221" s="74">
        <v>16013</v>
      </c>
    </row>
    <row r="11222" spans="1:1" x14ac:dyDescent="0.25">
      <c r="A11222" s="74">
        <v>16014</v>
      </c>
    </row>
    <row r="11223" spans="1:1" x14ac:dyDescent="0.25">
      <c r="A11223" s="74">
        <v>16015</v>
      </c>
    </row>
    <row r="11224" spans="1:1" x14ac:dyDescent="0.25">
      <c r="A11224" s="74">
        <v>16016</v>
      </c>
    </row>
    <row r="11225" spans="1:1" x14ac:dyDescent="0.25">
      <c r="A11225" s="74">
        <v>16017</v>
      </c>
    </row>
    <row r="11226" spans="1:1" x14ac:dyDescent="0.25">
      <c r="A11226" s="74">
        <v>16018</v>
      </c>
    </row>
    <row r="11227" spans="1:1" x14ac:dyDescent="0.25">
      <c r="A11227" s="74">
        <v>16019</v>
      </c>
    </row>
    <row r="11228" spans="1:1" x14ac:dyDescent="0.25">
      <c r="A11228" s="74">
        <v>16020</v>
      </c>
    </row>
    <row r="11229" spans="1:1" x14ac:dyDescent="0.25">
      <c r="A11229" s="74">
        <v>16021</v>
      </c>
    </row>
    <row r="11230" spans="1:1" x14ac:dyDescent="0.25">
      <c r="A11230" s="74">
        <v>16022</v>
      </c>
    </row>
    <row r="11231" spans="1:1" x14ac:dyDescent="0.25">
      <c r="A11231" s="74">
        <v>16023</v>
      </c>
    </row>
    <row r="11232" spans="1:1" x14ac:dyDescent="0.25">
      <c r="A11232" s="74">
        <v>16024</v>
      </c>
    </row>
    <row r="11233" spans="1:1" x14ac:dyDescent="0.25">
      <c r="A11233" s="74">
        <v>16025</v>
      </c>
    </row>
    <row r="11234" spans="1:1" x14ac:dyDescent="0.25">
      <c r="A11234" s="74">
        <v>16026</v>
      </c>
    </row>
    <row r="11235" spans="1:1" x14ac:dyDescent="0.25">
      <c r="A11235" s="74">
        <v>16027</v>
      </c>
    </row>
    <row r="11236" spans="1:1" x14ac:dyDescent="0.25">
      <c r="A11236" s="74">
        <v>16028</v>
      </c>
    </row>
    <row r="11237" spans="1:1" x14ac:dyDescent="0.25">
      <c r="A11237" s="74">
        <v>16029</v>
      </c>
    </row>
    <row r="11238" spans="1:1" x14ac:dyDescent="0.25">
      <c r="A11238" s="74">
        <v>16030</v>
      </c>
    </row>
    <row r="11239" spans="1:1" x14ac:dyDescent="0.25">
      <c r="A11239" s="74">
        <v>16031</v>
      </c>
    </row>
    <row r="11240" spans="1:1" x14ac:dyDescent="0.25">
      <c r="A11240" s="74">
        <v>16032</v>
      </c>
    </row>
    <row r="11241" spans="1:1" x14ac:dyDescent="0.25">
      <c r="A11241" s="74">
        <v>16033</v>
      </c>
    </row>
    <row r="11242" spans="1:1" x14ac:dyDescent="0.25">
      <c r="A11242" s="74">
        <v>16034</v>
      </c>
    </row>
    <row r="11243" spans="1:1" x14ac:dyDescent="0.25">
      <c r="A11243" s="74">
        <v>16035</v>
      </c>
    </row>
    <row r="11244" spans="1:1" x14ac:dyDescent="0.25">
      <c r="A11244" s="74">
        <v>16036</v>
      </c>
    </row>
    <row r="11245" spans="1:1" x14ac:dyDescent="0.25">
      <c r="A11245" s="74">
        <v>16037</v>
      </c>
    </row>
    <row r="11246" spans="1:1" x14ac:dyDescent="0.25">
      <c r="A11246" s="74">
        <v>16038</v>
      </c>
    </row>
    <row r="11247" spans="1:1" x14ac:dyDescent="0.25">
      <c r="A11247" s="74">
        <v>16039</v>
      </c>
    </row>
    <row r="11248" spans="1:1" x14ac:dyDescent="0.25">
      <c r="A11248" s="74">
        <v>16040</v>
      </c>
    </row>
    <row r="11249" spans="1:1" x14ac:dyDescent="0.25">
      <c r="A11249" s="74">
        <v>16041</v>
      </c>
    </row>
    <row r="11250" spans="1:1" x14ac:dyDescent="0.25">
      <c r="A11250" s="74">
        <v>16042</v>
      </c>
    </row>
    <row r="11251" spans="1:1" x14ac:dyDescent="0.25">
      <c r="A11251" s="74">
        <v>16043</v>
      </c>
    </row>
    <row r="11252" spans="1:1" x14ac:dyDescent="0.25">
      <c r="A11252" s="74">
        <v>16044</v>
      </c>
    </row>
    <row r="11253" spans="1:1" x14ac:dyDescent="0.25">
      <c r="A11253" s="74">
        <v>16045</v>
      </c>
    </row>
    <row r="11254" spans="1:1" x14ac:dyDescent="0.25">
      <c r="A11254" s="74">
        <v>16046</v>
      </c>
    </row>
    <row r="11255" spans="1:1" x14ac:dyDescent="0.25">
      <c r="A11255" s="74">
        <v>16047</v>
      </c>
    </row>
    <row r="11256" spans="1:1" x14ac:dyDescent="0.25">
      <c r="A11256" s="74">
        <v>16048</v>
      </c>
    </row>
    <row r="11257" spans="1:1" x14ac:dyDescent="0.25">
      <c r="A11257" s="74">
        <v>16049</v>
      </c>
    </row>
    <row r="11258" spans="1:1" x14ac:dyDescent="0.25">
      <c r="A11258" s="74">
        <v>16050</v>
      </c>
    </row>
    <row r="11259" spans="1:1" x14ac:dyDescent="0.25">
      <c r="A11259" s="74">
        <v>16051</v>
      </c>
    </row>
    <row r="11260" spans="1:1" x14ac:dyDescent="0.25">
      <c r="A11260" s="74">
        <v>16052</v>
      </c>
    </row>
    <row r="11261" spans="1:1" x14ac:dyDescent="0.25">
      <c r="A11261" s="74">
        <v>16053</v>
      </c>
    </row>
    <row r="11262" spans="1:1" x14ac:dyDescent="0.25">
      <c r="A11262" s="74">
        <v>16054</v>
      </c>
    </row>
    <row r="11263" spans="1:1" x14ac:dyDescent="0.25">
      <c r="A11263" s="74">
        <v>16055</v>
      </c>
    </row>
    <row r="11264" spans="1:1" x14ac:dyDescent="0.25">
      <c r="A11264" s="74">
        <v>16056</v>
      </c>
    </row>
    <row r="11265" spans="1:1" x14ac:dyDescent="0.25">
      <c r="A11265" s="74">
        <v>16057</v>
      </c>
    </row>
    <row r="11266" spans="1:1" x14ac:dyDescent="0.25">
      <c r="A11266" s="74">
        <v>16058</v>
      </c>
    </row>
    <row r="11267" spans="1:1" x14ac:dyDescent="0.25">
      <c r="A11267" s="74">
        <v>16059</v>
      </c>
    </row>
    <row r="11268" spans="1:1" x14ac:dyDescent="0.25">
      <c r="A11268" s="74">
        <v>16060</v>
      </c>
    </row>
    <row r="11269" spans="1:1" x14ac:dyDescent="0.25">
      <c r="A11269" s="74">
        <v>16061</v>
      </c>
    </row>
    <row r="11270" spans="1:1" x14ac:dyDescent="0.25">
      <c r="A11270" s="74">
        <v>16062</v>
      </c>
    </row>
    <row r="11271" spans="1:1" x14ac:dyDescent="0.25">
      <c r="A11271" s="74">
        <v>16063</v>
      </c>
    </row>
    <row r="11272" spans="1:1" x14ac:dyDescent="0.25">
      <c r="A11272" s="74">
        <v>16064</v>
      </c>
    </row>
    <row r="11273" spans="1:1" x14ac:dyDescent="0.25">
      <c r="A11273" s="74">
        <v>16065</v>
      </c>
    </row>
    <row r="11274" spans="1:1" x14ac:dyDescent="0.25">
      <c r="A11274" s="74">
        <v>16066</v>
      </c>
    </row>
    <row r="11275" spans="1:1" x14ac:dyDescent="0.25">
      <c r="A11275" s="74">
        <v>16067</v>
      </c>
    </row>
    <row r="11276" spans="1:1" x14ac:dyDescent="0.25">
      <c r="A11276" s="74">
        <v>16068</v>
      </c>
    </row>
    <row r="11277" spans="1:1" x14ac:dyDescent="0.25">
      <c r="A11277" s="74">
        <v>16069</v>
      </c>
    </row>
    <row r="11278" spans="1:1" x14ac:dyDescent="0.25">
      <c r="A11278" s="74">
        <v>16070</v>
      </c>
    </row>
    <row r="11279" spans="1:1" x14ac:dyDescent="0.25">
      <c r="A11279" s="74">
        <v>16071</v>
      </c>
    </row>
    <row r="11280" spans="1:1" x14ac:dyDescent="0.25">
      <c r="A11280" s="74">
        <v>16072</v>
      </c>
    </row>
    <row r="11281" spans="1:1" x14ac:dyDescent="0.25">
      <c r="A11281" s="74">
        <v>16073</v>
      </c>
    </row>
    <row r="11282" spans="1:1" x14ac:dyDescent="0.25">
      <c r="A11282" s="74">
        <v>16074</v>
      </c>
    </row>
    <row r="11283" spans="1:1" x14ac:dyDescent="0.25">
      <c r="A11283" s="74">
        <v>16075</v>
      </c>
    </row>
    <row r="11284" spans="1:1" x14ac:dyDescent="0.25">
      <c r="A11284" s="74">
        <v>16076</v>
      </c>
    </row>
    <row r="11285" spans="1:1" x14ac:dyDescent="0.25">
      <c r="A11285" s="74">
        <v>16077</v>
      </c>
    </row>
    <row r="11286" spans="1:1" x14ac:dyDescent="0.25">
      <c r="A11286" s="74">
        <v>16078</v>
      </c>
    </row>
    <row r="11287" spans="1:1" x14ac:dyDescent="0.25">
      <c r="A11287" s="74">
        <v>16079</v>
      </c>
    </row>
    <row r="11288" spans="1:1" x14ac:dyDescent="0.25">
      <c r="A11288" s="74">
        <v>16080</v>
      </c>
    </row>
    <row r="11289" spans="1:1" x14ac:dyDescent="0.25">
      <c r="A11289" s="74">
        <v>16081</v>
      </c>
    </row>
    <row r="11290" spans="1:1" x14ac:dyDescent="0.25">
      <c r="A11290" s="74">
        <v>16082</v>
      </c>
    </row>
    <row r="11291" spans="1:1" x14ac:dyDescent="0.25">
      <c r="A11291" s="74">
        <v>16083</v>
      </c>
    </row>
    <row r="11292" spans="1:1" x14ac:dyDescent="0.25">
      <c r="A11292" s="74">
        <v>16084</v>
      </c>
    </row>
    <row r="11293" spans="1:1" x14ac:dyDescent="0.25">
      <c r="A11293" s="74">
        <v>16085</v>
      </c>
    </row>
    <row r="11294" spans="1:1" x14ac:dyDescent="0.25">
      <c r="A11294" s="74">
        <v>16086</v>
      </c>
    </row>
    <row r="11295" spans="1:1" x14ac:dyDescent="0.25">
      <c r="A11295" s="74">
        <v>16087</v>
      </c>
    </row>
    <row r="11296" spans="1:1" x14ac:dyDescent="0.25">
      <c r="A11296" s="74">
        <v>16088</v>
      </c>
    </row>
    <row r="11297" spans="1:1" x14ac:dyDescent="0.25">
      <c r="A11297" s="74">
        <v>16089</v>
      </c>
    </row>
    <row r="11298" spans="1:1" x14ac:dyDescent="0.25">
      <c r="A11298" s="74">
        <v>16090</v>
      </c>
    </row>
    <row r="11299" spans="1:1" x14ac:dyDescent="0.25">
      <c r="A11299" s="74">
        <v>16091</v>
      </c>
    </row>
    <row r="11300" spans="1:1" x14ac:dyDescent="0.25">
      <c r="A11300" s="74">
        <v>16092</v>
      </c>
    </row>
    <row r="11301" spans="1:1" x14ac:dyDescent="0.25">
      <c r="A11301" s="74">
        <v>16093</v>
      </c>
    </row>
    <row r="11302" spans="1:1" x14ac:dyDescent="0.25">
      <c r="A11302" s="74">
        <v>16094</v>
      </c>
    </row>
    <row r="11303" spans="1:1" x14ac:dyDescent="0.25">
      <c r="A11303" s="74">
        <v>16095</v>
      </c>
    </row>
    <row r="11304" spans="1:1" x14ac:dyDescent="0.25">
      <c r="A11304" s="74">
        <v>16096</v>
      </c>
    </row>
    <row r="11305" spans="1:1" x14ac:dyDescent="0.25">
      <c r="A11305" s="74">
        <v>16097</v>
      </c>
    </row>
    <row r="11306" spans="1:1" x14ac:dyDescent="0.25">
      <c r="A11306" s="74">
        <v>16098</v>
      </c>
    </row>
    <row r="11307" spans="1:1" x14ac:dyDescent="0.25">
      <c r="A11307" s="74">
        <v>16099</v>
      </c>
    </row>
    <row r="11308" spans="1:1" x14ac:dyDescent="0.25">
      <c r="A11308" s="74">
        <v>16100</v>
      </c>
    </row>
    <row r="11309" spans="1:1" x14ac:dyDescent="0.25">
      <c r="A11309" s="74">
        <v>16101</v>
      </c>
    </row>
    <row r="11310" spans="1:1" x14ac:dyDescent="0.25">
      <c r="A11310" s="74">
        <v>16102</v>
      </c>
    </row>
    <row r="11311" spans="1:1" x14ac:dyDescent="0.25">
      <c r="A11311" s="74">
        <v>16103</v>
      </c>
    </row>
    <row r="11312" spans="1:1" x14ac:dyDescent="0.25">
      <c r="A11312" s="74">
        <v>16104</v>
      </c>
    </row>
    <row r="11313" spans="1:1" x14ac:dyDescent="0.25">
      <c r="A11313" s="74">
        <v>16105</v>
      </c>
    </row>
    <row r="11314" spans="1:1" x14ac:dyDescent="0.25">
      <c r="A11314" s="74">
        <v>16106</v>
      </c>
    </row>
    <row r="11315" spans="1:1" x14ac:dyDescent="0.25">
      <c r="A11315" s="74">
        <v>16107</v>
      </c>
    </row>
    <row r="11316" spans="1:1" x14ac:dyDescent="0.25">
      <c r="A11316" s="74">
        <v>16108</v>
      </c>
    </row>
    <row r="11317" spans="1:1" x14ac:dyDescent="0.25">
      <c r="A11317" s="74">
        <v>16109</v>
      </c>
    </row>
    <row r="11318" spans="1:1" x14ac:dyDescent="0.25">
      <c r="A11318" s="74">
        <v>16110</v>
      </c>
    </row>
    <row r="11319" spans="1:1" x14ac:dyDescent="0.25">
      <c r="A11319" s="74">
        <v>16111</v>
      </c>
    </row>
    <row r="11320" spans="1:1" x14ac:dyDescent="0.25">
      <c r="A11320" s="74">
        <v>16112</v>
      </c>
    </row>
    <row r="11321" spans="1:1" x14ac:dyDescent="0.25">
      <c r="A11321" s="74">
        <v>16113</v>
      </c>
    </row>
    <row r="11322" spans="1:1" x14ac:dyDescent="0.25">
      <c r="A11322" s="74">
        <v>16114</v>
      </c>
    </row>
    <row r="11323" spans="1:1" x14ac:dyDescent="0.25">
      <c r="A11323" s="74">
        <v>16115</v>
      </c>
    </row>
    <row r="11324" spans="1:1" x14ac:dyDescent="0.25">
      <c r="A11324" s="74">
        <v>16116</v>
      </c>
    </row>
    <row r="11325" spans="1:1" x14ac:dyDescent="0.25">
      <c r="A11325" s="74">
        <v>16117</v>
      </c>
    </row>
    <row r="11326" spans="1:1" x14ac:dyDescent="0.25">
      <c r="A11326" s="74">
        <v>16118</v>
      </c>
    </row>
    <row r="11327" spans="1:1" x14ac:dyDescent="0.25">
      <c r="A11327" s="74">
        <v>16119</v>
      </c>
    </row>
    <row r="11328" spans="1:1" x14ac:dyDescent="0.25">
      <c r="A11328" s="74">
        <v>16120</v>
      </c>
    </row>
    <row r="11329" spans="1:1" x14ac:dyDescent="0.25">
      <c r="A11329" s="74">
        <v>16121</v>
      </c>
    </row>
    <row r="11330" spans="1:1" x14ac:dyDescent="0.25">
      <c r="A11330" s="74">
        <v>16122</v>
      </c>
    </row>
    <row r="11331" spans="1:1" x14ac:dyDescent="0.25">
      <c r="A11331" s="74">
        <v>16123</v>
      </c>
    </row>
    <row r="11332" spans="1:1" x14ac:dyDescent="0.25">
      <c r="A11332" s="74">
        <v>16124</v>
      </c>
    </row>
    <row r="11333" spans="1:1" x14ac:dyDescent="0.25">
      <c r="A11333" s="74">
        <v>16125</v>
      </c>
    </row>
    <row r="11334" spans="1:1" x14ac:dyDescent="0.25">
      <c r="A11334" s="74">
        <v>16126</v>
      </c>
    </row>
    <row r="11335" spans="1:1" x14ac:dyDescent="0.25">
      <c r="A11335" s="74">
        <v>16127</v>
      </c>
    </row>
    <row r="11336" spans="1:1" x14ac:dyDescent="0.25">
      <c r="A11336" s="74">
        <v>16128</v>
      </c>
    </row>
    <row r="11337" spans="1:1" x14ac:dyDescent="0.25">
      <c r="A11337" s="74">
        <v>16129</v>
      </c>
    </row>
    <row r="11338" spans="1:1" x14ac:dyDescent="0.25">
      <c r="A11338" s="74">
        <v>16130</v>
      </c>
    </row>
    <row r="11339" spans="1:1" x14ac:dyDescent="0.25">
      <c r="A11339" s="74">
        <v>16131</v>
      </c>
    </row>
    <row r="11340" spans="1:1" x14ac:dyDescent="0.25">
      <c r="A11340" s="74">
        <v>16132</v>
      </c>
    </row>
    <row r="11341" spans="1:1" x14ac:dyDescent="0.25">
      <c r="A11341" s="74">
        <v>16133</v>
      </c>
    </row>
    <row r="11342" spans="1:1" x14ac:dyDescent="0.25">
      <c r="A11342" s="74">
        <v>16134</v>
      </c>
    </row>
    <row r="11343" spans="1:1" x14ac:dyDescent="0.25">
      <c r="A11343" s="74">
        <v>16135</v>
      </c>
    </row>
    <row r="11344" spans="1:1" x14ac:dyDescent="0.25">
      <c r="A11344" s="74">
        <v>16136</v>
      </c>
    </row>
    <row r="11345" spans="1:1" x14ac:dyDescent="0.25">
      <c r="A11345" s="74">
        <v>16137</v>
      </c>
    </row>
    <row r="11346" spans="1:1" x14ac:dyDescent="0.25">
      <c r="A11346" s="74">
        <v>16138</v>
      </c>
    </row>
    <row r="11347" spans="1:1" x14ac:dyDescent="0.25">
      <c r="A11347" s="74">
        <v>16139</v>
      </c>
    </row>
    <row r="11348" spans="1:1" x14ac:dyDescent="0.25">
      <c r="A11348" s="74">
        <v>16140</v>
      </c>
    </row>
    <row r="11349" spans="1:1" x14ac:dyDescent="0.25">
      <c r="A11349" s="74">
        <v>16141</v>
      </c>
    </row>
    <row r="11350" spans="1:1" x14ac:dyDescent="0.25">
      <c r="A11350" s="74">
        <v>16142</v>
      </c>
    </row>
    <row r="11351" spans="1:1" x14ac:dyDescent="0.25">
      <c r="A11351" s="74">
        <v>16143</v>
      </c>
    </row>
    <row r="11352" spans="1:1" x14ac:dyDescent="0.25">
      <c r="A11352" s="74">
        <v>16144</v>
      </c>
    </row>
    <row r="11353" spans="1:1" x14ac:dyDescent="0.25">
      <c r="A11353" s="74">
        <v>16145</v>
      </c>
    </row>
    <row r="11354" spans="1:1" x14ac:dyDescent="0.25">
      <c r="A11354" s="74">
        <v>16146</v>
      </c>
    </row>
    <row r="11355" spans="1:1" x14ac:dyDescent="0.25">
      <c r="A11355" s="74">
        <v>16147</v>
      </c>
    </row>
    <row r="11356" spans="1:1" x14ac:dyDescent="0.25">
      <c r="A11356" s="74">
        <v>16148</v>
      </c>
    </row>
    <row r="11357" spans="1:1" x14ac:dyDescent="0.25">
      <c r="A11357" s="74">
        <v>16149</v>
      </c>
    </row>
    <row r="11358" spans="1:1" x14ac:dyDescent="0.25">
      <c r="A11358" s="74">
        <v>16150</v>
      </c>
    </row>
    <row r="11359" spans="1:1" x14ac:dyDescent="0.25">
      <c r="A11359" s="74">
        <v>16151</v>
      </c>
    </row>
    <row r="11360" spans="1:1" x14ac:dyDescent="0.25">
      <c r="A11360" s="74">
        <v>16152</v>
      </c>
    </row>
    <row r="11361" spans="1:1" x14ac:dyDescent="0.25">
      <c r="A11361" s="74">
        <v>16153</v>
      </c>
    </row>
    <row r="11362" spans="1:1" x14ac:dyDescent="0.25">
      <c r="A11362" s="74">
        <v>16154</v>
      </c>
    </row>
    <row r="11363" spans="1:1" x14ac:dyDescent="0.25">
      <c r="A11363" s="74">
        <v>16155</v>
      </c>
    </row>
    <row r="11364" spans="1:1" x14ac:dyDescent="0.25">
      <c r="A11364" s="74">
        <v>16156</v>
      </c>
    </row>
    <row r="11365" spans="1:1" x14ac:dyDescent="0.25">
      <c r="A11365" s="74">
        <v>16157</v>
      </c>
    </row>
    <row r="11366" spans="1:1" x14ac:dyDescent="0.25">
      <c r="A11366" s="74">
        <v>16158</v>
      </c>
    </row>
    <row r="11367" spans="1:1" x14ac:dyDescent="0.25">
      <c r="A11367" s="74">
        <v>16159</v>
      </c>
    </row>
    <row r="11368" spans="1:1" x14ac:dyDescent="0.25">
      <c r="A11368" s="74">
        <v>16160</v>
      </c>
    </row>
    <row r="11369" spans="1:1" x14ac:dyDescent="0.25">
      <c r="A11369" s="74">
        <v>16161</v>
      </c>
    </row>
    <row r="11370" spans="1:1" x14ac:dyDescent="0.25">
      <c r="A11370" s="74">
        <v>16162</v>
      </c>
    </row>
    <row r="11371" spans="1:1" x14ac:dyDescent="0.25">
      <c r="A11371" s="74">
        <v>16163</v>
      </c>
    </row>
    <row r="11372" spans="1:1" x14ac:dyDescent="0.25">
      <c r="A11372" s="74">
        <v>16164</v>
      </c>
    </row>
    <row r="11373" spans="1:1" x14ac:dyDescent="0.25">
      <c r="A11373" s="74">
        <v>16165</v>
      </c>
    </row>
    <row r="11374" spans="1:1" x14ac:dyDescent="0.25">
      <c r="A11374" s="74">
        <v>16166</v>
      </c>
    </row>
    <row r="11375" spans="1:1" x14ac:dyDescent="0.25">
      <c r="A11375" s="74">
        <v>16167</v>
      </c>
    </row>
    <row r="11376" spans="1:1" x14ac:dyDescent="0.25">
      <c r="A11376" s="74">
        <v>16168</v>
      </c>
    </row>
    <row r="11377" spans="1:1" x14ac:dyDescent="0.25">
      <c r="A11377" s="74">
        <v>16169</v>
      </c>
    </row>
    <row r="11378" spans="1:1" x14ac:dyDescent="0.25">
      <c r="A11378" s="74">
        <v>16170</v>
      </c>
    </row>
    <row r="11379" spans="1:1" x14ac:dyDescent="0.25">
      <c r="A11379" s="74">
        <v>16171</v>
      </c>
    </row>
    <row r="11380" spans="1:1" x14ac:dyDescent="0.25">
      <c r="A11380" s="74">
        <v>16172</v>
      </c>
    </row>
    <row r="11381" spans="1:1" x14ac:dyDescent="0.25">
      <c r="A11381" s="74">
        <v>16173</v>
      </c>
    </row>
    <row r="11382" spans="1:1" x14ac:dyDescent="0.25">
      <c r="A11382" s="74">
        <v>16174</v>
      </c>
    </row>
    <row r="11383" spans="1:1" x14ac:dyDescent="0.25">
      <c r="A11383" s="74">
        <v>16175</v>
      </c>
    </row>
    <row r="11384" spans="1:1" x14ac:dyDescent="0.25">
      <c r="A11384" s="74">
        <v>16176</v>
      </c>
    </row>
    <row r="11385" spans="1:1" x14ac:dyDescent="0.25">
      <c r="A11385" s="74">
        <v>16177</v>
      </c>
    </row>
    <row r="11386" spans="1:1" x14ac:dyDescent="0.25">
      <c r="A11386" s="74">
        <v>16178</v>
      </c>
    </row>
    <row r="11387" spans="1:1" x14ac:dyDescent="0.25">
      <c r="A11387" s="74">
        <v>16179</v>
      </c>
    </row>
    <row r="11388" spans="1:1" x14ac:dyDescent="0.25">
      <c r="A11388" s="74">
        <v>16180</v>
      </c>
    </row>
    <row r="11389" spans="1:1" x14ac:dyDescent="0.25">
      <c r="A11389" s="74">
        <v>16181</v>
      </c>
    </row>
    <row r="11390" spans="1:1" x14ac:dyDescent="0.25">
      <c r="A11390" s="74">
        <v>16182</v>
      </c>
    </row>
    <row r="11391" spans="1:1" x14ac:dyDescent="0.25">
      <c r="A11391" s="74">
        <v>16183</v>
      </c>
    </row>
    <row r="11392" spans="1:1" x14ac:dyDescent="0.25">
      <c r="A11392" s="74">
        <v>16184</v>
      </c>
    </row>
    <row r="11393" spans="1:1" x14ac:dyDescent="0.25">
      <c r="A11393" s="74">
        <v>16185</v>
      </c>
    </row>
    <row r="11394" spans="1:1" x14ac:dyDescent="0.25">
      <c r="A11394" s="74">
        <v>16186</v>
      </c>
    </row>
    <row r="11395" spans="1:1" x14ac:dyDescent="0.25">
      <c r="A11395" s="74">
        <v>16187</v>
      </c>
    </row>
    <row r="11396" spans="1:1" x14ac:dyDescent="0.25">
      <c r="A11396" s="74">
        <v>16188</v>
      </c>
    </row>
    <row r="11397" spans="1:1" x14ac:dyDescent="0.25">
      <c r="A11397" s="74">
        <v>16189</v>
      </c>
    </row>
    <row r="11398" spans="1:1" x14ac:dyDescent="0.25">
      <c r="A11398" s="74">
        <v>16190</v>
      </c>
    </row>
    <row r="11399" spans="1:1" x14ac:dyDescent="0.25">
      <c r="A11399" s="74">
        <v>16191</v>
      </c>
    </row>
    <row r="11400" spans="1:1" x14ac:dyDescent="0.25">
      <c r="A11400" s="74">
        <v>16192</v>
      </c>
    </row>
    <row r="11401" spans="1:1" x14ac:dyDescent="0.25">
      <c r="A11401" s="74">
        <v>16193</v>
      </c>
    </row>
    <row r="11402" spans="1:1" x14ac:dyDescent="0.25">
      <c r="A11402" s="74">
        <v>16194</v>
      </c>
    </row>
    <row r="11403" spans="1:1" x14ac:dyDescent="0.25">
      <c r="A11403" s="74">
        <v>16195</v>
      </c>
    </row>
    <row r="11404" spans="1:1" x14ac:dyDescent="0.25">
      <c r="A11404" s="74">
        <v>16196</v>
      </c>
    </row>
    <row r="11405" spans="1:1" x14ac:dyDescent="0.25">
      <c r="A11405" s="74">
        <v>16197</v>
      </c>
    </row>
    <row r="11406" spans="1:1" x14ac:dyDescent="0.25">
      <c r="A11406" s="74">
        <v>16198</v>
      </c>
    </row>
    <row r="11407" spans="1:1" x14ac:dyDescent="0.25">
      <c r="A11407" s="74">
        <v>16199</v>
      </c>
    </row>
    <row r="11408" spans="1:1" x14ac:dyDescent="0.25">
      <c r="A11408" s="74">
        <v>16200</v>
      </c>
    </row>
    <row r="11409" spans="1:1" x14ac:dyDescent="0.25">
      <c r="A11409" s="74">
        <v>16201</v>
      </c>
    </row>
    <row r="11410" spans="1:1" x14ac:dyDescent="0.25">
      <c r="A11410" s="74">
        <v>16202</v>
      </c>
    </row>
    <row r="11411" spans="1:1" x14ac:dyDescent="0.25">
      <c r="A11411" s="74">
        <v>16203</v>
      </c>
    </row>
    <row r="11412" spans="1:1" x14ac:dyDescent="0.25">
      <c r="A11412" s="74">
        <v>16204</v>
      </c>
    </row>
    <row r="11413" spans="1:1" x14ac:dyDescent="0.25">
      <c r="A11413" s="74">
        <v>16205</v>
      </c>
    </row>
    <row r="11414" spans="1:1" x14ac:dyDescent="0.25">
      <c r="A11414" s="74">
        <v>16206</v>
      </c>
    </row>
    <row r="11415" spans="1:1" x14ac:dyDescent="0.25">
      <c r="A11415" s="74">
        <v>16207</v>
      </c>
    </row>
    <row r="11416" spans="1:1" x14ac:dyDescent="0.25">
      <c r="A11416" s="74">
        <v>16208</v>
      </c>
    </row>
    <row r="11417" spans="1:1" x14ac:dyDescent="0.25">
      <c r="A11417" s="74">
        <v>16209</v>
      </c>
    </row>
    <row r="11418" spans="1:1" x14ac:dyDescent="0.25">
      <c r="A11418" s="74">
        <v>16210</v>
      </c>
    </row>
    <row r="11419" spans="1:1" x14ac:dyDescent="0.25">
      <c r="A11419" s="74">
        <v>16211</v>
      </c>
    </row>
    <row r="11420" spans="1:1" x14ac:dyDescent="0.25">
      <c r="A11420" s="74">
        <v>16212</v>
      </c>
    </row>
    <row r="11421" spans="1:1" x14ac:dyDescent="0.25">
      <c r="A11421" s="74">
        <v>16213</v>
      </c>
    </row>
    <row r="11422" spans="1:1" x14ac:dyDescent="0.25">
      <c r="A11422" s="74">
        <v>16214</v>
      </c>
    </row>
    <row r="11423" spans="1:1" x14ac:dyDescent="0.25">
      <c r="A11423" s="74">
        <v>16215</v>
      </c>
    </row>
    <row r="11424" spans="1:1" x14ac:dyDescent="0.25">
      <c r="A11424" s="74">
        <v>16216</v>
      </c>
    </row>
    <row r="11425" spans="1:1" x14ac:dyDescent="0.25">
      <c r="A11425" s="74">
        <v>16217</v>
      </c>
    </row>
    <row r="11426" spans="1:1" x14ac:dyDescent="0.25">
      <c r="A11426" s="74">
        <v>16218</v>
      </c>
    </row>
    <row r="11427" spans="1:1" x14ac:dyDescent="0.25">
      <c r="A11427" s="74">
        <v>16219</v>
      </c>
    </row>
    <row r="11428" spans="1:1" x14ac:dyDescent="0.25">
      <c r="A11428" s="74">
        <v>16220</v>
      </c>
    </row>
    <row r="11429" spans="1:1" x14ac:dyDescent="0.25">
      <c r="A11429" s="74">
        <v>16221</v>
      </c>
    </row>
    <row r="11430" spans="1:1" x14ac:dyDescent="0.25">
      <c r="A11430" s="74">
        <v>16222</v>
      </c>
    </row>
    <row r="11431" spans="1:1" x14ac:dyDescent="0.25">
      <c r="A11431" s="74">
        <v>16223</v>
      </c>
    </row>
    <row r="11432" spans="1:1" x14ac:dyDescent="0.25">
      <c r="A11432" s="74">
        <v>16224</v>
      </c>
    </row>
    <row r="11433" spans="1:1" x14ac:dyDescent="0.25">
      <c r="A11433" s="74">
        <v>16225</v>
      </c>
    </row>
    <row r="11434" spans="1:1" x14ac:dyDescent="0.25">
      <c r="A11434" s="74">
        <v>16226</v>
      </c>
    </row>
    <row r="11435" spans="1:1" x14ac:dyDescent="0.25">
      <c r="A11435" s="74">
        <v>16227</v>
      </c>
    </row>
    <row r="11436" spans="1:1" x14ac:dyDescent="0.25">
      <c r="A11436" s="74">
        <v>16228</v>
      </c>
    </row>
    <row r="11437" spans="1:1" x14ac:dyDescent="0.25">
      <c r="A11437" s="74">
        <v>16229</v>
      </c>
    </row>
    <row r="11438" spans="1:1" x14ac:dyDescent="0.25">
      <c r="A11438" s="74">
        <v>16230</v>
      </c>
    </row>
    <row r="11439" spans="1:1" x14ac:dyDescent="0.25">
      <c r="A11439" s="74">
        <v>16231</v>
      </c>
    </row>
    <row r="11440" spans="1:1" x14ac:dyDescent="0.25">
      <c r="A11440" s="74">
        <v>16232</v>
      </c>
    </row>
    <row r="11441" spans="1:1" x14ac:dyDescent="0.25">
      <c r="A11441" s="74">
        <v>16233</v>
      </c>
    </row>
    <row r="11442" spans="1:1" x14ac:dyDescent="0.25">
      <c r="A11442" s="74">
        <v>16234</v>
      </c>
    </row>
    <row r="11443" spans="1:1" x14ac:dyDescent="0.25">
      <c r="A11443" s="74">
        <v>16235</v>
      </c>
    </row>
    <row r="11444" spans="1:1" x14ac:dyDescent="0.25">
      <c r="A11444" s="74">
        <v>16236</v>
      </c>
    </row>
    <row r="11445" spans="1:1" x14ac:dyDescent="0.25">
      <c r="A11445" s="74">
        <v>16237</v>
      </c>
    </row>
    <row r="11446" spans="1:1" x14ac:dyDescent="0.25">
      <c r="A11446" s="74">
        <v>16238</v>
      </c>
    </row>
    <row r="11447" spans="1:1" x14ac:dyDescent="0.25">
      <c r="A11447" s="74">
        <v>16239</v>
      </c>
    </row>
    <row r="11448" spans="1:1" x14ac:dyDescent="0.25">
      <c r="A11448" s="74">
        <v>16240</v>
      </c>
    </row>
    <row r="11449" spans="1:1" x14ac:dyDescent="0.25">
      <c r="A11449" s="74">
        <v>16241</v>
      </c>
    </row>
    <row r="11450" spans="1:1" x14ac:dyDescent="0.25">
      <c r="A11450" s="74">
        <v>16242</v>
      </c>
    </row>
    <row r="11451" spans="1:1" x14ac:dyDescent="0.25">
      <c r="A11451" s="74">
        <v>16243</v>
      </c>
    </row>
    <row r="11452" spans="1:1" x14ac:dyDescent="0.25">
      <c r="A11452" s="74">
        <v>16244</v>
      </c>
    </row>
    <row r="11453" spans="1:1" x14ac:dyDescent="0.25">
      <c r="A11453" s="74">
        <v>16245</v>
      </c>
    </row>
    <row r="11454" spans="1:1" x14ac:dyDescent="0.25">
      <c r="A11454" s="74">
        <v>16246</v>
      </c>
    </row>
    <row r="11455" spans="1:1" x14ac:dyDescent="0.25">
      <c r="A11455" s="74">
        <v>16247</v>
      </c>
    </row>
    <row r="11456" spans="1:1" x14ac:dyDescent="0.25">
      <c r="A11456" s="74">
        <v>16248</v>
      </c>
    </row>
    <row r="11457" spans="1:1" x14ac:dyDescent="0.25">
      <c r="A11457" s="74">
        <v>16249</v>
      </c>
    </row>
    <row r="11458" spans="1:1" x14ac:dyDescent="0.25">
      <c r="A11458" s="74">
        <v>16250</v>
      </c>
    </row>
    <row r="11459" spans="1:1" x14ac:dyDescent="0.25">
      <c r="A11459" s="74">
        <v>16251</v>
      </c>
    </row>
    <row r="11460" spans="1:1" x14ac:dyDescent="0.25">
      <c r="A11460" s="74">
        <v>16252</v>
      </c>
    </row>
    <row r="11461" spans="1:1" x14ac:dyDescent="0.25">
      <c r="A11461" s="74">
        <v>16253</v>
      </c>
    </row>
    <row r="11462" spans="1:1" x14ac:dyDescent="0.25">
      <c r="A11462" s="74">
        <v>16254</v>
      </c>
    </row>
    <row r="11463" spans="1:1" x14ac:dyDescent="0.25">
      <c r="A11463" s="74">
        <v>16255</v>
      </c>
    </row>
    <row r="11464" spans="1:1" x14ac:dyDescent="0.25">
      <c r="A11464" s="74">
        <v>16256</v>
      </c>
    </row>
    <row r="11465" spans="1:1" x14ac:dyDescent="0.25">
      <c r="A11465" s="74">
        <v>16257</v>
      </c>
    </row>
    <row r="11466" spans="1:1" x14ac:dyDescent="0.25">
      <c r="A11466" s="74">
        <v>16258</v>
      </c>
    </row>
    <row r="11467" spans="1:1" x14ac:dyDescent="0.25">
      <c r="A11467" s="74">
        <v>16259</v>
      </c>
    </row>
    <row r="11468" spans="1:1" x14ac:dyDescent="0.25">
      <c r="A11468" s="74">
        <v>16260</v>
      </c>
    </row>
    <row r="11469" spans="1:1" x14ac:dyDescent="0.25">
      <c r="A11469" s="74">
        <v>16261</v>
      </c>
    </row>
    <row r="11470" spans="1:1" x14ac:dyDescent="0.25">
      <c r="A11470" s="74">
        <v>16262</v>
      </c>
    </row>
    <row r="11471" spans="1:1" x14ac:dyDescent="0.25">
      <c r="A11471" s="74">
        <v>16263</v>
      </c>
    </row>
    <row r="11472" spans="1:1" x14ac:dyDescent="0.25">
      <c r="A11472" s="74">
        <v>16264</v>
      </c>
    </row>
    <row r="11473" spans="1:1" x14ac:dyDescent="0.25">
      <c r="A11473" s="74">
        <v>16265</v>
      </c>
    </row>
    <row r="11474" spans="1:1" x14ac:dyDescent="0.25">
      <c r="A11474" s="74">
        <v>16266</v>
      </c>
    </row>
    <row r="11475" spans="1:1" x14ac:dyDescent="0.25">
      <c r="A11475" s="74">
        <v>16267</v>
      </c>
    </row>
    <row r="11476" spans="1:1" x14ac:dyDescent="0.25">
      <c r="A11476" s="74">
        <v>16268</v>
      </c>
    </row>
    <row r="11477" spans="1:1" x14ac:dyDescent="0.25">
      <c r="A11477" s="74">
        <v>16269</v>
      </c>
    </row>
    <row r="11478" spans="1:1" x14ac:dyDescent="0.25">
      <c r="A11478" s="74">
        <v>16270</v>
      </c>
    </row>
    <row r="11479" spans="1:1" x14ac:dyDescent="0.25">
      <c r="A11479" s="74">
        <v>16271</v>
      </c>
    </row>
    <row r="11480" spans="1:1" x14ac:dyDescent="0.25">
      <c r="A11480" s="74">
        <v>16272</v>
      </c>
    </row>
    <row r="11481" spans="1:1" x14ac:dyDescent="0.25">
      <c r="A11481" s="74">
        <v>16273</v>
      </c>
    </row>
    <row r="11482" spans="1:1" x14ac:dyDescent="0.25">
      <c r="A11482" s="74">
        <v>16274</v>
      </c>
    </row>
    <row r="11483" spans="1:1" x14ac:dyDescent="0.25">
      <c r="A11483" s="74">
        <v>16275</v>
      </c>
    </row>
    <row r="11484" spans="1:1" x14ac:dyDescent="0.25">
      <c r="A11484" s="74">
        <v>16276</v>
      </c>
    </row>
    <row r="11485" spans="1:1" x14ac:dyDescent="0.25">
      <c r="A11485" s="74">
        <v>16277</v>
      </c>
    </row>
    <row r="11486" spans="1:1" x14ac:dyDescent="0.25">
      <c r="A11486" s="74">
        <v>16278</v>
      </c>
    </row>
    <row r="11487" spans="1:1" x14ac:dyDescent="0.25">
      <c r="A11487" s="74">
        <v>16279</v>
      </c>
    </row>
    <row r="11488" spans="1:1" x14ac:dyDescent="0.25">
      <c r="A11488" s="74">
        <v>16280</v>
      </c>
    </row>
    <row r="11489" spans="1:1" x14ac:dyDescent="0.25">
      <c r="A11489" s="74">
        <v>16281</v>
      </c>
    </row>
    <row r="11490" spans="1:1" x14ac:dyDescent="0.25">
      <c r="A11490" s="74">
        <v>16282</v>
      </c>
    </row>
    <row r="11491" spans="1:1" x14ac:dyDescent="0.25">
      <c r="A11491" s="74">
        <v>16283</v>
      </c>
    </row>
    <row r="11492" spans="1:1" x14ac:dyDescent="0.25">
      <c r="A11492" s="74">
        <v>16284</v>
      </c>
    </row>
    <row r="11493" spans="1:1" x14ac:dyDescent="0.25">
      <c r="A11493" s="74">
        <v>16285</v>
      </c>
    </row>
    <row r="11494" spans="1:1" x14ac:dyDescent="0.25">
      <c r="A11494" s="74">
        <v>16286</v>
      </c>
    </row>
    <row r="11495" spans="1:1" x14ac:dyDescent="0.25">
      <c r="A11495" s="74">
        <v>16287</v>
      </c>
    </row>
    <row r="11496" spans="1:1" x14ac:dyDescent="0.25">
      <c r="A11496" s="74">
        <v>16288</v>
      </c>
    </row>
    <row r="11497" spans="1:1" x14ac:dyDescent="0.25">
      <c r="A11497" s="74">
        <v>16289</v>
      </c>
    </row>
    <row r="11498" spans="1:1" x14ac:dyDescent="0.25">
      <c r="A11498" s="74">
        <v>16290</v>
      </c>
    </row>
    <row r="11499" spans="1:1" x14ac:dyDescent="0.25">
      <c r="A11499" s="74">
        <v>16291</v>
      </c>
    </row>
    <row r="11500" spans="1:1" x14ac:dyDescent="0.25">
      <c r="A11500" s="74">
        <v>16292</v>
      </c>
    </row>
    <row r="11501" spans="1:1" x14ac:dyDescent="0.25">
      <c r="A11501" s="74">
        <v>16293</v>
      </c>
    </row>
    <row r="11502" spans="1:1" x14ac:dyDescent="0.25">
      <c r="A11502" s="74">
        <v>16294</v>
      </c>
    </row>
    <row r="11503" spans="1:1" x14ac:dyDescent="0.25">
      <c r="A11503" s="74">
        <v>16295</v>
      </c>
    </row>
    <row r="11504" spans="1:1" x14ac:dyDescent="0.25">
      <c r="A11504" s="74">
        <v>16296</v>
      </c>
    </row>
    <row r="11505" spans="1:1" x14ac:dyDescent="0.25">
      <c r="A11505" s="74">
        <v>16297</v>
      </c>
    </row>
    <row r="11506" spans="1:1" x14ac:dyDescent="0.25">
      <c r="A11506" s="74">
        <v>16298</v>
      </c>
    </row>
    <row r="11507" spans="1:1" x14ac:dyDescent="0.25">
      <c r="A11507" s="74">
        <v>16299</v>
      </c>
    </row>
    <row r="11508" spans="1:1" x14ac:dyDescent="0.25">
      <c r="A11508" s="74">
        <v>16300</v>
      </c>
    </row>
    <row r="11509" spans="1:1" x14ac:dyDescent="0.25">
      <c r="A11509" s="74">
        <v>16301</v>
      </c>
    </row>
    <row r="11510" spans="1:1" x14ac:dyDescent="0.25">
      <c r="A11510" s="74">
        <v>16302</v>
      </c>
    </row>
    <row r="11511" spans="1:1" x14ac:dyDescent="0.25">
      <c r="A11511" s="74">
        <v>16303</v>
      </c>
    </row>
    <row r="11512" spans="1:1" x14ac:dyDescent="0.25">
      <c r="A11512" s="74">
        <v>16304</v>
      </c>
    </row>
    <row r="11513" spans="1:1" x14ac:dyDescent="0.25">
      <c r="A11513" s="74">
        <v>16305</v>
      </c>
    </row>
    <row r="11514" spans="1:1" x14ac:dyDescent="0.25">
      <c r="A11514" s="74">
        <v>16306</v>
      </c>
    </row>
    <row r="11515" spans="1:1" x14ac:dyDescent="0.25">
      <c r="A11515" s="74">
        <v>16307</v>
      </c>
    </row>
    <row r="11516" spans="1:1" x14ac:dyDescent="0.25">
      <c r="A11516" s="74">
        <v>16308</v>
      </c>
    </row>
    <row r="11517" spans="1:1" x14ac:dyDescent="0.25">
      <c r="A11517" s="74">
        <v>16309</v>
      </c>
    </row>
    <row r="11518" spans="1:1" x14ac:dyDescent="0.25">
      <c r="A11518" s="74">
        <v>16310</v>
      </c>
    </row>
    <row r="11519" spans="1:1" x14ac:dyDescent="0.25">
      <c r="A11519" s="74">
        <v>16311</v>
      </c>
    </row>
    <row r="11520" spans="1:1" x14ac:dyDescent="0.25">
      <c r="A11520" s="74">
        <v>16312</v>
      </c>
    </row>
    <row r="11521" spans="1:1" x14ac:dyDescent="0.25">
      <c r="A11521" s="74">
        <v>16313</v>
      </c>
    </row>
    <row r="11522" spans="1:1" x14ac:dyDescent="0.25">
      <c r="A11522" s="74">
        <v>16314</v>
      </c>
    </row>
    <row r="11523" spans="1:1" x14ac:dyDescent="0.25">
      <c r="A11523" s="74">
        <v>16315</v>
      </c>
    </row>
    <row r="11524" spans="1:1" x14ac:dyDescent="0.25">
      <c r="A11524" s="74">
        <v>16316</v>
      </c>
    </row>
    <row r="11525" spans="1:1" x14ac:dyDescent="0.25">
      <c r="A11525" s="74">
        <v>16317</v>
      </c>
    </row>
    <row r="11526" spans="1:1" x14ac:dyDescent="0.25">
      <c r="A11526" s="74">
        <v>16318</v>
      </c>
    </row>
    <row r="11527" spans="1:1" x14ac:dyDescent="0.25">
      <c r="A11527" s="74">
        <v>16319</v>
      </c>
    </row>
    <row r="11528" spans="1:1" x14ac:dyDescent="0.25">
      <c r="A11528" s="74">
        <v>16320</v>
      </c>
    </row>
    <row r="11529" spans="1:1" x14ac:dyDescent="0.25">
      <c r="A11529" s="74">
        <v>16321</v>
      </c>
    </row>
    <row r="11530" spans="1:1" x14ac:dyDescent="0.25">
      <c r="A11530" s="74">
        <v>16322</v>
      </c>
    </row>
    <row r="11531" spans="1:1" x14ac:dyDescent="0.25">
      <c r="A11531" s="74">
        <v>16323</v>
      </c>
    </row>
    <row r="11532" spans="1:1" x14ac:dyDescent="0.25">
      <c r="A11532" s="74">
        <v>16324</v>
      </c>
    </row>
    <row r="11533" spans="1:1" x14ac:dyDescent="0.25">
      <c r="A11533" s="74">
        <v>16325</v>
      </c>
    </row>
    <row r="11534" spans="1:1" x14ac:dyDescent="0.25">
      <c r="A11534" s="74">
        <v>16326</v>
      </c>
    </row>
    <row r="11535" spans="1:1" x14ac:dyDescent="0.25">
      <c r="A11535" s="74">
        <v>16327</v>
      </c>
    </row>
    <row r="11536" spans="1:1" x14ac:dyDescent="0.25">
      <c r="A11536" s="74">
        <v>16328</v>
      </c>
    </row>
    <row r="11537" spans="1:1" x14ac:dyDescent="0.25">
      <c r="A11537" s="74">
        <v>16329</v>
      </c>
    </row>
    <row r="11538" spans="1:1" x14ac:dyDescent="0.25">
      <c r="A11538" s="74">
        <v>16330</v>
      </c>
    </row>
    <row r="11539" spans="1:1" x14ac:dyDescent="0.25">
      <c r="A11539" s="74">
        <v>16331</v>
      </c>
    </row>
    <row r="11540" spans="1:1" x14ac:dyDescent="0.25">
      <c r="A11540" s="74">
        <v>16332</v>
      </c>
    </row>
    <row r="11541" spans="1:1" x14ac:dyDescent="0.25">
      <c r="A11541" s="74">
        <v>16333</v>
      </c>
    </row>
    <row r="11542" spans="1:1" x14ac:dyDescent="0.25">
      <c r="A11542" s="74">
        <v>16334</v>
      </c>
    </row>
    <row r="11543" spans="1:1" x14ac:dyDescent="0.25">
      <c r="A11543" s="74">
        <v>16335</v>
      </c>
    </row>
    <row r="11544" spans="1:1" x14ac:dyDescent="0.25">
      <c r="A11544" s="74">
        <v>16336</v>
      </c>
    </row>
    <row r="11545" spans="1:1" x14ac:dyDescent="0.25">
      <c r="A11545" s="74">
        <v>16337</v>
      </c>
    </row>
    <row r="11546" spans="1:1" x14ac:dyDescent="0.25">
      <c r="A11546" s="74">
        <v>16338</v>
      </c>
    </row>
    <row r="11547" spans="1:1" x14ac:dyDescent="0.25">
      <c r="A11547" s="74">
        <v>16339</v>
      </c>
    </row>
    <row r="11548" spans="1:1" x14ac:dyDescent="0.25">
      <c r="A11548" s="74">
        <v>16340</v>
      </c>
    </row>
    <row r="11549" spans="1:1" x14ac:dyDescent="0.25">
      <c r="A11549" s="74">
        <v>16341</v>
      </c>
    </row>
    <row r="11550" spans="1:1" x14ac:dyDescent="0.25">
      <c r="A11550" s="74">
        <v>16342</v>
      </c>
    </row>
    <row r="11551" spans="1:1" x14ac:dyDescent="0.25">
      <c r="A11551" s="74">
        <v>16343</v>
      </c>
    </row>
    <row r="11552" spans="1:1" x14ac:dyDescent="0.25">
      <c r="A11552" s="74">
        <v>16344</v>
      </c>
    </row>
    <row r="11553" spans="1:1" x14ac:dyDescent="0.25">
      <c r="A11553" s="74">
        <v>16345</v>
      </c>
    </row>
    <row r="11554" spans="1:1" x14ac:dyDescent="0.25">
      <c r="A11554" s="74">
        <v>16346</v>
      </c>
    </row>
    <row r="11555" spans="1:1" x14ac:dyDescent="0.25">
      <c r="A11555" s="74">
        <v>16347</v>
      </c>
    </row>
    <row r="11556" spans="1:1" x14ac:dyDescent="0.25">
      <c r="A11556" s="74">
        <v>16348</v>
      </c>
    </row>
    <row r="11557" spans="1:1" x14ac:dyDescent="0.25">
      <c r="A11557" s="74">
        <v>16349</v>
      </c>
    </row>
    <row r="11558" spans="1:1" x14ac:dyDescent="0.25">
      <c r="A11558" s="74">
        <v>16350</v>
      </c>
    </row>
    <row r="11559" spans="1:1" x14ac:dyDescent="0.25">
      <c r="A11559" s="74">
        <v>16351</v>
      </c>
    </row>
    <row r="11560" spans="1:1" x14ac:dyDescent="0.25">
      <c r="A11560" s="74">
        <v>16352</v>
      </c>
    </row>
    <row r="11561" spans="1:1" x14ac:dyDescent="0.25">
      <c r="A11561" s="74">
        <v>16353</v>
      </c>
    </row>
    <row r="11562" spans="1:1" x14ac:dyDescent="0.25">
      <c r="A11562" s="74">
        <v>16354</v>
      </c>
    </row>
    <row r="11563" spans="1:1" x14ac:dyDescent="0.25">
      <c r="A11563" s="74">
        <v>16355</v>
      </c>
    </row>
    <row r="11564" spans="1:1" x14ac:dyDescent="0.25">
      <c r="A11564" s="74">
        <v>16356</v>
      </c>
    </row>
    <row r="11565" spans="1:1" x14ac:dyDescent="0.25">
      <c r="A11565" s="74">
        <v>16357</v>
      </c>
    </row>
    <row r="11566" spans="1:1" x14ac:dyDescent="0.25">
      <c r="A11566" s="74">
        <v>16358</v>
      </c>
    </row>
    <row r="11567" spans="1:1" x14ac:dyDescent="0.25">
      <c r="A11567" s="74">
        <v>16359</v>
      </c>
    </row>
    <row r="11568" spans="1:1" x14ac:dyDescent="0.25">
      <c r="A11568" s="74">
        <v>16360</v>
      </c>
    </row>
    <row r="11569" spans="1:1" x14ac:dyDescent="0.25">
      <c r="A11569" s="74">
        <v>16361</v>
      </c>
    </row>
    <row r="11570" spans="1:1" x14ac:dyDescent="0.25">
      <c r="A11570" s="74">
        <v>16362</v>
      </c>
    </row>
    <row r="11571" spans="1:1" x14ac:dyDescent="0.25">
      <c r="A11571" s="74">
        <v>16363</v>
      </c>
    </row>
    <row r="11572" spans="1:1" x14ac:dyDescent="0.25">
      <c r="A11572" s="74">
        <v>16364</v>
      </c>
    </row>
    <row r="11573" spans="1:1" x14ac:dyDescent="0.25">
      <c r="A11573" s="74">
        <v>16365</v>
      </c>
    </row>
    <row r="11574" spans="1:1" x14ac:dyDescent="0.25">
      <c r="A11574" s="74">
        <v>16366</v>
      </c>
    </row>
    <row r="11575" spans="1:1" x14ac:dyDescent="0.25">
      <c r="A11575" s="74">
        <v>16367</v>
      </c>
    </row>
    <row r="11576" spans="1:1" x14ac:dyDescent="0.25">
      <c r="A11576" s="74">
        <v>16368</v>
      </c>
    </row>
    <row r="11577" spans="1:1" x14ac:dyDescent="0.25">
      <c r="A11577" s="74">
        <v>16369</v>
      </c>
    </row>
    <row r="11578" spans="1:1" x14ac:dyDescent="0.25">
      <c r="A11578" s="74">
        <v>16370</v>
      </c>
    </row>
    <row r="11579" spans="1:1" x14ac:dyDescent="0.25">
      <c r="A11579" s="74">
        <v>16371</v>
      </c>
    </row>
    <row r="11580" spans="1:1" x14ac:dyDescent="0.25">
      <c r="A11580" s="74">
        <v>16372</v>
      </c>
    </row>
    <row r="11581" spans="1:1" x14ac:dyDescent="0.25">
      <c r="A11581" s="74">
        <v>16373</v>
      </c>
    </row>
    <row r="11582" spans="1:1" x14ac:dyDescent="0.25">
      <c r="A11582" s="74">
        <v>16374</v>
      </c>
    </row>
    <row r="11583" spans="1:1" x14ac:dyDescent="0.25">
      <c r="A11583" s="74">
        <v>16375</v>
      </c>
    </row>
    <row r="11584" spans="1:1" x14ac:dyDescent="0.25">
      <c r="A11584" s="74">
        <v>16376</v>
      </c>
    </row>
    <row r="11585" spans="1:1" x14ac:dyDescent="0.25">
      <c r="A11585" s="74">
        <v>16377</v>
      </c>
    </row>
    <row r="11586" spans="1:1" x14ac:dyDescent="0.25">
      <c r="A11586" s="74">
        <v>16378</v>
      </c>
    </row>
    <row r="11587" spans="1:1" x14ac:dyDescent="0.25">
      <c r="A11587" s="74">
        <v>16379</v>
      </c>
    </row>
    <row r="11588" spans="1:1" x14ac:dyDescent="0.25">
      <c r="A11588" s="74">
        <v>16380</v>
      </c>
    </row>
    <row r="11589" spans="1:1" x14ac:dyDescent="0.25">
      <c r="A11589" s="74">
        <v>16381</v>
      </c>
    </row>
    <row r="11590" spans="1:1" x14ac:dyDescent="0.25">
      <c r="A11590" s="74">
        <v>16382</v>
      </c>
    </row>
    <row r="11591" spans="1:1" x14ac:dyDescent="0.25">
      <c r="A11591" s="74">
        <v>16383</v>
      </c>
    </row>
    <row r="11592" spans="1:1" x14ac:dyDescent="0.25">
      <c r="A11592" s="74">
        <v>16384</v>
      </c>
    </row>
    <row r="11593" spans="1:1" x14ac:dyDescent="0.25">
      <c r="A11593" s="74">
        <v>16385</v>
      </c>
    </row>
    <row r="11594" spans="1:1" x14ac:dyDescent="0.25">
      <c r="A11594" s="74">
        <v>16386</v>
      </c>
    </row>
    <row r="11595" spans="1:1" x14ac:dyDescent="0.25">
      <c r="A11595" s="74">
        <v>16387</v>
      </c>
    </row>
    <row r="11596" spans="1:1" x14ac:dyDescent="0.25">
      <c r="A11596" s="74">
        <v>16388</v>
      </c>
    </row>
    <row r="11597" spans="1:1" x14ac:dyDescent="0.25">
      <c r="A11597" s="74">
        <v>16389</v>
      </c>
    </row>
    <row r="11598" spans="1:1" x14ac:dyDescent="0.25">
      <c r="A11598" s="74">
        <v>16390</v>
      </c>
    </row>
    <row r="11599" spans="1:1" x14ac:dyDescent="0.25">
      <c r="A11599" s="74">
        <v>16391</v>
      </c>
    </row>
    <row r="11600" spans="1:1" x14ac:dyDescent="0.25">
      <c r="A11600" s="74">
        <v>16392</v>
      </c>
    </row>
    <row r="11601" spans="1:1" x14ac:dyDescent="0.25">
      <c r="A11601" s="74">
        <v>16393</v>
      </c>
    </row>
    <row r="11602" spans="1:1" x14ac:dyDescent="0.25">
      <c r="A11602" s="74">
        <v>16394</v>
      </c>
    </row>
    <row r="11603" spans="1:1" x14ac:dyDescent="0.25">
      <c r="A11603" s="74">
        <v>16395</v>
      </c>
    </row>
    <row r="11604" spans="1:1" x14ac:dyDescent="0.25">
      <c r="A11604" s="74">
        <v>16396</v>
      </c>
    </row>
    <row r="11605" spans="1:1" x14ac:dyDescent="0.25">
      <c r="A11605" s="74">
        <v>16397</v>
      </c>
    </row>
    <row r="11606" spans="1:1" x14ac:dyDescent="0.25">
      <c r="A11606" s="74">
        <v>16398</v>
      </c>
    </row>
    <row r="11607" spans="1:1" x14ac:dyDescent="0.25">
      <c r="A11607" s="74">
        <v>16399</v>
      </c>
    </row>
    <row r="11608" spans="1:1" x14ac:dyDescent="0.25">
      <c r="A11608" s="74">
        <v>16400</v>
      </c>
    </row>
    <row r="11609" spans="1:1" x14ac:dyDescent="0.25">
      <c r="A11609" s="74">
        <v>16401</v>
      </c>
    </row>
    <row r="11610" spans="1:1" x14ac:dyDescent="0.25">
      <c r="A11610" s="74">
        <v>16402</v>
      </c>
    </row>
    <row r="11611" spans="1:1" x14ac:dyDescent="0.25">
      <c r="A11611" s="74">
        <v>16403</v>
      </c>
    </row>
    <row r="11612" spans="1:1" x14ac:dyDescent="0.25">
      <c r="A11612" s="74">
        <v>16404</v>
      </c>
    </row>
    <row r="11613" spans="1:1" x14ac:dyDescent="0.25">
      <c r="A11613" s="74">
        <v>16405</v>
      </c>
    </row>
    <row r="11614" spans="1:1" x14ac:dyDescent="0.25">
      <c r="A11614" s="74">
        <v>16406</v>
      </c>
    </row>
    <row r="11615" spans="1:1" x14ac:dyDescent="0.25">
      <c r="A11615" s="74">
        <v>16407</v>
      </c>
    </row>
    <row r="11616" spans="1:1" x14ac:dyDescent="0.25">
      <c r="A11616" s="74">
        <v>16408</v>
      </c>
    </row>
    <row r="11617" spans="1:1" x14ac:dyDescent="0.25">
      <c r="A11617" s="74">
        <v>16409</v>
      </c>
    </row>
    <row r="11618" spans="1:1" x14ac:dyDescent="0.25">
      <c r="A11618" s="74">
        <v>16410</v>
      </c>
    </row>
    <row r="11619" spans="1:1" x14ac:dyDescent="0.25">
      <c r="A11619" s="74">
        <v>16411</v>
      </c>
    </row>
    <row r="11620" spans="1:1" x14ac:dyDescent="0.25">
      <c r="A11620" s="74">
        <v>16412</v>
      </c>
    </row>
    <row r="11621" spans="1:1" x14ac:dyDescent="0.25">
      <c r="A11621" s="74">
        <v>16413</v>
      </c>
    </row>
    <row r="11622" spans="1:1" x14ac:dyDescent="0.25">
      <c r="A11622" s="74">
        <v>16414</v>
      </c>
    </row>
    <row r="11623" spans="1:1" x14ac:dyDescent="0.25">
      <c r="A11623" s="74">
        <v>16415</v>
      </c>
    </row>
    <row r="11624" spans="1:1" x14ac:dyDescent="0.25">
      <c r="A11624" s="74">
        <v>16416</v>
      </c>
    </row>
    <row r="11625" spans="1:1" x14ac:dyDescent="0.25">
      <c r="A11625" s="74">
        <v>16417</v>
      </c>
    </row>
    <row r="11626" spans="1:1" x14ac:dyDescent="0.25">
      <c r="A11626" s="74">
        <v>16418</v>
      </c>
    </row>
    <row r="11627" spans="1:1" x14ac:dyDescent="0.25">
      <c r="A11627" s="74">
        <v>16419</v>
      </c>
    </row>
    <row r="11628" spans="1:1" x14ac:dyDescent="0.25">
      <c r="A11628" s="74">
        <v>16420</v>
      </c>
    </row>
    <row r="11629" spans="1:1" x14ac:dyDescent="0.25">
      <c r="A11629" s="74">
        <v>16421</v>
      </c>
    </row>
    <row r="11630" spans="1:1" x14ac:dyDescent="0.25">
      <c r="A11630" s="74">
        <v>16422</v>
      </c>
    </row>
    <row r="11631" spans="1:1" x14ac:dyDescent="0.25">
      <c r="A11631" s="74">
        <v>16423</v>
      </c>
    </row>
    <row r="11632" spans="1:1" x14ac:dyDescent="0.25">
      <c r="A11632" s="74">
        <v>16424</v>
      </c>
    </row>
    <row r="11633" spans="1:1" x14ac:dyDescent="0.25">
      <c r="A11633" s="74">
        <v>16425</v>
      </c>
    </row>
    <row r="11634" spans="1:1" x14ac:dyDescent="0.25">
      <c r="A11634" s="74">
        <v>16426</v>
      </c>
    </row>
    <row r="11635" spans="1:1" x14ac:dyDescent="0.25">
      <c r="A11635" s="74">
        <v>16427</v>
      </c>
    </row>
    <row r="11636" spans="1:1" x14ac:dyDescent="0.25">
      <c r="A11636" s="74">
        <v>16428</v>
      </c>
    </row>
    <row r="11637" spans="1:1" x14ac:dyDescent="0.25">
      <c r="A11637" s="74">
        <v>16429</v>
      </c>
    </row>
    <row r="11638" spans="1:1" x14ac:dyDescent="0.25">
      <c r="A11638" s="74">
        <v>16430</v>
      </c>
    </row>
    <row r="11639" spans="1:1" x14ac:dyDescent="0.25">
      <c r="A11639" s="74">
        <v>16431</v>
      </c>
    </row>
    <row r="11640" spans="1:1" x14ac:dyDescent="0.25">
      <c r="A11640" s="74">
        <v>16432</v>
      </c>
    </row>
    <row r="11641" spans="1:1" x14ac:dyDescent="0.25">
      <c r="A11641" s="74">
        <v>16433</v>
      </c>
    </row>
    <row r="11642" spans="1:1" x14ac:dyDescent="0.25">
      <c r="A11642" s="74">
        <v>16434</v>
      </c>
    </row>
    <row r="11643" spans="1:1" x14ac:dyDescent="0.25">
      <c r="A11643" s="74">
        <v>16435</v>
      </c>
    </row>
    <row r="11644" spans="1:1" x14ac:dyDescent="0.25">
      <c r="A11644" s="74">
        <v>16436</v>
      </c>
    </row>
    <row r="11645" spans="1:1" x14ac:dyDescent="0.25">
      <c r="A11645" s="74">
        <v>16437</v>
      </c>
    </row>
    <row r="11646" spans="1:1" x14ac:dyDescent="0.25">
      <c r="A11646" s="74">
        <v>16438</v>
      </c>
    </row>
    <row r="11647" spans="1:1" x14ac:dyDescent="0.25">
      <c r="A11647" s="74">
        <v>16439</v>
      </c>
    </row>
    <row r="11648" spans="1:1" x14ac:dyDescent="0.25">
      <c r="A11648" s="74">
        <v>16440</v>
      </c>
    </row>
    <row r="11649" spans="1:1" x14ac:dyDescent="0.25">
      <c r="A11649" s="74">
        <v>16441</v>
      </c>
    </row>
    <row r="11650" spans="1:1" x14ac:dyDescent="0.25">
      <c r="A11650" s="74">
        <v>16442</v>
      </c>
    </row>
    <row r="11651" spans="1:1" x14ac:dyDescent="0.25">
      <c r="A11651" s="74">
        <v>16443</v>
      </c>
    </row>
    <row r="11652" spans="1:1" x14ac:dyDescent="0.25">
      <c r="A11652" s="74">
        <v>16444</v>
      </c>
    </row>
    <row r="11653" spans="1:1" x14ac:dyDescent="0.25">
      <c r="A11653" s="74">
        <v>16445</v>
      </c>
    </row>
    <row r="11654" spans="1:1" x14ac:dyDescent="0.25">
      <c r="A11654" s="74">
        <v>16446</v>
      </c>
    </row>
    <row r="11655" spans="1:1" x14ac:dyDescent="0.25">
      <c r="A11655" s="74">
        <v>16447</v>
      </c>
    </row>
    <row r="11656" spans="1:1" x14ac:dyDescent="0.25">
      <c r="A11656" s="74">
        <v>16448</v>
      </c>
    </row>
    <row r="11657" spans="1:1" x14ac:dyDescent="0.25">
      <c r="A11657" s="74">
        <v>16449</v>
      </c>
    </row>
    <row r="11658" spans="1:1" x14ac:dyDescent="0.25">
      <c r="A11658" s="74">
        <v>16450</v>
      </c>
    </row>
    <row r="11659" spans="1:1" x14ac:dyDescent="0.25">
      <c r="A11659" s="74">
        <v>16451</v>
      </c>
    </row>
    <row r="11660" spans="1:1" x14ac:dyDescent="0.25">
      <c r="A11660" s="74">
        <v>16452</v>
      </c>
    </row>
    <row r="11661" spans="1:1" x14ac:dyDescent="0.25">
      <c r="A11661" s="74">
        <v>16453</v>
      </c>
    </row>
    <row r="11662" spans="1:1" x14ac:dyDescent="0.25">
      <c r="A11662" s="74">
        <v>16454</v>
      </c>
    </row>
    <row r="11663" spans="1:1" x14ac:dyDescent="0.25">
      <c r="A11663" s="74">
        <v>16455</v>
      </c>
    </row>
    <row r="11664" spans="1:1" x14ac:dyDescent="0.25">
      <c r="A11664" s="74">
        <v>16456</v>
      </c>
    </row>
    <row r="11665" spans="1:1" x14ac:dyDescent="0.25">
      <c r="A11665" s="74">
        <v>16457</v>
      </c>
    </row>
    <row r="11666" spans="1:1" x14ac:dyDescent="0.25">
      <c r="A11666" s="74">
        <v>16458</v>
      </c>
    </row>
    <row r="11667" spans="1:1" x14ac:dyDescent="0.25">
      <c r="A11667" s="74">
        <v>16459</v>
      </c>
    </row>
    <row r="11668" spans="1:1" x14ac:dyDescent="0.25">
      <c r="A11668" s="74">
        <v>16460</v>
      </c>
    </row>
    <row r="11669" spans="1:1" x14ac:dyDescent="0.25">
      <c r="A11669" s="74">
        <v>16461</v>
      </c>
    </row>
    <row r="11670" spans="1:1" x14ac:dyDescent="0.25">
      <c r="A11670" s="74">
        <v>16462</v>
      </c>
    </row>
    <row r="11671" spans="1:1" x14ac:dyDescent="0.25">
      <c r="A11671" s="74">
        <v>16463</v>
      </c>
    </row>
    <row r="11672" spans="1:1" x14ac:dyDescent="0.25">
      <c r="A11672" s="74">
        <v>16464</v>
      </c>
    </row>
    <row r="11673" spans="1:1" x14ac:dyDescent="0.25">
      <c r="A11673" s="74">
        <v>16465</v>
      </c>
    </row>
    <row r="11674" spans="1:1" x14ac:dyDescent="0.25">
      <c r="A11674" s="74">
        <v>16466</v>
      </c>
    </row>
    <row r="11675" spans="1:1" x14ac:dyDescent="0.25">
      <c r="A11675" s="74">
        <v>16467</v>
      </c>
    </row>
    <row r="11676" spans="1:1" x14ac:dyDescent="0.25">
      <c r="A11676" s="74">
        <v>16468</v>
      </c>
    </row>
    <row r="11677" spans="1:1" x14ac:dyDescent="0.25">
      <c r="A11677" s="74">
        <v>16469</v>
      </c>
    </row>
    <row r="11678" spans="1:1" x14ac:dyDescent="0.25">
      <c r="A11678" s="74">
        <v>16470</v>
      </c>
    </row>
    <row r="11679" spans="1:1" x14ac:dyDescent="0.25">
      <c r="A11679" s="74">
        <v>16471</v>
      </c>
    </row>
    <row r="11680" spans="1:1" x14ac:dyDescent="0.25">
      <c r="A11680" s="74">
        <v>16472</v>
      </c>
    </row>
    <row r="11681" spans="1:1" x14ac:dyDescent="0.25">
      <c r="A11681" s="74">
        <v>16473</v>
      </c>
    </row>
    <row r="11682" spans="1:1" x14ac:dyDescent="0.25">
      <c r="A11682" s="74">
        <v>16474</v>
      </c>
    </row>
    <row r="11683" spans="1:1" x14ac:dyDescent="0.25">
      <c r="A11683" s="74">
        <v>16475</v>
      </c>
    </row>
    <row r="11684" spans="1:1" x14ac:dyDescent="0.25">
      <c r="A11684" s="74">
        <v>16476</v>
      </c>
    </row>
    <row r="11685" spans="1:1" x14ac:dyDescent="0.25">
      <c r="A11685" s="74">
        <v>16477</v>
      </c>
    </row>
    <row r="11686" spans="1:1" x14ac:dyDescent="0.25">
      <c r="A11686" s="74">
        <v>16478</v>
      </c>
    </row>
    <row r="11687" spans="1:1" x14ac:dyDescent="0.25">
      <c r="A11687" s="74">
        <v>16479</v>
      </c>
    </row>
    <row r="11688" spans="1:1" x14ac:dyDescent="0.25">
      <c r="A11688" s="74">
        <v>16480</v>
      </c>
    </row>
    <row r="11689" spans="1:1" x14ac:dyDescent="0.25">
      <c r="A11689" s="74">
        <v>16481</v>
      </c>
    </row>
    <row r="11690" spans="1:1" x14ac:dyDescent="0.25">
      <c r="A11690" s="74">
        <v>16482</v>
      </c>
    </row>
    <row r="11691" spans="1:1" x14ac:dyDescent="0.25">
      <c r="A11691" s="74">
        <v>16483</v>
      </c>
    </row>
    <row r="11692" spans="1:1" x14ac:dyDescent="0.25">
      <c r="A11692" s="74">
        <v>16484</v>
      </c>
    </row>
    <row r="11693" spans="1:1" x14ac:dyDescent="0.25">
      <c r="A11693" s="74">
        <v>16485</v>
      </c>
    </row>
    <row r="11694" spans="1:1" x14ac:dyDescent="0.25">
      <c r="A11694" s="74">
        <v>16486</v>
      </c>
    </row>
    <row r="11695" spans="1:1" x14ac:dyDescent="0.25">
      <c r="A11695" s="74">
        <v>16487</v>
      </c>
    </row>
    <row r="11696" spans="1:1" x14ac:dyDescent="0.25">
      <c r="A11696" s="74">
        <v>16488</v>
      </c>
    </row>
    <row r="11697" spans="1:1" x14ac:dyDescent="0.25">
      <c r="A11697" s="74">
        <v>16489</v>
      </c>
    </row>
    <row r="11698" spans="1:1" x14ac:dyDescent="0.25">
      <c r="A11698" s="74">
        <v>16490</v>
      </c>
    </row>
    <row r="11699" spans="1:1" x14ac:dyDescent="0.25">
      <c r="A11699" s="74">
        <v>16491</v>
      </c>
    </row>
    <row r="11700" spans="1:1" x14ac:dyDescent="0.25">
      <c r="A11700" s="74">
        <v>16492</v>
      </c>
    </row>
    <row r="11701" spans="1:1" x14ac:dyDescent="0.25">
      <c r="A11701" s="74">
        <v>16493</v>
      </c>
    </row>
    <row r="11702" spans="1:1" x14ac:dyDescent="0.25">
      <c r="A11702" s="74">
        <v>16494</v>
      </c>
    </row>
    <row r="11703" spans="1:1" x14ac:dyDescent="0.25">
      <c r="A11703" s="74">
        <v>16495</v>
      </c>
    </row>
    <row r="11704" spans="1:1" x14ac:dyDescent="0.25">
      <c r="A11704" s="74">
        <v>16496</v>
      </c>
    </row>
    <row r="11705" spans="1:1" x14ac:dyDescent="0.25">
      <c r="A11705" s="74">
        <v>16497</v>
      </c>
    </row>
    <row r="11706" spans="1:1" x14ac:dyDescent="0.25">
      <c r="A11706" s="74">
        <v>16498</v>
      </c>
    </row>
    <row r="11707" spans="1:1" x14ac:dyDescent="0.25">
      <c r="A11707" s="74">
        <v>16499</v>
      </c>
    </row>
    <row r="11708" spans="1:1" x14ac:dyDescent="0.25">
      <c r="A11708" s="74">
        <v>16500</v>
      </c>
    </row>
    <row r="11709" spans="1:1" x14ac:dyDescent="0.25">
      <c r="A11709" s="74">
        <v>16501</v>
      </c>
    </row>
    <row r="11710" spans="1:1" x14ac:dyDescent="0.25">
      <c r="A11710" s="74">
        <v>16502</v>
      </c>
    </row>
    <row r="11711" spans="1:1" x14ac:dyDescent="0.25">
      <c r="A11711" s="74">
        <v>16503</v>
      </c>
    </row>
    <row r="11712" spans="1:1" x14ac:dyDescent="0.25">
      <c r="A11712" s="74">
        <v>16504</v>
      </c>
    </row>
    <row r="11713" spans="1:1" x14ac:dyDescent="0.25">
      <c r="A11713" s="74">
        <v>16505</v>
      </c>
    </row>
    <row r="11714" spans="1:1" x14ac:dyDescent="0.25">
      <c r="A11714" s="74">
        <v>16506</v>
      </c>
    </row>
    <row r="11715" spans="1:1" x14ac:dyDescent="0.25">
      <c r="A11715" s="74">
        <v>16507</v>
      </c>
    </row>
    <row r="11716" spans="1:1" x14ac:dyDescent="0.25">
      <c r="A11716" s="74">
        <v>16508</v>
      </c>
    </row>
    <row r="11717" spans="1:1" x14ac:dyDescent="0.25">
      <c r="A11717" s="74">
        <v>16509</v>
      </c>
    </row>
    <row r="11718" spans="1:1" x14ac:dyDescent="0.25">
      <c r="A11718" s="74">
        <v>16510</v>
      </c>
    </row>
    <row r="11719" spans="1:1" x14ac:dyDescent="0.25">
      <c r="A11719" s="74">
        <v>16511</v>
      </c>
    </row>
    <row r="11720" spans="1:1" x14ac:dyDescent="0.25">
      <c r="A11720" s="74">
        <v>16512</v>
      </c>
    </row>
    <row r="11721" spans="1:1" x14ac:dyDescent="0.25">
      <c r="A11721" s="74">
        <v>16513</v>
      </c>
    </row>
    <row r="11722" spans="1:1" x14ac:dyDescent="0.25">
      <c r="A11722" s="74">
        <v>16514</v>
      </c>
    </row>
    <row r="11723" spans="1:1" x14ac:dyDescent="0.25">
      <c r="A11723" s="74">
        <v>16515</v>
      </c>
    </row>
    <row r="11724" spans="1:1" x14ac:dyDescent="0.25">
      <c r="A11724" s="74">
        <v>16516</v>
      </c>
    </row>
    <row r="11725" spans="1:1" x14ac:dyDescent="0.25">
      <c r="A11725" s="74">
        <v>16517</v>
      </c>
    </row>
    <row r="11726" spans="1:1" x14ac:dyDescent="0.25">
      <c r="A11726" s="74">
        <v>16518</v>
      </c>
    </row>
    <row r="11727" spans="1:1" x14ac:dyDescent="0.25">
      <c r="A11727" s="74">
        <v>16519</v>
      </c>
    </row>
    <row r="11728" spans="1:1" x14ac:dyDescent="0.25">
      <c r="A11728" s="74">
        <v>16520</v>
      </c>
    </row>
    <row r="11729" spans="1:1" x14ac:dyDescent="0.25">
      <c r="A11729" s="74">
        <v>16521</v>
      </c>
    </row>
    <row r="11730" spans="1:1" x14ac:dyDescent="0.25">
      <c r="A11730" s="74">
        <v>16522</v>
      </c>
    </row>
    <row r="11731" spans="1:1" x14ac:dyDescent="0.25">
      <c r="A11731" s="74">
        <v>16523</v>
      </c>
    </row>
    <row r="11732" spans="1:1" x14ac:dyDescent="0.25">
      <c r="A11732" s="74">
        <v>16524</v>
      </c>
    </row>
    <row r="11733" spans="1:1" x14ac:dyDescent="0.25">
      <c r="A11733" s="74">
        <v>16525</v>
      </c>
    </row>
    <row r="11734" spans="1:1" x14ac:dyDescent="0.25">
      <c r="A11734" s="74">
        <v>16526</v>
      </c>
    </row>
    <row r="11735" spans="1:1" x14ac:dyDescent="0.25">
      <c r="A11735" s="74">
        <v>16527</v>
      </c>
    </row>
    <row r="11736" spans="1:1" x14ac:dyDescent="0.25">
      <c r="A11736" s="74">
        <v>16528</v>
      </c>
    </row>
    <row r="11737" spans="1:1" x14ac:dyDescent="0.25">
      <c r="A11737" s="74">
        <v>16529</v>
      </c>
    </row>
    <row r="11738" spans="1:1" x14ac:dyDescent="0.25">
      <c r="A11738" s="74">
        <v>16530</v>
      </c>
    </row>
    <row r="11739" spans="1:1" x14ac:dyDescent="0.25">
      <c r="A11739" s="74">
        <v>16531</v>
      </c>
    </row>
    <row r="11740" spans="1:1" x14ac:dyDescent="0.25">
      <c r="A11740" s="74">
        <v>16532</v>
      </c>
    </row>
    <row r="11741" spans="1:1" x14ac:dyDescent="0.25">
      <c r="A11741" s="74">
        <v>16533</v>
      </c>
    </row>
    <row r="11742" spans="1:1" x14ac:dyDescent="0.25">
      <c r="A11742" s="74">
        <v>16534</v>
      </c>
    </row>
    <row r="11743" spans="1:1" x14ac:dyDescent="0.25">
      <c r="A11743" s="74">
        <v>16535</v>
      </c>
    </row>
    <row r="11744" spans="1:1" x14ac:dyDescent="0.25">
      <c r="A11744" s="74">
        <v>16536</v>
      </c>
    </row>
    <row r="11745" spans="1:1" x14ac:dyDescent="0.25">
      <c r="A11745" s="74">
        <v>16537</v>
      </c>
    </row>
    <row r="11746" spans="1:1" x14ac:dyDescent="0.25">
      <c r="A11746" s="74">
        <v>16538</v>
      </c>
    </row>
    <row r="11747" spans="1:1" x14ac:dyDescent="0.25">
      <c r="A11747" s="74">
        <v>16539</v>
      </c>
    </row>
    <row r="11748" spans="1:1" x14ac:dyDescent="0.25">
      <c r="A11748" s="74">
        <v>16540</v>
      </c>
    </row>
    <row r="11749" spans="1:1" x14ac:dyDescent="0.25">
      <c r="A11749" s="74">
        <v>16541</v>
      </c>
    </row>
    <row r="11750" spans="1:1" x14ac:dyDescent="0.25">
      <c r="A11750" s="74">
        <v>16542</v>
      </c>
    </row>
    <row r="11751" spans="1:1" x14ac:dyDescent="0.25">
      <c r="A11751" s="74">
        <v>16543</v>
      </c>
    </row>
    <row r="11752" spans="1:1" x14ac:dyDescent="0.25">
      <c r="A11752" s="74">
        <v>16544</v>
      </c>
    </row>
    <row r="11753" spans="1:1" x14ac:dyDescent="0.25">
      <c r="A11753" s="74">
        <v>16545</v>
      </c>
    </row>
    <row r="11754" spans="1:1" x14ac:dyDescent="0.25">
      <c r="A11754" s="74">
        <v>16546</v>
      </c>
    </row>
    <row r="11755" spans="1:1" x14ac:dyDescent="0.25">
      <c r="A11755" s="74">
        <v>16547</v>
      </c>
    </row>
    <row r="11756" spans="1:1" x14ac:dyDescent="0.25">
      <c r="A11756" s="74">
        <v>16548</v>
      </c>
    </row>
    <row r="11757" spans="1:1" x14ac:dyDescent="0.25">
      <c r="A11757" s="74">
        <v>16549</v>
      </c>
    </row>
    <row r="11758" spans="1:1" x14ac:dyDescent="0.25">
      <c r="A11758" s="74">
        <v>16550</v>
      </c>
    </row>
    <row r="11759" spans="1:1" x14ac:dyDescent="0.25">
      <c r="A11759" s="74">
        <v>16551</v>
      </c>
    </row>
    <row r="11760" spans="1:1" x14ac:dyDescent="0.25">
      <c r="A11760" s="74">
        <v>16552</v>
      </c>
    </row>
    <row r="11761" spans="1:1" x14ac:dyDescent="0.25">
      <c r="A11761" s="74">
        <v>16553</v>
      </c>
    </row>
    <row r="11762" spans="1:1" x14ac:dyDescent="0.25">
      <c r="A11762" s="74">
        <v>16554</v>
      </c>
    </row>
    <row r="11763" spans="1:1" x14ac:dyDescent="0.25">
      <c r="A11763" s="74">
        <v>16555</v>
      </c>
    </row>
    <row r="11764" spans="1:1" x14ac:dyDescent="0.25">
      <c r="A11764" s="74">
        <v>16556</v>
      </c>
    </row>
    <row r="11765" spans="1:1" x14ac:dyDescent="0.25">
      <c r="A11765" s="74">
        <v>16557</v>
      </c>
    </row>
    <row r="11766" spans="1:1" x14ac:dyDescent="0.25">
      <c r="A11766" s="74">
        <v>16558</v>
      </c>
    </row>
    <row r="11767" spans="1:1" x14ac:dyDescent="0.25">
      <c r="A11767" s="74">
        <v>16559</v>
      </c>
    </row>
    <row r="11768" spans="1:1" x14ac:dyDescent="0.25">
      <c r="A11768" s="74">
        <v>16560</v>
      </c>
    </row>
    <row r="11769" spans="1:1" x14ac:dyDescent="0.25">
      <c r="A11769" s="74">
        <v>16561</v>
      </c>
    </row>
    <row r="11770" spans="1:1" x14ac:dyDescent="0.25">
      <c r="A11770" s="74">
        <v>16562</v>
      </c>
    </row>
    <row r="11771" spans="1:1" x14ac:dyDescent="0.25">
      <c r="A11771" s="74">
        <v>16563</v>
      </c>
    </row>
    <row r="11772" spans="1:1" x14ac:dyDescent="0.25">
      <c r="A11772" s="74">
        <v>16564</v>
      </c>
    </row>
    <row r="11773" spans="1:1" x14ac:dyDescent="0.25">
      <c r="A11773" s="74">
        <v>16565</v>
      </c>
    </row>
    <row r="11774" spans="1:1" x14ac:dyDescent="0.25">
      <c r="A11774" s="74">
        <v>16566</v>
      </c>
    </row>
    <row r="11775" spans="1:1" x14ac:dyDescent="0.25">
      <c r="A11775" s="74">
        <v>16567</v>
      </c>
    </row>
    <row r="11776" spans="1:1" x14ac:dyDescent="0.25">
      <c r="A11776" s="74">
        <v>16568</v>
      </c>
    </row>
    <row r="11777" spans="1:1" x14ac:dyDescent="0.25">
      <c r="A11777" s="74">
        <v>16569</v>
      </c>
    </row>
    <row r="11778" spans="1:1" x14ac:dyDescent="0.25">
      <c r="A11778" s="74">
        <v>16570</v>
      </c>
    </row>
    <row r="11779" spans="1:1" x14ac:dyDescent="0.25">
      <c r="A11779" s="74">
        <v>16571</v>
      </c>
    </row>
    <row r="11780" spans="1:1" x14ac:dyDescent="0.25">
      <c r="A11780" s="74">
        <v>16572</v>
      </c>
    </row>
    <row r="11781" spans="1:1" x14ac:dyDescent="0.25">
      <c r="A11781" s="74">
        <v>16573</v>
      </c>
    </row>
    <row r="11782" spans="1:1" x14ac:dyDescent="0.25">
      <c r="A11782" s="74">
        <v>16574</v>
      </c>
    </row>
    <row r="11783" spans="1:1" x14ac:dyDescent="0.25">
      <c r="A11783" s="74">
        <v>16575</v>
      </c>
    </row>
    <row r="11784" spans="1:1" x14ac:dyDescent="0.25">
      <c r="A11784" s="74">
        <v>16576</v>
      </c>
    </row>
    <row r="11785" spans="1:1" x14ac:dyDescent="0.25">
      <c r="A11785" s="74">
        <v>16577</v>
      </c>
    </row>
    <row r="11786" spans="1:1" x14ac:dyDescent="0.25">
      <c r="A11786" s="74">
        <v>16578</v>
      </c>
    </row>
    <row r="11787" spans="1:1" x14ac:dyDescent="0.25">
      <c r="A11787" s="74">
        <v>16579</v>
      </c>
    </row>
    <row r="11788" spans="1:1" x14ac:dyDescent="0.25">
      <c r="A11788" s="74">
        <v>16580</v>
      </c>
    </row>
    <row r="11789" spans="1:1" x14ac:dyDescent="0.25">
      <c r="A11789" s="74">
        <v>16581</v>
      </c>
    </row>
    <row r="11790" spans="1:1" x14ac:dyDescent="0.25">
      <c r="A11790" s="74">
        <v>16582</v>
      </c>
    </row>
    <row r="11791" spans="1:1" x14ac:dyDescent="0.25">
      <c r="A11791" s="74">
        <v>16583</v>
      </c>
    </row>
    <row r="11792" spans="1:1" x14ac:dyDescent="0.25">
      <c r="A11792" s="74">
        <v>16584</v>
      </c>
    </row>
    <row r="11793" spans="1:1" x14ac:dyDescent="0.25">
      <c r="A11793" s="74">
        <v>16585</v>
      </c>
    </row>
    <row r="11794" spans="1:1" x14ac:dyDescent="0.25">
      <c r="A11794" s="74">
        <v>16586</v>
      </c>
    </row>
    <row r="11795" spans="1:1" x14ac:dyDescent="0.25">
      <c r="A11795" s="74">
        <v>16587</v>
      </c>
    </row>
    <row r="11796" spans="1:1" x14ac:dyDescent="0.25">
      <c r="A11796" s="74">
        <v>16588</v>
      </c>
    </row>
    <row r="11797" spans="1:1" x14ac:dyDescent="0.25">
      <c r="A11797" s="74">
        <v>16589</v>
      </c>
    </row>
    <row r="11798" spans="1:1" x14ac:dyDescent="0.25">
      <c r="A11798" s="74">
        <v>16590</v>
      </c>
    </row>
    <row r="11799" spans="1:1" x14ac:dyDescent="0.25">
      <c r="A11799" s="74">
        <v>16591</v>
      </c>
    </row>
    <row r="11800" spans="1:1" x14ac:dyDescent="0.25">
      <c r="A11800" s="74">
        <v>16592</v>
      </c>
    </row>
    <row r="11801" spans="1:1" x14ac:dyDescent="0.25">
      <c r="A11801" s="74">
        <v>16593</v>
      </c>
    </row>
    <row r="11802" spans="1:1" x14ac:dyDescent="0.25">
      <c r="A11802" s="74">
        <v>16594</v>
      </c>
    </row>
    <row r="11803" spans="1:1" x14ac:dyDescent="0.25">
      <c r="A11803" s="74">
        <v>16595</v>
      </c>
    </row>
    <row r="11804" spans="1:1" x14ac:dyDescent="0.25">
      <c r="A11804" s="74">
        <v>16596</v>
      </c>
    </row>
    <row r="11805" spans="1:1" x14ac:dyDescent="0.25">
      <c r="A11805" s="74">
        <v>16597</v>
      </c>
    </row>
    <row r="11806" spans="1:1" x14ac:dyDescent="0.25">
      <c r="A11806" s="74">
        <v>16598</v>
      </c>
    </row>
    <row r="11807" spans="1:1" x14ac:dyDescent="0.25">
      <c r="A11807" s="74">
        <v>16599</v>
      </c>
    </row>
    <row r="11808" spans="1:1" x14ac:dyDescent="0.25">
      <c r="A11808" s="74">
        <v>16600</v>
      </c>
    </row>
    <row r="11809" spans="1:1" x14ac:dyDescent="0.25">
      <c r="A11809" s="74">
        <v>16601</v>
      </c>
    </row>
    <row r="11810" spans="1:1" x14ac:dyDescent="0.25">
      <c r="A11810" s="74">
        <v>16602</v>
      </c>
    </row>
    <row r="11811" spans="1:1" x14ac:dyDescent="0.25">
      <c r="A11811" s="74">
        <v>16603</v>
      </c>
    </row>
    <row r="11812" spans="1:1" x14ac:dyDescent="0.25">
      <c r="A11812" s="74">
        <v>16604</v>
      </c>
    </row>
    <row r="11813" spans="1:1" x14ac:dyDescent="0.25">
      <c r="A11813" s="74">
        <v>16605</v>
      </c>
    </row>
    <row r="11814" spans="1:1" x14ac:dyDescent="0.25">
      <c r="A11814" s="74">
        <v>16606</v>
      </c>
    </row>
    <row r="11815" spans="1:1" x14ac:dyDescent="0.25">
      <c r="A11815" s="74">
        <v>16607</v>
      </c>
    </row>
    <row r="11816" spans="1:1" x14ac:dyDescent="0.25">
      <c r="A11816" s="74">
        <v>16608</v>
      </c>
    </row>
    <row r="11817" spans="1:1" x14ac:dyDescent="0.25">
      <c r="A11817" s="74">
        <v>16609</v>
      </c>
    </row>
    <row r="11818" spans="1:1" x14ac:dyDescent="0.25">
      <c r="A11818" s="74">
        <v>16610</v>
      </c>
    </row>
    <row r="11819" spans="1:1" x14ac:dyDescent="0.25">
      <c r="A11819" s="74">
        <v>16611</v>
      </c>
    </row>
    <row r="11820" spans="1:1" x14ac:dyDescent="0.25">
      <c r="A11820" s="74">
        <v>16612</v>
      </c>
    </row>
    <row r="11821" spans="1:1" x14ac:dyDescent="0.25">
      <c r="A11821" s="74">
        <v>16613</v>
      </c>
    </row>
    <row r="11822" spans="1:1" x14ac:dyDescent="0.25">
      <c r="A11822" s="74">
        <v>16614</v>
      </c>
    </row>
    <row r="11823" spans="1:1" x14ac:dyDescent="0.25">
      <c r="A11823" s="74">
        <v>16615</v>
      </c>
    </row>
    <row r="11824" spans="1:1" x14ac:dyDescent="0.25">
      <c r="A11824" s="74">
        <v>16616</v>
      </c>
    </row>
    <row r="11825" spans="1:1" x14ac:dyDescent="0.25">
      <c r="A11825" s="74">
        <v>16617</v>
      </c>
    </row>
    <row r="11826" spans="1:1" x14ac:dyDescent="0.25">
      <c r="A11826" s="74">
        <v>16618</v>
      </c>
    </row>
    <row r="11827" spans="1:1" x14ac:dyDescent="0.25">
      <c r="A11827" s="74">
        <v>16619</v>
      </c>
    </row>
    <row r="11828" spans="1:1" x14ac:dyDescent="0.25">
      <c r="A11828" s="74">
        <v>16620</v>
      </c>
    </row>
    <row r="11829" spans="1:1" x14ac:dyDescent="0.25">
      <c r="A11829" s="74">
        <v>16621</v>
      </c>
    </row>
    <row r="11830" spans="1:1" x14ac:dyDescent="0.25">
      <c r="A11830" s="74">
        <v>16622</v>
      </c>
    </row>
    <row r="11831" spans="1:1" x14ac:dyDescent="0.25">
      <c r="A11831" s="74">
        <v>16623</v>
      </c>
    </row>
    <row r="11832" spans="1:1" x14ac:dyDescent="0.25">
      <c r="A11832" s="74">
        <v>16624</v>
      </c>
    </row>
    <row r="11833" spans="1:1" x14ac:dyDescent="0.25">
      <c r="A11833" s="74">
        <v>16625</v>
      </c>
    </row>
    <row r="11834" spans="1:1" x14ac:dyDescent="0.25">
      <c r="A11834" s="74">
        <v>16626</v>
      </c>
    </row>
    <row r="11835" spans="1:1" x14ac:dyDescent="0.25">
      <c r="A11835" s="74">
        <v>16627</v>
      </c>
    </row>
    <row r="11836" spans="1:1" x14ac:dyDescent="0.25">
      <c r="A11836" s="74">
        <v>16628</v>
      </c>
    </row>
    <row r="11837" spans="1:1" x14ac:dyDescent="0.25">
      <c r="A11837" s="74">
        <v>16629</v>
      </c>
    </row>
    <row r="11838" spans="1:1" x14ac:dyDescent="0.25">
      <c r="A11838" s="74">
        <v>16630</v>
      </c>
    </row>
    <row r="11839" spans="1:1" x14ac:dyDescent="0.25">
      <c r="A11839" s="74">
        <v>16631</v>
      </c>
    </row>
    <row r="11840" spans="1:1" x14ac:dyDescent="0.25">
      <c r="A11840" s="74">
        <v>16632</v>
      </c>
    </row>
    <row r="11841" spans="1:1" x14ac:dyDescent="0.25">
      <c r="A11841" s="74">
        <v>16633</v>
      </c>
    </row>
    <row r="11842" spans="1:1" x14ac:dyDescent="0.25">
      <c r="A11842" s="74">
        <v>16634</v>
      </c>
    </row>
    <row r="11843" spans="1:1" x14ac:dyDescent="0.25">
      <c r="A11843" s="74">
        <v>16635</v>
      </c>
    </row>
    <row r="11844" spans="1:1" x14ac:dyDescent="0.25">
      <c r="A11844" s="74">
        <v>16636</v>
      </c>
    </row>
    <row r="11845" spans="1:1" x14ac:dyDescent="0.25">
      <c r="A11845" s="74">
        <v>16637</v>
      </c>
    </row>
    <row r="11846" spans="1:1" x14ac:dyDescent="0.25">
      <c r="A11846" s="74">
        <v>16638</v>
      </c>
    </row>
    <row r="11847" spans="1:1" x14ac:dyDescent="0.25">
      <c r="A11847" s="74">
        <v>16639</v>
      </c>
    </row>
    <row r="11848" spans="1:1" x14ac:dyDescent="0.25">
      <c r="A11848" s="74">
        <v>16640</v>
      </c>
    </row>
    <row r="11849" spans="1:1" x14ac:dyDescent="0.25">
      <c r="A11849" s="74">
        <v>16641</v>
      </c>
    </row>
    <row r="11850" spans="1:1" x14ac:dyDescent="0.25">
      <c r="A11850" s="74">
        <v>16642</v>
      </c>
    </row>
    <row r="11851" spans="1:1" x14ac:dyDescent="0.25">
      <c r="A11851" s="74">
        <v>16643</v>
      </c>
    </row>
    <row r="11852" spans="1:1" x14ac:dyDescent="0.25">
      <c r="A11852" s="74">
        <v>16644</v>
      </c>
    </row>
    <row r="11853" spans="1:1" x14ac:dyDescent="0.25">
      <c r="A11853" s="74">
        <v>16645</v>
      </c>
    </row>
    <row r="11854" spans="1:1" x14ac:dyDescent="0.25">
      <c r="A11854" s="74">
        <v>16646</v>
      </c>
    </row>
    <row r="11855" spans="1:1" x14ac:dyDescent="0.25">
      <c r="A11855" s="74">
        <v>16647</v>
      </c>
    </row>
    <row r="11856" spans="1:1" x14ac:dyDescent="0.25">
      <c r="A11856" s="74">
        <v>16648</v>
      </c>
    </row>
    <row r="11857" spans="1:1" x14ac:dyDescent="0.25">
      <c r="A11857" s="74">
        <v>16649</v>
      </c>
    </row>
    <row r="11858" spans="1:1" x14ac:dyDescent="0.25">
      <c r="A11858" s="74">
        <v>16650</v>
      </c>
    </row>
    <row r="11859" spans="1:1" x14ac:dyDescent="0.25">
      <c r="A11859" s="74">
        <v>16651</v>
      </c>
    </row>
    <row r="11860" spans="1:1" x14ac:dyDescent="0.25">
      <c r="A11860" s="74">
        <v>16652</v>
      </c>
    </row>
    <row r="11861" spans="1:1" x14ac:dyDescent="0.25">
      <c r="A11861" s="74">
        <v>16653</v>
      </c>
    </row>
    <row r="11862" spans="1:1" x14ac:dyDescent="0.25">
      <c r="A11862" s="74">
        <v>16654</v>
      </c>
    </row>
    <row r="11863" spans="1:1" x14ac:dyDescent="0.25">
      <c r="A11863" s="74">
        <v>16655</v>
      </c>
    </row>
    <row r="11864" spans="1:1" x14ac:dyDescent="0.25">
      <c r="A11864" s="74">
        <v>16656</v>
      </c>
    </row>
    <row r="11865" spans="1:1" x14ac:dyDescent="0.25">
      <c r="A11865" s="74">
        <v>16657</v>
      </c>
    </row>
    <row r="11866" spans="1:1" x14ac:dyDescent="0.25">
      <c r="A11866" s="74">
        <v>16658</v>
      </c>
    </row>
    <row r="11867" spans="1:1" x14ac:dyDescent="0.25">
      <c r="A11867" s="74">
        <v>16659</v>
      </c>
    </row>
    <row r="11868" spans="1:1" x14ac:dyDescent="0.25">
      <c r="A11868" s="74">
        <v>16660</v>
      </c>
    </row>
    <row r="11869" spans="1:1" x14ac:dyDescent="0.25">
      <c r="A11869" s="74">
        <v>16661</v>
      </c>
    </row>
    <row r="11870" spans="1:1" x14ac:dyDescent="0.25">
      <c r="A11870" s="74">
        <v>16662</v>
      </c>
    </row>
    <row r="11871" spans="1:1" x14ac:dyDescent="0.25">
      <c r="A11871" s="74">
        <v>16663</v>
      </c>
    </row>
    <row r="11872" spans="1:1" x14ac:dyDescent="0.25">
      <c r="A11872" s="74">
        <v>16664</v>
      </c>
    </row>
    <row r="11873" spans="1:1" x14ac:dyDescent="0.25">
      <c r="A11873" s="74">
        <v>16665</v>
      </c>
    </row>
    <row r="11874" spans="1:1" x14ac:dyDescent="0.25">
      <c r="A11874" s="74">
        <v>16666</v>
      </c>
    </row>
    <row r="11875" spans="1:1" x14ac:dyDescent="0.25">
      <c r="A11875" s="74">
        <v>16667</v>
      </c>
    </row>
    <row r="11876" spans="1:1" x14ac:dyDescent="0.25">
      <c r="A11876" s="74">
        <v>16668</v>
      </c>
    </row>
    <row r="11877" spans="1:1" x14ac:dyDescent="0.25">
      <c r="A11877" s="74">
        <v>16669</v>
      </c>
    </row>
    <row r="11878" spans="1:1" x14ac:dyDescent="0.25">
      <c r="A11878" s="74">
        <v>16670</v>
      </c>
    </row>
    <row r="11879" spans="1:1" x14ac:dyDescent="0.25">
      <c r="A11879" s="74">
        <v>16671</v>
      </c>
    </row>
    <row r="11880" spans="1:1" x14ac:dyDescent="0.25">
      <c r="A11880" s="74">
        <v>16672</v>
      </c>
    </row>
    <row r="11881" spans="1:1" x14ac:dyDescent="0.25">
      <c r="A11881" s="74">
        <v>16673</v>
      </c>
    </row>
    <row r="11882" spans="1:1" x14ac:dyDescent="0.25">
      <c r="A11882" s="74">
        <v>16674</v>
      </c>
    </row>
    <row r="11883" spans="1:1" x14ac:dyDescent="0.25">
      <c r="A11883" s="74">
        <v>16675</v>
      </c>
    </row>
    <row r="11884" spans="1:1" x14ac:dyDescent="0.25">
      <c r="A11884" s="74">
        <v>16676</v>
      </c>
    </row>
    <row r="11885" spans="1:1" x14ac:dyDescent="0.25">
      <c r="A11885" s="74">
        <v>16677</v>
      </c>
    </row>
    <row r="11886" spans="1:1" x14ac:dyDescent="0.25">
      <c r="A11886" s="74">
        <v>16678</v>
      </c>
    </row>
    <row r="11887" spans="1:1" x14ac:dyDescent="0.25">
      <c r="A11887" s="74">
        <v>16679</v>
      </c>
    </row>
    <row r="11888" spans="1:1" x14ac:dyDescent="0.25">
      <c r="A11888" s="74">
        <v>16680</v>
      </c>
    </row>
    <row r="11889" spans="1:1" x14ac:dyDescent="0.25">
      <c r="A11889" s="74">
        <v>16681</v>
      </c>
    </row>
    <row r="11890" spans="1:1" x14ac:dyDescent="0.25">
      <c r="A11890" s="74">
        <v>16682</v>
      </c>
    </row>
    <row r="11891" spans="1:1" x14ac:dyDescent="0.25">
      <c r="A11891" s="74">
        <v>16683</v>
      </c>
    </row>
    <row r="11892" spans="1:1" x14ac:dyDescent="0.25">
      <c r="A11892" s="74">
        <v>16684</v>
      </c>
    </row>
    <row r="11893" spans="1:1" x14ac:dyDescent="0.25">
      <c r="A11893" s="74">
        <v>16685</v>
      </c>
    </row>
    <row r="11894" spans="1:1" x14ac:dyDescent="0.25">
      <c r="A11894" s="74">
        <v>16686</v>
      </c>
    </row>
    <row r="11895" spans="1:1" x14ac:dyDescent="0.25">
      <c r="A11895" s="74">
        <v>16687</v>
      </c>
    </row>
    <row r="11896" spans="1:1" x14ac:dyDescent="0.25">
      <c r="A11896" s="74">
        <v>16688</v>
      </c>
    </row>
    <row r="11897" spans="1:1" x14ac:dyDescent="0.25">
      <c r="A11897" s="74">
        <v>16689</v>
      </c>
    </row>
    <row r="11898" spans="1:1" x14ac:dyDescent="0.25">
      <c r="A11898" s="74">
        <v>16690</v>
      </c>
    </row>
    <row r="11899" spans="1:1" x14ac:dyDescent="0.25">
      <c r="A11899" s="74">
        <v>16691</v>
      </c>
    </row>
    <row r="11900" spans="1:1" x14ac:dyDescent="0.25">
      <c r="A11900" s="74">
        <v>16692</v>
      </c>
    </row>
    <row r="11901" spans="1:1" x14ac:dyDescent="0.25">
      <c r="A11901" s="74">
        <v>16693</v>
      </c>
    </row>
    <row r="11902" spans="1:1" x14ac:dyDescent="0.25">
      <c r="A11902" s="74">
        <v>16694</v>
      </c>
    </row>
    <row r="11903" spans="1:1" x14ac:dyDescent="0.25">
      <c r="A11903" s="74">
        <v>16695</v>
      </c>
    </row>
    <row r="11904" spans="1:1" x14ac:dyDescent="0.25">
      <c r="A11904" s="74">
        <v>16696</v>
      </c>
    </row>
    <row r="11905" spans="1:1" x14ac:dyDescent="0.25">
      <c r="A11905" s="74">
        <v>16697</v>
      </c>
    </row>
    <row r="11906" spans="1:1" x14ac:dyDescent="0.25">
      <c r="A11906" s="74">
        <v>16698</v>
      </c>
    </row>
    <row r="11907" spans="1:1" x14ac:dyDescent="0.25">
      <c r="A11907" s="74">
        <v>16699</v>
      </c>
    </row>
    <row r="11908" spans="1:1" x14ac:dyDescent="0.25">
      <c r="A11908" s="74">
        <v>16700</v>
      </c>
    </row>
    <row r="11909" spans="1:1" x14ac:dyDescent="0.25">
      <c r="A11909" s="74">
        <v>16701</v>
      </c>
    </row>
    <row r="11910" spans="1:1" x14ac:dyDescent="0.25">
      <c r="A11910" s="74">
        <v>16702</v>
      </c>
    </row>
    <row r="11911" spans="1:1" x14ac:dyDescent="0.25">
      <c r="A11911" s="74">
        <v>16703</v>
      </c>
    </row>
    <row r="11912" spans="1:1" x14ac:dyDescent="0.25">
      <c r="A11912" s="74">
        <v>16704</v>
      </c>
    </row>
    <row r="11913" spans="1:1" x14ac:dyDescent="0.25">
      <c r="A11913" s="74">
        <v>16705</v>
      </c>
    </row>
    <row r="11914" spans="1:1" x14ac:dyDescent="0.25">
      <c r="A11914" s="74">
        <v>16706</v>
      </c>
    </row>
    <row r="11915" spans="1:1" x14ac:dyDescent="0.25">
      <c r="A11915" s="74">
        <v>16707</v>
      </c>
    </row>
    <row r="11916" spans="1:1" x14ac:dyDescent="0.25">
      <c r="A11916" s="74">
        <v>16708</v>
      </c>
    </row>
    <row r="11917" spans="1:1" x14ac:dyDescent="0.25">
      <c r="A11917" s="74">
        <v>16709</v>
      </c>
    </row>
    <row r="11918" spans="1:1" x14ac:dyDescent="0.25">
      <c r="A11918" s="74">
        <v>16710</v>
      </c>
    </row>
    <row r="11919" spans="1:1" x14ac:dyDescent="0.25">
      <c r="A11919" s="74">
        <v>16711</v>
      </c>
    </row>
    <row r="11920" spans="1:1" x14ac:dyDescent="0.25">
      <c r="A11920" s="74">
        <v>16712</v>
      </c>
    </row>
    <row r="11921" spans="1:1" x14ac:dyDescent="0.25">
      <c r="A11921" s="74">
        <v>16713</v>
      </c>
    </row>
    <row r="11922" spans="1:1" x14ac:dyDescent="0.25">
      <c r="A11922" s="74">
        <v>16714</v>
      </c>
    </row>
    <row r="11923" spans="1:1" x14ac:dyDescent="0.25">
      <c r="A11923" s="74">
        <v>16715</v>
      </c>
    </row>
    <row r="11924" spans="1:1" x14ac:dyDescent="0.25">
      <c r="A11924" s="74">
        <v>16716</v>
      </c>
    </row>
    <row r="11925" spans="1:1" x14ac:dyDescent="0.25">
      <c r="A11925" s="74">
        <v>16717</v>
      </c>
    </row>
    <row r="11926" spans="1:1" x14ac:dyDescent="0.25">
      <c r="A11926" s="74">
        <v>16718</v>
      </c>
    </row>
    <row r="11927" spans="1:1" x14ac:dyDescent="0.25">
      <c r="A11927" s="74">
        <v>16719</v>
      </c>
    </row>
    <row r="11928" spans="1:1" x14ac:dyDescent="0.25">
      <c r="A11928" s="74">
        <v>16720</v>
      </c>
    </row>
    <row r="11929" spans="1:1" x14ac:dyDescent="0.25">
      <c r="A11929" s="74">
        <v>16721</v>
      </c>
    </row>
    <row r="11930" spans="1:1" x14ac:dyDescent="0.25">
      <c r="A11930" s="74">
        <v>16722</v>
      </c>
    </row>
    <row r="11931" spans="1:1" x14ac:dyDescent="0.25">
      <c r="A11931" s="74">
        <v>16723</v>
      </c>
    </row>
    <row r="11932" spans="1:1" x14ac:dyDescent="0.25">
      <c r="A11932" s="74">
        <v>16724</v>
      </c>
    </row>
    <row r="11933" spans="1:1" x14ac:dyDescent="0.25">
      <c r="A11933" s="74">
        <v>16725</v>
      </c>
    </row>
    <row r="11934" spans="1:1" x14ac:dyDescent="0.25">
      <c r="A11934" s="74">
        <v>16726</v>
      </c>
    </row>
    <row r="11935" spans="1:1" x14ac:dyDescent="0.25">
      <c r="A11935" s="74">
        <v>16727</v>
      </c>
    </row>
    <row r="11936" spans="1:1" x14ac:dyDescent="0.25">
      <c r="A11936" s="74">
        <v>16728</v>
      </c>
    </row>
    <row r="11937" spans="1:1" x14ac:dyDescent="0.25">
      <c r="A11937" s="74">
        <v>16729</v>
      </c>
    </row>
    <row r="11938" spans="1:1" x14ac:dyDescent="0.25">
      <c r="A11938" s="74">
        <v>16730</v>
      </c>
    </row>
    <row r="11939" spans="1:1" x14ac:dyDescent="0.25">
      <c r="A11939" s="74">
        <v>16731</v>
      </c>
    </row>
    <row r="11940" spans="1:1" x14ac:dyDescent="0.25">
      <c r="A11940" s="74">
        <v>16732</v>
      </c>
    </row>
    <row r="11941" spans="1:1" x14ac:dyDescent="0.25">
      <c r="A11941" s="74">
        <v>16733</v>
      </c>
    </row>
    <row r="11942" spans="1:1" x14ac:dyDescent="0.25">
      <c r="A11942" s="74">
        <v>16734</v>
      </c>
    </row>
    <row r="11943" spans="1:1" x14ac:dyDescent="0.25">
      <c r="A11943" s="74">
        <v>16735</v>
      </c>
    </row>
    <row r="11944" spans="1:1" x14ac:dyDescent="0.25">
      <c r="A11944" s="74">
        <v>16736</v>
      </c>
    </row>
    <row r="11945" spans="1:1" x14ac:dyDescent="0.25">
      <c r="A11945" s="74">
        <v>16737</v>
      </c>
    </row>
    <row r="11946" spans="1:1" x14ac:dyDescent="0.25">
      <c r="A11946" s="74">
        <v>16738</v>
      </c>
    </row>
    <row r="11947" spans="1:1" x14ac:dyDescent="0.25">
      <c r="A11947" s="74">
        <v>16739</v>
      </c>
    </row>
    <row r="11948" spans="1:1" x14ac:dyDescent="0.25">
      <c r="A11948" s="74">
        <v>16740</v>
      </c>
    </row>
    <row r="11949" spans="1:1" x14ac:dyDescent="0.25">
      <c r="A11949" s="74">
        <v>16741</v>
      </c>
    </row>
    <row r="11950" spans="1:1" x14ac:dyDescent="0.25">
      <c r="A11950" s="74">
        <v>16742</v>
      </c>
    </row>
    <row r="11951" spans="1:1" x14ac:dyDescent="0.25">
      <c r="A11951" s="74">
        <v>16743</v>
      </c>
    </row>
    <row r="11952" spans="1:1" x14ac:dyDescent="0.25">
      <c r="A11952" s="74">
        <v>16744</v>
      </c>
    </row>
    <row r="11953" spans="1:1" x14ac:dyDescent="0.25">
      <c r="A11953" s="74">
        <v>16745</v>
      </c>
    </row>
    <row r="11954" spans="1:1" x14ac:dyDescent="0.25">
      <c r="A11954" s="74">
        <v>16746</v>
      </c>
    </row>
    <row r="11955" spans="1:1" x14ac:dyDescent="0.25">
      <c r="A11955" s="74">
        <v>16747</v>
      </c>
    </row>
    <row r="11956" spans="1:1" x14ac:dyDescent="0.25">
      <c r="A11956" s="74">
        <v>16748</v>
      </c>
    </row>
    <row r="11957" spans="1:1" x14ac:dyDescent="0.25">
      <c r="A11957" s="74">
        <v>16749</v>
      </c>
    </row>
    <row r="11958" spans="1:1" x14ac:dyDescent="0.25">
      <c r="A11958" s="74">
        <v>16750</v>
      </c>
    </row>
    <row r="11959" spans="1:1" x14ac:dyDescent="0.25">
      <c r="A11959" s="74">
        <v>16751</v>
      </c>
    </row>
    <row r="11960" spans="1:1" x14ac:dyDescent="0.25">
      <c r="A11960" s="74">
        <v>16752</v>
      </c>
    </row>
    <row r="11961" spans="1:1" x14ac:dyDescent="0.25">
      <c r="A11961" s="74">
        <v>16753</v>
      </c>
    </row>
    <row r="11962" spans="1:1" x14ac:dyDescent="0.25">
      <c r="A11962" s="74">
        <v>16754</v>
      </c>
    </row>
    <row r="11963" spans="1:1" x14ac:dyDescent="0.25">
      <c r="A11963" s="74">
        <v>16755</v>
      </c>
    </row>
    <row r="11964" spans="1:1" x14ac:dyDescent="0.25">
      <c r="A11964" s="74">
        <v>16756</v>
      </c>
    </row>
    <row r="11965" spans="1:1" x14ac:dyDescent="0.25">
      <c r="A11965" s="74">
        <v>16757</v>
      </c>
    </row>
    <row r="11966" spans="1:1" x14ac:dyDescent="0.25">
      <c r="A11966" s="74">
        <v>16758</v>
      </c>
    </row>
    <row r="11967" spans="1:1" x14ac:dyDescent="0.25">
      <c r="A11967" s="74">
        <v>16759</v>
      </c>
    </row>
    <row r="11968" spans="1:1" x14ac:dyDescent="0.25">
      <c r="A11968" s="74">
        <v>16760</v>
      </c>
    </row>
    <row r="11969" spans="1:1" x14ac:dyDescent="0.25">
      <c r="A11969" s="74">
        <v>16761</v>
      </c>
    </row>
    <row r="11970" spans="1:1" x14ac:dyDescent="0.25">
      <c r="A11970" s="74">
        <v>16762</v>
      </c>
    </row>
    <row r="11971" spans="1:1" x14ac:dyDescent="0.25">
      <c r="A11971" s="74">
        <v>16763</v>
      </c>
    </row>
    <row r="11972" spans="1:1" x14ac:dyDescent="0.25">
      <c r="A11972" s="74">
        <v>16764</v>
      </c>
    </row>
    <row r="11973" spans="1:1" x14ac:dyDescent="0.25">
      <c r="A11973" s="74">
        <v>16765</v>
      </c>
    </row>
    <row r="11974" spans="1:1" x14ac:dyDescent="0.25">
      <c r="A11974" s="74">
        <v>16766</v>
      </c>
    </row>
    <row r="11975" spans="1:1" x14ac:dyDescent="0.25">
      <c r="A11975" s="74">
        <v>16767</v>
      </c>
    </row>
    <row r="11976" spans="1:1" x14ac:dyDescent="0.25">
      <c r="A11976" s="74">
        <v>16768</v>
      </c>
    </row>
    <row r="11977" spans="1:1" x14ac:dyDescent="0.25">
      <c r="A11977" s="74">
        <v>16769</v>
      </c>
    </row>
    <row r="11978" spans="1:1" x14ac:dyDescent="0.25">
      <c r="A11978" s="74">
        <v>16770</v>
      </c>
    </row>
    <row r="11979" spans="1:1" x14ac:dyDescent="0.25">
      <c r="A11979" s="74">
        <v>16771</v>
      </c>
    </row>
    <row r="11980" spans="1:1" x14ac:dyDescent="0.25">
      <c r="A11980" s="74">
        <v>16772</v>
      </c>
    </row>
    <row r="11981" spans="1:1" x14ac:dyDescent="0.25">
      <c r="A11981" s="74">
        <v>16773</v>
      </c>
    </row>
    <row r="11982" spans="1:1" x14ac:dyDescent="0.25">
      <c r="A11982" s="74">
        <v>16774</v>
      </c>
    </row>
    <row r="11983" spans="1:1" x14ac:dyDescent="0.25">
      <c r="A11983" s="74">
        <v>16775</v>
      </c>
    </row>
    <row r="11984" spans="1:1" x14ac:dyDescent="0.25">
      <c r="A11984" s="74">
        <v>16776</v>
      </c>
    </row>
    <row r="11985" spans="1:1" x14ac:dyDescent="0.25">
      <c r="A11985" s="74">
        <v>16777</v>
      </c>
    </row>
    <row r="11986" spans="1:1" x14ac:dyDescent="0.25">
      <c r="A11986" s="74">
        <v>16778</v>
      </c>
    </row>
    <row r="11987" spans="1:1" x14ac:dyDescent="0.25">
      <c r="A11987" s="74">
        <v>16779</v>
      </c>
    </row>
    <row r="11988" spans="1:1" x14ac:dyDescent="0.25">
      <c r="A11988" s="74">
        <v>16780</v>
      </c>
    </row>
    <row r="11989" spans="1:1" x14ac:dyDescent="0.25">
      <c r="A11989" s="74">
        <v>16781</v>
      </c>
    </row>
    <row r="11990" spans="1:1" x14ac:dyDescent="0.25">
      <c r="A11990" s="74">
        <v>16782</v>
      </c>
    </row>
    <row r="11991" spans="1:1" x14ac:dyDescent="0.25">
      <c r="A11991" s="74">
        <v>16783</v>
      </c>
    </row>
    <row r="11992" spans="1:1" x14ac:dyDescent="0.25">
      <c r="A11992" s="74">
        <v>16784</v>
      </c>
    </row>
    <row r="11993" spans="1:1" x14ac:dyDescent="0.25">
      <c r="A11993" s="74">
        <v>16785</v>
      </c>
    </row>
    <row r="11994" spans="1:1" x14ac:dyDescent="0.25">
      <c r="A11994" s="74">
        <v>16786</v>
      </c>
    </row>
    <row r="11995" spans="1:1" x14ac:dyDescent="0.25">
      <c r="A11995" s="74">
        <v>16787</v>
      </c>
    </row>
    <row r="11996" spans="1:1" x14ac:dyDescent="0.25">
      <c r="A11996" s="74">
        <v>16788</v>
      </c>
    </row>
    <row r="11997" spans="1:1" x14ac:dyDescent="0.25">
      <c r="A11997" s="74">
        <v>16789</v>
      </c>
    </row>
    <row r="11998" spans="1:1" x14ac:dyDescent="0.25">
      <c r="A11998" s="74">
        <v>16790</v>
      </c>
    </row>
    <row r="11999" spans="1:1" x14ac:dyDescent="0.25">
      <c r="A11999" s="74">
        <v>16791</v>
      </c>
    </row>
    <row r="12000" spans="1:1" x14ac:dyDescent="0.25">
      <c r="A12000" s="74">
        <v>16792</v>
      </c>
    </row>
    <row r="12001" spans="1:1" x14ac:dyDescent="0.25">
      <c r="A12001" s="74">
        <v>16793</v>
      </c>
    </row>
    <row r="12002" spans="1:1" x14ac:dyDescent="0.25">
      <c r="A12002" s="74">
        <v>16794</v>
      </c>
    </row>
    <row r="12003" spans="1:1" x14ac:dyDescent="0.25">
      <c r="A12003" s="74">
        <v>16795</v>
      </c>
    </row>
    <row r="12004" spans="1:1" x14ac:dyDescent="0.25">
      <c r="A12004" s="74">
        <v>16796</v>
      </c>
    </row>
    <row r="12005" spans="1:1" x14ac:dyDescent="0.25">
      <c r="A12005" s="74">
        <v>16797</v>
      </c>
    </row>
    <row r="12006" spans="1:1" x14ac:dyDescent="0.25">
      <c r="A12006" s="74">
        <v>16798</v>
      </c>
    </row>
    <row r="12007" spans="1:1" x14ac:dyDescent="0.25">
      <c r="A12007" s="74">
        <v>16799</v>
      </c>
    </row>
    <row r="12008" spans="1:1" x14ac:dyDescent="0.25">
      <c r="A12008" s="74">
        <v>16800</v>
      </c>
    </row>
    <row r="12009" spans="1:1" x14ac:dyDescent="0.25">
      <c r="A12009" s="74">
        <v>16801</v>
      </c>
    </row>
    <row r="12010" spans="1:1" x14ac:dyDescent="0.25">
      <c r="A12010" s="74">
        <v>16802</v>
      </c>
    </row>
    <row r="12011" spans="1:1" x14ac:dyDescent="0.25">
      <c r="A12011" s="74">
        <v>16803</v>
      </c>
    </row>
    <row r="12012" spans="1:1" x14ac:dyDescent="0.25">
      <c r="A12012" s="74">
        <v>16804</v>
      </c>
    </row>
    <row r="12013" spans="1:1" x14ac:dyDescent="0.25">
      <c r="A12013" s="74">
        <v>16805</v>
      </c>
    </row>
    <row r="12014" spans="1:1" x14ac:dyDescent="0.25">
      <c r="A12014" s="74">
        <v>16806</v>
      </c>
    </row>
    <row r="12015" spans="1:1" x14ac:dyDescent="0.25">
      <c r="A12015" s="74">
        <v>16807</v>
      </c>
    </row>
    <row r="12016" spans="1:1" x14ac:dyDescent="0.25">
      <c r="A12016" s="74">
        <v>16808</v>
      </c>
    </row>
    <row r="12017" spans="1:1" x14ac:dyDescent="0.25">
      <c r="A12017" s="74">
        <v>16809</v>
      </c>
    </row>
    <row r="12018" spans="1:1" x14ac:dyDescent="0.25">
      <c r="A12018" s="74">
        <v>16810</v>
      </c>
    </row>
    <row r="12019" spans="1:1" x14ac:dyDescent="0.25">
      <c r="A12019" s="74">
        <v>16811</v>
      </c>
    </row>
    <row r="12020" spans="1:1" x14ac:dyDescent="0.25">
      <c r="A12020" s="74">
        <v>16812</v>
      </c>
    </row>
    <row r="12021" spans="1:1" x14ac:dyDescent="0.25">
      <c r="A12021" s="74">
        <v>16813</v>
      </c>
    </row>
    <row r="12022" spans="1:1" x14ac:dyDescent="0.25">
      <c r="A12022" s="74">
        <v>16814</v>
      </c>
    </row>
    <row r="12023" spans="1:1" x14ac:dyDescent="0.25">
      <c r="A12023" s="74">
        <v>16815</v>
      </c>
    </row>
    <row r="12024" spans="1:1" x14ac:dyDescent="0.25">
      <c r="A12024" s="74">
        <v>16816</v>
      </c>
    </row>
    <row r="12025" spans="1:1" x14ac:dyDescent="0.25">
      <c r="A12025" s="74">
        <v>16817</v>
      </c>
    </row>
    <row r="12026" spans="1:1" x14ac:dyDescent="0.25">
      <c r="A12026" s="74">
        <v>16818</v>
      </c>
    </row>
    <row r="12027" spans="1:1" x14ac:dyDescent="0.25">
      <c r="A12027" s="74">
        <v>16819</v>
      </c>
    </row>
    <row r="12028" spans="1:1" x14ac:dyDescent="0.25">
      <c r="A12028" s="74">
        <v>16820</v>
      </c>
    </row>
    <row r="12029" spans="1:1" x14ac:dyDescent="0.25">
      <c r="A12029" s="74">
        <v>16821</v>
      </c>
    </row>
    <row r="12030" spans="1:1" x14ac:dyDescent="0.25">
      <c r="A12030" s="74">
        <v>16822</v>
      </c>
    </row>
    <row r="12031" spans="1:1" x14ac:dyDescent="0.25">
      <c r="A12031" s="74">
        <v>16823</v>
      </c>
    </row>
    <row r="12032" spans="1:1" x14ac:dyDescent="0.25">
      <c r="A12032" s="74">
        <v>16824</v>
      </c>
    </row>
    <row r="12033" spans="1:1" x14ac:dyDescent="0.25">
      <c r="A12033" s="74">
        <v>16825</v>
      </c>
    </row>
    <row r="12034" spans="1:1" x14ac:dyDescent="0.25">
      <c r="A12034" s="74">
        <v>16826</v>
      </c>
    </row>
    <row r="12035" spans="1:1" x14ac:dyDescent="0.25">
      <c r="A12035" s="74">
        <v>16827</v>
      </c>
    </row>
    <row r="12036" spans="1:1" x14ac:dyDescent="0.25">
      <c r="A12036" s="74">
        <v>16828</v>
      </c>
    </row>
    <row r="12037" spans="1:1" x14ac:dyDescent="0.25">
      <c r="A12037" s="74">
        <v>16829</v>
      </c>
    </row>
    <row r="12038" spans="1:1" x14ac:dyDescent="0.25">
      <c r="A12038" s="74">
        <v>16830</v>
      </c>
    </row>
    <row r="12039" spans="1:1" x14ac:dyDescent="0.25">
      <c r="A12039" s="74">
        <v>16831</v>
      </c>
    </row>
    <row r="12040" spans="1:1" x14ac:dyDescent="0.25">
      <c r="A12040" s="74">
        <v>16832</v>
      </c>
    </row>
    <row r="12041" spans="1:1" x14ac:dyDescent="0.25">
      <c r="A12041" s="74">
        <v>16833</v>
      </c>
    </row>
    <row r="12042" spans="1:1" x14ac:dyDescent="0.25">
      <c r="A12042" s="74">
        <v>16834</v>
      </c>
    </row>
    <row r="12043" spans="1:1" x14ac:dyDescent="0.25">
      <c r="A12043" s="74">
        <v>16835</v>
      </c>
    </row>
    <row r="12044" spans="1:1" x14ac:dyDescent="0.25">
      <c r="A12044" s="74">
        <v>16836</v>
      </c>
    </row>
    <row r="12045" spans="1:1" x14ac:dyDescent="0.25">
      <c r="A12045" s="74">
        <v>16837</v>
      </c>
    </row>
    <row r="12046" spans="1:1" x14ac:dyDescent="0.25">
      <c r="A12046" s="74">
        <v>16838</v>
      </c>
    </row>
    <row r="12047" spans="1:1" x14ac:dyDescent="0.25">
      <c r="A12047" s="74">
        <v>16839</v>
      </c>
    </row>
    <row r="12048" spans="1:1" x14ac:dyDescent="0.25">
      <c r="A12048" s="74">
        <v>16840</v>
      </c>
    </row>
    <row r="12049" spans="1:1" x14ac:dyDescent="0.25">
      <c r="A12049" s="74">
        <v>16841</v>
      </c>
    </row>
    <row r="12050" spans="1:1" x14ac:dyDescent="0.25">
      <c r="A12050" s="74">
        <v>16842</v>
      </c>
    </row>
    <row r="12051" spans="1:1" x14ac:dyDescent="0.25">
      <c r="A12051" s="74">
        <v>16843</v>
      </c>
    </row>
    <row r="12052" spans="1:1" x14ac:dyDescent="0.25">
      <c r="A12052" s="74">
        <v>16844</v>
      </c>
    </row>
    <row r="12053" spans="1:1" x14ac:dyDescent="0.25">
      <c r="A12053" s="74">
        <v>16845</v>
      </c>
    </row>
    <row r="12054" spans="1:1" x14ac:dyDescent="0.25">
      <c r="A12054" s="74">
        <v>16846</v>
      </c>
    </row>
    <row r="12055" spans="1:1" x14ac:dyDescent="0.25">
      <c r="A12055" s="74">
        <v>16847</v>
      </c>
    </row>
    <row r="12056" spans="1:1" x14ac:dyDescent="0.25">
      <c r="A12056" s="74">
        <v>16848</v>
      </c>
    </row>
    <row r="12057" spans="1:1" x14ac:dyDescent="0.25">
      <c r="A12057" s="74">
        <v>16849</v>
      </c>
    </row>
    <row r="12058" spans="1:1" x14ac:dyDescent="0.25">
      <c r="A12058" s="74">
        <v>16850</v>
      </c>
    </row>
    <row r="12059" spans="1:1" x14ac:dyDescent="0.25">
      <c r="A12059" s="74">
        <v>16851</v>
      </c>
    </row>
    <row r="12060" spans="1:1" x14ac:dyDescent="0.25">
      <c r="A12060" s="74">
        <v>16852</v>
      </c>
    </row>
    <row r="12061" spans="1:1" x14ac:dyDescent="0.25">
      <c r="A12061" s="74">
        <v>16853</v>
      </c>
    </row>
    <row r="12062" spans="1:1" x14ac:dyDescent="0.25">
      <c r="A12062" s="74">
        <v>16854</v>
      </c>
    </row>
    <row r="12063" spans="1:1" x14ac:dyDescent="0.25">
      <c r="A12063" s="74">
        <v>16855</v>
      </c>
    </row>
    <row r="12064" spans="1:1" x14ac:dyDescent="0.25">
      <c r="A12064" s="74">
        <v>16856</v>
      </c>
    </row>
    <row r="12065" spans="1:1" x14ac:dyDescent="0.25">
      <c r="A12065" s="74">
        <v>16857</v>
      </c>
    </row>
    <row r="12066" spans="1:1" x14ac:dyDescent="0.25">
      <c r="A12066" s="74">
        <v>16858</v>
      </c>
    </row>
    <row r="12067" spans="1:1" x14ac:dyDescent="0.25">
      <c r="A12067" s="74">
        <v>16859</v>
      </c>
    </row>
    <row r="12068" spans="1:1" x14ac:dyDescent="0.25">
      <c r="A12068" s="74">
        <v>16860</v>
      </c>
    </row>
    <row r="12069" spans="1:1" x14ac:dyDescent="0.25">
      <c r="A12069" s="74">
        <v>16861</v>
      </c>
    </row>
    <row r="12070" spans="1:1" x14ac:dyDescent="0.25">
      <c r="A12070" s="74">
        <v>16862</v>
      </c>
    </row>
    <row r="12071" spans="1:1" x14ac:dyDescent="0.25">
      <c r="A12071" s="74">
        <v>16863</v>
      </c>
    </row>
    <row r="12072" spans="1:1" x14ac:dyDescent="0.25">
      <c r="A12072" s="74">
        <v>16864</v>
      </c>
    </row>
    <row r="12073" spans="1:1" x14ac:dyDescent="0.25">
      <c r="A12073" s="74">
        <v>16865</v>
      </c>
    </row>
    <row r="12074" spans="1:1" x14ac:dyDescent="0.25">
      <c r="A12074" s="74">
        <v>16866</v>
      </c>
    </row>
    <row r="12075" spans="1:1" x14ac:dyDescent="0.25">
      <c r="A12075" s="74">
        <v>16867</v>
      </c>
    </row>
    <row r="12076" spans="1:1" x14ac:dyDescent="0.25">
      <c r="A12076" s="74">
        <v>16868</v>
      </c>
    </row>
    <row r="12077" spans="1:1" x14ac:dyDescent="0.25">
      <c r="A12077" s="74">
        <v>16869</v>
      </c>
    </row>
    <row r="12078" spans="1:1" x14ac:dyDescent="0.25">
      <c r="A12078" s="74">
        <v>16870</v>
      </c>
    </row>
    <row r="12079" spans="1:1" x14ac:dyDescent="0.25">
      <c r="A12079" s="74">
        <v>16871</v>
      </c>
    </row>
    <row r="12080" spans="1:1" x14ac:dyDescent="0.25">
      <c r="A12080" s="74">
        <v>16872</v>
      </c>
    </row>
    <row r="12081" spans="1:1" x14ac:dyDescent="0.25">
      <c r="A12081" s="74">
        <v>16873</v>
      </c>
    </row>
    <row r="12082" spans="1:1" x14ac:dyDescent="0.25">
      <c r="A12082" s="74">
        <v>16874</v>
      </c>
    </row>
    <row r="12083" spans="1:1" x14ac:dyDescent="0.25">
      <c r="A12083" s="74">
        <v>16875</v>
      </c>
    </row>
    <row r="12084" spans="1:1" x14ac:dyDescent="0.25">
      <c r="A12084" s="74">
        <v>16876</v>
      </c>
    </row>
    <row r="12085" spans="1:1" x14ac:dyDescent="0.25">
      <c r="A12085" s="74">
        <v>16877</v>
      </c>
    </row>
    <row r="12086" spans="1:1" x14ac:dyDescent="0.25">
      <c r="A12086" s="74">
        <v>16878</v>
      </c>
    </row>
    <row r="12087" spans="1:1" x14ac:dyDescent="0.25">
      <c r="A12087" s="74">
        <v>16879</v>
      </c>
    </row>
    <row r="12088" spans="1:1" x14ac:dyDescent="0.25">
      <c r="A12088" s="74">
        <v>16880</v>
      </c>
    </row>
    <row r="12089" spans="1:1" x14ac:dyDescent="0.25">
      <c r="A12089" s="74">
        <v>16881</v>
      </c>
    </row>
    <row r="12090" spans="1:1" x14ac:dyDescent="0.25">
      <c r="A12090" s="74">
        <v>16882</v>
      </c>
    </row>
    <row r="12091" spans="1:1" x14ac:dyDescent="0.25">
      <c r="A12091" s="74">
        <v>16883</v>
      </c>
    </row>
    <row r="12092" spans="1:1" x14ac:dyDescent="0.25">
      <c r="A12092" s="74">
        <v>16884</v>
      </c>
    </row>
    <row r="12093" spans="1:1" x14ac:dyDescent="0.25">
      <c r="A12093" s="74">
        <v>16885</v>
      </c>
    </row>
    <row r="12094" spans="1:1" x14ac:dyDescent="0.25">
      <c r="A12094" s="74">
        <v>16886</v>
      </c>
    </row>
    <row r="12095" spans="1:1" x14ac:dyDescent="0.25">
      <c r="A12095" s="74">
        <v>16887</v>
      </c>
    </row>
    <row r="12096" spans="1:1" x14ac:dyDescent="0.25">
      <c r="A12096" s="74">
        <v>16888</v>
      </c>
    </row>
    <row r="12097" spans="1:1" x14ac:dyDescent="0.25">
      <c r="A12097" s="74">
        <v>16889</v>
      </c>
    </row>
    <row r="12098" spans="1:1" x14ac:dyDescent="0.25">
      <c r="A12098" s="74">
        <v>16890</v>
      </c>
    </row>
    <row r="12099" spans="1:1" x14ac:dyDescent="0.25">
      <c r="A12099" s="74">
        <v>16891</v>
      </c>
    </row>
    <row r="12100" spans="1:1" x14ac:dyDescent="0.25">
      <c r="A12100" s="74">
        <v>16892</v>
      </c>
    </row>
    <row r="12101" spans="1:1" x14ac:dyDescent="0.25">
      <c r="A12101" s="74">
        <v>16893</v>
      </c>
    </row>
    <row r="12102" spans="1:1" x14ac:dyDescent="0.25">
      <c r="A12102" s="74">
        <v>16894</v>
      </c>
    </row>
    <row r="12103" spans="1:1" x14ac:dyDescent="0.25">
      <c r="A12103" s="74">
        <v>16895</v>
      </c>
    </row>
    <row r="12104" spans="1:1" x14ac:dyDescent="0.25">
      <c r="A12104" s="74">
        <v>16896</v>
      </c>
    </row>
    <row r="12105" spans="1:1" x14ac:dyDescent="0.25">
      <c r="A12105" s="74">
        <v>16897</v>
      </c>
    </row>
    <row r="12106" spans="1:1" x14ac:dyDescent="0.25">
      <c r="A12106" s="74">
        <v>16898</v>
      </c>
    </row>
    <row r="12107" spans="1:1" x14ac:dyDescent="0.25">
      <c r="A12107" s="74">
        <v>16899</v>
      </c>
    </row>
    <row r="12108" spans="1:1" x14ac:dyDescent="0.25">
      <c r="A12108" s="74">
        <v>16900</v>
      </c>
    </row>
    <row r="12109" spans="1:1" x14ac:dyDescent="0.25">
      <c r="A12109" s="74">
        <v>16901</v>
      </c>
    </row>
    <row r="12110" spans="1:1" x14ac:dyDescent="0.25">
      <c r="A12110" s="74">
        <v>16902</v>
      </c>
    </row>
    <row r="12111" spans="1:1" x14ac:dyDescent="0.25">
      <c r="A12111" s="74">
        <v>16903</v>
      </c>
    </row>
    <row r="12112" spans="1:1" x14ac:dyDescent="0.25">
      <c r="A12112" s="74">
        <v>16904</v>
      </c>
    </row>
    <row r="12113" spans="1:1" x14ac:dyDescent="0.25">
      <c r="A12113" s="74">
        <v>16905</v>
      </c>
    </row>
    <row r="12114" spans="1:1" x14ac:dyDescent="0.25">
      <c r="A12114" s="74">
        <v>16906</v>
      </c>
    </row>
    <row r="12115" spans="1:1" x14ac:dyDescent="0.25">
      <c r="A12115" s="74">
        <v>16907</v>
      </c>
    </row>
    <row r="12116" spans="1:1" x14ac:dyDescent="0.25">
      <c r="A12116" s="74">
        <v>16908</v>
      </c>
    </row>
    <row r="12117" spans="1:1" x14ac:dyDescent="0.25">
      <c r="A12117" s="74">
        <v>16909</v>
      </c>
    </row>
    <row r="12118" spans="1:1" x14ac:dyDescent="0.25">
      <c r="A12118" s="74">
        <v>16910</v>
      </c>
    </row>
    <row r="12119" spans="1:1" x14ac:dyDescent="0.25">
      <c r="A12119" s="74">
        <v>16911</v>
      </c>
    </row>
    <row r="12120" spans="1:1" x14ac:dyDescent="0.25">
      <c r="A12120" s="74">
        <v>16912</v>
      </c>
    </row>
    <row r="12121" spans="1:1" x14ac:dyDescent="0.25">
      <c r="A12121" s="74">
        <v>16913</v>
      </c>
    </row>
    <row r="12122" spans="1:1" x14ac:dyDescent="0.25">
      <c r="A12122" s="74">
        <v>16914</v>
      </c>
    </row>
    <row r="12123" spans="1:1" x14ac:dyDescent="0.25">
      <c r="A12123" s="74">
        <v>16915</v>
      </c>
    </row>
    <row r="12124" spans="1:1" x14ac:dyDescent="0.25">
      <c r="A12124" s="74">
        <v>16916</v>
      </c>
    </row>
    <row r="12125" spans="1:1" x14ac:dyDescent="0.25">
      <c r="A12125" s="74">
        <v>16917</v>
      </c>
    </row>
    <row r="12126" spans="1:1" x14ac:dyDescent="0.25">
      <c r="A12126" s="74">
        <v>16918</v>
      </c>
    </row>
    <row r="12127" spans="1:1" x14ac:dyDescent="0.25">
      <c r="A12127" s="74">
        <v>16919</v>
      </c>
    </row>
    <row r="12128" spans="1:1" x14ac:dyDescent="0.25">
      <c r="A12128" s="74">
        <v>16920</v>
      </c>
    </row>
    <row r="12129" spans="1:1" x14ac:dyDescent="0.25">
      <c r="A12129" s="74">
        <v>16921</v>
      </c>
    </row>
    <row r="12130" spans="1:1" x14ac:dyDescent="0.25">
      <c r="A12130" s="74">
        <v>16922</v>
      </c>
    </row>
    <row r="12131" spans="1:1" x14ac:dyDescent="0.25">
      <c r="A12131" s="74">
        <v>16923</v>
      </c>
    </row>
    <row r="12132" spans="1:1" x14ac:dyDescent="0.25">
      <c r="A12132" s="74">
        <v>16924</v>
      </c>
    </row>
    <row r="12133" spans="1:1" x14ac:dyDescent="0.25">
      <c r="A12133" s="74">
        <v>16925</v>
      </c>
    </row>
    <row r="12134" spans="1:1" x14ac:dyDescent="0.25">
      <c r="A12134" s="74">
        <v>16926</v>
      </c>
    </row>
    <row r="12135" spans="1:1" x14ac:dyDescent="0.25">
      <c r="A12135" s="74">
        <v>16927</v>
      </c>
    </row>
    <row r="12136" spans="1:1" x14ac:dyDescent="0.25">
      <c r="A12136" s="74">
        <v>16928</v>
      </c>
    </row>
    <row r="12137" spans="1:1" x14ac:dyDescent="0.25">
      <c r="A12137" s="74">
        <v>16929</v>
      </c>
    </row>
    <row r="12138" spans="1:1" x14ac:dyDescent="0.25">
      <c r="A12138" s="74">
        <v>16930</v>
      </c>
    </row>
    <row r="12139" spans="1:1" x14ac:dyDescent="0.25">
      <c r="A12139" s="74">
        <v>16931</v>
      </c>
    </row>
    <row r="12140" spans="1:1" x14ac:dyDescent="0.25">
      <c r="A12140" s="74">
        <v>16932</v>
      </c>
    </row>
    <row r="12141" spans="1:1" x14ac:dyDescent="0.25">
      <c r="A12141" s="74">
        <v>16933</v>
      </c>
    </row>
    <row r="12142" spans="1:1" x14ac:dyDescent="0.25">
      <c r="A12142" s="74">
        <v>16934</v>
      </c>
    </row>
    <row r="12143" spans="1:1" x14ac:dyDescent="0.25">
      <c r="A12143" s="74">
        <v>16935</v>
      </c>
    </row>
    <row r="12144" spans="1:1" x14ac:dyDescent="0.25">
      <c r="A12144" s="74">
        <v>16936</v>
      </c>
    </row>
    <row r="12145" spans="1:1" x14ac:dyDescent="0.25">
      <c r="A12145" s="74">
        <v>16937</v>
      </c>
    </row>
    <row r="12146" spans="1:1" x14ac:dyDescent="0.25">
      <c r="A12146" s="74">
        <v>16938</v>
      </c>
    </row>
    <row r="12147" spans="1:1" x14ac:dyDescent="0.25">
      <c r="A12147" s="74">
        <v>16939</v>
      </c>
    </row>
    <row r="12148" spans="1:1" x14ac:dyDescent="0.25">
      <c r="A12148" s="74">
        <v>16940</v>
      </c>
    </row>
    <row r="12149" spans="1:1" x14ac:dyDescent="0.25">
      <c r="A12149" s="74">
        <v>16941</v>
      </c>
    </row>
    <row r="12150" spans="1:1" x14ac:dyDescent="0.25">
      <c r="A12150" s="74">
        <v>16942</v>
      </c>
    </row>
    <row r="12151" spans="1:1" x14ac:dyDescent="0.25">
      <c r="A12151" s="74">
        <v>16943</v>
      </c>
    </row>
    <row r="12152" spans="1:1" x14ac:dyDescent="0.25">
      <c r="A12152" s="74">
        <v>16944</v>
      </c>
    </row>
    <row r="12153" spans="1:1" x14ac:dyDescent="0.25">
      <c r="A12153" s="74">
        <v>16945</v>
      </c>
    </row>
    <row r="12154" spans="1:1" x14ac:dyDescent="0.25">
      <c r="A12154" s="74">
        <v>16946</v>
      </c>
    </row>
    <row r="12155" spans="1:1" x14ac:dyDescent="0.25">
      <c r="A12155" s="74">
        <v>16947</v>
      </c>
    </row>
    <row r="12156" spans="1:1" x14ac:dyDescent="0.25">
      <c r="A12156" s="74">
        <v>16948</v>
      </c>
    </row>
    <row r="12157" spans="1:1" x14ac:dyDescent="0.25">
      <c r="A12157" s="74">
        <v>16949</v>
      </c>
    </row>
    <row r="12158" spans="1:1" x14ac:dyDescent="0.25">
      <c r="A12158" s="74">
        <v>16950</v>
      </c>
    </row>
    <row r="12159" spans="1:1" x14ac:dyDescent="0.25">
      <c r="A12159" s="74">
        <v>16951</v>
      </c>
    </row>
    <row r="12160" spans="1:1" x14ac:dyDescent="0.25">
      <c r="A12160" s="74">
        <v>16952</v>
      </c>
    </row>
    <row r="12161" spans="1:1" x14ac:dyDescent="0.25">
      <c r="A12161" s="74">
        <v>16953</v>
      </c>
    </row>
    <row r="12162" spans="1:1" x14ac:dyDescent="0.25">
      <c r="A12162" s="74">
        <v>16954</v>
      </c>
    </row>
    <row r="12163" spans="1:1" x14ac:dyDescent="0.25">
      <c r="A12163" s="74">
        <v>16955</v>
      </c>
    </row>
    <row r="12164" spans="1:1" x14ac:dyDescent="0.25">
      <c r="A12164" s="74">
        <v>16956</v>
      </c>
    </row>
    <row r="12165" spans="1:1" x14ac:dyDescent="0.25">
      <c r="A12165" s="74">
        <v>16957</v>
      </c>
    </row>
    <row r="12166" spans="1:1" x14ac:dyDescent="0.25">
      <c r="A12166" s="74">
        <v>16958</v>
      </c>
    </row>
    <row r="12167" spans="1:1" x14ac:dyDescent="0.25">
      <c r="A12167" s="74">
        <v>16959</v>
      </c>
    </row>
    <row r="12168" spans="1:1" x14ac:dyDescent="0.25">
      <c r="A12168" s="74">
        <v>16960</v>
      </c>
    </row>
    <row r="12169" spans="1:1" x14ac:dyDescent="0.25">
      <c r="A12169" s="74">
        <v>16961</v>
      </c>
    </row>
    <row r="12170" spans="1:1" x14ac:dyDescent="0.25">
      <c r="A12170" s="74">
        <v>16962</v>
      </c>
    </row>
    <row r="12171" spans="1:1" x14ac:dyDescent="0.25">
      <c r="A12171" s="74">
        <v>16963</v>
      </c>
    </row>
    <row r="12172" spans="1:1" x14ac:dyDescent="0.25">
      <c r="A12172" s="74">
        <v>16964</v>
      </c>
    </row>
    <row r="12173" spans="1:1" x14ac:dyDescent="0.25">
      <c r="A12173" s="74">
        <v>16965</v>
      </c>
    </row>
    <row r="12174" spans="1:1" x14ac:dyDescent="0.25">
      <c r="A12174" s="74">
        <v>16966</v>
      </c>
    </row>
    <row r="12175" spans="1:1" x14ac:dyDescent="0.25">
      <c r="A12175" s="74">
        <v>16967</v>
      </c>
    </row>
    <row r="12176" spans="1:1" x14ac:dyDescent="0.25">
      <c r="A12176" s="74">
        <v>16968</v>
      </c>
    </row>
    <row r="12177" spans="1:1" x14ac:dyDescent="0.25">
      <c r="A12177" s="74">
        <v>16969</v>
      </c>
    </row>
    <row r="12178" spans="1:1" x14ac:dyDescent="0.25">
      <c r="A12178" s="74">
        <v>16970</v>
      </c>
    </row>
    <row r="12179" spans="1:1" x14ac:dyDescent="0.25">
      <c r="A12179" s="74">
        <v>16971</v>
      </c>
    </row>
    <row r="12180" spans="1:1" x14ac:dyDescent="0.25">
      <c r="A12180" s="74">
        <v>16972</v>
      </c>
    </row>
    <row r="12181" spans="1:1" x14ac:dyDescent="0.25">
      <c r="A12181" s="74">
        <v>16973</v>
      </c>
    </row>
    <row r="12182" spans="1:1" x14ac:dyDescent="0.25">
      <c r="A12182" s="74">
        <v>16974</v>
      </c>
    </row>
    <row r="12183" spans="1:1" x14ac:dyDescent="0.25">
      <c r="A12183" s="74">
        <v>16975</v>
      </c>
    </row>
    <row r="12184" spans="1:1" x14ac:dyDescent="0.25">
      <c r="A12184" s="74">
        <v>16976</v>
      </c>
    </row>
    <row r="12185" spans="1:1" x14ac:dyDescent="0.25">
      <c r="A12185" s="74">
        <v>16977</v>
      </c>
    </row>
    <row r="12186" spans="1:1" x14ac:dyDescent="0.25">
      <c r="A12186" s="74">
        <v>16978</v>
      </c>
    </row>
    <row r="12187" spans="1:1" x14ac:dyDescent="0.25">
      <c r="A12187" s="74">
        <v>16979</v>
      </c>
    </row>
    <row r="12188" spans="1:1" x14ac:dyDescent="0.25">
      <c r="A12188" s="74">
        <v>16980</v>
      </c>
    </row>
    <row r="12189" spans="1:1" x14ac:dyDescent="0.25">
      <c r="A12189" s="74">
        <v>16981</v>
      </c>
    </row>
    <row r="12190" spans="1:1" x14ac:dyDescent="0.25">
      <c r="A12190" s="74">
        <v>16982</v>
      </c>
    </row>
    <row r="12191" spans="1:1" x14ac:dyDescent="0.25">
      <c r="A12191" s="74">
        <v>16983</v>
      </c>
    </row>
    <row r="12192" spans="1:1" x14ac:dyDescent="0.25">
      <c r="A12192" s="74">
        <v>16984</v>
      </c>
    </row>
    <row r="12193" spans="1:1" x14ac:dyDescent="0.25">
      <c r="A12193" s="74">
        <v>16985</v>
      </c>
    </row>
    <row r="12194" spans="1:1" x14ac:dyDescent="0.25">
      <c r="A12194" s="74">
        <v>16986</v>
      </c>
    </row>
    <row r="12195" spans="1:1" x14ac:dyDescent="0.25">
      <c r="A12195" s="74">
        <v>16987</v>
      </c>
    </row>
    <row r="12196" spans="1:1" x14ac:dyDescent="0.25">
      <c r="A12196" s="74">
        <v>16988</v>
      </c>
    </row>
    <row r="12197" spans="1:1" x14ac:dyDescent="0.25">
      <c r="A12197" s="74">
        <v>16989</v>
      </c>
    </row>
    <row r="12198" spans="1:1" x14ac:dyDescent="0.25">
      <c r="A12198" s="74">
        <v>16990</v>
      </c>
    </row>
    <row r="12199" spans="1:1" x14ac:dyDescent="0.25">
      <c r="A12199" s="74">
        <v>16991</v>
      </c>
    </row>
    <row r="12200" spans="1:1" x14ac:dyDescent="0.25">
      <c r="A12200" s="74">
        <v>16992</v>
      </c>
    </row>
    <row r="12201" spans="1:1" x14ac:dyDescent="0.25">
      <c r="A12201" s="74">
        <v>16993</v>
      </c>
    </row>
    <row r="12202" spans="1:1" x14ac:dyDescent="0.25">
      <c r="A12202" s="74">
        <v>16994</v>
      </c>
    </row>
    <row r="12203" spans="1:1" x14ac:dyDescent="0.25">
      <c r="A12203" s="74">
        <v>16995</v>
      </c>
    </row>
    <row r="12204" spans="1:1" x14ac:dyDescent="0.25">
      <c r="A12204" s="74">
        <v>16996</v>
      </c>
    </row>
    <row r="12205" spans="1:1" x14ac:dyDescent="0.25">
      <c r="A12205" s="74">
        <v>16997</v>
      </c>
    </row>
    <row r="12206" spans="1:1" x14ac:dyDescent="0.25">
      <c r="A12206" s="74">
        <v>16998</v>
      </c>
    </row>
    <row r="12207" spans="1:1" x14ac:dyDescent="0.25">
      <c r="A12207" s="74">
        <v>16999</v>
      </c>
    </row>
    <row r="12208" spans="1:1" x14ac:dyDescent="0.25">
      <c r="A12208" s="74">
        <v>17000</v>
      </c>
    </row>
    <row r="12209" spans="1:1" x14ac:dyDescent="0.25">
      <c r="A12209" s="74">
        <v>17001</v>
      </c>
    </row>
    <row r="12210" spans="1:1" x14ac:dyDescent="0.25">
      <c r="A12210" s="74">
        <v>17002</v>
      </c>
    </row>
    <row r="12211" spans="1:1" x14ac:dyDescent="0.25">
      <c r="A12211" s="74">
        <v>17003</v>
      </c>
    </row>
    <row r="12212" spans="1:1" x14ac:dyDescent="0.25">
      <c r="A12212" s="74">
        <v>17004</v>
      </c>
    </row>
    <row r="12213" spans="1:1" x14ac:dyDescent="0.25">
      <c r="A12213" s="74">
        <v>17005</v>
      </c>
    </row>
    <row r="12214" spans="1:1" x14ac:dyDescent="0.25">
      <c r="A12214" s="74">
        <v>17006</v>
      </c>
    </row>
    <row r="12215" spans="1:1" x14ac:dyDescent="0.25">
      <c r="A12215" s="74">
        <v>17007</v>
      </c>
    </row>
    <row r="12216" spans="1:1" x14ac:dyDescent="0.25">
      <c r="A12216" s="74">
        <v>17008</v>
      </c>
    </row>
    <row r="12217" spans="1:1" x14ac:dyDescent="0.25">
      <c r="A12217" s="74">
        <v>17009</v>
      </c>
    </row>
    <row r="12218" spans="1:1" x14ac:dyDescent="0.25">
      <c r="A12218" s="74">
        <v>17010</v>
      </c>
    </row>
    <row r="12219" spans="1:1" x14ac:dyDescent="0.25">
      <c r="A12219" s="74">
        <v>17011</v>
      </c>
    </row>
    <row r="12220" spans="1:1" x14ac:dyDescent="0.25">
      <c r="A12220" s="74">
        <v>17012</v>
      </c>
    </row>
    <row r="12221" spans="1:1" x14ac:dyDescent="0.25">
      <c r="A12221" s="74">
        <v>17013</v>
      </c>
    </row>
    <row r="12222" spans="1:1" x14ac:dyDescent="0.25">
      <c r="A12222" s="74">
        <v>17014</v>
      </c>
    </row>
    <row r="12223" spans="1:1" x14ac:dyDescent="0.25">
      <c r="A12223" s="74">
        <v>17015</v>
      </c>
    </row>
    <row r="12224" spans="1:1" x14ac:dyDescent="0.25">
      <c r="A12224" s="74">
        <v>17016</v>
      </c>
    </row>
    <row r="12225" spans="1:1" x14ac:dyDescent="0.25">
      <c r="A12225" s="74">
        <v>17017</v>
      </c>
    </row>
    <row r="12226" spans="1:1" x14ac:dyDescent="0.25">
      <c r="A12226" s="74">
        <v>17018</v>
      </c>
    </row>
    <row r="12227" spans="1:1" x14ac:dyDescent="0.25">
      <c r="A12227" s="74">
        <v>17019</v>
      </c>
    </row>
    <row r="12228" spans="1:1" x14ac:dyDescent="0.25">
      <c r="A12228" s="74">
        <v>17020</v>
      </c>
    </row>
    <row r="12229" spans="1:1" x14ac:dyDescent="0.25">
      <c r="A12229" s="74">
        <v>17021</v>
      </c>
    </row>
    <row r="12230" spans="1:1" x14ac:dyDescent="0.25">
      <c r="A12230" s="74">
        <v>17022</v>
      </c>
    </row>
    <row r="12231" spans="1:1" x14ac:dyDescent="0.25">
      <c r="A12231" s="74">
        <v>17023</v>
      </c>
    </row>
    <row r="12232" spans="1:1" x14ac:dyDescent="0.25">
      <c r="A12232" s="74">
        <v>17024</v>
      </c>
    </row>
    <row r="12233" spans="1:1" x14ac:dyDescent="0.25">
      <c r="A12233" s="74">
        <v>17025</v>
      </c>
    </row>
    <row r="12234" spans="1:1" x14ac:dyDescent="0.25">
      <c r="A12234" s="74">
        <v>17026</v>
      </c>
    </row>
    <row r="12235" spans="1:1" x14ac:dyDescent="0.25">
      <c r="A12235" s="74">
        <v>17027</v>
      </c>
    </row>
    <row r="12236" spans="1:1" x14ac:dyDescent="0.25">
      <c r="A12236" s="74">
        <v>17028</v>
      </c>
    </row>
    <row r="12237" spans="1:1" x14ac:dyDescent="0.25">
      <c r="A12237" s="74">
        <v>17029</v>
      </c>
    </row>
    <row r="12238" spans="1:1" x14ac:dyDescent="0.25">
      <c r="A12238" s="74">
        <v>17030</v>
      </c>
    </row>
    <row r="12239" spans="1:1" x14ac:dyDescent="0.25">
      <c r="A12239" s="74">
        <v>17031</v>
      </c>
    </row>
    <row r="12240" spans="1:1" x14ac:dyDescent="0.25">
      <c r="A12240" s="74">
        <v>17032</v>
      </c>
    </row>
    <row r="12241" spans="1:1" x14ac:dyDescent="0.25">
      <c r="A12241" s="74">
        <v>17033</v>
      </c>
    </row>
    <row r="12242" spans="1:1" x14ac:dyDescent="0.25">
      <c r="A12242" s="74">
        <v>17034</v>
      </c>
    </row>
    <row r="12243" spans="1:1" x14ac:dyDescent="0.25">
      <c r="A12243" s="74">
        <v>17035</v>
      </c>
    </row>
    <row r="12244" spans="1:1" x14ac:dyDescent="0.25">
      <c r="A12244" s="74">
        <v>17036</v>
      </c>
    </row>
    <row r="12245" spans="1:1" x14ac:dyDescent="0.25">
      <c r="A12245" s="74">
        <v>17037</v>
      </c>
    </row>
    <row r="12246" spans="1:1" x14ac:dyDescent="0.25">
      <c r="A12246" s="74">
        <v>17038</v>
      </c>
    </row>
    <row r="12247" spans="1:1" x14ac:dyDescent="0.25">
      <c r="A12247" s="74">
        <v>17039</v>
      </c>
    </row>
    <row r="12248" spans="1:1" x14ac:dyDescent="0.25">
      <c r="A12248" s="74">
        <v>17040</v>
      </c>
    </row>
    <row r="12249" spans="1:1" x14ac:dyDescent="0.25">
      <c r="A12249" s="74">
        <v>17041</v>
      </c>
    </row>
    <row r="12250" spans="1:1" x14ac:dyDescent="0.25">
      <c r="A12250" s="74">
        <v>17042</v>
      </c>
    </row>
    <row r="12251" spans="1:1" x14ac:dyDescent="0.25">
      <c r="A12251" s="74">
        <v>17043</v>
      </c>
    </row>
    <row r="12252" spans="1:1" x14ac:dyDescent="0.25">
      <c r="A12252" s="74">
        <v>17044</v>
      </c>
    </row>
    <row r="12253" spans="1:1" x14ac:dyDescent="0.25">
      <c r="A12253" s="74">
        <v>17045</v>
      </c>
    </row>
    <row r="12254" spans="1:1" x14ac:dyDescent="0.25">
      <c r="A12254" s="74">
        <v>17046</v>
      </c>
    </row>
    <row r="12255" spans="1:1" x14ac:dyDescent="0.25">
      <c r="A12255" s="74">
        <v>17047</v>
      </c>
    </row>
    <row r="12256" spans="1:1" x14ac:dyDescent="0.25">
      <c r="A12256" s="74">
        <v>17048</v>
      </c>
    </row>
    <row r="12257" spans="1:1" x14ac:dyDescent="0.25">
      <c r="A12257" s="74">
        <v>17049</v>
      </c>
    </row>
    <row r="12258" spans="1:1" x14ac:dyDescent="0.25">
      <c r="A12258" s="74">
        <v>17050</v>
      </c>
    </row>
    <row r="12259" spans="1:1" x14ac:dyDescent="0.25">
      <c r="A12259" s="74">
        <v>17051</v>
      </c>
    </row>
    <row r="12260" spans="1:1" x14ac:dyDescent="0.25">
      <c r="A12260" s="74">
        <v>17052</v>
      </c>
    </row>
    <row r="12261" spans="1:1" x14ac:dyDescent="0.25">
      <c r="A12261" s="74">
        <v>17053</v>
      </c>
    </row>
    <row r="12262" spans="1:1" x14ac:dyDescent="0.25">
      <c r="A12262" s="74">
        <v>17054</v>
      </c>
    </row>
    <row r="12263" spans="1:1" x14ac:dyDescent="0.25">
      <c r="A12263" s="74">
        <v>17055</v>
      </c>
    </row>
    <row r="12264" spans="1:1" x14ac:dyDescent="0.25">
      <c r="A12264" s="74">
        <v>17056</v>
      </c>
    </row>
    <row r="12265" spans="1:1" x14ac:dyDescent="0.25">
      <c r="A12265" s="74">
        <v>17057</v>
      </c>
    </row>
    <row r="12266" spans="1:1" x14ac:dyDescent="0.25">
      <c r="A12266" s="74">
        <v>17058</v>
      </c>
    </row>
    <row r="12267" spans="1:1" x14ac:dyDescent="0.25">
      <c r="A12267" s="74">
        <v>17059</v>
      </c>
    </row>
    <row r="12268" spans="1:1" x14ac:dyDescent="0.25">
      <c r="A12268" s="74">
        <v>17060</v>
      </c>
    </row>
    <row r="12269" spans="1:1" x14ac:dyDescent="0.25">
      <c r="A12269" s="74">
        <v>17061</v>
      </c>
    </row>
    <row r="12270" spans="1:1" x14ac:dyDescent="0.25">
      <c r="A12270" s="74">
        <v>17062</v>
      </c>
    </row>
    <row r="12271" spans="1:1" x14ac:dyDescent="0.25">
      <c r="A12271" s="74">
        <v>17063</v>
      </c>
    </row>
    <row r="12272" spans="1:1" x14ac:dyDescent="0.25">
      <c r="A12272" s="74">
        <v>17064</v>
      </c>
    </row>
    <row r="12273" spans="1:1" x14ac:dyDescent="0.25">
      <c r="A12273" s="74">
        <v>17065</v>
      </c>
    </row>
    <row r="12274" spans="1:1" x14ac:dyDescent="0.25">
      <c r="A12274" s="74">
        <v>17066</v>
      </c>
    </row>
    <row r="12275" spans="1:1" x14ac:dyDescent="0.25">
      <c r="A12275" s="74">
        <v>17067</v>
      </c>
    </row>
    <row r="12276" spans="1:1" x14ac:dyDescent="0.25">
      <c r="A12276" s="74">
        <v>17068</v>
      </c>
    </row>
    <row r="12277" spans="1:1" x14ac:dyDescent="0.25">
      <c r="A12277" s="74">
        <v>17069</v>
      </c>
    </row>
    <row r="12278" spans="1:1" x14ac:dyDescent="0.25">
      <c r="A12278" s="74">
        <v>17070</v>
      </c>
    </row>
    <row r="12279" spans="1:1" x14ac:dyDescent="0.25">
      <c r="A12279" s="74">
        <v>17071</v>
      </c>
    </row>
    <row r="12280" spans="1:1" x14ac:dyDescent="0.25">
      <c r="A12280" s="74">
        <v>17072</v>
      </c>
    </row>
    <row r="12281" spans="1:1" x14ac:dyDescent="0.25">
      <c r="A12281" s="74">
        <v>17073</v>
      </c>
    </row>
    <row r="12282" spans="1:1" x14ac:dyDescent="0.25">
      <c r="A12282" s="74">
        <v>17074</v>
      </c>
    </row>
    <row r="12283" spans="1:1" x14ac:dyDescent="0.25">
      <c r="A12283" s="74">
        <v>17075</v>
      </c>
    </row>
    <row r="12284" spans="1:1" x14ac:dyDescent="0.25">
      <c r="A12284" s="74">
        <v>17076</v>
      </c>
    </row>
    <row r="12285" spans="1:1" x14ac:dyDescent="0.25">
      <c r="A12285" s="74">
        <v>17077</v>
      </c>
    </row>
    <row r="12286" spans="1:1" x14ac:dyDescent="0.25">
      <c r="A12286" s="74">
        <v>17078</v>
      </c>
    </row>
    <row r="12287" spans="1:1" x14ac:dyDescent="0.25">
      <c r="A12287" s="74">
        <v>17079</v>
      </c>
    </row>
    <row r="12288" spans="1:1" x14ac:dyDescent="0.25">
      <c r="A12288" s="74">
        <v>17080</v>
      </c>
    </row>
    <row r="12289" spans="1:1" x14ac:dyDescent="0.25">
      <c r="A12289" s="74">
        <v>17081</v>
      </c>
    </row>
    <row r="12290" spans="1:1" x14ac:dyDescent="0.25">
      <c r="A12290" s="74">
        <v>17082</v>
      </c>
    </row>
    <row r="12291" spans="1:1" x14ac:dyDescent="0.25">
      <c r="A12291" s="74">
        <v>17083</v>
      </c>
    </row>
    <row r="12292" spans="1:1" x14ac:dyDescent="0.25">
      <c r="A12292" s="74">
        <v>17084</v>
      </c>
    </row>
    <row r="12293" spans="1:1" x14ac:dyDescent="0.25">
      <c r="A12293" s="74">
        <v>17085</v>
      </c>
    </row>
    <row r="12294" spans="1:1" x14ac:dyDescent="0.25">
      <c r="A12294" s="74">
        <v>17086</v>
      </c>
    </row>
    <row r="12295" spans="1:1" x14ac:dyDescent="0.25">
      <c r="A12295" s="74">
        <v>17087</v>
      </c>
    </row>
    <row r="12296" spans="1:1" x14ac:dyDescent="0.25">
      <c r="A12296" s="74">
        <v>17088</v>
      </c>
    </row>
    <row r="12297" spans="1:1" x14ac:dyDescent="0.25">
      <c r="A12297" s="74">
        <v>17089</v>
      </c>
    </row>
    <row r="12298" spans="1:1" x14ac:dyDescent="0.25">
      <c r="A12298" s="74">
        <v>17090</v>
      </c>
    </row>
    <row r="12299" spans="1:1" x14ac:dyDescent="0.25">
      <c r="A12299" s="74">
        <v>17091</v>
      </c>
    </row>
    <row r="12300" spans="1:1" x14ac:dyDescent="0.25">
      <c r="A12300" s="74">
        <v>17092</v>
      </c>
    </row>
    <row r="12301" spans="1:1" x14ac:dyDescent="0.25">
      <c r="A12301" s="74">
        <v>17093</v>
      </c>
    </row>
    <row r="12302" spans="1:1" x14ac:dyDescent="0.25">
      <c r="A12302" s="74">
        <v>17094</v>
      </c>
    </row>
    <row r="12303" spans="1:1" x14ac:dyDescent="0.25">
      <c r="A12303" s="74">
        <v>17095</v>
      </c>
    </row>
    <row r="12304" spans="1:1" x14ac:dyDescent="0.25">
      <c r="A12304" s="74">
        <v>17096</v>
      </c>
    </row>
    <row r="12305" spans="1:1" x14ac:dyDescent="0.25">
      <c r="A12305" s="74">
        <v>17097</v>
      </c>
    </row>
    <row r="12306" spans="1:1" x14ac:dyDescent="0.25">
      <c r="A12306" s="74">
        <v>17098</v>
      </c>
    </row>
    <row r="12307" spans="1:1" x14ac:dyDescent="0.25">
      <c r="A12307" s="74">
        <v>17099</v>
      </c>
    </row>
    <row r="12308" spans="1:1" x14ac:dyDescent="0.25">
      <c r="A12308" s="74">
        <v>17100</v>
      </c>
    </row>
    <row r="12309" spans="1:1" x14ac:dyDescent="0.25">
      <c r="A12309" s="74">
        <v>17101</v>
      </c>
    </row>
    <row r="12310" spans="1:1" x14ac:dyDescent="0.25">
      <c r="A12310" s="74">
        <v>17102</v>
      </c>
    </row>
    <row r="12311" spans="1:1" x14ac:dyDescent="0.25">
      <c r="A12311" s="74">
        <v>17103</v>
      </c>
    </row>
    <row r="12312" spans="1:1" x14ac:dyDescent="0.25">
      <c r="A12312" s="74">
        <v>17104</v>
      </c>
    </row>
    <row r="12313" spans="1:1" x14ac:dyDescent="0.25">
      <c r="A12313" s="74">
        <v>17105</v>
      </c>
    </row>
    <row r="12314" spans="1:1" x14ac:dyDescent="0.25">
      <c r="A12314" s="74">
        <v>17106</v>
      </c>
    </row>
    <row r="12315" spans="1:1" x14ac:dyDescent="0.25">
      <c r="A12315" s="74">
        <v>17107</v>
      </c>
    </row>
    <row r="12316" spans="1:1" x14ac:dyDescent="0.25">
      <c r="A12316" s="74">
        <v>17108</v>
      </c>
    </row>
    <row r="12317" spans="1:1" x14ac:dyDescent="0.25">
      <c r="A12317" s="74">
        <v>17109</v>
      </c>
    </row>
    <row r="12318" spans="1:1" x14ac:dyDescent="0.25">
      <c r="A12318" s="74">
        <v>17110</v>
      </c>
    </row>
    <row r="12319" spans="1:1" x14ac:dyDescent="0.25">
      <c r="A12319" s="74">
        <v>17111</v>
      </c>
    </row>
    <row r="12320" spans="1:1" x14ac:dyDescent="0.25">
      <c r="A12320" s="74">
        <v>17112</v>
      </c>
    </row>
    <row r="12321" spans="1:1" x14ac:dyDescent="0.25">
      <c r="A12321" s="74">
        <v>17113</v>
      </c>
    </row>
    <row r="12322" spans="1:1" x14ac:dyDescent="0.25">
      <c r="A12322" s="74">
        <v>17114</v>
      </c>
    </row>
    <row r="12323" spans="1:1" x14ac:dyDescent="0.25">
      <c r="A12323" s="74">
        <v>17115</v>
      </c>
    </row>
    <row r="12324" spans="1:1" x14ac:dyDescent="0.25">
      <c r="A12324" s="74">
        <v>17116</v>
      </c>
    </row>
    <row r="12325" spans="1:1" x14ac:dyDescent="0.25">
      <c r="A12325" s="74">
        <v>17117</v>
      </c>
    </row>
    <row r="12326" spans="1:1" x14ac:dyDescent="0.25">
      <c r="A12326" s="74">
        <v>17118</v>
      </c>
    </row>
    <row r="12327" spans="1:1" x14ac:dyDescent="0.25">
      <c r="A12327" s="74">
        <v>17119</v>
      </c>
    </row>
    <row r="12328" spans="1:1" x14ac:dyDescent="0.25">
      <c r="A12328" s="74">
        <v>17120</v>
      </c>
    </row>
    <row r="12329" spans="1:1" x14ac:dyDescent="0.25">
      <c r="A12329" s="74">
        <v>17121</v>
      </c>
    </row>
    <row r="12330" spans="1:1" x14ac:dyDescent="0.25">
      <c r="A12330" s="74">
        <v>17122</v>
      </c>
    </row>
    <row r="12331" spans="1:1" x14ac:dyDescent="0.25">
      <c r="A12331" s="74">
        <v>17123</v>
      </c>
    </row>
    <row r="12332" spans="1:1" x14ac:dyDescent="0.25">
      <c r="A12332" s="74">
        <v>17124</v>
      </c>
    </row>
    <row r="12333" spans="1:1" x14ac:dyDescent="0.25">
      <c r="A12333" s="74">
        <v>17125</v>
      </c>
    </row>
    <row r="12334" spans="1:1" x14ac:dyDescent="0.25">
      <c r="A12334" s="74">
        <v>17126</v>
      </c>
    </row>
    <row r="12335" spans="1:1" x14ac:dyDescent="0.25">
      <c r="A12335" s="74">
        <v>17127</v>
      </c>
    </row>
    <row r="12336" spans="1:1" x14ac:dyDescent="0.25">
      <c r="A12336" s="74">
        <v>17128</v>
      </c>
    </row>
    <row r="12337" spans="1:1" x14ac:dyDescent="0.25">
      <c r="A12337" s="74">
        <v>17129</v>
      </c>
    </row>
    <row r="12338" spans="1:1" x14ac:dyDescent="0.25">
      <c r="A12338" s="74">
        <v>17130</v>
      </c>
    </row>
    <row r="12339" spans="1:1" x14ac:dyDescent="0.25">
      <c r="A12339" s="74">
        <v>17131</v>
      </c>
    </row>
    <row r="12340" spans="1:1" x14ac:dyDescent="0.25">
      <c r="A12340" s="74">
        <v>17132</v>
      </c>
    </row>
    <row r="12341" spans="1:1" x14ac:dyDescent="0.25">
      <c r="A12341" s="74">
        <v>17133</v>
      </c>
    </row>
    <row r="12342" spans="1:1" x14ac:dyDescent="0.25">
      <c r="A12342" s="74">
        <v>17134</v>
      </c>
    </row>
    <row r="12343" spans="1:1" x14ac:dyDescent="0.25">
      <c r="A12343" s="74">
        <v>17135</v>
      </c>
    </row>
    <row r="12344" spans="1:1" x14ac:dyDescent="0.25">
      <c r="A12344" s="74">
        <v>17136</v>
      </c>
    </row>
    <row r="12345" spans="1:1" x14ac:dyDescent="0.25">
      <c r="A12345" s="74">
        <v>17137</v>
      </c>
    </row>
    <row r="12346" spans="1:1" x14ac:dyDescent="0.25">
      <c r="A12346" s="74">
        <v>17138</v>
      </c>
    </row>
    <row r="12347" spans="1:1" x14ac:dyDescent="0.25">
      <c r="A12347" s="74">
        <v>17139</v>
      </c>
    </row>
    <row r="12348" spans="1:1" x14ac:dyDescent="0.25">
      <c r="A12348" s="74">
        <v>17140</v>
      </c>
    </row>
    <row r="12349" spans="1:1" x14ac:dyDescent="0.25">
      <c r="A12349" s="74">
        <v>17141</v>
      </c>
    </row>
    <row r="12350" spans="1:1" x14ac:dyDescent="0.25">
      <c r="A12350" s="74">
        <v>17142</v>
      </c>
    </row>
    <row r="12351" spans="1:1" x14ac:dyDescent="0.25">
      <c r="A12351" s="74">
        <v>17143</v>
      </c>
    </row>
    <row r="12352" spans="1:1" x14ac:dyDescent="0.25">
      <c r="A12352" s="74">
        <v>17144</v>
      </c>
    </row>
    <row r="12353" spans="1:1" x14ac:dyDescent="0.25">
      <c r="A12353" s="74">
        <v>17145</v>
      </c>
    </row>
    <row r="12354" spans="1:1" x14ac:dyDescent="0.25">
      <c r="A12354" s="74">
        <v>17146</v>
      </c>
    </row>
    <row r="12355" spans="1:1" x14ac:dyDescent="0.25">
      <c r="A12355" s="74">
        <v>17147</v>
      </c>
    </row>
    <row r="12356" spans="1:1" x14ac:dyDescent="0.25">
      <c r="A12356" s="74">
        <v>17148</v>
      </c>
    </row>
    <row r="12357" spans="1:1" x14ac:dyDescent="0.25">
      <c r="A12357" s="74">
        <v>17149</v>
      </c>
    </row>
    <row r="12358" spans="1:1" x14ac:dyDescent="0.25">
      <c r="A12358" s="74">
        <v>17150</v>
      </c>
    </row>
    <row r="12359" spans="1:1" x14ac:dyDescent="0.25">
      <c r="A12359" s="74">
        <v>17151</v>
      </c>
    </row>
    <row r="12360" spans="1:1" x14ac:dyDescent="0.25">
      <c r="A12360" s="74">
        <v>17152</v>
      </c>
    </row>
    <row r="12361" spans="1:1" x14ac:dyDescent="0.25">
      <c r="A12361" s="74">
        <v>17153</v>
      </c>
    </row>
    <row r="12362" spans="1:1" x14ac:dyDescent="0.25">
      <c r="A12362" s="74">
        <v>17154</v>
      </c>
    </row>
    <row r="12363" spans="1:1" x14ac:dyDescent="0.25">
      <c r="A12363" s="74">
        <v>17155</v>
      </c>
    </row>
    <row r="12364" spans="1:1" x14ac:dyDescent="0.25">
      <c r="A12364" s="74">
        <v>17156</v>
      </c>
    </row>
    <row r="12365" spans="1:1" x14ac:dyDescent="0.25">
      <c r="A12365" s="74">
        <v>17157</v>
      </c>
    </row>
    <row r="12366" spans="1:1" x14ac:dyDescent="0.25">
      <c r="A12366" s="74">
        <v>17158</v>
      </c>
    </row>
    <row r="12367" spans="1:1" x14ac:dyDescent="0.25">
      <c r="A12367" s="74">
        <v>17159</v>
      </c>
    </row>
    <row r="12368" spans="1:1" x14ac:dyDescent="0.25">
      <c r="A12368" s="74">
        <v>17160</v>
      </c>
    </row>
    <row r="12369" spans="1:1" x14ac:dyDescent="0.25">
      <c r="A12369" s="74">
        <v>17161</v>
      </c>
    </row>
    <row r="12370" spans="1:1" x14ac:dyDescent="0.25">
      <c r="A12370" s="74">
        <v>17162</v>
      </c>
    </row>
    <row r="12371" spans="1:1" x14ac:dyDescent="0.25">
      <c r="A12371" s="74">
        <v>17163</v>
      </c>
    </row>
    <row r="12372" spans="1:1" x14ac:dyDescent="0.25">
      <c r="A12372" s="74">
        <v>17164</v>
      </c>
    </row>
    <row r="12373" spans="1:1" x14ac:dyDescent="0.25">
      <c r="A12373" s="74">
        <v>17165</v>
      </c>
    </row>
    <row r="12374" spans="1:1" x14ac:dyDescent="0.25">
      <c r="A12374" s="74">
        <v>17166</v>
      </c>
    </row>
    <row r="12375" spans="1:1" x14ac:dyDescent="0.25">
      <c r="A12375" s="74">
        <v>17167</v>
      </c>
    </row>
    <row r="12376" spans="1:1" x14ac:dyDescent="0.25">
      <c r="A12376" s="74">
        <v>17168</v>
      </c>
    </row>
    <row r="12377" spans="1:1" x14ac:dyDescent="0.25">
      <c r="A12377" s="74">
        <v>17169</v>
      </c>
    </row>
    <row r="12378" spans="1:1" x14ac:dyDescent="0.25">
      <c r="A12378" s="74">
        <v>17170</v>
      </c>
    </row>
    <row r="12379" spans="1:1" x14ac:dyDescent="0.25">
      <c r="A12379" s="74">
        <v>17171</v>
      </c>
    </row>
    <row r="12380" spans="1:1" x14ac:dyDescent="0.25">
      <c r="A12380" s="74">
        <v>17172</v>
      </c>
    </row>
    <row r="12381" spans="1:1" x14ac:dyDescent="0.25">
      <c r="A12381" s="74">
        <v>17173</v>
      </c>
    </row>
    <row r="12382" spans="1:1" x14ac:dyDescent="0.25">
      <c r="A12382" s="74">
        <v>17174</v>
      </c>
    </row>
    <row r="12383" spans="1:1" x14ac:dyDescent="0.25">
      <c r="A12383" s="74">
        <v>17175</v>
      </c>
    </row>
    <row r="12384" spans="1:1" x14ac:dyDescent="0.25">
      <c r="A12384" s="74">
        <v>17176</v>
      </c>
    </row>
    <row r="12385" spans="1:1" x14ac:dyDescent="0.25">
      <c r="A12385" s="74">
        <v>17177</v>
      </c>
    </row>
    <row r="12386" spans="1:1" x14ac:dyDescent="0.25">
      <c r="A12386" s="74">
        <v>17178</v>
      </c>
    </row>
    <row r="12387" spans="1:1" x14ac:dyDescent="0.25">
      <c r="A12387" s="74">
        <v>17179</v>
      </c>
    </row>
    <row r="12388" spans="1:1" x14ac:dyDescent="0.25">
      <c r="A12388" s="74">
        <v>17180</v>
      </c>
    </row>
    <row r="12389" spans="1:1" x14ac:dyDescent="0.25">
      <c r="A12389" s="74">
        <v>17181</v>
      </c>
    </row>
    <row r="12390" spans="1:1" x14ac:dyDescent="0.25">
      <c r="A12390" s="74">
        <v>17182</v>
      </c>
    </row>
    <row r="12391" spans="1:1" x14ac:dyDescent="0.25">
      <c r="A12391" s="74">
        <v>17183</v>
      </c>
    </row>
    <row r="12392" spans="1:1" x14ac:dyDescent="0.25">
      <c r="A12392" s="74">
        <v>17184</v>
      </c>
    </row>
    <row r="12393" spans="1:1" x14ac:dyDescent="0.25">
      <c r="A12393" s="74">
        <v>17185</v>
      </c>
    </row>
    <row r="12394" spans="1:1" x14ac:dyDescent="0.25">
      <c r="A12394" s="74">
        <v>17186</v>
      </c>
    </row>
    <row r="12395" spans="1:1" x14ac:dyDescent="0.25">
      <c r="A12395" s="74">
        <v>17187</v>
      </c>
    </row>
    <row r="12396" spans="1:1" x14ac:dyDescent="0.25">
      <c r="A12396" s="74">
        <v>17188</v>
      </c>
    </row>
    <row r="12397" spans="1:1" x14ac:dyDescent="0.25">
      <c r="A12397" s="74">
        <v>17189</v>
      </c>
    </row>
    <row r="12398" spans="1:1" x14ac:dyDescent="0.25">
      <c r="A12398" s="74">
        <v>17190</v>
      </c>
    </row>
    <row r="12399" spans="1:1" x14ac:dyDescent="0.25">
      <c r="A12399" s="74">
        <v>17191</v>
      </c>
    </row>
    <row r="12400" spans="1:1" x14ac:dyDescent="0.25">
      <c r="A12400" s="74">
        <v>17192</v>
      </c>
    </row>
    <row r="12401" spans="1:1" x14ac:dyDescent="0.25">
      <c r="A12401" s="74">
        <v>17193</v>
      </c>
    </row>
    <row r="12402" spans="1:1" x14ac:dyDescent="0.25">
      <c r="A12402" s="74">
        <v>17194</v>
      </c>
    </row>
    <row r="12403" spans="1:1" x14ac:dyDescent="0.25">
      <c r="A12403" s="74">
        <v>17195</v>
      </c>
    </row>
    <row r="12404" spans="1:1" x14ac:dyDescent="0.25">
      <c r="A12404" s="74">
        <v>17196</v>
      </c>
    </row>
    <row r="12405" spans="1:1" x14ac:dyDescent="0.25">
      <c r="A12405" s="74">
        <v>17197</v>
      </c>
    </row>
    <row r="12406" spans="1:1" x14ac:dyDescent="0.25">
      <c r="A12406" s="74">
        <v>17198</v>
      </c>
    </row>
    <row r="12407" spans="1:1" x14ac:dyDescent="0.25">
      <c r="A12407" s="74">
        <v>17199</v>
      </c>
    </row>
    <row r="12408" spans="1:1" x14ac:dyDescent="0.25">
      <c r="A12408" s="74">
        <v>17200</v>
      </c>
    </row>
    <row r="12409" spans="1:1" x14ac:dyDescent="0.25">
      <c r="A12409" s="74">
        <v>17201</v>
      </c>
    </row>
    <row r="12410" spans="1:1" x14ac:dyDescent="0.25">
      <c r="A12410" s="74">
        <v>17202</v>
      </c>
    </row>
    <row r="12411" spans="1:1" x14ac:dyDescent="0.25">
      <c r="A12411" s="74">
        <v>17203</v>
      </c>
    </row>
    <row r="12412" spans="1:1" x14ac:dyDescent="0.25">
      <c r="A12412" s="74">
        <v>17204</v>
      </c>
    </row>
    <row r="12413" spans="1:1" x14ac:dyDescent="0.25">
      <c r="A12413" s="74">
        <v>17205</v>
      </c>
    </row>
    <row r="12414" spans="1:1" x14ac:dyDescent="0.25">
      <c r="A12414" s="74">
        <v>17206</v>
      </c>
    </row>
    <row r="12415" spans="1:1" x14ac:dyDescent="0.25">
      <c r="A12415" s="74">
        <v>17207</v>
      </c>
    </row>
    <row r="12416" spans="1:1" x14ac:dyDescent="0.25">
      <c r="A12416" s="74">
        <v>17208</v>
      </c>
    </row>
    <row r="12417" spans="1:1" x14ac:dyDescent="0.25">
      <c r="A12417" s="74">
        <v>17209</v>
      </c>
    </row>
    <row r="12418" spans="1:1" x14ac:dyDescent="0.25">
      <c r="A12418" s="74">
        <v>17210</v>
      </c>
    </row>
    <row r="12419" spans="1:1" x14ac:dyDescent="0.25">
      <c r="A12419" s="74">
        <v>17211</v>
      </c>
    </row>
    <row r="12420" spans="1:1" x14ac:dyDescent="0.25">
      <c r="A12420" s="74">
        <v>17212</v>
      </c>
    </row>
    <row r="12421" spans="1:1" x14ac:dyDescent="0.25">
      <c r="A12421" s="74">
        <v>17213</v>
      </c>
    </row>
    <row r="12422" spans="1:1" x14ac:dyDescent="0.25">
      <c r="A12422" s="74">
        <v>17214</v>
      </c>
    </row>
    <row r="12423" spans="1:1" x14ac:dyDescent="0.25">
      <c r="A12423" s="74">
        <v>17215</v>
      </c>
    </row>
    <row r="12424" spans="1:1" x14ac:dyDescent="0.25">
      <c r="A12424" s="74">
        <v>17216</v>
      </c>
    </row>
    <row r="12425" spans="1:1" x14ac:dyDescent="0.25">
      <c r="A12425" s="74">
        <v>17217</v>
      </c>
    </row>
    <row r="12426" spans="1:1" x14ac:dyDescent="0.25">
      <c r="A12426" s="74">
        <v>17218</v>
      </c>
    </row>
    <row r="12427" spans="1:1" x14ac:dyDescent="0.25">
      <c r="A12427" s="74">
        <v>17219</v>
      </c>
    </row>
    <row r="12428" spans="1:1" x14ac:dyDescent="0.25">
      <c r="A12428" s="74">
        <v>17220</v>
      </c>
    </row>
    <row r="12429" spans="1:1" x14ac:dyDescent="0.25">
      <c r="A12429" s="74">
        <v>17221</v>
      </c>
    </row>
    <row r="12430" spans="1:1" x14ac:dyDescent="0.25">
      <c r="A12430" s="74">
        <v>17222</v>
      </c>
    </row>
    <row r="12431" spans="1:1" x14ac:dyDescent="0.25">
      <c r="A12431" s="74">
        <v>17223</v>
      </c>
    </row>
    <row r="12432" spans="1:1" x14ac:dyDescent="0.25">
      <c r="A12432" s="74">
        <v>17224</v>
      </c>
    </row>
    <row r="12433" spans="1:1" x14ac:dyDescent="0.25">
      <c r="A12433" s="74">
        <v>17225</v>
      </c>
    </row>
    <row r="12434" spans="1:1" x14ac:dyDescent="0.25">
      <c r="A12434" s="74">
        <v>17226</v>
      </c>
    </row>
    <row r="12435" spans="1:1" x14ac:dyDescent="0.25">
      <c r="A12435" s="74">
        <v>17227</v>
      </c>
    </row>
    <row r="12436" spans="1:1" x14ac:dyDescent="0.25">
      <c r="A12436" s="74">
        <v>17228</v>
      </c>
    </row>
    <row r="12437" spans="1:1" x14ac:dyDescent="0.25">
      <c r="A12437" s="74">
        <v>17229</v>
      </c>
    </row>
    <row r="12438" spans="1:1" x14ac:dyDescent="0.25">
      <c r="A12438" s="74">
        <v>17230</v>
      </c>
    </row>
    <row r="12439" spans="1:1" x14ac:dyDescent="0.25">
      <c r="A12439" s="74">
        <v>17231</v>
      </c>
    </row>
    <row r="12440" spans="1:1" x14ac:dyDescent="0.25">
      <c r="A12440" s="74">
        <v>17232</v>
      </c>
    </row>
    <row r="12441" spans="1:1" x14ac:dyDescent="0.25">
      <c r="A12441" s="74">
        <v>17233</v>
      </c>
    </row>
    <row r="12442" spans="1:1" x14ac:dyDescent="0.25">
      <c r="A12442" s="74">
        <v>17234</v>
      </c>
    </row>
    <row r="12443" spans="1:1" x14ac:dyDescent="0.25">
      <c r="A12443" s="74">
        <v>17235</v>
      </c>
    </row>
    <row r="12444" spans="1:1" x14ac:dyDescent="0.25">
      <c r="A12444" s="74">
        <v>17236</v>
      </c>
    </row>
    <row r="12445" spans="1:1" x14ac:dyDescent="0.25">
      <c r="A12445" s="74">
        <v>17237</v>
      </c>
    </row>
    <row r="12446" spans="1:1" x14ac:dyDescent="0.25">
      <c r="A12446" s="74">
        <v>17238</v>
      </c>
    </row>
    <row r="12447" spans="1:1" x14ac:dyDescent="0.25">
      <c r="A12447" s="74">
        <v>17239</v>
      </c>
    </row>
    <row r="12448" spans="1:1" x14ac:dyDescent="0.25">
      <c r="A12448" s="74">
        <v>17240</v>
      </c>
    </row>
    <row r="12449" spans="1:1" x14ac:dyDescent="0.25">
      <c r="A12449" s="74">
        <v>17241</v>
      </c>
    </row>
    <row r="12450" spans="1:1" x14ac:dyDescent="0.25">
      <c r="A12450" s="74">
        <v>17242</v>
      </c>
    </row>
    <row r="12451" spans="1:1" x14ac:dyDescent="0.25">
      <c r="A12451" s="74">
        <v>17243</v>
      </c>
    </row>
    <row r="12452" spans="1:1" x14ac:dyDescent="0.25">
      <c r="A12452" s="74">
        <v>17244</v>
      </c>
    </row>
    <row r="12453" spans="1:1" x14ac:dyDescent="0.25">
      <c r="A12453" s="74">
        <v>17245</v>
      </c>
    </row>
    <row r="12454" spans="1:1" x14ac:dyDescent="0.25">
      <c r="A12454" s="74">
        <v>17246</v>
      </c>
    </row>
    <row r="12455" spans="1:1" x14ac:dyDescent="0.25">
      <c r="A12455" s="74">
        <v>17247</v>
      </c>
    </row>
    <row r="12456" spans="1:1" x14ac:dyDescent="0.25">
      <c r="A12456" s="74">
        <v>17248</v>
      </c>
    </row>
    <row r="12457" spans="1:1" x14ac:dyDescent="0.25">
      <c r="A12457" s="74">
        <v>17249</v>
      </c>
    </row>
    <row r="12458" spans="1:1" x14ac:dyDescent="0.25">
      <c r="A12458" s="74">
        <v>17250</v>
      </c>
    </row>
    <row r="12459" spans="1:1" x14ac:dyDescent="0.25">
      <c r="A12459" s="74">
        <v>17251</v>
      </c>
    </row>
    <row r="12460" spans="1:1" x14ac:dyDescent="0.25">
      <c r="A12460" s="74">
        <v>17252</v>
      </c>
    </row>
    <row r="12461" spans="1:1" x14ac:dyDescent="0.25">
      <c r="A12461" s="74">
        <v>17253</v>
      </c>
    </row>
    <row r="12462" spans="1:1" x14ac:dyDescent="0.25">
      <c r="A12462" s="74">
        <v>17254</v>
      </c>
    </row>
    <row r="12463" spans="1:1" x14ac:dyDescent="0.25">
      <c r="A12463" s="74">
        <v>17255</v>
      </c>
    </row>
    <row r="12464" spans="1:1" x14ac:dyDescent="0.25">
      <c r="A12464" s="74">
        <v>17256</v>
      </c>
    </row>
    <row r="12465" spans="1:1" x14ac:dyDescent="0.25">
      <c r="A12465" s="74">
        <v>17257</v>
      </c>
    </row>
    <row r="12466" spans="1:1" x14ac:dyDescent="0.25">
      <c r="A12466" s="74">
        <v>17258</v>
      </c>
    </row>
    <row r="12467" spans="1:1" x14ac:dyDescent="0.25">
      <c r="A12467" s="74">
        <v>17259</v>
      </c>
    </row>
    <row r="12468" spans="1:1" x14ac:dyDescent="0.25">
      <c r="A12468" s="74">
        <v>17260</v>
      </c>
    </row>
    <row r="12469" spans="1:1" x14ac:dyDescent="0.25">
      <c r="A12469" s="74">
        <v>17261</v>
      </c>
    </row>
    <row r="12470" spans="1:1" x14ac:dyDescent="0.25">
      <c r="A12470" s="74">
        <v>17262</v>
      </c>
    </row>
    <row r="12471" spans="1:1" x14ac:dyDescent="0.25">
      <c r="A12471" s="74">
        <v>17263</v>
      </c>
    </row>
    <row r="12472" spans="1:1" x14ac:dyDescent="0.25">
      <c r="A12472" s="74">
        <v>17264</v>
      </c>
    </row>
    <row r="12473" spans="1:1" x14ac:dyDescent="0.25">
      <c r="A12473" s="74">
        <v>17265</v>
      </c>
    </row>
    <row r="12474" spans="1:1" x14ac:dyDescent="0.25">
      <c r="A12474" s="74">
        <v>17266</v>
      </c>
    </row>
    <row r="12475" spans="1:1" x14ac:dyDescent="0.25">
      <c r="A12475" s="74">
        <v>17267</v>
      </c>
    </row>
    <row r="12476" spans="1:1" x14ac:dyDescent="0.25">
      <c r="A12476" s="74">
        <v>17268</v>
      </c>
    </row>
    <row r="12477" spans="1:1" x14ac:dyDescent="0.25">
      <c r="A12477" s="74">
        <v>17269</v>
      </c>
    </row>
    <row r="12478" spans="1:1" x14ac:dyDescent="0.25">
      <c r="A12478" s="74">
        <v>17270</v>
      </c>
    </row>
    <row r="12479" spans="1:1" x14ac:dyDescent="0.25">
      <c r="A12479" s="74">
        <v>17271</v>
      </c>
    </row>
    <row r="12480" spans="1:1" x14ac:dyDescent="0.25">
      <c r="A12480" s="74">
        <v>17272</v>
      </c>
    </row>
    <row r="12481" spans="1:1" x14ac:dyDescent="0.25">
      <c r="A12481" s="74">
        <v>17273</v>
      </c>
    </row>
    <row r="12482" spans="1:1" x14ac:dyDescent="0.25">
      <c r="A12482" s="74">
        <v>17274</v>
      </c>
    </row>
    <row r="12483" spans="1:1" x14ac:dyDescent="0.25">
      <c r="A12483" s="74">
        <v>17275</v>
      </c>
    </row>
    <row r="12484" spans="1:1" x14ac:dyDescent="0.25">
      <c r="A12484" s="74">
        <v>17276</v>
      </c>
    </row>
    <row r="12485" spans="1:1" x14ac:dyDescent="0.25">
      <c r="A12485" s="74">
        <v>17277</v>
      </c>
    </row>
    <row r="12486" spans="1:1" x14ac:dyDescent="0.25">
      <c r="A12486" s="74">
        <v>17278</v>
      </c>
    </row>
    <row r="12487" spans="1:1" x14ac:dyDescent="0.25">
      <c r="A12487" s="74">
        <v>17279</v>
      </c>
    </row>
    <row r="12488" spans="1:1" x14ac:dyDescent="0.25">
      <c r="A12488" s="74">
        <v>17280</v>
      </c>
    </row>
    <row r="12489" spans="1:1" x14ac:dyDescent="0.25">
      <c r="A12489" s="74">
        <v>17281</v>
      </c>
    </row>
    <row r="12490" spans="1:1" x14ac:dyDescent="0.25">
      <c r="A12490" s="74">
        <v>17282</v>
      </c>
    </row>
    <row r="12491" spans="1:1" x14ac:dyDescent="0.25">
      <c r="A12491" s="74">
        <v>17283</v>
      </c>
    </row>
    <row r="12492" spans="1:1" x14ac:dyDescent="0.25">
      <c r="A12492" s="74">
        <v>17284</v>
      </c>
    </row>
    <row r="12493" spans="1:1" x14ac:dyDescent="0.25">
      <c r="A12493" s="74">
        <v>17285</v>
      </c>
    </row>
    <row r="12494" spans="1:1" x14ac:dyDescent="0.25">
      <c r="A12494" s="74">
        <v>17286</v>
      </c>
    </row>
    <row r="12495" spans="1:1" x14ac:dyDescent="0.25">
      <c r="A12495" s="74">
        <v>17287</v>
      </c>
    </row>
    <row r="12496" spans="1:1" x14ac:dyDescent="0.25">
      <c r="A12496" s="74">
        <v>17288</v>
      </c>
    </row>
    <row r="12497" spans="1:1" x14ac:dyDescent="0.25">
      <c r="A12497" s="74">
        <v>17289</v>
      </c>
    </row>
    <row r="12498" spans="1:1" x14ac:dyDescent="0.25">
      <c r="A12498" s="74">
        <v>17290</v>
      </c>
    </row>
    <row r="12499" spans="1:1" x14ac:dyDescent="0.25">
      <c r="A12499" s="74">
        <v>17291</v>
      </c>
    </row>
    <row r="12500" spans="1:1" x14ac:dyDescent="0.25">
      <c r="A12500" s="74">
        <v>17292</v>
      </c>
    </row>
    <row r="12501" spans="1:1" x14ac:dyDescent="0.25">
      <c r="A12501" s="74">
        <v>17293</v>
      </c>
    </row>
    <row r="12502" spans="1:1" x14ac:dyDescent="0.25">
      <c r="A12502" s="74">
        <v>17294</v>
      </c>
    </row>
    <row r="12503" spans="1:1" x14ac:dyDescent="0.25">
      <c r="A12503" s="74">
        <v>17295</v>
      </c>
    </row>
    <row r="12504" spans="1:1" x14ac:dyDescent="0.25">
      <c r="A12504" s="74">
        <v>17296</v>
      </c>
    </row>
    <row r="12505" spans="1:1" x14ac:dyDescent="0.25">
      <c r="A12505" s="74">
        <v>17297</v>
      </c>
    </row>
    <row r="12506" spans="1:1" x14ac:dyDescent="0.25">
      <c r="A12506" s="74">
        <v>17298</v>
      </c>
    </row>
    <row r="12507" spans="1:1" x14ac:dyDescent="0.25">
      <c r="A12507" s="74">
        <v>17299</v>
      </c>
    </row>
    <row r="12508" spans="1:1" x14ac:dyDescent="0.25">
      <c r="A12508" s="74">
        <v>17300</v>
      </c>
    </row>
    <row r="12509" spans="1:1" x14ac:dyDescent="0.25">
      <c r="A12509" s="74">
        <v>17301</v>
      </c>
    </row>
    <row r="12510" spans="1:1" x14ac:dyDescent="0.25">
      <c r="A12510" s="74">
        <v>17302</v>
      </c>
    </row>
    <row r="12511" spans="1:1" x14ac:dyDescent="0.25">
      <c r="A12511" s="74">
        <v>17303</v>
      </c>
    </row>
    <row r="12512" spans="1:1" x14ac:dyDescent="0.25">
      <c r="A12512" s="74">
        <v>17304</v>
      </c>
    </row>
    <row r="12513" spans="1:1" x14ac:dyDescent="0.25">
      <c r="A12513" s="74">
        <v>17305</v>
      </c>
    </row>
    <row r="12514" spans="1:1" x14ac:dyDescent="0.25">
      <c r="A12514" s="74">
        <v>17306</v>
      </c>
    </row>
    <row r="12515" spans="1:1" x14ac:dyDescent="0.25">
      <c r="A12515" s="74">
        <v>17307</v>
      </c>
    </row>
    <row r="12516" spans="1:1" x14ac:dyDescent="0.25">
      <c r="A12516" s="74">
        <v>17308</v>
      </c>
    </row>
    <row r="12517" spans="1:1" x14ac:dyDescent="0.25">
      <c r="A12517" s="74">
        <v>17309</v>
      </c>
    </row>
    <row r="12518" spans="1:1" x14ac:dyDescent="0.25">
      <c r="A12518" s="74">
        <v>17310</v>
      </c>
    </row>
    <row r="12519" spans="1:1" x14ac:dyDescent="0.25">
      <c r="A12519" s="74">
        <v>17311</v>
      </c>
    </row>
    <row r="12520" spans="1:1" x14ac:dyDescent="0.25">
      <c r="A12520" s="74">
        <v>17312</v>
      </c>
    </row>
    <row r="12521" spans="1:1" x14ac:dyDescent="0.25">
      <c r="A12521" s="74">
        <v>17313</v>
      </c>
    </row>
    <row r="12522" spans="1:1" x14ac:dyDescent="0.25">
      <c r="A12522" s="74">
        <v>17314</v>
      </c>
    </row>
    <row r="12523" spans="1:1" x14ac:dyDescent="0.25">
      <c r="A12523" s="74">
        <v>17315</v>
      </c>
    </row>
    <row r="12524" spans="1:1" x14ac:dyDescent="0.25">
      <c r="A12524" s="74">
        <v>17316</v>
      </c>
    </row>
    <row r="12525" spans="1:1" x14ac:dyDescent="0.25">
      <c r="A12525" s="74">
        <v>17317</v>
      </c>
    </row>
    <row r="12526" spans="1:1" x14ac:dyDescent="0.25">
      <c r="A12526" s="74">
        <v>17318</v>
      </c>
    </row>
    <row r="12527" spans="1:1" x14ac:dyDescent="0.25">
      <c r="A12527" s="74">
        <v>17319</v>
      </c>
    </row>
    <row r="12528" spans="1:1" x14ac:dyDescent="0.25">
      <c r="A12528" s="74">
        <v>17320</v>
      </c>
    </row>
    <row r="12529" spans="1:1" x14ac:dyDescent="0.25">
      <c r="A12529" s="74">
        <v>17321</v>
      </c>
    </row>
    <row r="12530" spans="1:1" x14ac:dyDescent="0.25">
      <c r="A12530" s="74">
        <v>17322</v>
      </c>
    </row>
    <row r="12531" spans="1:1" x14ac:dyDescent="0.25">
      <c r="A12531" s="74">
        <v>17323</v>
      </c>
    </row>
    <row r="12532" spans="1:1" x14ac:dyDescent="0.25">
      <c r="A12532" s="74">
        <v>17324</v>
      </c>
    </row>
    <row r="12533" spans="1:1" x14ac:dyDescent="0.25">
      <c r="A12533" s="74">
        <v>17325</v>
      </c>
    </row>
    <row r="12534" spans="1:1" x14ac:dyDescent="0.25">
      <c r="A12534" s="74">
        <v>17326</v>
      </c>
    </row>
    <row r="12535" spans="1:1" x14ac:dyDescent="0.25">
      <c r="A12535" s="74">
        <v>17327</v>
      </c>
    </row>
    <row r="12536" spans="1:1" x14ac:dyDescent="0.25">
      <c r="A12536" s="74">
        <v>17328</v>
      </c>
    </row>
    <row r="12537" spans="1:1" x14ac:dyDescent="0.25">
      <c r="A12537" s="74">
        <v>17329</v>
      </c>
    </row>
    <row r="12538" spans="1:1" x14ac:dyDescent="0.25">
      <c r="A12538" s="74">
        <v>17330</v>
      </c>
    </row>
    <row r="12539" spans="1:1" x14ac:dyDescent="0.25">
      <c r="A12539" s="74">
        <v>17331</v>
      </c>
    </row>
    <row r="12540" spans="1:1" x14ac:dyDescent="0.25">
      <c r="A12540" s="74">
        <v>17332</v>
      </c>
    </row>
    <row r="12541" spans="1:1" x14ac:dyDescent="0.25">
      <c r="A12541" s="74">
        <v>17333</v>
      </c>
    </row>
    <row r="12542" spans="1:1" x14ac:dyDescent="0.25">
      <c r="A12542" s="74">
        <v>17334</v>
      </c>
    </row>
    <row r="12543" spans="1:1" x14ac:dyDescent="0.25">
      <c r="A12543" s="74">
        <v>17335</v>
      </c>
    </row>
    <row r="12544" spans="1:1" x14ac:dyDescent="0.25">
      <c r="A12544" s="74">
        <v>17336</v>
      </c>
    </row>
    <row r="12545" spans="1:1" x14ac:dyDescent="0.25">
      <c r="A12545" s="74">
        <v>17337</v>
      </c>
    </row>
    <row r="12546" spans="1:1" x14ac:dyDescent="0.25">
      <c r="A12546" s="74">
        <v>17338</v>
      </c>
    </row>
    <row r="12547" spans="1:1" x14ac:dyDescent="0.25">
      <c r="A12547" s="74">
        <v>17339</v>
      </c>
    </row>
    <row r="12548" spans="1:1" x14ac:dyDescent="0.25">
      <c r="A12548" s="74">
        <v>17340</v>
      </c>
    </row>
    <row r="12549" spans="1:1" x14ac:dyDescent="0.25">
      <c r="A12549" s="74">
        <v>17341</v>
      </c>
    </row>
    <row r="12550" spans="1:1" x14ac:dyDescent="0.25">
      <c r="A12550" s="74">
        <v>17342</v>
      </c>
    </row>
    <row r="12551" spans="1:1" x14ac:dyDescent="0.25">
      <c r="A12551" s="74">
        <v>17343</v>
      </c>
    </row>
    <row r="12552" spans="1:1" x14ac:dyDescent="0.25">
      <c r="A12552" s="74">
        <v>17344</v>
      </c>
    </row>
    <row r="12553" spans="1:1" x14ac:dyDescent="0.25">
      <c r="A12553" s="74">
        <v>17345</v>
      </c>
    </row>
    <row r="12554" spans="1:1" x14ac:dyDescent="0.25">
      <c r="A12554" s="74">
        <v>17346</v>
      </c>
    </row>
    <row r="12555" spans="1:1" x14ac:dyDescent="0.25">
      <c r="A12555" s="74">
        <v>17347</v>
      </c>
    </row>
    <row r="12556" spans="1:1" x14ac:dyDescent="0.25">
      <c r="A12556" s="74">
        <v>17348</v>
      </c>
    </row>
    <row r="12557" spans="1:1" x14ac:dyDescent="0.25">
      <c r="A12557" s="74">
        <v>17349</v>
      </c>
    </row>
    <row r="12558" spans="1:1" x14ac:dyDescent="0.25">
      <c r="A12558" s="74">
        <v>17350</v>
      </c>
    </row>
    <row r="12559" spans="1:1" x14ac:dyDescent="0.25">
      <c r="A12559" s="74">
        <v>17351</v>
      </c>
    </row>
    <row r="12560" spans="1:1" x14ac:dyDescent="0.25">
      <c r="A12560" s="74">
        <v>17352</v>
      </c>
    </row>
    <row r="12561" spans="1:1" x14ac:dyDescent="0.25">
      <c r="A12561" s="74">
        <v>17353</v>
      </c>
    </row>
    <row r="12562" spans="1:1" x14ac:dyDescent="0.25">
      <c r="A12562" s="74">
        <v>17354</v>
      </c>
    </row>
    <row r="12563" spans="1:1" x14ac:dyDescent="0.25">
      <c r="A12563" s="74">
        <v>17355</v>
      </c>
    </row>
    <row r="12564" spans="1:1" x14ac:dyDescent="0.25">
      <c r="A12564" s="74">
        <v>17356</v>
      </c>
    </row>
    <row r="12565" spans="1:1" x14ac:dyDescent="0.25">
      <c r="A12565" s="74">
        <v>17357</v>
      </c>
    </row>
    <row r="12566" spans="1:1" x14ac:dyDescent="0.25">
      <c r="A12566" s="74">
        <v>17358</v>
      </c>
    </row>
    <row r="12567" spans="1:1" x14ac:dyDescent="0.25">
      <c r="A12567" s="74">
        <v>17359</v>
      </c>
    </row>
    <row r="12568" spans="1:1" x14ac:dyDescent="0.25">
      <c r="A12568" s="74">
        <v>17360</v>
      </c>
    </row>
    <row r="12569" spans="1:1" x14ac:dyDescent="0.25">
      <c r="A12569" s="74">
        <v>17361</v>
      </c>
    </row>
    <row r="12570" spans="1:1" x14ac:dyDescent="0.25">
      <c r="A12570" s="74">
        <v>17362</v>
      </c>
    </row>
    <row r="12571" spans="1:1" x14ac:dyDescent="0.25">
      <c r="A12571" s="74">
        <v>17363</v>
      </c>
    </row>
    <row r="12572" spans="1:1" x14ac:dyDescent="0.25">
      <c r="A12572" s="74">
        <v>17364</v>
      </c>
    </row>
    <row r="12573" spans="1:1" x14ac:dyDescent="0.25">
      <c r="A12573" s="74">
        <v>17365</v>
      </c>
    </row>
    <row r="12574" spans="1:1" x14ac:dyDescent="0.25">
      <c r="A12574" s="74">
        <v>17366</v>
      </c>
    </row>
    <row r="12575" spans="1:1" x14ac:dyDescent="0.25">
      <c r="A12575" s="74">
        <v>17367</v>
      </c>
    </row>
    <row r="12576" spans="1:1" x14ac:dyDescent="0.25">
      <c r="A12576" s="74">
        <v>17368</v>
      </c>
    </row>
    <row r="12577" spans="1:1" x14ac:dyDescent="0.25">
      <c r="A12577" s="74">
        <v>17369</v>
      </c>
    </row>
    <row r="12578" spans="1:1" x14ac:dyDescent="0.25">
      <c r="A12578" s="74">
        <v>17370</v>
      </c>
    </row>
    <row r="12579" spans="1:1" x14ac:dyDescent="0.25">
      <c r="A12579" s="74">
        <v>17371</v>
      </c>
    </row>
    <row r="12580" spans="1:1" x14ac:dyDescent="0.25">
      <c r="A12580" s="74">
        <v>17372</v>
      </c>
    </row>
    <row r="12581" spans="1:1" x14ac:dyDescent="0.25">
      <c r="A12581" s="74">
        <v>17373</v>
      </c>
    </row>
    <row r="12582" spans="1:1" x14ac:dyDescent="0.25">
      <c r="A12582" s="74">
        <v>17374</v>
      </c>
    </row>
    <row r="12583" spans="1:1" x14ac:dyDescent="0.25">
      <c r="A12583" s="74">
        <v>17375</v>
      </c>
    </row>
    <row r="12584" spans="1:1" x14ac:dyDescent="0.25">
      <c r="A12584" s="74">
        <v>17376</v>
      </c>
    </row>
    <row r="12585" spans="1:1" x14ac:dyDescent="0.25">
      <c r="A12585" s="74">
        <v>17377</v>
      </c>
    </row>
    <row r="12586" spans="1:1" x14ac:dyDescent="0.25">
      <c r="A12586" s="74">
        <v>17378</v>
      </c>
    </row>
    <row r="12587" spans="1:1" x14ac:dyDescent="0.25">
      <c r="A12587" s="74">
        <v>17379</v>
      </c>
    </row>
    <row r="12588" spans="1:1" x14ac:dyDescent="0.25">
      <c r="A12588" s="74">
        <v>17380</v>
      </c>
    </row>
    <row r="12589" spans="1:1" x14ac:dyDescent="0.25">
      <c r="A12589" s="74">
        <v>17381</v>
      </c>
    </row>
    <row r="12590" spans="1:1" x14ac:dyDescent="0.25">
      <c r="A12590" s="74">
        <v>17382</v>
      </c>
    </row>
    <row r="12591" spans="1:1" x14ac:dyDescent="0.25">
      <c r="A12591" s="74">
        <v>17383</v>
      </c>
    </row>
    <row r="12592" spans="1:1" x14ac:dyDescent="0.25">
      <c r="A12592" s="74">
        <v>17384</v>
      </c>
    </row>
    <row r="12593" spans="1:1" x14ac:dyDescent="0.25">
      <c r="A12593" s="74">
        <v>17385</v>
      </c>
    </row>
    <row r="12594" spans="1:1" x14ac:dyDescent="0.25">
      <c r="A12594" s="74">
        <v>17386</v>
      </c>
    </row>
    <row r="12595" spans="1:1" x14ac:dyDescent="0.25">
      <c r="A12595" s="74">
        <v>17387</v>
      </c>
    </row>
    <row r="12596" spans="1:1" x14ac:dyDescent="0.25">
      <c r="A12596" s="74">
        <v>17388</v>
      </c>
    </row>
    <row r="12597" spans="1:1" x14ac:dyDescent="0.25">
      <c r="A12597" s="74">
        <v>17389</v>
      </c>
    </row>
    <row r="12598" spans="1:1" x14ac:dyDescent="0.25">
      <c r="A12598" s="74">
        <v>17390</v>
      </c>
    </row>
    <row r="12599" spans="1:1" x14ac:dyDescent="0.25">
      <c r="A12599" s="74">
        <v>17391</v>
      </c>
    </row>
    <row r="12600" spans="1:1" x14ac:dyDescent="0.25">
      <c r="A12600" s="74">
        <v>17392</v>
      </c>
    </row>
    <row r="12601" spans="1:1" x14ac:dyDescent="0.25">
      <c r="A12601" s="74">
        <v>17393</v>
      </c>
    </row>
    <row r="12602" spans="1:1" x14ac:dyDescent="0.25">
      <c r="A12602" s="74">
        <v>17394</v>
      </c>
    </row>
    <row r="12603" spans="1:1" x14ac:dyDescent="0.25">
      <c r="A12603" s="74">
        <v>17395</v>
      </c>
    </row>
    <row r="12604" spans="1:1" x14ac:dyDescent="0.25">
      <c r="A12604" s="74">
        <v>17396</v>
      </c>
    </row>
    <row r="12605" spans="1:1" x14ac:dyDescent="0.25">
      <c r="A12605" s="74">
        <v>17397</v>
      </c>
    </row>
    <row r="12606" spans="1:1" x14ac:dyDescent="0.25">
      <c r="A12606" s="74">
        <v>17398</v>
      </c>
    </row>
    <row r="12607" spans="1:1" x14ac:dyDescent="0.25">
      <c r="A12607" s="74">
        <v>17399</v>
      </c>
    </row>
    <row r="12608" spans="1:1" x14ac:dyDescent="0.25">
      <c r="A12608" s="74">
        <v>17400</v>
      </c>
    </row>
    <row r="12609" spans="1:1" x14ac:dyDescent="0.25">
      <c r="A12609" s="74">
        <v>17401</v>
      </c>
    </row>
    <row r="12610" spans="1:1" x14ac:dyDescent="0.25">
      <c r="A12610" s="74">
        <v>17402</v>
      </c>
    </row>
    <row r="12611" spans="1:1" x14ac:dyDescent="0.25">
      <c r="A12611" s="74">
        <v>17403</v>
      </c>
    </row>
    <row r="12612" spans="1:1" x14ac:dyDescent="0.25">
      <c r="A12612" s="74">
        <v>17404</v>
      </c>
    </row>
    <row r="12613" spans="1:1" x14ac:dyDescent="0.25">
      <c r="A12613" s="74">
        <v>17405</v>
      </c>
    </row>
    <row r="12614" spans="1:1" x14ac:dyDescent="0.25">
      <c r="A12614" s="74">
        <v>17406</v>
      </c>
    </row>
    <row r="12615" spans="1:1" x14ac:dyDescent="0.25">
      <c r="A12615" s="74">
        <v>17407</v>
      </c>
    </row>
    <row r="12616" spans="1:1" x14ac:dyDescent="0.25">
      <c r="A12616" s="74">
        <v>17408</v>
      </c>
    </row>
    <row r="12617" spans="1:1" x14ac:dyDescent="0.25">
      <c r="A12617" s="74">
        <v>17409</v>
      </c>
    </row>
    <row r="12618" spans="1:1" x14ac:dyDescent="0.25">
      <c r="A12618" s="74">
        <v>17410</v>
      </c>
    </row>
    <row r="12619" spans="1:1" x14ac:dyDescent="0.25">
      <c r="A12619" s="74">
        <v>17411</v>
      </c>
    </row>
    <row r="12620" spans="1:1" x14ac:dyDescent="0.25">
      <c r="A12620" s="74">
        <v>17412</v>
      </c>
    </row>
    <row r="12621" spans="1:1" x14ac:dyDescent="0.25">
      <c r="A12621" s="74">
        <v>17413</v>
      </c>
    </row>
    <row r="12622" spans="1:1" x14ac:dyDescent="0.25">
      <c r="A12622" s="74">
        <v>17414</v>
      </c>
    </row>
    <row r="12623" spans="1:1" x14ac:dyDescent="0.25">
      <c r="A12623" s="74">
        <v>17415</v>
      </c>
    </row>
    <row r="12624" spans="1:1" x14ac:dyDescent="0.25">
      <c r="A12624" s="74">
        <v>17416</v>
      </c>
    </row>
    <row r="12625" spans="1:1" x14ac:dyDescent="0.25">
      <c r="A12625" s="74">
        <v>17417</v>
      </c>
    </row>
    <row r="12626" spans="1:1" x14ac:dyDescent="0.25">
      <c r="A12626" s="74">
        <v>17418</v>
      </c>
    </row>
    <row r="12627" spans="1:1" x14ac:dyDescent="0.25">
      <c r="A12627" s="74">
        <v>17419</v>
      </c>
    </row>
    <row r="12628" spans="1:1" x14ac:dyDescent="0.25">
      <c r="A12628" s="74">
        <v>17420</v>
      </c>
    </row>
    <row r="12629" spans="1:1" x14ac:dyDescent="0.25">
      <c r="A12629" s="74">
        <v>17421</v>
      </c>
    </row>
    <row r="12630" spans="1:1" x14ac:dyDescent="0.25">
      <c r="A12630" s="74">
        <v>17422</v>
      </c>
    </row>
    <row r="12631" spans="1:1" x14ac:dyDescent="0.25">
      <c r="A12631" s="74">
        <v>17423</v>
      </c>
    </row>
    <row r="12632" spans="1:1" x14ac:dyDescent="0.25">
      <c r="A12632" s="74">
        <v>17424</v>
      </c>
    </row>
    <row r="12633" spans="1:1" x14ac:dyDescent="0.25">
      <c r="A12633" s="74">
        <v>17425</v>
      </c>
    </row>
    <row r="12634" spans="1:1" x14ac:dyDescent="0.25">
      <c r="A12634" s="74">
        <v>17426</v>
      </c>
    </row>
    <row r="12635" spans="1:1" x14ac:dyDescent="0.25">
      <c r="A12635" s="74">
        <v>17427</v>
      </c>
    </row>
    <row r="12636" spans="1:1" x14ac:dyDescent="0.25">
      <c r="A12636" s="74">
        <v>17428</v>
      </c>
    </row>
    <row r="12637" spans="1:1" x14ac:dyDescent="0.25">
      <c r="A12637" s="74">
        <v>17429</v>
      </c>
    </row>
    <row r="12638" spans="1:1" x14ac:dyDescent="0.25">
      <c r="A12638" s="74">
        <v>17430</v>
      </c>
    </row>
    <row r="12639" spans="1:1" x14ac:dyDescent="0.25">
      <c r="A12639" s="74">
        <v>17431</v>
      </c>
    </row>
    <row r="12640" spans="1:1" x14ac:dyDescent="0.25">
      <c r="A12640" s="74">
        <v>17432</v>
      </c>
    </row>
    <row r="12641" spans="1:1" x14ac:dyDescent="0.25">
      <c r="A12641" s="74">
        <v>17433</v>
      </c>
    </row>
    <row r="12642" spans="1:1" x14ac:dyDescent="0.25">
      <c r="A12642" s="74">
        <v>17434</v>
      </c>
    </row>
    <row r="12643" spans="1:1" x14ac:dyDescent="0.25">
      <c r="A12643" s="74">
        <v>17435</v>
      </c>
    </row>
    <row r="12644" spans="1:1" x14ac:dyDescent="0.25">
      <c r="A12644" s="74">
        <v>17436</v>
      </c>
    </row>
    <row r="12645" spans="1:1" x14ac:dyDescent="0.25">
      <c r="A12645" s="74">
        <v>17437</v>
      </c>
    </row>
    <row r="12646" spans="1:1" x14ac:dyDescent="0.25">
      <c r="A12646" s="74">
        <v>17438</v>
      </c>
    </row>
    <row r="12647" spans="1:1" x14ac:dyDescent="0.25">
      <c r="A12647" s="74">
        <v>17439</v>
      </c>
    </row>
    <row r="12648" spans="1:1" x14ac:dyDescent="0.25">
      <c r="A12648" s="74">
        <v>17440</v>
      </c>
    </row>
    <row r="12649" spans="1:1" x14ac:dyDescent="0.25">
      <c r="A12649" s="74">
        <v>17441</v>
      </c>
    </row>
    <row r="12650" spans="1:1" x14ac:dyDescent="0.25">
      <c r="A12650" s="74">
        <v>17442</v>
      </c>
    </row>
    <row r="12651" spans="1:1" x14ac:dyDescent="0.25">
      <c r="A12651" s="74">
        <v>17443</v>
      </c>
    </row>
    <row r="12652" spans="1:1" x14ac:dyDescent="0.25">
      <c r="A12652" s="74">
        <v>17444</v>
      </c>
    </row>
    <row r="12653" spans="1:1" x14ac:dyDescent="0.25">
      <c r="A12653" s="74">
        <v>17445</v>
      </c>
    </row>
    <row r="12654" spans="1:1" x14ac:dyDescent="0.25">
      <c r="A12654" s="74">
        <v>17446</v>
      </c>
    </row>
    <row r="12655" spans="1:1" x14ac:dyDescent="0.25">
      <c r="A12655" s="74">
        <v>17447</v>
      </c>
    </row>
    <row r="12656" spans="1:1" x14ac:dyDescent="0.25">
      <c r="A12656" s="74">
        <v>17448</v>
      </c>
    </row>
    <row r="12657" spans="1:1" x14ac:dyDescent="0.25">
      <c r="A12657" s="74">
        <v>17449</v>
      </c>
    </row>
    <row r="12658" spans="1:1" x14ac:dyDescent="0.25">
      <c r="A12658" s="74">
        <v>17450</v>
      </c>
    </row>
    <row r="12659" spans="1:1" x14ac:dyDescent="0.25">
      <c r="A12659" s="74">
        <v>17451</v>
      </c>
    </row>
    <row r="12660" spans="1:1" x14ac:dyDescent="0.25">
      <c r="A12660" s="74">
        <v>17452</v>
      </c>
    </row>
    <row r="12661" spans="1:1" x14ac:dyDescent="0.25">
      <c r="A12661" s="74">
        <v>17453</v>
      </c>
    </row>
    <row r="12662" spans="1:1" x14ac:dyDescent="0.25">
      <c r="A12662" s="74">
        <v>17454</v>
      </c>
    </row>
    <row r="12663" spans="1:1" x14ac:dyDescent="0.25">
      <c r="A12663" s="74">
        <v>17455</v>
      </c>
    </row>
    <row r="12664" spans="1:1" x14ac:dyDescent="0.25">
      <c r="A12664" s="74">
        <v>17456</v>
      </c>
    </row>
    <row r="12665" spans="1:1" x14ac:dyDescent="0.25">
      <c r="A12665" s="74">
        <v>17457</v>
      </c>
    </row>
    <row r="12666" spans="1:1" x14ac:dyDescent="0.25">
      <c r="A12666" s="74">
        <v>17458</v>
      </c>
    </row>
    <row r="12667" spans="1:1" x14ac:dyDescent="0.25">
      <c r="A12667" s="74">
        <v>17459</v>
      </c>
    </row>
    <row r="12668" spans="1:1" x14ac:dyDescent="0.25">
      <c r="A12668" s="74">
        <v>17460</v>
      </c>
    </row>
    <row r="12669" spans="1:1" x14ac:dyDescent="0.25">
      <c r="A12669" s="74">
        <v>17461</v>
      </c>
    </row>
    <row r="12670" spans="1:1" x14ac:dyDescent="0.25">
      <c r="A12670" s="74">
        <v>17462</v>
      </c>
    </row>
    <row r="12671" spans="1:1" x14ac:dyDescent="0.25">
      <c r="A12671" s="74">
        <v>17463</v>
      </c>
    </row>
    <row r="12672" spans="1:1" x14ac:dyDescent="0.25">
      <c r="A12672" s="74">
        <v>17464</v>
      </c>
    </row>
    <row r="12673" spans="1:1" x14ac:dyDescent="0.25">
      <c r="A12673" s="74">
        <v>17465</v>
      </c>
    </row>
    <row r="12674" spans="1:1" x14ac:dyDescent="0.25">
      <c r="A12674" s="74">
        <v>17466</v>
      </c>
    </row>
    <row r="12675" spans="1:1" x14ac:dyDescent="0.25">
      <c r="A12675" s="74">
        <v>17467</v>
      </c>
    </row>
    <row r="12676" spans="1:1" x14ac:dyDescent="0.25">
      <c r="A12676" s="74">
        <v>17468</v>
      </c>
    </row>
    <row r="12677" spans="1:1" x14ac:dyDescent="0.25">
      <c r="A12677" s="74">
        <v>17469</v>
      </c>
    </row>
    <row r="12678" spans="1:1" x14ac:dyDescent="0.25">
      <c r="A12678" s="74">
        <v>17470</v>
      </c>
    </row>
    <row r="12679" spans="1:1" x14ac:dyDescent="0.25">
      <c r="A12679" s="74">
        <v>17471</v>
      </c>
    </row>
    <row r="12680" spans="1:1" x14ac:dyDescent="0.25">
      <c r="A12680" s="74">
        <v>17472</v>
      </c>
    </row>
    <row r="12681" spans="1:1" x14ac:dyDescent="0.25">
      <c r="A12681" s="74">
        <v>17473</v>
      </c>
    </row>
    <row r="12682" spans="1:1" x14ac:dyDescent="0.25">
      <c r="A12682" s="74">
        <v>17474</v>
      </c>
    </row>
    <row r="12683" spans="1:1" x14ac:dyDescent="0.25">
      <c r="A12683" s="74">
        <v>17475</v>
      </c>
    </row>
    <row r="12684" spans="1:1" x14ac:dyDescent="0.25">
      <c r="A12684" s="74">
        <v>17476</v>
      </c>
    </row>
    <row r="12685" spans="1:1" x14ac:dyDescent="0.25">
      <c r="A12685" s="74">
        <v>17477</v>
      </c>
    </row>
    <row r="12686" spans="1:1" x14ac:dyDescent="0.25">
      <c r="A12686" s="74">
        <v>17478</v>
      </c>
    </row>
    <row r="12687" spans="1:1" x14ac:dyDescent="0.25">
      <c r="A12687" s="74">
        <v>17479</v>
      </c>
    </row>
    <row r="12688" spans="1:1" x14ac:dyDescent="0.25">
      <c r="A12688" s="74">
        <v>17480</v>
      </c>
    </row>
    <row r="12689" spans="1:1" x14ac:dyDescent="0.25">
      <c r="A12689" s="74">
        <v>17481</v>
      </c>
    </row>
    <row r="12690" spans="1:1" x14ac:dyDescent="0.25">
      <c r="A12690" s="74">
        <v>17482</v>
      </c>
    </row>
    <row r="12691" spans="1:1" x14ac:dyDescent="0.25">
      <c r="A12691" s="74">
        <v>17483</v>
      </c>
    </row>
    <row r="12692" spans="1:1" x14ac:dyDescent="0.25">
      <c r="A12692" s="74">
        <v>17484</v>
      </c>
    </row>
    <row r="12693" spans="1:1" x14ac:dyDescent="0.25">
      <c r="A12693" s="74">
        <v>17485</v>
      </c>
    </row>
    <row r="12694" spans="1:1" x14ac:dyDescent="0.25">
      <c r="A12694" s="74">
        <v>17486</v>
      </c>
    </row>
    <row r="12695" spans="1:1" x14ac:dyDescent="0.25">
      <c r="A12695" s="74">
        <v>17487</v>
      </c>
    </row>
    <row r="12696" spans="1:1" x14ac:dyDescent="0.25">
      <c r="A12696" s="74">
        <v>17488</v>
      </c>
    </row>
    <row r="12697" spans="1:1" x14ac:dyDescent="0.25">
      <c r="A12697" s="74">
        <v>17489</v>
      </c>
    </row>
    <row r="12698" spans="1:1" x14ac:dyDescent="0.25">
      <c r="A12698" s="74">
        <v>17490</v>
      </c>
    </row>
    <row r="12699" spans="1:1" x14ac:dyDescent="0.25">
      <c r="A12699" s="74">
        <v>17491</v>
      </c>
    </row>
    <row r="12700" spans="1:1" x14ac:dyDescent="0.25">
      <c r="A12700" s="74">
        <v>17492</v>
      </c>
    </row>
    <row r="12701" spans="1:1" x14ac:dyDescent="0.25">
      <c r="A12701" s="74">
        <v>17493</v>
      </c>
    </row>
    <row r="12702" spans="1:1" x14ac:dyDescent="0.25">
      <c r="A12702" s="74">
        <v>17494</v>
      </c>
    </row>
    <row r="12703" spans="1:1" x14ac:dyDescent="0.25">
      <c r="A12703" s="74">
        <v>17495</v>
      </c>
    </row>
    <row r="12704" spans="1:1" x14ac:dyDescent="0.25">
      <c r="A12704" s="74">
        <v>17496</v>
      </c>
    </row>
    <row r="12705" spans="1:1" x14ac:dyDescent="0.25">
      <c r="A12705" s="74">
        <v>17497</v>
      </c>
    </row>
    <row r="12706" spans="1:1" x14ac:dyDescent="0.25">
      <c r="A12706" s="74">
        <v>17498</v>
      </c>
    </row>
    <row r="12707" spans="1:1" x14ac:dyDescent="0.25">
      <c r="A12707" s="74">
        <v>17499</v>
      </c>
    </row>
    <row r="12708" spans="1:1" x14ac:dyDescent="0.25">
      <c r="A12708" s="74">
        <v>17500</v>
      </c>
    </row>
    <row r="12709" spans="1:1" x14ac:dyDescent="0.25">
      <c r="A12709" s="74">
        <v>17501</v>
      </c>
    </row>
    <row r="12710" spans="1:1" x14ac:dyDescent="0.25">
      <c r="A12710" s="74">
        <v>17502</v>
      </c>
    </row>
    <row r="12711" spans="1:1" x14ac:dyDescent="0.25">
      <c r="A12711" s="74">
        <v>17503</v>
      </c>
    </row>
    <row r="12712" spans="1:1" x14ac:dyDescent="0.25">
      <c r="A12712" s="74">
        <v>17504</v>
      </c>
    </row>
    <row r="12713" spans="1:1" x14ac:dyDescent="0.25">
      <c r="A12713" s="74">
        <v>17505</v>
      </c>
    </row>
    <row r="12714" spans="1:1" x14ac:dyDescent="0.25">
      <c r="A12714" s="74">
        <v>17506</v>
      </c>
    </row>
    <row r="12715" spans="1:1" x14ac:dyDescent="0.25">
      <c r="A12715" s="74">
        <v>17507</v>
      </c>
    </row>
    <row r="12716" spans="1:1" x14ac:dyDescent="0.25">
      <c r="A12716" s="74">
        <v>17508</v>
      </c>
    </row>
    <row r="12717" spans="1:1" x14ac:dyDescent="0.25">
      <c r="A12717" s="74">
        <v>17509</v>
      </c>
    </row>
    <row r="12718" spans="1:1" x14ac:dyDescent="0.25">
      <c r="A12718" s="74">
        <v>17510</v>
      </c>
    </row>
    <row r="12719" spans="1:1" x14ac:dyDescent="0.25">
      <c r="A12719" s="74">
        <v>17511</v>
      </c>
    </row>
    <row r="12720" spans="1:1" x14ac:dyDescent="0.25">
      <c r="A12720" s="74">
        <v>17512</v>
      </c>
    </row>
    <row r="12721" spans="1:1" x14ac:dyDescent="0.25">
      <c r="A12721" s="74">
        <v>17513</v>
      </c>
    </row>
    <row r="12722" spans="1:1" x14ac:dyDescent="0.25">
      <c r="A12722" s="74">
        <v>17514</v>
      </c>
    </row>
    <row r="12723" spans="1:1" x14ac:dyDescent="0.25">
      <c r="A12723" s="74">
        <v>17515</v>
      </c>
    </row>
    <row r="12724" spans="1:1" x14ac:dyDescent="0.25">
      <c r="A12724" s="74">
        <v>17516</v>
      </c>
    </row>
    <row r="12725" spans="1:1" x14ac:dyDescent="0.25">
      <c r="A12725" s="74">
        <v>17517</v>
      </c>
    </row>
    <row r="12726" spans="1:1" x14ac:dyDescent="0.25">
      <c r="A12726" s="74">
        <v>17518</v>
      </c>
    </row>
    <row r="12727" spans="1:1" x14ac:dyDescent="0.25">
      <c r="A12727" s="74">
        <v>17519</v>
      </c>
    </row>
    <row r="12728" spans="1:1" x14ac:dyDescent="0.25">
      <c r="A12728" s="74">
        <v>17520</v>
      </c>
    </row>
    <row r="12729" spans="1:1" x14ac:dyDescent="0.25">
      <c r="A12729" s="74">
        <v>17521</v>
      </c>
    </row>
    <row r="12730" spans="1:1" x14ac:dyDescent="0.25">
      <c r="A12730" s="74">
        <v>17522</v>
      </c>
    </row>
    <row r="12731" spans="1:1" x14ac:dyDescent="0.25">
      <c r="A12731" s="74">
        <v>17523</v>
      </c>
    </row>
    <row r="12732" spans="1:1" x14ac:dyDescent="0.25">
      <c r="A12732" s="74">
        <v>17524</v>
      </c>
    </row>
    <row r="12733" spans="1:1" x14ac:dyDescent="0.25">
      <c r="A12733" s="74">
        <v>17525</v>
      </c>
    </row>
    <row r="12734" spans="1:1" x14ac:dyDescent="0.25">
      <c r="A12734" s="74">
        <v>17526</v>
      </c>
    </row>
    <row r="12735" spans="1:1" x14ac:dyDescent="0.25">
      <c r="A12735" s="74">
        <v>17527</v>
      </c>
    </row>
    <row r="12736" spans="1:1" x14ac:dyDescent="0.25">
      <c r="A12736" s="74">
        <v>17528</v>
      </c>
    </row>
    <row r="12737" spans="1:1" x14ac:dyDescent="0.25">
      <c r="A12737" s="74">
        <v>17529</v>
      </c>
    </row>
    <row r="12738" spans="1:1" x14ac:dyDescent="0.25">
      <c r="A12738" s="74">
        <v>17530</v>
      </c>
    </row>
    <row r="12739" spans="1:1" x14ac:dyDescent="0.25">
      <c r="A12739" s="74">
        <v>17531</v>
      </c>
    </row>
    <row r="12740" spans="1:1" x14ac:dyDescent="0.25">
      <c r="A12740" s="74">
        <v>17532</v>
      </c>
    </row>
    <row r="12741" spans="1:1" x14ac:dyDescent="0.25">
      <c r="A12741" s="74">
        <v>17533</v>
      </c>
    </row>
    <row r="12742" spans="1:1" x14ac:dyDescent="0.25">
      <c r="A12742" s="74">
        <v>17534</v>
      </c>
    </row>
    <row r="12743" spans="1:1" x14ac:dyDescent="0.25">
      <c r="A12743" s="74">
        <v>17535</v>
      </c>
    </row>
    <row r="12744" spans="1:1" x14ac:dyDescent="0.25">
      <c r="A12744" s="74">
        <v>17536</v>
      </c>
    </row>
    <row r="12745" spans="1:1" x14ac:dyDescent="0.25">
      <c r="A12745" s="74">
        <v>17537</v>
      </c>
    </row>
    <row r="12746" spans="1:1" x14ac:dyDescent="0.25">
      <c r="A12746" s="74">
        <v>17538</v>
      </c>
    </row>
    <row r="12747" spans="1:1" x14ac:dyDescent="0.25">
      <c r="A12747" s="74">
        <v>17539</v>
      </c>
    </row>
    <row r="12748" spans="1:1" x14ac:dyDescent="0.25">
      <c r="A12748" s="74">
        <v>17540</v>
      </c>
    </row>
    <row r="12749" spans="1:1" x14ac:dyDescent="0.25">
      <c r="A12749" s="74">
        <v>17541</v>
      </c>
    </row>
    <row r="12750" spans="1:1" x14ac:dyDescent="0.25">
      <c r="A12750" s="74">
        <v>17542</v>
      </c>
    </row>
    <row r="12751" spans="1:1" x14ac:dyDescent="0.25">
      <c r="A12751" s="74">
        <v>17543</v>
      </c>
    </row>
    <row r="12752" spans="1:1" x14ac:dyDescent="0.25">
      <c r="A12752" s="74">
        <v>17544</v>
      </c>
    </row>
    <row r="12753" spans="1:1" x14ac:dyDescent="0.25">
      <c r="A12753" s="74">
        <v>17545</v>
      </c>
    </row>
    <row r="12754" spans="1:1" x14ac:dyDescent="0.25">
      <c r="A12754" s="74">
        <v>17546</v>
      </c>
    </row>
    <row r="12755" spans="1:1" x14ac:dyDescent="0.25">
      <c r="A12755" s="74">
        <v>17547</v>
      </c>
    </row>
    <row r="12756" spans="1:1" x14ac:dyDescent="0.25">
      <c r="A12756" s="74">
        <v>17548</v>
      </c>
    </row>
    <row r="12757" spans="1:1" x14ac:dyDescent="0.25">
      <c r="A12757" s="74">
        <v>17549</v>
      </c>
    </row>
    <row r="12758" spans="1:1" x14ac:dyDescent="0.25">
      <c r="A12758" s="74">
        <v>17550</v>
      </c>
    </row>
    <row r="12759" spans="1:1" x14ac:dyDescent="0.25">
      <c r="A12759" s="74">
        <v>17551</v>
      </c>
    </row>
    <row r="12760" spans="1:1" x14ac:dyDescent="0.25">
      <c r="A12760" s="74">
        <v>17552</v>
      </c>
    </row>
    <row r="12761" spans="1:1" x14ac:dyDescent="0.25">
      <c r="A12761" s="74">
        <v>17553</v>
      </c>
    </row>
    <row r="12762" spans="1:1" x14ac:dyDescent="0.25">
      <c r="A12762" s="74">
        <v>17554</v>
      </c>
    </row>
    <row r="12763" spans="1:1" x14ac:dyDescent="0.25">
      <c r="A12763" s="74">
        <v>17555</v>
      </c>
    </row>
    <row r="12764" spans="1:1" x14ac:dyDescent="0.25">
      <c r="A12764" s="74">
        <v>17556</v>
      </c>
    </row>
    <row r="12765" spans="1:1" x14ac:dyDescent="0.25">
      <c r="A12765" s="74">
        <v>17557</v>
      </c>
    </row>
    <row r="12766" spans="1:1" x14ac:dyDescent="0.25">
      <c r="A12766" s="74">
        <v>17558</v>
      </c>
    </row>
    <row r="12767" spans="1:1" x14ac:dyDescent="0.25">
      <c r="A12767" s="74">
        <v>17559</v>
      </c>
    </row>
    <row r="12768" spans="1:1" x14ac:dyDescent="0.25">
      <c r="A12768" s="74">
        <v>17560</v>
      </c>
    </row>
    <row r="12769" spans="1:1" x14ac:dyDescent="0.25">
      <c r="A12769" s="74">
        <v>17561</v>
      </c>
    </row>
    <row r="12770" spans="1:1" x14ac:dyDescent="0.25">
      <c r="A12770" s="74">
        <v>17562</v>
      </c>
    </row>
    <row r="12771" spans="1:1" x14ac:dyDescent="0.25">
      <c r="A12771" s="74">
        <v>17563</v>
      </c>
    </row>
    <row r="12772" spans="1:1" x14ac:dyDescent="0.25">
      <c r="A12772" s="74">
        <v>17564</v>
      </c>
    </row>
    <row r="12773" spans="1:1" x14ac:dyDescent="0.25">
      <c r="A12773" s="74">
        <v>17565</v>
      </c>
    </row>
    <row r="12774" spans="1:1" x14ac:dyDescent="0.25">
      <c r="A12774" s="74">
        <v>17566</v>
      </c>
    </row>
    <row r="12775" spans="1:1" x14ac:dyDescent="0.25">
      <c r="A12775" s="74">
        <v>17567</v>
      </c>
    </row>
    <row r="12776" spans="1:1" x14ac:dyDescent="0.25">
      <c r="A12776" s="74">
        <v>17568</v>
      </c>
    </row>
    <row r="12777" spans="1:1" x14ac:dyDescent="0.25">
      <c r="A12777" s="74">
        <v>17569</v>
      </c>
    </row>
    <row r="12778" spans="1:1" x14ac:dyDescent="0.25">
      <c r="A12778" s="74">
        <v>17570</v>
      </c>
    </row>
    <row r="12779" spans="1:1" x14ac:dyDescent="0.25">
      <c r="A12779" s="74">
        <v>17571</v>
      </c>
    </row>
    <row r="12780" spans="1:1" x14ac:dyDescent="0.25">
      <c r="A12780" s="74">
        <v>17572</v>
      </c>
    </row>
    <row r="12781" spans="1:1" x14ac:dyDescent="0.25">
      <c r="A12781" s="74">
        <v>17573</v>
      </c>
    </row>
    <row r="12782" spans="1:1" x14ac:dyDescent="0.25">
      <c r="A12782" s="74">
        <v>17574</v>
      </c>
    </row>
    <row r="12783" spans="1:1" x14ac:dyDescent="0.25">
      <c r="A12783" s="74">
        <v>17575</v>
      </c>
    </row>
    <row r="12784" spans="1:1" x14ac:dyDescent="0.25">
      <c r="A12784" s="74">
        <v>17576</v>
      </c>
    </row>
    <row r="12785" spans="1:1" x14ac:dyDescent="0.25">
      <c r="A12785" s="74">
        <v>17577</v>
      </c>
    </row>
    <row r="12786" spans="1:1" x14ac:dyDescent="0.25">
      <c r="A12786" s="74">
        <v>17578</v>
      </c>
    </row>
    <row r="12787" spans="1:1" x14ac:dyDescent="0.25">
      <c r="A12787" s="74">
        <v>17579</v>
      </c>
    </row>
    <row r="12788" spans="1:1" x14ac:dyDescent="0.25">
      <c r="A12788" s="74">
        <v>17580</v>
      </c>
    </row>
    <row r="12789" spans="1:1" x14ac:dyDescent="0.25">
      <c r="A12789" s="74">
        <v>17581</v>
      </c>
    </row>
    <row r="12790" spans="1:1" x14ac:dyDescent="0.25">
      <c r="A12790" s="74">
        <v>17582</v>
      </c>
    </row>
    <row r="12791" spans="1:1" x14ac:dyDescent="0.25">
      <c r="A12791" s="74">
        <v>17583</v>
      </c>
    </row>
    <row r="12792" spans="1:1" x14ac:dyDescent="0.25">
      <c r="A12792" s="74">
        <v>17584</v>
      </c>
    </row>
    <row r="12793" spans="1:1" x14ac:dyDescent="0.25">
      <c r="A12793" s="74">
        <v>17585</v>
      </c>
    </row>
    <row r="12794" spans="1:1" x14ac:dyDescent="0.25">
      <c r="A12794" s="74">
        <v>17586</v>
      </c>
    </row>
    <row r="12795" spans="1:1" x14ac:dyDescent="0.25">
      <c r="A12795" s="74">
        <v>17587</v>
      </c>
    </row>
    <row r="12796" spans="1:1" x14ac:dyDescent="0.25">
      <c r="A12796" s="74">
        <v>17588</v>
      </c>
    </row>
    <row r="12797" spans="1:1" x14ac:dyDescent="0.25">
      <c r="A12797" s="74">
        <v>17589</v>
      </c>
    </row>
    <row r="12798" spans="1:1" x14ac:dyDescent="0.25">
      <c r="A12798" s="74">
        <v>17590</v>
      </c>
    </row>
    <row r="12799" spans="1:1" x14ac:dyDescent="0.25">
      <c r="A12799" s="74">
        <v>17591</v>
      </c>
    </row>
    <row r="12800" spans="1:1" x14ac:dyDescent="0.25">
      <c r="A12800" s="74">
        <v>17592</v>
      </c>
    </row>
    <row r="12801" spans="1:1" x14ac:dyDescent="0.25">
      <c r="A12801" s="74">
        <v>17593</v>
      </c>
    </row>
    <row r="12802" spans="1:1" x14ac:dyDescent="0.25">
      <c r="A12802" s="74">
        <v>17594</v>
      </c>
    </row>
    <row r="12803" spans="1:1" x14ac:dyDescent="0.25">
      <c r="A12803" s="74">
        <v>17595</v>
      </c>
    </row>
    <row r="12804" spans="1:1" x14ac:dyDescent="0.25">
      <c r="A12804" s="74">
        <v>17596</v>
      </c>
    </row>
    <row r="12805" spans="1:1" x14ac:dyDescent="0.25">
      <c r="A12805" s="74">
        <v>17597</v>
      </c>
    </row>
    <row r="12806" spans="1:1" x14ac:dyDescent="0.25">
      <c r="A12806" s="74">
        <v>17598</v>
      </c>
    </row>
    <row r="12807" spans="1:1" x14ac:dyDescent="0.25">
      <c r="A12807" s="74">
        <v>17599</v>
      </c>
    </row>
    <row r="12808" spans="1:1" x14ac:dyDescent="0.25">
      <c r="A12808" s="74">
        <v>17600</v>
      </c>
    </row>
    <row r="12809" spans="1:1" x14ac:dyDescent="0.25">
      <c r="A12809" s="74">
        <v>17601</v>
      </c>
    </row>
    <row r="12810" spans="1:1" x14ac:dyDescent="0.25">
      <c r="A12810" s="74">
        <v>17602</v>
      </c>
    </row>
    <row r="12811" spans="1:1" x14ac:dyDescent="0.25">
      <c r="A12811" s="74">
        <v>17603</v>
      </c>
    </row>
    <row r="12812" spans="1:1" x14ac:dyDescent="0.25">
      <c r="A12812" s="74">
        <v>17604</v>
      </c>
    </row>
    <row r="12813" spans="1:1" x14ac:dyDescent="0.25">
      <c r="A12813" s="74">
        <v>17605</v>
      </c>
    </row>
    <row r="12814" spans="1:1" x14ac:dyDescent="0.25">
      <c r="A12814" s="74">
        <v>17606</v>
      </c>
    </row>
    <row r="12815" spans="1:1" x14ac:dyDescent="0.25">
      <c r="A12815" s="74">
        <v>17607</v>
      </c>
    </row>
    <row r="12816" spans="1:1" x14ac:dyDescent="0.25">
      <c r="A12816" s="74">
        <v>17608</v>
      </c>
    </row>
    <row r="12817" spans="1:1" x14ac:dyDescent="0.25">
      <c r="A12817" s="74">
        <v>17609</v>
      </c>
    </row>
    <row r="12818" spans="1:1" x14ac:dyDescent="0.25">
      <c r="A12818" s="74">
        <v>17610</v>
      </c>
    </row>
    <row r="12819" spans="1:1" x14ac:dyDescent="0.25">
      <c r="A12819" s="74">
        <v>17611</v>
      </c>
    </row>
    <row r="12820" spans="1:1" x14ac:dyDescent="0.25">
      <c r="A12820" s="74">
        <v>17612</v>
      </c>
    </row>
    <row r="12821" spans="1:1" x14ac:dyDescent="0.25">
      <c r="A12821" s="74">
        <v>17613</v>
      </c>
    </row>
    <row r="12822" spans="1:1" x14ac:dyDescent="0.25">
      <c r="A12822" s="74">
        <v>17614</v>
      </c>
    </row>
    <row r="12823" spans="1:1" x14ac:dyDescent="0.25">
      <c r="A12823" s="74">
        <v>17615</v>
      </c>
    </row>
    <row r="12824" spans="1:1" x14ac:dyDescent="0.25">
      <c r="A12824" s="74">
        <v>17616</v>
      </c>
    </row>
    <row r="12825" spans="1:1" x14ac:dyDescent="0.25">
      <c r="A12825" s="74">
        <v>17617</v>
      </c>
    </row>
    <row r="12826" spans="1:1" x14ac:dyDescent="0.25">
      <c r="A12826" s="74">
        <v>17618</v>
      </c>
    </row>
    <row r="12827" spans="1:1" x14ac:dyDescent="0.25">
      <c r="A12827" s="74">
        <v>17619</v>
      </c>
    </row>
    <row r="12828" spans="1:1" x14ac:dyDescent="0.25">
      <c r="A12828" s="74">
        <v>17620</v>
      </c>
    </row>
    <row r="12829" spans="1:1" x14ac:dyDescent="0.25">
      <c r="A12829" s="74">
        <v>17621</v>
      </c>
    </row>
    <row r="12830" spans="1:1" x14ac:dyDescent="0.25">
      <c r="A12830" s="74">
        <v>17622</v>
      </c>
    </row>
    <row r="12831" spans="1:1" x14ac:dyDescent="0.25">
      <c r="A12831" s="74">
        <v>17623</v>
      </c>
    </row>
    <row r="12832" spans="1:1" x14ac:dyDescent="0.25">
      <c r="A12832" s="74">
        <v>17624</v>
      </c>
    </row>
    <row r="12833" spans="1:1" x14ac:dyDescent="0.25">
      <c r="A12833" s="74">
        <v>17625</v>
      </c>
    </row>
    <row r="12834" spans="1:1" x14ac:dyDescent="0.25">
      <c r="A12834" s="74">
        <v>17626</v>
      </c>
    </row>
    <row r="12835" spans="1:1" x14ac:dyDescent="0.25">
      <c r="A12835" s="74">
        <v>17627</v>
      </c>
    </row>
    <row r="12836" spans="1:1" x14ac:dyDescent="0.25">
      <c r="A12836" s="74">
        <v>17628</v>
      </c>
    </row>
    <row r="12837" spans="1:1" x14ac:dyDescent="0.25">
      <c r="A12837" s="74">
        <v>17629</v>
      </c>
    </row>
    <row r="12838" spans="1:1" x14ac:dyDescent="0.25">
      <c r="A12838" s="74">
        <v>17630</v>
      </c>
    </row>
    <row r="12839" spans="1:1" x14ac:dyDescent="0.25">
      <c r="A12839" s="74">
        <v>17631</v>
      </c>
    </row>
    <row r="12840" spans="1:1" x14ac:dyDescent="0.25">
      <c r="A12840" s="74">
        <v>17632</v>
      </c>
    </row>
    <row r="12841" spans="1:1" x14ac:dyDescent="0.25">
      <c r="A12841" s="74">
        <v>17633</v>
      </c>
    </row>
    <row r="12842" spans="1:1" x14ac:dyDescent="0.25">
      <c r="A12842" s="74">
        <v>17634</v>
      </c>
    </row>
    <row r="12843" spans="1:1" x14ac:dyDescent="0.25">
      <c r="A12843" s="74">
        <v>17635</v>
      </c>
    </row>
    <row r="12844" spans="1:1" x14ac:dyDescent="0.25">
      <c r="A12844" s="74">
        <v>17636</v>
      </c>
    </row>
    <row r="12845" spans="1:1" x14ac:dyDescent="0.25">
      <c r="A12845" s="74">
        <v>17637</v>
      </c>
    </row>
    <row r="12846" spans="1:1" x14ac:dyDescent="0.25">
      <c r="A12846" s="74">
        <v>17638</v>
      </c>
    </row>
    <row r="12847" spans="1:1" x14ac:dyDescent="0.25">
      <c r="A12847" s="74">
        <v>17639</v>
      </c>
    </row>
    <row r="12848" spans="1:1" x14ac:dyDescent="0.25">
      <c r="A12848" s="74">
        <v>17640</v>
      </c>
    </row>
    <row r="12849" spans="1:1" x14ac:dyDescent="0.25">
      <c r="A12849" s="74">
        <v>17641</v>
      </c>
    </row>
    <row r="12850" spans="1:1" x14ac:dyDescent="0.25">
      <c r="A12850" s="74">
        <v>17642</v>
      </c>
    </row>
    <row r="12851" spans="1:1" x14ac:dyDescent="0.25">
      <c r="A12851" s="74">
        <v>17643</v>
      </c>
    </row>
    <row r="12852" spans="1:1" x14ac:dyDescent="0.25">
      <c r="A12852" s="74">
        <v>17644</v>
      </c>
    </row>
    <row r="12853" spans="1:1" x14ac:dyDescent="0.25">
      <c r="A12853" s="74">
        <v>17645</v>
      </c>
    </row>
    <row r="12854" spans="1:1" x14ac:dyDescent="0.25">
      <c r="A12854" s="74">
        <v>17646</v>
      </c>
    </row>
    <row r="12855" spans="1:1" x14ac:dyDescent="0.25">
      <c r="A12855" s="74">
        <v>17647</v>
      </c>
    </row>
    <row r="12856" spans="1:1" x14ac:dyDescent="0.25">
      <c r="A12856" s="74">
        <v>17648</v>
      </c>
    </row>
    <row r="12857" spans="1:1" x14ac:dyDescent="0.25">
      <c r="A12857" s="74">
        <v>17649</v>
      </c>
    </row>
    <row r="12858" spans="1:1" x14ac:dyDescent="0.25">
      <c r="A12858" s="74">
        <v>17650</v>
      </c>
    </row>
    <row r="12859" spans="1:1" x14ac:dyDescent="0.25">
      <c r="A12859" s="74">
        <v>17651</v>
      </c>
    </row>
    <row r="12860" spans="1:1" x14ac:dyDescent="0.25">
      <c r="A12860" s="74">
        <v>17652</v>
      </c>
    </row>
    <row r="12861" spans="1:1" x14ac:dyDescent="0.25">
      <c r="A12861" s="74">
        <v>17653</v>
      </c>
    </row>
    <row r="12862" spans="1:1" x14ac:dyDescent="0.25">
      <c r="A12862" s="74">
        <v>17654</v>
      </c>
    </row>
    <row r="12863" spans="1:1" x14ac:dyDescent="0.25">
      <c r="A12863" s="74">
        <v>17655</v>
      </c>
    </row>
    <row r="12864" spans="1:1" x14ac:dyDescent="0.25">
      <c r="A12864" s="74">
        <v>17656</v>
      </c>
    </row>
    <row r="12865" spans="1:1" x14ac:dyDescent="0.25">
      <c r="A12865" s="74">
        <v>17657</v>
      </c>
    </row>
    <row r="12866" spans="1:1" x14ac:dyDescent="0.25">
      <c r="A12866" s="74">
        <v>17658</v>
      </c>
    </row>
    <row r="12867" spans="1:1" x14ac:dyDescent="0.25">
      <c r="A12867" s="74">
        <v>17659</v>
      </c>
    </row>
    <row r="12868" spans="1:1" x14ac:dyDescent="0.25">
      <c r="A12868" s="74">
        <v>17660</v>
      </c>
    </row>
    <row r="12869" spans="1:1" x14ac:dyDescent="0.25">
      <c r="A12869" s="74">
        <v>17661</v>
      </c>
    </row>
    <row r="12870" spans="1:1" x14ac:dyDescent="0.25">
      <c r="A12870" s="74">
        <v>17662</v>
      </c>
    </row>
    <row r="12871" spans="1:1" x14ac:dyDescent="0.25">
      <c r="A12871" s="74">
        <v>17663</v>
      </c>
    </row>
    <row r="12872" spans="1:1" x14ac:dyDescent="0.25">
      <c r="A12872" s="74">
        <v>17664</v>
      </c>
    </row>
    <row r="12873" spans="1:1" x14ac:dyDescent="0.25">
      <c r="A12873" s="74">
        <v>17665</v>
      </c>
    </row>
    <row r="12874" spans="1:1" x14ac:dyDescent="0.25">
      <c r="A12874" s="74">
        <v>17666</v>
      </c>
    </row>
    <row r="12875" spans="1:1" x14ac:dyDescent="0.25">
      <c r="A12875" s="74">
        <v>17667</v>
      </c>
    </row>
    <row r="12876" spans="1:1" x14ac:dyDescent="0.25">
      <c r="A12876" s="74">
        <v>17668</v>
      </c>
    </row>
    <row r="12877" spans="1:1" x14ac:dyDescent="0.25">
      <c r="A12877" s="74">
        <v>17669</v>
      </c>
    </row>
    <row r="12878" spans="1:1" x14ac:dyDescent="0.25">
      <c r="A12878" s="74">
        <v>17670</v>
      </c>
    </row>
    <row r="12879" spans="1:1" x14ac:dyDescent="0.25">
      <c r="A12879" s="74">
        <v>17671</v>
      </c>
    </row>
    <row r="12880" spans="1:1" x14ac:dyDescent="0.25">
      <c r="A12880" s="74">
        <v>17672</v>
      </c>
    </row>
    <row r="12881" spans="1:1" x14ac:dyDescent="0.25">
      <c r="A12881" s="74">
        <v>17673</v>
      </c>
    </row>
    <row r="12882" spans="1:1" x14ac:dyDescent="0.25">
      <c r="A12882" s="74">
        <v>17674</v>
      </c>
    </row>
    <row r="12883" spans="1:1" x14ac:dyDescent="0.25">
      <c r="A12883" s="74">
        <v>17675</v>
      </c>
    </row>
    <row r="12884" spans="1:1" x14ac:dyDescent="0.25">
      <c r="A12884" s="74">
        <v>17676</v>
      </c>
    </row>
    <row r="12885" spans="1:1" x14ac:dyDescent="0.25">
      <c r="A12885" s="74">
        <v>17677</v>
      </c>
    </row>
    <row r="12886" spans="1:1" x14ac:dyDescent="0.25">
      <c r="A12886" s="74">
        <v>17678</v>
      </c>
    </row>
    <row r="12887" spans="1:1" x14ac:dyDescent="0.25">
      <c r="A12887" s="74">
        <v>17679</v>
      </c>
    </row>
    <row r="12888" spans="1:1" x14ac:dyDescent="0.25">
      <c r="A12888" s="74">
        <v>17680</v>
      </c>
    </row>
    <row r="12889" spans="1:1" x14ac:dyDescent="0.25">
      <c r="A12889" s="74">
        <v>17681</v>
      </c>
    </row>
    <row r="12890" spans="1:1" x14ac:dyDescent="0.25">
      <c r="A12890" s="74">
        <v>17682</v>
      </c>
    </row>
    <row r="12891" spans="1:1" x14ac:dyDescent="0.25">
      <c r="A12891" s="74">
        <v>17683</v>
      </c>
    </row>
    <row r="12892" spans="1:1" x14ac:dyDescent="0.25">
      <c r="A12892" s="74">
        <v>17684</v>
      </c>
    </row>
    <row r="12893" spans="1:1" x14ac:dyDescent="0.25">
      <c r="A12893" s="74">
        <v>17685</v>
      </c>
    </row>
    <row r="12894" spans="1:1" x14ac:dyDescent="0.25">
      <c r="A12894" s="74">
        <v>17686</v>
      </c>
    </row>
    <row r="12895" spans="1:1" x14ac:dyDescent="0.25">
      <c r="A12895" s="74">
        <v>17687</v>
      </c>
    </row>
    <row r="12896" spans="1:1" x14ac:dyDescent="0.25">
      <c r="A12896" s="74">
        <v>17688</v>
      </c>
    </row>
    <row r="12897" spans="1:1" x14ac:dyDescent="0.25">
      <c r="A12897" s="74">
        <v>17689</v>
      </c>
    </row>
    <row r="12898" spans="1:1" x14ac:dyDescent="0.25">
      <c r="A12898" s="74">
        <v>17690</v>
      </c>
    </row>
    <row r="12899" spans="1:1" x14ac:dyDescent="0.25">
      <c r="A12899" s="74">
        <v>17691</v>
      </c>
    </row>
    <row r="12900" spans="1:1" x14ac:dyDescent="0.25">
      <c r="A12900" s="74">
        <v>17692</v>
      </c>
    </row>
    <row r="12901" spans="1:1" x14ac:dyDescent="0.25">
      <c r="A12901" s="74">
        <v>17693</v>
      </c>
    </row>
    <row r="12902" spans="1:1" x14ac:dyDescent="0.25">
      <c r="A12902" s="74">
        <v>17694</v>
      </c>
    </row>
    <row r="12903" spans="1:1" x14ac:dyDescent="0.25">
      <c r="A12903" s="74">
        <v>17695</v>
      </c>
    </row>
    <row r="12904" spans="1:1" x14ac:dyDescent="0.25">
      <c r="A12904" s="74">
        <v>17696</v>
      </c>
    </row>
    <row r="12905" spans="1:1" x14ac:dyDescent="0.25">
      <c r="A12905" s="74">
        <v>17697</v>
      </c>
    </row>
    <row r="12906" spans="1:1" x14ac:dyDescent="0.25">
      <c r="A12906" s="74">
        <v>17698</v>
      </c>
    </row>
    <row r="12907" spans="1:1" x14ac:dyDescent="0.25">
      <c r="A12907" s="74">
        <v>17699</v>
      </c>
    </row>
    <row r="12908" spans="1:1" x14ac:dyDescent="0.25">
      <c r="A12908" s="74">
        <v>17700</v>
      </c>
    </row>
    <row r="12909" spans="1:1" x14ac:dyDescent="0.25">
      <c r="A12909" s="74">
        <v>17701</v>
      </c>
    </row>
    <row r="12910" spans="1:1" x14ac:dyDescent="0.25">
      <c r="A12910" s="74">
        <v>17702</v>
      </c>
    </row>
    <row r="12911" spans="1:1" x14ac:dyDescent="0.25">
      <c r="A12911" s="74">
        <v>17703</v>
      </c>
    </row>
    <row r="12912" spans="1:1" x14ac:dyDescent="0.25">
      <c r="A12912" s="74">
        <v>17704</v>
      </c>
    </row>
    <row r="12913" spans="1:1" x14ac:dyDescent="0.25">
      <c r="A12913" s="74">
        <v>17705</v>
      </c>
    </row>
    <row r="12914" spans="1:1" x14ac:dyDescent="0.25">
      <c r="A12914" s="74">
        <v>17706</v>
      </c>
    </row>
    <row r="12915" spans="1:1" x14ac:dyDescent="0.25">
      <c r="A12915" s="74">
        <v>17707</v>
      </c>
    </row>
    <row r="12916" spans="1:1" x14ac:dyDescent="0.25">
      <c r="A12916" s="74">
        <v>17708</v>
      </c>
    </row>
    <row r="12917" spans="1:1" x14ac:dyDescent="0.25">
      <c r="A12917" s="74">
        <v>17709</v>
      </c>
    </row>
    <row r="12918" spans="1:1" x14ac:dyDescent="0.25">
      <c r="A12918" s="74">
        <v>17710</v>
      </c>
    </row>
    <row r="12919" spans="1:1" x14ac:dyDescent="0.25">
      <c r="A12919" s="74">
        <v>17711</v>
      </c>
    </row>
    <row r="12920" spans="1:1" x14ac:dyDescent="0.25">
      <c r="A12920" s="74">
        <v>17712</v>
      </c>
    </row>
    <row r="12921" spans="1:1" x14ac:dyDescent="0.25">
      <c r="A12921" s="74">
        <v>17713</v>
      </c>
    </row>
    <row r="12922" spans="1:1" x14ac:dyDescent="0.25">
      <c r="A12922" s="74">
        <v>17714</v>
      </c>
    </row>
    <row r="12923" spans="1:1" x14ac:dyDescent="0.25">
      <c r="A12923" s="74">
        <v>17715</v>
      </c>
    </row>
    <row r="12924" spans="1:1" x14ac:dyDescent="0.25">
      <c r="A12924" s="74">
        <v>17716</v>
      </c>
    </row>
    <row r="12925" spans="1:1" x14ac:dyDescent="0.25">
      <c r="A12925" s="74">
        <v>17717</v>
      </c>
    </row>
    <row r="12926" spans="1:1" x14ac:dyDescent="0.25">
      <c r="A12926" s="74">
        <v>17718</v>
      </c>
    </row>
    <row r="12927" spans="1:1" x14ac:dyDescent="0.25">
      <c r="A12927" s="74">
        <v>17719</v>
      </c>
    </row>
    <row r="12928" spans="1:1" x14ac:dyDescent="0.25">
      <c r="A12928" s="74">
        <v>17720</v>
      </c>
    </row>
    <row r="12929" spans="1:1" x14ac:dyDescent="0.25">
      <c r="A12929" s="74">
        <v>17721</v>
      </c>
    </row>
    <row r="12930" spans="1:1" x14ac:dyDescent="0.25">
      <c r="A12930" s="74">
        <v>17722</v>
      </c>
    </row>
    <row r="12931" spans="1:1" x14ac:dyDescent="0.25">
      <c r="A12931" s="74">
        <v>17723</v>
      </c>
    </row>
    <row r="12932" spans="1:1" x14ac:dyDescent="0.25">
      <c r="A12932" s="74">
        <v>17724</v>
      </c>
    </row>
    <row r="12933" spans="1:1" x14ac:dyDescent="0.25">
      <c r="A12933" s="74">
        <v>17725</v>
      </c>
    </row>
    <row r="12934" spans="1:1" x14ac:dyDescent="0.25">
      <c r="A12934" s="74">
        <v>17726</v>
      </c>
    </row>
    <row r="12935" spans="1:1" x14ac:dyDescent="0.25">
      <c r="A12935" s="74">
        <v>17727</v>
      </c>
    </row>
    <row r="12936" spans="1:1" x14ac:dyDescent="0.25">
      <c r="A12936" s="74">
        <v>17728</v>
      </c>
    </row>
    <row r="12937" spans="1:1" x14ac:dyDescent="0.25">
      <c r="A12937" s="74">
        <v>17729</v>
      </c>
    </row>
    <row r="12938" spans="1:1" x14ac:dyDescent="0.25">
      <c r="A12938" s="74">
        <v>17730</v>
      </c>
    </row>
    <row r="12939" spans="1:1" x14ac:dyDescent="0.25">
      <c r="A12939" s="74">
        <v>17731</v>
      </c>
    </row>
    <row r="12940" spans="1:1" x14ac:dyDescent="0.25">
      <c r="A12940" s="74">
        <v>17732</v>
      </c>
    </row>
    <row r="12941" spans="1:1" x14ac:dyDescent="0.25">
      <c r="A12941" s="74">
        <v>17733</v>
      </c>
    </row>
    <row r="12942" spans="1:1" x14ac:dyDescent="0.25">
      <c r="A12942" s="74">
        <v>17734</v>
      </c>
    </row>
    <row r="12943" spans="1:1" x14ac:dyDescent="0.25">
      <c r="A12943" s="74">
        <v>17735</v>
      </c>
    </row>
    <row r="12944" spans="1:1" x14ac:dyDescent="0.25">
      <c r="A12944" s="74">
        <v>17736</v>
      </c>
    </row>
    <row r="12945" spans="1:1" x14ac:dyDescent="0.25">
      <c r="A12945" s="74">
        <v>17737</v>
      </c>
    </row>
    <row r="12946" spans="1:1" x14ac:dyDescent="0.25">
      <c r="A12946" s="74">
        <v>17738</v>
      </c>
    </row>
    <row r="12947" spans="1:1" x14ac:dyDescent="0.25">
      <c r="A12947" s="74">
        <v>17739</v>
      </c>
    </row>
    <row r="12948" spans="1:1" x14ac:dyDescent="0.25">
      <c r="A12948" s="74">
        <v>17740</v>
      </c>
    </row>
    <row r="12949" spans="1:1" x14ac:dyDescent="0.25">
      <c r="A12949" s="74">
        <v>17741</v>
      </c>
    </row>
    <row r="12950" spans="1:1" x14ac:dyDescent="0.25">
      <c r="A12950" s="74">
        <v>17742</v>
      </c>
    </row>
    <row r="12951" spans="1:1" x14ac:dyDescent="0.25">
      <c r="A12951" s="74">
        <v>17743</v>
      </c>
    </row>
    <row r="12952" spans="1:1" x14ac:dyDescent="0.25">
      <c r="A12952" s="74">
        <v>17744</v>
      </c>
    </row>
    <row r="12953" spans="1:1" x14ac:dyDescent="0.25">
      <c r="A12953" s="74">
        <v>17745</v>
      </c>
    </row>
    <row r="12954" spans="1:1" x14ac:dyDescent="0.25">
      <c r="A12954" s="74">
        <v>17746</v>
      </c>
    </row>
    <row r="12955" spans="1:1" x14ac:dyDescent="0.25">
      <c r="A12955" s="74">
        <v>17747</v>
      </c>
    </row>
    <row r="12956" spans="1:1" x14ac:dyDescent="0.25">
      <c r="A12956" s="74">
        <v>17748</v>
      </c>
    </row>
    <row r="12957" spans="1:1" x14ac:dyDescent="0.25">
      <c r="A12957" s="74">
        <v>17749</v>
      </c>
    </row>
    <row r="12958" spans="1:1" x14ac:dyDescent="0.25">
      <c r="A12958" s="74">
        <v>17750</v>
      </c>
    </row>
    <row r="12959" spans="1:1" x14ac:dyDescent="0.25">
      <c r="A12959" s="74">
        <v>17751</v>
      </c>
    </row>
    <row r="12960" spans="1:1" x14ac:dyDescent="0.25">
      <c r="A12960" s="74">
        <v>17752</v>
      </c>
    </row>
    <row r="12961" spans="1:1" x14ac:dyDescent="0.25">
      <c r="A12961" s="74">
        <v>17753</v>
      </c>
    </row>
    <row r="12962" spans="1:1" x14ac:dyDescent="0.25">
      <c r="A12962" s="74">
        <v>17754</v>
      </c>
    </row>
    <row r="12963" spans="1:1" x14ac:dyDescent="0.25">
      <c r="A12963" s="74">
        <v>17755</v>
      </c>
    </row>
    <row r="12964" spans="1:1" x14ac:dyDescent="0.25">
      <c r="A12964" s="74">
        <v>17756</v>
      </c>
    </row>
    <row r="12965" spans="1:1" x14ac:dyDescent="0.25">
      <c r="A12965" s="74">
        <v>17757</v>
      </c>
    </row>
    <row r="12966" spans="1:1" x14ac:dyDescent="0.25">
      <c r="A12966" s="74">
        <v>17758</v>
      </c>
    </row>
    <row r="12967" spans="1:1" x14ac:dyDescent="0.25">
      <c r="A12967" s="74">
        <v>17759</v>
      </c>
    </row>
    <row r="12968" spans="1:1" x14ac:dyDescent="0.25">
      <c r="A12968" s="74">
        <v>17760</v>
      </c>
    </row>
    <row r="12969" spans="1:1" x14ac:dyDescent="0.25">
      <c r="A12969" s="74">
        <v>17761</v>
      </c>
    </row>
    <row r="12970" spans="1:1" x14ac:dyDescent="0.25">
      <c r="A12970" s="74">
        <v>17762</v>
      </c>
    </row>
    <row r="12971" spans="1:1" x14ac:dyDescent="0.25">
      <c r="A12971" s="74">
        <v>17763</v>
      </c>
    </row>
    <row r="12972" spans="1:1" x14ac:dyDescent="0.25">
      <c r="A12972" s="74">
        <v>17764</v>
      </c>
    </row>
    <row r="12973" spans="1:1" x14ac:dyDescent="0.25">
      <c r="A12973" s="74">
        <v>17765</v>
      </c>
    </row>
    <row r="12974" spans="1:1" x14ac:dyDescent="0.25">
      <c r="A12974" s="74">
        <v>17766</v>
      </c>
    </row>
    <row r="12975" spans="1:1" x14ac:dyDescent="0.25">
      <c r="A12975" s="74">
        <v>17767</v>
      </c>
    </row>
    <row r="12976" spans="1:1" x14ac:dyDescent="0.25">
      <c r="A12976" s="74">
        <v>17768</v>
      </c>
    </row>
    <row r="12977" spans="1:1" x14ac:dyDescent="0.25">
      <c r="A12977" s="74">
        <v>17769</v>
      </c>
    </row>
    <row r="12978" spans="1:1" x14ac:dyDescent="0.25">
      <c r="A12978" s="74">
        <v>17770</v>
      </c>
    </row>
    <row r="12979" spans="1:1" x14ac:dyDescent="0.25">
      <c r="A12979" s="74">
        <v>17771</v>
      </c>
    </row>
    <row r="12980" spans="1:1" x14ac:dyDescent="0.25">
      <c r="A12980" s="74">
        <v>17772</v>
      </c>
    </row>
    <row r="12981" spans="1:1" x14ac:dyDescent="0.25">
      <c r="A12981" s="74">
        <v>17773</v>
      </c>
    </row>
    <row r="12982" spans="1:1" x14ac:dyDescent="0.25">
      <c r="A12982" s="74">
        <v>17774</v>
      </c>
    </row>
    <row r="12983" spans="1:1" x14ac:dyDescent="0.25">
      <c r="A12983" s="74">
        <v>17775</v>
      </c>
    </row>
    <row r="12984" spans="1:1" x14ac:dyDescent="0.25">
      <c r="A12984" s="74">
        <v>17776</v>
      </c>
    </row>
    <row r="12985" spans="1:1" x14ac:dyDescent="0.25">
      <c r="A12985" s="74">
        <v>17777</v>
      </c>
    </row>
    <row r="12986" spans="1:1" x14ac:dyDescent="0.25">
      <c r="A12986" s="74">
        <v>17778</v>
      </c>
    </row>
    <row r="12987" spans="1:1" x14ac:dyDescent="0.25">
      <c r="A12987" s="74">
        <v>17779</v>
      </c>
    </row>
    <row r="12988" spans="1:1" x14ac:dyDescent="0.25">
      <c r="A12988" s="74">
        <v>17780</v>
      </c>
    </row>
    <row r="12989" spans="1:1" x14ac:dyDescent="0.25">
      <c r="A12989" s="74">
        <v>17781</v>
      </c>
    </row>
    <row r="12990" spans="1:1" x14ac:dyDescent="0.25">
      <c r="A12990" s="74">
        <v>17782</v>
      </c>
    </row>
    <row r="12991" spans="1:1" x14ac:dyDescent="0.25">
      <c r="A12991" s="74">
        <v>17783</v>
      </c>
    </row>
    <row r="12992" spans="1:1" x14ac:dyDescent="0.25">
      <c r="A12992" s="74">
        <v>17784</v>
      </c>
    </row>
    <row r="12993" spans="1:1" x14ac:dyDescent="0.25">
      <c r="A12993" s="74">
        <v>17785</v>
      </c>
    </row>
    <row r="12994" spans="1:1" x14ac:dyDescent="0.25">
      <c r="A12994" s="74">
        <v>17786</v>
      </c>
    </row>
    <row r="12995" spans="1:1" x14ac:dyDescent="0.25">
      <c r="A12995" s="74">
        <v>17787</v>
      </c>
    </row>
    <row r="12996" spans="1:1" x14ac:dyDescent="0.25">
      <c r="A12996" s="74">
        <v>17788</v>
      </c>
    </row>
    <row r="12997" spans="1:1" x14ac:dyDescent="0.25">
      <c r="A12997" s="74">
        <v>17789</v>
      </c>
    </row>
    <row r="12998" spans="1:1" x14ac:dyDescent="0.25">
      <c r="A12998" s="74">
        <v>17790</v>
      </c>
    </row>
    <row r="12999" spans="1:1" x14ac:dyDescent="0.25">
      <c r="A12999" s="74">
        <v>17791</v>
      </c>
    </row>
    <row r="13000" spans="1:1" x14ac:dyDescent="0.25">
      <c r="A13000" s="74">
        <v>17792</v>
      </c>
    </row>
    <row r="13001" spans="1:1" x14ac:dyDescent="0.25">
      <c r="A13001" s="74">
        <v>17793</v>
      </c>
    </row>
    <row r="13002" spans="1:1" x14ac:dyDescent="0.25">
      <c r="A13002" s="74">
        <v>17794</v>
      </c>
    </row>
    <row r="13003" spans="1:1" x14ac:dyDescent="0.25">
      <c r="A13003" s="74">
        <v>17795</v>
      </c>
    </row>
    <row r="13004" spans="1:1" x14ac:dyDescent="0.25">
      <c r="A13004" s="74">
        <v>17796</v>
      </c>
    </row>
    <row r="13005" spans="1:1" x14ac:dyDescent="0.25">
      <c r="A13005" s="74">
        <v>17797</v>
      </c>
    </row>
    <row r="13006" spans="1:1" x14ac:dyDescent="0.25">
      <c r="A13006" s="74">
        <v>17798</v>
      </c>
    </row>
    <row r="13007" spans="1:1" x14ac:dyDescent="0.25">
      <c r="A13007" s="74">
        <v>17799</v>
      </c>
    </row>
    <row r="13008" spans="1:1" x14ac:dyDescent="0.25">
      <c r="A13008" s="74">
        <v>17800</v>
      </c>
    </row>
    <row r="13009" spans="1:1" x14ac:dyDescent="0.25">
      <c r="A13009" s="74">
        <v>17801</v>
      </c>
    </row>
    <row r="13010" spans="1:1" x14ac:dyDescent="0.25">
      <c r="A13010" s="74">
        <v>17802</v>
      </c>
    </row>
    <row r="13011" spans="1:1" x14ac:dyDescent="0.25">
      <c r="A13011" s="74">
        <v>17803</v>
      </c>
    </row>
    <row r="13012" spans="1:1" x14ac:dyDescent="0.25">
      <c r="A13012" s="74">
        <v>17804</v>
      </c>
    </row>
    <row r="13013" spans="1:1" x14ac:dyDescent="0.25">
      <c r="A13013" s="74">
        <v>17805</v>
      </c>
    </row>
    <row r="13014" spans="1:1" x14ac:dyDescent="0.25">
      <c r="A13014" s="74">
        <v>17806</v>
      </c>
    </row>
    <row r="13015" spans="1:1" x14ac:dyDescent="0.25">
      <c r="A13015" s="74">
        <v>17807</v>
      </c>
    </row>
    <row r="13016" spans="1:1" x14ac:dyDescent="0.25">
      <c r="A13016" s="74">
        <v>17808</v>
      </c>
    </row>
    <row r="13017" spans="1:1" x14ac:dyDescent="0.25">
      <c r="A13017" s="74">
        <v>17809</v>
      </c>
    </row>
    <row r="13018" spans="1:1" x14ac:dyDescent="0.25">
      <c r="A13018" s="74">
        <v>17810</v>
      </c>
    </row>
    <row r="13019" spans="1:1" x14ac:dyDescent="0.25">
      <c r="A13019" s="74">
        <v>17811</v>
      </c>
    </row>
    <row r="13020" spans="1:1" x14ac:dyDescent="0.25">
      <c r="A13020" s="74">
        <v>17812</v>
      </c>
    </row>
    <row r="13021" spans="1:1" x14ac:dyDescent="0.25">
      <c r="A13021" s="74">
        <v>17813</v>
      </c>
    </row>
    <row r="13022" spans="1:1" x14ac:dyDescent="0.25">
      <c r="A13022" s="74">
        <v>17814</v>
      </c>
    </row>
    <row r="13023" spans="1:1" x14ac:dyDescent="0.25">
      <c r="A13023" s="74">
        <v>17815</v>
      </c>
    </row>
    <row r="13024" spans="1:1" x14ac:dyDescent="0.25">
      <c r="A13024" s="74">
        <v>17816</v>
      </c>
    </row>
    <row r="13025" spans="1:1" x14ac:dyDescent="0.25">
      <c r="A13025" s="74">
        <v>17817</v>
      </c>
    </row>
    <row r="13026" spans="1:1" x14ac:dyDescent="0.25">
      <c r="A13026" s="74">
        <v>17818</v>
      </c>
    </row>
    <row r="13027" spans="1:1" x14ac:dyDescent="0.25">
      <c r="A13027" s="74">
        <v>17819</v>
      </c>
    </row>
    <row r="13028" spans="1:1" x14ac:dyDescent="0.25">
      <c r="A13028" s="74">
        <v>17820</v>
      </c>
    </row>
    <row r="13029" spans="1:1" x14ac:dyDescent="0.25">
      <c r="A13029" s="74">
        <v>17821</v>
      </c>
    </row>
    <row r="13030" spans="1:1" x14ac:dyDescent="0.25">
      <c r="A13030" s="74">
        <v>17822</v>
      </c>
    </row>
    <row r="13031" spans="1:1" x14ac:dyDescent="0.25">
      <c r="A13031" s="74">
        <v>17823</v>
      </c>
    </row>
    <row r="13032" spans="1:1" x14ac:dyDescent="0.25">
      <c r="A13032" s="74">
        <v>17824</v>
      </c>
    </row>
    <row r="13033" spans="1:1" x14ac:dyDescent="0.25">
      <c r="A13033" s="74">
        <v>17825</v>
      </c>
    </row>
    <row r="13034" spans="1:1" x14ac:dyDescent="0.25">
      <c r="A13034" s="74">
        <v>17826</v>
      </c>
    </row>
    <row r="13035" spans="1:1" x14ac:dyDescent="0.25">
      <c r="A13035" s="74">
        <v>17827</v>
      </c>
    </row>
    <row r="13036" spans="1:1" x14ac:dyDescent="0.25">
      <c r="A13036" s="74">
        <v>17828</v>
      </c>
    </row>
    <row r="13037" spans="1:1" x14ac:dyDescent="0.25">
      <c r="A13037" s="74">
        <v>17829</v>
      </c>
    </row>
    <row r="13038" spans="1:1" x14ac:dyDescent="0.25">
      <c r="A13038" s="74">
        <v>17830</v>
      </c>
    </row>
    <row r="13039" spans="1:1" x14ac:dyDescent="0.25">
      <c r="A13039" s="74">
        <v>17831</v>
      </c>
    </row>
    <row r="13040" spans="1:1" x14ac:dyDescent="0.25">
      <c r="A13040" s="74">
        <v>17832</v>
      </c>
    </row>
    <row r="13041" spans="1:1" x14ac:dyDescent="0.25">
      <c r="A13041" s="74">
        <v>17833</v>
      </c>
    </row>
    <row r="13042" spans="1:1" x14ac:dyDescent="0.25">
      <c r="A13042" s="74">
        <v>17834</v>
      </c>
    </row>
    <row r="13043" spans="1:1" x14ac:dyDescent="0.25">
      <c r="A13043" s="74">
        <v>17835</v>
      </c>
    </row>
    <row r="13044" spans="1:1" x14ac:dyDescent="0.25">
      <c r="A13044" s="74">
        <v>17836</v>
      </c>
    </row>
    <row r="13045" spans="1:1" x14ac:dyDescent="0.25">
      <c r="A13045" s="74">
        <v>17837</v>
      </c>
    </row>
    <row r="13046" spans="1:1" x14ac:dyDescent="0.25">
      <c r="A13046" s="74">
        <v>17838</v>
      </c>
    </row>
    <row r="13047" spans="1:1" x14ac:dyDescent="0.25">
      <c r="A13047" s="74">
        <v>17839</v>
      </c>
    </row>
    <row r="13048" spans="1:1" x14ac:dyDescent="0.25">
      <c r="A13048" s="74">
        <v>17840</v>
      </c>
    </row>
    <row r="13049" spans="1:1" x14ac:dyDescent="0.25">
      <c r="A13049" s="74">
        <v>17841</v>
      </c>
    </row>
    <row r="13050" spans="1:1" x14ac:dyDescent="0.25">
      <c r="A13050" s="74">
        <v>17842</v>
      </c>
    </row>
    <row r="13051" spans="1:1" x14ac:dyDescent="0.25">
      <c r="A13051" s="74">
        <v>17843</v>
      </c>
    </row>
    <row r="13052" spans="1:1" x14ac:dyDescent="0.25">
      <c r="A13052" s="74">
        <v>17844</v>
      </c>
    </row>
    <row r="13053" spans="1:1" x14ac:dyDescent="0.25">
      <c r="A13053" s="74">
        <v>17845</v>
      </c>
    </row>
    <row r="13054" spans="1:1" x14ac:dyDescent="0.25">
      <c r="A13054" s="74">
        <v>17846</v>
      </c>
    </row>
    <row r="13055" spans="1:1" x14ac:dyDescent="0.25">
      <c r="A13055" s="74">
        <v>17847</v>
      </c>
    </row>
    <row r="13056" spans="1:1" x14ac:dyDescent="0.25">
      <c r="A13056" s="74">
        <v>17848</v>
      </c>
    </row>
    <row r="13057" spans="1:1" x14ac:dyDescent="0.25">
      <c r="A13057" s="74">
        <v>17849</v>
      </c>
    </row>
    <row r="13058" spans="1:1" x14ac:dyDescent="0.25">
      <c r="A13058" s="74">
        <v>17850</v>
      </c>
    </row>
    <row r="13059" spans="1:1" x14ac:dyDescent="0.25">
      <c r="A13059" s="74">
        <v>17851</v>
      </c>
    </row>
    <row r="13060" spans="1:1" x14ac:dyDescent="0.25">
      <c r="A13060" s="74">
        <v>17852</v>
      </c>
    </row>
    <row r="13061" spans="1:1" x14ac:dyDescent="0.25">
      <c r="A13061" s="74">
        <v>17853</v>
      </c>
    </row>
    <row r="13062" spans="1:1" x14ac:dyDescent="0.25">
      <c r="A13062" s="74">
        <v>17854</v>
      </c>
    </row>
    <row r="13063" spans="1:1" x14ac:dyDescent="0.25">
      <c r="A13063" s="74">
        <v>17855</v>
      </c>
    </row>
    <row r="13064" spans="1:1" x14ac:dyDescent="0.25">
      <c r="A13064" s="74">
        <v>17856</v>
      </c>
    </row>
    <row r="13065" spans="1:1" x14ac:dyDescent="0.25">
      <c r="A13065" s="74">
        <v>17857</v>
      </c>
    </row>
    <row r="13066" spans="1:1" x14ac:dyDescent="0.25">
      <c r="A13066" s="74">
        <v>17858</v>
      </c>
    </row>
    <row r="13067" spans="1:1" x14ac:dyDescent="0.25">
      <c r="A13067" s="74">
        <v>17859</v>
      </c>
    </row>
    <row r="13068" spans="1:1" x14ac:dyDescent="0.25">
      <c r="A13068" s="74">
        <v>17860</v>
      </c>
    </row>
    <row r="13069" spans="1:1" x14ac:dyDescent="0.25">
      <c r="A13069" s="74">
        <v>17861</v>
      </c>
    </row>
    <row r="13070" spans="1:1" x14ac:dyDescent="0.25">
      <c r="A13070" s="74">
        <v>17862</v>
      </c>
    </row>
    <row r="13071" spans="1:1" x14ac:dyDescent="0.25">
      <c r="A13071" s="74">
        <v>17863</v>
      </c>
    </row>
    <row r="13072" spans="1:1" x14ac:dyDescent="0.25">
      <c r="A13072" s="74">
        <v>17864</v>
      </c>
    </row>
    <row r="13073" spans="1:1" x14ac:dyDescent="0.25">
      <c r="A13073" s="74">
        <v>17865</v>
      </c>
    </row>
    <row r="13074" spans="1:1" x14ac:dyDescent="0.25">
      <c r="A13074" s="74">
        <v>17866</v>
      </c>
    </row>
    <row r="13075" spans="1:1" x14ac:dyDescent="0.25">
      <c r="A13075" s="74">
        <v>17867</v>
      </c>
    </row>
    <row r="13076" spans="1:1" x14ac:dyDescent="0.25">
      <c r="A13076" s="74">
        <v>17868</v>
      </c>
    </row>
    <row r="13077" spans="1:1" x14ac:dyDescent="0.25">
      <c r="A13077" s="74">
        <v>17869</v>
      </c>
    </row>
    <row r="13078" spans="1:1" x14ac:dyDescent="0.25">
      <c r="A13078" s="74">
        <v>17870</v>
      </c>
    </row>
    <row r="13079" spans="1:1" x14ac:dyDescent="0.25">
      <c r="A13079" s="74">
        <v>17871</v>
      </c>
    </row>
    <row r="13080" spans="1:1" x14ac:dyDescent="0.25">
      <c r="A13080" s="74">
        <v>17872</v>
      </c>
    </row>
    <row r="13081" spans="1:1" x14ac:dyDescent="0.25">
      <c r="A13081" s="74">
        <v>17873</v>
      </c>
    </row>
    <row r="13082" spans="1:1" x14ac:dyDescent="0.25">
      <c r="A13082" s="74">
        <v>17874</v>
      </c>
    </row>
    <row r="13083" spans="1:1" x14ac:dyDescent="0.25">
      <c r="A13083" s="74">
        <v>17875</v>
      </c>
    </row>
    <row r="13084" spans="1:1" x14ac:dyDescent="0.25">
      <c r="A13084" s="74">
        <v>17876</v>
      </c>
    </row>
    <row r="13085" spans="1:1" x14ac:dyDescent="0.25">
      <c r="A13085" s="74">
        <v>17877</v>
      </c>
    </row>
    <row r="13086" spans="1:1" x14ac:dyDescent="0.25">
      <c r="A13086" s="74">
        <v>17878</v>
      </c>
    </row>
    <row r="13087" spans="1:1" x14ac:dyDescent="0.25">
      <c r="A13087" s="74">
        <v>17879</v>
      </c>
    </row>
    <row r="13088" spans="1:1" x14ac:dyDescent="0.25">
      <c r="A13088" s="74">
        <v>17880</v>
      </c>
    </row>
    <row r="13089" spans="1:1" x14ac:dyDescent="0.25">
      <c r="A13089" s="74">
        <v>17881</v>
      </c>
    </row>
    <row r="13090" spans="1:1" x14ac:dyDescent="0.25">
      <c r="A13090" s="74">
        <v>17882</v>
      </c>
    </row>
    <row r="13091" spans="1:1" x14ac:dyDescent="0.25">
      <c r="A13091" s="74">
        <v>17883</v>
      </c>
    </row>
    <row r="13092" spans="1:1" x14ac:dyDescent="0.25">
      <c r="A13092" s="74">
        <v>17884</v>
      </c>
    </row>
    <row r="13093" spans="1:1" x14ac:dyDescent="0.25">
      <c r="A13093" s="74">
        <v>17885</v>
      </c>
    </row>
    <row r="13094" spans="1:1" x14ac:dyDescent="0.25">
      <c r="A13094" s="74">
        <v>17886</v>
      </c>
    </row>
    <row r="13095" spans="1:1" x14ac:dyDescent="0.25">
      <c r="A13095" s="74">
        <v>17887</v>
      </c>
    </row>
    <row r="13096" spans="1:1" x14ac:dyDescent="0.25">
      <c r="A13096" s="74">
        <v>17888</v>
      </c>
    </row>
    <row r="13097" spans="1:1" x14ac:dyDescent="0.25">
      <c r="A13097" s="74">
        <v>17889</v>
      </c>
    </row>
    <row r="13098" spans="1:1" x14ac:dyDescent="0.25">
      <c r="A13098" s="74">
        <v>17890</v>
      </c>
    </row>
    <row r="13099" spans="1:1" x14ac:dyDescent="0.25">
      <c r="A13099" s="74">
        <v>17891</v>
      </c>
    </row>
    <row r="13100" spans="1:1" x14ac:dyDescent="0.25">
      <c r="A13100" s="74">
        <v>17892</v>
      </c>
    </row>
    <row r="13101" spans="1:1" x14ac:dyDescent="0.25">
      <c r="A13101" s="74">
        <v>17893</v>
      </c>
    </row>
    <row r="13102" spans="1:1" x14ac:dyDescent="0.25">
      <c r="A13102" s="74">
        <v>17894</v>
      </c>
    </row>
    <row r="13103" spans="1:1" x14ac:dyDescent="0.25">
      <c r="A13103" s="74">
        <v>17895</v>
      </c>
    </row>
    <row r="13104" spans="1:1" x14ac:dyDescent="0.25">
      <c r="A13104" s="74">
        <v>17896</v>
      </c>
    </row>
    <row r="13105" spans="1:1" x14ac:dyDescent="0.25">
      <c r="A13105" s="74">
        <v>17897</v>
      </c>
    </row>
    <row r="13106" spans="1:1" x14ac:dyDescent="0.25">
      <c r="A13106" s="74">
        <v>17898</v>
      </c>
    </row>
    <row r="13107" spans="1:1" x14ac:dyDescent="0.25">
      <c r="A13107" s="74">
        <v>17899</v>
      </c>
    </row>
    <row r="13108" spans="1:1" x14ac:dyDescent="0.25">
      <c r="A13108" s="74">
        <v>17900</v>
      </c>
    </row>
    <row r="13109" spans="1:1" x14ac:dyDescent="0.25">
      <c r="A13109" s="74">
        <v>17901</v>
      </c>
    </row>
    <row r="13110" spans="1:1" x14ac:dyDescent="0.25">
      <c r="A13110" s="74">
        <v>17902</v>
      </c>
    </row>
    <row r="13111" spans="1:1" x14ac:dyDescent="0.25">
      <c r="A13111" s="74">
        <v>17903</v>
      </c>
    </row>
    <row r="13112" spans="1:1" x14ac:dyDescent="0.25">
      <c r="A13112" s="74">
        <v>17904</v>
      </c>
    </row>
    <row r="13113" spans="1:1" x14ac:dyDescent="0.25">
      <c r="A13113" s="74">
        <v>17905</v>
      </c>
    </row>
    <row r="13114" spans="1:1" x14ac:dyDescent="0.25">
      <c r="A13114" s="74">
        <v>17906</v>
      </c>
    </row>
    <row r="13115" spans="1:1" x14ac:dyDescent="0.25">
      <c r="A13115" s="74">
        <v>17907</v>
      </c>
    </row>
    <row r="13116" spans="1:1" x14ac:dyDescent="0.25">
      <c r="A13116" s="74">
        <v>17908</v>
      </c>
    </row>
    <row r="13117" spans="1:1" x14ac:dyDescent="0.25">
      <c r="A13117" s="74">
        <v>17909</v>
      </c>
    </row>
    <row r="13118" spans="1:1" x14ac:dyDescent="0.25">
      <c r="A13118" s="74">
        <v>17910</v>
      </c>
    </row>
    <row r="13119" spans="1:1" x14ac:dyDescent="0.25">
      <c r="A13119" s="74">
        <v>17911</v>
      </c>
    </row>
    <row r="13120" spans="1:1" x14ac:dyDescent="0.25">
      <c r="A13120" s="74">
        <v>17912</v>
      </c>
    </row>
    <row r="13121" spans="1:1" x14ac:dyDescent="0.25">
      <c r="A13121" s="74">
        <v>17913</v>
      </c>
    </row>
    <row r="13122" spans="1:1" x14ac:dyDescent="0.25">
      <c r="A13122" s="74">
        <v>17914</v>
      </c>
    </row>
    <row r="13123" spans="1:1" x14ac:dyDescent="0.25">
      <c r="A13123" s="74">
        <v>17915</v>
      </c>
    </row>
    <row r="13124" spans="1:1" x14ac:dyDescent="0.25">
      <c r="A13124" s="74">
        <v>17916</v>
      </c>
    </row>
    <row r="13125" spans="1:1" x14ac:dyDescent="0.25">
      <c r="A13125" s="74">
        <v>17917</v>
      </c>
    </row>
    <row r="13126" spans="1:1" x14ac:dyDescent="0.25">
      <c r="A13126" s="74">
        <v>17918</v>
      </c>
    </row>
    <row r="13127" spans="1:1" x14ac:dyDescent="0.25">
      <c r="A13127" s="74">
        <v>17919</v>
      </c>
    </row>
    <row r="13128" spans="1:1" x14ac:dyDescent="0.25">
      <c r="A13128" s="74">
        <v>17920</v>
      </c>
    </row>
    <row r="13129" spans="1:1" x14ac:dyDescent="0.25">
      <c r="A13129" s="74">
        <v>17921</v>
      </c>
    </row>
    <row r="13130" spans="1:1" x14ac:dyDescent="0.25">
      <c r="A13130" s="74">
        <v>17922</v>
      </c>
    </row>
    <row r="13131" spans="1:1" x14ac:dyDescent="0.25">
      <c r="A13131" s="74">
        <v>17923</v>
      </c>
    </row>
    <row r="13132" spans="1:1" x14ac:dyDescent="0.25">
      <c r="A13132" s="74">
        <v>17924</v>
      </c>
    </row>
    <row r="13133" spans="1:1" x14ac:dyDescent="0.25">
      <c r="A13133" s="74">
        <v>17925</v>
      </c>
    </row>
    <row r="13134" spans="1:1" x14ac:dyDescent="0.25">
      <c r="A13134" s="74">
        <v>17926</v>
      </c>
    </row>
    <row r="13135" spans="1:1" x14ac:dyDescent="0.25">
      <c r="A13135" s="74">
        <v>17927</v>
      </c>
    </row>
    <row r="13136" spans="1:1" x14ac:dyDescent="0.25">
      <c r="A13136" s="74">
        <v>17928</v>
      </c>
    </row>
    <row r="13137" spans="1:1" x14ac:dyDescent="0.25">
      <c r="A13137" s="74">
        <v>17929</v>
      </c>
    </row>
    <row r="13138" spans="1:1" x14ac:dyDescent="0.25">
      <c r="A13138" s="74">
        <v>17930</v>
      </c>
    </row>
    <row r="13139" spans="1:1" x14ac:dyDescent="0.25">
      <c r="A13139" s="74">
        <v>17931</v>
      </c>
    </row>
    <row r="13140" spans="1:1" x14ac:dyDescent="0.25">
      <c r="A13140" s="74">
        <v>17932</v>
      </c>
    </row>
    <row r="13141" spans="1:1" x14ac:dyDescent="0.25">
      <c r="A13141" s="74">
        <v>17933</v>
      </c>
    </row>
    <row r="13142" spans="1:1" x14ac:dyDescent="0.25">
      <c r="A13142" s="74">
        <v>17934</v>
      </c>
    </row>
    <row r="13143" spans="1:1" x14ac:dyDescent="0.25">
      <c r="A13143" s="74">
        <v>17935</v>
      </c>
    </row>
    <row r="13144" spans="1:1" x14ac:dyDescent="0.25">
      <c r="A13144" s="74">
        <v>17936</v>
      </c>
    </row>
    <row r="13145" spans="1:1" x14ac:dyDescent="0.25">
      <c r="A13145" s="74">
        <v>17937</v>
      </c>
    </row>
    <row r="13146" spans="1:1" x14ac:dyDescent="0.25">
      <c r="A13146" s="74">
        <v>17938</v>
      </c>
    </row>
    <row r="13147" spans="1:1" x14ac:dyDescent="0.25">
      <c r="A13147" s="74">
        <v>17939</v>
      </c>
    </row>
    <row r="13148" spans="1:1" x14ac:dyDescent="0.25">
      <c r="A13148" s="74">
        <v>17940</v>
      </c>
    </row>
    <row r="13149" spans="1:1" x14ac:dyDescent="0.25">
      <c r="A13149" s="74">
        <v>17941</v>
      </c>
    </row>
    <row r="13150" spans="1:1" x14ac:dyDescent="0.25">
      <c r="A13150" s="74">
        <v>17942</v>
      </c>
    </row>
    <row r="13151" spans="1:1" x14ac:dyDescent="0.25">
      <c r="A13151" s="74">
        <v>17943</v>
      </c>
    </row>
    <row r="13152" spans="1:1" x14ac:dyDescent="0.25">
      <c r="A13152" s="74">
        <v>17944</v>
      </c>
    </row>
    <row r="13153" spans="1:1" x14ac:dyDescent="0.25">
      <c r="A13153" s="74">
        <v>17945</v>
      </c>
    </row>
    <row r="13154" spans="1:1" x14ac:dyDescent="0.25">
      <c r="A13154" s="74">
        <v>17946</v>
      </c>
    </row>
    <row r="13155" spans="1:1" x14ac:dyDescent="0.25">
      <c r="A13155" s="74">
        <v>17947</v>
      </c>
    </row>
    <row r="13156" spans="1:1" x14ac:dyDescent="0.25">
      <c r="A13156" s="74">
        <v>17948</v>
      </c>
    </row>
    <row r="13157" spans="1:1" x14ac:dyDescent="0.25">
      <c r="A13157" s="74">
        <v>17949</v>
      </c>
    </row>
    <row r="13158" spans="1:1" x14ac:dyDescent="0.25">
      <c r="A13158" s="74">
        <v>17950</v>
      </c>
    </row>
    <row r="13159" spans="1:1" x14ac:dyDescent="0.25">
      <c r="A13159" s="74">
        <v>17951</v>
      </c>
    </row>
    <row r="13160" spans="1:1" x14ac:dyDescent="0.25">
      <c r="A13160" s="74">
        <v>17952</v>
      </c>
    </row>
    <row r="13161" spans="1:1" x14ac:dyDescent="0.25">
      <c r="A13161" s="74">
        <v>17953</v>
      </c>
    </row>
    <row r="13162" spans="1:1" x14ac:dyDescent="0.25">
      <c r="A13162" s="74">
        <v>17954</v>
      </c>
    </row>
    <row r="13163" spans="1:1" x14ac:dyDescent="0.25">
      <c r="A13163" s="74">
        <v>17955</v>
      </c>
    </row>
    <row r="13164" spans="1:1" x14ac:dyDescent="0.25">
      <c r="A13164" s="74">
        <v>17956</v>
      </c>
    </row>
    <row r="13165" spans="1:1" x14ac:dyDescent="0.25">
      <c r="A13165" s="74">
        <v>17957</v>
      </c>
    </row>
    <row r="13166" spans="1:1" x14ac:dyDescent="0.25">
      <c r="A13166" s="74">
        <v>17958</v>
      </c>
    </row>
    <row r="13167" spans="1:1" x14ac:dyDescent="0.25">
      <c r="A13167" s="74">
        <v>17959</v>
      </c>
    </row>
    <row r="13168" spans="1:1" x14ac:dyDescent="0.25">
      <c r="A13168" s="74">
        <v>17960</v>
      </c>
    </row>
    <row r="13169" spans="1:1" x14ac:dyDescent="0.25">
      <c r="A13169" s="74">
        <v>17961</v>
      </c>
    </row>
    <row r="13170" spans="1:1" x14ac:dyDescent="0.25">
      <c r="A13170" s="74">
        <v>17962</v>
      </c>
    </row>
    <row r="13171" spans="1:1" x14ac:dyDescent="0.25">
      <c r="A13171" s="74">
        <v>17963</v>
      </c>
    </row>
    <row r="13172" spans="1:1" x14ac:dyDescent="0.25">
      <c r="A13172" s="74">
        <v>17964</v>
      </c>
    </row>
    <row r="13173" spans="1:1" x14ac:dyDescent="0.25">
      <c r="A13173" s="74">
        <v>17965</v>
      </c>
    </row>
    <row r="13174" spans="1:1" x14ac:dyDescent="0.25">
      <c r="A13174" s="74">
        <v>17966</v>
      </c>
    </row>
    <row r="13175" spans="1:1" x14ac:dyDescent="0.25">
      <c r="A13175" s="74">
        <v>17967</v>
      </c>
    </row>
    <row r="13176" spans="1:1" x14ac:dyDescent="0.25">
      <c r="A13176" s="74">
        <v>17968</v>
      </c>
    </row>
    <row r="13177" spans="1:1" x14ac:dyDescent="0.25">
      <c r="A13177" s="74">
        <v>17969</v>
      </c>
    </row>
    <row r="13178" spans="1:1" x14ac:dyDescent="0.25">
      <c r="A13178" s="74">
        <v>17970</v>
      </c>
    </row>
    <row r="13179" spans="1:1" x14ac:dyDescent="0.25">
      <c r="A13179" s="74">
        <v>17971</v>
      </c>
    </row>
    <row r="13180" spans="1:1" x14ac:dyDescent="0.25">
      <c r="A13180" s="74">
        <v>17972</v>
      </c>
    </row>
    <row r="13181" spans="1:1" x14ac:dyDescent="0.25">
      <c r="A13181" s="74">
        <v>17973</v>
      </c>
    </row>
    <row r="13182" spans="1:1" x14ac:dyDescent="0.25">
      <c r="A13182" s="74">
        <v>17974</v>
      </c>
    </row>
    <row r="13183" spans="1:1" x14ac:dyDescent="0.25">
      <c r="A13183" s="74">
        <v>17975</v>
      </c>
    </row>
    <row r="13184" spans="1:1" x14ac:dyDescent="0.25">
      <c r="A13184" s="74">
        <v>17976</v>
      </c>
    </row>
    <row r="13185" spans="1:1" x14ac:dyDescent="0.25">
      <c r="A13185" s="74">
        <v>17977</v>
      </c>
    </row>
    <row r="13186" spans="1:1" x14ac:dyDescent="0.25">
      <c r="A13186" s="74">
        <v>17978</v>
      </c>
    </row>
    <row r="13187" spans="1:1" x14ac:dyDescent="0.25">
      <c r="A13187" s="74">
        <v>17979</v>
      </c>
    </row>
    <row r="13188" spans="1:1" x14ac:dyDescent="0.25">
      <c r="A13188" s="74">
        <v>17980</v>
      </c>
    </row>
    <row r="13189" spans="1:1" x14ac:dyDescent="0.25">
      <c r="A13189" s="74">
        <v>17981</v>
      </c>
    </row>
    <row r="13190" spans="1:1" x14ac:dyDescent="0.25">
      <c r="A13190" s="74">
        <v>17982</v>
      </c>
    </row>
    <row r="13191" spans="1:1" x14ac:dyDescent="0.25">
      <c r="A13191" s="74">
        <v>17983</v>
      </c>
    </row>
    <row r="13192" spans="1:1" x14ac:dyDescent="0.25">
      <c r="A13192" s="74">
        <v>17984</v>
      </c>
    </row>
    <row r="13193" spans="1:1" x14ac:dyDescent="0.25">
      <c r="A13193" s="74">
        <v>17985</v>
      </c>
    </row>
    <row r="13194" spans="1:1" x14ac:dyDescent="0.25">
      <c r="A13194" s="74">
        <v>17986</v>
      </c>
    </row>
    <row r="13195" spans="1:1" x14ac:dyDescent="0.25">
      <c r="A13195" s="74">
        <v>17987</v>
      </c>
    </row>
    <row r="13196" spans="1:1" x14ac:dyDescent="0.25">
      <c r="A13196" s="74">
        <v>17988</v>
      </c>
    </row>
    <row r="13197" spans="1:1" x14ac:dyDescent="0.25">
      <c r="A13197" s="74">
        <v>17989</v>
      </c>
    </row>
    <row r="13198" spans="1:1" x14ac:dyDescent="0.25">
      <c r="A13198" s="74">
        <v>17990</v>
      </c>
    </row>
    <row r="13199" spans="1:1" x14ac:dyDescent="0.25">
      <c r="A13199" s="74">
        <v>17991</v>
      </c>
    </row>
    <row r="13200" spans="1:1" x14ac:dyDescent="0.25">
      <c r="A13200" s="74">
        <v>17992</v>
      </c>
    </row>
    <row r="13201" spans="1:1" x14ac:dyDescent="0.25">
      <c r="A13201" s="74">
        <v>17993</v>
      </c>
    </row>
    <row r="13202" spans="1:1" x14ac:dyDescent="0.25">
      <c r="A13202" s="74">
        <v>17994</v>
      </c>
    </row>
    <row r="13203" spans="1:1" x14ac:dyDescent="0.25">
      <c r="A13203" s="74">
        <v>17995</v>
      </c>
    </row>
    <row r="13204" spans="1:1" x14ac:dyDescent="0.25">
      <c r="A13204" s="74">
        <v>17996</v>
      </c>
    </row>
    <row r="13205" spans="1:1" x14ac:dyDescent="0.25">
      <c r="A13205" s="74">
        <v>17997</v>
      </c>
    </row>
    <row r="13206" spans="1:1" x14ac:dyDescent="0.25">
      <c r="A13206" s="74">
        <v>17998</v>
      </c>
    </row>
    <row r="13207" spans="1:1" x14ac:dyDescent="0.25">
      <c r="A13207" s="74">
        <v>17999</v>
      </c>
    </row>
    <row r="13208" spans="1:1" x14ac:dyDescent="0.25">
      <c r="A13208" s="74">
        <v>18000</v>
      </c>
    </row>
    <row r="13209" spans="1:1" x14ac:dyDescent="0.25">
      <c r="A13209" s="74">
        <v>18001</v>
      </c>
    </row>
    <row r="13210" spans="1:1" x14ac:dyDescent="0.25">
      <c r="A13210" s="74">
        <v>18002</v>
      </c>
    </row>
    <row r="13211" spans="1:1" x14ac:dyDescent="0.25">
      <c r="A13211" s="74">
        <v>18003</v>
      </c>
    </row>
    <row r="13212" spans="1:1" x14ac:dyDescent="0.25">
      <c r="A13212" s="74">
        <v>18004</v>
      </c>
    </row>
    <row r="13213" spans="1:1" x14ac:dyDescent="0.25">
      <c r="A13213" s="74">
        <v>18005</v>
      </c>
    </row>
    <row r="13214" spans="1:1" x14ac:dyDescent="0.25">
      <c r="A13214" s="74">
        <v>18006</v>
      </c>
    </row>
    <row r="13215" spans="1:1" x14ac:dyDescent="0.25">
      <c r="A13215" s="74">
        <v>18007</v>
      </c>
    </row>
    <row r="13216" spans="1:1" x14ac:dyDescent="0.25">
      <c r="A13216" s="74">
        <v>18008</v>
      </c>
    </row>
    <row r="13217" spans="1:1" x14ac:dyDescent="0.25">
      <c r="A13217" s="74">
        <v>18009</v>
      </c>
    </row>
    <row r="13218" spans="1:1" x14ac:dyDescent="0.25">
      <c r="A13218" s="74">
        <v>18010</v>
      </c>
    </row>
    <row r="13219" spans="1:1" x14ac:dyDescent="0.25">
      <c r="A13219" s="74">
        <v>18011</v>
      </c>
    </row>
    <row r="13220" spans="1:1" x14ac:dyDescent="0.25">
      <c r="A13220" s="74">
        <v>18012</v>
      </c>
    </row>
    <row r="13221" spans="1:1" x14ac:dyDescent="0.25">
      <c r="A13221" s="74">
        <v>18013</v>
      </c>
    </row>
    <row r="13222" spans="1:1" x14ac:dyDescent="0.25">
      <c r="A13222" s="74">
        <v>18014</v>
      </c>
    </row>
    <row r="13223" spans="1:1" x14ac:dyDescent="0.25">
      <c r="A13223" s="74">
        <v>18015</v>
      </c>
    </row>
    <row r="13224" spans="1:1" x14ac:dyDescent="0.25">
      <c r="A13224" s="74">
        <v>18016</v>
      </c>
    </row>
    <row r="13225" spans="1:1" x14ac:dyDescent="0.25">
      <c r="A13225" s="74">
        <v>18017</v>
      </c>
    </row>
    <row r="13226" spans="1:1" x14ac:dyDescent="0.25">
      <c r="A13226" s="74">
        <v>18018</v>
      </c>
    </row>
    <row r="13227" spans="1:1" x14ac:dyDescent="0.25">
      <c r="A13227" s="74">
        <v>18019</v>
      </c>
    </row>
    <row r="13228" spans="1:1" x14ac:dyDescent="0.25">
      <c r="A13228" s="74">
        <v>18020</v>
      </c>
    </row>
    <row r="13229" spans="1:1" x14ac:dyDescent="0.25">
      <c r="A13229" s="74">
        <v>18021</v>
      </c>
    </row>
    <row r="13230" spans="1:1" x14ac:dyDescent="0.25">
      <c r="A13230" s="74">
        <v>18022</v>
      </c>
    </row>
    <row r="13231" spans="1:1" x14ac:dyDescent="0.25">
      <c r="A13231" s="74">
        <v>18023</v>
      </c>
    </row>
    <row r="13232" spans="1:1" x14ac:dyDescent="0.25">
      <c r="A13232" s="74">
        <v>18024</v>
      </c>
    </row>
    <row r="13233" spans="1:1" x14ac:dyDescent="0.25">
      <c r="A13233" s="74">
        <v>18025</v>
      </c>
    </row>
    <row r="13234" spans="1:1" x14ac:dyDescent="0.25">
      <c r="A13234" s="74">
        <v>18026</v>
      </c>
    </row>
    <row r="13235" spans="1:1" x14ac:dyDescent="0.25">
      <c r="A13235" s="74">
        <v>18027</v>
      </c>
    </row>
    <row r="13236" spans="1:1" x14ac:dyDescent="0.25">
      <c r="A13236" s="74">
        <v>18028</v>
      </c>
    </row>
    <row r="13237" spans="1:1" x14ac:dyDescent="0.25">
      <c r="A13237" s="74">
        <v>18029</v>
      </c>
    </row>
    <row r="13238" spans="1:1" x14ac:dyDescent="0.25">
      <c r="A13238" s="74">
        <v>18030</v>
      </c>
    </row>
    <row r="13239" spans="1:1" x14ac:dyDescent="0.25">
      <c r="A13239" s="74">
        <v>18031</v>
      </c>
    </row>
    <row r="13240" spans="1:1" x14ac:dyDescent="0.25">
      <c r="A13240" s="74">
        <v>18032</v>
      </c>
    </row>
    <row r="13241" spans="1:1" x14ac:dyDescent="0.25">
      <c r="A13241" s="74">
        <v>18033</v>
      </c>
    </row>
    <row r="13242" spans="1:1" x14ac:dyDescent="0.25">
      <c r="A13242" s="74">
        <v>18034</v>
      </c>
    </row>
    <row r="13243" spans="1:1" x14ac:dyDescent="0.25">
      <c r="A13243" s="74">
        <v>18035</v>
      </c>
    </row>
    <row r="13244" spans="1:1" x14ac:dyDescent="0.25">
      <c r="A13244" s="74">
        <v>18036</v>
      </c>
    </row>
    <row r="13245" spans="1:1" x14ac:dyDescent="0.25">
      <c r="A13245" s="74">
        <v>18037</v>
      </c>
    </row>
    <row r="13246" spans="1:1" x14ac:dyDescent="0.25">
      <c r="A13246" s="74">
        <v>18038</v>
      </c>
    </row>
    <row r="13247" spans="1:1" x14ac:dyDescent="0.25">
      <c r="A13247" s="74">
        <v>18039</v>
      </c>
    </row>
    <row r="13248" spans="1:1" x14ac:dyDescent="0.25">
      <c r="A13248" s="74">
        <v>18040</v>
      </c>
    </row>
    <row r="13249" spans="1:1" x14ac:dyDescent="0.25">
      <c r="A13249" s="74">
        <v>18041</v>
      </c>
    </row>
    <row r="13250" spans="1:1" x14ac:dyDescent="0.25">
      <c r="A13250" s="74">
        <v>18042</v>
      </c>
    </row>
    <row r="13251" spans="1:1" x14ac:dyDescent="0.25">
      <c r="A13251" s="74">
        <v>18043</v>
      </c>
    </row>
    <row r="13252" spans="1:1" x14ac:dyDescent="0.25">
      <c r="A13252" s="74">
        <v>18044</v>
      </c>
    </row>
    <row r="13253" spans="1:1" x14ac:dyDescent="0.25">
      <c r="A13253" s="74">
        <v>18045</v>
      </c>
    </row>
    <row r="13254" spans="1:1" x14ac:dyDescent="0.25">
      <c r="A13254" s="74">
        <v>18046</v>
      </c>
    </row>
    <row r="13255" spans="1:1" x14ac:dyDescent="0.25">
      <c r="A13255" s="74">
        <v>18047</v>
      </c>
    </row>
    <row r="13256" spans="1:1" x14ac:dyDescent="0.25">
      <c r="A13256" s="74">
        <v>18048</v>
      </c>
    </row>
    <row r="13257" spans="1:1" x14ac:dyDescent="0.25">
      <c r="A13257" s="74">
        <v>18049</v>
      </c>
    </row>
    <row r="13258" spans="1:1" x14ac:dyDescent="0.25">
      <c r="A13258" s="74">
        <v>18050</v>
      </c>
    </row>
    <row r="13259" spans="1:1" x14ac:dyDescent="0.25">
      <c r="A13259" s="74">
        <v>18051</v>
      </c>
    </row>
    <row r="13260" spans="1:1" x14ac:dyDescent="0.25">
      <c r="A13260" s="74">
        <v>18052</v>
      </c>
    </row>
    <row r="13261" spans="1:1" x14ac:dyDescent="0.25">
      <c r="A13261" s="74">
        <v>18053</v>
      </c>
    </row>
    <row r="13262" spans="1:1" x14ac:dyDescent="0.25">
      <c r="A13262" s="74">
        <v>18054</v>
      </c>
    </row>
    <row r="13263" spans="1:1" x14ac:dyDescent="0.25">
      <c r="A13263" s="74">
        <v>18055</v>
      </c>
    </row>
    <row r="13264" spans="1:1" x14ac:dyDescent="0.25">
      <c r="A13264" s="74">
        <v>18056</v>
      </c>
    </row>
    <row r="13265" spans="1:1" x14ac:dyDescent="0.25">
      <c r="A13265" s="74">
        <v>18057</v>
      </c>
    </row>
    <row r="13266" spans="1:1" x14ac:dyDescent="0.25">
      <c r="A13266" s="74">
        <v>18058</v>
      </c>
    </row>
    <row r="13267" spans="1:1" x14ac:dyDescent="0.25">
      <c r="A13267" s="74">
        <v>18059</v>
      </c>
    </row>
    <row r="13268" spans="1:1" x14ac:dyDescent="0.25">
      <c r="A13268" s="74">
        <v>18060</v>
      </c>
    </row>
    <row r="13269" spans="1:1" x14ac:dyDescent="0.25">
      <c r="A13269" s="74">
        <v>18061</v>
      </c>
    </row>
    <row r="13270" spans="1:1" x14ac:dyDescent="0.25">
      <c r="A13270" s="74">
        <v>18062</v>
      </c>
    </row>
    <row r="13271" spans="1:1" x14ac:dyDescent="0.25">
      <c r="A13271" s="74">
        <v>18063</v>
      </c>
    </row>
    <row r="13272" spans="1:1" x14ac:dyDescent="0.25">
      <c r="A13272" s="74">
        <v>18064</v>
      </c>
    </row>
    <row r="13273" spans="1:1" x14ac:dyDescent="0.25">
      <c r="A13273" s="74">
        <v>18065</v>
      </c>
    </row>
    <row r="13274" spans="1:1" x14ac:dyDescent="0.25">
      <c r="A13274" s="74">
        <v>18066</v>
      </c>
    </row>
    <row r="13275" spans="1:1" x14ac:dyDescent="0.25">
      <c r="A13275" s="74">
        <v>18067</v>
      </c>
    </row>
    <row r="13276" spans="1:1" x14ac:dyDescent="0.25">
      <c r="A13276" s="74">
        <v>18068</v>
      </c>
    </row>
    <row r="13277" spans="1:1" x14ac:dyDescent="0.25">
      <c r="A13277" s="74">
        <v>18069</v>
      </c>
    </row>
    <row r="13278" spans="1:1" x14ac:dyDescent="0.25">
      <c r="A13278" s="74">
        <v>18070</v>
      </c>
    </row>
    <row r="13279" spans="1:1" x14ac:dyDescent="0.25">
      <c r="A13279" s="74">
        <v>18071</v>
      </c>
    </row>
    <row r="13280" spans="1:1" x14ac:dyDescent="0.25">
      <c r="A13280" s="74">
        <v>18072</v>
      </c>
    </row>
    <row r="13281" spans="1:1" x14ac:dyDescent="0.25">
      <c r="A13281" s="74">
        <v>18073</v>
      </c>
    </row>
    <row r="13282" spans="1:1" x14ac:dyDescent="0.25">
      <c r="A13282" s="74">
        <v>18074</v>
      </c>
    </row>
    <row r="13283" spans="1:1" x14ac:dyDescent="0.25">
      <c r="A13283" s="74">
        <v>18075</v>
      </c>
    </row>
    <row r="13284" spans="1:1" x14ac:dyDescent="0.25">
      <c r="A13284" s="74">
        <v>18076</v>
      </c>
    </row>
    <row r="13285" spans="1:1" x14ac:dyDescent="0.25">
      <c r="A13285" s="74">
        <v>18077</v>
      </c>
    </row>
    <row r="13286" spans="1:1" x14ac:dyDescent="0.25">
      <c r="A13286" s="74">
        <v>18078</v>
      </c>
    </row>
    <row r="13287" spans="1:1" x14ac:dyDescent="0.25">
      <c r="A13287" s="74">
        <v>18079</v>
      </c>
    </row>
    <row r="13288" spans="1:1" x14ac:dyDescent="0.25">
      <c r="A13288" s="74">
        <v>18080</v>
      </c>
    </row>
    <row r="13289" spans="1:1" x14ac:dyDescent="0.25">
      <c r="A13289" s="74">
        <v>18081</v>
      </c>
    </row>
    <row r="13290" spans="1:1" x14ac:dyDescent="0.25">
      <c r="A13290" s="74">
        <v>18082</v>
      </c>
    </row>
    <row r="13291" spans="1:1" x14ac:dyDescent="0.25">
      <c r="A13291" s="74">
        <v>18083</v>
      </c>
    </row>
    <row r="13292" spans="1:1" x14ac:dyDescent="0.25">
      <c r="A13292" s="74">
        <v>18084</v>
      </c>
    </row>
    <row r="13293" spans="1:1" x14ac:dyDescent="0.25">
      <c r="A13293" s="74">
        <v>18085</v>
      </c>
    </row>
    <row r="13294" spans="1:1" x14ac:dyDescent="0.25">
      <c r="A13294" s="74">
        <v>18086</v>
      </c>
    </row>
    <row r="13295" spans="1:1" x14ac:dyDescent="0.25">
      <c r="A13295" s="74">
        <v>18087</v>
      </c>
    </row>
    <row r="13296" spans="1:1" x14ac:dyDescent="0.25">
      <c r="A13296" s="74">
        <v>18088</v>
      </c>
    </row>
    <row r="13297" spans="1:1" x14ac:dyDescent="0.25">
      <c r="A13297" s="74">
        <v>18089</v>
      </c>
    </row>
    <row r="13298" spans="1:1" x14ac:dyDescent="0.25">
      <c r="A13298" s="74">
        <v>18090</v>
      </c>
    </row>
    <row r="13299" spans="1:1" x14ac:dyDescent="0.25">
      <c r="A13299" s="74">
        <v>18091</v>
      </c>
    </row>
    <row r="13300" spans="1:1" x14ac:dyDescent="0.25">
      <c r="A13300" s="74">
        <v>18092</v>
      </c>
    </row>
    <row r="13301" spans="1:1" x14ac:dyDescent="0.25">
      <c r="A13301" s="74">
        <v>18093</v>
      </c>
    </row>
    <row r="13302" spans="1:1" x14ac:dyDescent="0.25">
      <c r="A13302" s="74">
        <v>18094</v>
      </c>
    </row>
    <row r="13303" spans="1:1" x14ac:dyDescent="0.25">
      <c r="A13303" s="74">
        <v>18095</v>
      </c>
    </row>
    <row r="13304" spans="1:1" x14ac:dyDescent="0.25">
      <c r="A13304" s="74">
        <v>18096</v>
      </c>
    </row>
    <row r="13305" spans="1:1" x14ac:dyDescent="0.25">
      <c r="A13305" s="74">
        <v>18097</v>
      </c>
    </row>
    <row r="13306" spans="1:1" x14ac:dyDescent="0.25">
      <c r="A13306" s="74">
        <v>18098</v>
      </c>
    </row>
    <row r="13307" spans="1:1" x14ac:dyDescent="0.25">
      <c r="A13307" s="74">
        <v>18099</v>
      </c>
    </row>
    <row r="13308" spans="1:1" x14ac:dyDescent="0.25">
      <c r="A13308" s="74">
        <v>18100</v>
      </c>
    </row>
    <row r="13309" spans="1:1" x14ac:dyDescent="0.25">
      <c r="A13309" s="74">
        <v>18101</v>
      </c>
    </row>
    <row r="13310" spans="1:1" x14ac:dyDescent="0.25">
      <c r="A13310" s="74">
        <v>18102</v>
      </c>
    </row>
    <row r="13311" spans="1:1" x14ac:dyDescent="0.25">
      <c r="A13311" s="74">
        <v>18103</v>
      </c>
    </row>
    <row r="13312" spans="1:1" x14ac:dyDescent="0.25">
      <c r="A13312" s="74">
        <v>18104</v>
      </c>
    </row>
    <row r="13313" spans="1:1" x14ac:dyDescent="0.25">
      <c r="A13313" s="74">
        <v>18105</v>
      </c>
    </row>
    <row r="13314" spans="1:1" x14ac:dyDescent="0.25">
      <c r="A13314" s="74">
        <v>18106</v>
      </c>
    </row>
    <row r="13315" spans="1:1" x14ac:dyDescent="0.25">
      <c r="A13315" s="74">
        <v>18107</v>
      </c>
    </row>
    <row r="13316" spans="1:1" x14ac:dyDescent="0.25">
      <c r="A13316" s="74">
        <v>18108</v>
      </c>
    </row>
    <row r="13317" spans="1:1" x14ac:dyDescent="0.25">
      <c r="A13317" s="74">
        <v>18109</v>
      </c>
    </row>
    <row r="13318" spans="1:1" x14ac:dyDescent="0.25">
      <c r="A13318" s="74">
        <v>18110</v>
      </c>
    </row>
    <row r="13319" spans="1:1" x14ac:dyDescent="0.25">
      <c r="A13319" s="74">
        <v>18111</v>
      </c>
    </row>
    <row r="13320" spans="1:1" x14ac:dyDescent="0.25">
      <c r="A13320" s="74">
        <v>18112</v>
      </c>
    </row>
    <row r="13321" spans="1:1" x14ac:dyDescent="0.25">
      <c r="A13321" s="74">
        <v>18113</v>
      </c>
    </row>
    <row r="13322" spans="1:1" x14ac:dyDescent="0.25">
      <c r="A13322" s="74">
        <v>18114</v>
      </c>
    </row>
    <row r="13323" spans="1:1" x14ac:dyDescent="0.25">
      <c r="A13323" s="74">
        <v>18115</v>
      </c>
    </row>
    <row r="13324" spans="1:1" x14ac:dyDescent="0.25">
      <c r="A13324" s="74">
        <v>18116</v>
      </c>
    </row>
    <row r="13325" spans="1:1" x14ac:dyDescent="0.25">
      <c r="A13325" s="74">
        <v>18117</v>
      </c>
    </row>
    <row r="13326" spans="1:1" x14ac:dyDescent="0.25">
      <c r="A13326" s="74">
        <v>18118</v>
      </c>
    </row>
    <row r="13327" spans="1:1" x14ac:dyDescent="0.25">
      <c r="A13327" s="74">
        <v>18119</v>
      </c>
    </row>
    <row r="13328" spans="1:1" x14ac:dyDescent="0.25">
      <c r="A13328" s="74">
        <v>18120</v>
      </c>
    </row>
    <row r="13329" spans="1:1" x14ac:dyDescent="0.25">
      <c r="A13329" s="74">
        <v>18121</v>
      </c>
    </row>
    <row r="13330" spans="1:1" x14ac:dyDescent="0.25">
      <c r="A13330" s="74">
        <v>18122</v>
      </c>
    </row>
    <row r="13331" spans="1:1" x14ac:dyDescent="0.25">
      <c r="A13331" s="74">
        <v>18123</v>
      </c>
    </row>
    <row r="13332" spans="1:1" x14ac:dyDescent="0.25">
      <c r="A13332" s="74">
        <v>18124</v>
      </c>
    </row>
    <row r="13333" spans="1:1" x14ac:dyDescent="0.25">
      <c r="A13333" s="74">
        <v>18125</v>
      </c>
    </row>
    <row r="13334" spans="1:1" x14ac:dyDescent="0.25">
      <c r="A13334" s="74">
        <v>18126</v>
      </c>
    </row>
    <row r="13335" spans="1:1" x14ac:dyDescent="0.25">
      <c r="A13335" s="74">
        <v>18127</v>
      </c>
    </row>
    <row r="13336" spans="1:1" x14ac:dyDescent="0.25">
      <c r="A13336" s="74">
        <v>18128</v>
      </c>
    </row>
    <row r="13337" spans="1:1" x14ac:dyDescent="0.25">
      <c r="A13337" s="74">
        <v>18129</v>
      </c>
    </row>
    <row r="13338" spans="1:1" x14ac:dyDescent="0.25">
      <c r="A13338" s="74">
        <v>18130</v>
      </c>
    </row>
    <row r="13339" spans="1:1" x14ac:dyDescent="0.25">
      <c r="A13339" s="74">
        <v>18131</v>
      </c>
    </row>
    <row r="13340" spans="1:1" x14ac:dyDescent="0.25">
      <c r="A13340" s="74">
        <v>18132</v>
      </c>
    </row>
    <row r="13341" spans="1:1" x14ac:dyDescent="0.25">
      <c r="A13341" s="74">
        <v>18133</v>
      </c>
    </row>
    <row r="13342" spans="1:1" x14ac:dyDescent="0.25">
      <c r="A13342" s="74">
        <v>18134</v>
      </c>
    </row>
    <row r="13343" spans="1:1" x14ac:dyDescent="0.25">
      <c r="A13343" s="74">
        <v>18135</v>
      </c>
    </row>
    <row r="13344" spans="1:1" x14ac:dyDescent="0.25">
      <c r="A13344" s="74">
        <v>18136</v>
      </c>
    </row>
    <row r="13345" spans="1:1" x14ac:dyDescent="0.25">
      <c r="A13345" s="74">
        <v>18137</v>
      </c>
    </row>
    <row r="13346" spans="1:1" x14ac:dyDescent="0.25">
      <c r="A13346" s="74">
        <v>18138</v>
      </c>
    </row>
    <row r="13347" spans="1:1" x14ac:dyDescent="0.25">
      <c r="A13347" s="74">
        <v>18139</v>
      </c>
    </row>
    <row r="13348" spans="1:1" x14ac:dyDescent="0.25">
      <c r="A13348" s="74">
        <v>18140</v>
      </c>
    </row>
    <row r="13349" spans="1:1" x14ac:dyDescent="0.25">
      <c r="A13349" s="74">
        <v>18141</v>
      </c>
    </row>
    <row r="13350" spans="1:1" x14ac:dyDescent="0.25">
      <c r="A13350" s="74">
        <v>18142</v>
      </c>
    </row>
    <row r="13351" spans="1:1" x14ac:dyDescent="0.25">
      <c r="A13351" s="74">
        <v>18143</v>
      </c>
    </row>
    <row r="13352" spans="1:1" x14ac:dyDescent="0.25">
      <c r="A13352" s="74">
        <v>18144</v>
      </c>
    </row>
    <row r="13353" spans="1:1" x14ac:dyDescent="0.25">
      <c r="A13353" s="74">
        <v>18145</v>
      </c>
    </row>
    <row r="13354" spans="1:1" x14ac:dyDescent="0.25">
      <c r="A13354" s="74">
        <v>18146</v>
      </c>
    </row>
    <row r="13355" spans="1:1" x14ac:dyDescent="0.25">
      <c r="A13355" s="74">
        <v>18147</v>
      </c>
    </row>
    <row r="13356" spans="1:1" x14ac:dyDescent="0.25">
      <c r="A13356" s="74">
        <v>18148</v>
      </c>
    </row>
    <row r="13357" spans="1:1" x14ac:dyDescent="0.25">
      <c r="A13357" s="74">
        <v>18149</v>
      </c>
    </row>
    <row r="13358" spans="1:1" x14ac:dyDescent="0.25">
      <c r="A13358" s="74">
        <v>18150</v>
      </c>
    </row>
    <row r="13359" spans="1:1" x14ac:dyDescent="0.25">
      <c r="A13359" s="74">
        <v>18151</v>
      </c>
    </row>
    <row r="13360" spans="1:1" x14ac:dyDescent="0.25">
      <c r="A13360" s="74">
        <v>18152</v>
      </c>
    </row>
    <row r="13361" spans="1:1" x14ac:dyDescent="0.25">
      <c r="A13361" s="74">
        <v>18153</v>
      </c>
    </row>
    <row r="13362" spans="1:1" x14ac:dyDescent="0.25">
      <c r="A13362" s="74">
        <v>18154</v>
      </c>
    </row>
    <row r="13363" spans="1:1" x14ac:dyDescent="0.25">
      <c r="A13363" s="74">
        <v>18155</v>
      </c>
    </row>
    <row r="13364" spans="1:1" x14ac:dyDescent="0.25">
      <c r="A13364" s="74">
        <v>18156</v>
      </c>
    </row>
    <row r="13365" spans="1:1" x14ac:dyDescent="0.25">
      <c r="A13365" s="74">
        <v>18157</v>
      </c>
    </row>
    <row r="13366" spans="1:1" x14ac:dyDescent="0.25">
      <c r="A13366" s="74">
        <v>18158</v>
      </c>
    </row>
    <row r="13367" spans="1:1" x14ac:dyDescent="0.25">
      <c r="A13367" s="74">
        <v>18159</v>
      </c>
    </row>
    <row r="13368" spans="1:1" x14ac:dyDescent="0.25">
      <c r="A13368" s="74">
        <v>18160</v>
      </c>
    </row>
    <row r="13369" spans="1:1" x14ac:dyDescent="0.25">
      <c r="A13369" s="74">
        <v>18161</v>
      </c>
    </row>
    <row r="13370" spans="1:1" x14ac:dyDescent="0.25">
      <c r="A13370" s="74">
        <v>18162</v>
      </c>
    </row>
    <row r="13371" spans="1:1" x14ac:dyDescent="0.25">
      <c r="A13371" s="74">
        <v>18163</v>
      </c>
    </row>
    <row r="13372" spans="1:1" x14ac:dyDescent="0.25">
      <c r="A13372" s="74">
        <v>18164</v>
      </c>
    </row>
    <row r="13373" spans="1:1" x14ac:dyDescent="0.25">
      <c r="A13373" s="74">
        <v>18165</v>
      </c>
    </row>
    <row r="13374" spans="1:1" x14ac:dyDescent="0.25">
      <c r="A13374" s="74">
        <v>18166</v>
      </c>
    </row>
    <row r="13375" spans="1:1" x14ac:dyDescent="0.25">
      <c r="A13375" s="74">
        <v>18167</v>
      </c>
    </row>
    <row r="13376" spans="1:1" x14ac:dyDescent="0.25">
      <c r="A13376" s="74">
        <v>18168</v>
      </c>
    </row>
    <row r="13377" spans="1:1" x14ac:dyDescent="0.25">
      <c r="A13377" s="74">
        <v>18169</v>
      </c>
    </row>
    <row r="13378" spans="1:1" x14ac:dyDescent="0.25">
      <c r="A13378" s="74">
        <v>18170</v>
      </c>
    </row>
    <row r="13379" spans="1:1" x14ac:dyDescent="0.25">
      <c r="A13379" s="74">
        <v>18171</v>
      </c>
    </row>
    <row r="13380" spans="1:1" x14ac:dyDescent="0.25">
      <c r="A13380" s="74">
        <v>18172</v>
      </c>
    </row>
    <row r="13381" spans="1:1" x14ac:dyDescent="0.25">
      <c r="A13381" s="74">
        <v>18173</v>
      </c>
    </row>
    <row r="13382" spans="1:1" x14ac:dyDescent="0.25">
      <c r="A13382" s="74">
        <v>18174</v>
      </c>
    </row>
    <row r="13383" spans="1:1" x14ac:dyDescent="0.25">
      <c r="A13383" s="74">
        <v>18175</v>
      </c>
    </row>
    <row r="13384" spans="1:1" x14ac:dyDescent="0.25">
      <c r="A13384" s="74">
        <v>18176</v>
      </c>
    </row>
    <row r="13385" spans="1:1" x14ac:dyDescent="0.25">
      <c r="A13385" s="74">
        <v>18177</v>
      </c>
    </row>
    <row r="13386" spans="1:1" x14ac:dyDescent="0.25">
      <c r="A13386" s="74">
        <v>18178</v>
      </c>
    </row>
    <row r="13387" spans="1:1" x14ac:dyDescent="0.25">
      <c r="A13387" s="74">
        <v>18179</v>
      </c>
    </row>
    <row r="13388" spans="1:1" x14ac:dyDescent="0.25">
      <c r="A13388" s="74">
        <v>18180</v>
      </c>
    </row>
    <row r="13389" spans="1:1" x14ac:dyDescent="0.25">
      <c r="A13389" s="74">
        <v>18181</v>
      </c>
    </row>
    <row r="13390" spans="1:1" x14ac:dyDescent="0.25">
      <c r="A13390" s="74">
        <v>18182</v>
      </c>
    </row>
    <row r="13391" spans="1:1" x14ac:dyDescent="0.25">
      <c r="A13391" s="74">
        <v>18183</v>
      </c>
    </row>
    <row r="13392" spans="1:1" x14ac:dyDescent="0.25">
      <c r="A13392" s="74">
        <v>18184</v>
      </c>
    </row>
    <row r="13393" spans="1:1" x14ac:dyDescent="0.25">
      <c r="A13393" s="74">
        <v>18185</v>
      </c>
    </row>
    <row r="13394" spans="1:1" x14ac:dyDescent="0.25">
      <c r="A13394" s="74">
        <v>18186</v>
      </c>
    </row>
    <row r="13395" spans="1:1" x14ac:dyDescent="0.25">
      <c r="A13395" s="74">
        <v>18187</v>
      </c>
    </row>
    <row r="13396" spans="1:1" x14ac:dyDescent="0.25">
      <c r="A13396" s="74">
        <v>18188</v>
      </c>
    </row>
    <row r="13397" spans="1:1" x14ac:dyDescent="0.25">
      <c r="A13397" s="74">
        <v>18189</v>
      </c>
    </row>
    <row r="13398" spans="1:1" x14ac:dyDescent="0.25">
      <c r="A13398" s="74">
        <v>18190</v>
      </c>
    </row>
    <row r="13399" spans="1:1" x14ac:dyDescent="0.25">
      <c r="A13399" s="74">
        <v>18191</v>
      </c>
    </row>
    <row r="13400" spans="1:1" x14ac:dyDescent="0.25">
      <c r="A13400" s="74">
        <v>18192</v>
      </c>
    </row>
    <row r="13401" spans="1:1" x14ac:dyDescent="0.25">
      <c r="A13401" s="74">
        <v>18193</v>
      </c>
    </row>
    <row r="13402" spans="1:1" x14ac:dyDescent="0.25">
      <c r="A13402" s="74">
        <v>18194</v>
      </c>
    </row>
    <row r="13403" spans="1:1" x14ac:dyDescent="0.25">
      <c r="A13403" s="74">
        <v>18195</v>
      </c>
    </row>
    <row r="13404" spans="1:1" x14ac:dyDescent="0.25">
      <c r="A13404" s="74">
        <v>18196</v>
      </c>
    </row>
    <row r="13405" spans="1:1" x14ac:dyDescent="0.25">
      <c r="A13405" s="74">
        <v>18197</v>
      </c>
    </row>
    <row r="13406" spans="1:1" x14ac:dyDescent="0.25">
      <c r="A13406" s="74">
        <v>18198</v>
      </c>
    </row>
    <row r="13407" spans="1:1" x14ac:dyDescent="0.25">
      <c r="A13407" s="74">
        <v>18199</v>
      </c>
    </row>
    <row r="13408" spans="1:1" x14ac:dyDescent="0.25">
      <c r="A13408" s="74">
        <v>18200</v>
      </c>
    </row>
    <row r="13409" spans="1:1" x14ac:dyDescent="0.25">
      <c r="A13409" s="74">
        <v>18201</v>
      </c>
    </row>
    <row r="13410" spans="1:1" x14ac:dyDescent="0.25">
      <c r="A13410" s="74">
        <v>18202</v>
      </c>
    </row>
    <row r="13411" spans="1:1" x14ac:dyDescent="0.25">
      <c r="A13411" s="74">
        <v>18203</v>
      </c>
    </row>
    <row r="13412" spans="1:1" x14ac:dyDescent="0.25">
      <c r="A13412" s="74">
        <v>18204</v>
      </c>
    </row>
    <row r="13413" spans="1:1" x14ac:dyDescent="0.25">
      <c r="A13413" s="74">
        <v>18205</v>
      </c>
    </row>
    <row r="13414" spans="1:1" x14ac:dyDescent="0.25">
      <c r="A13414" s="74">
        <v>18206</v>
      </c>
    </row>
    <row r="13415" spans="1:1" x14ac:dyDescent="0.25">
      <c r="A13415" s="74">
        <v>18207</v>
      </c>
    </row>
    <row r="13416" spans="1:1" x14ac:dyDescent="0.25">
      <c r="A13416" s="74">
        <v>18208</v>
      </c>
    </row>
    <row r="13417" spans="1:1" x14ac:dyDescent="0.25">
      <c r="A13417" s="74">
        <v>18209</v>
      </c>
    </row>
    <row r="13418" spans="1:1" x14ac:dyDescent="0.25">
      <c r="A13418" s="74">
        <v>18210</v>
      </c>
    </row>
    <row r="13419" spans="1:1" x14ac:dyDescent="0.25">
      <c r="A13419" s="74">
        <v>18211</v>
      </c>
    </row>
    <row r="13420" spans="1:1" x14ac:dyDescent="0.25">
      <c r="A13420" s="74">
        <v>18212</v>
      </c>
    </row>
    <row r="13421" spans="1:1" x14ac:dyDescent="0.25">
      <c r="A13421" s="74">
        <v>18213</v>
      </c>
    </row>
    <row r="13422" spans="1:1" x14ac:dyDescent="0.25">
      <c r="A13422" s="74">
        <v>18214</v>
      </c>
    </row>
    <row r="13423" spans="1:1" x14ac:dyDescent="0.25">
      <c r="A13423" s="74">
        <v>18215</v>
      </c>
    </row>
    <row r="13424" spans="1:1" x14ac:dyDescent="0.25">
      <c r="A13424" s="74">
        <v>18216</v>
      </c>
    </row>
    <row r="13425" spans="1:1" x14ac:dyDescent="0.25">
      <c r="A13425" s="74">
        <v>18217</v>
      </c>
    </row>
    <row r="13426" spans="1:1" x14ac:dyDescent="0.25">
      <c r="A13426" s="74">
        <v>18218</v>
      </c>
    </row>
    <row r="13427" spans="1:1" x14ac:dyDescent="0.25">
      <c r="A13427" s="74">
        <v>18219</v>
      </c>
    </row>
    <row r="13428" spans="1:1" x14ac:dyDescent="0.25">
      <c r="A13428" s="74">
        <v>18220</v>
      </c>
    </row>
    <row r="13429" spans="1:1" x14ac:dyDescent="0.25">
      <c r="A13429" s="74">
        <v>18221</v>
      </c>
    </row>
    <row r="13430" spans="1:1" x14ac:dyDescent="0.25">
      <c r="A13430" s="74">
        <v>18222</v>
      </c>
    </row>
    <row r="13431" spans="1:1" x14ac:dyDescent="0.25">
      <c r="A13431" s="74">
        <v>18223</v>
      </c>
    </row>
    <row r="13432" spans="1:1" x14ac:dyDescent="0.25">
      <c r="A13432" s="74">
        <v>18224</v>
      </c>
    </row>
    <row r="13433" spans="1:1" x14ac:dyDescent="0.25">
      <c r="A13433" s="74">
        <v>18225</v>
      </c>
    </row>
    <row r="13434" spans="1:1" x14ac:dyDescent="0.25">
      <c r="A13434" s="74">
        <v>18226</v>
      </c>
    </row>
    <row r="13435" spans="1:1" x14ac:dyDescent="0.25">
      <c r="A13435" s="74">
        <v>18227</v>
      </c>
    </row>
    <row r="13436" spans="1:1" x14ac:dyDescent="0.25">
      <c r="A13436" s="74">
        <v>18228</v>
      </c>
    </row>
    <row r="13437" spans="1:1" x14ac:dyDescent="0.25">
      <c r="A13437" s="74">
        <v>18229</v>
      </c>
    </row>
    <row r="13438" spans="1:1" x14ac:dyDescent="0.25">
      <c r="A13438" s="74">
        <v>18230</v>
      </c>
    </row>
    <row r="13439" spans="1:1" x14ac:dyDescent="0.25">
      <c r="A13439" s="74">
        <v>18231</v>
      </c>
    </row>
    <row r="13440" spans="1:1" x14ac:dyDescent="0.25">
      <c r="A13440" s="74">
        <v>18232</v>
      </c>
    </row>
    <row r="13441" spans="1:1" x14ac:dyDescent="0.25">
      <c r="A13441" s="74">
        <v>18233</v>
      </c>
    </row>
    <row r="13442" spans="1:1" x14ac:dyDescent="0.25">
      <c r="A13442" s="74">
        <v>18234</v>
      </c>
    </row>
    <row r="13443" spans="1:1" x14ac:dyDescent="0.25">
      <c r="A13443" s="74">
        <v>18235</v>
      </c>
    </row>
    <row r="13444" spans="1:1" x14ac:dyDescent="0.25">
      <c r="A13444" s="74">
        <v>18236</v>
      </c>
    </row>
    <row r="13445" spans="1:1" x14ac:dyDescent="0.25">
      <c r="A13445" s="74">
        <v>18237</v>
      </c>
    </row>
    <row r="13446" spans="1:1" x14ac:dyDescent="0.25">
      <c r="A13446" s="74">
        <v>18238</v>
      </c>
    </row>
    <row r="13447" spans="1:1" x14ac:dyDescent="0.25">
      <c r="A13447" s="74">
        <v>18239</v>
      </c>
    </row>
    <row r="13448" spans="1:1" x14ac:dyDescent="0.25">
      <c r="A13448" s="74">
        <v>18240</v>
      </c>
    </row>
    <row r="13449" spans="1:1" x14ac:dyDescent="0.25">
      <c r="A13449" s="74">
        <v>18241</v>
      </c>
    </row>
    <row r="13450" spans="1:1" x14ac:dyDescent="0.25">
      <c r="A13450" s="74">
        <v>18242</v>
      </c>
    </row>
    <row r="13451" spans="1:1" x14ac:dyDescent="0.25">
      <c r="A13451" s="74">
        <v>18243</v>
      </c>
    </row>
    <row r="13452" spans="1:1" x14ac:dyDescent="0.25">
      <c r="A13452" s="74">
        <v>18244</v>
      </c>
    </row>
    <row r="13453" spans="1:1" x14ac:dyDescent="0.25">
      <c r="A13453" s="74">
        <v>18245</v>
      </c>
    </row>
    <row r="13454" spans="1:1" x14ac:dyDescent="0.25">
      <c r="A13454" s="74">
        <v>18246</v>
      </c>
    </row>
    <row r="13455" spans="1:1" x14ac:dyDescent="0.25">
      <c r="A13455" s="74">
        <v>18247</v>
      </c>
    </row>
    <row r="13456" spans="1:1" x14ac:dyDescent="0.25">
      <c r="A13456" s="74">
        <v>18248</v>
      </c>
    </row>
    <row r="13457" spans="1:1" x14ac:dyDescent="0.25">
      <c r="A13457" s="74">
        <v>18249</v>
      </c>
    </row>
    <row r="13458" spans="1:1" x14ac:dyDescent="0.25">
      <c r="A13458" s="74">
        <v>18250</v>
      </c>
    </row>
    <row r="13459" spans="1:1" x14ac:dyDescent="0.25">
      <c r="A13459" s="74">
        <v>18251</v>
      </c>
    </row>
    <row r="13460" spans="1:1" x14ac:dyDescent="0.25">
      <c r="A13460" s="74">
        <v>18252</v>
      </c>
    </row>
    <row r="13461" spans="1:1" x14ac:dyDescent="0.25">
      <c r="A13461" s="74">
        <v>18253</v>
      </c>
    </row>
    <row r="13462" spans="1:1" x14ac:dyDescent="0.25">
      <c r="A13462" s="74">
        <v>18254</v>
      </c>
    </row>
    <row r="13463" spans="1:1" x14ac:dyDescent="0.25">
      <c r="A13463" s="74">
        <v>18255</v>
      </c>
    </row>
    <row r="13464" spans="1:1" x14ac:dyDescent="0.25">
      <c r="A13464" s="74">
        <v>18256</v>
      </c>
    </row>
    <row r="13465" spans="1:1" x14ac:dyDescent="0.25">
      <c r="A13465" s="74">
        <v>18257</v>
      </c>
    </row>
    <row r="13466" spans="1:1" x14ac:dyDescent="0.25">
      <c r="A13466" s="74">
        <v>18258</v>
      </c>
    </row>
    <row r="13467" spans="1:1" x14ac:dyDescent="0.25">
      <c r="A13467" s="74">
        <v>18259</v>
      </c>
    </row>
    <row r="13468" spans="1:1" x14ac:dyDescent="0.25">
      <c r="A13468" s="74">
        <v>18260</v>
      </c>
    </row>
    <row r="13469" spans="1:1" x14ac:dyDescent="0.25">
      <c r="A13469" s="74">
        <v>18261</v>
      </c>
    </row>
    <row r="13470" spans="1:1" x14ac:dyDescent="0.25">
      <c r="A13470" s="74">
        <v>18262</v>
      </c>
    </row>
    <row r="13471" spans="1:1" x14ac:dyDescent="0.25">
      <c r="A13471" s="74">
        <v>18263</v>
      </c>
    </row>
    <row r="13472" spans="1:1" x14ac:dyDescent="0.25">
      <c r="A13472" s="74">
        <v>18264</v>
      </c>
    </row>
    <row r="13473" spans="1:1" x14ac:dyDescent="0.25">
      <c r="A13473" s="74">
        <v>18265</v>
      </c>
    </row>
    <row r="13474" spans="1:1" x14ac:dyDescent="0.25">
      <c r="A13474" s="74">
        <v>18266</v>
      </c>
    </row>
    <row r="13475" spans="1:1" x14ac:dyDescent="0.25">
      <c r="A13475" s="74">
        <v>18267</v>
      </c>
    </row>
    <row r="13476" spans="1:1" x14ac:dyDescent="0.25">
      <c r="A13476" s="74">
        <v>18268</v>
      </c>
    </row>
    <row r="13477" spans="1:1" x14ac:dyDescent="0.25">
      <c r="A13477" s="74">
        <v>18269</v>
      </c>
    </row>
    <row r="13478" spans="1:1" x14ac:dyDescent="0.25">
      <c r="A13478" s="74">
        <v>18270</v>
      </c>
    </row>
    <row r="13479" spans="1:1" x14ac:dyDescent="0.25">
      <c r="A13479" s="74">
        <v>18271</v>
      </c>
    </row>
    <row r="13480" spans="1:1" x14ac:dyDescent="0.25">
      <c r="A13480" s="74">
        <v>18272</v>
      </c>
    </row>
    <row r="13481" spans="1:1" x14ac:dyDescent="0.25">
      <c r="A13481" s="74">
        <v>18273</v>
      </c>
    </row>
    <row r="13482" spans="1:1" x14ac:dyDescent="0.25">
      <c r="A13482" s="74">
        <v>18274</v>
      </c>
    </row>
    <row r="13483" spans="1:1" x14ac:dyDescent="0.25">
      <c r="A13483" s="74">
        <v>18275</v>
      </c>
    </row>
    <row r="13484" spans="1:1" x14ac:dyDescent="0.25">
      <c r="A13484" s="74">
        <v>18276</v>
      </c>
    </row>
    <row r="13485" spans="1:1" x14ac:dyDescent="0.25">
      <c r="A13485" s="74">
        <v>18277</v>
      </c>
    </row>
    <row r="13486" spans="1:1" x14ac:dyDescent="0.25">
      <c r="A13486" s="74">
        <v>18278</v>
      </c>
    </row>
    <row r="13487" spans="1:1" x14ac:dyDescent="0.25">
      <c r="A13487" s="74">
        <v>18279</v>
      </c>
    </row>
    <row r="13488" spans="1:1" x14ac:dyDescent="0.25">
      <c r="A13488" s="74">
        <v>18280</v>
      </c>
    </row>
    <row r="13489" spans="1:1" x14ac:dyDescent="0.25">
      <c r="A13489" s="74">
        <v>18281</v>
      </c>
    </row>
    <row r="13490" spans="1:1" x14ac:dyDescent="0.25">
      <c r="A13490" s="74">
        <v>18282</v>
      </c>
    </row>
    <row r="13491" spans="1:1" x14ac:dyDescent="0.25">
      <c r="A13491" s="74">
        <v>18283</v>
      </c>
    </row>
    <row r="13492" spans="1:1" x14ac:dyDescent="0.25">
      <c r="A13492" s="74">
        <v>18284</v>
      </c>
    </row>
    <row r="13493" spans="1:1" x14ac:dyDescent="0.25">
      <c r="A13493" s="74">
        <v>18285</v>
      </c>
    </row>
    <row r="13494" spans="1:1" x14ac:dyDescent="0.25">
      <c r="A13494" s="74">
        <v>18286</v>
      </c>
    </row>
    <row r="13495" spans="1:1" x14ac:dyDescent="0.25">
      <c r="A13495" s="74">
        <v>18287</v>
      </c>
    </row>
    <row r="13496" spans="1:1" x14ac:dyDescent="0.25">
      <c r="A13496" s="74">
        <v>18288</v>
      </c>
    </row>
    <row r="13497" spans="1:1" x14ac:dyDescent="0.25">
      <c r="A13497" s="74">
        <v>18289</v>
      </c>
    </row>
    <row r="13498" spans="1:1" x14ac:dyDescent="0.25">
      <c r="A13498" s="74">
        <v>18290</v>
      </c>
    </row>
    <row r="13499" spans="1:1" x14ac:dyDescent="0.25">
      <c r="A13499" s="74">
        <v>18291</v>
      </c>
    </row>
    <row r="13500" spans="1:1" x14ac:dyDescent="0.25">
      <c r="A13500" s="74">
        <v>18292</v>
      </c>
    </row>
    <row r="13501" spans="1:1" x14ac:dyDescent="0.25">
      <c r="A13501" s="74">
        <v>18293</v>
      </c>
    </row>
    <row r="13502" spans="1:1" x14ac:dyDescent="0.25">
      <c r="A13502" s="74">
        <v>18294</v>
      </c>
    </row>
    <row r="13503" spans="1:1" x14ac:dyDescent="0.25">
      <c r="A13503" s="74">
        <v>18295</v>
      </c>
    </row>
    <row r="13504" spans="1:1" x14ac:dyDescent="0.25">
      <c r="A13504" s="74">
        <v>18296</v>
      </c>
    </row>
    <row r="13505" spans="1:1" x14ac:dyDescent="0.25">
      <c r="A13505" s="74">
        <v>18297</v>
      </c>
    </row>
    <row r="13506" spans="1:1" x14ac:dyDescent="0.25">
      <c r="A13506" s="74">
        <v>18298</v>
      </c>
    </row>
    <row r="13507" spans="1:1" x14ac:dyDescent="0.25">
      <c r="A13507" s="74">
        <v>18299</v>
      </c>
    </row>
    <row r="13508" spans="1:1" x14ac:dyDescent="0.25">
      <c r="A13508" s="74">
        <v>18300</v>
      </c>
    </row>
    <row r="13509" spans="1:1" x14ac:dyDescent="0.25">
      <c r="A13509" s="74">
        <v>18301</v>
      </c>
    </row>
    <row r="13510" spans="1:1" x14ac:dyDescent="0.25">
      <c r="A13510" s="74">
        <v>18302</v>
      </c>
    </row>
    <row r="13511" spans="1:1" x14ac:dyDescent="0.25">
      <c r="A13511" s="74">
        <v>18303</v>
      </c>
    </row>
    <row r="13512" spans="1:1" x14ac:dyDescent="0.25">
      <c r="A13512" s="74">
        <v>18304</v>
      </c>
    </row>
    <row r="13513" spans="1:1" x14ac:dyDescent="0.25">
      <c r="A13513" s="74">
        <v>18305</v>
      </c>
    </row>
    <row r="13514" spans="1:1" x14ac:dyDescent="0.25">
      <c r="A13514" s="74">
        <v>18306</v>
      </c>
    </row>
    <row r="13515" spans="1:1" x14ac:dyDescent="0.25">
      <c r="A13515" s="74">
        <v>18307</v>
      </c>
    </row>
    <row r="13516" spans="1:1" x14ac:dyDescent="0.25">
      <c r="A13516" s="74">
        <v>18308</v>
      </c>
    </row>
    <row r="13517" spans="1:1" x14ac:dyDescent="0.25">
      <c r="A13517" s="74">
        <v>18309</v>
      </c>
    </row>
    <row r="13518" spans="1:1" x14ac:dyDescent="0.25">
      <c r="A13518" s="74">
        <v>18310</v>
      </c>
    </row>
    <row r="13519" spans="1:1" x14ac:dyDescent="0.25">
      <c r="A13519" s="74">
        <v>18311</v>
      </c>
    </row>
    <row r="13520" spans="1:1" x14ac:dyDescent="0.25">
      <c r="A13520" s="74">
        <v>18312</v>
      </c>
    </row>
    <row r="13521" spans="1:1" x14ac:dyDescent="0.25">
      <c r="A13521" s="74">
        <v>18313</v>
      </c>
    </row>
    <row r="13522" spans="1:1" x14ac:dyDescent="0.25">
      <c r="A13522" s="74">
        <v>18314</v>
      </c>
    </row>
    <row r="13523" spans="1:1" x14ac:dyDescent="0.25">
      <c r="A13523" s="74">
        <v>18315</v>
      </c>
    </row>
    <row r="13524" spans="1:1" x14ac:dyDescent="0.25">
      <c r="A13524" s="74">
        <v>18316</v>
      </c>
    </row>
    <row r="13525" spans="1:1" x14ac:dyDescent="0.25">
      <c r="A13525" s="74">
        <v>18317</v>
      </c>
    </row>
    <row r="13526" spans="1:1" x14ac:dyDescent="0.25">
      <c r="A13526" s="74">
        <v>18318</v>
      </c>
    </row>
    <row r="13527" spans="1:1" x14ac:dyDescent="0.25">
      <c r="A13527" s="74">
        <v>18319</v>
      </c>
    </row>
    <row r="13528" spans="1:1" x14ac:dyDescent="0.25">
      <c r="A13528" s="74">
        <v>18320</v>
      </c>
    </row>
    <row r="13529" spans="1:1" x14ac:dyDescent="0.25">
      <c r="A13529" s="74">
        <v>18321</v>
      </c>
    </row>
    <row r="13530" spans="1:1" x14ac:dyDescent="0.25">
      <c r="A13530" s="74">
        <v>18322</v>
      </c>
    </row>
    <row r="13531" spans="1:1" x14ac:dyDescent="0.25">
      <c r="A13531" s="74">
        <v>18323</v>
      </c>
    </row>
    <row r="13532" spans="1:1" x14ac:dyDescent="0.25">
      <c r="A13532" s="74">
        <v>18324</v>
      </c>
    </row>
    <row r="13533" spans="1:1" x14ac:dyDescent="0.25">
      <c r="A13533" s="74">
        <v>18325</v>
      </c>
    </row>
    <row r="13534" spans="1:1" x14ac:dyDescent="0.25">
      <c r="A13534" s="74">
        <v>18326</v>
      </c>
    </row>
    <row r="13535" spans="1:1" x14ac:dyDescent="0.25">
      <c r="A13535" s="74">
        <v>18327</v>
      </c>
    </row>
    <row r="13536" spans="1:1" x14ac:dyDescent="0.25">
      <c r="A13536" s="74">
        <v>18328</v>
      </c>
    </row>
    <row r="13537" spans="1:1" x14ac:dyDescent="0.25">
      <c r="A13537" s="74">
        <v>18329</v>
      </c>
    </row>
    <row r="13538" spans="1:1" x14ac:dyDescent="0.25">
      <c r="A13538" s="74">
        <v>18330</v>
      </c>
    </row>
    <row r="13539" spans="1:1" x14ac:dyDescent="0.25">
      <c r="A13539" s="74">
        <v>18331</v>
      </c>
    </row>
    <row r="13540" spans="1:1" x14ac:dyDescent="0.25">
      <c r="A13540" s="74">
        <v>18332</v>
      </c>
    </row>
    <row r="13541" spans="1:1" x14ac:dyDescent="0.25">
      <c r="A13541" s="74">
        <v>18333</v>
      </c>
    </row>
    <row r="13542" spans="1:1" x14ac:dyDescent="0.25">
      <c r="A13542" s="74">
        <v>18334</v>
      </c>
    </row>
    <row r="13543" spans="1:1" x14ac:dyDescent="0.25">
      <c r="A13543" s="74">
        <v>18335</v>
      </c>
    </row>
    <row r="13544" spans="1:1" x14ac:dyDescent="0.25">
      <c r="A13544" s="74">
        <v>18336</v>
      </c>
    </row>
    <row r="13545" spans="1:1" x14ac:dyDescent="0.25">
      <c r="A13545" s="74">
        <v>18337</v>
      </c>
    </row>
    <row r="13546" spans="1:1" x14ac:dyDescent="0.25">
      <c r="A13546" s="74">
        <v>18338</v>
      </c>
    </row>
    <row r="13547" spans="1:1" x14ac:dyDescent="0.25">
      <c r="A13547" s="74">
        <v>18339</v>
      </c>
    </row>
    <row r="13548" spans="1:1" x14ac:dyDescent="0.25">
      <c r="A13548" s="74">
        <v>18340</v>
      </c>
    </row>
    <row r="13549" spans="1:1" x14ac:dyDescent="0.25">
      <c r="A13549" s="74">
        <v>18341</v>
      </c>
    </row>
    <row r="13550" spans="1:1" x14ac:dyDescent="0.25">
      <c r="A13550" s="74">
        <v>18342</v>
      </c>
    </row>
    <row r="13551" spans="1:1" x14ac:dyDescent="0.25">
      <c r="A13551" s="74">
        <v>18343</v>
      </c>
    </row>
    <row r="13552" spans="1:1" x14ac:dyDescent="0.25">
      <c r="A13552" s="74">
        <v>18344</v>
      </c>
    </row>
    <row r="13553" spans="1:1" x14ac:dyDescent="0.25">
      <c r="A13553" s="74">
        <v>18345</v>
      </c>
    </row>
    <row r="13554" spans="1:1" x14ac:dyDescent="0.25">
      <c r="A13554" s="74">
        <v>18346</v>
      </c>
    </row>
    <row r="13555" spans="1:1" x14ac:dyDescent="0.25">
      <c r="A13555" s="74">
        <v>18347</v>
      </c>
    </row>
    <row r="13556" spans="1:1" x14ac:dyDescent="0.25">
      <c r="A13556" s="74">
        <v>18348</v>
      </c>
    </row>
    <row r="13557" spans="1:1" x14ac:dyDescent="0.25">
      <c r="A13557" s="74">
        <v>18349</v>
      </c>
    </row>
    <row r="13558" spans="1:1" x14ac:dyDescent="0.25">
      <c r="A13558" s="74">
        <v>18350</v>
      </c>
    </row>
    <row r="13559" spans="1:1" x14ac:dyDescent="0.25">
      <c r="A13559" s="74">
        <v>18351</v>
      </c>
    </row>
    <row r="13560" spans="1:1" x14ac:dyDescent="0.25">
      <c r="A13560" s="74">
        <v>18352</v>
      </c>
    </row>
    <row r="13561" spans="1:1" x14ac:dyDescent="0.25">
      <c r="A13561" s="74">
        <v>18353</v>
      </c>
    </row>
    <row r="13562" spans="1:1" x14ac:dyDescent="0.25">
      <c r="A13562" s="74">
        <v>18354</v>
      </c>
    </row>
    <row r="13563" spans="1:1" x14ac:dyDescent="0.25">
      <c r="A13563" s="74">
        <v>18355</v>
      </c>
    </row>
    <row r="13564" spans="1:1" x14ac:dyDescent="0.25">
      <c r="A13564" s="74">
        <v>18356</v>
      </c>
    </row>
    <row r="13565" spans="1:1" x14ac:dyDescent="0.25">
      <c r="A13565" s="74">
        <v>18357</v>
      </c>
    </row>
    <row r="13566" spans="1:1" x14ac:dyDescent="0.25">
      <c r="A13566" s="74">
        <v>18358</v>
      </c>
    </row>
    <row r="13567" spans="1:1" x14ac:dyDescent="0.25">
      <c r="A13567" s="74">
        <v>18359</v>
      </c>
    </row>
    <row r="13568" spans="1:1" x14ac:dyDescent="0.25">
      <c r="A13568" s="74">
        <v>18360</v>
      </c>
    </row>
    <row r="13569" spans="1:1" x14ac:dyDescent="0.25">
      <c r="A13569" s="74">
        <v>18361</v>
      </c>
    </row>
    <row r="13570" spans="1:1" x14ac:dyDescent="0.25">
      <c r="A13570" s="74">
        <v>18362</v>
      </c>
    </row>
    <row r="13571" spans="1:1" x14ac:dyDescent="0.25">
      <c r="A13571" s="74">
        <v>18363</v>
      </c>
    </row>
    <row r="13572" spans="1:1" x14ac:dyDescent="0.25">
      <c r="A13572" s="74">
        <v>18364</v>
      </c>
    </row>
    <row r="13573" spans="1:1" x14ac:dyDescent="0.25">
      <c r="A13573" s="74">
        <v>18365</v>
      </c>
    </row>
    <row r="13574" spans="1:1" x14ac:dyDescent="0.25">
      <c r="A13574" s="74">
        <v>18366</v>
      </c>
    </row>
    <row r="13575" spans="1:1" x14ac:dyDescent="0.25">
      <c r="A13575" s="74">
        <v>18367</v>
      </c>
    </row>
    <row r="13576" spans="1:1" x14ac:dyDescent="0.25">
      <c r="A13576" s="74">
        <v>18368</v>
      </c>
    </row>
    <row r="13577" spans="1:1" x14ac:dyDescent="0.25">
      <c r="A13577" s="74">
        <v>18369</v>
      </c>
    </row>
    <row r="13578" spans="1:1" x14ac:dyDescent="0.25">
      <c r="A13578" s="74">
        <v>18370</v>
      </c>
    </row>
    <row r="13579" spans="1:1" x14ac:dyDescent="0.25">
      <c r="A13579" s="74">
        <v>18371</v>
      </c>
    </row>
    <row r="13580" spans="1:1" x14ac:dyDescent="0.25">
      <c r="A13580" s="74">
        <v>18372</v>
      </c>
    </row>
    <row r="13581" spans="1:1" x14ac:dyDescent="0.25">
      <c r="A13581" s="74">
        <v>18373</v>
      </c>
    </row>
    <row r="13582" spans="1:1" x14ac:dyDescent="0.25">
      <c r="A13582" s="74">
        <v>18374</v>
      </c>
    </row>
    <row r="13583" spans="1:1" x14ac:dyDescent="0.25">
      <c r="A13583" s="74">
        <v>18375</v>
      </c>
    </row>
    <row r="13584" spans="1:1" x14ac:dyDescent="0.25">
      <c r="A13584" s="74">
        <v>18376</v>
      </c>
    </row>
    <row r="13585" spans="1:1" x14ac:dyDescent="0.25">
      <c r="A13585" s="74">
        <v>18377</v>
      </c>
    </row>
    <row r="13586" spans="1:1" x14ac:dyDescent="0.25">
      <c r="A13586" s="74">
        <v>18378</v>
      </c>
    </row>
    <row r="13587" spans="1:1" x14ac:dyDescent="0.25">
      <c r="A13587" s="74">
        <v>18379</v>
      </c>
    </row>
    <row r="13588" spans="1:1" x14ac:dyDescent="0.25">
      <c r="A13588" s="74">
        <v>18380</v>
      </c>
    </row>
    <row r="13589" spans="1:1" x14ac:dyDescent="0.25">
      <c r="A13589" s="74">
        <v>18381</v>
      </c>
    </row>
    <row r="13590" spans="1:1" x14ac:dyDescent="0.25">
      <c r="A13590" s="74">
        <v>18382</v>
      </c>
    </row>
    <row r="13591" spans="1:1" x14ac:dyDescent="0.25">
      <c r="A13591" s="74">
        <v>18383</v>
      </c>
    </row>
    <row r="13592" spans="1:1" x14ac:dyDescent="0.25">
      <c r="A13592" s="74">
        <v>18384</v>
      </c>
    </row>
    <row r="13593" spans="1:1" x14ac:dyDescent="0.25">
      <c r="A13593" s="74">
        <v>18385</v>
      </c>
    </row>
    <row r="13594" spans="1:1" x14ac:dyDescent="0.25">
      <c r="A13594" s="74">
        <v>18386</v>
      </c>
    </row>
    <row r="13595" spans="1:1" x14ac:dyDescent="0.25">
      <c r="A13595" s="74">
        <v>18387</v>
      </c>
    </row>
    <row r="13596" spans="1:1" x14ac:dyDescent="0.25">
      <c r="A13596" s="74">
        <v>18388</v>
      </c>
    </row>
    <row r="13597" spans="1:1" x14ac:dyDescent="0.25">
      <c r="A13597" s="74">
        <v>18389</v>
      </c>
    </row>
    <row r="13598" spans="1:1" x14ac:dyDescent="0.25">
      <c r="A13598" s="74">
        <v>18390</v>
      </c>
    </row>
    <row r="13599" spans="1:1" x14ac:dyDescent="0.25">
      <c r="A13599" s="74">
        <v>18391</v>
      </c>
    </row>
    <row r="13600" spans="1:1" x14ac:dyDescent="0.25">
      <c r="A13600" s="74">
        <v>18392</v>
      </c>
    </row>
    <row r="13601" spans="1:1" x14ac:dyDescent="0.25">
      <c r="A13601" s="74">
        <v>18393</v>
      </c>
    </row>
    <row r="13602" spans="1:1" x14ac:dyDescent="0.25">
      <c r="A13602" s="74">
        <v>18394</v>
      </c>
    </row>
    <row r="13603" spans="1:1" x14ac:dyDescent="0.25">
      <c r="A13603" s="74">
        <v>18395</v>
      </c>
    </row>
    <row r="13604" spans="1:1" x14ac:dyDescent="0.25">
      <c r="A13604" s="74">
        <v>18396</v>
      </c>
    </row>
    <row r="13605" spans="1:1" x14ac:dyDescent="0.25">
      <c r="A13605" s="74">
        <v>18397</v>
      </c>
    </row>
    <row r="13606" spans="1:1" x14ac:dyDescent="0.25">
      <c r="A13606" s="74">
        <v>18398</v>
      </c>
    </row>
    <row r="13607" spans="1:1" x14ac:dyDescent="0.25">
      <c r="A13607" s="74">
        <v>18399</v>
      </c>
    </row>
    <row r="13608" spans="1:1" x14ac:dyDescent="0.25">
      <c r="A13608" s="74">
        <v>18400</v>
      </c>
    </row>
    <row r="13609" spans="1:1" x14ac:dyDescent="0.25">
      <c r="A13609" s="74">
        <v>18401</v>
      </c>
    </row>
    <row r="13610" spans="1:1" x14ac:dyDescent="0.25">
      <c r="A13610" s="74">
        <v>18402</v>
      </c>
    </row>
    <row r="13611" spans="1:1" x14ac:dyDescent="0.25">
      <c r="A13611" s="74">
        <v>18403</v>
      </c>
    </row>
    <row r="13612" spans="1:1" x14ac:dyDescent="0.25">
      <c r="A13612" s="74">
        <v>18404</v>
      </c>
    </row>
    <row r="13613" spans="1:1" x14ac:dyDescent="0.25">
      <c r="A13613" s="74">
        <v>18405</v>
      </c>
    </row>
    <row r="13614" spans="1:1" x14ac:dyDescent="0.25">
      <c r="A13614" s="74">
        <v>18406</v>
      </c>
    </row>
    <row r="13615" spans="1:1" x14ac:dyDescent="0.25">
      <c r="A13615" s="74">
        <v>18407</v>
      </c>
    </row>
    <row r="13616" spans="1:1" x14ac:dyDescent="0.25">
      <c r="A13616" s="74">
        <v>18408</v>
      </c>
    </row>
    <row r="13617" spans="1:1" x14ac:dyDescent="0.25">
      <c r="A13617" s="74">
        <v>18409</v>
      </c>
    </row>
    <row r="13618" spans="1:1" x14ac:dyDescent="0.25">
      <c r="A13618" s="74">
        <v>18410</v>
      </c>
    </row>
    <row r="13619" spans="1:1" x14ac:dyDescent="0.25">
      <c r="A13619" s="74">
        <v>18411</v>
      </c>
    </row>
    <row r="13620" spans="1:1" x14ac:dyDescent="0.25">
      <c r="A13620" s="74">
        <v>18412</v>
      </c>
    </row>
    <row r="13621" spans="1:1" x14ac:dyDescent="0.25">
      <c r="A13621" s="74">
        <v>18413</v>
      </c>
    </row>
    <row r="13622" spans="1:1" x14ac:dyDescent="0.25">
      <c r="A13622" s="74">
        <v>18414</v>
      </c>
    </row>
    <row r="13623" spans="1:1" x14ac:dyDescent="0.25">
      <c r="A13623" s="74">
        <v>18415</v>
      </c>
    </row>
    <row r="13624" spans="1:1" x14ac:dyDescent="0.25">
      <c r="A13624" s="74">
        <v>18416</v>
      </c>
    </row>
    <row r="13625" spans="1:1" x14ac:dyDescent="0.25">
      <c r="A13625" s="74">
        <v>18417</v>
      </c>
    </row>
    <row r="13626" spans="1:1" x14ac:dyDescent="0.25">
      <c r="A13626" s="74">
        <v>18418</v>
      </c>
    </row>
    <row r="13627" spans="1:1" x14ac:dyDescent="0.25">
      <c r="A13627" s="74">
        <v>18419</v>
      </c>
    </row>
    <row r="13628" spans="1:1" x14ac:dyDescent="0.25">
      <c r="A13628" s="74">
        <v>18420</v>
      </c>
    </row>
    <row r="13629" spans="1:1" x14ac:dyDescent="0.25">
      <c r="A13629" s="74">
        <v>18421</v>
      </c>
    </row>
    <row r="13630" spans="1:1" x14ac:dyDescent="0.25">
      <c r="A13630" s="74">
        <v>18422</v>
      </c>
    </row>
    <row r="13631" spans="1:1" x14ac:dyDescent="0.25">
      <c r="A13631" s="74">
        <v>18423</v>
      </c>
    </row>
    <row r="13632" spans="1:1" x14ac:dyDescent="0.25">
      <c r="A13632" s="74">
        <v>18424</v>
      </c>
    </row>
    <row r="13633" spans="1:1" x14ac:dyDescent="0.25">
      <c r="A13633" s="74">
        <v>18425</v>
      </c>
    </row>
    <row r="13634" spans="1:1" x14ac:dyDescent="0.25">
      <c r="A13634" s="74">
        <v>18426</v>
      </c>
    </row>
    <row r="13635" spans="1:1" x14ac:dyDescent="0.25">
      <c r="A13635" s="74">
        <v>18427</v>
      </c>
    </row>
    <row r="13636" spans="1:1" x14ac:dyDescent="0.25">
      <c r="A13636" s="74">
        <v>18428</v>
      </c>
    </row>
    <row r="13637" spans="1:1" x14ac:dyDescent="0.25">
      <c r="A13637" s="74">
        <v>18429</v>
      </c>
    </row>
    <row r="13638" spans="1:1" x14ac:dyDescent="0.25">
      <c r="A13638" s="74">
        <v>18430</v>
      </c>
    </row>
    <row r="13639" spans="1:1" x14ac:dyDescent="0.25">
      <c r="A13639" s="74">
        <v>18431</v>
      </c>
    </row>
    <row r="13640" spans="1:1" x14ac:dyDescent="0.25">
      <c r="A13640" s="74">
        <v>18432</v>
      </c>
    </row>
    <row r="13641" spans="1:1" x14ac:dyDescent="0.25">
      <c r="A13641" s="74">
        <v>18433</v>
      </c>
    </row>
    <row r="13642" spans="1:1" x14ac:dyDescent="0.25">
      <c r="A13642" s="74">
        <v>18434</v>
      </c>
    </row>
    <row r="13643" spans="1:1" x14ac:dyDescent="0.25">
      <c r="A13643" s="74">
        <v>18435</v>
      </c>
    </row>
    <row r="13644" spans="1:1" x14ac:dyDescent="0.25">
      <c r="A13644" s="74">
        <v>18436</v>
      </c>
    </row>
    <row r="13645" spans="1:1" x14ac:dyDescent="0.25">
      <c r="A13645" s="74">
        <v>18437</v>
      </c>
    </row>
    <row r="13646" spans="1:1" x14ac:dyDescent="0.25">
      <c r="A13646" s="74">
        <v>18438</v>
      </c>
    </row>
    <row r="13647" spans="1:1" x14ac:dyDescent="0.25">
      <c r="A13647" s="74">
        <v>18439</v>
      </c>
    </row>
    <row r="13648" spans="1:1" x14ac:dyDescent="0.25">
      <c r="A13648" s="74">
        <v>18440</v>
      </c>
    </row>
    <row r="13649" spans="1:1" x14ac:dyDescent="0.25">
      <c r="A13649" s="74">
        <v>18441</v>
      </c>
    </row>
    <row r="13650" spans="1:1" x14ac:dyDescent="0.25">
      <c r="A13650" s="74">
        <v>18442</v>
      </c>
    </row>
    <row r="13651" spans="1:1" x14ac:dyDescent="0.25">
      <c r="A13651" s="74">
        <v>18443</v>
      </c>
    </row>
    <row r="13652" spans="1:1" x14ac:dyDescent="0.25">
      <c r="A13652" s="74">
        <v>18444</v>
      </c>
    </row>
    <row r="13653" spans="1:1" x14ac:dyDescent="0.25">
      <c r="A13653" s="74">
        <v>18445</v>
      </c>
    </row>
    <row r="13654" spans="1:1" x14ac:dyDescent="0.25">
      <c r="A13654" s="74">
        <v>18446</v>
      </c>
    </row>
    <row r="13655" spans="1:1" x14ac:dyDescent="0.25">
      <c r="A13655" s="74">
        <v>18447</v>
      </c>
    </row>
    <row r="13656" spans="1:1" x14ac:dyDescent="0.25">
      <c r="A13656" s="74">
        <v>18448</v>
      </c>
    </row>
    <row r="13657" spans="1:1" x14ac:dyDescent="0.25">
      <c r="A13657" s="74">
        <v>18449</v>
      </c>
    </row>
    <row r="13658" spans="1:1" x14ac:dyDescent="0.25">
      <c r="A13658" s="74">
        <v>18450</v>
      </c>
    </row>
    <row r="13659" spans="1:1" x14ac:dyDescent="0.25">
      <c r="A13659" s="74">
        <v>18451</v>
      </c>
    </row>
    <row r="13660" spans="1:1" x14ac:dyDescent="0.25">
      <c r="A13660" s="74">
        <v>18452</v>
      </c>
    </row>
    <row r="13661" spans="1:1" x14ac:dyDescent="0.25">
      <c r="A13661" s="74">
        <v>18453</v>
      </c>
    </row>
    <row r="13662" spans="1:1" x14ac:dyDescent="0.25">
      <c r="A13662" s="74">
        <v>18454</v>
      </c>
    </row>
    <row r="13663" spans="1:1" x14ac:dyDescent="0.25">
      <c r="A13663" s="74">
        <v>18455</v>
      </c>
    </row>
    <row r="13664" spans="1:1" x14ac:dyDescent="0.25">
      <c r="A13664" s="74">
        <v>18456</v>
      </c>
    </row>
    <row r="13665" spans="1:1" x14ac:dyDescent="0.25">
      <c r="A13665" s="74">
        <v>18457</v>
      </c>
    </row>
    <row r="13666" spans="1:1" x14ac:dyDescent="0.25">
      <c r="A13666" s="74">
        <v>18458</v>
      </c>
    </row>
    <row r="13667" spans="1:1" x14ac:dyDescent="0.25">
      <c r="A13667" s="74">
        <v>18459</v>
      </c>
    </row>
    <row r="13668" spans="1:1" x14ac:dyDescent="0.25">
      <c r="A13668" s="74">
        <v>18460</v>
      </c>
    </row>
    <row r="13669" spans="1:1" x14ac:dyDescent="0.25">
      <c r="A13669" s="74">
        <v>18461</v>
      </c>
    </row>
    <row r="13670" spans="1:1" x14ac:dyDescent="0.25">
      <c r="A13670" s="74">
        <v>18462</v>
      </c>
    </row>
    <row r="13671" spans="1:1" x14ac:dyDescent="0.25">
      <c r="A13671" s="74">
        <v>18463</v>
      </c>
    </row>
    <row r="13672" spans="1:1" x14ac:dyDescent="0.25">
      <c r="A13672" s="74">
        <v>18464</v>
      </c>
    </row>
    <row r="13673" spans="1:1" x14ac:dyDescent="0.25">
      <c r="A13673" s="74">
        <v>18465</v>
      </c>
    </row>
    <row r="13674" spans="1:1" x14ac:dyDescent="0.25">
      <c r="A13674" s="74">
        <v>18466</v>
      </c>
    </row>
    <row r="13675" spans="1:1" x14ac:dyDescent="0.25">
      <c r="A13675" s="74">
        <v>18467</v>
      </c>
    </row>
    <row r="13676" spans="1:1" x14ac:dyDescent="0.25">
      <c r="A13676" s="74">
        <v>18468</v>
      </c>
    </row>
    <row r="13677" spans="1:1" x14ac:dyDescent="0.25">
      <c r="A13677" s="74">
        <v>18469</v>
      </c>
    </row>
    <row r="13678" spans="1:1" x14ac:dyDescent="0.25">
      <c r="A13678" s="74">
        <v>18470</v>
      </c>
    </row>
    <row r="13679" spans="1:1" x14ac:dyDescent="0.25">
      <c r="A13679" s="74">
        <v>18471</v>
      </c>
    </row>
    <row r="13680" spans="1:1" x14ac:dyDescent="0.25">
      <c r="A13680" s="74">
        <v>18472</v>
      </c>
    </row>
    <row r="13681" spans="1:1" x14ac:dyDescent="0.25">
      <c r="A13681" s="74">
        <v>18473</v>
      </c>
    </row>
    <row r="13682" spans="1:1" x14ac:dyDescent="0.25">
      <c r="A13682" s="74">
        <v>18474</v>
      </c>
    </row>
    <row r="13683" spans="1:1" x14ac:dyDescent="0.25">
      <c r="A13683" s="74">
        <v>18475</v>
      </c>
    </row>
    <row r="13684" spans="1:1" x14ac:dyDescent="0.25">
      <c r="A13684" s="74">
        <v>18476</v>
      </c>
    </row>
    <row r="13685" spans="1:1" x14ac:dyDescent="0.25">
      <c r="A13685" s="74">
        <v>18477</v>
      </c>
    </row>
    <row r="13686" spans="1:1" x14ac:dyDescent="0.25">
      <c r="A13686" s="74">
        <v>18478</v>
      </c>
    </row>
    <row r="13687" spans="1:1" x14ac:dyDescent="0.25">
      <c r="A13687" s="74">
        <v>18479</v>
      </c>
    </row>
    <row r="13688" spans="1:1" x14ac:dyDescent="0.25">
      <c r="A13688" s="74">
        <v>18480</v>
      </c>
    </row>
    <row r="13689" spans="1:1" x14ac:dyDescent="0.25">
      <c r="A13689" s="74">
        <v>18481</v>
      </c>
    </row>
    <row r="13690" spans="1:1" x14ac:dyDescent="0.25">
      <c r="A13690" s="74">
        <v>18482</v>
      </c>
    </row>
    <row r="13691" spans="1:1" x14ac:dyDescent="0.25">
      <c r="A13691" s="74">
        <v>18483</v>
      </c>
    </row>
    <row r="13692" spans="1:1" x14ac:dyDescent="0.25">
      <c r="A13692" s="74">
        <v>18484</v>
      </c>
    </row>
    <row r="13693" spans="1:1" x14ac:dyDescent="0.25">
      <c r="A13693" s="74">
        <v>18485</v>
      </c>
    </row>
    <row r="13694" spans="1:1" x14ac:dyDescent="0.25">
      <c r="A13694" s="74">
        <v>18486</v>
      </c>
    </row>
    <row r="13695" spans="1:1" x14ac:dyDescent="0.25">
      <c r="A13695" s="74">
        <v>18487</v>
      </c>
    </row>
    <row r="13696" spans="1:1" x14ac:dyDescent="0.25">
      <c r="A13696" s="74">
        <v>18488</v>
      </c>
    </row>
    <row r="13697" spans="1:1" x14ac:dyDescent="0.25">
      <c r="A13697" s="74">
        <v>18489</v>
      </c>
    </row>
    <row r="13698" spans="1:1" x14ac:dyDescent="0.25">
      <c r="A13698" s="74">
        <v>18490</v>
      </c>
    </row>
    <row r="13699" spans="1:1" x14ac:dyDescent="0.25">
      <c r="A13699" s="74">
        <v>18491</v>
      </c>
    </row>
    <row r="13700" spans="1:1" x14ac:dyDescent="0.25">
      <c r="A13700" s="74">
        <v>18492</v>
      </c>
    </row>
    <row r="13701" spans="1:1" x14ac:dyDescent="0.25">
      <c r="A13701" s="74">
        <v>18493</v>
      </c>
    </row>
    <row r="13702" spans="1:1" x14ac:dyDescent="0.25">
      <c r="A13702" s="74">
        <v>18494</v>
      </c>
    </row>
    <row r="13703" spans="1:1" x14ac:dyDescent="0.25">
      <c r="A13703" s="74">
        <v>18495</v>
      </c>
    </row>
    <row r="13704" spans="1:1" x14ac:dyDescent="0.25">
      <c r="A13704" s="74">
        <v>18496</v>
      </c>
    </row>
    <row r="13705" spans="1:1" x14ac:dyDescent="0.25">
      <c r="A13705" s="74">
        <v>18497</v>
      </c>
    </row>
    <row r="13706" spans="1:1" x14ac:dyDescent="0.25">
      <c r="A13706" s="74">
        <v>18498</v>
      </c>
    </row>
    <row r="13707" spans="1:1" x14ac:dyDescent="0.25">
      <c r="A13707" s="74">
        <v>18499</v>
      </c>
    </row>
    <row r="13708" spans="1:1" x14ac:dyDescent="0.25">
      <c r="A13708" s="74">
        <v>18500</v>
      </c>
    </row>
    <row r="13709" spans="1:1" x14ac:dyDescent="0.25">
      <c r="A13709" s="74">
        <v>18501</v>
      </c>
    </row>
    <row r="13710" spans="1:1" x14ac:dyDescent="0.25">
      <c r="A13710" s="74">
        <v>18502</v>
      </c>
    </row>
    <row r="13711" spans="1:1" x14ac:dyDescent="0.25">
      <c r="A13711" s="74">
        <v>18503</v>
      </c>
    </row>
    <row r="13712" spans="1:1" x14ac:dyDescent="0.25">
      <c r="A13712" s="74">
        <v>18504</v>
      </c>
    </row>
    <row r="13713" spans="1:1" x14ac:dyDescent="0.25">
      <c r="A13713" s="74">
        <v>18505</v>
      </c>
    </row>
    <row r="13714" spans="1:1" x14ac:dyDescent="0.25">
      <c r="A13714" s="74">
        <v>18506</v>
      </c>
    </row>
    <row r="13715" spans="1:1" x14ac:dyDescent="0.25">
      <c r="A13715" s="74">
        <v>18507</v>
      </c>
    </row>
    <row r="13716" spans="1:1" x14ac:dyDescent="0.25">
      <c r="A13716" s="74">
        <v>18508</v>
      </c>
    </row>
    <row r="13717" spans="1:1" x14ac:dyDescent="0.25">
      <c r="A13717" s="74">
        <v>18509</v>
      </c>
    </row>
    <row r="13718" spans="1:1" x14ac:dyDescent="0.25">
      <c r="A13718" s="74">
        <v>18510</v>
      </c>
    </row>
    <row r="13719" spans="1:1" x14ac:dyDescent="0.25">
      <c r="A13719" s="74">
        <v>18511</v>
      </c>
    </row>
    <row r="13720" spans="1:1" x14ac:dyDescent="0.25">
      <c r="A13720" s="74">
        <v>18512</v>
      </c>
    </row>
    <row r="13721" spans="1:1" x14ac:dyDescent="0.25">
      <c r="A13721" s="74">
        <v>18513</v>
      </c>
    </row>
    <row r="13722" spans="1:1" x14ac:dyDescent="0.25">
      <c r="A13722" s="74">
        <v>18514</v>
      </c>
    </row>
    <row r="13723" spans="1:1" x14ac:dyDescent="0.25">
      <c r="A13723" s="74">
        <v>18515</v>
      </c>
    </row>
    <row r="13724" spans="1:1" x14ac:dyDescent="0.25">
      <c r="A13724" s="74">
        <v>18516</v>
      </c>
    </row>
    <row r="13725" spans="1:1" x14ac:dyDescent="0.25">
      <c r="A13725" s="74">
        <v>18517</v>
      </c>
    </row>
    <row r="13726" spans="1:1" x14ac:dyDescent="0.25">
      <c r="A13726" s="74">
        <v>18518</v>
      </c>
    </row>
    <row r="13727" spans="1:1" x14ac:dyDescent="0.25">
      <c r="A13727" s="74">
        <v>18519</v>
      </c>
    </row>
    <row r="13728" spans="1:1" x14ac:dyDescent="0.25">
      <c r="A13728" s="74">
        <v>18520</v>
      </c>
    </row>
    <row r="13729" spans="1:1" x14ac:dyDescent="0.25">
      <c r="A13729" s="74">
        <v>18521</v>
      </c>
    </row>
    <row r="13730" spans="1:1" x14ac:dyDescent="0.25">
      <c r="A13730" s="74">
        <v>18522</v>
      </c>
    </row>
    <row r="13731" spans="1:1" x14ac:dyDescent="0.25">
      <c r="A13731" s="74">
        <v>18523</v>
      </c>
    </row>
    <row r="13732" spans="1:1" x14ac:dyDescent="0.25">
      <c r="A13732" s="74">
        <v>18524</v>
      </c>
    </row>
    <row r="13733" spans="1:1" x14ac:dyDescent="0.25">
      <c r="A13733" s="74">
        <v>18525</v>
      </c>
    </row>
    <row r="13734" spans="1:1" x14ac:dyDescent="0.25">
      <c r="A13734" s="74">
        <v>18526</v>
      </c>
    </row>
    <row r="13735" spans="1:1" x14ac:dyDescent="0.25">
      <c r="A13735" s="74">
        <v>18527</v>
      </c>
    </row>
    <row r="13736" spans="1:1" x14ac:dyDescent="0.25">
      <c r="A13736" s="74">
        <v>18528</v>
      </c>
    </row>
    <row r="13737" spans="1:1" x14ac:dyDescent="0.25">
      <c r="A13737" s="74">
        <v>18529</v>
      </c>
    </row>
    <row r="13738" spans="1:1" x14ac:dyDescent="0.25">
      <c r="A13738" s="74">
        <v>18530</v>
      </c>
    </row>
    <row r="13739" spans="1:1" x14ac:dyDescent="0.25">
      <c r="A13739" s="74">
        <v>18531</v>
      </c>
    </row>
    <row r="13740" spans="1:1" x14ac:dyDescent="0.25">
      <c r="A13740" s="74">
        <v>18532</v>
      </c>
    </row>
    <row r="13741" spans="1:1" x14ac:dyDescent="0.25">
      <c r="A13741" s="74">
        <v>18533</v>
      </c>
    </row>
    <row r="13742" spans="1:1" x14ac:dyDescent="0.25">
      <c r="A13742" s="74">
        <v>18534</v>
      </c>
    </row>
    <row r="13743" spans="1:1" x14ac:dyDescent="0.25">
      <c r="A13743" s="74">
        <v>18535</v>
      </c>
    </row>
    <row r="13744" spans="1:1" x14ac:dyDescent="0.25">
      <c r="A13744" s="74">
        <v>18536</v>
      </c>
    </row>
    <row r="13745" spans="1:1" x14ac:dyDescent="0.25">
      <c r="A13745" s="74">
        <v>18537</v>
      </c>
    </row>
    <row r="13746" spans="1:1" x14ac:dyDescent="0.25">
      <c r="A13746" s="74">
        <v>18538</v>
      </c>
    </row>
    <row r="13747" spans="1:1" x14ac:dyDescent="0.25">
      <c r="A13747" s="74">
        <v>18539</v>
      </c>
    </row>
    <row r="13748" spans="1:1" x14ac:dyDescent="0.25">
      <c r="A13748" s="74">
        <v>18540</v>
      </c>
    </row>
    <row r="13749" spans="1:1" x14ac:dyDescent="0.25">
      <c r="A13749" s="74">
        <v>18541</v>
      </c>
    </row>
    <row r="13750" spans="1:1" x14ac:dyDescent="0.25">
      <c r="A13750" s="74">
        <v>18542</v>
      </c>
    </row>
    <row r="13751" spans="1:1" x14ac:dyDescent="0.25">
      <c r="A13751" s="74">
        <v>18543</v>
      </c>
    </row>
    <row r="13752" spans="1:1" x14ac:dyDescent="0.25">
      <c r="A13752" s="74">
        <v>18544</v>
      </c>
    </row>
    <row r="13753" spans="1:1" x14ac:dyDescent="0.25">
      <c r="A13753" s="74">
        <v>18545</v>
      </c>
    </row>
    <row r="13754" spans="1:1" x14ac:dyDescent="0.25">
      <c r="A13754" s="74">
        <v>18546</v>
      </c>
    </row>
    <row r="13755" spans="1:1" x14ac:dyDescent="0.25">
      <c r="A13755" s="74">
        <v>18547</v>
      </c>
    </row>
    <row r="13756" spans="1:1" x14ac:dyDescent="0.25">
      <c r="A13756" s="74">
        <v>18548</v>
      </c>
    </row>
    <row r="13757" spans="1:1" x14ac:dyDescent="0.25">
      <c r="A13757" s="74">
        <v>18549</v>
      </c>
    </row>
    <row r="13758" spans="1:1" x14ac:dyDescent="0.25">
      <c r="A13758" s="74">
        <v>18550</v>
      </c>
    </row>
    <row r="13759" spans="1:1" x14ac:dyDescent="0.25">
      <c r="A13759" s="74">
        <v>18551</v>
      </c>
    </row>
    <row r="13760" spans="1:1" x14ac:dyDescent="0.25">
      <c r="A13760" s="74">
        <v>18552</v>
      </c>
    </row>
    <row r="13761" spans="1:1" x14ac:dyDescent="0.25">
      <c r="A13761" s="74">
        <v>18553</v>
      </c>
    </row>
    <row r="13762" spans="1:1" x14ac:dyDescent="0.25">
      <c r="A13762" s="74">
        <v>18554</v>
      </c>
    </row>
    <row r="13763" spans="1:1" x14ac:dyDescent="0.25">
      <c r="A13763" s="74">
        <v>18555</v>
      </c>
    </row>
    <row r="13764" spans="1:1" x14ac:dyDescent="0.25">
      <c r="A13764" s="74">
        <v>18556</v>
      </c>
    </row>
    <row r="13765" spans="1:1" x14ac:dyDescent="0.25">
      <c r="A13765" s="74">
        <v>18557</v>
      </c>
    </row>
    <row r="13766" spans="1:1" x14ac:dyDescent="0.25">
      <c r="A13766" s="74">
        <v>18558</v>
      </c>
    </row>
    <row r="13767" spans="1:1" x14ac:dyDescent="0.25">
      <c r="A13767" s="74">
        <v>18559</v>
      </c>
    </row>
    <row r="13768" spans="1:1" x14ac:dyDescent="0.25">
      <c r="A13768" s="74">
        <v>18560</v>
      </c>
    </row>
    <row r="13769" spans="1:1" x14ac:dyDescent="0.25">
      <c r="A13769" s="74">
        <v>18561</v>
      </c>
    </row>
    <row r="13770" spans="1:1" x14ac:dyDescent="0.25">
      <c r="A13770" s="74">
        <v>18562</v>
      </c>
    </row>
    <row r="13771" spans="1:1" x14ac:dyDescent="0.25">
      <c r="A13771" s="74">
        <v>18563</v>
      </c>
    </row>
    <row r="13772" spans="1:1" x14ac:dyDescent="0.25">
      <c r="A13772" s="74">
        <v>18564</v>
      </c>
    </row>
    <row r="13773" spans="1:1" x14ac:dyDescent="0.25">
      <c r="A13773" s="74">
        <v>18565</v>
      </c>
    </row>
    <row r="13774" spans="1:1" x14ac:dyDescent="0.25">
      <c r="A13774" s="74">
        <v>18566</v>
      </c>
    </row>
    <row r="13775" spans="1:1" x14ac:dyDescent="0.25">
      <c r="A13775" s="74">
        <v>18567</v>
      </c>
    </row>
    <row r="13776" spans="1:1" x14ac:dyDescent="0.25">
      <c r="A13776" s="74">
        <v>18568</v>
      </c>
    </row>
    <row r="13777" spans="1:1" x14ac:dyDescent="0.25">
      <c r="A13777" s="74">
        <v>18569</v>
      </c>
    </row>
    <row r="13778" spans="1:1" x14ac:dyDescent="0.25">
      <c r="A13778" s="74">
        <v>18570</v>
      </c>
    </row>
    <row r="13779" spans="1:1" x14ac:dyDescent="0.25">
      <c r="A13779" s="74">
        <v>18571</v>
      </c>
    </row>
    <row r="13780" spans="1:1" x14ac:dyDescent="0.25">
      <c r="A13780" s="74">
        <v>18572</v>
      </c>
    </row>
    <row r="13781" spans="1:1" x14ac:dyDescent="0.25">
      <c r="A13781" s="74">
        <v>18573</v>
      </c>
    </row>
    <row r="13782" spans="1:1" x14ac:dyDescent="0.25">
      <c r="A13782" s="74">
        <v>18574</v>
      </c>
    </row>
    <row r="13783" spans="1:1" x14ac:dyDescent="0.25">
      <c r="A13783" s="74">
        <v>18575</v>
      </c>
    </row>
    <row r="13784" spans="1:1" x14ac:dyDescent="0.25">
      <c r="A13784" s="74">
        <v>18576</v>
      </c>
    </row>
    <row r="13785" spans="1:1" x14ac:dyDescent="0.25">
      <c r="A13785" s="74">
        <v>18577</v>
      </c>
    </row>
    <row r="13786" spans="1:1" x14ac:dyDescent="0.25">
      <c r="A13786" s="74">
        <v>18578</v>
      </c>
    </row>
    <row r="13787" spans="1:1" x14ac:dyDescent="0.25">
      <c r="A13787" s="74">
        <v>18579</v>
      </c>
    </row>
    <row r="13788" spans="1:1" x14ac:dyDescent="0.25">
      <c r="A13788" s="74">
        <v>18580</v>
      </c>
    </row>
    <row r="13789" spans="1:1" x14ac:dyDescent="0.25">
      <c r="A13789" s="74">
        <v>18581</v>
      </c>
    </row>
    <row r="13790" spans="1:1" x14ac:dyDescent="0.25">
      <c r="A13790" s="74">
        <v>18582</v>
      </c>
    </row>
    <row r="13791" spans="1:1" x14ac:dyDescent="0.25">
      <c r="A13791" s="74">
        <v>18583</v>
      </c>
    </row>
    <row r="13792" spans="1:1" x14ac:dyDescent="0.25">
      <c r="A13792" s="74">
        <v>18584</v>
      </c>
    </row>
    <row r="13793" spans="1:1" x14ac:dyDescent="0.25">
      <c r="A13793" s="74">
        <v>18585</v>
      </c>
    </row>
    <row r="13794" spans="1:1" x14ac:dyDescent="0.25">
      <c r="A13794" s="74">
        <v>18586</v>
      </c>
    </row>
    <row r="13795" spans="1:1" x14ac:dyDescent="0.25">
      <c r="A13795" s="74">
        <v>18587</v>
      </c>
    </row>
    <row r="13796" spans="1:1" x14ac:dyDescent="0.25">
      <c r="A13796" s="74">
        <v>18588</v>
      </c>
    </row>
    <row r="13797" spans="1:1" x14ac:dyDescent="0.25">
      <c r="A13797" s="74">
        <v>18589</v>
      </c>
    </row>
    <row r="13798" spans="1:1" x14ac:dyDescent="0.25">
      <c r="A13798" s="74">
        <v>18590</v>
      </c>
    </row>
    <row r="13799" spans="1:1" x14ac:dyDescent="0.25">
      <c r="A13799" s="74">
        <v>18591</v>
      </c>
    </row>
    <row r="13800" spans="1:1" x14ac:dyDescent="0.25">
      <c r="A13800" s="74">
        <v>18592</v>
      </c>
    </row>
    <row r="13801" spans="1:1" x14ac:dyDescent="0.25">
      <c r="A13801" s="74">
        <v>18593</v>
      </c>
    </row>
    <row r="13802" spans="1:1" x14ac:dyDescent="0.25">
      <c r="A13802" s="74">
        <v>18594</v>
      </c>
    </row>
    <row r="13803" spans="1:1" x14ac:dyDescent="0.25">
      <c r="A13803" s="74">
        <v>18595</v>
      </c>
    </row>
    <row r="13804" spans="1:1" x14ac:dyDescent="0.25">
      <c r="A13804" s="74">
        <v>18596</v>
      </c>
    </row>
    <row r="13805" spans="1:1" x14ac:dyDescent="0.25">
      <c r="A13805" s="74">
        <v>18597</v>
      </c>
    </row>
    <row r="13806" spans="1:1" x14ac:dyDescent="0.25">
      <c r="A13806" s="74">
        <v>18598</v>
      </c>
    </row>
    <row r="13807" spans="1:1" x14ac:dyDescent="0.25">
      <c r="A13807" s="74">
        <v>18599</v>
      </c>
    </row>
    <row r="13808" spans="1:1" x14ac:dyDescent="0.25">
      <c r="A13808" s="74">
        <v>18600</v>
      </c>
    </row>
    <row r="13809" spans="1:1" x14ac:dyDescent="0.25">
      <c r="A13809" s="74">
        <v>18601</v>
      </c>
    </row>
    <row r="13810" spans="1:1" x14ac:dyDescent="0.25">
      <c r="A13810" s="74">
        <v>18602</v>
      </c>
    </row>
    <row r="13811" spans="1:1" x14ac:dyDescent="0.25">
      <c r="A13811" s="74">
        <v>18603</v>
      </c>
    </row>
    <row r="13812" spans="1:1" x14ac:dyDescent="0.25">
      <c r="A13812" s="74">
        <v>18604</v>
      </c>
    </row>
    <row r="13813" spans="1:1" x14ac:dyDescent="0.25">
      <c r="A13813" s="74">
        <v>18605</v>
      </c>
    </row>
    <row r="13814" spans="1:1" x14ac:dyDescent="0.25">
      <c r="A13814" s="74">
        <v>18606</v>
      </c>
    </row>
    <row r="13815" spans="1:1" x14ac:dyDescent="0.25">
      <c r="A13815" s="74">
        <v>18607</v>
      </c>
    </row>
    <row r="13816" spans="1:1" x14ac:dyDescent="0.25">
      <c r="A13816" s="74">
        <v>18608</v>
      </c>
    </row>
    <row r="13817" spans="1:1" x14ac:dyDescent="0.25">
      <c r="A13817" s="74">
        <v>18609</v>
      </c>
    </row>
    <row r="13818" spans="1:1" x14ac:dyDescent="0.25">
      <c r="A13818" s="74">
        <v>18610</v>
      </c>
    </row>
    <row r="13819" spans="1:1" x14ac:dyDescent="0.25">
      <c r="A13819" s="74">
        <v>18611</v>
      </c>
    </row>
    <row r="13820" spans="1:1" x14ac:dyDescent="0.25">
      <c r="A13820" s="74">
        <v>18612</v>
      </c>
    </row>
    <row r="13821" spans="1:1" x14ac:dyDescent="0.25">
      <c r="A13821" s="74">
        <v>18613</v>
      </c>
    </row>
    <row r="13822" spans="1:1" x14ac:dyDescent="0.25">
      <c r="A13822" s="74">
        <v>18614</v>
      </c>
    </row>
    <row r="13823" spans="1:1" x14ac:dyDescent="0.25">
      <c r="A13823" s="74">
        <v>18615</v>
      </c>
    </row>
    <row r="13824" spans="1:1" x14ac:dyDescent="0.25">
      <c r="A13824" s="74">
        <v>18616</v>
      </c>
    </row>
    <row r="13825" spans="1:1" x14ac:dyDescent="0.25">
      <c r="A13825" s="74">
        <v>18617</v>
      </c>
    </row>
    <row r="13826" spans="1:1" x14ac:dyDescent="0.25">
      <c r="A13826" s="74">
        <v>18618</v>
      </c>
    </row>
    <row r="13827" spans="1:1" x14ac:dyDescent="0.25">
      <c r="A13827" s="74">
        <v>18619</v>
      </c>
    </row>
    <row r="13828" spans="1:1" x14ac:dyDescent="0.25">
      <c r="A13828" s="74">
        <v>18620</v>
      </c>
    </row>
    <row r="13829" spans="1:1" x14ac:dyDescent="0.25">
      <c r="A13829" s="74">
        <v>18621</v>
      </c>
    </row>
    <row r="13830" spans="1:1" x14ac:dyDescent="0.25">
      <c r="A13830" s="74">
        <v>18622</v>
      </c>
    </row>
    <row r="13831" spans="1:1" x14ac:dyDescent="0.25">
      <c r="A13831" s="74">
        <v>18623</v>
      </c>
    </row>
    <row r="13832" spans="1:1" x14ac:dyDescent="0.25">
      <c r="A13832" s="74">
        <v>18624</v>
      </c>
    </row>
    <row r="13833" spans="1:1" x14ac:dyDescent="0.25">
      <c r="A13833" s="74">
        <v>18625</v>
      </c>
    </row>
    <row r="13834" spans="1:1" x14ac:dyDescent="0.25">
      <c r="A13834" s="74">
        <v>18626</v>
      </c>
    </row>
    <row r="13835" spans="1:1" x14ac:dyDescent="0.25">
      <c r="A13835" s="74">
        <v>18627</v>
      </c>
    </row>
    <row r="13836" spans="1:1" x14ac:dyDescent="0.25">
      <c r="A13836" s="74">
        <v>18628</v>
      </c>
    </row>
    <row r="13837" spans="1:1" x14ac:dyDescent="0.25">
      <c r="A13837" s="74">
        <v>18629</v>
      </c>
    </row>
    <row r="13838" spans="1:1" x14ac:dyDescent="0.25">
      <c r="A13838" s="74">
        <v>18630</v>
      </c>
    </row>
    <row r="13839" spans="1:1" x14ac:dyDescent="0.25">
      <c r="A13839" s="74">
        <v>18631</v>
      </c>
    </row>
    <row r="13840" spans="1:1" x14ac:dyDescent="0.25">
      <c r="A13840" s="74">
        <v>18632</v>
      </c>
    </row>
    <row r="13841" spans="1:1" x14ac:dyDescent="0.25">
      <c r="A13841" s="74">
        <v>18633</v>
      </c>
    </row>
    <row r="13842" spans="1:1" x14ac:dyDescent="0.25">
      <c r="A13842" s="74">
        <v>18634</v>
      </c>
    </row>
    <row r="13843" spans="1:1" x14ac:dyDescent="0.25">
      <c r="A13843" s="74">
        <v>18635</v>
      </c>
    </row>
    <row r="13844" spans="1:1" x14ac:dyDescent="0.25">
      <c r="A13844" s="74">
        <v>18636</v>
      </c>
    </row>
    <row r="13845" spans="1:1" x14ac:dyDescent="0.25">
      <c r="A13845" s="74">
        <v>18637</v>
      </c>
    </row>
    <row r="13846" spans="1:1" x14ac:dyDescent="0.25">
      <c r="A13846" s="74">
        <v>18638</v>
      </c>
    </row>
    <row r="13847" spans="1:1" x14ac:dyDescent="0.25">
      <c r="A13847" s="74">
        <v>18639</v>
      </c>
    </row>
    <row r="13848" spans="1:1" x14ac:dyDescent="0.25">
      <c r="A13848" s="74">
        <v>18640</v>
      </c>
    </row>
    <row r="13849" spans="1:1" x14ac:dyDescent="0.25">
      <c r="A13849" s="74">
        <v>18641</v>
      </c>
    </row>
    <row r="13850" spans="1:1" x14ac:dyDescent="0.25">
      <c r="A13850" s="74">
        <v>18642</v>
      </c>
    </row>
    <row r="13851" spans="1:1" x14ac:dyDescent="0.25">
      <c r="A13851" s="74">
        <v>18643</v>
      </c>
    </row>
    <row r="13852" spans="1:1" x14ac:dyDescent="0.25">
      <c r="A13852" s="74">
        <v>18644</v>
      </c>
    </row>
    <row r="13853" spans="1:1" x14ac:dyDescent="0.25">
      <c r="A13853" s="74">
        <v>18645</v>
      </c>
    </row>
    <row r="13854" spans="1:1" x14ac:dyDescent="0.25">
      <c r="A13854" s="74">
        <v>18646</v>
      </c>
    </row>
    <row r="13855" spans="1:1" x14ac:dyDescent="0.25">
      <c r="A13855" s="74">
        <v>18647</v>
      </c>
    </row>
    <row r="13856" spans="1:1" x14ac:dyDescent="0.25">
      <c r="A13856" s="74">
        <v>18648</v>
      </c>
    </row>
    <row r="13857" spans="1:1" x14ac:dyDescent="0.25">
      <c r="A13857" s="74">
        <v>18649</v>
      </c>
    </row>
    <row r="13858" spans="1:1" x14ac:dyDescent="0.25">
      <c r="A13858" s="74">
        <v>18650</v>
      </c>
    </row>
    <row r="13859" spans="1:1" x14ac:dyDescent="0.25">
      <c r="A13859" s="74">
        <v>18651</v>
      </c>
    </row>
    <row r="13860" spans="1:1" x14ac:dyDescent="0.25">
      <c r="A13860" s="74">
        <v>18652</v>
      </c>
    </row>
    <row r="13861" spans="1:1" x14ac:dyDescent="0.25">
      <c r="A13861" s="74">
        <v>18653</v>
      </c>
    </row>
    <row r="13862" spans="1:1" x14ac:dyDescent="0.25">
      <c r="A13862" s="74">
        <v>18654</v>
      </c>
    </row>
    <row r="13863" spans="1:1" x14ac:dyDescent="0.25">
      <c r="A13863" s="74">
        <v>18655</v>
      </c>
    </row>
    <row r="13864" spans="1:1" x14ac:dyDescent="0.25">
      <c r="A13864" s="74">
        <v>18656</v>
      </c>
    </row>
    <row r="13865" spans="1:1" x14ac:dyDescent="0.25">
      <c r="A13865" s="74">
        <v>18657</v>
      </c>
    </row>
    <row r="13866" spans="1:1" x14ac:dyDescent="0.25">
      <c r="A13866" s="74">
        <v>18658</v>
      </c>
    </row>
    <row r="13867" spans="1:1" x14ac:dyDescent="0.25">
      <c r="A13867" s="74">
        <v>18659</v>
      </c>
    </row>
    <row r="13868" spans="1:1" x14ac:dyDescent="0.25">
      <c r="A13868" s="74">
        <v>18660</v>
      </c>
    </row>
    <row r="13869" spans="1:1" x14ac:dyDescent="0.25">
      <c r="A13869" s="74">
        <v>18661</v>
      </c>
    </row>
    <row r="13870" spans="1:1" x14ac:dyDescent="0.25">
      <c r="A13870" s="74">
        <v>18662</v>
      </c>
    </row>
    <row r="13871" spans="1:1" x14ac:dyDescent="0.25">
      <c r="A13871" s="74">
        <v>18663</v>
      </c>
    </row>
    <row r="13872" spans="1:1" x14ac:dyDescent="0.25">
      <c r="A13872" s="74">
        <v>18664</v>
      </c>
    </row>
    <row r="13873" spans="1:1" x14ac:dyDescent="0.25">
      <c r="A13873" s="74">
        <v>18665</v>
      </c>
    </row>
    <row r="13874" spans="1:1" x14ac:dyDescent="0.25">
      <c r="A13874" s="74">
        <v>18666</v>
      </c>
    </row>
    <row r="13875" spans="1:1" x14ac:dyDescent="0.25">
      <c r="A13875" s="74">
        <v>18667</v>
      </c>
    </row>
    <row r="13876" spans="1:1" x14ac:dyDescent="0.25">
      <c r="A13876" s="74">
        <v>18668</v>
      </c>
    </row>
    <row r="13877" spans="1:1" x14ac:dyDescent="0.25">
      <c r="A13877" s="74">
        <v>18669</v>
      </c>
    </row>
    <row r="13878" spans="1:1" x14ac:dyDescent="0.25">
      <c r="A13878" s="74">
        <v>18670</v>
      </c>
    </row>
    <row r="13879" spans="1:1" x14ac:dyDescent="0.25">
      <c r="A13879" s="74">
        <v>18671</v>
      </c>
    </row>
    <row r="13880" spans="1:1" x14ac:dyDescent="0.25">
      <c r="A13880" s="74">
        <v>18672</v>
      </c>
    </row>
    <row r="13881" spans="1:1" x14ac:dyDescent="0.25">
      <c r="A13881" s="74">
        <v>18673</v>
      </c>
    </row>
    <row r="13882" spans="1:1" x14ac:dyDescent="0.25">
      <c r="A13882" s="74">
        <v>18674</v>
      </c>
    </row>
    <row r="13883" spans="1:1" x14ac:dyDescent="0.25">
      <c r="A13883" s="74">
        <v>18675</v>
      </c>
    </row>
    <row r="13884" spans="1:1" x14ac:dyDescent="0.25">
      <c r="A13884" s="74">
        <v>18676</v>
      </c>
    </row>
    <row r="13885" spans="1:1" x14ac:dyDescent="0.25">
      <c r="A13885" s="74">
        <v>18677</v>
      </c>
    </row>
    <row r="13886" spans="1:1" x14ac:dyDescent="0.25">
      <c r="A13886" s="74">
        <v>18678</v>
      </c>
    </row>
    <row r="13887" spans="1:1" x14ac:dyDescent="0.25">
      <c r="A13887" s="74">
        <v>18679</v>
      </c>
    </row>
    <row r="13888" spans="1:1" x14ac:dyDescent="0.25">
      <c r="A13888" s="74">
        <v>18680</v>
      </c>
    </row>
    <row r="13889" spans="1:1" x14ac:dyDescent="0.25">
      <c r="A13889" s="74">
        <v>18681</v>
      </c>
    </row>
    <row r="13890" spans="1:1" x14ac:dyDescent="0.25">
      <c r="A13890" s="74">
        <v>18682</v>
      </c>
    </row>
    <row r="13891" spans="1:1" x14ac:dyDescent="0.25">
      <c r="A13891" s="74">
        <v>18683</v>
      </c>
    </row>
    <row r="13892" spans="1:1" x14ac:dyDescent="0.25">
      <c r="A13892" s="74">
        <v>18684</v>
      </c>
    </row>
    <row r="13893" spans="1:1" x14ac:dyDescent="0.25">
      <c r="A13893" s="74">
        <v>18685</v>
      </c>
    </row>
    <row r="13894" spans="1:1" x14ac:dyDescent="0.25">
      <c r="A13894" s="74">
        <v>18686</v>
      </c>
    </row>
    <row r="13895" spans="1:1" x14ac:dyDescent="0.25">
      <c r="A13895" s="74">
        <v>18687</v>
      </c>
    </row>
    <row r="13896" spans="1:1" x14ac:dyDescent="0.25">
      <c r="A13896" s="74">
        <v>18688</v>
      </c>
    </row>
    <row r="13897" spans="1:1" x14ac:dyDescent="0.25">
      <c r="A13897" s="74">
        <v>18689</v>
      </c>
    </row>
    <row r="13898" spans="1:1" x14ac:dyDescent="0.25">
      <c r="A13898" s="74">
        <v>18690</v>
      </c>
    </row>
    <row r="13899" spans="1:1" x14ac:dyDescent="0.25">
      <c r="A13899" s="74">
        <v>18691</v>
      </c>
    </row>
    <row r="13900" spans="1:1" x14ac:dyDescent="0.25">
      <c r="A13900" s="74">
        <v>18692</v>
      </c>
    </row>
    <row r="13901" spans="1:1" x14ac:dyDescent="0.25">
      <c r="A13901" s="74">
        <v>18693</v>
      </c>
    </row>
    <row r="13902" spans="1:1" x14ac:dyDescent="0.25">
      <c r="A13902" s="74">
        <v>18694</v>
      </c>
    </row>
    <row r="13903" spans="1:1" x14ac:dyDescent="0.25">
      <c r="A13903" s="74">
        <v>18695</v>
      </c>
    </row>
    <row r="13904" spans="1:1" x14ac:dyDescent="0.25">
      <c r="A13904" s="74">
        <v>18696</v>
      </c>
    </row>
    <row r="13905" spans="1:1" x14ac:dyDescent="0.25">
      <c r="A13905" s="74">
        <v>18697</v>
      </c>
    </row>
    <row r="13906" spans="1:1" x14ac:dyDescent="0.25">
      <c r="A13906" s="74">
        <v>18698</v>
      </c>
    </row>
    <row r="13907" spans="1:1" x14ac:dyDescent="0.25">
      <c r="A13907" s="74">
        <v>18699</v>
      </c>
    </row>
    <row r="13908" spans="1:1" x14ac:dyDescent="0.25">
      <c r="A13908" s="74">
        <v>18700</v>
      </c>
    </row>
    <row r="13909" spans="1:1" x14ac:dyDescent="0.25">
      <c r="A13909" s="74">
        <v>18701</v>
      </c>
    </row>
    <row r="13910" spans="1:1" x14ac:dyDescent="0.25">
      <c r="A13910" s="74">
        <v>18702</v>
      </c>
    </row>
    <row r="13911" spans="1:1" x14ac:dyDescent="0.25">
      <c r="A13911" s="74">
        <v>18703</v>
      </c>
    </row>
    <row r="13912" spans="1:1" x14ac:dyDescent="0.25">
      <c r="A13912" s="74">
        <v>18704</v>
      </c>
    </row>
    <row r="13913" spans="1:1" x14ac:dyDescent="0.25">
      <c r="A13913" s="74">
        <v>18705</v>
      </c>
    </row>
    <row r="13914" spans="1:1" x14ac:dyDescent="0.25">
      <c r="A13914" s="74">
        <v>18706</v>
      </c>
    </row>
    <row r="13915" spans="1:1" x14ac:dyDescent="0.25">
      <c r="A13915" s="74">
        <v>18707</v>
      </c>
    </row>
    <row r="13916" spans="1:1" x14ac:dyDescent="0.25">
      <c r="A13916" s="74">
        <v>18708</v>
      </c>
    </row>
    <row r="13917" spans="1:1" x14ac:dyDescent="0.25">
      <c r="A13917" s="74">
        <v>18709</v>
      </c>
    </row>
    <row r="13918" spans="1:1" x14ac:dyDescent="0.25">
      <c r="A13918" s="74">
        <v>18710</v>
      </c>
    </row>
    <row r="13919" spans="1:1" x14ac:dyDescent="0.25">
      <c r="A13919" s="74">
        <v>18711</v>
      </c>
    </row>
    <row r="13920" spans="1:1" x14ac:dyDescent="0.25">
      <c r="A13920" s="74">
        <v>18712</v>
      </c>
    </row>
    <row r="13921" spans="1:1" x14ac:dyDescent="0.25">
      <c r="A13921" s="74">
        <v>18713</v>
      </c>
    </row>
    <row r="13922" spans="1:1" x14ac:dyDescent="0.25">
      <c r="A13922" s="74">
        <v>18714</v>
      </c>
    </row>
    <row r="13923" spans="1:1" x14ac:dyDescent="0.25">
      <c r="A13923" s="74">
        <v>18715</v>
      </c>
    </row>
    <row r="13924" spans="1:1" x14ac:dyDescent="0.25">
      <c r="A13924" s="74">
        <v>18716</v>
      </c>
    </row>
    <row r="13925" spans="1:1" x14ac:dyDescent="0.25">
      <c r="A13925" s="74">
        <v>18717</v>
      </c>
    </row>
    <row r="13926" spans="1:1" x14ac:dyDescent="0.25">
      <c r="A13926" s="74">
        <v>18718</v>
      </c>
    </row>
    <row r="13927" spans="1:1" x14ac:dyDescent="0.25">
      <c r="A13927" s="74">
        <v>18719</v>
      </c>
    </row>
    <row r="13928" spans="1:1" x14ac:dyDescent="0.25">
      <c r="A13928" s="74">
        <v>18720</v>
      </c>
    </row>
    <row r="13929" spans="1:1" x14ac:dyDescent="0.25">
      <c r="A13929" s="74">
        <v>18721</v>
      </c>
    </row>
    <row r="13930" spans="1:1" x14ac:dyDescent="0.25">
      <c r="A13930" s="74">
        <v>18722</v>
      </c>
    </row>
    <row r="13931" spans="1:1" x14ac:dyDescent="0.25">
      <c r="A13931" s="74">
        <v>18723</v>
      </c>
    </row>
    <row r="13932" spans="1:1" x14ac:dyDescent="0.25">
      <c r="A13932" s="74">
        <v>18724</v>
      </c>
    </row>
    <row r="13933" spans="1:1" x14ac:dyDescent="0.25">
      <c r="A13933" s="74">
        <v>18725</v>
      </c>
    </row>
    <row r="13934" spans="1:1" x14ac:dyDescent="0.25">
      <c r="A13934" s="74">
        <v>18726</v>
      </c>
    </row>
    <row r="13935" spans="1:1" x14ac:dyDescent="0.25">
      <c r="A13935" s="74">
        <v>18727</v>
      </c>
    </row>
    <row r="13936" spans="1:1" x14ac:dyDescent="0.25">
      <c r="A13936" s="74">
        <v>18728</v>
      </c>
    </row>
    <row r="13937" spans="1:1" x14ac:dyDescent="0.25">
      <c r="A13937" s="74">
        <v>18729</v>
      </c>
    </row>
    <row r="13938" spans="1:1" x14ac:dyDescent="0.25">
      <c r="A13938" s="74">
        <v>18730</v>
      </c>
    </row>
    <row r="13939" spans="1:1" x14ac:dyDescent="0.25">
      <c r="A13939" s="74">
        <v>18731</v>
      </c>
    </row>
    <row r="13940" spans="1:1" x14ac:dyDescent="0.25">
      <c r="A13940" s="74">
        <v>18732</v>
      </c>
    </row>
    <row r="13941" spans="1:1" x14ac:dyDescent="0.25">
      <c r="A13941" s="74">
        <v>18733</v>
      </c>
    </row>
    <row r="13942" spans="1:1" x14ac:dyDescent="0.25">
      <c r="A13942" s="74">
        <v>18734</v>
      </c>
    </row>
    <row r="13943" spans="1:1" x14ac:dyDescent="0.25">
      <c r="A13943" s="74">
        <v>18735</v>
      </c>
    </row>
    <row r="13944" spans="1:1" x14ac:dyDescent="0.25">
      <c r="A13944" s="74">
        <v>18736</v>
      </c>
    </row>
    <row r="13945" spans="1:1" x14ac:dyDescent="0.25">
      <c r="A13945" s="74">
        <v>18737</v>
      </c>
    </row>
    <row r="13946" spans="1:1" x14ac:dyDescent="0.25">
      <c r="A13946" s="74">
        <v>18738</v>
      </c>
    </row>
    <row r="13947" spans="1:1" x14ac:dyDescent="0.25">
      <c r="A13947" s="74">
        <v>18739</v>
      </c>
    </row>
    <row r="13948" spans="1:1" x14ac:dyDescent="0.25">
      <c r="A13948" s="74">
        <v>18740</v>
      </c>
    </row>
    <row r="13949" spans="1:1" x14ac:dyDescent="0.25">
      <c r="A13949" s="74">
        <v>18741</v>
      </c>
    </row>
    <row r="13950" spans="1:1" x14ac:dyDescent="0.25">
      <c r="A13950" s="74">
        <v>18742</v>
      </c>
    </row>
    <row r="13951" spans="1:1" x14ac:dyDescent="0.25">
      <c r="A13951" s="74">
        <v>18743</v>
      </c>
    </row>
    <row r="13952" spans="1:1" x14ac:dyDescent="0.25">
      <c r="A13952" s="74">
        <v>18744</v>
      </c>
    </row>
    <row r="13953" spans="1:1" x14ac:dyDescent="0.25">
      <c r="A13953" s="74">
        <v>18745</v>
      </c>
    </row>
    <row r="13954" spans="1:1" x14ac:dyDescent="0.25">
      <c r="A13954" s="74">
        <v>18746</v>
      </c>
    </row>
    <row r="13955" spans="1:1" x14ac:dyDescent="0.25">
      <c r="A13955" s="74">
        <v>18747</v>
      </c>
    </row>
    <row r="13956" spans="1:1" x14ac:dyDescent="0.25">
      <c r="A13956" s="74">
        <v>18748</v>
      </c>
    </row>
    <row r="13957" spans="1:1" x14ac:dyDescent="0.25">
      <c r="A13957" s="74">
        <v>18749</v>
      </c>
    </row>
    <row r="13958" spans="1:1" x14ac:dyDescent="0.25">
      <c r="A13958" s="74">
        <v>18750</v>
      </c>
    </row>
    <row r="13959" spans="1:1" x14ac:dyDescent="0.25">
      <c r="A13959" s="74">
        <v>18751</v>
      </c>
    </row>
    <row r="13960" spans="1:1" x14ac:dyDescent="0.25">
      <c r="A13960" s="74">
        <v>18752</v>
      </c>
    </row>
    <row r="13961" spans="1:1" x14ac:dyDescent="0.25">
      <c r="A13961" s="74">
        <v>18753</v>
      </c>
    </row>
    <row r="13962" spans="1:1" x14ac:dyDescent="0.25">
      <c r="A13962" s="74">
        <v>18754</v>
      </c>
    </row>
    <row r="13963" spans="1:1" x14ac:dyDescent="0.25">
      <c r="A13963" s="74">
        <v>18755</v>
      </c>
    </row>
    <row r="13964" spans="1:1" x14ac:dyDescent="0.25">
      <c r="A13964" s="74">
        <v>18756</v>
      </c>
    </row>
    <row r="13965" spans="1:1" x14ac:dyDescent="0.25">
      <c r="A13965" s="74">
        <v>18757</v>
      </c>
    </row>
    <row r="13966" spans="1:1" x14ac:dyDescent="0.25">
      <c r="A13966" s="74">
        <v>18758</v>
      </c>
    </row>
    <row r="13967" spans="1:1" x14ac:dyDescent="0.25">
      <c r="A13967" s="74">
        <v>18759</v>
      </c>
    </row>
    <row r="13968" spans="1:1" x14ac:dyDescent="0.25">
      <c r="A13968" s="74">
        <v>18760</v>
      </c>
    </row>
    <row r="13969" spans="1:1" x14ac:dyDescent="0.25">
      <c r="A13969" s="74">
        <v>18761</v>
      </c>
    </row>
    <row r="13970" spans="1:1" x14ac:dyDescent="0.25">
      <c r="A13970" s="74">
        <v>18762</v>
      </c>
    </row>
    <row r="13971" spans="1:1" x14ac:dyDescent="0.25">
      <c r="A13971" s="74">
        <v>18763</v>
      </c>
    </row>
    <row r="13972" spans="1:1" x14ac:dyDescent="0.25">
      <c r="A13972" s="74">
        <v>18764</v>
      </c>
    </row>
    <row r="13973" spans="1:1" x14ac:dyDescent="0.25">
      <c r="A13973" s="74">
        <v>18765</v>
      </c>
    </row>
    <row r="13974" spans="1:1" x14ac:dyDescent="0.25">
      <c r="A13974" s="74">
        <v>18766</v>
      </c>
    </row>
    <row r="13975" spans="1:1" x14ac:dyDescent="0.25">
      <c r="A13975" s="74">
        <v>18767</v>
      </c>
    </row>
    <row r="13976" spans="1:1" x14ac:dyDescent="0.25">
      <c r="A13976" s="74">
        <v>18768</v>
      </c>
    </row>
    <row r="13977" spans="1:1" x14ac:dyDescent="0.25">
      <c r="A13977" s="74">
        <v>18769</v>
      </c>
    </row>
    <row r="13978" spans="1:1" x14ac:dyDescent="0.25">
      <c r="A13978" s="74">
        <v>18770</v>
      </c>
    </row>
    <row r="13979" spans="1:1" x14ac:dyDescent="0.25">
      <c r="A13979" s="74">
        <v>18771</v>
      </c>
    </row>
    <row r="13980" spans="1:1" x14ac:dyDescent="0.25">
      <c r="A13980" s="74">
        <v>18772</v>
      </c>
    </row>
    <row r="13981" spans="1:1" x14ac:dyDescent="0.25">
      <c r="A13981" s="74">
        <v>18773</v>
      </c>
    </row>
    <row r="13982" spans="1:1" x14ac:dyDescent="0.25">
      <c r="A13982" s="74">
        <v>18774</v>
      </c>
    </row>
    <row r="13983" spans="1:1" x14ac:dyDescent="0.25">
      <c r="A13983" s="74">
        <v>18775</v>
      </c>
    </row>
    <row r="13984" spans="1:1" x14ac:dyDescent="0.25">
      <c r="A13984" s="74">
        <v>18776</v>
      </c>
    </row>
    <row r="13985" spans="1:1" x14ac:dyDescent="0.25">
      <c r="A13985" s="74">
        <v>18777</v>
      </c>
    </row>
    <row r="13986" spans="1:1" x14ac:dyDescent="0.25">
      <c r="A13986" s="74">
        <v>18778</v>
      </c>
    </row>
    <row r="13987" spans="1:1" x14ac:dyDescent="0.25">
      <c r="A13987" s="74">
        <v>18779</v>
      </c>
    </row>
    <row r="13988" spans="1:1" x14ac:dyDescent="0.25">
      <c r="A13988" s="74">
        <v>18780</v>
      </c>
    </row>
    <row r="13989" spans="1:1" x14ac:dyDescent="0.25">
      <c r="A13989" s="74">
        <v>18781</v>
      </c>
    </row>
    <row r="13990" spans="1:1" x14ac:dyDescent="0.25">
      <c r="A13990" s="74">
        <v>18782</v>
      </c>
    </row>
    <row r="13991" spans="1:1" x14ac:dyDescent="0.25">
      <c r="A13991" s="74">
        <v>18783</v>
      </c>
    </row>
    <row r="13992" spans="1:1" x14ac:dyDescent="0.25">
      <c r="A13992" s="74">
        <v>18784</v>
      </c>
    </row>
    <row r="13993" spans="1:1" x14ac:dyDescent="0.25">
      <c r="A13993" s="74">
        <v>18785</v>
      </c>
    </row>
    <row r="13994" spans="1:1" x14ac:dyDescent="0.25">
      <c r="A13994" s="74">
        <v>18786</v>
      </c>
    </row>
    <row r="13995" spans="1:1" x14ac:dyDescent="0.25">
      <c r="A13995" s="74">
        <v>18787</v>
      </c>
    </row>
    <row r="13996" spans="1:1" x14ac:dyDescent="0.25">
      <c r="A13996" s="74">
        <v>18788</v>
      </c>
    </row>
    <row r="13997" spans="1:1" x14ac:dyDescent="0.25">
      <c r="A13997" s="74">
        <v>18789</v>
      </c>
    </row>
    <row r="13998" spans="1:1" x14ac:dyDescent="0.25">
      <c r="A13998" s="74">
        <v>18790</v>
      </c>
    </row>
    <row r="13999" spans="1:1" x14ac:dyDescent="0.25">
      <c r="A13999" s="74">
        <v>18791</v>
      </c>
    </row>
    <row r="14000" spans="1:1" x14ac:dyDescent="0.25">
      <c r="A14000" s="74">
        <v>18792</v>
      </c>
    </row>
    <row r="14001" spans="1:1" x14ac:dyDescent="0.25">
      <c r="A14001" s="74">
        <v>18793</v>
      </c>
    </row>
    <row r="14002" spans="1:1" x14ac:dyDescent="0.25">
      <c r="A14002" s="74">
        <v>18794</v>
      </c>
    </row>
    <row r="14003" spans="1:1" x14ac:dyDescent="0.25">
      <c r="A14003" s="74">
        <v>18795</v>
      </c>
    </row>
    <row r="14004" spans="1:1" x14ac:dyDescent="0.25">
      <c r="A14004" s="74">
        <v>18796</v>
      </c>
    </row>
    <row r="14005" spans="1:1" x14ac:dyDescent="0.25">
      <c r="A14005" s="74">
        <v>18797</v>
      </c>
    </row>
    <row r="14006" spans="1:1" x14ac:dyDescent="0.25">
      <c r="A14006" s="74">
        <v>18798</v>
      </c>
    </row>
    <row r="14007" spans="1:1" x14ac:dyDescent="0.25">
      <c r="A14007" s="74">
        <v>18799</v>
      </c>
    </row>
    <row r="14008" spans="1:1" x14ac:dyDescent="0.25">
      <c r="A14008" s="74">
        <v>18800</v>
      </c>
    </row>
    <row r="14009" spans="1:1" x14ac:dyDescent="0.25">
      <c r="A14009" s="74">
        <v>18801</v>
      </c>
    </row>
    <row r="14010" spans="1:1" x14ac:dyDescent="0.25">
      <c r="A14010" s="74">
        <v>18802</v>
      </c>
    </row>
    <row r="14011" spans="1:1" x14ac:dyDescent="0.25">
      <c r="A14011" s="74">
        <v>18803</v>
      </c>
    </row>
    <row r="14012" spans="1:1" x14ac:dyDescent="0.25">
      <c r="A14012" s="74">
        <v>18804</v>
      </c>
    </row>
    <row r="14013" spans="1:1" x14ac:dyDescent="0.25">
      <c r="A14013" s="74">
        <v>18805</v>
      </c>
    </row>
    <row r="14014" spans="1:1" x14ac:dyDescent="0.25">
      <c r="A14014" s="74">
        <v>18806</v>
      </c>
    </row>
    <row r="14015" spans="1:1" x14ac:dyDescent="0.25">
      <c r="A14015" s="74">
        <v>18807</v>
      </c>
    </row>
    <row r="14016" spans="1:1" x14ac:dyDescent="0.25">
      <c r="A14016" s="74">
        <v>18808</v>
      </c>
    </row>
    <row r="14017" spans="1:1" x14ac:dyDescent="0.25">
      <c r="A14017" s="74">
        <v>18809</v>
      </c>
    </row>
    <row r="14018" spans="1:1" x14ac:dyDescent="0.25">
      <c r="A14018" s="74">
        <v>18810</v>
      </c>
    </row>
    <row r="14019" spans="1:1" x14ac:dyDescent="0.25">
      <c r="A14019" s="74">
        <v>18811</v>
      </c>
    </row>
    <row r="14020" spans="1:1" x14ac:dyDescent="0.25">
      <c r="A14020" s="74">
        <v>18812</v>
      </c>
    </row>
    <row r="14021" spans="1:1" x14ac:dyDescent="0.25">
      <c r="A14021" s="74">
        <v>18813</v>
      </c>
    </row>
    <row r="14022" spans="1:1" x14ac:dyDescent="0.25">
      <c r="A14022" s="74">
        <v>18814</v>
      </c>
    </row>
    <row r="14023" spans="1:1" x14ac:dyDescent="0.25">
      <c r="A14023" s="74">
        <v>18815</v>
      </c>
    </row>
    <row r="14024" spans="1:1" x14ac:dyDescent="0.25">
      <c r="A14024" s="74">
        <v>18816</v>
      </c>
    </row>
    <row r="14025" spans="1:1" x14ac:dyDescent="0.25">
      <c r="A14025" s="74">
        <v>18817</v>
      </c>
    </row>
    <row r="14026" spans="1:1" x14ac:dyDescent="0.25">
      <c r="A14026" s="74">
        <v>18818</v>
      </c>
    </row>
    <row r="14027" spans="1:1" x14ac:dyDescent="0.25">
      <c r="A14027" s="74">
        <v>18819</v>
      </c>
    </row>
    <row r="14028" spans="1:1" x14ac:dyDescent="0.25">
      <c r="A14028" s="74">
        <v>18820</v>
      </c>
    </row>
    <row r="14029" spans="1:1" x14ac:dyDescent="0.25">
      <c r="A14029" s="74">
        <v>18821</v>
      </c>
    </row>
    <row r="14030" spans="1:1" x14ac:dyDescent="0.25">
      <c r="A14030" s="74">
        <v>18822</v>
      </c>
    </row>
    <row r="14031" spans="1:1" x14ac:dyDescent="0.25">
      <c r="A14031" s="74">
        <v>18823</v>
      </c>
    </row>
    <row r="14032" spans="1:1" x14ac:dyDescent="0.25">
      <c r="A14032" s="74">
        <v>18824</v>
      </c>
    </row>
    <row r="14033" spans="1:1" x14ac:dyDescent="0.25">
      <c r="A14033" s="74">
        <v>18825</v>
      </c>
    </row>
    <row r="14034" spans="1:1" x14ac:dyDescent="0.25">
      <c r="A14034" s="74">
        <v>18826</v>
      </c>
    </row>
    <row r="14035" spans="1:1" x14ac:dyDescent="0.25">
      <c r="A14035" s="74">
        <v>18827</v>
      </c>
    </row>
    <row r="14036" spans="1:1" x14ac:dyDescent="0.25">
      <c r="A14036" s="74">
        <v>18828</v>
      </c>
    </row>
    <row r="14037" spans="1:1" x14ac:dyDescent="0.25">
      <c r="A14037" s="74">
        <v>18829</v>
      </c>
    </row>
    <row r="14038" spans="1:1" x14ac:dyDescent="0.25">
      <c r="A14038" s="74">
        <v>18830</v>
      </c>
    </row>
    <row r="14039" spans="1:1" x14ac:dyDescent="0.25">
      <c r="A14039" s="74">
        <v>18831</v>
      </c>
    </row>
    <row r="14040" spans="1:1" x14ac:dyDescent="0.25">
      <c r="A14040" s="74">
        <v>18832</v>
      </c>
    </row>
    <row r="14041" spans="1:1" x14ac:dyDescent="0.25">
      <c r="A14041" s="74">
        <v>18833</v>
      </c>
    </row>
    <row r="14042" spans="1:1" x14ac:dyDescent="0.25">
      <c r="A14042" s="74">
        <v>18834</v>
      </c>
    </row>
    <row r="14043" spans="1:1" x14ac:dyDescent="0.25">
      <c r="A14043" s="74">
        <v>18835</v>
      </c>
    </row>
    <row r="14044" spans="1:1" x14ac:dyDescent="0.25">
      <c r="A14044" s="74">
        <v>18836</v>
      </c>
    </row>
    <row r="14045" spans="1:1" x14ac:dyDescent="0.25">
      <c r="A14045" s="74">
        <v>18837</v>
      </c>
    </row>
    <row r="14046" spans="1:1" x14ac:dyDescent="0.25">
      <c r="A14046" s="74">
        <v>18838</v>
      </c>
    </row>
    <row r="14047" spans="1:1" x14ac:dyDescent="0.25">
      <c r="A14047" s="74">
        <v>18839</v>
      </c>
    </row>
    <row r="14048" spans="1:1" x14ac:dyDescent="0.25">
      <c r="A14048" s="74">
        <v>18840</v>
      </c>
    </row>
    <row r="14049" spans="1:1" x14ac:dyDescent="0.25">
      <c r="A14049" s="74">
        <v>18841</v>
      </c>
    </row>
    <row r="14050" spans="1:1" x14ac:dyDescent="0.25">
      <c r="A14050" s="74">
        <v>18842</v>
      </c>
    </row>
    <row r="14051" spans="1:1" x14ac:dyDescent="0.25">
      <c r="A14051" s="74">
        <v>18843</v>
      </c>
    </row>
    <row r="14052" spans="1:1" x14ac:dyDescent="0.25">
      <c r="A14052" s="74">
        <v>18844</v>
      </c>
    </row>
    <row r="14053" spans="1:1" x14ac:dyDescent="0.25">
      <c r="A14053" s="74">
        <v>18845</v>
      </c>
    </row>
    <row r="14054" spans="1:1" x14ac:dyDescent="0.25">
      <c r="A14054" s="74">
        <v>18846</v>
      </c>
    </row>
    <row r="14055" spans="1:1" x14ac:dyDescent="0.25">
      <c r="A14055" s="74">
        <v>18847</v>
      </c>
    </row>
    <row r="14056" spans="1:1" x14ac:dyDescent="0.25">
      <c r="A14056" s="74">
        <v>18848</v>
      </c>
    </row>
    <row r="14057" spans="1:1" x14ac:dyDescent="0.25">
      <c r="A14057" s="74">
        <v>18849</v>
      </c>
    </row>
    <row r="14058" spans="1:1" x14ac:dyDescent="0.25">
      <c r="A14058" s="74">
        <v>18850</v>
      </c>
    </row>
    <row r="14059" spans="1:1" x14ac:dyDescent="0.25">
      <c r="A14059" s="74">
        <v>18851</v>
      </c>
    </row>
    <row r="14060" spans="1:1" x14ac:dyDescent="0.25">
      <c r="A14060" s="74">
        <v>18852</v>
      </c>
    </row>
    <row r="14061" spans="1:1" x14ac:dyDescent="0.25">
      <c r="A14061" s="74">
        <v>18853</v>
      </c>
    </row>
    <row r="14062" spans="1:1" x14ac:dyDescent="0.25">
      <c r="A14062" s="74">
        <v>18854</v>
      </c>
    </row>
    <row r="14063" spans="1:1" x14ac:dyDescent="0.25">
      <c r="A14063" s="74">
        <v>18855</v>
      </c>
    </row>
    <row r="14064" spans="1:1" x14ac:dyDescent="0.25">
      <c r="A14064" s="74">
        <v>18856</v>
      </c>
    </row>
    <row r="14065" spans="1:1" x14ac:dyDescent="0.25">
      <c r="A14065" s="74">
        <v>18857</v>
      </c>
    </row>
    <row r="14066" spans="1:1" x14ac:dyDescent="0.25">
      <c r="A14066" s="74">
        <v>18858</v>
      </c>
    </row>
    <row r="14067" spans="1:1" x14ac:dyDescent="0.25">
      <c r="A14067" s="74">
        <v>18859</v>
      </c>
    </row>
    <row r="14068" spans="1:1" x14ac:dyDescent="0.25">
      <c r="A14068" s="74">
        <v>18860</v>
      </c>
    </row>
    <row r="14069" spans="1:1" x14ac:dyDescent="0.25">
      <c r="A14069" s="74">
        <v>18861</v>
      </c>
    </row>
    <row r="14070" spans="1:1" x14ac:dyDescent="0.25">
      <c r="A14070" s="74">
        <v>18862</v>
      </c>
    </row>
    <row r="14071" spans="1:1" x14ac:dyDescent="0.25">
      <c r="A14071" s="74">
        <v>18863</v>
      </c>
    </row>
    <row r="14072" spans="1:1" x14ac:dyDescent="0.25">
      <c r="A14072" s="74">
        <v>18864</v>
      </c>
    </row>
    <row r="14073" spans="1:1" x14ac:dyDescent="0.25">
      <c r="A14073" s="74">
        <v>18865</v>
      </c>
    </row>
    <row r="14074" spans="1:1" x14ac:dyDescent="0.25">
      <c r="A14074" s="74">
        <v>18866</v>
      </c>
    </row>
    <row r="14075" spans="1:1" x14ac:dyDescent="0.25">
      <c r="A14075" s="74">
        <v>18867</v>
      </c>
    </row>
    <row r="14076" spans="1:1" x14ac:dyDescent="0.25">
      <c r="A14076" s="74">
        <v>18868</v>
      </c>
    </row>
    <row r="14077" spans="1:1" x14ac:dyDescent="0.25">
      <c r="A14077" s="74">
        <v>18869</v>
      </c>
    </row>
    <row r="14078" spans="1:1" x14ac:dyDescent="0.25">
      <c r="A14078" s="74">
        <v>18870</v>
      </c>
    </row>
    <row r="14079" spans="1:1" x14ac:dyDescent="0.25">
      <c r="A14079" s="74">
        <v>18871</v>
      </c>
    </row>
    <row r="14080" spans="1:1" x14ac:dyDescent="0.25">
      <c r="A14080" s="74">
        <v>18872</v>
      </c>
    </row>
    <row r="14081" spans="1:1" x14ac:dyDescent="0.25">
      <c r="A14081" s="74">
        <v>18873</v>
      </c>
    </row>
    <row r="14082" spans="1:1" x14ac:dyDescent="0.25">
      <c r="A14082" s="74">
        <v>18874</v>
      </c>
    </row>
    <row r="14083" spans="1:1" x14ac:dyDescent="0.25">
      <c r="A14083" s="74">
        <v>18875</v>
      </c>
    </row>
    <row r="14084" spans="1:1" x14ac:dyDescent="0.25">
      <c r="A14084" s="74">
        <v>18876</v>
      </c>
    </row>
    <row r="14085" spans="1:1" x14ac:dyDescent="0.25">
      <c r="A14085" s="74">
        <v>18877</v>
      </c>
    </row>
    <row r="14086" spans="1:1" x14ac:dyDescent="0.25">
      <c r="A14086" s="74">
        <v>18878</v>
      </c>
    </row>
    <row r="14087" spans="1:1" x14ac:dyDescent="0.25">
      <c r="A14087" s="74">
        <v>18879</v>
      </c>
    </row>
    <row r="14088" spans="1:1" x14ac:dyDescent="0.25">
      <c r="A14088" s="74">
        <v>18880</v>
      </c>
    </row>
    <row r="14089" spans="1:1" x14ac:dyDescent="0.25">
      <c r="A14089" s="74">
        <v>18881</v>
      </c>
    </row>
    <row r="14090" spans="1:1" x14ac:dyDescent="0.25">
      <c r="A14090" s="74">
        <v>18882</v>
      </c>
    </row>
    <row r="14091" spans="1:1" x14ac:dyDescent="0.25">
      <c r="A14091" s="74">
        <v>18883</v>
      </c>
    </row>
    <row r="14092" spans="1:1" x14ac:dyDescent="0.25">
      <c r="A14092" s="74">
        <v>18884</v>
      </c>
    </row>
    <row r="14093" spans="1:1" x14ac:dyDescent="0.25">
      <c r="A14093" s="74">
        <v>18885</v>
      </c>
    </row>
    <row r="14094" spans="1:1" x14ac:dyDescent="0.25">
      <c r="A14094" s="74">
        <v>18886</v>
      </c>
    </row>
    <row r="14095" spans="1:1" x14ac:dyDescent="0.25">
      <c r="A14095" s="74">
        <v>18887</v>
      </c>
    </row>
    <row r="14096" spans="1:1" x14ac:dyDescent="0.25">
      <c r="A14096" s="74">
        <v>18888</v>
      </c>
    </row>
    <row r="14097" spans="1:1" x14ac:dyDescent="0.25">
      <c r="A14097" s="74">
        <v>18889</v>
      </c>
    </row>
    <row r="14098" spans="1:1" x14ac:dyDescent="0.25">
      <c r="A14098" s="74">
        <v>18890</v>
      </c>
    </row>
    <row r="14099" spans="1:1" x14ac:dyDescent="0.25">
      <c r="A14099" s="74">
        <v>18891</v>
      </c>
    </row>
    <row r="14100" spans="1:1" x14ac:dyDescent="0.25">
      <c r="A14100" s="74">
        <v>18892</v>
      </c>
    </row>
    <row r="14101" spans="1:1" x14ac:dyDescent="0.25">
      <c r="A14101" s="74">
        <v>18893</v>
      </c>
    </row>
    <row r="14102" spans="1:1" x14ac:dyDescent="0.25">
      <c r="A14102" s="74">
        <v>18894</v>
      </c>
    </row>
    <row r="14103" spans="1:1" x14ac:dyDescent="0.25">
      <c r="A14103" s="74">
        <v>18895</v>
      </c>
    </row>
    <row r="14104" spans="1:1" x14ac:dyDescent="0.25">
      <c r="A14104" s="74">
        <v>18896</v>
      </c>
    </row>
    <row r="14105" spans="1:1" x14ac:dyDescent="0.25">
      <c r="A14105" s="74">
        <v>18897</v>
      </c>
    </row>
    <row r="14106" spans="1:1" x14ac:dyDescent="0.25">
      <c r="A14106" s="74">
        <v>18898</v>
      </c>
    </row>
    <row r="14107" spans="1:1" x14ac:dyDescent="0.25">
      <c r="A14107" s="74">
        <v>18899</v>
      </c>
    </row>
    <row r="14108" spans="1:1" x14ac:dyDescent="0.25">
      <c r="A14108" s="74">
        <v>18900</v>
      </c>
    </row>
    <row r="14109" spans="1:1" x14ac:dyDescent="0.25">
      <c r="A14109" s="74">
        <v>18901</v>
      </c>
    </row>
    <row r="14110" spans="1:1" x14ac:dyDescent="0.25">
      <c r="A14110" s="74">
        <v>18902</v>
      </c>
    </row>
    <row r="14111" spans="1:1" x14ac:dyDescent="0.25">
      <c r="A14111" s="74">
        <v>18903</v>
      </c>
    </row>
    <row r="14112" spans="1:1" x14ac:dyDescent="0.25">
      <c r="A14112" s="74">
        <v>18904</v>
      </c>
    </row>
    <row r="14113" spans="1:1" x14ac:dyDescent="0.25">
      <c r="A14113" s="74">
        <v>18905</v>
      </c>
    </row>
    <row r="14114" spans="1:1" x14ac:dyDescent="0.25">
      <c r="A14114" s="74">
        <v>18906</v>
      </c>
    </row>
    <row r="14115" spans="1:1" x14ac:dyDescent="0.25">
      <c r="A14115" s="74">
        <v>18907</v>
      </c>
    </row>
    <row r="14116" spans="1:1" x14ac:dyDescent="0.25">
      <c r="A14116" s="74">
        <v>18908</v>
      </c>
    </row>
    <row r="14117" spans="1:1" x14ac:dyDescent="0.25">
      <c r="A14117" s="74">
        <v>18909</v>
      </c>
    </row>
    <row r="14118" spans="1:1" x14ac:dyDescent="0.25">
      <c r="A14118" s="74">
        <v>18910</v>
      </c>
    </row>
    <row r="14119" spans="1:1" x14ac:dyDescent="0.25">
      <c r="A14119" s="74">
        <v>18911</v>
      </c>
    </row>
    <row r="14120" spans="1:1" x14ac:dyDescent="0.25">
      <c r="A14120" s="74">
        <v>18912</v>
      </c>
    </row>
    <row r="14121" spans="1:1" x14ac:dyDescent="0.25">
      <c r="A14121" s="74">
        <v>18913</v>
      </c>
    </row>
    <row r="14122" spans="1:1" x14ac:dyDescent="0.25">
      <c r="A14122" s="74">
        <v>18914</v>
      </c>
    </row>
    <row r="14123" spans="1:1" x14ac:dyDescent="0.25">
      <c r="A14123" s="74">
        <v>18915</v>
      </c>
    </row>
    <row r="14124" spans="1:1" x14ac:dyDescent="0.25">
      <c r="A14124" s="74">
        <v>18916</v>
      </c>
    </row>
    <row r="14125" spans="1:1" x14ac:dyDescent="0.25">
      <c r="A14125" s="74">
        <v>18917</v>
      </c>
    </row>
    <row r="14126" spans="1:1" x14ac:dyDescent="0.25">
      <c r="A14126" s="74">
        <v>18918</v>
      </c>
    </row>
    <row r="14127" spans="1:1" x14ac:dyDescent="0.25">
      <c r="A14127" s="74">
        <v>18919</v>
      </c>
    </row>
    <row r="14128" spans="1:1" x14ac:dyDescent="0.25">
      <c r="A14128" s="74">
        <v>18920</v>
      </c>
    </row>
    <row r="14129" spans="1:1" x14ac:dyDescent="0.25">
      <c r="A14129" s="74">
        <v>18921</v>
      </c>
    </row>
    <row r="14130" spans="1:1" x14ac:dyDescent="0.25">
      <c r="A14130" s="74">
        <v>18922</v>
      </c>
    </row>
    <row r="14131" spans="1:1" x14ac:dyDescent="0.25">
      <c r="A14131" s="74">
        <v>18923</v>
      </c>
    </row>
    <row r="14132" spans="1:1" x14ac:dyDescent="0.25">
      <c r="A14132" s="74">
        <v>18924</v>
      </c>
    </row>
    <row r="14133" spans="1:1" x14ac:dyDescent="0.25">
      <c r="A14133" s="74">
        <v>18925</v>
      </c>
    </row>
    <row r="14134" spans="1:1" x14ac:dyDescent="0.25">
      <c r="A14134" s="74">
        <v>18926</v>
      </c>
    </row>
    <row r="14135" spans="1:1" x14ac:dyDescent="0.25">
      <c r="A14135" s="74">
        <v>18927</v>
      </c>
    </row>
    <row r="14136" spans="1:1" x14ac:dyDescent="0.25">
      <c r="A14136" s="74">
        <v>18928</v>
      </c>
    </row>
    <row r="14137" spans="1:1" x14ac:dyDescent="0.25">
      <c r="A14137" s="74">
        <v>18929</v>
      </c>
    </row>
    <row r="14138" spans="1:1" x14ac:dyDescent="0.25">
      <c r="A14138" s="74">
        <v>18930</v>
      </c>
    </row>
    <row r="14139" spans="1:1" x14ac:dyDescent="0.25">
      <c r="A14139" s="74">
        <v>18931</v>
      </c>
    </row>
    <row r="14140" spans="1:1" x14ac:dyDescent="0.25">
      <c r="A14140" s="74">
        <v>18932</v>
      </c>
    </row>
    <row r="14141" spans="1:1" x14ac:dyDescent="0.25">
      <c r="A14141" s="74">
        <v>18933</v>
      </c>
    </row>
    <row r="14142" spans="1:1" x14ac:dyDescent="0.25">
      <c r="A14142" s="74">
        <v>18934</v>
      </c>
    </row>
    <row r="14143" spans="1:1" x14ac:dyDescent="0.25">
      <c r="A14143" s="74">
        <v>18935</v>
      </c>
    </row>
    <row r="14144" spans="1:1" x14ac:dyDescent="0.25">
      <c r="A14144" s="74">
        <v>18936</v>
      </c>
    </row>
    <row r="14145" spans="1:1" x14ac:dyDescent="0.25">
      <c r="A14145" s="74">
        <v>18937</v>
      </c>
    </row>
    <row r="14146" spans="1:1" x14ac:dyDescent="0.25">
      <c r="A14146" s="74">
        <v>18938</v>
      </c>
    </row>
    <row r="14147" spans="1:1" x14ac:dyDescent="0.25">
      <c r="A14147" s="74">
        <v>18939</v>
      </c>
    </row>
    <row r="14148" spans="1:1" x14ac:dyDescent="0.25">
      <c r="A14148" s="74">
        <v>18940</v>
      </c>
    </row>
    <row r="14149" spans="1:1" x14ac:dyDescent="0.25">
      <c r="A14149" s="74">
        <v>18941</v>
      </c>
    </row>
    <row r="14150" spans="1:1" x14ac:dyDescent="0.25">
      <c r="A14150" s="74">
        <v>18942</v>
      </c>
    </row>
    <row r="14151" spans="1:1" x14ac:dyDescent="0.25">
      <c r="A14151" s="74">
        <v>18943</v>
      </c>
    </row>
    <row r="14152" spans="1:1" x14ac:dyDescent="0.25">
      <c r="A14152" s="74">
        <v>18944</v>
      </c>
    </row>
    <row r="14153" spans="1:1" x14ac:dyDescent="0.25">
      <c r="A14153" s="74">
        <v>18945</v>
      </c>
    </row>
    <row r="14154" spans="1:1" x14ac:dyDescent="0.25">
      <c r="A14154" s="74">
        <v>18946</v>
      </c>
    </row>
    <row r="14155" spans="1:1" x14ac:dyDescent="0.25">
      <c r="A14155" s="74">
        <v>18947</v>
      </c>
    </row>
    <row r="14156" spans="1:1" x14ac:dyDescent="0.25">
      <c r="A14156" s="74">
        <v>18948</v>
      </c>
    </row>
    <row r="14157" spans="1:1" x14ac:dyDescent="0.25">
      <c r="A14157" s="74">
        <v>18949</v>
      </c>
    </row>
    <row r="14158" spans="1:1" x14ac:dyDescent="0.25">
      <c r="A14158" s="74">
        <v>18950</v>
      </c>
    </row>
    <row r="14159" spans="1:1" x14ac:dyDescent="0.25">
      <c r="A14159" s="74">
        <v>18951</v>
      </c>
    </row>
    <row r="14160" spans="1:1" x14ac:dyDescent="0.25">
      <c r="A14160" s="74">
        <v>18952</v>
      </c>
    </row>
    <row r="14161" spans="1:1" x14ac:dyDescent="0.25">
      <c r="A14161" s="74">
        <v>18953</v>
      </c>
    </row>
    <row r="14162" spans="1:1" x14ac:dyDescent="0.25">
      <c r="A14162" s="74">
        <v>18954</v>
      </c>
    </row>
    <row r="14163" spans="1:1" x14ac:dyDescent="0.25">
      <c r="A14163" s="74">
        <v>18955</v>
      </c>
    </row>
    <row r="14164" spans="1:1" x14ac:dyDescent="0.25">
      <c r="A14164" s="74">
        <v>18956</v>
      </c>
    </row>
    <row r="14165" spans="1:1" x14ac:dyDescent="0.25">
      <c r="A14165" s="74">
        <v>18957</v>
      </c>
    </row>
    <row r="14166" spans="1:1" x14ac:dyDescent="0.25">
      <c r="A14166" s="74">
        <v>18958</v>
      </c>
    </row>
    <row r="14167" spans="1:1" x14ac:dyDescent="0.25">
      <c r="A14167" s="74">
        <v>18959</v>
      </c>
    </row>
    <row r="14168" spans="1:1" x14ac:dyDescent="0.25">
      <c r="A14168" s="74">
        <v>18960</v>
      </c>
    </row>
    <row r="14169" spans="1:1" x14ac:dyDescent="0.25">
      <c r="A14169" s="74">
        <v>18961</v>
      </c>
    </row>
    <row r="14170" spans="1:1" x14ac:dyDescent="0.25">
      <c r="A14170" s="74">
        <v>18962</v>
      </c>
    </row>
    <row r="14171" spans="1:1" x14ac:dyDescent="0.25">
      <c r="A14171" s="74">
        <v>18963</v>
      </c>
    </row>
    <row r="14172" spans="1:1" x14ac:dyDescent="0.25">
      <c r="A14172" s="74">
        <v>18964</v>
      </c>
    </row>
    <row r="14173" spans="1:1" x14ac:dyDescent="0.25">
      <c r="A14173" s="74">
        <v>18965</v>
      </c>
    </row>
    <row r="14174" spans="1:1" x14ac:dyDescent="0.25">
      <c r="A14174" s="74">
        <v>18966</v>
      </c>
    </row>
    <row r="14175" spans="1:1" x14ac:dyDescent="0.25">
      <c r="A14175" s="74">
        <v>18967</v>
      </c>
    </row>
    <row r="14176" spans="1:1" x14ac:dyDescent="0.25">
      <c r="A14176" s="74">
        <v>18968</v>
      </c>
    </row>
    <row r="14177" spans="1:1" x14ac:dyDescent="0.25">
      <c r="A14177" s="74">
        <v>18969</v>
      </c>
    </row>
    <row r="14178" spans="1:1" x14ac:dyDescent="0.25">
      <c r="A14178" s="74">
        <v>18970</v>
      </c>
    </row>
    <row r="14179" spans="1:1" x14ac:dyDescent="0.25">
      <c r="A14179" s="74">
        <v>18971</v>
      </c>
    </row>
    <row r="14180" spans="1:1" x14ac:dyDescent="0.25">
      <c r="A14180" s="74">
        <v>18972</v>
      </c>
    </row>
    <row r="14181" spans="1:1" x14ac:dyDescent="0.25">
      <c r="A14181" s="74">
        <v>18973</v>
      </c>
    </row>
    <row r="14182" spans="1:1" x14ac:dyDescent="0.25">
      <c r="A14182" s="74">
        <v>18974</v>
      </c>
    </row>
    <row r="14183" spans="1:1" x14ac:dyDescent="0.25">
      <c r="A14183" s="74">
        <v>18975</v>
      </c>
    </row>
    <row r="14184" spans="1:1" x14ac:dyDescent="0.25">
      <c r="A14184" s="74">
        <v>18976</v>
      </c>
    </row>
    <row r="14185" spans="1:1" x14ac:dyDescent="0.25">
      <c r="A14185" s="74">
        <v>18977</v>
      </c>
    </row>
    <row r="14186" spans="1:1" x14ac:dyDescent="0.25">
      <c r="A14186" s="74">
        <v>18978</v>
      </c>
    </row>
    <row r="14187" spans="1:1" x14ac:dyDescent="0.25">
      <c r="A14187" s="74">
        <v>18979</v>
      </c>
    </row>
    <row r="14188" spans="1:1" x14ac:dyDescent="0.25">
      <c r="A14188" s="74">
        <v>18980</v>
      </c>
    </row>
    <row r="14189" spans="1:1" x14ac:dyDescent="0.25">
      <c r="A14189" s="74">
        <v>18981</v>
      </c>
    </row>
    <row r="14190" spans="1:1" x14ac:dyDescent="0.25">
      <c r="A14190" s="74">
        <v>18982</v>
      </c>
    </row>
    <row r="14191" spans="1:1" x14ac:dyDescent="0.25">
      <c r="A14191" s="74">
        <v>18983</v>
      </c>
    </row>
    <row r="14192" spans="1:1" x14ac:dyDescent="0.25">
      <c r="A14192" s="74">
        <v>18984</v>
      </c>
    </row>
    <row r="14193" spans="1:1" x14ac:dyDescent="0.25">
      <c r="A14193" s="74">
        <v>18985</v>
      </c>
    </row>
    <row r="14194" spans="1:1" x14ac:dyDescent="0.25">
      <c r="A14194" s="74">
        <v>18986</v>
      </c>
    </row>
    <row r="14195" spans="1:1" x14ac:dyDescent="0.25">
      <c r="A14195" s="74">
        <v>18987</v>
      </c>
    </row>
    <row r="14196" spans="1:1" x14ac:dyDescent="0.25">
      <c r="A14196" s="74">
        <v>18988</v>
      </c>
    </row>
    <row r="14197" spans="1:1" x14ac:dyDescent="0.25">
      <c r="A14197" s="74">
        <v>18989</v>
      </c>
    </row>
    <row r="14198" spans="1:1" x14ac:dyDescent="0.25">
      <c r="A14198" s="74">
        <v>18990</v>
      </c>
    </row>
    <row r="14199" spans="1:1" x14ac:dyDescent="0.25">
      <c r="A14199" s="74">
        <v>18991</v>
      </c>
    </row>
    <row r="14200" spans="1:1" x14ac:dyDescent="0.25">
      <c r="A14200" s="74">
        <v>18992</v>
      </c>
    </row>
    <row r="14201" spans="1:1" x14ac:dyDescent="0.25">
      <c r="A14201" s="74">
        <v>18993</v>
      </c>
    </row>
    <row r="14202" spans="1:1" x14ac:dyDescent="0.25">
      <c r="A14202" s="74">
        <v>18994</v>
      </c>
    </row>
    <row r="14203" spans="1:1" x14ac:dyDescent="0.25">
      <c r="A14203" s="74">
        <v>18995</v>
      </c>
    </row>
    <row r="14204" spans="1:1" x14ac:dyDescent="0.25">
      <c r="A14204" s="74">
        <v>18996</v>
      </c>
    </row>
    <row r="14205" spans="1:1" x14ac:dyDescent="0.25">
      <c r="A14205" s="74">
        <v>18997</v>
      </c>
    </row>
    <row r="14206" spans="1:1" x14ac:dyDescent="0.25">
      <c r="A14206" s="74">
        <v>18998</v>
      </c>
    </row>
    <row r="14207" spans="1:1" x14ac:dyDescent="0.25">
      <c r="A14207" s="74">
        <v>18999</v>
      </c>
    </row>
    <row r="14208" spans="1:1" x14ac:dyDescent="0.25">
      <c r="A14208" s="74">
        <v>19000</v>
      </c>
    </row>
    <row r="14209" spans="1:1" x14ac:dyDescent="0.25">
      <c r="A14209" s="74">
        <v>19001</v>
      </c>
    </row>
    <row r="14210" spans="1:1" x14ac:dyDescent="0.25">
      <c r="A14210" s="74">
        <v>19002</v>
      </c>
    </row>
    <row r="14211" spans="1:1" x14ac:dyDescent="0.25">
      <c r="A14211" s="74">
        <v>19003</v>
      </c>
    </row>
    <row r="14212" spans="1:1" x14ac:dyDescent="0.25">
      <c r="A14212" s="74">
        <v>19004</v>
      </c>
    </row>
    <row r="14213" spans="1:1" x14ac:dyDescent="0.25">
      <c r="A14213" s="74">
        <v>19005</v>
      </c>
    </row>
    <row r="14214" spans="1:1" x14ac:dyDescent="0.25">
      <c r="A14214" s="74">
        <v>19006</v>
      </c>
    </row>
    <row r="14215" spans="1:1" x14ac:dyDescent="0.25">
      <c r="A14215" s="74">
        <v>19007</v>
      </c>
    </row>
    <row r="14216" spans="1:1" x14ac:dyDescent="0.25">
      <c r="A14216" s="74">
        <v>19008</v>
      </c>
    </row>
    <row r="14217" spans="1:1" x14ac:dyDescent="0.25">
      <c r="A14217" s="74">
        <v>19009</v>
      </c>
    </row>
    <row r="14218" spans="1:1" x14ac:dyDescent="0.25">
      <c r="A14218" s="74">
        <v>19010</v>
      </c>
    </row>
    <row r="14219" spans="1:1" x14ac:dyDescent="0.25">
      <c r="A14219" s="74">
        <v>19011</v>
      </c>
    </row>
    <row r="14220" spans="1:1" x14ac:dyDescent="0.25">
      <c r="A14220" s="74">
        <v>19012</v>
      </c>
    </row>
    <row r="14221" spans="1:1" x14ac:dyDescent="0.25">
      <c r="A14221" s="74">
        <v>19013</v>
      </c>
    </row>
    <row r="14222" spans="1:1" x14ac:dyDescent="0.25">
      <c r="A14222" s="74">
        <v>19014</v>
      </c>
    </row>
    <row r="14223" spans="1:1" x14ac:dyDescent="0.25">
      <c r="A14223" s="74">
        <v>19015</v>
      </c>
    </row>
    <row r="14224" spans="1:1" x14ac:dyDescent="0.25">
      <c r="A14224" s="74">
        <v>19016</v>
      </c>
    </row>
    <row r="14225" spans="1:1" x14ac:dyDescent="0.25">
      <c r="A14225" s="74">
        <v>19017</v>
      </c>
    </row>
    <row r="14226" spans="1:1" x14ac:dyDescent="0.25">
      <c r="A14226" s="74">
        <v>19018</v>
      </c>
    </row>
    <row r="14227" spans="1:1" x14ac:dyDescent="0.25">
      <c r="A14227" s="74">
        <v>19019</v>
      </c>
    </row>
    <row r="14228" spans="1:1" x14ac:dyDescent="0.25">
      <c r="A14228" s="74">
        <v>19020</v>
      </c>
    </row>
    <row r="14229" spans="1:1" x14ac:dyDescent="0.25">
      <c r="A14229" s="74">
        <v>19021</v>
      </c>
    </row>
    <row r="14230" spans="1:1" x14ac:dyDescent="0.25">
      <c r="A14230" s="74">
        <v>19022</v>
      </c>
    </row>
    <row r="14231" spans="1:1" x14ac:dyDescent="0.25">
      <c r="A14231" s="74">
        <v>19023</v>
      </c>
    </row>
    <row r="14232" spans="1:1" x14ac:dyDescent="0.25">
      <c r="A14232" s="74">
        <v>19024</v>
      </c>
    </row>
    <row r="14233" spans="1:1" x14ac:dyDescent="0.25">
      <c r="A14233" s="74">
        <v>19025</v>
      </c>
    </row>
    <row r="14234" spans="1:1" x14ac:dyDescent="0.25">
      <c r="A14234" s="74">
        <v>19026</v>
      </c>
    </row>
    <row r="14235" spans="1:1" x14ac:dyDescent="0.25">
      <c r="A14235" s="74">
        <v>19027</v>
      </c>
    </row>
    <row r="14236" spans="1:1" x14ac:dyDescent="0.25">
      <c r="A14236" s="74">
        <v>19028</v>
      </c>
    </row>
    <row r="14237" spans="1:1" x14ac:dyDescent="0.25">
      <c r="A14237" s="74">
        <v>19029</v>
      </c>
    </row>
    <row r="14238" spans="1:1" x14ac:dyDescent="0.25">
      <c r="A14238" s="74">
        <v>19030</v>
      </c>
    </row>
    <row r="14239" spans="1:1" x14ac:dyDescent="0.25">
      <c r="A14239" s="74">
        <v>19031</v>
      </c>
    </row>
    <row r="14240" spans="1:1" x14ac:dyDescent="0.25">
      <c r="A14240" s="74">
        <v>19032</v>
      </c>
    </row>
    <row r="14241" spans="1:1" x14ac:dyDescent="0.25">
      <c r="A14241" s="74">
        <v>19033</v>
      </c>
    </row>
    <row r="14242" spans="1:1" x14ac:dyDescent="0.25">
      <c r="A14242" s="74">
        <v>19034</v>
      </c>
    </row>
    <row r="14243" spans="1:1" x14ac:dyDescent="0.25">
      <c r="A14243" s="74">
        <v>19035</v>
      </c>
    </row>
    <row r="14244" spans="1:1" x14ac:dyDescent="0.25">
      <c r="A14244" s="74">
        <v>19036</v>
      </c>
    </row>
    <row r="14245" spans="1:1" x14ac:dyDescent="0.25">
      <c r="A14245" s="74">
        <v>19037</v>
      </c>
    </row>
    <row r="14246" spans="1:1" x14ac:dyDescent="0.25">
      <c r="A14246" s="74">
        <v>19038</v>
      </c>
    </row>
    <row r="14247" spans="1:1" x14ac:dyDescent="0.25">
      <c r="A14247" s="74">
        <v>19039</v>
      </c>
    </row>
    <row r="14248" spans="1:1" x14ac:dyDescent="0.25">
      <c r="A14248" s="74">
        <v>19040</v>
      </c>
    </row>
    <row r="14249" spans="1:1" x14ac:dyDescent="0.25">
      <c r="A14249" s="74">
        <v>19041</v>
      </c>
    </row>
    <row r="14250" spans="1:1" x14ac:dyDescent="0.25">
      <c r="A14250" s="74">
        <v>19042</v>
      </c>
    </row>
    <row r="14251" spans="1:1" x14ac:dyDescent="0.25">
      <c r="A14251" s="74">
        <v>19043</v>
      </c>
    </row>
    <row r="14252" spans="1:1" x14ac:dyDescent="0.25">
      <c r="A14252" s="74">
        <v>19044</v>
      </c>
    </row>
    <row r="14253" spans="1:1" x14ac:dyDescent="0.25">
      <c r="A14253" s="74">
        <v>19045</v>
      </c>
    </row>
    <row r="14254" spans="1:1" x14ac:dyDescent="0.25">
      <c r="A14254" s="74">
        <v>19046</v>
      </c>
    </row>
    <row r="14255" spans="1:1" x14ac:dyDescent="0.25">
      <c r="A14255" s="74">
        <v>19047</v>
      </c>
    </row>
    <row r="14256" spans="1:1" x14ac:dyDescent="0.25">
      <c r="A14256" s="74">
        <v>19048</v>
      </c>
    </row>
    <row r="14257" spans="1:1" x14ac:dyDescent="0.25">
      <c r="A14257" s="74">
        <v>19049</v>
      </c>
    </row>
    <row r="14258" spans="1:1" x14ac:dyDescent="0.25">
      <c r="A14258" s="74">
        <v>19050</v>
      </c>
    </row>
    <row r="14259" spans="1:1" x14ac:dyDescent="0.25">
      <c r="A14259" s="74">
        <v>19051</v>
      </c>
    </row>
    <row r="14260" spans="1:1" x14ac:dyDescent="0.25">
      <c r="A14260" s="74">
        <v>19052</v>
      </c>
    </row>
    <row r="14261" spans="1:1" x14ac:dyDescent="0.25">
      <c r="A14261" s="74">
        <v>19053</v>
      </c>
    </row>
    <row r="14262" spans="1:1" x14ac:dyDescent="0.25">
      <c r="A14262" s="74">
        <v>19054</v>
      </c>
    </row>
    <row r="14263" spans="1:1" x14ac:dyDescent="0.25">
      <c r="A14263" s="74">
        <v>19055</v>
      </c>
    </row>
    <row r="14264" spans="1:1" x14ac:dyDescent="0.25">
      <c r="A14264" s="74">
        <v>19056</v>
      </c>
    </row>
    <row r="14265" spans="1:1" x14ac:dyDescent="0.25">
      <c r="A14265" s="74">
        <v>19057</v>
      </c>
    </row>
    <row r="14266" spans="1:1" x14ac:dyDescent="0.25">
      <c r="A14266" s="74">
        <v>19058</v>
      </c>
    </row>
    <row r="14267" spans="1:1" x14ac:dyDescent="0.25">
      <c r="A14267" s="74">
        <v>19059</v>
      </c>
    </row>
    <row r="14268" spans="1:1" x14ac:dyDescent="0.25">
      <c r="A14268" s="74">
        <v>19060</v>
      </c>
    </row>
    <row r="14269" spans="1:1" x14ac:dyDescent="0.25">
      <c r="A14269" s="74">
        <v>19061</v>
      </c>
    </row>
    <row r="14270" spans="1:1" x14ac:dyDescent="0.25">
      <c r="A14270" s="74">
        <v>19062</v>
      </c>
    </row>
    <row r="14271" spans="1:1" x14ac:dyDescent="0.25">
      <c r="A14271" s="74">
        <v>19063</v>
      </c>
    </row>
    <row r="14272" spans="1:1" x14ac:dyDescent="0.25">
      <c r="A14272" s="74">
        <v>19064</v>
      </c>
    </row>
    <row r="14273" spans="1:1" x14ac:dyDescent="0.25">
      <c r="A14273" s="74">
        <v>19065</v>
      </c>
    </row>
    <row r="14274" spans="1:1" x14ac:dyDescent="0.25">
      <c r="A14274" s="74">
        <v>19066</v>
      </c>
    </row>
    <row r="14275" spans="1:1" x14ac:dyDescent="0.25">
      <c r="A14275" s="74">
        <v>19067</v>
      </c>
    </row>
    <row r="14276" spans="1:1" x14ac:dyDescent="0.25">
      <c r="A14276" s="74">
        <v>19068</v>
      </c>
    </row>
    <row r="14277" spans="1:1" x14ac:dyDescent="0.25">
      <c r="A14277" s="74">
        <v>19069</v>
      </c>
    </row>
    <row r="14278" spans="1:1" x14ac:dyDescent="0.25">
      <c r="A14278" s="74">
        <v>19070</v>
      </c>
    </row>
    <row r="14279" spans="1:1" x14ac:dyDescent="0.25">
      <c r="A14279" s="74">
        <v>19071</v>
      </c>
    </row>
    <row r="14280" spans="1:1" x14ac:dyDescent="0.25">
      <c r="A14280" s="74">
        <v>19072</v>
      </c>
    </row>
    <row r="14281" spans="1:1" x14ac:dyDescent="0.25">
      <c r="A14281" s="74">
        <v>19073</v>
      </c>
    </row>
    <row r="14282" spans="1:1" x14ac:dyDescent="0.25">
      <c r="A14282" s="74">
        <v>19074</v>
      </c>
    </row>
    <row r="14283" spans="1:1" x14ac:dyDescent="0.25">
      <c r="A14283" s="74">
        <v>19075</v>
      </c>
    </row>
    <row r="14284" spans="1:1" x14ac:dyDescent="0.25">
      <c r="A14284" s="74">
        <v>19076</v>
      </c>
    </row>
    <row r="14285" spans="1:1" x14ac:dyDescent="0.25">
      <c r="A14285" s="74">
        <v>19077</v>
      </c>
    </row>
    <row r="14286" spans="1:1" x14ac:dyDescent="0.25">
      <c r="A14286" s="74">
        <v>19078</v>
      </c>
    </row>
    <row r="14287" spans="1:1" x14ac:dyDescent="0.25">
      <c r="A14287" s="74">
        <v>19079</v>
      </c>
    </row>
    <row r="14288" spans="1:1" x14ac:dyDescent="0.25">
      <c r="A14288" s="74">
        <v>19080</v>
      </c>
    </row>
    <row r="14289" spans="1:1" x14ac:dyDescent="0.25">
      <c r="A14289" s="74">
        <v>19081</v>
      </c>
    </row>
    <row r="14290" spans="1:1" x14ac:dyDescent="0.25">
      <c r="A14290" s="74">
        <v>19082</v>
      </c>
    </row>
    <row r="14291" spans="1:1" x14ac:dyDescent="0.25">
      <c r="A14291" s="74">
        <v>19083</v>
      </c>
    </row>
    <row r="14292" spans="1:1" x14ac:dyDescent="0.25">
      <c r="A14292" s="74">
        <v>19084</v>
      </c>
    </row>
    <row r="14293" spans="1:1" x14ac:dyDescent="0.25">
      <c r="A14293" s="74">
        <v>19085</v>
      </c>
    </row>
    <row r="14294" spans="1:1" x14ac:dyDescent="0.25">
      <c r="A14294" s="74">
        <v>19086</v>
      </c>
    </row>
    <row r="14295" spans="1:1" x14ac:dyDescent="0.25">
      <c r="A14295" s="74">
        <v>19087</v>
      </c>
    </row>
    <row r="14296" spans="1:1" x14ac:dyDescent="0.25">
      <c r="A14296" s="74">
        <v>19088</v>
      </c>
    </row>
    <row r="14297" spans="1:1" x14ac:dyDescent="0.25">
      <c r="A14297" s="74">
        <v>19089</v>
      </c>
    </row>
    <row r="14298" spans="1:1" x14ac:dyDescent="0.25">
      <c r="A14298" s="74">
        <v>19090</v>
      </c>
    </row>
    <row r="14299" spans="1:1" x14ac:dyDescent="0.25">
      <c r="A14299" s="74">
        <v>19091</v>
      </c>
    </row>
    <row r="14300" spans="1:1" x14ac:dyDescent="0.25">
      <c r="A14300" s="74">
        <v>19092</v>
      </c>
    </row>
    <row r="14301" spans="1:1" x14ac:dyDescent="0.25">
      <c r="A14301" s="74">
        <v>19093</v>
      </c>
    </row>
    <row r="14302" spans="1:1" x14ac:dyDescent="0.25">
      <c r="A14302" s="74">
        <v>19094</v>
      </c>
    </row>
    <row r="14303" spans="1:1" x14ac:dyDescent="0.25">
      <c r="A14303" s="74">
        <v>19095</v>
      </c>
    </row>
    <row r="14304" spans="1:1" x14ac:dyDescent="0.25">
      <c r="A14304" s="74">
        <v>19096</v>
      </c>
    </row>
    <row r="14305" spans="1:1" x14ac:dyDescent="0.25">
      <c r="A14305" s="74">
        <v>19097</v>
      </c>
    </row>
    <row r="14306" spans="1:1" x14ac:dyDescent="0.25">
      <c r="A14306" s="74">
        <v>19098</v>
      </c>
    </row>
    <row r="14307" spans="1:1" x14ac:dyDescent="0.25">
      <c r="A14307" s="74">
        <v>19099</v>
      </c>
    </row>
    <row r="14308" spans="1:1" x14ac:dyDescent="0.25">
      <c r="A14308" s="74">
        <v>19100</v>
      </c>
    </row>
    <row r="14309" spans="1:1" x14ac:dyDescent="0.25">
      <c r="A14309" s="74">
        <v>19101</v>
      </c>
    </row>
    <row r="14310" spans="1:1" x14ac:dyDescent="0.25">
      <c r="A14310" s="74">
        <v>19102</v>
      </c>
    </row>
    <row r="14311" spans="1:1" x14ac:dyDescent="0.25">
      <c r="A14311" s="74">
        <v>19103</v>
      </c>
    </row>
    <row r="14312" spans="1:1" x14ac:dyDescent="0.25">
      <c r="A14312" s="74">
        <v>19104</v>
      </c>
    </row>
    <row r="14313" spans="1:1" x14ac:dyDescent="0.25">
      <c r="A14313" s="74">
        <v>19105</v>
      </c>
    </row>
    <row r="14314" spans="1:1" x14ac:dyDescent="0.25">
      <c r="A14314" s="74">
        <v>19106</v>
      </c>
    </row>
    <row r="14315" spans="1:1" x14ac:dyDescent="0.25">
      <c r="A14315" s="74">
        <v>19107</v>
      </c>
    </row>
    <row r="14316" spans="1:1" x14ac:dyDescent="0.25">
      <c r="A14316" s="74">
        <v>19108</v>
      </c>
    </row>
    <row r="14317" spans="1:1" x14ac:dyDescent="0.25">
      <c r="A14317" s="74">
        <v>19109</v>
      </c>
    </row>
    <row r="14318" spans="1:1" x14ac:dyDescent="0.25">
      <c r="A14318" s="74">
        <v>19110</v>
      </c>
    </row>
    <row r="14319" spans="1:1" x14ac:dyDescent="0.25">
      <c r="A14319" s="74">
        <v>19111</v>
      </c>
    </row>
    <row r="14320" spans="1:1" x14ac:dyDescent="0.25">
      <c r="A14320" s="74">
        <v>19112</v>
      </c>
    </row>
    <row r="14321" spans="1:1" x14ac:dyDescent="0.25">
      <c r="A14321" s="74">
        <v>19113</v>
      </c>
    </row>
    <row r="14322" spans="1:1" x14ac:dyDescent="0.25">
      <c r="A14322" s="74">
        <v>19114</v>
      </c>
    </row>
    <row r="14323" spans="1:1" x14ac:dyDescent="0.25">
      <c r="A14323" s="74">
        <v>19115</v>
      </c>
    </row>
    <row r="14324" spans="1:1" x14ac:dyDescent="0.25">
      <c r="A14324" s="74">
        <v>19116</v>
      </c>
    </row>
    <row r="14325" spans="1:1" x14ac:dyDescent="0.25">
      <c r="A14325" s="74">
        <v>19117</v>
      </c>
    </row>
    <row r="14326" spans="1:1" x14ac:dyDescent="0.25">
      <c r="A14326" s="74">
        <v>19118</v>
      </c>
    </row>
    <row r="14327" spans="1:1" x14ac:dyDescent="0.25">
      <c r="A14327" s="74">
        <v>19119</v>
      </c>
    </row>
    <row r="14328" spans="1:1" x14ac:dyDescent="0.25">
      <c r="A14328" s="74">
        <v>19120</v>
      </c>
    </row>
    <row r="14329" spans="1:1" x14ac:dyDescent="0.25">
      <c r="A14329" s="74">
        <v>19121</v>
      </c>
    </row>
    <row r="14330" spans="1:1" x14ac:dyDescent="0.25">
      <c r="A14330" s="74">
        <v>19122</v>
      </c>
    </row>
    <row r="14331" spans="1:1" x14ac:dyDescent="0.25">
      <c r="A14331" s="74">
        <v>19123</v>
      </c>
    </row>
    <row r="14332" spans="1:1" x14ac:dyDescent="0.25">
      <c r="A14332" s="74">
        <v>19124</v>
      </c>
    </row>
    <row r="14333" spans="1:1" x14ac:dyDescent="0.25">
      <c r="A14333" s="74">
        <v>19125</v>
      </c>
    </row>
    <row r="14334" spans="1:1" x14ac:dyDescent="0.25">
      <c r="A14334" s="74">
        <v>19126</v>
      </c>
    </row>
    <row r="14335" spans="1:1" x14ac:dyDescent="0.25">
      <c r="A14335" s="74">
        <v>19127</v>
      </c>
    </row>
    <row r="14336" spans="1:1" x14ac:dyDescent="0.25">
      <c r="A14336" s="74">
        <v>19128</v>
      </c>
    </row>
    <row r="14337" spans="1:1" x14ac:dyDescent="0.25">
      <c r="A14337" s="74">
        <v>19129</v>
      </c>
    </row>
    <row r="14338" spans="1:1" x14ac:dyDescent="0.25">
      <c r="A14338" s="74">
        <v>19130</v>
      </c>
    </row>
    <row r="14339" spans="1:1" x14ac:dyDescent="0.25">
      <c r="A14339" s="74">
        <v>19131</v>
      </c>
    </row>
    <row r="14340" spans="1:1" x14ac:dyDescent="0.25">
      <c r="A14340" s="74">
        <v>19132</v>
      </c>
    </row>
    <row r="14341" spans="1:1" x14ac:dyDescent="0.25">
      <c r="A14341" s="74">
        <v>19133</v>
      </c>
    </row>
    <row r="14342" spans="1:1" x14ac:dyDescent="0.25">
      <c r="A14342" s="74">
        <v>19134</v>
      </c>
    </row>
    <row r="14343" spans="1:1" x14ac:dyDescent="0.25">
      <c r="A14343" s="74">
        <v>19135</v>
      </c>
    </row>
    <row r="14344" spans="1:1" x14ac:dyDescent="0.25">
      <c r="A14344" s="74">
        <v>19136</v>
      </c>
    </row>
    <row r="14345" spans="1:1" x14ac:dyDescent="0.25">
      <c r="A14345" s="74">
        <v>19137</v>
      </c>
    </row>
    <row r="14346" spans="1:1" x14ac:dyDescent="0.25">
      <c r="A14346" s="74">
        <v>19138</v>
      </c>
    </row>
    <row r="14347" spans="1:1" x14ac:dyDescent="0.25">
      <c r="A14347" s="74">
        <v>19139</v>
      </c>
    </row>
    <row r="14348" spans="1:1" x14ac:dyDescent="0.25">
      <c r="A14348" s="74">
        <v>19140</v>
      </c>
    </row>
    <row r="14349" spans="1:1" x14ac:dyDescent="0.25">
      <c r="A14349" s="74">
        <v>19141</v>
      </c>
    </row>
    <row r="14350" spans="1:1" x14ac:dyDescent="0.25">
      <c r="A14350" s="74">
        <v>19142</v>
      </c>
    </row>
    <row r="14351" spans="1:1" x14ac:dyDescent="0.25">
      <c r="A14351" s="74">
        <v>19143</v>
      </c>
    </row>
    <row r="14352" spans="1:1" x14ac:dyDescent="0.25">
      <c r="A14352" s="74">
        <v>19144</v>
      </c>
    </row>
    <row r="14353" spans="1:1" x14ac:dyDescent="0.25">
      <c r="A14353" s="74">
        <v>19145</v>
      </c>
    </row>
    <row r="14354" spans="1:1" x14ac:dyDescent="0.25">
      <c r="A14354" s="74">
        <v>19146</v>
      </c>
    </row>
    <row r="14355" spans="1:1" x14ac:dyDescent="0.25">
      <c r="A14355" s="74">
        <v>19147</v>
      </c>
    </row>
    <row r="14356" spans="1:1" x14ac:dyDescent="0.25">
      <c r="A14356" s="74">
        <v>19148</v>
      </c>
    </row>
    <row r="14357" spans="1:1" x14ac:dyDescent="0.25">
      <c r="A14357" s="74">
        <v>19149</v>
      </c>
    </row>
    <row r="14358" spans="1:1" x14ac:dyDescent="0.25">
      <c r="A14358" s="74">
        <v>19150</v>
      </c>
    </row>
    <row r="14359" spans="1:1" x14ac:dyDescent="0.25">
      <c r="A14359" s="74">
        <v>19151</v>
      </c>
    </row>
    <row r="14360" spans="1:1" x14ac:dyDescent="0.25">
      <c r="A14360" s="74">
        <v>19152</v>
      </c>
    </row>
    <row r="14361" spans="1:1" x14ac:dyDescent="0.25">
      <c r="A14361" s="74">
        <v>19153</v>
      </c>
    </row>
    <row r="14362" spans="1:1" x14ac:dyDescent="0.25">
      <c r="A14362" s="74">
        <v>19154</v>
      </c>
    </row>
    <row r="14363" spans="1:1" x14ac:dyDescent="0.25">
      <c r="A14363" s="74">
        <v>19155</v>
      </c>
    </row>
    <row r="14364" spans="1:1" x14ac:dyDescent="0.25">
      <c r="A14364" s="74">
        <v>19156</v>
      </c>
    </row>
    <row r="14365" spans="1:1" x14ac:dyDescent="0.25">
      <c r="A14365" s="74">
        <v>19157</v>
      </c>
    </row>
    <row r="14366" spans="1:1" x14ac:dyDescent="0.25">
      <c r="A14366" s="74">
        <v>19158</v>
      </c>
    </row>
    <row r="14367" spans="1:1" x14ac:dyDescent="0.25">
      <c r="A14367" s="74">
        <v>19159</v>
      </c>
    </row>
    <row r="14368" spans="1:1" x14ac:dyDescent="0.25">
      <c r="A14368" s="74">
        <v>19160</v>
      </c>
    </row>
    <row r="14369" spans="1:1" x14ac:dyDescent="0.25">
      <c r="A14369" s="74">
        <v>19161</v>
      </c>
    </row>
    <row r="14370" spans="1:1" x14ac:dyDescent="0.25">
      <c r="A14370" s="74">
        <v>19162</v>
      </c>
    </row>
    <row r="14371" spans="1:1" x14ac:dyDescent="0.25">
      <c r="A14371" s="74">
        <v>19163</v>
      </c>
    </row>
    <row r="14372" spans="1:1" x14ac:dyDescent="0.25">
      <c r="A14372" s="74">
        <v>19164</v>
      </c>
    </row>
    <row r="14373" spans="1:1" x14ac:dyDescent="0.25">
      <c r="A14373" s="74">
        <v>19165</v>
      </c>
    </row>
    <row r="14374" spans="1:1" x14ac:dyDescent="0.25">
      <c r="A14374" s="74">
        <v>19166</v>
      </c>
    </row>
    <row r="14375" spans="1:1" x14ac:dyDescent="0.25">
      <c r="A14375" s="74">
        <v>19167</v>
      </c>
    </row>
    <row r="14376" spans="1:1" x14ac:dyDescent="0.25">
      <c r="A14376" s="74">
        <v>19168</v>
      </c>
    </row>
    <row r="14377" spans="1:1" x14ac:dyDescent="0.25">
      <c r="A14377" s="74">
        <v>19169</v>
      </c>
    </row>
    <row r="14378" spans="1:1" x14ac:dyDescent="0.25">
      <c r="A14378" s="74">
        <v>19170</v>
      </c>
    </row>
    <row r="14379" spans="1:1" x14ac:dyDescent="0.25">
      <c r="A14379" s="74">
        <v>19171</v>
      </c>
    </row>
    <row r="14380" spans="1:1" x14ac:dyDescent="0.25">
      <c r="A14380" s="74">
        <v>19172</v>
      </c>
    </row>
    <row r="14381" spans="1:1" x14ac:dyDescent="0.25">
      <c r="A14381" s="74">
        <v>19173</v>
      </c>
    </row>
    <row r="14382" spans="1:1" x14ac:dyDescent="0.25">
      <c r="A14382" s="74">
        <v>19174</v>
      </c>
    </row>
    <row r="14383" spans="1:1" x14ac:dyDescent="0.25">
      <c r="A14383" s="74">
        <v>19175</v>
      </c>
    </row>
    <row r="14384" spans="1:1" x14ac:dyDescent="0.25">
      <c r="A14384" s="74">
        <v>19176</v>
      </c>
    </row>
    <row r="14385" spans="1:1" x14ac:dyDescent="0.25">
      <c r="A14385" s="74">
        <v>19177</v>
      </c>
    </row>
    <row r="14386" spans="1:1" x14ac:dyDescent="0.25">
      <c r="A14386" s="74">
        <v>19178</v>
      </c>
    </row>
    <row r="14387" spans="1:1" x14ac:dyDescent="0.25">
      <c r="A14387" s="74">
        <v>19179</v>
      </c>
    </row>
    <row r="14388" spans="1:1" x14ac:dyDescent="0.25">
      <c r="A14388" s="74">
        <v>19180</v>
      </c>
    </row>
    <row r="14389" spans="1:1" x14ac:dyDescent="0.25">
      <c r="A14389" s="74">
        <v>19181</v>
      </c>
    </row>
    <row r="14390" spans="1:1" x14ac:dyDescent="0.25">
      <c r="A14390" s="74">
        <v>19182</v>
      </c>
    </row>
    <row r="14391" spans="1:1" x14ac:dyDescent="0.25">
      <c r="A14391" s="74">
        <v>19183</v>
      </c>
    </row>
    <row r="14392" spans="1:1" x14ac:dyDescent="0.25">
      <c r="A14392" s="74">
        <v>19184</v>
      </c>
    </row>
    <row r="14393" spans="1:1" x14ac:dyDescent="0.25">
      <c r="A14393" s="74">
        <v>19185</v>
      </c>
    </row>
    <row r="14394" spans="1:1" x14ac:dyDescent="0.25">
      <c r="A14394" s="74">
        <v>19186</v>
      </c>
    </row>
    <row r="14395" spans="1:1" x14ac:dyDescent="0.25">
      <c r="A14395" s="74">
        <v>19187</v>
      </c>
    </row>
    <row r="14396" spans="1:1" x14ac:dyDescent="0.25">
      <c r="A14396" s="74">
        <v>19188</v>
      </c>
    </row>
    <row r="14397" spans="1:1" x14ac:dyDescent="0.25">
      <c r="A14397" s="74">
        <v>19189</v>
      </c>
    </row>
    <row r="14398" spans="1:1" x14ac:dyDescent="0.25">
      <c r="A14398" s="74">
        <v>19190</v>
      </c>
    </row>
    <row r="14399" spans="1:1" x14ac:dyDescent="0.25">
      <c r="A14399" s="74">
        <v>19191</v>
      </c>
    </row>
    <row r="14400" spans="1:1" x14ac:dyDescent="0.25">
      <c r="A14400" s="74">
        <v>19192</v>
      </c>
    </row>
    <row r="14401" spans="1:1" x14ac:dyDescent="0.25">
      <c r="A14401" s="74">
        <v>19193</v>
      </c>
    </row>
    <row r="14402" spans="1:1" x14ac:dyDescent="0.25">
      <c r="A14402" s="74">
        <v>19194</v>
      </c>
    </row>
    <row r="14403" spans="1:1" x14ac:dyDescent="0.25">
      <c r="A14403" s="74">
        <v>19195</v>
      </c>
    </row>
    <row r="14404" spans="1:1" x14ac:dyDescent="0.25">
      <c r="A14404" s="74">
        <v>19196</v>
      </c>
    </row>
    <row r="14405" spans="1:1" x14ac:dyDescent="0.25">
      <c r="A14405" s="74">
        <v>19197</v>
      </c>
    </row>
    <row r="14406" spans="1:1" x14ac:dyDescent="0.25">
      <c r="A14406" s="74">
        <v>19198</v>
      </c>
    </row>
    <row r="14407" spans="1:1" x14ac:dyDescent="0.25">
      <c r="A14407" s="74">
        <v>19199</v>
      </c>
    </row>
    <row r="14408" spans="1:1" x14ac:dyDescent="0.25">
      <c r="A14408" s="74">
        <v>19200</v>
      </c>
    </row>
    <row r="14409" spans="1:1" x14ac:dyDescent="0.25">
      <c r="A14409" s="74">
        <v>19201</v>
      </c>
    </row>
    <row r="14410" spans="1:1" x14ac:dyDescent="0.25">
      <c r="A14410" s="74">
        <v>19202</v>
      </c>
    </row>
    <row r="14411" spans="1:1" x14ac:dyDescent="0.25">
      <c r="A14411" s="74">
        <v>19203</v>
      </c>
    </row>
    <row r="14412" spans="1:1" x14ac:dyDescent="0.25">
      <c r="A14412" s="74">
        <v>19204</v>
      </c>
    </row>
    <row r="14413" spans="1:1" x14ac:dyDescent="0.25">
      <c r="A14413" s="74">
        <v>19205</v>
      </c>
    </row>
    <row r="14414" spans="1:1" x14ac:dyDescent="0.25">
      <c r="A14414" s="74">
        <v>19206</v>
      </c>
    </row>
    <row r="14415" spans="1:1" x14ac:dyDescent="0.25">
      <c r="A14415" s="74">
        <v>19207</v>
      </c>
    </row>
    <row r="14416" spans="1:1" x14ac:dyDescent="0.25">
      <c r="A14416" s="74">
        <v>19208</v>
      </c>
    </row>
    <row r="14417" spans="1:1" x14ac:dyDescent="0.25">
      <c r="A14417" s="74">
        <v>19209</v>
      </c>
    </row>
    <row r="14418" spans="1:1" x14ac:dyDescent="0.25">
      <c r="A14418" s="74">
        <v>19210</v>
      </c>
    </row>
    <row r="14419" spans="1:1" x14ac:dyDescent="0.25">
      <c r="A14419" s="74">
        <v>19211</v>
      </c>
    </row>
    <row r="14420" spans="1:1" x14ac:dyDescent="0.25">
      <c r="A14420" s="74">
        <v>19212</v>
      </c>
    </row>
    <row r="14421" spans="1:1" x14ac:dyDescent="0.25">
      <c r="A14421" s="74">
        <v>19213</v>
      </c>
    </row>
    <row r="14422" spans="1:1" x14ac:dyDescent="0.25">
      <c r="A14422" s="74">
        <v>19214</v>
      </c>
    </row>
    <row r="14423" spans="1:1" x14ac:dyDescent="0.25">
      <c r="A14423" s="74">
        <v>19215</v>
      </c>
    </row>
    <row r="14424" spans="1:1" x14ac:dyDescent="0.25">
      <c r="A14424" s="74">
        <v>19216</v>
      </c>
    </row>
    <row r="14425" spans="1:1" x14ac:dyDescent="0.25">
      <c r="A14425" s="74">
        <v>19217</v>
      </c>
    </row>
    <row r="14426" spans="1:1" x14ac:dyDescent="0.25">
      <c r="A14426" s="74">
        <v>19218</v>
      </c>
    </row>
    <row r="14427" spans="1:1" x14ac:dyDescent="0.25">
      <c r="A14427" s="74">
        <v>19219</v>
      </c>
    </row>
    <row r="14428" spans="1:1" x14ac:dyDescent="0.25">
      <c r="A14428" s="74">
        <v>19220</v>
      </c>
    </row>
    <row r="14429" spans="1:1" x14ac:dyDescent="0.25">
      <c r="A14429" s="74">
        <v>19221</v>
      </c>
    </row>
    <row r="14430" spans="1:1" x14ac:dyDescent="0.25">
      <c r="A14430" s="74">
        <v>19222</v>
      </c>
    </row>
    <row r="14431" spans="1:1" x14ac:dyDescent="0.25">
      <c r="A14431" s="74">
        <v>19223</v>
      </c>
    </row>
    <row r="14432" spans="1:1" x14ac:dyDescent="0.25">
      <c r="A14432" s="74">
        <v>19224</v>
      </c>
    </row>
    <row r="14433" spans="1:1" x14ac:dyDescent="0.25">
      <c r="A14433" s="74">
        <v>19225</v>
      </c>
    </row>
    <row r="14434" spans="1:1" x14ac:dyDescent="0.25">
      <c r="A14434" s="74">
        <v>19226</v>
      </c>
    </row>
    <row r="14435" spans="1:1" x14ac:dyDescent="0.25">
      <c r="A14435" s="74">
        <v>19227</v>
      </c>
    </row>
    <row r="14436" spans="1:1" x14ac:dyDescent="0.25">
      <c r="A14436" s="74">
        <v>19228</v>
      </c>
    </row>
    <row r="14437" spans="1:1" x14ac:dyDescent="0.25">
      <c r="A14437" s="74">
        <v>19229</v>
      </c>
    </row>
    <row r="14438" spans="1:1" x14ac:dyDescent="0.25">
      <c r="A14438" s="74">
        <v>19230</v>
      </c>
    </row>
    <row r="14439" spans="1:1" x14ac:dyDescent="0.25">
      <c r="A14439" s="74">
        <v>19231</v>
      </c>
    </row>
    <row r="14440" spans="1:1" x14ac:dyDescent="0.25">
      <c r="A14440" s="74">
        <v>19232</v>
      </c>
    </row>
    <row r="14441" spans="1:1" x14ac:dyDescent="0.25">
      <c r="A14441" s="74">
        <v>19233</v>
      </c>
    </row>
    <row r="14442" spans="1:1" x14ac:dyDescent="0.25">
      <c r="A14442" s="74">
        <v>19234</v>
      </c>
    </row>
    <row r="14443" spans="1:1" x14ac:dyDescent="0.25">
      <c r="A14443" s="74">
        <v>19235</v>
      </c>
    </row>
    <row r="14444" spans="1:1" x14ac:dyDescent="0.25">
      <c r="A14444" s="74">
        <v>19236</v>
      </c>
    </row>
    <row r="14445" spans="1:1" x14ac:dyDescent="0.25">
      <c r="A14445" s="74">
        <v>19237</v>
      </c>
    </row>
    <row r="14446" spans="1:1" x14ac:dyDescent="0.25">
      <c r="A14446" s="74">
        <v>19238</v>
      </c>
    </row>
    <row r="14447" spans="1:1" x14ac:dyDescent="0.25">
      <c r="A14447" s="74">
        <v>19239</v>
      </c>
    </row>
    <row r="14448" spans="1:1" x14ac:dyDescent="0.25">
      <c r="A14448" s="74">
        <v>19240</v>
      </c>
    </row>
    <row r="14449" spans="1:1" x14ac:dyDescent="0.25">
      <c r="A14449" s="74">
        <v>19241</v>
      </c>
    </row>
    <row r="14450" spans="1:1" x14ac:dyDescent="0.25">
      <c r="A14450" s="74">
        <v>19242</v>
      </c>
    </row>
    <row r="14451" spans="1:1" x14ac:dyDescent="0.25">
      <c r="A14451" s="74">
        <v>19243</v>
      </c>
    </row>
    <row r="14452" spans="1:1" x14ac:dyDescent="0.25">
      <c r="A14452" s="74">
        <v>19244</v>
      </c>
    </row>
    <row r="14453" spans="1:1" x14ac:dyDescent="0.25">
      <c r="A14453" s="74">
        <v>19245</v>
      </c>
    </row>
    <row r="14454" spans="1:1" x14ac:dyDescent="0.25">
      <c r="A14454" s="74">
        <v>19246</v>
      </c>
    </row>
    <row r="14455" spans="1:1" x14ac:dyDescent="0.25">
      <c r="A14455" s="74">
        <v>19247</v>
      </c>
    </row>
    <row r="14456" spans="1:1" x14ac:dyDescent="0.25">
      <c r="A14456" s="74">
        <v>19248</v>
      </c>
    </row>
    <row r="14457" spans="1:1" x14ac:dyDescent="0.25">
      <c r="A14457" s="74">
        <v>19249</v>
      </c>
    </row>
    <row r="14458" spans="1:1" x14ac:dyDescent="0.25">
      <c r="A14458" s="74">
        <v>19250</v>
      </c>
    </row>
    <row r="14459" spans="1:1" x14ac:dyDescent="0.25">
      <c r="A14459" s="74">
        <v>19251</v>
      </c>
    </row>
    <row r="14460" spans="1:1" x14ac:dyDescent="0.25">
      <c r="A14460" s="74">
        <v>19252</v>
      </c>
    </row>
    <row r="14461" spans="1:1" x14ac:dyDescent="0.25">
      <c r="A14461" s="74">
        <v>19253</v>
      </c>
    </row>
    <row r="14462" spans="1:1" x14ac:dyDescent="0.25">
      <c r="A14462" s="74">
        <v>19254</v>
      </c>
    </row>
    <row r="14463" spans="1:1" x14ac:dyDescent="0.25">
      <c r="A14463" s="74">
        <v>19255</v>
      </c>
    </row>
    <row r="14464" spans="1:1" x14ac:dyDescent="0.25">
      <c r="A14464" s="74">
        <v>19256</v>
      </c>
    </row>
    <row r="14465" spans="1:1" x14ac:dyDescent="0.25">
      <c r="A14465" s="74">
        <v>19257</v>
      </c>
    </row>
    <row r="14466" spans="1:1" x14ac:dyDescent="0.25">
      <c r="A14466" s="74">
        <v>19258</v>
      </c>
    </row>
    <row r="14467" spans="1:1" x14ac:dyDescent="0.25">
      <c r="A14467" s="74">
        <v>19259</v>
      </c>
    </row>
    <row r="14468" spans="1:1" x14ac:dyDescent="0.25">
      <c r="A14468" s="74">
        <v>19260</v>
      </c>
    </row>
    <row r="14469" spans="1:1" x14ac:dyDescent="0.25">
      <c r="A14469" s="74">
        <v>19261</v>
      </c>
    </row>
    <row r="14470" spans="1:1" x14ac:dyDescent="0.25">
      <c r="A14470" s="74">
        <v>19262</v>
      </c>
    </row>
    <row r="14471" spans="1:1" x14ac:dyDescent="0.25">
      <c r="A14471" s="74">
        <v>19263</v>
      </c>
    </row>
    <row r="14472" spans="1:1" x14ac:dyDescent="0.25">
      <c r="A14472" s="74">
        <v>19264</v>
      </c>
    </row>
    <row r="14473" spans="1:1" x14ac:dyDescent="0.25">
      <c r="A14473" s="74">
        <v>19265</v>
      </c>
    </row>
    <row r="14474" spans="1:1" x14ac:dyDescent="0.25">
      <c r="A14474" s="74">
        <v>19266</v>
      </c>
    </row>
    <row r="14475" spans="1:1" x14ac:dyDescent="0.25">
      <c r="A14475" s="74">
        <v>19267</v>
      </c>
    </row>
    <row r="14476" spans="1:1" x14ac:dyDescent="0.25">
      <c r="A14476" s="74">
        <v>19268</v>
      </c>
    </row>
    <row r="14477" spans="1:1" x14ac:dyDescent="0.25">
      <c r="A14477" s="74">
        <v>19269</v>
      </c>
    </row>
    <row r="14478" spans="1:1" x14ac:dyDescent="0.25">
      <c r="A14478" s="74">
        <v>19270</v>
      </c>
    </row>
    <row r="14479" spans="1:1" x14ac:dyDescent="0.25">
      <c r="A14479" s="74">
        <v>19271</v>
      </c>
    </row>
    <row r="14480" spans="1:1" x14ac:dyDescent="0.25">
      <c r="A14480" s="74">
        <v>19272</v>
      </c>
    </row>
    <row r="14481" spans="1:1" x14ac:dyDescent="0.25">
      <c r="A14481" s="74">
        <v>19273</v>
      </c>
    </row>
    <row r="14482" spans="1:1" x14ac:dyDescent="0.25">
      <c r="A14482" s="74">
        <v>19274</v>
      </c>
    </row>
    <row r="14483" spans="1:1" x14ac:dyDescent="0.25">
      <c r="A14483" s="74">
        <v>19275</v>
      </c>
    </row>
    <row r="14484" spans="1:1" x14ac:dyDescent="0.25">
      <c r="A14484" s="74">
        <v>19276</v>
      </c>
    </row>
    <row r="14485" spans="1:1" x14ac:dyDescent="0.25">
      <c r="A14485" s="74">
        <v>19277</v>
      </c>
    </row>
    <row r="14486" spans="1:1" x14ac:dyDescent="0.25">
      <c r="A14486" s="74">
        <v>19278</v>
      </c>
    </row>
    <row r="14487" spans="1:1" x14ac:dyDescent="0.25">
      <c r="A14487" s="74">
        <v>19279</v>
      </c>
    </row>
    <row r="14488" spans="1:1" x14ac:dyDescent="0.25">
      <c r="A14488" s="74">
        <v>19280</v>
      </c>
    </row>
    <row r="14489" spans="1:1" x14ac:dyDescent="0.25">
      <c r="A14489" s="74">
        <v>19281</v>
      </c>
    </row>
    <row r="14490" spans="1:1" x14ac:dyDescent="0.25">
      <c r="A14490" s="74">
        <v>19282</v>
      </c>
    </row>
    <row r="14491" spans="1:1" x14ac:dyDescent="0.25">
      <c r="A14491" s="74">
        <v>19283</v>
      </c>
    </row>
    <row r="14492" spans="1:1" x14ac:dyDescent="0.25">
      <c r="A14492" s="74">
        <v>19284</v>
      </c>
    </row>
    <row r="14493" spans="1:1" x14ac:dyDescent="0.25">
      <c r="A14493" s="74">
        <v>19285</v>
      </c>
    </row>
    <row r="14494" spans="1:1" x14ac:dyDescent="0.25">
      <c r="A14494" s="74">
        <v>19286</v>
      </c>
    </row>
    <row r="14495" spans="1:1" x14ac:dyDescent="0.25">
      <c r="A14495" s="74">
        <v>19287</v>
      </c>
    </row>
    <row r="14496" spans="1:1" x14ac:dyDescent="0.25">
      <c r="A14496" s="74">
        <v>19288</v>
      </c>
    </row>
    <row r="14497" spans="1:1" x14ac:dyDescent="0.25">
      <c r="A14497" s="74">
        <v>19289</v>
      </c>
    </row>
    <row r="14498" spans="1:1" x14ac:dyDescent="0.25">
      <c r="A14498" s="74">
        <v>19290</v>
      </c>
    </row>
    <row r="14499" spans="1:1" x14ac:dyDescent="0.25">
      <c r="A14499" s="74">
        <v>19291</v>
      </c>
    </row>
    <row r="14500" spans="1:1" x14ac:dyDescent="0.25">
      <c r="A14500" s="74">
        <v>19292</v>
      </c>
    </row>
    <row r="14501" spans="1:1" x14ac:dyDescent="0.25">
      <c r="A14501" s="74">
        <v>19293</v>
      </c>
    </row>
    <row r="14502" spans="1:1" x14ac:dyDescent="0.25">
      <c r="A14502" s="74">
        <v>19294</v>
      </c>
    </row>
    <row r="14503" spans="1:1" x14ac:dyDescent="0.25">
      <c r="A14503" s="74">
        <v>19295</v>
      </c>
    </row>
    <row r="14504" spans="1:1" x14ac:dyDescent="0.25">
      <c r="A14504" s="74">
        <v>19296</v>
      </c>
    </row>
    <row r="14505" spans="1:1" x14ac:dyDescent="0.25">
      <c r="A14505" s="74">
        <v>19297</v>
      </c>
    </row>
    <row r="14506" spans="1:1" x14ac:dyDescent="0.25">
      <c r="A14506" s="74">
        <v>19298</v>
      </c>
    </row>
    <row r="14507" spans="1:1" x14ac:dyDescent="0.25">
      <c r="A14507" s="74">
        <v>19299</v>
      </c>
    </row>
    <row r="14508" spans="1:1" x14ac:dyDescent="0.25">
      <c r="A14508" s="74">
        <v>19300</v>
      </c>
    </row>
    <row r="14509" spans="1:1" x14ac:dyDescent="0.25">
      <c r="A14509" s="74">
        <v>19301</v>
      </c>
    </row>
    <row r="14510" spans="1:1" x14ac:dyDescent="0.25">
      <c r="A14510" s="74">
        <v>19302</v>
      </c>
    </row>
    <row r="14511" spans="1:1" x14ac:dyDescent="0.25">
      <c r="A14511" s="74">
        <v>19303</v>
      </c>
    </row>
    <row r="14512" spans="1:1" x14ac:dyDescent="0.25">
      <c r="A14512" s="74">
        <v>19304</v>
      </c>
    </row>
    <row r="14513" spans="1:1" x14ac:dyDescent="0.25">
      <c r="A14513" s="74">
        <v>19305</v>
      </c>
    </row>
    <row r="14514" spans="1:1" x14ac:dyDescent="0.25">
      <c r="A14514" s="74">
        <v>19306</v>
      </c>
    </row>
    <row r="14515" spans="1:1" x14ac:dyDescent="0.25">
      <c r="A14515" s="74">
        <v>19307</v>
      </c>
    </row>
    <row r="14516" spans="1:1" x14ac:dyDescent="0.25">
      <c r="A14516" s="74">
        <v>19308</v>
      </c>
    </row>
    <row r="14517" spans="1:1" x14ac:dyDescent="0.25">
      <c r="A14517" s="74">
        <v>19309</v>
      </c>
    </row>
    <row r="14518" spans="1:1" x14ac:dyDescent="0.25">
      <c r="A14518" s="74">
        <v>19310</v>
      </c>
    </row>
    <row r="14519" spans="1:1" x14ac:dyDescent="0.25">
      <c r="A14519" s="74">
        <v>19311</v>
      </c>
    </row>
    <row r="14520" spans="1:1" x14ac:dyDescent="0.25">
      <c r="A14520" s="74">
        <v>19312</v>
      </c>
    </row>
    <row r="14521" spans="1:1" x14ac:dyDescent="0.25">
      <c r="A14521" s="74">
        <v>19313</v>
      </c>
    </row>
    <row r="14522" spans="1:1" x14ac:dyDescent="0.25">
      <c r="A14522" s="74">
        <v>19314</v>
      </c>
    </row>
    <row r="14523" spans="1:1" x14ac:dyDescent="0.25">
      <c r="A14523" s="74">
        <v>19315</v>
      </c>
    </row>
    <row r="14524" spans="1:1" x14ac:dyDescent="0.25">
      <c r="A14524" s="74">
        <v>19316</v>
      </c>
    </row>
    <row r="14525" spans="1:1" x14ac:dyDescent="0.25">
      <c r="A14525" s="74">
        <v>19317</v>
      </c>
    </row>
    <row r="14526" spans="1:1" x14ac:dyDescent="0.25">
      <c r="A14526" s="74">
        <v>19318</v>
      </c>
    </row>
    <row r="14527" spans="1:1" x14ac:dyDescent="0.25">
      <c r="A14527" s="74">
        <v>19319</v>
      </c>
    </row>
    <row r="14528" spans="1:1" x14ac:dyDescent="0.25">
      <c r="A14528" s="74">
        <v>19320</v>
      </c>
    </row>
    <row r="14529" spans="1:1" x14ac:dyDescent="0.25">
      <c r="A14529" s="74">
        <v>19321</v>
      </c>
    </row>
    <row r="14530" spans="1:1" x14ac:dyDescent="0.25">
      <c r="A14530" s="74">
        <v>19322</v>
      </c>
    </row>
    <row r="14531" spans="1:1" x14ac:dyDescent="0.25">
      <c r="A14531" s="74">
        <v>19323</v>
      </c>
    </row>
    <row r="14532" spans="1:1" x14ac:dyDescent="0.25">
      <c r="A14532" s="74">
        <v>19324</v>
      </c>
    </row>
    <row r="14533" spans="1:1" x14ac:dyDescent="0.25">
      <c r="A14533" s="74">
        <v>19325</v>
      </c>
    </row>
    <row r="14534" spans="1:1" x14ac:dyDescent="0.25">
      <c r="A14534" s="74">
        <v>19326</v>
      </c>
    </row>
    <row r="14535" spans="1:1" x14ac:dyDescent="0.25">
      <c r="A14535" s="74">
        <v>19327</v>
      </c>
    </row>
    <row r="14536" spans="1:1" x14ac:dyDescent="0.25">
      <c r="A14536" s="74">
        <v>19328</v>
      </c>
    </row>
    <row r="14537" spans="1:1" x14ac:dyDescent="0.25">
      <c r="A14537" s="74">
        <v>19329</v>
      </c>
    </row>
    <row r="14538" spans="1:1" x14ac:dyDescent="0.25">
      <c r="A14538" s="74">
        <v>19330</v>
      </c>
    </row>
    <row r="14539" spans="1:1" x14ac:dyDescent="0.25">
      <c r="A14539" s="74">
        <v>19331</v>
      </c>
    </row>
    <row r="14540" spans="1:1" x14ac:dyDescent="0.25">
      <c r="A14540" s="74">
        <v>19332</v>
      </c>
    </row>
    <row r="14541" spans="1:1" x14ac:dyDescent="0.25">
      <c r="A14541" s="74">
        <v>19333</v>
      </c>
    </row>
    <row r="14542" spans="1:1" x14ac:dyDescent="0.25">
      <c r="A14542" s="74">
        <v>19334</v>
      </c>
    </row>
    <row r="14543" spans="1:1" x14ac:dyDescent="0.25">
      <c r="A14543" s="74">
        <v>19335</v>
      </c>
    </row>
    <row r="14544" spans="1:1" x14ac:dyDescent="0.25">
      <c r="A14544" s="74">
        <v>19336</v>
      </c>
    </row>
    <row r="14545" spans="1:1" x14ac:dyDescent="0.25">
      <c r="A14545" s="74">
        <v>19337</v>
      </c>
    </row>
    <row r="14546" spans="1:1" x14ac:dyDescent="0.25">
      <c r="A14546" s="74">
        <v>19338</v>
      </c>
    </row>
    <row r="14547" spans="1:1" x14ac:dyDescent="0.25">
      <c r="A14547" s="74">
        <v>19339</v>
      </c>
    </row>
    <row r="14548" spans="1:1" x14ac:dyDescent="0.25">
      <c r="A14548" s="74">
        <v>19340</v>
      </c>
    </row>
    <row r="14549" spans="1:1" x14ac:dyDescent="0.25">
      <c r="A14549" s="74">
        <v>19341</v>
      </c>
    </row>
    <row r="14550" spans="1:1" x14ac:dyDescent="0.25">
      <c r="A14550" s="74">
        <v>19342</v>
      </c>
    </row>
    <row r="14551" spans="1:1" x14ac:dyDescent="0.25">
      <c r="A14551" s="74">
        <v>19343</v>
      </c>
    </row>
    <row r="14552" spans="1:1" x14ac:dyDescent="0.25">
      <c r="A14552" s="74">
        <v>19344</v>
      </c>
    </row>
    <row r="14553" spans="1:1" x14ac:dyDescent="0.25">
      <c r="A14553" s="74">
        <v>19345</v>
      </c>
    </row>
    <row r="14554" spans="1:1" x14ac:dyDescent="0.25">
      <c r="A14554" s="74">
        <v>19346</v>
      </c>
    </row>
    <row r="14555" spans="1:1" x14ac:dyDescent="0.25">
      <c r="A14555" s="74">
        <v>19347</v>
      </c>
    </row>
    <row r="14556" spans="1:1" x14ac:dyDescent="0.25">
      <c r="A14556" s="74">
        <v>19348</v>
      </c>
    </row>
    <row r="14557" spans="1:1" x14ac:dyDescent="0.25">
      <c r="A14557" s="74">
        <v>19349</v>
      </c>
    </row>
    <row r="14558" spans="1:1" x14ac:dyDescent="0.25">
      <c r="A14558" s="74">
        <v>19350</v>
      </c>
    </row>
    <row r="14559" spans="1:1" x14ac:dyDescent="0.25">
      <c r="A14559" s="74">
        <v>19351</v>
      </c>
    </row>
    <row r="14560" spans="1:1" x14ac:dyDescent="0.25">
      <c r="A14560" s="74">
        <v>19352</v>
      </c>
    </row>
    <row r="14561" spans="1:1" x14ac:dyDescent="0.25">
      <c r="A14561" s="74">
        <v>19353</v>
      </c>
    </row>
    <row r="14562" spans="1:1" x14ac:dyDescent="0.25">
      <c r="A14562" s="74">
        <v>19354</v>
      </c>
    </row>
    <row r="14563" spans="1:1" x14ac:dyDescent="0.25">
      <c r="A14563" s="74">
        <v>19355</v>
      </c>
    </row>
    <row r="14564" spans="1:1" x14ac:dyDescent="0.25">
      <c r="A14564" s="74">
        <v>19356</v>
      </c>
    </row>
    <row r="14565" spans="1:1" x14ac:dyDescent="0.25">
      <c r="A14565" s="74">
        <v>19357</v>
      </c>
    </row>
    <row r="14566" spans="1:1" x14ac:dyDescent="0.25">
      <c r="A14566" s="74">
        <v>19358</v>
      </c>
    </row>
    <row r="14567" spans="1:1" x14ac:dyDescent="0.25">
      <c r="A14567" s="74">
        <v>19359</v>
      </c>
    </row>
    <row r="14568" spans="1:1" x14ac:dyDescent="0.25">
      <c r="A14568" s="74">
        <v>19360</v>
      </c>
    </row>
    <row r="14569" spans="1:1" x14ac:dyDescent="0.25">
      <c r="A14569" s="74">
        <v>19361</v>
      </c>
    </row>
    <row r="14570" spans="1:1" x14ac:dyDescent="0.25">
      <c r="A14570" s="74">
        <v>19362</v>
      </c>
    </row>
    <row r="14571" spans="1:1" x14ac:dyDescent="0.25">
      <c r="A14571" s="74">
        <v>19363</v>
      </c>
    </row>
    <row r="14572" spans="1:1" x14ac:dyDescent="0.25">
      <c r="A14572" s="74">
        <v>19364</v>
      </c>
    </row>
    <row r="14573" spans="1:1" x14ac:dyDescent="0.25">
      <c r="A14573" s="74">
        <v>19365</v>
      </c>
    </row>
    <row r="14574" spans="1:1" x14ac:dyDescent="0.25">
      <c r="A14574" s="74">
        <v>19366</v>
      </c>
    </row>
    <row r="14575" spans="1:1" x14ac:dyDescent="0.25">
      <c r="A14575" s="74">
        <v>19367</v>
      </c>
    </row>
    <row r="14576" spans="1:1" x14ac:dyDescent="0.25">
      <c r="A14576" s="74">
        <v>19368</v>
      </c>
    </row>
    <row r="14577" spans="1:1" x14ac:dyDescent="0.25">
      <c r="A14577" s="74">
        <v>19369</v>
      </c>
    </row>
    <row r="14578" spans="1:1" x14ac:dyDescent="0.25">
      <c r="A14578" s="74">
        <v>19370</v>
      </c>
    </row>
    <row r="14579" spans="1:1" x14ac:dyDescent="0.25">
      <c r="A14579" s="74">
        <v>19371</v>
      </c>
    </row>
    <row r="14580" spans="1:1" x14ac:dyDescent="0.25">
      <c r="A14580" s="74">
        <v>19372</v>
      </c>
    </row>
    <row r="14581" spans="1:1" x14ac:dyDescent="0.25">
      <c r="A14581" s="74">
        <v>19373</v>
      </c>
    </row>
    <row r="14582" spans="1:1" x14ac:dyDescent="0.25">
      <c r="A14582" s="74">
        <v>19374</v>
      </c>
    </row>
    <row r="14583" spans="1:1" x14ac:dyDescent="0.25">
      <c r="A14583" s="74">
        <v>19375</v>
      </c>
    </row>
    <row r="14584" spans="1:1" x14ac:dyDescent="0.25">
      <c r="A14584" s="74">
        <v>19376</v>
      </c>
    </row>
    <row r="14585" spans="1:1" x14ac:dyDescent="0.25">
      <c r="A14585" s="74">
        <v>19377</v>
      </c>
    </row>
    <row r="14586" spans="1:1" x14ac:dyDescent="0.25">
      <c r="A14586" s="74">
        <v>19378</v>
      </c>
    </row>
    <row r="14587" spans="1:1" x14ac:dyDescent="0.25">
      <c r="A14587" s="74">
        <v>19379</v>
      </c>
    </row>
    <row r="14588" spans="1:1" x14ac:dyDescent="0.25">
      <c r="A14588" s="74">
        <v>19380</v>
      </c>
    </row>
    <row r="14589" spans="1:1" x14ac:dyDescent="0.25">
      <c r="A14589" s="74">
        <v>19381</v>
      </c>
    </row>
    <row r="14590" spans="1:1" x14ac:dyDescent="0.25">
      <c r="A14590" s="74">
        <v>19382</v>
      </c>
    </row>
    <row r="14591" spans="1:1" x14ac:dyDescent="0.25">
      <c r="A14591" s="74">
        <v>19383</v>
      </c>
    </row>
    <row r="14592" spans="1:1" x14ac:dyDescent="0.25">
      <c r="A14592" s="74">
        <v>19384</v>
      </c>
    </row>
    <row r="14593" spans="1:1" x14ac:dyDescent="0.25">
      <c r="A14593" s="74">
        <v>19385</v>
      </c>
    </row>
    <row r="14594" spans="1:1" x14ac:dyDescent="0.25">
      <c r="A14594" s="74">
        <v>19386</v>
      </c>
    </row>
    <row r="14595" spans="1:1" x14ac:dyDescent="0.25">
      <c r="A14595" s="74">
        <v>19387</v>
      </c>
    </row>
    <row r="14596" spans="1:1" x14ac:dyDescent="0.25">
      <c r="A14596" s="74">
        <v>19388</v>
      </c>
    </row>
    <row r="14597" spans="1:1" x14ac:dyDescent="0.25">
      <c r="A14597" s="74">
        <v>19389</v>
      </c>
    </row>
    <row r="14598" spans="1:1" x14ac:dyDescent="0.25">
      <c r="A14598" s="74">
        <v>19390</v>
      </c>
    </row>
    <row r="14599" spans="1:1" x14ac:dyDescent="0.25">
      <c r="A14599" s="74">
        <v>19391</v>
      </c>
    </row>
    <row r="14600" spans="1:1" x14ac:dyDescent="0.25">
      <c r="A14600" s="74">
        <v>19392</v>
      </c>
    </row>
    <row r="14601" spans="1:1" x14ac:dyDescent="0.25">
      <c r="A14601" s="74">
        <v>19393</v>
      </c>
    </row>
    <row r="14602" spans="1:1" x14ac:dyDescent="0.25">
      <c r="A14602" s="74">
        <v>19394</v>
      </c>
    </row>
    <row r="14603" spans="1:1" x14ac:dyDescent="0.25">
      <c r="A14603" s="74">
        <v>19395</v>
      </c>
    </row>
    <row r="14604" spans="1:1" x14ac:dyDescent="0.25">
      <c r="A14604" s="74">
        <v>19396</v>
      </c>
    </row>
    <row r="14605" spans="1:1" x14ac:dyDescent="0.25">
      <c r="A14605" s="74">
        <v>19397</v>
      </c>
    </row>
    <row r="14606" spans="1:1" x14ac:dyDescent="0.25">
      <c r="A14606" s="74">
        <v>19398</v>
      </c>
    </row>
    <row r="14607" spans="1:1" x14ac:dyDescent="0.25">
      <c r="A14607" s="74">
        <v>19399</v>
      </c>
    </row>
    <row r="14608" spans="1:1" x14ac:dyDescent="0.25">
      <c r="A14608" s="74">
        <v>19400</v>
      </c>
    </row>
    <row r="14609" spans="1:1" x14ac:dyDescent="0.25">
      <c r="A14609" s="74">
        <v>19401</v>
      </c>
    </row>
    <row r="14610" spans="1:1" x14ac:dyDescent="0.25">
      <c r="A14610" s="74">
        <v>19402</v>
      </c>
    </row>
    <row r="14611" spans="1:1" x14ac:dyDescent="0.25">
      <c r="A14611" s="74">
        <v>19403</v>
      </c>
    </row>
    <row r="14612" spans="1:1" x14ac:dyDescent="0.25">
      <c r="A14612" s="74">
        <v>19404</v>
      </c>
    </row>
    <row r="14613" spans="1:1" x14ac:dyDescent="0.25">
      <c r="A14613" s="74">
        <v>19405</v>
      </c>
    </row>
    <row r="14614" spans="1:1" x14ac:dyDescent="0.25">
      <c r="A14614" s="74">
        <v>19406</v>
      </c>
    </row>
    <row r="14615" spans="1:1" x14ac:dyDescent="0.25">
      <c r="A14615" s="74">
        <v>19407</v>
      </c>
    </row>
    <row r="14616" spans="1:1" x14ac:dyDescent="0.25">
      <c r="A14616" s="74">
        <v>19408</v>
      </c>
    </row>
    <row r="14617" spans="1:1" x14ac:dyDescent="0.25">
      <c r="A14617" s="74">
        <v>19409</v>
      </c>
    </row>
    <row r="14618" spans="1:1" x14ac:dyDescent="0.25">
      <c r="A14618" s="74">
        <v>19410</v>
      </c>
    </row>
    <row r="14619" spans="1:1" x14ac:dyDescent="0.25">
      <c r="A14619" s="74">
        <v>19411</v>
      </c>
    </row>
    <row r="14620" spans="1:1" x14ac:dyDescent="0.25">
      <c r="A14620" s="74">
        <v>19412</v>
      </c>
    </row>
    <row r="14621" spans="1:1" x14ac:dyDescent="0.25">
      <c r="A14621" s="74">
        <v>19413</v>
      </c>
    </row>
    <row r="14622" spans="1:1" x14ac:dyDescent="0.25">
      <c r="A14622" s="74">
        <v>19414</v>
      </c>
    </row>
    <row r="14623" spans="1:1" x14ac:dyDescent="0.25">
      <c r="A14623" s="74">
        <v>19415</v>
      </c>
    </row>
    <row r="14624" spans="1:1" x14ac:dyDescent="0.25">
      <c r="A14624" s="74">
        <v>19416</v>
      </c>
    </row>
    <row r="14625" spans="1:1" x14ac:dyDescent="0.25">
      <c r="A14625" s="74">
        <v>19417</v>
      </c>
    </row>
    <row r="14626" spans="1:1" x14ac:dyDescent="0.25">
      <c r="A14626" s="74">
        <v>19418</v>
      </c>
    </row>
    <row r="14627" spans="1:1" x14ac:dyDescent="0.25">
      <c r="A14627" s="74">
        <v>19419</v>
      </c>
    </row>
    <row r="14628" spans="1:1" x14ac:dyDescent="0.25">
      <c r="A14628" s="74">
        <v>19420</v>
      </c>
    </row>
    <row r="14629" spans="1:1" x14ac:dyDescent="0.25">
      <c r="A14629" s="74">
        <v>19421</v>
      </c>
    </row>
    <row r="14630" spans="1:1" x14ac:dyDescent="0.25">
      <c r="A14630" s="74">
        <v>19422</v>
      </c>
    </row>
    <row r="14631" spans="1:1" x14ac:dyDescent="0.25">
      <c r="A14631" s="74">
        <v>19423</v>
      </c>
    </row>
    <row r="14632" spans="1:1" x14ac:dyDescent="0.25">
      <c r="A14632" s="74">
        <v>19424</v>
      </c>
    </row>
    <row r="14633" spans="1:1" x14ac:dyDescent="0.25">
      <c r="A14633" s="74">
        <v>19425</v>
      </c>
    </row>
    <row r="14634" spans="1:1" x14ac:dyDescent="0.25">
      <c r="A14634" s="74">
        <v>19426</v>
      </c>
    </row>
    <row r="14635" spans="1:1" x14ac:dyDescent="0.25">
      <c r="A14635" s="74">
        <v>19427</v>
      </c>
    </row>
    <row r="14636" spans="1:1" x14ac:dyDescent="0.25">
      <c r="A14636" s="74">
        <v>19428</v>
      </c>
    </row>
    <row r="14637" spans="1:1" x14ac:dyDescent="0.25">
      <c r="A14637" s="74">
        <v>19429</v>
      </c>
    </row>
    <row r="14638" spans="1:1" x14ac:dyDescent="0.25">
      <c r="A14638" s="74">
        <v>19430</v>
      </c>
    </row>
    <row r="14639" spans="1:1" x14ac:dyDescent="0.25">
      <c r="A14639" s="74">
        <v>19431</v>
      </c>
    </row>
    <row r="14640" spans="1:1" x14ac:dyDescent="0.25">
      <c r="A14640" s="74">
        <v>19432</v>
      </c>
    </row>
    <row r="14641" spans="1:1" x14ac:dyDescent="0.25">
      <c r="A14641" s="74">
        <v>19433</v>
      </c>
    </row>
    <row r="14642" spans="1:1" x14ac:dyDescent="0.25">
      <c r="A14642" s="74">
        <v>19434</v>
      </c>
    </row>
    <row r="14643" spans="1:1" x14ac:dyDescent="0.25">
      <c r="A14643" s="74">
        <v>19435</v>
      </c>
    </row>
    <row r="14644" spans="1:1" x14ac:dyDescent="0.25">
      <c r="A14644" s="74">
        <v>19436</v>
      </c>
    </row>
    <row r="14645" spans="1:1" x14ac:dyDescent="0.25">
      <c r="A14645" s="74">
        <v>19437</v>
      </c>
    </row>
    <row r="14646" spans="1:1" x14ac:dyDescent="0.25">
      <c r="A14646" s="74">
        <v>19438</v>
      </c>
    </row>
    <row r="14647" spans="1:1" x14ac:dyDescent="0.25">
      <c r="A14647" s="74">
        <v>19439</v>
      </c>
    </row>
    <row r="14648" spans="1:1" x14ac:dyDescent="0.25">
      <c r="A14648" s="74">
        <v>19440</v>
      </c>
    </row>
    <row r="14649" spans="1:1" x14ac:dyDescent="0.25">
      <c r="A14649" s="74">
        <v>19441</v>
      </c>
    </row>
    <row r="14650" spans="1:1" x14ac:dyDescent="0.25">
      <c r="A14650" s="74">
        <v>19442</v>
      </c>
    </row>
    <row r="14651" spans="1:1" x14ac:dyDescent="0.25">
      <c r="A14651" s="74">
        <v>19443</v>
      </c>
    </row>
    <row r="14652" spans="1:1" x14ac:dyDescent="0.25">
      <c r="A14652" s="74">
        <v>19444</v>
      </c>
    </row>
    <row r="14653" spans="1:1" x14ac:dyDescent="0.25">
      <c r="A14653" s="74">
        <v>19445</v>
      </c>
    </row>
    <row r="14654" spans="1:1" x14ac:dyDescent="0.25">
      <c r="A14654" s="74">
        <v>19446</v>
      </c>
    </row>
    <row r="14655" spans="1:1" x14ac:dyDescent="0.25">
      <c r="A14655" s="74">
        <v>19447</v>
      </c>
    </row>
    <row r="14656" spans="1:1" x14ac:dyDescent="0.25">
      <c r="A14656" s="74">
        <v>19448</v>
      </c>
    </row>
    <row r="14657" spans="1:1" x14ac:dyDescent="0.25">
      <c r="A14657" s="74">
        <v>19449</v>
      </c>
    </row>
    <row r="14658" spans="1:1" x14ac:dyDescent="0.25">
      <c r="A14658" s="74">
        <v>19450</v>
      </c>
    </row>
    <row r="14659" spans="1:1" x14ac:dyDescent="0.25">
      <c r="A14659" s="74">
        <v>19451</v>
      </c>
    </row>
    <row r="14660" spans="1:1" x14ac:dyDescent="0.25">
      <c r="A14660" s="74">
        <v>19452</v>
      </c>
    </row>
    <row r="14661" spans="1:1" x14ac:dyDescent="0.25">
      <c r="A14661" s="74">
        <v>19453</v>
      </c>
    </row>
    <row r="14662" spans="1:1" x14ac:dyDescent="0.25">
      <c r="A14662" s="74">
        <v>19454</v>
      </c>
    </row>
    <row r="14663" spans="1:1" x14ac:dyDescent="0.25">
      <c r="A14663" s="74">
        <v>19455</v>
      </c>
    </row>
    <row r="14664" spans="1:1" x14ac:dyDescent="0.25">
      <c r="A14664" s="74">
        <v>19456</v>
      </c>
    </row>
    <row r="14665" spans="1:1" x14ac:dyDescent="0.25">
      <c r="A14665" s="74">
        <v>19457</v>
      </c>
    </row>
    <row r="14666" spans="1:1" x14ac:dyDescent="0.25">
      <c r="A14666" s="74">
        <v>19458</v>
      </c>
    </row>
    <row r="14667" spans="1:1" x14ac:dyDescent="0.25">
      <c r="A14667" s="74">
        <v>19459</v>
      </c>
    </row>
    <row r="14668" spans="1:1" x14ac:dyDescent="0.25">
      <c r="A14668" s="74">
        <v>19460</v>
      </c>
    </row>
    <row r="14669" spans="1:1" x14ac:dyDescent="0.25">
      <c r="A14669" s="74">
        <v>19461</v>
      </c>
    </row>
    <row r="14670" spans="1:1" x14ac:dyDescent="0.25">
      <c r="A14670" s="74">
        <v>19462</v>
      </c>
    </row>
    <row r="14671" spans="1:1" x14ac:dyDescent="0.25">
      <c r="A14671" s="74">
        <v>19463</v>
      </c>
    </row>
    <row r="14672" spans="1:1" x14ac:dyDescent="0.25">
      <c r="A14672" s="74">
        <v>19464</v>
      </c>
    </row>
    <row r="14673" spans="1:1" x14ac:dyDescent="0.25">
      <c r="A14673" s="74">
        <v>19465</v>
      </c>
    </row>
    <row r="14674" spans="1:1" x14ac:dyDescent="0.25">
      <c r="A14674" s="74">
        <v>19466</v>
      </c>
    </row>
    <row r="14675" spans="1:1" x14ac:dyDescent="0.25">
      <c r="A14675" s="74">
        <v>19467</v>
      </c>
    </row>
    <row r="14676" spans="1:1" x14ac:dyDescent="0.25">
      <c r="A14676" s="74">
        <v>19468</v>
      </c>
    </row>
    <row r="14677" spans="1:1" x14ac:dyDescent="0.25">
      <c r="A14677" s="74">
        <v>19469</v>
      </c>
    </row>
    <row r="14678" spans="1:1" x14ac:dyDescent="0.25">
      <c r="A14678" s="74">
        <v>19470</v>
      </c>
    </row>
    <row r="14679" spans="1:1" x14ac:dyDescent="0.25">
      <c r="A14679" s="74">
        <v>19471</v>
      </c>
    </row>
    <row r="14680" spans="1:1" x14ac:dyDescent="0.25">
      <c r="A14680" s="74">
        <v>19472</v>
      </c>
    </row>
    <row r="14681" spans="1:1" x14ac:dyDescent="0.25">
      <c r="A14681" s="74">
        <v>19473</v>
      </c>
    </row>
    <row r="14682" spans="1:1" x14ac:dyDescent="0.25">
      <c r="A14682" s="74">
        <v>19474</v>
      </c>
    </row>
    <row r="14683" spans="1:1" x14ac:dyDescent="0.25">
      <c r="A14683" s="74">
        <v>19475</v>
      </c>
    </row>
    <row r="14684" spans="1:1" x14ac:dyDescent="0.25">
      <c r="A14684" s="74">
        <v>19476</v>
      </c>
    </row>
    <row r="14685" spans="1:1" x14ac:dyDescent="0.25">
      <c r="A14685" s="74">
        <v>19477</v>
      </c>
    </row>
    <row r="14686" spans="1:1" x14ac:dyDescent="0.25">
      <c r="A14686" s="74">
        <v>19478</v>
      </c>
    </row>
    <row r="14687" spans="1:1" x14ac:dyDescent="0.25">
      <c r="A14687" s="74">
        <v>19479</v>
      </c>
    </row>
    <row r="14688" spans="1:1" x14ac:dyDescent="0.25">
      <c r="A14688" s="74">
        <v>19480</v>
      </c>
    </row>
    <row r="14689" spans="1:1" x14ac:dyDescent="0.25">
      <c r="A14689" s="74">
        <v>19481</v>
      </c>
    </row>
    <row r="14690" spans="1:1" x14ac:dyDescent="0.25">
      <c r="A14690" s="74">
        <v>19482</v>
      </c>
    </row>
    <row r="14691" spans="1:1" x14ac:dyDescent="0.25">
      <c r="A14691" s="74">
        <v>19483</v>
      </c>
    </row>
    <row r="14692" spans="1:1" x14ac:dyDescent="0.25">
      <c r="A14692" s="74">
        <v>19484</v>
      </c>
    </row>
    <row r="14693" spans="1:1" x14ac:dyDescent="0.25">
      <c r="A14693" s="74">
        <v>19485</v>
      </c>
    </row>
    <row r="14694" spans="1:1" x14ac:dyDescent="0.25">
      <c r="A14694" s="74">
        <v>19486</v>
      </c>
    </row>
    <row r="14695" spans="1:1" x14ac:dyDescent="0.25">
      <c r="A14695" s="74">
        <v>19487</v>
      </c>
    </row>
    <row r="14696" spans="1:1" x14ac:dyDescent="0.25">
      <c r="A14696" s="74">
        <v>19488</v>
      </c>
    </row>
    <row r="14697" spans="1:1" x14ac:dyDescent="0.25">
      <c r="A14697" s="74">
        <v>19489</v>
      </c>
    </row>
    <row r="14698" spans="1:1" x14ac:dyDescent="0.25">
      <c r="A14698" s="74">
        <v>19490</v>
      </c>
    </row>
    <row r="14699" spans="1:1" x14ac:dyDescent="0.25">
      <c r="A14699" s="74">
        <v>19491</v>
      </c>
    </row>
    <row r="14700" spans="1:1" x14ac:dyDescent="0.25">
      <c r="A14700" s="74">
        <v>19492</v>
      </c>
    </row>
    <row r="14701" spans="1:1" x14ac:dyDescent="0.25">
      <c r="A14701" s="74">
        <v>19493</v>
      </c>
    </row>
    <row r="14702" spans="1:1" x14ac:dyDescent="0.25">
      <c r="A14702" s="74">
        <v>19494</v>
      </c>
    </row>
    <row r="14703" spans="1:1" x14ac:dyDescent="0.25">
      <c r="A14703" s="74">
        <v>19495</v>
      </c>
    </row>
    <row r="14704" spans="1:1" x14ac:dyDescent="0.25">
      <c r="A14704" s="74">
        <v>19496</v>
      </c>
    </row>
    <row r="14705" spans="1:1" x14ac:dyDescent="0.25">
      <c r="A14705" s="74">
        <v>19497</v>
      </c>
    </row>
    <row r="14706" spans="1:1" x14ac:dyDescent="0.25">
      <c r="A14706" s="74">
        <v>19498</v>
      </c>
    </row>
    <row r="14707" spans="1:1" x14ac:dyDescent="0.25">
      <c r="A14707" s="74">
        <v>19499</v>
      </c>
    </row>
    <row r="14708" spans="1:1" x14ac:dyDescent="0.25">
      <c r="A14708" s="74">
        <v>19500</v>
      </c>
    </row>
    <row r="14709" spans="1:1" x14ac:dyDescent="0.25">
      <c r="A14709" s="74">
        <v>19501</v>
      </c>
    </row>
    <row r="14710" spans="1:1" x14ac:dyDescent="0.25">
      <c r="A14710" s="74">
        <v>19502</v>
      </c>
    </row>
    <row r="14711" spans="1:1" x14ac:dyDescent="0.25">
      <c r="A14711" s="74">
        <v>19503</v>
      </c>
    </row>
    <row r="14712" spans="1:1" x14ac:dyDescent="0.25">
      <c r="A14712" s="74">
        <v>19504</v>
      </c>
    </row>
    <row r="14713" spans="1:1" x14ac:dyDescent="0.25">
      <c r="A14713" s="74">
        <v>19505</v>
      </c>
    </row>
    <row r="14714" spans="1:1" x14ac:dyDescent="0.25">
      <c r="A14714" s="74">
        <v>19506</v>
      </c>
    </row>
    <row r="14715" spans="1:1" x14ac:dyDescent="0.25">
      <c r="A14715" s="74">
        <v>19507</v>
      </c>
    </row>
    <row r="14716" spans="1:1" x14ac:dyDescent="0.25">
      <c r="A14716" s="74">
        <v>19508</v>
      </c>
    </row>
    <row r="14717" spans="1:1" x14ac:dyDescent="0.25">
      <c r="A14717" s="74">
        <v>19509</v>
      </c>
    </row>
    <row r="14718" spans="1:1" x14ac:dyDescent="0.25">
      <c r="A14718" s="74">
        <v>19510</v>
      </c>
    </row>
    <row r="14719" spans="1:1" x14ac:dyDescent="0.25">
      <c r="A14719" s="74">
        <v>19511</v>
      </c>
    </row>
    <row r="14720" spans="1:1" x14ac:dyDescent="0.25">
      <c r="A14720" s="74">
        <v>19512</v>
      </c>
    </row>
    <row r="14721" spans="1:1" x14ac:dyDescent="0.25">
      <c r="A14721" s="74">
        <v>19513</v>
      </c>
    </row>
    <row r="14722" spans="1:1" x14ac:dyDescent="0.25">
      <c r="A14722" s="74">
        <v>19514</v>
      </c>
    </row>
    <row r="14723" spans="1:1" x14ac:dyDescent="0.25">
      <c r="A14723" s="74">
        <v>19515</v>
      </c>
    </row>
    <row r="14724" spans="1:1" x14ac:dyDescent="0.25">
      <c r="A14724" s="74">
        <v>19516</v>
      </c>
    </row>
    <row r="14725" spans="1:1" x14ac:dyDescent="0.25">
      <c r="A14725" s="74">
        <v>19517</v>
      </c>
    </row>
    <row r="14726" spans="1:1" x14ac:dyDescent="0.25">
      <c r="A14726" s="74">
        <v>19518</v>
      </c>
    </row>
    <row r="14727" spans="1:1" x14ac:dyDescent="0.25">
      <c r="A14727" s="74">
        <v>19519</v>
      </c>
    </row>
    <row r="14728" spans="1:1" x14ac:dyDescent="0.25">
      <c r="A14728" s="74">
        <v>19520</v>
      </c>
    </row>
    <row r="14729" spans="1:1" x14ac:dyDescent="0.25">
      <c r="A14729" s="74">
        <v>19521</v>
      </c>
    </row>
    <row r="14730" spans="1:1" x14ac:dyDescent="0.25">
      <c r="A14730" s="74">
        <v>19522</v>
      </c>
    </row>
    <row r="14731" spans="1:1" x14ac:dyDescent="0.25">
      <c r="A14731" s="74">
        <v>19523</v>
      </c>
    </row>
    <row r="14732" spans="1:1" x14ac:dyDescent="0.25">
      <c r="A14732" s="74">
        <v>19524</v>
      </c>
    </row>
    <row r="14733" spans="1:1" x14ac:dyDescent="0.25">
      <c r="A14733" s="74">
        <v>19525</v>
      </c>
    </row>
    <row r="14734" spans="1:1" x14ac:dyDescent="0.25">
      <c r="A14734" s="74">
        <v>19526</v>
      </c>
    </row>
    <row r="14735" spans="1:1" x14ac:dyDescent="0.25">
      <c r="A14735" s="74">
        <v>19527</v>
      </c>
    </row>
    <row r="14736" spans="1:1" x14ac:dyDescent="0.25">
      <c r="A14736" s="74">
        <v>19528</v>
      </c>
    </row>
    <row r="14737" spans="1:1" x14ac:dyDescent="0.25">
      <c r="A14737" s="74">
        <v>19529</v>
      </c>
    </row>
    <row r="14738" spans="1:1" x14ac:dyDescent="0.25">
      <c r="A14738" s="74">
        <v>19530</v>
      </c>
    </row>
    <row r="14739" spans="1:1" x14ac:dyDescent="0.25">
      <c r="A14739" s="74">
        <v>19531</v>
      </c>
    </row>
    <row r="14740" spans="1:1" x14ac:dyDescent="0.25">
      <c r="A14740" s="74">
        <v>19532</v>
      </c>
    </row>
    <row r="14741" spans="1:1" x14ac:dyDescent="0.25">
      <c r="A14741" s="74">
        <v>19533</v>
      </c>
    </row>
    <row r="14742" spans="1:1" x14ac:dyDescent="0.25">
      <c r="A14742" s="74">
        <v>19534</v>
      </c>
    </row>
    <row r="14743" spans="1:1" x14ac:dyDescent="0.25">
      <c r="A14743" s="74">
        <v>19535</v>
      </c>
    </row>
    <row r="14744" spans="1:1" x14ac:dyDescent="0.25">
      <c r="A14744" s="74">
        <v>19536</v>
      </c>
    </row>
    <row r="14745" spans="1:1" x14ac:dyDescent="0.25">
      <c r="A14745" s="74">
        <v>19537</v>
      </c>
    </row>
    <row r="14746" spans="1:1" x14ac:dyDescent="0.25">
      <c r="A14746" s="74">
        <v>19538</v>
      </c>
    </row>
    <row r="14747" spans="1:1" x14ac:dyDescent="0.25">
      <c r="A14747" s="74">
        <v>19539</v>
      </c>
    </row>
    <row r="14748" spans="1:1" x14ac:dyDescent="0.25">
      <c r="A14748" s="74">
        <v>19540</v>
      </c>
    </row>
    <row r="14749" spans="1:1" x14ac:dyDescent="0.25">
      <c r="A14749" s="74">
        <v>19541</v>
      </c>
    </row>
    <row r="14750" spans="1:1" x14ac:dyDescent="0.25">
      <c r="A14750" s="74">
        <v>19542</v>
      </c>
    </row>
    <row r="14751" spans="1:1" x14ac:dyDescent="0.25">
      <c r="A14751" s="74">
        <v>19543</v>
      </c>
    </row>
    <row r="14752" spans="1:1" x14ac:dyDescent="0.25">
      <c r="A14752" s="74">
        <v>19544</v>
      </c>
    </row>
    <row r="14753" spans="1:1" x14ac:dyDescent="0.25">
      <c r="A14753" s="74">
        <v>19545</v>
      </c>
    </row>
    <row r="14754" spans="1:1" x14ac:dyDescent="0.25">
      <c r="A14754" s="74">
        <v>19546</v>
      </c>
    </row>
    <row r="14755" spans="1:1" x14ac:dyDescent="0.25">
      <c r="A14755" s="74">
        <v>19547</v>
      </c>
    </row>
    <row r="14756" spans="1:1" x14ac:dyDescent="0.25">
      <c r="A14756" s="74">
        <v>19548</v>
      </c>
    </row>
    <row r="14757" spans="1:1" x14ac:dyDescent="0.25">
      <c r="A14757" s="74">
        <v>19549</v>
      </c>
    </row>
    <row r="14758" spans="1:1" x14ac:dyDescent="0.25">
      <c r="A14758" s="74">
        <v>19550</v>
      </c>
    </row>
    <row r="14759" spans="1:1" x14ac:dyDescent="0.25">
      <c r="A14759" s="74">
        <v>19551</v>
      </c>
    </row>
    <row r="14760" spans="1:1" x14ac:dyDescent="0.25">
      <c r="A14760" s="74">
        <v>19552</v>
      </c>
    </row>
    <row r="14761" spans="1:1" x14ac:dyDescent="0.25">
      <c r="A14761" s="74">
        <v>19553</v>
      </c>
    </row>
    <row r="14762" spans="1:1" x14ac:dyDescent="0.25">
      <c r="A14762" s="74">
        <v>19554</v>
      </c>
    </row>
    <row r="14763" spans="1:1" x14ac:dyDescent="0.25">
      <c r="A14763" s="74">
        <v>19555</v>
      </c>
    </row>
    <row r="14764" spans="1:1" x14ac:dyDescent="0.25">
      <c r="A14764" s="74">
        <v>19556</v>
      </c>
    </row>
    <row r="14765" spans="1:1" x14ac:dyDescent="0.25">
      <c r="A14765" s="74">
        <v>19557</v>
      </c>
    </row>
    <row r="14766" spans="1:1" x14ac:dyDescent="0.25">
      <c r="A14766" s="74">
        <v>19558</v>
      </c>
    </row>
    <row r="14767" spans="1:1" x14ac:dyDescent="0.25">
      <c r="A14767" s="74">
        <v>19559</v>
      </c>
    </row>
    <row r="14768" spans="1:1" x14ac:dyDescent="0.25">
      <c r="A14768" s="74">
        <v>19560</v>
      </c>
    </row>
    <row r="14769" spans="1:1" x14ac:dyDescent="0.25">
      <c r="A14769" s="74">
        <v>19561</v>
      </c>
    </row>
    <row r="14770" spans="1:1" x14ac:dyDescent="0.25">
      <c r="A14770" s="74">
        <v>19562</v>
      </c>
    </row>
    <row r="14771" spans="1:1" x14ac:dyDescent="0.25">
      <c r="A14771" s="74">
        <v>19563</v>
      </c>
    </row>
    <row r="14772" spans="1:1" x14ac:dyDescent="0.25">
      <c r="A14772" s="74">
        <v>19564</v>
      </c>
    </row>
    <row r="14773" spans="1:1" x14ac:dyDescent="0.25">
      <c r="A14773" s="74">
        <v>19565</v>
      </c>
    </row>
    <row r="14774" spans="1:1" x14ac:dyDescent="0.25">
      <c r="A14774" s="74">
        <v>19566</v>
      </c>
    </row>
    <row r="14775" spans="1:1" x14ac:dyDescent="0.25">
      <c r="A14775" s="74">
        <v>19567</v>
      </c>
    </row>
    <row r="14776" spans="1:1" x14ac:dyDescent="0.25">
      <c r="A14776" s="74">
        <v>19568</v>
      </c>
    </row>
    <row r="14777" spans="1:1" x14ac:dyDescent="0.25">
      <c r="A14777" s="74">
        <v>19569</v>
      </c>
    </row>
    <row r="14778" spans="1:1" x14ac:dyDescent="0.25">
      <c r="A14778" s="74">
        <v>19570</v>
      </c>
    </row>
    <row r="14779" spans="1:1" x14ac:dyDescent="0.25">
      <c r="A14779" s="74">
        <v>19571</v>
      </c>
    </row>
    <row r="14780" spans="1:1" x14ac:dyDescent="0.25">
      <c r="A14780" s="74">
        <v>19572</v>
      </c>
    </row>
    <row r="14781" spans="1:1" x14ac:dyDescent="0.25">
      <c r="A14781" s="74">
        <v>19573</v>
      </c>
    </row>
    <row r="14782" spans="1:1" x14ac:dyDescent="0.25">
      <c r="A14782" s="74">
        <v>19574</v>
      </c>
    </row>
    <row r="14783" spans="1:1" x14ac:dyDescent="0.25">
      <c r="A14783" s="74">
        <v>19575</v>
      </c>
    </row>
    <row r="14784" spans="1:1" x14ac:dyDescent="0.25">
      <c r="A14784" s="74">
        <v>19576</v>
      </c>
    </row>
    <row r="14785" spans="1:1" x14ac:dyDescent="0.25">
      <c r="A14785" s="74">
        <v>19577</v>
      </c>
    </row>
    <row r="14786" spans="1:1" x14ac:dyDescent="0.25">
      <c r="A14786" s="74">
        <v>19578</v>
      </c>
    </row>
    <row r="14787" spans="1:1" x14ac:dyDescent="0.25">
      <c r="A14787" s="74">
        <v>19579</v>
      </c>
    </row>
    <row r="14788" spans="1:1" x14ac:dyDescent="0.25">
      <c r="A14788" s="74">
        <v>19580</v>
      </c>
    </row>
    <row r="14789" spans="1:1" x14ac:dyDescent="0.25">
      <c r="A14789" s="74">
        <v>19581</v>
      </c>
    </row>
    <row r="14790" spans="1:1" x14ac:dyDescent="0.25">
      <c r="A14790" s="74">
        <v>19582</v>
      </c>
    </row>
    <row r="14791" spans="1:1" x14ac:dyDescent="0.25">
      <c r="A14791" s="74">
        <v>19583</v>
      </c>
    </row>
    <row r="14792" spans="1:1" x14ac:dyDescent="0.25">
      <c r="A14792" s="74">
        <v>19584</v>
      </c>
    </row>
    <row r="14793" spans="1:1" x14ac:dyDescent="0.25">
      <c r="A14793" s="74">
        <v>19585</v>
      </c>
    </row>
    <row r="14794" spans="1:1" x14ac:dyDescent="0.25">
      <c r="A14794" s="74">
        <v>19586</v>
      </c>
    </row>
    <row r="14795" spans="1:1" x14ac:dyDescent="0.25">
      <c r="A14795" s="74">
        <v>19587</v>
      </c>
    </row>
    <row r="14796" spans="1:1" x14ac:dyDescent="0.25">
      <c r="A14796" s="74">
        <v>19588</v>
      </c>
    </row>
    <row r="14797" spans="1:1" x14ac:dyDescent="0.25">
      <c r="A14797" s="74">
        <v>19589</v>
      </c>
    </row>
    <row r="14798" spans="1:1" x14ac:dyDescent="0.25">
      <c r="A14798" s="74">
        <v>19590</v>
      </c>
    </row>
    <row r="14799" spans="1:1" x14ac:dyDescent="0.25">
      <c r="A14799" s="74">
        <v>19591</v>
      </c>
    </row>
    <row r="14800" spans="1:1" x14ac:dyDescent="0.25">
      <c r="A14800" s="74">
        <v>19592</v>
      </c>
    </row>
    <row r="14801" spans="1:1" x14ac:dyDescent="0.25">
      <c r="A14801" s="74">
        <v>19593</v>
      </c>
    </row>
    <row r="14802" spans="1:1" x14ac:dyDescent="0.25">
      <c r="A14802" s="74">
        <v>19594</v>
      </c>
    </row>
    <row r="14803" spans="1:1" x14ac:dyDescent="0.25">
      <c r="A14803" s="74">
        <v>19595</v>
      </c>
    </row>
    <row r="14804" spans="1:1" x14ac:dyDescent="0.25">
      <c r="A14804" s="74">
        <v>19596</v>
      </c>
    </row>
    <row r="14805" spans="1:1" x14ac:dyDescent="0.25">
      <c r="A14805" s="74">
        <v>19597</v>
      </c>
    </row>
    <row r="14806" spans="1:1" x14ac:dyDescent="0.25">
      <c r="A14806" s="74">
        <v>19598</v>
      </c>
    </row>
    <row r="14807" spans="1:1" x14ac:dyDescent="0.25">
      <c r="A14807" s="74">
        <v>19599</v>
      </c>
    </row>
    <row r="14808" spans="1:1" x14ac:dyDescent="0.25">
      <c r="A14808" s="74">
        <v>19600</v>
      </c>
    </row>
    <row r="14809" spans="1:1" x14ac:dyDescent="0.25">
      <c r="A14809" s="74">
        <v>19601</v>
      </c>
    </row>
    <row r="14810" spans="1:1" x14ac:dyDescent="0.25">
      <c r="A14810" s="74">
        <v>19602</v>
      </c>
    </row>
    <row r="14811" spans="1:1" x14ac:dyDescent="0.25">
      <c r="A14811" s="74">
        <v>19603</v>
      </c>
    </row>
    <row r="14812" spans="1:1" x14ac:dyDescent="0.25">
      <c r="A14812" s="74">
        <v>19604</v>
      </c>
    </row>
    <row r="14813" spans="1:1" x14ac:dyDescent="0.25">
      <c r="A14813" s="74">
        <v>19605</v>
      </c>
    </row>
    <row r="14814" spans="1:1" x14ac:dyDescent="0.25">
      <c r="A14814" s="74">
        <v>19606</v>
      </c>
    </row>
    <row r="14815" spans="1:1" x14ac:dyDescent="0.25">
      <c r="A14815" s="74">
        <v>19607</v>
      </c>
    </row>
    <row r="14816" spans="1:1" x14ac:dyDescent="0.25">
      <c r="A14816" s="74">
        <v>19608</v>
      </c>
    </row>
    <row r="14817" spans="1:1" x14ac:dyDescent="0.25">
      <c r="A14817" s="74">
        <v>19609</v>
      </c>
    </row>
    <row r="14818" spans="1:1" x14ac:dyDescent="0.25">
      <c r="A14818" s="74">
        <v>19610</v>
      </c>
    </row>
    <row r="14819" spans="1:1" x14ac:dyDescent="0.25">
      <c r="A14819" s="74">
        <v>19611</v>
      </c>
    </row>
    <row r="14820" spans="1:1" x14ac:dyDescent="0.25">
      <c r="A14820" s="74">
        <v>19612</v>
      </c>
    </row>
    <row r="14821" spans="1:1" x14ac:dyDescent="0.25">
      <c r="A14821" s="74">
        <v>19613</v>
      </c>
    </row>
    <row r="14822" spans="1:1" x14ac:dyDescent="0.25">
      <c r="A14822" s="74">
        <v>19614</v>
      </c>
    </row>
    <row r="14823" spans="1:1" x14ac:dyDescent="0.25">
      <c r="A14823" s="74">
        <v>19615</v>
      </c>
    </row>
    <row r="14824" spans="1:1" x14ac:dyDescent="0.25">
      <c r="A14824" s="74">
        <v>19616</v>
      </c>
    </row>
    <row r="14825" spans="1:1" x14ac:dyDescent="0.25">
      <c r="A14825" s="74">
        <v>19617</v>
      </c>
    </row>
    <row r="14826" spans="1:1" x14ac:dyDescent="0.25">
      <c r="A14826" s="74">
        <v>19618</v>
      </c>
    </row>
    <row r="14827" spans="1:1" x14ac:dyDescent="0.25">
      <c r="A14827" s="74">
        <v>19619</v>
      </c>
    </row>
    <row r="14828" spans="1:1" x14ac:dyDescent="0.25">
      <c r="A14828" s="74">
        <v>19620</v>
      </c>
    </row>
    <row r="14829" spans="1:1" x14ac:dyDescent="0.25">
      <c r="A14829" s="74">
        <v>19621</v>
      </c>
    </row>
    <row r="14830" spans="1:1" x14ac:dyDescent="0.25">
      <c r="A14830" s="74">
        <v>19622</v>
      </c>
    </row>
    <row r="14831" spans="1:1" x14ac:dyDescent="0.25">
      <c r="A14831" s="74">
        <v>19623</v>
      </c>
    </row>
    <row r="14832" spans="1:1" x14ac:dyDescent="0.25">
      <c r="A14832" s="74">
        <v>19624</v>
      </c>
    </row>
    <row r="14833" spans="1:1" x14ac:dyDescent="0.25">
      <c r="A14833" s="74">
        <v>19625</v>
      </c>
    </row>
    <row r="14834" spans="1:1" x14ac:dyDescent="0.25">
      <c r="A14834" s="74">
        <v>19626</v>
      </c>
    </row>
    <row r="14835" spans="1:1" x14ac:dyDescent="0.25">
      <c r="A14835" s="74">
        <v>19627</v>
      </c>
    </row>
    <row r="14836" spans="1:1" x14ac:dyDescent="0.25">
      <c r="A14836" s="74">
        <v>19628</v>
      </c>
    </row>
    <row r="14837" spans="1:1" x14ac:dyDescent="0.25">
      <c r="A14837" s="74">
        <v>19629</v>
      </c>
    </row>
    <row r="14838" spans="1:1" x14ac:dyDescent="0.25">
      <c r="A14838" s="74">
        <v>19630</v>
      </c>
    </row>
    <row r="14839" spans="1:1" x14ac:dyDescent="0.25">
      <c r="A14839" s="74">
        <v>19631</v>
      </c>
    </row>
    <row r="14840" spans="1:1" x14ac:dyDescent="0.25">
      <c r="A14840" s="74">
        <v>19632</v>
      </c>
    </row>
    <row r="14841" spans="1:1" x14ac:dyDescent="0.25">
      <c r="A14841" s="74">
        <v>19633</v>
      </c>
    </row>
    <row r="14842" spans="1:1" x14ac:dyDescent="0.25">
      <c r="A14842" s="74">
        <v>19634</v>
      </c>
    </row>
    <row r="14843" spans="1:1" x14ac:dyDescent="0.25">
      <c r="A14843" s="74">
        <v>19635</v>
      </c>
    </row>
    <row r="14844" spans="1:1" x14ac:dyDescent="0.25">
      <c r="A14844" s="74">
        <v>19636</v>
      </c>
    </row>
    <row r="14845" spans="1:1" x14ac:dyDescent="0.25">
      <c r="A14845" s="74">
        <v>19637</v>
      </c>
    </row>
    <row r="14846" spans="1:1" x14ac:dyDescent="0.25">
      <c r="A14846" s="74">
        <v>19638</v>
      </c>
    </row>
    <row r="14847" spans="1:1" x14ac:dyDescent="0.25">
      <c r="A14847" s="74">
        <v>19639</v>
      </c>
    </row>
    <row r="14848" spans="1:1" x14ac:dyDescent="0.25">
      <c r="A14848" s="74">
        <v>19640</v>
      </c>
    </row>
    <row r="14849" spans="1:1" x14ac:dyDescent="0.25">
      <c r="A14849" s="74">
        <v>19641</v>
      </c>
    </row>
    <row r="14850" spans="1:1" x14ac:dyDescent="0.25">
      <c r="A14850" s="74">
        <v>19642</v>
      </c>
    </row>
    <row r="14851" spans="1:1" x14ac:dyDescent="0.25">
      <c r="A14851" s="74">
        <v>19643</v>
      </c>
    </row>
    <row r="14852" spans="1:1" x14ac:dyDescent="0.25">
      <c r="A14852" s="74">
        <v>19644</v>
      </c>
    </row>
    <row r="14853" spans="1:1" x14ac:dyDescent="0.25">
      <c r="A14853" s="74">
        <v>19645</v>
      </c>
    </row>
    <row r="14854" spans="1:1" x14ac:dyDescent="0.25">
      <c r="A14854" s="74">
        <v>19646</v>
      </c>
    </row>
    <row r="14855" spans="1:1" x14ac:dyDescent="0.25">
      <c r="A14855" s="74">
        <v>19647</v>
      </c>
    </row>
    <row r="14856" spans="1:1" x14ac:dyDescent="0.25">
      <c r="A14856" s="74">
        <v>19648</v>
      </c>
    </row>
    <row r="14857" spans="1:1" x14ac:dyDescent="0.25">
      <c r="A14857" s="74">
        <v>19649</v>
      </c>
    </row>
    <row r="14858" spans="1:1" x14ac:dyDescent="0.25">
      <c r="A14858" s="74">
        <v>19650</v>
      </c>
    </row>
    <row r="14859" spans="1:1" x14ac:dyDescent="0.25">
      <c r="A14859" s="74">
        <v>19651</v>
      </c>
    </row>
    <row r="14860" spans="1:1" x14ac:dyDescent="0.25">
      <c r="A14860" s="74">
        <v>19652</v>
      </c>
    </row>
    <row r="14861" spans="1:1" x14ac:dyDescent="0.25">
      <c r="A14861" s="74">
        <v>19653</v>
      </c>
    </row>
    <row r="14862" spans="1:1" x14ac:dyDescent="0.25">
      <c r="A14862" s="74">
        <v>19654</v>
      </c>
    </row>
    <row r="14863" spans="1:1" x14ac:dyDescent="0.25">
      <c r="A14863" s="74">
        <v>19655</v>
      </c>
    </row>
    <row r="14864" spans="1:1" x14ac:dyDescent="0.25">
      <c r="A14864" s="74">
        <v>19656</v>
      </c>
    </row>
    <row r="14865" spans="1:1" x14ac:dyDescent="0.25">
      <c r="A14865" s="74">
        <v>19657</v>
      </c>
    </row>
    <row r="14866" spans="1:1" x14ac:dyDescent="0.25">
      <c r="A14866" s="74">
        <v>19658</v>
      </c>
    </row>
    <row r="14867" spans="1:1" x14ac:dyDescent="0.25">
      <c r="A14867" s="74">
        <v>19659</v>
      </c>
    </row>
    <row r="14868" spans="1:1" x14ac:dyDescent="0.25">
      <c r="A14868" s="74">
        <v>19660</v>
      </c>
    </row>
    <row r="14869" spans="1:1" x14ac:dyDescent="0.25">
      <c r="A14869" s="74">
        <v>19661</v>
      </c>
    </row>
    <row r="14870" spans="1:1" x14ac:dyDescent="0.25">
      <c r="A14870" s="74">
        <v>19662</v>
      </c>
    </row>
    <row r="14871" spans="1:1" x14ac:dyDescent="0.25">
      <c r="A14871" s="74">
        <v>19663</v>
      </c>
    </row>
    <row r="14872" spans="1:1" x14ac:dyDescent="0.25">
      <c r="A14872" s="74">
        <v>19664</v>
      </c>
    </row>
    <row r="14873" spans="1:1" x14ac:dyDescent="0.25">
      <c r="A14873" s="74">
        <v>19665</v>
      </c>
    </row>
    <row r="14874" spans="1:1" x14ac:dyDescent="0.25">
      <c r="A14874" s="74">
        <v>19666</v>
      </c>
    </row>
    <row r="14875" spans="1:1" x14ac:dyDescent="0.25">
      <c r="A14875" s="74">
        <v>19667</v>
      </c>
    </row>
    <row r="14876" spans="1:1" x14ac:dyDescent="0.25">
      <c r="A14876" s="74">
        <v>19668</v>
      </c>
    </row>
    <row r="14877" spans="1:1" x14ac:dyDescent="0.25">
      <c r="A14877" s="74">
        <v>19669</v>
      </c>
    </row>
    <row r="14878" spans="1:1" x14ac:dyDescent="0.25">
      <c r="A14878" s="74">
        <v>19670</v>
      </c>
    </row>
    <row r="14879" spans="1:1" x14ac:dyDescent="0.25">
      <c r="A14879" s="74">
        <v>19671</v>
      </c>
    </row>
    <row r="14880" spans="1:1" x14ac:dyDescent="0.25">
      <c r="A14880" s="74">
        <v>19672</v>
      </c>
    </row>
    <row r="14881" spans="1:1" x14ac:dyDescent="0.25">
      <c r="A14881" s="74">
        <v>19673</v>
      </c>
    </row>
    <row r="14882" spans="1:1" x14ac:dyDescent="0.25">
      <c r="A14882" s="74">
        <v>19674</v>
      </c>
    </row>
    <row r="14883" spans="1:1" x14ac:dyDescent="0.25">
      <c r="A14883" s="74">
        <v>19675</v>
      </c>
    </row>
    <row r="14884" spans="1:1" x14ac:dyDescent="0.25">
      <c r="A14884" s="74">
        <v>19676</v>
      </c>
    </row>
    <row r="14885" spans="1:1" x14ac:dyDescent="0.25">
      <c r="A14885" s="74">
        <v>19677</v>
      </c>
    </row>
    <row r="14886" spans="1:1" x14ac:dyDescent="0.25">
      <c r="A14886" s="74">
        <v>19678</v>
      </c>
    </row>
    <row r="14887" spans="1:1" x14ac:dyDescent="0.25">
      <c r="A14887" s="74">
        <v>19679</v>
      </c>
    </row>
    <row r="14888" spans="1:1" x14ac:dyDescent="0.25">
      <c r="A14888" s="74">
        <v>19680</v>
      </c>
    </row>
    <row r="14889" spans="1:1" x14ac:dyDescent="0.25">
      <c r="A14889" s="74">
        <v>19681</v>
      </c>
    </row>
    <row r="14890" spans="1:1" x14ac:dyDescent="0.25">
      <c r="A14890" s="74">
        <v>19682</v>
      </c>
    </row>
    <row r="14891" spans="1:1" x14ac:dyDescent="0.25">
      <c r="A14891" s="74">
        <v>19683</v>
      </c>
    </row>
    <row r="14892" spans="1:1" x14ac:dyDescent="0.25">
      <c r="A14892" s="74">
        <v>19684</v>
      </c>
    </row>
    <row r="14893" spans="1:1" x14ac:dyDescent="0.25">
      <c r="A14893" s="74">
        <v>19685</v>
      </c>
    </row>
    <row r="14894" spans="1:1" x14ac:dyDescent="0.25">
      <c r="A14894" s="74">
        <v>19686</v>
      </c>
    </row>
    <row r="14895" spans="1:1" x14ac:dyDescent="0.25">
      <c r="A14895" s="74">
        <v>19687</v>
      </c>
    </row>
    <row r="14896" spans="1:1" x14ac:dyDescent="0.25">
      <c r="A14896" s="74">
        <v>19688</v>
      </c>
    </row>
    <row r="14897" spans="1:1" x14ac:dyDescent="0.25">
      <c r="A14897" s="74">
        <v>19689</v>
      </c>
    </row>
    <row r="14898" spans="1:1" x14ac:dyDescent="0.25">
      <c r="A14898" s="74">
        <v>19690</v>
      </c>
    </row>
    <row r="14899" spans="1:1" x14ac:dyDescent="0.25">
      <c r="A14899" s="74">
        <v>19691</v>
      </c>
    </row>
    <row r="14900" spans="1:1" x14ac:dyDescent="0.25">
      <c r="A14900" s="74">
        <v>19692</v>
      </c>
    </row>
    <row r="14901" spans="1:1" x14ac:dyDescent="0.25">
      <c r="A14901" s="74">
        <v>19693</v>
      </c>
    </row>
    <row r="14902" spans="1:1" x14ac:dyDescent="0.25">
      <c r="A14902" s="74">
        <v>19694</v>
      </c>
    </row>
    <row r="14903" spans="1:1" x14ac:dyDescent="0.25">
      <c r="A14903" s="74">
        <v>19695</v>
      </c>
    </row>
    <row r="14904" spans="1:1" x14ac:dyDescent="0.25">
      <c r="A14904" s="74">
        <v>19696</v>
      </c>
    </row>
    <row r="14905" spans="1:1" x14ac:dyDescent="0.25">
      <c r="A14905" s="74">
        <v>19697</v>
      </c>
    </row>
    <row r="14906" spans="1:1" x14ac:dyDescent="0.25">
      <c r="A14906" s="74">
        <v>19698</v>
      </c>
    </row>
    <row r="14907" spans="1:1" x14ac:dyDescent="0.25">
      <c r="A14907" s="74">
        <v>19699</v>
      </c>
    </row>
    <row r="14908" spans="1:1" x14ac:dyDescent="0.25">
      <c r="A14908" s="74">
        <v>19700</v>
      </c>
    </row>
    <row r="14909" spans="1:1" x14ac:dyDescent="0.25">
      <c r="A14909" s="74">
        <v>19701</v>
      </c>
    </row>
    <row r="14910" spans="1:1" x14ac:dyDescent="0.25">
      <c r="A14910" s="74">
        <v>19702</v>
      </c>
    </row>
    <row r="14911" spans="1:1" x14ac:dyDescent="0.25">
      <c r="A14911" s="74">
        <v>19703</v>
      </c>
    </row>
    <row r="14912" spans="1:1" x14ac:dyDescent="0.25">
      <c r="A14912" s="74">
        <v>19704</v>
      </c>
    </row>
    <row r="14913" spans="1:1" x14ac:dyDescent="0.25">
      <c r="A14913" s="74">
        <v>19705</v>
      </c>
    </row>
    <row r="14914" spans="1:1" x14ac:dyDescent="0.25">
      <c r="A14914" s="74">
        <v>19706</v>
      </c>
    </row>
    <row r="14915" spans="1:1" x14ac:dyDescent="0.25">
      <c r="A14915" s="74">
        <v>19707</v>
      </c>
    </row>
    <row r="14916" spans="1:1" x14ac:dyDescent="0.25">
      <c r="A14916" s="74">
        <v>19708</v>
      </c>
    </row>
    <row r="14917" spans="1:1" x14ac:dyDescent="0.25">
      <c r="A14917" s="74">
        <v>19709</v>
      </c>
    </row>
    <row r="14918" spans="1:1" x14ac:dyDescent="0.25">
      <c r="A14918" s="74">
        <v>19710</v>
      </c>
    </row>
    <row r="14919" spans="1:1" x14ac:dyDescent="0.25">
      <c r="A14919" s="74">
        <v>19711</v>
      </c>
    </row>
    <row r="14920" spans="1:1" x14ac:dyDescent="0.25">
      <c r="A14920" s="74">
        <v>19712</v>
      </c>
    </row>
    <row r="14921" spans="1:1" x14ac:dyDescent="0.25">
      <c r="A14921" s="74">
        <v>19713</v>
      </c>
    </row>
    <row r="14922" spans="1:1" x14ac:dyDescent="0.25">
      <c r="A14922" s="74">
        <v>19714</v>
      </c>
    </row>
    <row r="14923" spans="1:1" x14ac:dyDescent="0.25">
      <c r="A14923" s="74">
        <v>19715</v>
      </c>
    </row>
    <row r="14924" spans="1:1" x14ac:dyDescent="0.25">
      <c r="A14924" s="74">
        <v>19716</v>
      </c>
    </row>
    <row r="14925" spans="1:1" x14ac:dyDescent="0.25">
      <c r="A14925" s="74">
        <v>19717</v>
      </c>
    </row>
    <row r="14926" spans="1:1" x14ac:dyDescent="0.25">
      <c r="A14926" s="74">
        <v>19718</v>
      </c>
    </row>
    <row r="14927" spans="1:1" x14ac:dyDescent="0.25">
      <c r="A14927" s="74">
        <v>19719</v>
      </c>
    </row>
    <row r="14928" spans="1:1" x14ac:dyDescent="0.25">
      <c r="A14928" s="74">
        <v>19720</v>
      </c>
    </row>
    <row r="14929" spans="1:1" x14ac:dyDescent="0.25">
      <c r="A14929" s="74">
        <v>19721</v>
      </c>
    </row>
    <row r="14930" spans="1:1" x14ac:dyDescent="0.25">
      <c r="A14930" s="74">
        <v>19722</v>
      </c>
    </row>
    <row r="14931" spans="1:1" x14ac:dyDescent="0.25">
      <c r="A14931" s="74">
        <v>19723</v>
      </c>
    </row>
    <row r="14932" spans="1:1" x14ac:dyDescent="0.25">
      <c r="A14932" s="74">
        <v>19724</v>
      </c>
    </row>
    <row r="14933" spans="1:1" x14ac:dyDescent="0.25">
      <c r="A14933" s="74">
        <v>19725</v>
      </c>
    </row>
    <row r="14934" spans="1:1" x14ac:dyDescent="0.25">
      <c r="A14934" s="74">
        <v>19726</v>
      </c>
    </row>
    <row r="14935" spans="1:1" x14ac:dyDescent="0.25">
      <c r="A14935" s="74">
        <v>19727</v>
      </c>
    </row>
    <row r="14936" spans="1:1" x14ac:dyDescent="0.25">
      <c r="A14936" s="74">
        <v>19728</v>
      </c>
    </row>
    <row r="14937" spans="1:1" x14ac:dyDescent="0.25">
      <c r="A14937" s="74">
        <v>19729</v>
      </c>
    </row>
    <row r="14938" spans="1:1" x14ac:dyDescent="0.25">
      <c r="A14938" s="74">
        <v>19730</v>
      </c>
    </row>
    <row r="14939" spans="1:1" x14ac:dyDescent="0.25">
      <c r="A14939" s="74">
        <v>19731</v>
      </c>
    </row>
    <row r="14940" spans="1:1" x14ac:dyDescent="0.25">
      <c r="A14940" s="74">
        <v>19732</v>
      </c>
    </row>
    <row r="14941" spans="1:1" x14ac:dyDescent="0.25">
      <c r="A14941" s="74">
        <v>19733</v>
      </c>
    </row>
    <row r="14942" spans="1:1" x14ac:dyDescent="0.25">
      <c r="A14942" s="74">
        <v>19734</v>
      </c>
    </row>
    <row r="14943" spans="1:1" x14ac:dyDescent="0.25">
      <c r="A14943" s="74">
        <v>19735</v>
      </c>
    </row>
    <row r="14944" spans="1:1" x14ac:dyDescent="0.25">
      <c r="A14944" s="74">
        <v>19736</v>
      </c>
    </row>
    <row r="14945" spans="1:1" x14ac:dyDescent="0.25">
      <c r="A14945" s="74">
        <v>19737</v>
      </c>
    </row>
    <row r="14946" spans="1:1" x14ac:dyDescent="0.25">
      <c r="A14946" s="74">
        <v>19738</v>
      </c>
    </row>
    <row r="14947" spans="1:1" x14ac:dyDescent="0.25">
      <c r="A14947" s="74">
        <v>19739</v>
      </c>
    </row>
    <row r="14948" spans="1:1" x14ac:dyDescent="0.25">
      <c r="A14948" s="74">
        <v>19740</v>
      </c>
    </row>
    <row r="14949" spans="1:1" x14ac:dyDescent="0.25">
      <c r="A14949" s="74">
        <v>19741</v>
      </c>
    </row>
    <row r="14950" spans="1:1" x14ac:dyDescent="0.25">
      <c r="A14950" s="74">
        <v>19742</v>
      </c>
    </row>
    <row r="14951" spans="1:1" x14ac:dyDescent="0.25">
      <c r="A14951" s="74">
        <v>19743</v>
      </c>
    </row>
    <row r="14952" spans="1:1" x14ac:dyDescent="0.25">
      <c r="A14952" s="74">
        <v>19744</v>
      </c>
    </row>
    <row r="14953" spans="1:1" x14ac:dyDescent="0.25">
      <c r="A14953" s="74">
        <v>19745</v>
      </c>
    </row>
    <row r="14954" spans="1:1" x14ac:dyDescent="0.25">
      <c r="A14954" s="74">
        <v>19746</v>
      </c>
    </row>
    <row r="14955" spans="1:1" x14ac:dyDescent="0.25">
      <c r="A14955" s="74">
        <v>19747</v>
      </c>
    </row>
    <row r="14956" spans="1:1" x14ac:dyDescent="0.25">
      <c r="A14956" s="74">
        <v>19748</v>
      </c>
    </row>
    <row r="14957" spans="1:1" x14ac:dyDescent="0.25">
      <c r="A14957" s="74">
        <v>19749</v>
      </c>
    </row>
    <row r="14958" spans="1:1" x14ac:dyDescent="0.25">
      <c r="A14958" s="74">
        <v>19750</v>
      </c>
    </row>
    <row r="14959" spans="1:1" x14ac:dyDescent="0.25">
      <c r="A14959" s="74">
        <v>19751</v>
      </c>
    </row>
    <row r="14960" spans="1:1" x14ac:dyDescent="0.25">
      <c r="A14960" s="74">
        <v>19752</v>
      </c>
    </row>
    <row r="14961" spans="1:1" x14ac:dyDescent="0.25">
      <c r="A14961" s="74">
        <v>19753</v>
      </c>
    </row>
    <row r="14962" spans="1:1" x14ac:dyDescent="0.25">
      <c r="A14962" s="74">
        <v>19754</v>
      </c>
    </row>
    <row r="14963" spans="1:1" x14ac:dyDescent="0.25">
      <c r="A14963" s="74">
        <v>19755</v>
      </c>
    </row>
    <row r="14964" spans="1:1" x14ac:dyDescent="0.25">
      <c r="A14964" s="74">
        <v>19756</v>
      </c>
    </row>
    <row r="14965" spans="1:1" x14ac:dyDescent="0.25">
      <c r="A14965" s="74">
        <v>19757</v>
      </c>
    </row>
    <row r="14966" spans="1:1" x14ac:dyDescent="0.25">
      <c r="A14966" s="74">
        <v>19758</v>
      </c>
    </row>
    <row r="14967" spans="1:1" x14ac:dyDescent="0.25">
      <c r="A14967" s="74">
        <v>19759</v>
      </c>
    </row>
    <row r="14968" spans="1:1" x14ac:dyDescent="0.25">
      <c r="A14968" s="74">
        <v>19760</v>
      </c>
    </row>
    <row r="14969" spans="1:1" x14ac:dyDescent="0.25">
      <c r="A14969" s="74">
        <v>19761</v>
      </c>
    </row>
    <row r="14970" spans="1:1" x14ac:dyDescent="0.25">
      <c r="A14970" s="74">
        <v>19762</v>
      </c>
    </row>
    <row r="14971" spans="1:1" x14ac:dyDescent="0.25">
      <c r="A14971" s="74">
        <v>19763</v>
      </c>
    </row>
    <row r="14972" spans="1:1" x14ac:dyDescent="0.25">
      <c r="A14972" s="74">
        <v>19764</v>
      </c>
    </row>
    <row r="14973" spans="1:1" x14ac:dyDescent="0.25">
      <c r="A14973" s="74">
        <v>19765</v>
      </c>
    </row>
    <row r="14974" spans="1:1" x14ac:dyDescent="0.25">
      <c r="A14974" s="74">
        <v>19766</v>
      </c>
    </row>
    <row r="14975" spans="1:1" x14ac:dyDescent="0.25">
      <c r="A14975" s="74">
        <v>19767</v>
      </c>
    </row>
    <row r="14976" spans="1:1" x14ac:dyDescent="0.25">
      <c r="A14976" s="74">
        <v>19768</v>
      </c>
    </row>
    <row r="14977" spans="1:1" x14ac:dyDescent="0.25">
      <c r="A14977" s="74">
        <v>19769</v>
      </c>
    </row>
    <row r="14978" spans="1:1" x14ac:dyDescent="0.25">
      <c r="A14978" s="74">
        <v>19770</v>
      </c>
    </row>
    <row r="14979" spans="1:1" x14ac:dyDescent="0.25">
      <c r="A14979" s="74">
        <v>19771</v>
      </c>
    </row>
    <row r="14980" spans="1:1" x14ac:dyDescent="0.25">
      <c r="A14980" s="74">
        <v>19772</v>
      </c>
    </row>
    <row r="14981" spans="1:1" x14ac:dyDescent="0.25">
      <c r="A14981" s="74">
        <v>19773</v>
      </c>
    </row>
    <row r="14982" spans="1:1" x14ac:dyDescent="0.25">
      <c r="A14982" s="74">
        <v>19774</v>
      </c>
    </row>
    <row r="14983" spans="1:1" x14ac:dyDescent="0.25">
      <c r="A14983" s="74">
        <v>19775</v>
      </c>
    </row>
    <row r="14984" spans="1:1" x14ac:dyDescent="0.25">
      <c r="A14984" s="74">
        <v>19776</v>
      </c>
    </row>
    <row r="14985" spans="1:1" x14ac:dyDescent="0.25">
      <c r="A14985" s="74">
        <v>19777</v>
      </c>
    </row>
    <row r="14986" spans="1:1" x14ac:dyDescent="0.25">
      <c r="A14986" s="74">
        <v>19778</v>
      </c>
    </row>
    <row r="14987" spans="1:1" x14ac:dyDescent="0.25">
      <c r="A14987" s="74">
        <v>19779</v>
      </c>
    </row>
    <row r="14988" spans="1:1" x14ac:dyDescent="0.25">
      <c r="A14988" s="74">
        <v>19780</v>
      </c>
    </row>
    <row r="14989" spans="1:1" x14ac:dyDescent="0.25">
      <c r="A14989" s="74">
        <v>19781</v>
      </c>
    </row>
    <row r="14990" spans="1:1" x14ac:dyDescent="0.25">
      <c r="A14990" s="74">
        <v>19782</v>
      </c>
    </row>
    <row r="14991" spans="1:1" x14ac:dyDescent="0.25">
      <c r="A14991" s="74">
        <v>19783</v>
      </c>
    </row>
    <row r="14992" spans="1:1" x14ac:dyDescent="0.25">
      <c r="A14992" s="74">
        <v>19784</v>
      </c>
    </row>
    <row r="14993" spans="1:1" x14ac:dyDescent="0.25">
      <c r="A14993" s="74">
        <v>19785</v>
      </c>
    </row>
    <row r="14994" spans="1:1" x14ac:dyDescent="0.25">
      <c r="A14994" s="74">
        <v>19786</v>
      </c>
    </row>
    <row r="14995" spans="1:1" x14ac:dyDescent="0.25">
      <c r="A14995" s="74">
        <v>19787</v>
      </c>
    </row>
    <row r="14996" spans="1:1" x14ac:dyDescent="0.25">
      <c r="A14996" s="74">
        <v>19788</v>
      </c>
    </row>
    <row r="14997" spans="1:1" x14ac:dyDescent="0.25">
      <c r="A14997" s="74">
        <v>19789</v>
      </c>
    </row>
    <row r="14998" spans="1:1" x14ac:dyDescent="0.25">
      <c r="A14998" s="74">
        <v>19790</v>
      </c>
    </row>
    <row r="14999" spans="1:1" x14ac:dyDescent="0.25">
      <c r="A14999" s="74">
        <v>19791</v>
      </c>
    </row>
    <row r="15000" spans="1:1" x14ac:dyDescent="0.25">
      <c r="A15000" s="74">
        <v>19792</v>
      </c>
    </row>
    <row r="15001" spans="1:1" x14ac:dyDescent="0.25">
      <c r="A15001" s="74">
        <v>19793</v>
      </c>
    </row>
    <row r="15002" spans="1:1" x14ac:dyDescent="0.25">
      <c r="A15002" s="74">
        <v>19794</v>
      </c>
    </row>
    <row r="15003" spans="1:1" x14ac:dyDescent="0.25">
      <c r="A15003" s="74">
        <v>19795</v>
      </c>
    </row>
    <row r="15004" spans="1:1" x14ac:dyDescent="0.25">
      <c r="A15004" s="74">
        <v>19796</v>
      </c>
    </row>
    <row r="15005" spans="1:1" x14ac:dyDescent="0.25">
      <c r="A15005" s="74">
        <v>19797</v>
      </c>
    </row>
    <row r="15006" spans="1:1" x14ac:dyDescent="0.25">
      <c r="A15006" s="74">
        <v>19798</v>
      </c>
    </row>
    <row r="15007" spans="1:1" x14ac:dyDescent="0.25">
      <c r="A15007" s="74">
        <v>19799</v>
      </c>
    </row>
    <row r="15008" spans="1:1" x14ac:dyDescent="0.25">
      <c r="A15008" s="74">
        <v>19800</v>
      </c>
    </row>
    <row r="15009" spans="1:1" x14ac:dyDescent="0.25">
      <c r="A15009" s="74">
        <v>19801</v>
      </c>
    </row>
    <row r="15010" spans="1:1" x14ac:dyDescent="0.25">
      <c r="A15010" s="74">
        <v>19802</v>
      </c>
    </row>
    <row r="15011" spans="1:1" x14ac:dyDescent="0.25">
      <c r="A15011" s="74">
        <v>19803</v>
      </c>
    </row>
    <row r="15012" spans="1:1" x14ac:dyDescent="0.25">
      <c r="A15012" s="74">
        <v>19804</v>
      </c>
    </row>
    <row r="15013" spans="1:1" x14ac:dyDescent="0.25">
      <c r="A15013" s="74">
        <v>19805</v>
      </c>
    </row>
    <row r="15014" spans="1:1" x14ac:dyDescent="0.25">
      <c r="A15014" s="74">
        <v>19806</v>
      </c>
    </row>
    <row r="15015" spans="1:1" x14ac:dyDescent="0.25">
      <c r="A15015" s="74">
        <v>19807</v>
      </c>
    </row>
    <row r="15016" spans="1:1" x14ac:dyDescent="0.25">
      <c r="A15016" s="74">
        <v>19808</v>
      </c>
    </row>
    <row r="15017" spans="1:1" x14ac:dyDescent="0.25">
      <c r="A15017" s="74">
        <v>19809</v>
      </c>
    </row>
    <row r="15018" spans="1:1" x14ac:dyDescent="0.25">
      <c r="A15018" s="74">
        <v>19810</v>
      </c>
    </row>
    <row r="15019" spans="1:1" x14ac:dyDescent="0.25">
      <c r="A15019" s="74">
        <v>19811</v>
      </c>
    </row>
    <row r="15020" spans="1:1" x14ac:dyDescent="0.25">
      <c r="A15020" s="74">
        <v>19812</v>
      </c>
    </row>
    <row r="15021" spans="1:1" x14ac:dyDescent="0.25">
      <c r="A15021" s="74">
        <v>19813</v>
      </c>
    </row>
    <row r="15022" spans="1:1" x14ac:dyDescent="0.25">
      <c r="A15022" s="74">
        <v>19814</v>
      </c>
    </row>
    <row r="15023" spans="1:1" x14ac:dyDescent="0.25">
      <c r="A15023" s="74">
        <v>19815</v>
      </c>
    </row>
    <row r="15024" spans="1:1" x14ac:dyDescent="0.25">
      <c r="A15024" s="74">
        <v>19816</v>
      </c>
    </row>
    <row r="15025" spans="1:1" x14ac:dyDescent="0.25">
      <c r="A15025" s="74">
        <v>19817</v>
      </c>
    </row>
    <row r="15026" spans="1:1" x14ac:dyDescent="0.25">
      <c r="A15026" s="74">
        <v>19818</v>
      </c>
    </row>
    <row r="15027" spans="1:1" x14ac:dyDescent="0.25">
      <c r="A15027" s="74">
        <v>19819</v>
      </c>
    </row>
    <row r="15028" spans="1:1" x14ac:dyDescent="0.25">
      <c r="A15028" s="74">
        <v>19820</v>
      </c>
    </row>
    <row r="15029" spans="1:1" x14ac:dyDescent="0.25">
      <c r="A15029" s="74">
        <v>19821</v>
      </c>
    </row>
    <row r="15030" spans="1:1" x14ac:dyDescent="0.25">
      <c r="A15030" s="74">
        <v>19822</v>
      </c>
    </row>
    <row r="15031" spans="1:1" x14ac:dyDescent="0.25">
      <c r="A15031" s="74">
        <v>19823</v>
      </c>
    </row>
    <row r="15032" spans="1:1" x14ac:dyDescent="0.25">
      <c r="A15032" s="74">
        <v>19824</v>
      </c>
    </row>
    <row r="15033" spans="1:1" x14ac:dyDescent="0.25">
      <c r="A15033" s="74">
        <v>19825</v>
      </c>
    </row>
    <row r="15034" spans="1:1" x14ac:dyDescent="0.25">
      <c r="A15034" s="74">
        <v>19826</v>
      </c>
    </row>
    <row r="15035" spans="1:1" x14ac:dyDescent="0.25">
      <c r="A15035" s="74">
        <v>19827</v>
      </c>
    </row>
    <row r="15036" spans="1:1" x14ac:dyDescent="0.25">
      <c r="A15036" s="74">
        <v>19828</v>
      </c>
    </row>
    <row r="15037" spans="1:1" x14ac:dyDescent="0.25">
      <c r="A15037" s="74">
        <v>19829</v>
      </c>
    </row>
    <row r="15038" spans="1:1" x14ac:dyDescent="0.25">
      <c r="A15038" s="74">
        <v>19830</v>
      </c>
    </row>
    <row r="15039" spans="1:1" x14ac:dyDescent="0.25">
      <c r="A15039" s="74">
        <v>19831</v>
      </c>
    </row>
    <row r="15040" spans="1:1" x14ac:dyDescent="0.25">
      <c r="A15040" s="74">
        <v>19832</v>
      </c>
    </row>
    <row r="15041" spans="1:1" x14ac:dyDescent="0.25">
      <c r="A15041" s="74">
        <v>19833</v>
      </c>
    </row>
    <row r="15042" spans="1:1" x14ac:dyDescent="0.25">
      <c r="A15042" s="74">
        <v>19834</v>
      </c>
    </row>
    <row r="15043" spans="1:1" x14ac:dyDescent="0.25">
      <c r="A15043" s="74">
        <v>19835</v>
      </c>
    </row>
    <row r="15044" spans="1:1" x14ac:dyDescent="0.25">
      <c r="A15044" s="74">
        <v>19836</v>
      </c>
    </row>
    <row r="15045" spans="1:1" x14ac:dyDescent="0.25">
      <c r="A15045" s="74">
        <v>19837</v>
      </c>
    </row>
    <row r="15046" spans="1:1" x14ac:dyDescent="0.25">
      <c r="A15046" s="74">
        <v>19838</v>
      </c>
    </row>
    <row r="15047" spans="1:1" x14ac:dyDescent="0.25">
      <c r="A15047" s="74">
        <v>19839</v>
      </c>
    </row>
    <row r="15048" spans="1:1" x14ac:dyDescent="0.25">
      <c r="A15048" s="74">
        <v>19840</v>
      </c>
    </row>
    <row r="15049" spans="1:1" x14ac:dyDescent="0.25">
      <c r="A15049" s="74">
        <v>19841</v>
      </c>
    </row>
    <row r="15050" spans="1:1" x14ac:dyDescent="0.25">
      <c r="A15050" s="74">
        <v>19842</v>
      </c>
    </row>
    <row r="15051" spans="1:1" x14ac:dyDescent="0.25">
      <c r="A15051" s="74">
        <v>19843</v>
      </c>
    </row>
    <row r="15052" spans="1:1" x14ac:dyDescent="0.25">
      <c r="A15052" s="74">
        <v>19844</v>
      </c>
    </row>
    <row r="15053" spans="1:1" x14ac:dyDescent="0.25">
      <c r="A15053" s="74">
        <v>19845</v>
      </c>
    </row>
    <row r="15054" spans="1:1" x14ac:dyDescent="0.25">
      <c r="A15054" s="74">
        <v>19846</v>
      </c>
    </row>
    <row r="15055" spans="1:1" x14ac:dyDescent="0.25">
      <c r="A15055" s="74">
        <v>19847</v>
      </c>
    </row>
    <row r="15056" spans="1:1" x14ac:dyDescent="0.25">
      <c r="A15056" s="74">
        <v>19848</v>
      </c>
    </row>
    <row r="15057" spans="1:1" x14ac:dyDescent="0.25">
      <c r="A15057" s="74">
        <v>19849</v>
      </c>
    </row>
    <row r="15058" spans="1:1" x14ac:dyDescent="0.25">
      <c r="A15058" s="74">
        <v>19850</v>
      </c>
    </row>
    <row r="15059" spans="1:1" x14ac:dyDescent="0.25">
      <c r="A15059" s="74">
        <v>19851</v>
      </c>
    </row>
    <row r="15060" spans="1:1" x14ac:dyDescent="0.25">
      <c r="A15060" s="74">
        <v>19852</v>
      </c>
    </row>
    <row r="15061" spans="1:1" x14ac:dyDescent="0.25">
      <c r="A15061" s="74">
        <v>19853</v>
      </c>
    </row>
    <row r="15062" spans="1:1" x14ac:dyDescent="0.25">
      <c r="A15062" s="74">
        <v>19854</v>
      </c>
    </row>
    <row r="15063" spans="1:1" x14ac:dyDescent="0.25">
      <c r="A15063" s="74">
        <v>19855</v>
      </c>
    </row>
    <row r="15064" spans="1:1" x14ac:dyDescent="0.25">
      <c r="A15064" s="74">
        <v>19856</v>
      </c>
    </row>
    <row r="15065" spans="1:1" x14ac:dyDescent="0.25">
      <c r="A15065" s="74">
        <v>19857</v>
      </c>
    </row>
    <row r="15066" spans="1:1" x14ac:dyDescent="0.25">
      <c r="A15066" s="74">
        <v>19858</v>
      </c>
    </row>
    <row r="15067" spans="1:1" x14ac:dyDescent="0.25">
      <c r="A15067" s="74">
        <v>19859</v>
      </c>
    </row>
    <row r="15068" spans="1:1" x14ac:dyDescent="0.25">
      <c r="A15068" s="74">
        <v>19860</v>
      </c>
    </row>
    <row r="15069" spans="1:1" x14ac:dyDescent="0.25">
      <c r="A15069" s="74">
        <v>19861</v>
      </c>
    </row>
    <row r="15070" spans="1:1" x14ac:dyDescent="0.25">
      <c r="A15070" s="74">
        <v>19862</v>
      </c>
    </row>
    <row r="15071" spans="1:1" x14ac:dyDescent="0.25">
      <c r="A15071" s="74">
        <v>19863</v>
      </c>
    </row>
    <row r="15072" spans="1:1" x14ac:dyDescent="0.25">
      <c r="A15072" s="74">
        <v>19864</v>
      </c>
    </row>
    <row r="15073" spans="1:1" x14ac:dyDescent="0.25">
      <c r="A15073" s="74">
        <v>19865</v>
      </c>
    </row>
    <row r="15074" spans="1:1" x14ac:dyDescent="0.25">
      <c r="A15074" s="74">
        <v>19866</v>
      </c>
    </row>
    <row r="15075" spans="1:1" x14ac:dyDescent="0.25">
      <c r="A15075" s="74">
        <v>19867</v>
      </c>
    </row>
    <row r="15076" spans="1:1" x14ac:dyDescent="0.25">
      <c r="A15076" s="74">
        <v>19868</v>
      </c>
    </row>
    <row r="15077" spans="1:1" x14ac:dyDescent="0.25">
      <c r="A15077" s="74">
        <v>19869</v>
      </c>
    </row>
    <row r="15078" spans="1:1" x14ac:dyDescent="0.25">
      <c r="A15078" s="74">
        <v>19870</v>
      </c>
    </row>
    <row r="15079" spans="1:1" x14ac:dyDescent="0.25">
      <c r="A15079" s="74">
        <v>19871</v>
      </c>
    </row>
    <row r="15080" spans="1:1" x14ac:dyDescent="0.25">
      <c r="A15080" s="74">
        <v>19872</v>
      </c>
    </row>
    <row r="15081" spans="1:1" x14ac:dyDescent="0.25">
      <c r="A15081" s="74">
        <v>19873</v>
      </c>
    </row>
    <row r="15082" spans="1:1" x14ac:dyDescent="0.25">
      <c r="A15082" s="74">
        <v>19874</v>
      </c>
    </row>
    <row r="15083" spans="1:1" x14ac:dyDescent="0.25">
      <c r="A15083" s="74">
        <v>19875</v>
      </c>
    </row>
    <row r="15084" spans="1:1" x14ac:dyDescent="0.25">
      <c r="A15084" s="74">
        <v>19876</v>
      </c>
    </row>
    <row r="15085" spans="1:1" x14ac:dyDescent="0.25">
      <c r="A15085" s="74">
        <v>19877</v>
      </c>
    </row>
    <row r="15086" spans="1:1" x14ac:dyDescent="0.25">
      <c r="A15086" s="74">
        <v>19878</v>
      </c>
    </row>
    <row r="15087" spans="1:1" x14ac:dyDescent="0.25">
      <c r="A15087" s="74">
        <v>19879</v>
      </c>
    </row>
    <row r="15088" spans="1:1" x14ac:dyDescent="0.25">
      <c r="A15088" s="74">
        <v>19880</v>
      </c>
    </row>
    <row r="15089" spans="1:1" x14ac:dyDescent="0.25">
      <c r="A15089" s="74">
        <v>19881</v>
      </c>
    </row>
    <row r="15090" spans="1:1" x14ac:dyDescent="0.25">
      <c r="A15090" s="74">
        <v>19882</v>
      </c>
    </row>
    <row r="15091" spans="1:1" x14ac:dyDescent="0.25">
      <c r="A15091" s="74">
        <v>19883</v>
      </c>
    </row>
    <row r="15092" spans="1:1" x14ac:dyDescent="0.25">
      <c r="A15092" s="74">
        <v>19884</v>
      </c>
    </row>
    <row r="15093" spans="1:1" x14ac:dyDescent="0.25">
      <c r="A15093" s="74">
        <v>19885</v>
      </c>
    </row>
    <row r="15094" spans="1:1" x14ac:dyDescent="0.25">
      <c r="A15094" s="74">
        <v>19886</v>
      </c>
    </row>
    <row r="15095" spans="1:1" x14ac:dyDescent="0.25">
      <c r="A15095" s="74">
        <v>19887</v>
      </c>
    </row>
    <row r="15096" spans="1:1" x14ac:dyDescent="0.25">
      <c r="A15096" s="74">
        <v>19888</v>
      </c>
    </row>
    <row r="15097" spans="1:1" x14ac:dyDescent="0.25">
      <c r="A15097" s="74">
        <v>19889</v>
      </c>
    </row>
    <row r="15098" spans="1:1" x14ac:dyDescent="0.25">
      <c r="A15098" s="74">
        <v>19890</v>
      </c>
    </row>
    <row r="15099" spans="1:1" x14ac:dyDescent="0.25">
      <c r="A15099" s="74">
        <v>19891</v>
      </c>
    </row>
    <row r="15100" spans="1:1" x14ac:dyDescent="0.25">
      <c r="A15100" s="74">
        <v>19892</v>
      </c>
    </row>
    <row r="15101" spans="1:1" x14ac:dyDescent="0.25">
      <c r="A15101" s="74">
        <v>19893</v>
      </c>
    </row>
    <row r="15102" spans="1:1" x14ac:dyDescent="0.25">
      <c r="A15102" s="74">
        <v>19894</v>
      </c>
    </row>
    <row r="15103" spans="1:1" x14ac:dyDescent="0.25">
      <c r="A15103" s="74">
        <v>19895</v>
      </c>
    </row>
    <row r="15104" spans="1:1" x14ac:dyDescent="0.25">
      <c r="A15104" s="74">
        <v>19896</v>
      </c>
    </row>
    <row r="15105" spans="1:1" x14ac:dyDescent="0.25">
      <c r="A15105" s="74">
        <v>19897</v>
      </c>
    </row>
    <row r="15106" spans="1:1" x14ac:dyDescent="0.25">
      <c r="A15106" s="74">
        <v>19898</v>
      </c>
    </row>
    <row r="15107" spans="1:1" x14ac:dyDescent="0.25">
      <c r="A15107" s="74">
        <v>19899</v>
      </c>
    </row>
    <row r="15108" spans="1:1" x14ac:dyDescent="0.25">
      <c r="A15108" s="74">
        <v>19900</v>
      </c>
    </row>
    <row r="15109" spans="1:1" x14ac:dyDescent="0.25">
      <c r="A15109" s="74">
        <v>19901</v>
      </c>
    </row>
    <row r="15110" spans="1:1" x14ac:dyDescent="0.25">
      <c r="A15110" s="74">
        <v>19902</v>
      </c>
    </row>
    <row r="15111" spans="1:1" x14ac:dyDescent="0.25">
      <c r="A15111" s="74">
        <v>19903</v>
      </c>
    </row>
    <row r="15112" spans="1:1" x14ac:dyDescent="0.25">
      <c r="A15112" s="74">
        <v>19904</v>
      </c>
    </row>
    <row r="15113" spans="1:1" x14ac:dyDescent="0.25">
      <c r="A15113" s="74">
        <v>19905</v>
      </c>
    </row>
    <row r="15114" spans="1:1" x14ac:dyDescent="0.25">
      <c r="A15114" s="74">
        <v>19906</v>
      </c>
    </row>
    <row r="15115" spans="1:1" x14ac:dyDescent="0.25">
      <c r="A15115" s="74">
        <v>19907</v>
      </c>
    </row>
    <row r="15116" spans="1:1" x14ac:dyDescent="0.25">
      <c r="A15116" s="74">
        <v>19908</v>
      </c>
    </row>
    <row r="15117" spans="1:1" x14ac:dyDescent="0.25">
      <c r="A15117" s="74">
        <v>19909</v>
      </c>
    </row>
    <row r="15118" spans="1:1" x14ac:dyDescent="0.25">
      <c r="A15118" s="74">
        <v>19910</v>
      </c>
    </row>
    <row r="15119" spans="1:1" x14ac:dyDescent="0.25">
      <c r="A15119" s="74">
        <v>19911</v>
      </c>
    </row>
    <row r="15120" spans="1:1" x14ac:dyDescent="0.25">
      <c r="A15120" s="74">
        <v>19912</v>
      </c>
    </row>
    <row r="15121" spans="1:1" x14ac:dyDescent="0.25">
      <c r="A15121" s="74">
        <v>19913</v>
      </c>
    </row>
    <row r="15122" spans="1:1" x14ac:dyDescent="0.25">
      <c r="A15122" s="74">
        <v>19914</v>
      </c>
    </row>
    <row r="15123" spans="1:1" x14ac:dyDescent="0.25">
      <c r="A15123" s="74">
        <v>19915</v>
      </c>
    </row>
    <row r="15124" spans="1:1" x14ac:dyDescent="0.25">
      <c r="A15124" s="74">
        <v>19916</v>
      </c>
    </row>
    <row r="15125" spans="1:1" x14ac:dyDescent="0.25">
      <c r="A15125" s="74">
        <v>19917</v>
      </c>
    </row>
    <row r="15126" spans="1:1" x14ac:dyDescent="0.25">
      <c r="A15126" s="74">
        <v>19918</v>
      </c>
    </row>
    <row r="15127" spans="1:1" x14ac:dyDescent="0.25">
      <c r="A15127" s="74">
        <v>19919</v>
      </c>
    </row>
    <row r="15128" spans="1:1" x14ac:dyDescent="0.25">
      <c r="A15128" s="74">
        <v>19920</v>
      </c>
    </row>
    <row r="15129" spans="1:1" x14ac:dyDescent="0.25">
      <c r="A15129" s="74">
        <v>19921</v>
      </c>
    </row>
    <row r="15130" spans="1:1" x14ac:dyDescent="0.25">
      <c r="A15130" s="74">
        <v>19922</v>
      </c>
    </row>
    <row r="15131" spans="1:1" x14ac:dyDescent="0.25">
      <c r="A15131" s="74">
        <v>19923</v>
      </c>
    </row>
    <row r="15132" spans="1:1" x14ac:dyDescent="0.25">
      <c r="A15132" s="74">
        <v>19924</v>
      </c>
    </row>
    <row r="15133" spans="1:1" x14ac:dyDescent="0.25">
      <c r="A15133" s="74">
        <v>19925</v>
      </c>
    </row>
    <row r="15134" spans="1:1" x14ac:dyDescent="0.25">
      <c r="A15134" s="74">
        <v>19926</v>
      </c>
    </row>
    <row r="15135" spans="1:1" x14ac:dyDescent="0.25">
      <c r="A15135" s="74">
        <v>19927</v>
      </c>
    </row>
    <row r="15136" spans="1:1" x14ac:dyDescent="0.25">
      <c r="A15136" s="74">
        <v>19928</v>
      </c>
    </row>
    <row r="15137" spans="1:1" x14ac:dyDescent="0.25">
      <c r="A15137" s="74">
        <v>19929</v>
      </c>
    </row>
    <row r="15138" spans="1:1" x14ac:dyDescent="0.25">
      <c r="A15138" s="74">
        <v>19930</v>
      </c>
    </row>
    <row r="15139" spans="1:1" x14ac:dyDescent="0.25">
      <c r="A15139" s="74">
        <v>19931</v>
      </c>
    </row>
    <row r="15140" spans="1:1" x14ac:dyDescent="0.25">
      <c r="A15140" s="74">
        <v>19932</v>
      </c>
    </row>
    <row r="15141" spans="1:1" x14ac:dyDescent="0.25">
      <c r="A15141" s="74">
        <v>19933</v>
      </c>
    </row>
    <row r="15142" spans="1:1" x14ac:dyDescent="0.25">
      <c r="A15142" s="74">
        <v>19934</v>
      </c>
    </row>
    <row r="15143" spans="1:1" x14ac:dyDescent="0.25">
      <c r="A15143" s="74">
        <v>19935</v>
      </c>
    </row>
    <row r="15144" spans="1:1" x14ac:dyDescent="0.25">
      <c r="A15144" s="74">
        <v>19936</v>
      </c>
    </row>
    <row r="15145" spans="1:1" x14ac:dyDescent="0.25">
      <c r="A15145" s="74">
        <v>19937</v>
      </c>
    </row>
    <row r="15146" spans="1:1" x14ac:dyDescent="0.25">
      <c r="A15146" s="74">
        <v>19938</v>
      </c>
    </row>
    <row r="15147" spans="1:1" x14ac:dyDescent="0.25">
      <c r="A15147" s="74">
        <v>19939</v>
      </c>
    </row>
    <row r="15148" spans="1:1" x14ac:dyDescent="0.25">
      <c r="A15148" s="74">
        <v>19940</v>
      </c>
    </row>
    <row r="15149" spans="1:1" x14ac:dyDescent="0.25">
      <c r="A15149" s="74">
        <v>19941</v>
      </c>
    </row>
    <row r="15150" spans="1:1" x14ac:dyDescent="0.25">
      <c r="A15150" s="74">
        <v>19942</v>
      </c>
    </row>
    <row r="15151" spans="1:1" x14ac:dyDescent="0.25">
      <c r="A15151" s="74">
        <v>19943</v>
      </c>
    </row>
    <row r="15152" spans="1:1" x14ac:dyDescent="0.25">
      <c r="A15152" s="74">
        <v>19944</v>
      </c>
    </row>
    <row r="15153" spans="1:1" x14ac:dyDescent="0.25">
      <c r="A15153" s="74">
        <v>19945</v>
      </c>
    </row>
    <row r="15154" spans="1:1" x14ac:dyDescent="0.25">
      <c r="A15154" s="74">
        <v>19946</v>
      </c>
    </row>
    <row r="15155" spans="1:1" x14ac:dyDescent="0.25">
      <c r="A15155" s="74">
        <v>19947</v>
      </c>
    </row>
    <row r="15156" spans="1:1" x14ac:dyDescent="0.25">
      <c r="A15156" s="74">
        <v>19948</v>
      </c>
    </row>
    <row r="15157" spans="1:1" x14ac:dyDescent="0.25">
      <c r="A15157" s="74">
        <v>19949</v>
      </c>
    </row>
    <row r="15158" spans="1:1" x14ac:dyDescent="0.25">
      <c r="A15158" s="74">
        <v>19950</v>
      </c>
    </row>
    <row r="15159" spans="1:1" x14ac:dyDescent="0.25">
      <c r="A15159" s="74">
        <v>19951</v>
      </c>
    </row>
    <row r="15160" spans="1:1" x14ac:dyDescent="0.25">
      <c r="A15160" s="74">
        <v>19952</v>
      </c>
    </row>
    <row r="15161" spans="1:1" x14ac:dyDescent="0.25">
      <c r="A15161" s="74">
        <v>19953</v>
      </c>
    </row>
    <row r="15162" spans="1:1" x14ac:dyDescent="0.25">
      <c r="A15162" s="74">
        <v>19954</v>
      </c>
    </row>
    <row r="15163" spans="1:1" x14ac:dyDescent="0.25">
      <c r="A15163" s="74">
        <v>19955</v>
      </c>
    </row>
    <row r="15164" spans="1:1" x14ac:dyDescent="0.25">
      <c r="A15164" s="74">
        <v>19956</v>
      </c>
    </row>
    <row r="15165" spans="1:1" x14ac:dyDescent="0.25">
      <c r="A15165" s="74">
        <v>19957</v>
      </c>
    </row>
    <row r="15166" spans="1:1" x14ac:dyDescent="0.25">
      <c r="A15166" s="74">
        <v>19958</v>
      </c>
    </row>
    <row r="15167" spans="1:1" x14ac:dyDescent="0.25">
      <c r="A15167" s="74">
        <v>19959</v>
      </c>
    </row>
    <row r="15168" spans="1:1" x14ac:dyDescent="0.25">
      <c r="A15168" s="74">
        <v>19960</v>
      </c>
    </row>
    <row r="15169" spans="1:1" x14ac:dyDescent="0.25">
      <c r="A15169" s="74">
        <v>19961</v>
      </c>
    </row>
    <row r="15170" spans="1:1" x14ac:dyDescent="0.25">
      <c r="A15170" s="74">
        <v>19962</v>
      </c>
    </row>
    <row r="15171" spans="1:1" x14ac:dyDescent="0.25">
      <c r="A15171" s="74">
        <v>19963</v>
      </c>
    </row>
    <row r="15172" spans="1:1" x14ac:dyDescent="0.25">
      <c r="A15172" s="74">
        <v>19964</v>
      </c>
    </row>
    <row r="15173" spans="1:1" x14ac:dyDescent="0.25">
      <c r="A15173" s="74">
        <v>19965</v>
      </c>
    </row>
    <row r="15174" spans="1:1" x14ac:dyDescent="0.25">
      <c r="A15174" s="74">
        <v>19966</v>
      </c>
    </row>
    <row r="15175" spans="1:1" x14ac:dyDescent="0.25">
      <c r="A15175" s="74">
        <v>19967</v>
      </c>
    </row>
    <row r="15176" spans="1:1" x14ac:dyDescent="0.25">
      <c r="A15176" s="74">
        <v>19968</v>
      </c>
    </row>
    <row r="15177" spans="1:1" x14ac:dyDescent="0.25">
      <c r="A15177" s="74">
        <v>19969</v>
      </c>
    </row>
    <row r="15178" spans="1:1" x14ac:dyDescent="0.25">
      <c r="A15178" s="74">
        <v>19970</v>
      </c>
    </row>
    <row r="15179" spans="1:1" x14ac:dyDescent="0.25">
      <c r="A15179" s="74">
        <v>19971</v>
      </c>
    </row>
    <row r="15180" spans="1:1" x14ac:dyDescent="0.25">
      <c r="A15180" s="74">
        <v>19972</v>
      </c>
    </row>
    <row r="15181" spans="1:1" x14ac:dyDescent="0.25">
      <c r="A15181" s="74">
        <v>19973</v>
      </c>
    </row>
    <row r="15182" spans="1:1" x14ac:dyDescent="0.25">
      <c r="A15182" s="74">
        <v>19974</v>
      </c>
    </row>
    <row r="15183" spans="1:1" x14ac:dyDescent="0.25">
      <c r="A15183" s="74">
        <v>19975</v>
      </c>
    </row>
    <row r="15184" spans="1:1" x14ac:dyDescent="0.25">
      <c r="A15184" s="74">
        <v>19976</v>
      </c>
    </row>
    <row r="15185" spans="1:1" x14ac:dyDescent="0.25">
      <c r="A15185" s="74">
        <v>19977</v>
      </c>
    </row>
    <row r="15186" spans="1:1" x14ac:dyDescent="0.25">
      <c r="A15186" s="74">
        <v>19978</v>
      </c>
    </row>
    <row r="15187" spans="1:1" x14ac:dyDescent="0.25">
      <c r="A15187" s="74">
        <v>19979</v>
      </c>
    </row>
    <row r="15188" spans="1:1" x14ac:dyDescent="0.25">
      <c r="A15188" s="74">
        <v>19980</v>
      </c>
    </row>
    <row r="15189" spans="1:1" x14ac:dyDescent="0.25">
      <c r="A15189" s="74">
        <v>19981</v>
      </c>
    </row>
    <row r="15190" spans="1:1" x14ac:dyDescent="0.25">
      <c r="A15190" s="74">
        <v>19982</v>
      </c>
    </row>
    <row r="15191" spans="1:1" x14ac:dyDescent="0.25">
      <c r="A15191" s="74">
        <v>19983</v>
      </c>
    </row>
    <row r="15192" spans="1:1" x14ac:dyDescent="0.25">
      <c r="A15192" s="74">
        <v>19984</v>
      </c>
    </row>
    <row r="15193" spans="1:1" x14ac:dyDescent="0.25">
      <c r="A15193" s="74">
        <v>19985</v>
      </c>
    </row>
    <row r="15194" spans="1:1" x14ac:dyDescent="0.25">
      <c r="A15194" s="74">
        <v>19986</v>
      </c>
    </row>
    <row r="15195" spans="1:1" x14ac:dyDescent="0.25">
      <c r="A15195" s="74">
        <v>19987</v>
      </c>
    </row>
    <row r="15196" spans="1:1" x14ac:dyDescent="0.25">
      <c r="A15196" s="74">
        <v>19988</v>
      </c>
    </row>
    <row r="15197" spans="1:1" x14ac:dyDescent="0.25">
      <c r="A15197" s="74">
        <v>19989</v>
      </c>
    </row>
    <row r="15198" spans="1:1" x14ac:dyDescent="0.25">
      <c r="A15198" s="74">
        <v>19990</v>
      </c>
    </row>
    <row r="15199" spans="1:1" x14ac:dyDescent="0.25">
      <c r="A15199" s="74">
        <v>19991</v>
      </c>
    </row>
    <row r="15200" spans="1:1" x14ac:dyDescent="0.25">
      <c r="A15200" s="74">
        <v>19992</v>
      </c>
    </row>
    <row r="15201" spans="1:1" x14ac:dyDescent="0.25">
      <c r="A15201" s="74">
        <v>19993</v>
      </c>
    </row>
    <row r="15202" spans="1:1" x14ac:dyDescent="0.25">
      <c r="A15202" s="74">
        <v>19994</v>
      </c>
    </row>
    <row r="15203" spans="1:1" x14ac:dyDescent="0.25">
      <c r="A15203" s="74">
        <v>19995</v>
      </c>
    </row>
    <row r="15204" spans="1:1" x14ac:dyDescent="0.25">
      <c r="A15204" s="74">
        <v>19996</v>
      </c>
    </row>
    <row r="15205" spans="1:1" x14ac:dyDescent="0.25">
      <c r="A15205" s="74">
        <v>19997</v>
      </c>
    </row>
    <row r="15206" spans="1:1" x14ac:dyDescent="0.25">
      <c r="A15206" s="74">
        <v>19998</v>
      </c>
    </row>
    <row r="15207" spans="1:1" x14ac:dyDescent="0.25">
      <c r="A15207" s="74">
        <v>19999</v>
      </c>
    </row>
    <row r="15208" spans="1:1" x14ac:dyDescent="0.25">
      <c r="A15208" s="74">
        <v>20000</v>
      </c>
    </row>
    <row r="15209" spans="1:1" x14ac:dyDescent="0.25">
      <c r="A15209" s="74">
        <v>20001</v>
      </c>
    </row>
    <row r="15210" spans="1:1" x14ac:dyDescent="0.25">
      <c r="A15210" s="74">
        <v>20002</v>
      </c>
    </row>
    <row r="15211" spans="1:1" x14ac:dyDescent="0.25">
      <c r="A15211" s="74">
        <v>20003</v>
      </c>
    </row>
    <row r="15212" spans="1:1" x14ac:dyDescent="0.25">
      <c r="A15212" s="74">
        <v>20004</v>
      </c>
    </row>
    <row r="15213" spans="1:1" x14ac:dyDescent="0.25">
      <c r="A15213" s="74">
        <v>20005</v>
      </c>
    </row>
    <row r="15214" spans="1:1" x14ac:dyDescent="0.25">
      <c r="A15214" s="74">
        <v>20006</v>
      </c>
    </row>
    <row r="15215" spans="1:1" x14ac:dyDescent="0.25">
      <c r="A15215" s="74">
        <v>20007</v>
      </c>
    </row>
    <row r="15216" spans="1:1" x14ac:dyDescent="0.25">
      <c r="A15216" s="74">
        <v>20008</v>
      </c>
    </row>
    <row r="15217" spans="1:1" x14ac:dyDescent="0.25">
      <c r="A15217" s="74">
        <v>20009</v>
      </c>
    </row>
    <row r="15218" spans="1:1" x14ac:dyDescent="0.25">
      <c r="A15218" s="74">
        <v>20010</v>
      </c>
    </row>
    <row r="15219" spans="1:1" x14ac:dyDescent="0.25">
      <c r="A15219" s="74">
        <v>20011</v>
      </c>
    </row>
    <row r="15220" spans="1:1" x14ac:dyDescent="0.25">
      <c r="A15220" s="74">
        <v>20012</v>
      </c>
    </row>
    <row r="15221" spans="1:1" x14ac:dyDescent="0.25">
      <c r="A15221" s="74">
        <v>20013</v>
      </c>
    </row>
    <row r="15222" spans="1:1" x14ac:dyDescent="0.25">
      <c r="A15222" s="74">
        <v>20014</v>
      </c>
    </row>
    <row r="15223" spans="1:1" x14ac:dyDescent="0.25">
      <c r="A15223" s="74">
        <v>20015</v>
      </c>
    </row>
    <row r="15224" spans="1:1" x14ac:dyDescent="0.25">
      <c r="A15224" s="74">
        <v>20016</v>
      </c>
    </row>
    <row r="15225" spans="1:1" x14ac:dyDescent="0.25">
      <c r="A15225" s="74">
        <v>20017</v>
      </c>
    </row>
    <row r="15226" spans="1:1" x14ac:dyDescent="0.25">
      <c r="A15226" s="74">
        <v>20018</v>
      </c>
    </row>
    <row r="15227" spans="1:1" x14ac:dyDescent="0.25">
      <c r="A15227" s="74">
        <v>20019</v>
      </c>
    </row>
    <row r="15228" spans="1:1" x14ac:dyDescent="0.25">
      <c r="A15228" s="74">
        <v>20020</v>
      </c>
    </row>
    <row r="15229" spans="1:1" x14ac:dyDescent="0.25">
      <c r="A15229" s="74">
        <v>20021</v>
      </c>
    </row>
    <row r="15230" spans="1:1" x14ac:dyDescent="0.25">
      <c r="A15230" s="74">
        <v>20022</v>
      </c>
    </row>
    <row r="15231" spans="1:1" x14ac:dyDescent="0.25">
      <c r="A15231" s="74">
        <v>20023</v>
      </c>
    </row>
    <row r="15232" spans="1:1" x14ac:dyDescent="0.25">
      <c r="A15232" s="74">
        <v>20024</v>
      </c>
    </row>
    <row r="15233" spans="1:1" x14ac:dyDescent="0.25">
      <c r="A15233" s="74">
        <v>20025</v>
      </c>
    </row>
    <row r="15234" spans="1:1" x14ac:dyDescent="0.25">
      <c r="A15234" s="74">
        <v>20026</v>
      </c>
    </row>
    <row r="15235" spans="1:1" x14ac:dyDescent="0.25">
      <c r="A15235" s="74">
        <v>20027</v>
      </c>
    </row>
    <row r="15236" spans="1:1" x14ac:dyDescent="0.25">
      <c r="A15236" s="74">
        <v>20028</v>
      </c>
    </row>
    <row r="15237" spans="1:1" x14ac:dyDescent="0.25">
      <c r="A15237" s="74">
        <v>20029</v>
      </c>
    </row>
    <row r="15238" spans="1:1" x14ac:dyDescent="0.25">
      <c r="A15238" s="74">
        <v>20030</v>
      </c>
    </row>
    <row r="15239" spans="1:1" x14ac:dyDescent="0.25">
      <c r="A15239" s="74">
        <v>20031</v>
      </c>
    </row>
    <row r="15240" spans="1:1" x14ac:dyDescent="0.25">
      <c r="A15240" s="74">
        <v>20032</v>
      </c>
    </row>
    <row r="15241" spans="1:1" x14ac:dyDescent="0.25">
      <c r="A15241" s="74">
        <v>20033</v>
      </c>
    </row>
    <row r="15242" spans="1:1" x14ac:dyDescent="0.25">
      <c r="A15242" s="74">
        <v>20034</v>
      </c>
    </row>
    <row r="15243" spans="1:1" x14ac:dyDescent="0.25">
      <c r="A15243" s="74">
        <v>20035</v>
      </c>
    </row>
    <row r="15244" spans="1:1" x14ac:dyDescent="0.25">
      <c r="A15244" s="74">
        <v>20036</v>
      </c>
    </row>
    <row r="15245" spans="1:1" x14ac:dyDescent="0.25">
      <c r="A15245" s="74">
        <v>20037</v>
      </c>
    </row>
    <row r="15246" spans="1:1" x14ac:dyDescent="0.25">
      <c r="A15246" s="74">
        <v>20038</v>
      </c>
    </row>
    <row r="15247" spans="1:1" x14ac:dyDescent="0.25">
      <c r="A15247" s="74">
        <v>20039</v>
      </c>
    </row>
    <row r="15248" spans="1:1" x14ac:dyDescent="0.25">
      <c r="A15248" s="74">
        <v>20040</v>
      </c>
    </row>
    <row r="15249" spans="1:1" x14ac:dyDescent="0.25">
      <c r="A15249" s="74">
        <v>20041</v>
      </c>
    </row>
    <row r="15250" spans="1:1" x14ac:dyDescent="0.25">
      <c r="A15250" s="74">
        <v>20042</v>
      </c>
    </row>
    <row r="15251" spans="1:1" x14ac:dyDescent="0.25">
      <c r="A15251" s="74">
        <v>20043</v>
      </c>
    </row>
    <row r="15252" spans="1:1" x14ac:dyDescent="0.25">
      <c r="A15252" s="74">
        <v>20044</v>
      </c>
    </row>
    <row r="15253" spans="1:1" x14ac:dyDescent="0.25">
      <c r="A15253" s="74">
        <v>20045</v>
      </c>
    </row>
    <row r="15254" spans="1:1" x14ac:dyDescent="0.25">
      <c r="A15254" s="74">
        <v>20046</v>
      </c>
    </row>
    <row r="15255" spans="1:1" x14ac:dyDescent="0.25">
      <c r="A15255" s="74">
        <v>20047</v>
      </c>
    </row>
    <row r="15256" spans="1:1" x14ac:dyDescent="0.25">
      <c r="A15256" s="74">
        <v>20048</v>
      </c>
    </row>
    <row r="15257" spans="1:1" x14ac:dyDescent="0.25">
      <c r="A15257" s="74">
        <v>20049</v>
      </c>
    </row>
    <row r="15258" spans="1:1" x14ac:dyDescent="0.25">
      <c r="A15258" s="74">
        <v>20050</v>
      </c>
    </row>
    <row r="15259" spans="1:1" x14ac:dyDescent="0.25">
      <c r="A15259" s="74">
        <v>20051</v>
      </c>
    </row>
    <row r="15260" spans="1:1" x14ac:dyDescent="0.25">
      <c r="A15260" s="74">
        <v>20052</v>
      </c>
    </row>
    <row r="15261" spans="1:1" x14ac:dyDescent="0.25">
      <c r="A15261" s="74">
        <v>20053</v>
      </c>
    </row>
    <row r="15262" spans="1:1" x14ac:dyDescent="0.25">
      <c r="A15262" s="74">
        <v>20054</v>
      </c>
    </row>
    <row r="15263" spans="1:1" x14ac:dyDescent="0.25">
      <c r="A15263" s="74">
        <v>20055</v>
      </c>
    </row>
    <row r="15264" spans="1:1" x14ac:dyDescent="0.25">
      <c r="A15264" s="74">
        <v>20056</v>
      </c>
    </row>
    <row r="15265" spans="1:1" x14ac:dyDescent="0.25">
      <c r="A15265" s="74">
        <v>20057</v>
      </c>
    </row>
    <row r="15266" spans="1:1" x14ac:dyDescent="0.25">
      <c r="A15266" s="74">
        <v>20058</v>
      </c>
    </row>
    <row r="15267" spans="1:1" x14ac:dyDescent="0.25">
      <c r="A15267" s="74">
        <v>20059</v>
      </c>
    </row>
    <row r="15268" spans="1:1" x14ac:dyDescent="0.25">
      <c r="A15268" s="74">
        <v>20060</v>
      </c>
    </row>
    <row r="15269" spans="1:1" x14ac:dyDescent="0.25">
      <c r="A15269" s="74">
        <v>20061</v>
      </c>
    </row>
    <row r="15270" spans="1:1" x14ac:dyDescent="0.25">
      <c r="A15270" s="74">
        <v>20062</v>
      </c>
    </row>
    <row r="15271" spans="1:1" x14ac:dyDescent="0.25">
      <c r="A15271" s="74">
        <v>20063</v>
      </c>
    </row>
    <row r="15272" spans="1:1" x14ac:dyDescent="0.25">
      <c r="A15272" s="74">
        <v>20064</v>
      </c>
    </row>
    <row r="15273" spans="1:1" x14ac:dyDescent="0.25">
      <c r="A15273" s="74">
        <v>20065</v>
      </c>
    </row>
    <row r="15274" spans="1:1" x14ac:dyDescent="0.25">
      <c r="A15274" s="74">
        <v>20066</v>
      </c>
    </row>
    <row r="15275" spans="1:1" x14ac:dyDescent="0.25">
      <c r="A15275" s="74">
        <v>20067</v>
      </c>
    </row>
    <row r="15276" spans="1:1" x14ac:dyDescent="0.25">
      <c r="A15276" s="74">
        <v>20068</v>
      </c>
    </row>
    <row r="15277" spans="1:1" x14ac:dyDescent="0.25">
      <c r="A15277" s="74">
        <v>20069</v>
      </c>
    </row>
    <row r="15278" spans="1:1" x14ac:dyDescent="0.25">
      <c r="A15278" s="74">
        <v>20070</v>
      </c>
    </row>
    <row r="15279" spans="1:1" x14ac:dyDescent="0.25">
      <c r="A15279" s="74">
        <v>20071</v>
      </c>
    </row>
    <row r="15280" spans="1:1" x14ac:dyDescent="0.25">
      <c r="A15280" s="74">
        <v>20072</v>
      </c>
    </row>
    <row r="15281" spans="1:1" x14ac:dyDescent="0.25">
      <c r="A15281" s="74">
        <v>20073</v>
      </c>
    </row>
    <row r="15282" spans="1:1" x14ac:dyDescent="0.25">
      <c r="A15282" s="74">
        <v>20074</v>
      </c>
    </row>
    <row r="15283" spans="1:1" x14ac:dyDescent="0.25">
      <c r="A15283" s="74">
        <v>20075</v>
      </c>
    </row>
    <row r="15284" spans="1:1" x14ac:dyDescent="0.25">
      <c r="A15284" s="74">
        <v>20076</v>
      </c>
    </row>
    <row r="15285" spans="1:1" x14ac:dyDescent="0.25">
      <c r="A15285" s="74">
        <v>20077</v>
      </c>
    </row>
    <row r="15286" spans="1:1" x14ac:dyDescent="0.25">
      <c r="A15286" s="74">
        <v>20078</v>
      </c>
    </row>
    <row r="15287" spans="1:1" x14ac:dyDescent="0.25">
      <c r="A15287" s="74">
        <v>20079</v>
      </c>
    </row>
    <row r="15288" spans="1:1" x14ac:dyDescent="0.25">
      <c r="A15288" s="74">
        <v>20080</v>
      </c>
    </row>
    <row r="15289" spans="1:1" x14ac:dyDescent="0.25">
      <c r="A15289" s="74">
        <v>20081</v>
      </c>
    </row>
    <row r="15290" spans="1:1" x14ac:dyDescent="0.25">
      <c r="A15290" s="74">
        <v>20082</v>
      </c>
    </row>
    <row r="15291" spans="1:1" x14ac:dyDescent="0.25">
      <c r="A15291" s="74">
        <v>20083</v>
      </c>
    </row>
    <row r="15292" spans="1:1" x14ac:dyDescent="0.25">
      <c r="A15292" s="74">
        <v>20084</v>
      </c>
    </row>
    <row r="15293" spans="1:1" x14ac:dyDescent="0.25">
      <c r="A15293" s="74">
        <v>20085</v>
      </c>
    </row>
    <row r="15294" spans="1:1" x14ac:dyDescent="0.25">
      <c r="A15294" s="74">
        <v>20086</v>
      </c>
    </row>
    <row r="15295" spans="1:1" x14ac:dyDescent="0.25">
      <c r="A15295" s="74">
        <v>20087</v>
      </c>
    </row>
    <row r="15296" spans="1:1" x14ac:dyDescent="0.25">
      <c r="A15296" s="74">
        <v>20088</v>
      </c>
    </row>
    <row r="15297" spans="1:1" x14ac:dyDescent="0.25">
      <c r="A15297" s="74">
        <v>20089</v>
      </c>
    </row>
    <row r="15298" spans="1:1" x14ac:dyDescent="0.25">
      <c r="A15298" s="74">
        <v>20090</v>
      </c>
    </row>
    <row r="15299" spans="1:1" x14ac:dyDescent="0.25">
      <c r="A15299" s="74">
        <v>20091</v>
      </c>
    </row>
    <row r="15300" spans="1:1" x14ac:dyDescent="0.25">
      <c r="A15300" s="74">
        <v>20092</v>
      </c>
    </row>
    <row r="15301" spans="1:1" x14ac:dyDescent="0.25">
      <c r="A15301" s="74">
        <v>20093</v>
      </c>
    </row>
    <row r="15302" spans="1:1" x14ac:dyDescent="0.25">
      <c r="A15302" s="74">
        <v>20094</v>
      </c>
    </row>
    <row r="15303" spans="1:1" x14ac:dyDescent="0.25">
      <c r="A15303" s="74">
        <v>20095</v>
      </c>
    </row>
    <row r="15304" spans="1:1" x14ac:dyDescent="0.25">
      <c r="A15304" s="74">
        <v>20096</v>
      </c>
    </row>
    <row r="15305" spans="1:1" x14ac:dyDescent="0.25">
      <c r="A15305" s="74">
        <v>20097</v>
      </c>
    </row>
    <row r="15306" spans="1:1" x14ac:dyDescent="0.25">
      <c r="A15306" s="74">
        <v>20098</v>
      </c>
    </row>
    <row r="15307" spans="1:1" x14ac:dyDescent="0.25">
      <c r="A15307" s="74">
        <v>20099</v>
      </c>
    </row>
    <row r="15308" spans="1:1" x14ac:dyDescent="0.25">
      <c r="A15308" s="74">
        <v>20100</v>
      </c>
    </row>
    <row r="15309" spans="1:1" x14ac:dyDescent="0.25">
      <c r="A15309" s="74">
        <v>20101</v>
      </c>
    </row>
    <row r="15310" spans="1:1" x14ac:dyDescent="0.25">
      <c r="A15310" s="74">
        <v>20102</v>
      </c>
    </row>
    <row r="15311" spans="1:1" x14ac:dyDescent="0.25">
      <c r="A15311" s="74">
        <v>20103</v>
      </c>
    </row>
    <row r="15312" spans="1:1" x14ac:dyDescent="0.25">
      <c r="A15312" s="74">
        <v>20104</v>
      </c>
    </row>
    <row r="15313" spans="1:1" x14ac:dyDescent="0.25">
      <c r="A15313" s="74">
        <v>20105</v>
      </c>
    </row>
    <row r="15314" spans="1:1" x14ac:dyDescent="0.25">
      <c r="A15314" s="74">
        <v>20106</v>
      </c>
    </row>
    <row r="15315" spans="1:1" x14ac:dyDescent="0.25">
      <c r="A15315" s="74">
        <v>20107</v>
      </c>
    </row>
    <row r="15316" spans="1:1" x14ac:dyDescent="0.25">
      <c r="A15316" s="74">
        <v>20108</v>
      </c>
    </row>
    <row r="15317" spans="1:1" x14ac:dyDescent="0.25">
      <c r="A15317" s="74">
        <v>20109</v>
      </c>
    </row>
    <row r="15318" spans="1:1" x14ac:dyDescent="0.25">
      <c r="A15318" s="74">
        <v>20110</v>
      </c>
    </row>
    <row r="15319" spans="1:1" x14ac:dyDescent="0.25">
      <c r="A15319" s="74">
        <v>20111</v>
      </c>
    </row>
    <row r="15320" spans="1:1" x14ac:dyDescent="0.25">
      <c r="A15320" s="74">
        <v>20112</v>
      </c>
    </row>
    <row r="15321" spans="1:1" x14ac:dyDescent="0.25">
      <c r="A15321" s="74">
        <v>20113</v>
      </c>
    </row>
    <row r="15322" spans="1:1" x14ac:dyDescent="0.25">
      <c r="A15322" s="74">
        <v>20114</v>
      </c>
    </row>
    <row r="15323" spans="1:1" x14ac:dyDescent="0.25">
      <c r="A15323" s="74">
        <v>20115</v>
      </c>
    </row>
    <row r="15324" spans="1:1" x14ac:dyDescent="0.25">
      <c r="A15324" s="74">
        <v>20116</v>
      </c>
    </row>
    <row r="15325" spans="1:1" x14ac:dyDescent="0.25">
      <c r="A15325" s="74">
        <v>20117</v>
      </c>
    </row>
    <row r="15326" spans="1:1" x14ac:dyDescent="0.25">
      <c r="A15326" s="74">
        <v>20118</v>
      </c>
    </row>
    <row r="15327" spans="1:1" x14ac:dyDescent="0.25">
      <c r="A15327" s="74">
        <v>20119</v>
      </c>
    </row>
    <row r="15328" spans="1:1" x14ac:dyDescent="0.25">
      <c r="A15328" s="74">
        <v>20120</v>
      </c>
    </row>
    <row r="15329" spans="1:1" x14ac:dyDescent="0.25">
      <c r="A15329" s="74">
        <v>20121</v>
      </c>
    </row>
    <row r="15330" spans="1:1" x14ac:dyDescent="0.25">
      <c r="A15330" s="74">
        <v>20122</v>
      </c>
    </row>
    <row r="15331" spans="1:1" x14ac:dyDescent="0.25">
      <c r="A15331" s="74">
        <v>20123</v>
      </c>
    </row>
    <row r="15332" spans="1:1" x14ac:dyDescent="0.25">
      <c r="A15332" s="74">
        <v>20124</v>
      </c>
    </row>
    <row r="15333" spans="1:1" x14ac:dyDescent="0.25">
      <c r="A15333" s="74">
        <v>20125</v>
      </c>
    </row>
    <row r="15334" spans="1:1" x14ac:dyDescent="0.25">
      <c r="A15334" s="74">
        <v>20126</v>
      </c>
    </row>
    <row r="15335" spans="1:1" x14ac:dyDescent="0.25">
      <c r="A15335" s="74">
        <v>20127</v>
      </c>
    </row>
    <row r="15336" spans="1:1" x14ac:dyDescent="0.25">
      <c r="A15336" s="74">
        <v>20128</v>
      </c>
    </row>
    <row r="15337" spans="1:1" x14ac:dyDescent="0.25">
      <c r="A15337" s="74">
        <v>20129</v>
      </c>
    </row>
    <row r="15338" spans="1:1" x14ac:dyDescent="0.25">
      <c r="A15338" s="74">
        <v>20130</v>
      </c>
    </row>
    <row r="15339" spans="1:1" x14ac:dyDescent="0.25">
      <c r="A15339" s="74">
        <v>20131</v>
      </c>
    </row>
    <row r="15340" spans="1:1" x14ac:dyDescent="0.25">
      <c r="A15340" s="74">
        <v>20132</v>
      </c>
    </row>
    <row r="15341" spans="1:1" x14ac:dyDescent="0.25">
      <c r="A15341" s="74">
        <v>20133</v>
      </c>
    </row>
    <row r="15342" spans="1:1" x14ac:dyDescent="0.25">
      <c r="A15342" s="74">
        <v>20134</v>
      </c>
    </row>
    <row r="15343" spans="1:1" x14ac:dyDescent="0.25">
      <c r="A15343" s="74">
        <v>20135</v>
      </c>
    </row>
    <row r="15344" spans="1:1" x14ac:dyDescent="0.25">
      <c r="A15344" s="74">
        <v>20136</v>
      </c>
    </row>
    <row r="15345" spans="1:1" x14ac:dyDescent="0.25">
      <c r="A15345" s="74">
        <v>20137</v>
      </c>
    </row>
    <row r="15346" spans="1:1" x14ac:dyDescent="0.25">
      <c r="A15346" s="74">
        <v>20138</v>
      </c>
    </row>
    <row r="15347" spans="1:1" x14ac:dyDescent="0.25">
      <c r="A15347" s="74">
        <v>20139</v>
      </c>
    </row>
    <row r="15348" spans="1:1" x14ac:dyDescent="0.25">
      <c r="A15348" s="74">
        <v>20140</v>
      </c>
    </row>
    <row r="15349" spans="1:1" x14ac:dyDescent="0.25">
      <c r="A15349" s="74">
        <v>20141</v>
      </c>
    </row>
    <row r="15350" spans="1:1" x14ac:dyDescent="0.25">
      <c r="A15350" s="74">
        <v>20142</v>
      </c>
    </row>
    <row r="15351" spans="1:1" x14ac:dyDescent="0.25">
      <c r="A15351" s="74">
        <v>20143</v>
      </c>
    </row>
    <row r="15352" spans="1:1" x14ac:dyDescent="0.25">
      <c r="A15352" s="74">
        <v>20144</v>
      </c>
    </row>
    <row r="15353" spans="1:1" x14ac:dyDescent="0.25">
      <c r="A15353" s="74">
        <v>20145</v>
      </c>
    </row>
    <row r="15354" spans="1:1" x14ac:dyDescent="0.25">
      <c r="A15354" s="74">
        <v>20146</v>
      </c>
    </row>
    <row r="15355" spans="1:1" x14ac:dyDescent="0.25">
      <c r="A15355" s="74">
        <v>20147</v>
      </c>
    </row>
    <row r="15356" spans="1:1" x14ac:dyDescent="0.25">
      <c r="A15356" s="74">
        <v>20148</v>
      </c>
    </row>
    <row r="15357" spans="1:1" x14ac:dyDescent="0.25">
      <c r="A15357" s="74">
        <v>20149</v>
      </c>
    </row>
    <row r="15358" spans="1:1" x14ac:dyDescent="0.25">
      <c r="A15358" s="74">
        <v>20150</v>
      </c>
    </row>
    <row r="15359" spans="1:1" x14ac:dyDescent="0.25">
      <c r="A15359" s="74">
        <v>20151</v>
      </c>
    </row>
    <row r="15360" spans="1:1" x14ac:dyDescent="0.25">
      <c r="A15360" s="74">
        <v>20152</v>
      </c>
    </row>
    <row r="15361" spans="1:1" x14ac:dyDescent="0.25">
      <c r="A15361" s="74">
        <v>20153</v>
      </c>
    </row>
    <row r="15362" spans="1:1" x14ac:dyDescent="0.25">
      <c r="A15362" s="74">
        <v>20154</v>
      </c>
    </row>
    <row r="15363" spans="1:1" x14ac:dyDescent="0.25">
      <c r="A15363" s="74">
        <v>20155</v>
      </c>
    </row>
    <row r="15364" spans="1:1" x14ac:dyDescent="0.25">
      <c r="A15364" s="74">
        <v>20156</v>
      </c>
    </row>
    <row r="15365" spans="1:1" x14ac:dyDescent="0.25">
      <c r="A15365" s="74">
        <v>20157</v>
      </c>
    </row>
    <row r="15366" spans="1:1" x14ac:dyDescent="0.25">
      <c r="A15366" s="74">
        <v>20158</v>
      </c>
    </row>
    <row r="15367" spans="1:1" x14ac:dyDescent="0.25">
      <c r="A15367" s="74">
        <v>20159</v>
      </c>
    </row>
    <row r="15368" spans="1:1" x14ac:dyDescent="0.25">
      <c r="A15368" s="74">
        <v>20160</v>
      </c>
    </row>
    <row r="15369" spans="1:1" x14ac:dyDescent="0.25">
      <c r="A15369" s="74">
        <v>20161</v>
      </c>
    </row>
    <row r="15370" spans="1:1" x14ac:dyDescent="0.25">
      <c r="A15370" s="74">
        <v>20162</v>
      </c>
    </row>
    <row r="15371" spans="1:1" x14ac:dyDescent="0.25">
      <c r="A15371" s="74">
        <v>20163</v>
      </c>
    </row>
    <row r="15372" spans="1:1" x14ac:dyDescent="0.25">
      <c r="A15372" s="74">
        <v>20164</v>
      </c>
    </row>
    <row r="15373" spans="1:1" x14ac:dyDescent="0.25">
      <c r="A15373" s="74">
        <v>20165</v>
      </c>
    </row>
    <row r="15374" spans="1:1" x14ac:dyDescent="0.25">
      <c r="A15374" s="74">
        <v>20166</v>
      </c>
    </row>
    <row r="15375" spans="1:1" x14ac:dyDescent="0.25">
      <c r="A15375" s="74">
        <v>20167</v>
      </c>
    </row>
    <row r="15376" spans="1:1" x14ac:dyDescent="0.25">
      <c r="A15376" s="74">
        <v>20168</v>
      </c>
    </row>
    <row r="15377" spans="1:1" x14ac:dyDescent="0.25">
      <c r="A15377" s="74">
        <v>20169</v>
      </c>
    </row>
    <row r="15378" spans="1:1" x14ac:dyDescent="0.25">
      <c r="A15378" s="74">
        <v>20170</v>
      </c>
    </row>
    <row r="15379" spans="1:1" x14ac:dyDescent="0.25">
      <c r="A15379" s="74">
        <v>20171</v>
      </c>
    </row>
    <row r="15380" spans="1:1" x14ac:dyDescent="0.25">
      <c r="A15380" s="74">
        <v>20172</v>
      </c>
    </row>
    <row r="15381" spans="1:1" x14ac:dyDescent="0.25">
      <c r="A15381" s="74">
        <v>20173</v>
      </c>
    </row>
    <row r="15382" spans="1:1" x14ac:dyDescent="0.25">
      <c r="A15382" s="74">
        <v>20174</v>
      </c>
    </row>
    <row r="15383" spans="1:1" x14ac:dyDescent="0.25">
      <c r="A15383" s="74">
        <v>20175</v>
      </c>
    </row>
    <row r="15384" spans="1:1" x14ac:dyDescent="0.25">
      <c r="A15384" s="74">
        <v>20176</v>
      </c>
    </row>
    <row r="15385" spans="1:1" x14ac:dyDescent="0.25">
      <c r="A15385" s="74">
        <v>20177</v>
      </c>
    </row>
    <row r="15386" spans="1:1" x14ac:dyDescent="0.25">
      <c r="A15386" s="74">
        <v>20178</v>
      </c>
    </row>
    <row r="15387" spans="1:1" x14ac:dyDescent="0.25">
      <c r="A15387" s="74">
        <v>20179</v>
      </c>
    </row>
    <row r="15388" spans="1:1" x14ac:dyDescent="0.25">
      <c r="A15388" s="74">
        <v>20180</v>
      </c>
    </row>
    <row r="15389" spans="1:1" x14ac:dyDescent="0.25">
      <c r="A15389" s="74">
        <v>20181</v>
      </c>
    </row>
    <row r="15390" spans="1:1" x14ac:dyDescent="0.25">
      <c r="A15390" s="74">
        <v>20182</v>
      </c>
    </row>
    <row r="15391" spans="1:1" x14ac:dyDescent="0.25">
      <c r="A15391" s="74">
        <v>20183</v>
      </c>
    </row>
    <row r="15392" spans="1:1" x14ac:dyDescent="0.25">
      <c r="A15392" s="74">
        <v>20184</v>
      </c>
    </row>
    <row r="15393" spans="1:1" x14ac:dyDescent="0.25">
      <c r="A15393" s="74">
        <v>20185</v>
      </c>
    </row>
    <row r="15394" spans="1:1" x14ac:dyDescent="0.25">
      <c r="A15394" s="74">
        <v>20186</v>
      </c>
    </row>
    <row r="15395" spans="1:1" x14ac:dyDescent="0.25">
      <c r="A15395" s="74">
        <v>20187</v>
      </c>
    </row>
    <row r="15396" spans="1:1" x14ac:dyDescent="0.25">
      <c r="A15396" s="74">
        <v>20188</v>
      </c>
    </row>
    <row r="15397" spans="1:1" x14ac:dyDescent="0.25">
      <c r="A15397" s="74">
        <v>20189</v>
      </c>
    </row>
    <row r="15398" spans="1:1" x14ac:dyDescent="0.25">
      <c r="A15398" s="74">
        <v>20190</v>
      </c>
    </row>
    <row r="15399" spans="1:1" x14ac:dyDescent="0.25">
      <c r="A15399" s="74">
        <v>20191</v>
      </c>
    </row>
    <row r="15400" spans="1:1" x14ac:dyDescent="0.25">
      <c r="A15400" s="74">
        <v>20192</v>
      </c>
    </row>
    <row r="15401" spans="1:1" x14ac:dyDescent="0.25">
      <c r="A15401" s="74">
        <v>20193</v>
      </c>
    </row>
    <row r="15402" spans="1:1" x14ac:dyDescent="0.25">
      <c r="A15402" s="74">
        <v>20194</v>
      </c>
    </row>
    <row r="15403" spans="1:1" x14ac:dyDescent="0.25">
      <c r="A15403" s="74">
        <v>20195</v>
      </c>
    </row>
    <row r="15404" spans="1:1" x14ac:dyDescent="0.25">
      <c r="A15404" s="74">
        <v>20196</v>
      </c>
    </row>
    <row r="15405" spans="1:1" x14ac:dyDescent="0.25">
      <c r="A15405" s="74">
        <v>20197</v>
      </c>
    </row>
    <row r="15406" spans="1:1" x14ac:dyDescent="0.25">
      <c r="A15406" s="74">
        <v>20198</v>
      </c>
    </row>
    <row r="15407" spans="1:1" x14ac:dyDescent="0.25">
      <c r="A15407" s="74">
        <v>20199</v>
      </c>
    </row>
    <row r="15408" spans="1:1" x14ac:dyDescent="0.25">
      <c r="A15408" s="74">
        <v>20200</v>
      </c>
    </row>
    <row r="15409" spans="1:1" x14ac:dyDescent="0.25">
      <c r="A15409" s="74">
        <v>20201</v>
      </c>
    </row>
    <row r="15410" spans="1:1" x14ac:dyDescent="0.25">
      <c r="A15410" s="74">
        <v>20202</v>
      </c>
    </row>
    <row r="15411" spans="1:1" x14ac:dyDescent="0.25">
      <c r="A15411" s="74">
        <v>20203</v>
      </c>
    </row>
    <row r="15412" spans="1:1" x14ac:dyDescent="0.25">
      <c r="A15412" s="74">
        <v>20204</v>
      </c>
    </row>
    <row r="15413" spans="1:1" x14ac:dyDescent="0.25">
      <c r="A15413" s="74">
        <v>20205</v>
      </c>
    </row>
    <row r="15414" spans="1:1" x14ac:dyDescent="0.25">
      <c r="A15414" s="74">
        <v>20206</v>
      </c>
    </row>
    <row r="15415" spans="1:1" x14ac:dyDescent="0.25">
      <c r="A15415" s="74">
        <v>20207</v>
      </c>
    </row>
    <row r="15416" spans="1:1" x14ac:dyDescent="0.25">
      <c r="A15416" s="74">
        <v>20208</v>
      </c>
    </row>
    <row r="15417" spans="1:1" x14ac:dyDescent="0.25">
      <c r="A15417" s="74">
        <v>20209</v>
      </c>
    </row>
    <row r="15418" spans="1:1" x14ac:dyDescent="0.25">
      <c r="A15418" s="74">
        <v>20210</v>
      </c>
    </row>
    <row r="15419" spans="1:1" x14ac:dyDescent="0.25">
      <c r="A15419" s="74">
        <v>20211</v>
      </c>
    </row>
    <row r="15420" spans="1:1" x14ac:dyDescent="0.25">
      <c r="A15420" s="74">
        <v>20212</v>
      </c>
    </row>
    <row r="15421" spans="1:1" x14ac:dyDescent="0.25">
      <c r="A15421" s="74">
        <v>20213</v>
      </c>
    </row>
    <row r="15422" spans="1:1" x14ac:dyDescent="0.25">
      <c r="A15422" s="74">
        <v>20214</v>
      </c>
    </row>
    <row r="15423" spans="1:1" x14ac:dyDescent="0.25">
      <c r="A15423" s="74">
        <v>20215</v>
      </c>
    </row>
    <row r="15424" spans="1:1" x14ac:dyDescent="0.25">
      <c r="A15424" s="74">
        <v>20216</v>
      </c>
    </row>
    <row r="15425" spans="1:1" x14ac:dyDescent="0.25">
      <c r="A15425" s="74">
        <v>20217</v>
      </c>
    </row>
    <row r="15426" spans="1:1" x14ac:dyDescent="0.25">
      <c r="A15426" s="74">
        <v>20218</v>
      </c>
    </row>
    <row r="15427" spans="1:1" x14ac:dyDescent="0.25">
      <c r="A15427" s="74">
        <v>20219</v>
      </c>
    </row>
    <row r="15428" spans="1:1" x14ac:dyDescent="0.25">
      <c r="A15428" s="74">
        <v>20220</v>
      </c>
    </row>
    <row r="15429" spans="1:1" x14ac:dyDescent="0.25">
      <c r="A15429" s="74">
        <v>20221</v>
      </c>
    </row>
    <row r="15430" spans="1:1" x14ac:dyDescent="0.25">
      <c r="A15430" s="74">
        <v>20222</v>
      </c>
    </row>
    <row r="15431" spans="1:1" x14ac:dyDescent="0.25">
      <c r="A15431" s="74">
        <v>20223</v>
      </c>
    </row>
    <row r="15432" spans="1:1" x14ac:dyDescent="0.25">
      <c r="A15432" s="74">
        <v>20224</v>
      </c>
    </row>
    <row r="15433" spans="1:1" x14ac:dyDescent="0.25">
      <c r="A15433" s="74">
        <v>20225</v>
      </c>
    </row>
    <row r="15434" spans="1:1" x14ac:dyDescent="0.25">
      <c r="A15434" s="74">
        <v>20226</v>
      </c>
    </row>
    <row r="15435" spans="1:1" x14ac:dyDescent="0.25">
      <c r="A15435" s="74">
        <v>20227</v>
      </c>
    </row>
    <row r="15436" spans="1:1" x14ac:dyDescent="0.25">
      <c r="A15436" s="74">
        <v>20228</v>
      </c>
    </row>
    <row r="15437" spans="1:1" x14ac:dyDescent="0.25">
      <c r="A15437" s="74">
        <v>20229</v>
      </c>
    </row>
    <row r="15438" spans="1:1" x14ac:dyDescent="0.25">
      <c r="A15438" s="74">
        <v>20230</v>
      </c>
    </row>
    <row r="15439" spans="1:1" x14ac:dyDescent="0.25">
      <c r="A15439" s="74">
        <v>20231</v>
      </c>
    </row>
    <row r="15440" spans="1:1" x14ac:dyDescent="0.25">
      <c r="A15440" s="74">
        <v>20232</v>
      </c>
    </row>
    <row r="15441" spans="1:1" x14ac:dyDescent="0.25">
      <c r="A15441" s="74">
        <v>20233</v>
      </c>
    </row>
    <row r="15442" spans="1:1" x14ac:dyDescent="0.25">
      <c r="A15442" s="74">
        <v>20234</v>
      </c>
    </row>
    <row r="15443" spans="1:1" x14ac:dyDescent="0.25">
      <c r="A15443" s="74">
        <v>20235</v>
      </c>
    </row>
    <row r="15444" spans="1:1" x14ac:dyDescent="0.25">
      <c r="A15444" s="74">
        <v>20236</v>
      </c>
    </row>
    <row r="15445" spans="1:1" x14ac:dyDescent="0.25">
      <c r="A15445" s="74">
        <v>20237</v>
      </c>
    </row>
    <row r="15446" spans="1:1" x14ac:dyDescent="0.25">
      <c r="A15446" s="74">
        <v>20238</v>
      </c>
    </row>
    <row r="15447" spans="1:1" x14ac:dyDescent="0.25">
      <c r="A15447" s="74">
        <v>20239</v>
      </c>
    </row>
    <row r="15448" spans="1:1" x14ac:dyDescent="0.25">
      <c r="A15448" s="74">
        <v>20240</v>
      </c>
    </row>
    <row r="15449" spans="1:1" x14ac:dyDescent="0.25">
      <c r="A15449" s="74">
        <v>20241</v>
      </c>
    </row>
    <row r="15450" spans="1:1" x14ac:dyDescent="0.25">
      <c r="A15450" s="74">
        <v>20242</v>
      </c>
    </row>
    <row r="15451" spans="1:1" x14ac:dyDescent="0.25">
      <c r="A15451" s="74">
        <v>20243</v>
      </c>
    </row>
    <row r="15452" spans="1:1" x14ac:dyDescent="0.25">
      <c r="A15452" s="74">
        <v>20244</v>
      </c>
    </row>
    <row r="15453" spans="1:1" x14ac:dyDescent="0.25">
      <c r="A15453" s="74">
        <v>20245</v>
      </c>
    </row>
    <row r="15454" spans="1:1" x14ac:dyDescent="0.25">
      <c r="A15454" s="74">
        <v>20246</v>
      </c>
    </row>
    <row r="15455" spans="1:1" x14ac:dyDescent="0.25">
      <c r="A15455" s="74">
        <v>20247</v>
      </c>
    </row>
    <row r="15456" spans="1:1" x14ac:dyDescent="0.25">
      <c r="A15456" s="74">
        <v>20248</v>
      </c>
    </row>
    <row r="15457" spans="1:1" x14ac:dyDescent="0.25">
      <c r="A15457" s="74">
        <v>20249</v>
      </c>
    </row>
    <row r="15458" spans="1:1" x14ac:dyDescent="0.25">
      <c r="A15458" s="74">
        <v>20250</v>
      </c>
    </row>
    <row r="15459" spans="1:1" x14ac:dyDescent="0.25">
      <c r="A15459" s="74">
        <v>20251</v>
      </c>
    </row>
    <row r="15460" spans="1:1" x14ac:dyDescent="0.25">
      <c r="A15460" s="74">
        <v>20252</v>
      </c>
    </row>
    <row r="15461" spans="1:1" x14ac:dyDescent="0.25">
      <c r="A15461" s="74">
        <v>20253</v>
      </c>
    </row>
    <row r="15462" spans="1:1" x14ac:dyDescent="0.25">
      <c r="A15462" s="74">
        <v>20254</v>
      </c>
    </row>
    <row r="15463" spans="1:1" x14ac:dyDescent="0.25">
      <c r="A15463" s="74">
        <v>20255</v>
      </c>
    </row>
    <row r="15464" spans="1:1" x14ac:dyDescent="0.25">
      <c r="A15464" s="74">
        <v>20256</v>
      </c>
    </row>
    <row r="15465" spans="1:1" x14ac:dyDescent="0.25">
      <c r="A15465" s="74">
        <v>20257</v>
      </c>
    </row>
    <row r="15466" spans="1:1" x14ac:dyDescent="0.25">
      <c r="A15466" s="74">
        <v>20258</v>
      </c>
    </row>
    <row r="15467" spans="1:1" x14ac:dyDescent="0.25">
      <c r="A15467" s="74">
        <v>20259</v>
      </c>
    </row>
    <row r="15468" spans="1:1" x14ac:dyDescent="0.25">
      <c r="A15468" s="74">
        <v>20260</v>
      </c>
    </row>
    <row r="15469" spans="1:1" x14ac:dyDescent="0.25">
      <c r="A15469" s="74">
        <v>20261</v>
      </c>
    </row>
    <row r="15470" spans="1:1" x14ac:dyDescent="0.25">
      <c r="A15470" s="74">
        <v>20262</v>
      </c>
    </row>
    <row r="15471" spans="1:1" x14ac:dyDescent="0.25">
      <c r="A15471" s="74">
        <v>20263</v>
      </c>
    </row>
    <row r="15472" spans="1:1" x14ac:dyDescent="0.25">
      <c r="A15472" s="74">
        <v>20264</v>
      </c>
    </row>
    <row r="15473" spans="1:1" x14ac:dyDescent="0.25">
      <c r="A15473" s="74">
        <v>20265</v>
      </c>
    </row>
    <row r="15474" spans="1:1" x14ac:dyDescent="0.25">
      <c r="A15474" s="74">
        <v>20266</v>
      </c>
    </row>
    <row r="15475" spans="1:1" x14ac:dyDescent="0.25">
      <c r="A15475" s="74">
        <v>20267</v>
      </c>
    </row>
    <row r="15476" spans="1:1" x14ac:dyDescent="0.25">
      <c r="A15476" s="74">
        <v>20268</v>
      </c>
    </row>
    <row r="15477" spans="1:1" x14ac:dyDescent="0.25">
      <c r="A15477" s="74">
        <v>20269</v>
      </c>
    </row>
    <row r="15478" spans="1:1" x14ac:dyDescent="0.25">
      <c r="A15478" s="74">
        <v>20270</v>
      </c>
    </row>
    <row r="15479" spans="1:1" x14ac:dyDescent="0.25">
      <c r="A15479" s="74">
        <v>20271</v>
      </c>
    </row>
    <row r="15480" spans="1:1" x14ac:dyDescent="0.25">
      <c r="A15480" s="74">
        <v>20272</v>
      </c>
    </row>
    <row r="15481" spans="1:1" x14ac:dyDescent="0.25">
      <c r="A15481" s="74">
        <v>20273</v>
      </c>
    </row>
    <row r="15482" spans="1:1" x14ac:dyDescent="0.25">
      <c r="A15482" s="74">
        <v>20274</v>
      </c>
    </row>
    <row r="15483" spans="1:1" x14ac:dyDescent="0.25">
      <c r="A15483" s="74">
        <v>20275</v>
      </c>
    </row>
    <row r="15484" spans="1:1" x14ac:dyDescent="0.25">
      <c r="A15484" s="74">
        <v>20276</v>
      </c>
    </row>
    <row r="15485" spans="1:1" x14ac:dyDescent="0.25">
      <c r="A15485" s="74">
        <v>20277</v>
      </c>
    </row>
    <row r="15486" spans="1:1" x14ac:dyDescent="0.25">
      <c r="A15486" s="74">
        <v>20278</v>
      </c>
    </row>
    <row r="15487" spans="1:1" x14ac:dyDescent="0.25">
      <c r="A15487" s="74">
        <v>20279</v>
      </c>
    </row>
    <row r="15488" spans="1:1" x14ac:dyDescent="0.25">
      <c r="A15488" s="74">
        <v>20280</v>
      </c>
    </row>
    <row r="15489" spans="1:1" x14ac:dyDescent="0.25">
      <c r="A15489" s="74">
        <v>20281</v>
      </c>
    </row>
    <row r="15490" spans="1:1" x14ac:dyDescent="0.25">
      <c r="A15490" s="74">
        <v>20282</v>
      </c>
    </row>
    <row r="15491" spans="1:1" x14ac:dyDescent="0.25">
      <c r="A15491" s="74">
        <v>20283</v>
      </c>
    </row>
    <row r="15492" spans="1:1" x14ac:dyDescent="0.25">
      <c r="A15492" s="74">
        <v>20284</v>
      </c>
    </row>
    <row r="15493" spans="1:1" x14ac:dyDescent="0.25">
      <c r="A15493" s="74">
        <v>20285</v>
      </c>
    </row>
    <row r="15494" spans="1:1" x14ac:dyDescent="0.25">
      <c r="A15494" s="74">
        <v>20286</v>
      </c>
    </row>
    <row r="15495" spans="1:1" x14ac:dyDescent="0.25">
      <c r="A15495" s="74">
        <v>20287</v>
      </c>
    </row>
    <row r="15496" spans="1:1" x14ac:dyDescent="0.25">
      <c r="A15496" s="74">
        <v>20288</v>
      </c>
    </row>
    <row r="15497" spans="1:1" x14ac:dyDescent="0.25">
      <c r="A15497" s="74">
        <v>20289</v>
      </c>
    </row>
    <row r="15498" spans="1:1" x14ac:dyDescent="0.25">
      <c r="A15498" s="74">
        <v>20290</v>
      </c>
    </row>
    <row r="15499" spans="1:1" x14ac:dyDescent="0.25">
      <c r="A15499" s="74">
        <v>20291</v>
      </c>
    </row>
    <row r="15500" spans="1:1" x14ac:dyDescent="0.25">
      <c r="A15500" s="74">
        <v>20292</v>
      </c>
    </row>
    <row r="15501" spans="1:1" x14ac:dyDescent="0.25">
      <c r="A15501" s="74">
        <v>20293</v>
      </c>
    </row>
    <row r="15502" spans="1:1" x14ac:dyDescent="0.25">
      <c r="A15502" s="74">
        <v>20294</v>
      </c>
    </row>
    <row r="15503" spans="1:1" x14ac:dyDescent="0.25">
      <c r="A15503" s="74">
        <v>20295</v>
      </c>
    </row>
    <row r="15504" spans="1:1" x14ac:dyDescent="0.25">
      <c r="A15504" s="74">
        <v>20296</v>
      </c>
    </row>
    <row r="15505" spans="1:1" x14ac:dyDescent="0.25">
      <c r="A15505" s="74">
        <v>20297</v>
      </c>
    </row>
    <row r="15506" spans="1:1" x14ac:dyDescent="0.25">
      <c r="A15506" s="74">
        <v>20298</v>
      </c>
    </row>
    <row r="15507" spans="1:1" x14ac:dyDescent="0.25">
      <c r="A15507" s="74">
        <v>20299</v>
      </c>
    </row>
    <row r="15508" spans="1:1" x14ac:dyDescent="0.25">
      <c r="A15508" s="74">
        <v>20300</v>
      </c>
    </row>
    <row r="15509" spans="1:1" x14ac:dyDescent="0.25">
      <c r="A15509" s="74">
        <v>20301</v>
      </c>
    </row>
    <row r="15510" spans="1:1" x14ac:dyDescent="0.25">
      <c r="A15510" s="74">
        <v>20302</v>
      </c>
    </row>
    <row r="15511" spans="1:1" x14ac:dyDescent="0.25">
      <c r="A15511" s="74">
        <v>20303</v>
      </c>
    </row>
    <row r="15512" spans="1:1" x14ac:dyDescent="0.25">
      <c r="A15512" s="74">
        <v>20304</v>
      </c>
    </row>
    <row r="15513" spans="1:1" x14ac:dyDescent="0.25">
      <c r="A15513" s="74">
        <v>20305</v>
      </c>
    </row>
    <row r="15514" spans="1:1" x14ac:dyDescent="0.25">
      <c r="A15514" s="74">
        <v>20306</v>
      </c>
    </row>
    <row r="15515" spans="1:1" x14ac:dyDescent="0.25">
      <c r="A15515" s="74">
        <v>20307</v>
      </c>
    </row>
    <row r="15516" spans="1:1" x14ac:dyDescent="0.25">
      <c r="A15516" s="74">
        <v>20308</v>
      </c>
    </row>
    <row r="15517" spans="1:1" x14ac:dyDescent="0.25">
      <c r="A15517" s="74">
        <v>20309</v>
      </c>
    </row>
    <row r="15518" spans="1:1" x14ac:dyDescent="0.25">
      <c r="A15518" s="74">
        <v>20310</v>
      </c>
    </row>
    <row r="15519" spans="1:1" x14ac:dyDescent="0.25">
      <c r="A15519" s="74">
        <v>20311</v>
      </c>
    </row>
    <row r="15520" spans="1:1" x14ac:dyDescent="0.25">
      <c r="A15520" s="74">
        <v>20312</v>
      </c>
    </row>
    <row r="15521" spans="1:1" x14ac:dyDescent="0.25">
      <c r="A15521" s="74">
        <v>20313</v>
      </c>
    </row>
    <row r="15522" spans="1:1" x14ac:dyDescent="0.25">
      <c r="A15522" s="74">
        <v>20314</v>
      </c>
    </row>
    <row r="15523" spans="1:1" x14ac:dyDescent="0.25">
      <c r="A15523" s="74">
        <v>20315</v>
      </c>
    </row>
    <row r="15524" spans="1:1" x14ac:dyDescent="0.25">
      <c r="A15524" s="74">
        <v>20316</v>
      </c>
    </row>
    <row r="15525" spans="1:1" x14ac:dyDescent="0.25">
      <c r="A15525" s="74">
        <v>20317</v>
      </c>
    </row>
    <row r="15526" spans="1:1" x14ac:dyDescent="0.25">
      <c r="A15526" s="74">
        <v>20318</v>
      </c>
    </row>
    <row r="15527" spans="1:1" x14ac:dyDescent="0.25">
      <c r="A15527" s="74">
        <v>20319</v>
      </c>
    </row>
    <row r="15528" spans="1:1" x14ac:dyDescent="0.25">
      <c r="A15528" s="74">
        <v>20320</v>
      </c>
    </row>
    <row r="15529" spans="1:1" x14ac:dyDescent="0.25">
      <c r="A15529" s="74">
        <v>20321</v>
      </c>
    </row>
    <row r="15530" spans="1:1" x14ac:dyDescent="0.25">
      <c r="A15530" s="74">
        <v>20322</v>
      </c>
    </row>
    <row r="15531" spans="1:1" x14ac:dyDescent="0.25">
      <c r="A15531" s="74">
        <v>20323</v>
      </c>
    </row>
    <row r="15532" spans="1:1" x14ac:dyDescent="0.25">
      <c r="A15532" s="74">
        <v>20324</v>
      </c>
    </row>
    <row r="15533" spans="1:1" x14ac:dyDescent="0.25">
      <c r="A15533" s="74">
        <v>20325</v>
      </c>
    </row>
    <row r="15534" spans="1:1" x14ac:dyDescent="0.25">
      <c r="A15534" s="74">
        <v>20326</v>
      </c>
    </row>
    <row r="15535" spans="1:1" x14ac:dyDescent="0.25">
      <c r="A15535" s="74">
        <v>20327</v>
      </c>
    </row>
    <row r="15536" spans="1:1" x14ac:dyDescent="0.25">
      <c r="A15536" s="74">
        <v>20328</v>
      </c>
    </row>
    <row r="15537" spans="1:1" x14ac:dyDescent="0.25">
      <c r="A15537" s="74">
        <v>20329</v>
      </c>
    </row>
    <row r="15538" spans="1:1" x14ac:dyDescent="0.25">
      <c r="A15538" s="74">
        <v>20330</v>
      </c>
    </row>
    <row r="15539" spans="1:1" x14ac:dyDescent="0.25">
      <c r="A15539" s="74">
        <v>20331</v>
      </c>
    </row>
    <row r="15540" spans="1:1" x14ac:dyDescent="0.25">
      <c r="A15540" s="74">
        <v>20332</v>
      </c>
    </row>
    <row r="15541" spans="1:1" x14ac:dyDescent="0.25">
      <c r="A15541" s="74">
        <v>20333</v>
      </c>
    </row>
    <row r="15542" spans="1:1" x14ac:dyDescent="0.25">
      <c r="A15542" s="74">
        <v>20334</v>
      </c>
    </row>
    <row r="15543" spans="1:1" x14ac:dyDescent="0.25">
      <c r="A15543" s="74">
        <v>20335</v>
      </c>
    </row>
    <row r="15544" spans="1:1" x14ac:dyDescent="0.25">
      <c r="A15544" s="74">
        <v>20336</v>
      </c>
    </row>
    <row r="15545" spans="1:1" x14ac:dyDescent="0.25">
      <c r="A15545" s="74">
        <v>20337</v>
      </c>
    </row>
    <row r="15546" spans="1:1" x14ac:dyDescent="0.25">
      <c r="A15546" s="74">
        <v>20338</v>
      </c>
    </row>
    <row r="15547" spans="1:1" x14ac:dyDescent="0.25">
      <c r="A15547" s="74">
        <v>20339</v>
      </c>
    </row>
    <row r="15548" spans="1:1" x14ac:dyDescent="0.25">
      <c r="A15548" s="74">
        <v>20340</v>
      </c>
    </row>
    <row r="15549" spans="1:1" x14ac:dyDescent="0.25">
      <c r="A15549" s="74">
        <v>20341</v>
      </c>
    </row>
    <row r="15550" spans="1:1" x14ac:dyDescent="0.25">
      <c r="A15550" s="74">
        <v>20342</v>
      </c>
    </row>
    <row r="15551" spans="1:1" x14ac:dyDescent="0.25">
      <c r="A15551" s="74">
        <v>20343</v>
      </c>
    </row>
    <row r="15552" spans="1:1" x14ac:dyDescent="0.25">
      <c r="A15552" s="74">
        <v>20344</v>
      </c>
    </row>
    <row r="15553" spans="1:1" x14ac:dyDescent="0.25">
      <c r="A15553" s="74">
        <v>20345</v>
      </c>
    </row>
    <row r="15554" spans="1:1" x14ac:dyDescent="0.25">
      <c r="A15554" s="74">
        <v>20346</v>
      </c>
    </row>
    <row r="15555" spans="1:1" x14ac:dyDescent="0.25">
      <c r="A15555" s="74">
        <v>20347</v>
      </c>
    </row>
    <row r="15556" spans="1:1" x14ac:dyDescent="0.25">
      <c r="A15556" s="74">
        <v>20348</v>
      </c>
    </row>
    <row r="15557" spans="1:1" x14ac:dyDescent="0.25">
      <c r="A15557" s="74">
        <v>20349</v>
      </c>
    </row>
    <row r="15558" spans="1:1" x14ac:dyDescent="0.25">
      <c r="A15558" s="74">
        <v>20350</v>
      </c>
    </row>
    <row r="15559" spans="1:1" x14ac:dyDescent="0.25">
      <c r="A15559" s="74">
        <v>20351</v>
      </c>
    </row>
    <row r="15560" spans="1:1" x14ac:dyDescent="0.25">
      <c r="A15560" s="74">
        <v>20352</v>
      </c>
    </row>
    <row r="15561" spans="1:1" x14ac:dyDescent="0.25">
      <c r="A15561" s="74">
        <v>20353</v>
      </c>
    </row>
    <row r="15562" spans="1:1" x14ac:dyDescent="0.25">
      <c r="A15562" s="74">
        <v>20354</v>
      </c>
    </row>
    <row r="15563" spans="1:1" x14ac:dyDescent="0.25">
      <c r="A15563" s="74">
        <v>20355</v>
      </c>
    </row>
    <row r="15564" spans="1:1" x14ac:dyDescent="0.25">
      <c r="A15564" s="74">
        <v>20356</v>
      </c>
    </row>
    <row r="15565" spans="1:1" x14ac:dyDescent="0.25">
      <c r="A15565" s="74">
        <v>20357</v>
      </c>
    </row>
    <row r="15566" spans="1:1" x14ac:dyDescent="0.25">
      <c r="A15566" s="74">
        <v>20358</v>
      </c>
    </row>
    <row r="15567" spans="1:1" x14ac:dyDescent="0.25">
      <c r="A15567" s="74">
        <v>20359</v>
      </c>
    </row>
    <row r="15568" spans="1:1" x14ac:dyDescent="0.25">
      <c r="A15568" s="74">
        <v>20360</v>
      </c>
    </row>
    <row r="15569" spans="1:1" x14ac:dyDescent="0.25">
      <c r="A15569" s="74">
        <v>20361</v>
      </c>
    </row>
    <row r="15570" spans="1:1" x14ac:dyDescent="0.25">
      <c r="A15570" s="74">
        <v>20362</v>
      </c>
    </row>
    <row r="15571" spans="1:1" x14ac:dyDescent="0.25">
      <c r="A15571" s="74">
        <v>20363</v>
      </c>
    </row>
    <row r="15572" spans="1:1" x14ac:dyDescent="0.25">
      <c r="A15572" s="74">
        <v>20364</v>
      </c>
    </row>
    <row r="15573" spans="1:1" x14ac:dyDescent="0.25">
      <c r="A15573" s="74">
        <v>20365</v>
      </c>
    </row>
    <row r="15574" spans="1:1" x14ac:dyDescent="0.25">
      <c r="A15574" s="74">
        <v>20366</v>
      </c>
    </row>
    <row r="15575" spans="1:1" x14ac:dyDescent="0.25">
      <c r="A15575" s="74">
        <v>20367</v>
      </c>
    </row>
    <row r="15576" spans="1:1" x14ac:dyDescent="0.25">
      <c r="A15576" s="74">
        <v>20368</v>
      </c>
    </row>
    <row r="15577" spans="1:1" x14ac:dyDescent="0.25">
      <c r="A15577" s="74">
        <v>20369</v>
      </c>
    </row>
    <row r="15578" spans="1:1" x14ac:dyDescent="0.25">
      <c r="A15578" s="74">
        <v>20370</v>
      </c>
    </row>
    <row r="15579" spans="1:1" x14ac:dyDescent="0.25">
      <c r="A15579" s="74">
        <v>20371</v>
      </c>
    </row>
    <row r="15580" spans="1:1" x14ac:dyDescent="0.25">
      <c r="A15580" s="74">
        <v>20372</v>
      </c>
    </row>
    <row r="15581" spans="1:1" x14ac:dyDescent="0.25">
      <c r="A15581" s="74">
        <v>20373</v>
      </c>
    </row>
    <row r="15582" spans="1:1" x14ac:dyDescent="0.25">
      <c r="A15582" s="74">
        <v>20374</v>
      </c>
    </row>
    <row r="15583" spans="1:1" x14ac:dyDescent="0.25">
      <c r="A15583" s="74">
        <v>20375</v>
      </c>
    </row>
    <row r="15584" spans="1:1" x14ac:dyDescent="0.25">
      <c r="A15584" s="74">
        <v>20376</v>
      </c>
    </row>
    <row r="15585" spans="1:1" x14ac:dyDescent="0.25">
      <c r="A15585" s="74">
        <v>20377</v>
      </c>
    </row>
    <row r="15586" spans="1:1" x14ac:dyDescent="0.25">
      <c r="A15586" s="74">
        <v>20378</v>
      </c>
    </row>
    <row r="15587" spans="1:1" x14ac:dyDescent="0.25">
      <c r="A15587" s="74">
        <v>20379</v>
      </c>
    </row>
    <row r="15588" spans="1:1" x14ac:dyDescent="0.25">
      <c r="A15588" s="74">
        <v>20380</v>
      </c>
    </row>
    <row r="15589" spans="1:1" x14ac:dyDescent="0.25">
      <c r="A15589" s="74">
        <v>20381</v>
      </c>
    </row>
    <row r="15590" spans="1:1" x14ac:dyDescent="0.25">
      <c r="A15590" s="74">
        <v>20382</v>
      </c>
    </row>
    <row r="15591" spans="1:1" x14ac:dyDescent="0.25">
      <c r="A15591" s="74">
        <v>20383</v>
      </c>
    </row>
    <row r="15592" spans="1:1" x14ac:dyDescent="0.25">
      <c r="A15592" s="74">
        <v>20384</v>
      </c>
    </row>
    <row r="15593" spans="1:1" x14ac:dyDescent="0.25">
      <c r="A15593" s="74">
        <v>20385</v>
      </c>
    </row>
    <row r="15594" spans="1:1" x14ac:dyDescent="0.25">
      <c r="A15594" s="74">
        <v>20386</v>
      </c>
    </row>
    <row r="15595" spans="1:1" x14ac:dyDescent="0.25">
      <c r="A15595" s="74">
        <v>20387</v>
      </c>
    </row>
    <row r="15596" spans="1:1" x14ac:dyDescent="0.25">
      <c r="A15596" s="74">
        <v>20388</v>
      </c>
    </row>
    <row r="15597" spans="1:1" x14ac:dyDescent="0.25">
      <c r="A15597" s="74">
        <v>20389</v>
      </c>
    </row>
    <row r="15598" spans="1:1" x14ac:dyDescent="0.25">
      <c r="A15598" s="74">
        <v>20390</v>
      </c>
    </row>
    <row r="15599" spans="1:1" x14ac:dyDescent="0.25">
      <c r="A15599" s="74">
        <v>20391</v>
      </c>
    </row>
    <row r="15600" spans="1:1" x14ac:dyDescent="0.25">
      <c r="A15600" s="74">
        <v>20392</v>
      </c>
    </row>
    <row r="15601" spans="1:1" x14ac:dyDescent="0.25">
      <c r="A15601" s="74">
        <v>20393</v>
      </c>
    </row>
    <row r="15602" spans="1:1" x14ac:dyDescent="0.25">
      <c r="A15602" s="74">
        <v>20394</v>
      </c>
    </row>
    <row r="15603" spans="1:1" x14ac:dyDescent="0.25">
      <c r="A15603" s="74">
        <v>20395</v>
      </c>
    </row>
    <row r="15604" spans="1:1" x14ac:dyDescent="0.25">
      <c r="A15604" s="74">
        <v>20396</v>
      </c>
    </row>
    <row r="15605" spans="1:1" x14ac:dyDescent="0.25">
      <c r="A15605" s="74">
        <v>20397</v>
      </c>
    </row>
    <row r="15606" spans="1:1" x14ac:dyDescent="0.25">
      <c r="A15606" s="74">
        <v>20398</v>
      </c>
    </row>
    <row r="15607" spans="1:1" x14ac:dyDescent="0.25">
      <c r="A15607" s="74">
        <v>20399</v>
      </c>
    </row>
    <row r="15608" spans="1:1" x14ac:dyDescent="0.25">
      <c r="A15608" s="74">
        <v>20400</v>
      </c>
    </row>
    <row r="15609" spans="1:1" x14ac:dyDescent="0.25">
      <c r="A15609" s="74">
        <v>20401</v>
      </c>
    </row>
    <row r="15610" spans="1:1" x14ac:dyDescent="0.25">
      <c r="A15610" s="74">
        <v>20402</v>
      </c>
    </row>
    <row r="15611" spans="1:1" x14ac:dyDescent="0.25">
      <c r="A15611" s="74">
        <v>20403</v>
      </c>
    </row>
    <row r="15612" spans="1:1" x14ac:dyDescent="0.25">
      <c r="A15612" s="74">
        <v>20404</v>
      </c>
    </row>
    <row r="15613" spans="1:1" x14ac:dyDescent="0.25">
      <c r="A15613" s="74">
        <v>20405</v>
      </c>
    </row>
    <row r="15614" spans="1:1" x14ac:dyDescent="0.25">
      <c r="A15614" s="74">
        <v>20406</v>
      </c>
    </row>
    <row r="15615" spans="1:1" x14ac:dyDescent="0.25">
      <c r="A15615" s="74">
        <v>20407</v>
      </c>
    </row>
    <row r="15616" spans="1:1" x14ac:dyDescent="0.25">
      <c r="A15616" s="74">
        <v>20408</v>
      </c>
    </row>
    <row r="15617" spans="1:1" x14ac:dyDescent="0.25">
      <c r="A15617" s="74">
        <v>20409</v>
      </c>
    </row>
    <row r="15618" spans="1:1" x14ac:dyDescent="0.25">
      <c r="A15618" s="74">
        <v>20410</v>
      </c>
    </row>
    <row r="15619" spans="1:1" x14ac:dyDescent="0.25">
      <c r="A15619" s="74">
        <v>20411</v>
      </c>
    </row>
    <row r="15620" spans="1:1" x14ac:dyDescent="0.25">
      <c r="A15620" s="74">
        <v>20412</v>
      </c>
    </row>
    <row r="15621" spans="1:1" x14ac:dyDescent="0.25">
      <c r="A15621" s="74">
        <v>20413</v>
      </c>
    </row>
    <row r="15622" spans="1:1" x14ac:dyDescent="0.25">
      <c r="A15622" s="74">
        <v>20414</v>
      </c>
    </row>
    <row r="15623" spans="1:1" x14ac:dyDescent="0.25">
      <c r="A15623" s="74">
        <v>20415</v>
      </c>
    </row>
    <row r="15624" spans="1:1" x14ac:dyDescent="0.25">
      <c r="A15624" s="74">
        <v>20416</v>
      </c>
    </row>
    <row r="15625" spans="1:1" x14ac:dyDescent="0.25">
      <c r="A15625" s="74">
        <v>20417</v>
      </c>
    </row>
    <row r="15626" spans="1:1" x14ac:dyDescent="0.25">
      <c r="A15626" s="74">
        <v>20418</v>
      </c>
    </row>
    <row r="15627" spans="1:1" x14ac:dyDescent="0.25">
      <c r="A15627" s="74">
        <v>20419</v>
      </c>
    </row>
    <row r="15628" spans="1:1" x14ac:dyDescent="0.25">
      <c r="A15628" s="74">
        <v>20420</v>
      </c>
    </row>
    <row r="15629" spans="1:1" x14ac:dyDescent="0.25">
      <c r="A15629" s="74">
        <v>20421</v>
      </c>
    </row>
    <row r="15630" spans="1:1" x14ac:dyDescent="0.25">
      <c r="A15630" s="74">
        <v>20422</v>
      </c>
    </row>
    <row r="15631" spans="1:1" x14ac:dyDescent="0.25">
      <c r="A15631" s="74">
        <v>20423</v>
      </c>
    </row>
    <row r="15632" spans="1:1" x14ac:dyDescent="0.25">
      <c r="A15632" s="74">
        <v>20424</v>
      </c>
    </row>
    <row r="15633" spans="1:1" x14ac:dyDescent="0.25">
      <c r="A15633" s="74">
        <v>20425</v>
      </c>
    </row>
    <row r="15634" spans="1:1" x14ac:dyDescent="0.25">
      <c r="A15634" s="74">
        <v>20426</v>
      </c>
    </row>
    <row r="15635" spans="1:1" x14ac:dyDescent="0.25">
      <c r="A15635" s="74">
        <v>20427</v>
      </c>
    </row>
    <row r="15636" spans="1:1" x14ac:dyDescent="0.25">
      <c r="A15636" s="74">
        <v>20428</v>
      </c>
    </row>
    <row r="15637" spans="1:1" x14ac:dyDescent="0.25">
      <c r="A15637" s="74">
        <v>20429</v>
      </c>
    </row>
    <row r="15638" spans="1:1" x14ac:dyDescent="0.25">
      <c r="A15638" s="74">
        <v>20430</v>
      </c>
    </row>
    <row r="15639" spans="1:1" x14ac:dyDescent="0.25">
      <c r="A15639" s="74">
        <v>20431</v>
      </c>
    </row>
    <row r="15640" spans="1:1" x14ac:dyDescent="0.25">
      <c r="A15640" s="74">
        <v>20432</v>
      </c>
    </row>
    <row r="15641" spans="1:1" x14ac:dyDescent="0.25">
      <c r="A15641" s="74">
        <v>20433</v>
      </c>
    </row>
    <row r="15642" spans="1:1" x14ac:dyDescent="0.25">
      <c r="A15642" s="74">
        <v>20434</v>
      </c>
    </row>
    <row r="15643" spans="1:1" x14ac:dyDescent="0.25">
      <c r="A15643" s="74">
        <v>20435</v>
      </c>
    </row>
    <row r="15644" spans="1:1" x14ac:dyDescent="0.25">
      <c r="A15644" s="74">
        <v>20436</v>
      </c>
    </row>
    <row r="15645" spans="1:1" x14ac:dyDescent="0.25">
      <c r="A15645" s="74">
        <v>20437</v>
      </c>
    </row>
    <row r="15646" spans="1:1" x14ac:dyDescent="0.25">
      <c r="A15646" s="74">
        <v>20438</v>
      </c>
    </row>
    <row r="15647" spans="1:1" x14ac:dyDescent="0.25">
      <c r="A15647" s="74">
        <v>20439</v>
      </c>
    </row>
    <row r="15648" spans="1:1" x14ac:dyDescent="0.25">
      <c r="A15648" s="74">
        <v>20440</v>
      </c>
    </row>
    <row r="15649" spans="1:1" x14ac:dyDescent="0.25">
      <c r="A15649" s="74">
        <v>20441</v>
      </c>
    </row>
    <row r="15650" spans="1:1" x14ac:dyDescent="0.25">
      <c r="A15650" s="74">
        <v>20442</v>
      </c>
    </row>
    <row r="15651" spans="1:1" x14ac:dyDescent="0.25">
      <c r="A15651" s="74">
        <v>20443</v>
      </c>
    </row>
    <row r="15652" spans="1:1" x14ac:dyDescent="0.25">
      <c r="A15652" s="74">
        <v>20444</v>
      </c>
    </row>
    <row r="15653" spans="1:1" x14ac:dyDescent="0.25">
      <c r="A15653" s="74">
        <v>20445</v>
      </c>
    </row>
    <row r="15654" spans="1:1" x14ac:dyDescent="0.25">
      <c r="A15654" s="74">
        <v>20446</v>
      </c>
    </row>
    <row r="15655" spans="1:1" x14ac:dyDescent="0.25">
      <c r="A15655" s="74">
        <v>20447</v>
      </c>
    </row>
    <row r="15656" spans="1:1" x14ac:dyDescent="0.25">
      <c r="A15656" s="74">
        <v>20448</v>
      </c>
    </row>
    <row r="15657" spans="1:1" x14ac:dyDescent="0.25">
      <c r="A15657" s="74">
        <v>20449</v>
      </c>
    </row>
    <row r="15658" spans="1:1" x14ac:dyDescent="0.25">
      <c r="A15658" s="74">
        <v>20450</v>
      </c>
    </row>
    <row r="15659" spans="1:1" x14ac:dyDescent="0.25">
      <c r="A15659" s="74">
        <v>20451</v>
      </c>
    </row>
    <row r="15660" spans="1:1" x14ac:dyDescent="0.25">
      <c r="A15660" s="74">
        <v>20452</v>
      </c>
    </row>
    <row r="15661" spans="1:1" x14ac:dyDescent="0.25">
      <c r="A15661" s="74">
        <v>20453</v>
      </c>
    </row>
    <row r="15662" spans="1:1" x14ac:dyDescent="0.25">
      <c r="A15662" s="74">
        <v>20454</v>
      </c>
    </row>
    <row r="15663" spans="1:1" x14ac:dyDescent="0.25">
      <c r="A15663" s="74">
        <v>20455</v>
      </c>
    </row>
    <row r="15664" spans="1:1" x14ac:dyDescent="0.25">
      <c r="A15664" s="74">
        <v>20456</v>
      </c>
    </row>
    <row r="15665" spans="1:1" x14ac:dyDescent="0.25">
      <c r="A15665" s="74">
        <v>20457</v>
      </c>
    </row>
    <row r="15666" spans="1:1" x14ac:dyDescent="0.25">
      <c r="A15666" s="74">
        <v>20458</v>
      </c>
    </row>
    <row r="15667" spans="1:1" x14ac:dyDescent="0.25">
      <c r="A15667" s="74">
        <v>20459</v>
      </c>
    </row>
    <row r="15668" spans="1:1" x14ac:dyDescent="0.25">
      <c r="A15668" s="74">
        <v>20460</v>
      </c>
    </row>
    <row r="15669" spans="1:1" x14ac:dyDescent="0.25">
      <c r="A15669" s="74">
        <v>20461</v>
      </c>
    </row>
    <row r="15670" spans="1:1" x14ac:dyDescent="0.25">
      <c r="A15670" s="74">
        <v>20462</v>
      </c>
    </row>
    <row r="15671" spans="1:1" x14ac:dyDescent="0.25">
      <c r="A15671" s="74">
        <v>20463</v>
      </c>
    </row>
    <row r="15672" spans="1:1" x14ac:dyDescent="0.25">
      <c r="A15672" s="74">
        <v>20464</v>
      </c>
    </row>
    <row r="15673" spans="1:1" x14ac:dyDescent="0.25">
      <c r="A15673" s="74">
        <v>20465</v>
      </c>
    </row>
    <row r="15674" spans="1:1" x14ac:dyDescent="0.25">
      <c r="A15674" s="74">
        <v>20466</v>
      </c>
    </row>
    <row r="15675" spans="1:1" x14ac:dyDescent="0.25">
      <c r="A15675" s="74">
        <v>20467</v>
      </c>
    </row>
    <row r="15676" spans="1:1" x14ac:dyDescent="0.25">
      <c r="A15676" s="74">
        <v>20468</v>
      </c>
    </row>
    <row r="15677" spans="1:1" x14ac:dyDescent="0.25">
      <c r="A15677" s="74">
        <v>20469</v>
      </c>
    </row>
    <row r="15678" spans="1:1" x14ac:dyDescent="0.25">
      <c r="A15678" s="74">
        <v>20470</v>
      </c>
    </row>
    <row r="15679" spans="1:1" x14ac:dyDescent="0.25">
      <c r="A15679" s="74">
        <v>20471</v>
      </c>
    </row>
    <row r="15680" spans="1:1" x14ac:dyDescent="0.25">
      <c r="A15680" s="74">
        <v>20472</v>
      </c>
    </row>
    <row r="15681" spans="1:1" x14ac:dyDescent="0.25">
      <c r="A15681" s="74">
        <v>20473</v>
      </c>
    </row>
    <row r="15682" spans="1:1" x14ac:dyDescent="0.25">
      <c r="A15682" s="74">
        <v>20474</v>
      </c>
    </row>
    <row r="15683" spans="1:1" x14ac:dyDescent="0.25">
      <c r="A15683" s="74">
        <v>20475</v>
      </c>
    </row>
    <row r="15684" spans="1:1" x14ac:dyDescent="0.25">
      <c r="A15684" s="74">
        <v>20476</v>
      </c>
    </row>
    <row r="15685" spans="1:1" x14ac:dyDescent="0.25">
      <c r="A15685" s="74">
        <v>20477</v>
      </c>
    </row>
    <row r="15686" spans="1:1" x14ac:dyDescent="0.25">
      <c r="A15686" s="74">
        <v>20478</v>
      </c>
    </row>
    <row r="15687" spans="1:1" x14ac:dyDescent="0.25">
      <c r="A15687" s="74">
        <v>20479</v>
      </c>
    </row>
    <row r="15688" spans="1:1" x14ac:dyDescent="0.25">
      <c r="A15688" s="74">
        <v>20480</v>
      </c>
    </row>
    <row r="15689" spans="1:1" x14ac:dyDescent="0.25">
      <c r="A15689" s="74">
        <v>20481</v>
      </c>
    </row>
    <row r="15690" spans="1:1" x14ac:dyDescent="0.25">
      <c r="A15690" s="74">
        <v>20482</v>
      </c>
    </row>
    <row r="15691" spans="1:1" x14ac:dyDescent="0.25">
      <c r="A15691" s="74">
        <v>20483</v>
      </c>
    </row>
    <row r="15692" spans="1:1" x14ac:dyDescent="0.25">
      <c r="A15692" s="74">
        <v>20484</v>
      </c>
    </row>
    <row r="15693" spans="1:1" x14ac:dyDescent="0.25">
      <c r="A15693" s="74">
        <v>20485</v>
      </c>
    </row>
    <row r="15694" spans="1:1" x14ac:dyDescent="0.25">
      <c r="A15694" s="74">
        <v>20486</v>
      </c>
    </row>
    <row r="15695" spans="1:1" x14ac:dyDescent="0.25">
      <c r="A15695" s="74">
        <v>20487</v>
      </c>
    </row>
    <row r="15696" spans="1:1" x14ac:dyDescent="0.25">
      <c r="A15696" s="74">
        <v>20488</v>
      </c>
    </row>
    <row r="15697" spans="1:1" x14ac:dyDescent="0.25">
      <c r="A15697" s="74">
        <v>20489</v>
      </c>
    </row>
    <row r="15698" spans="1:1" x14ac:dyDescent="0.25">
      <c r="A15698" s="74">
        <v>20490</v>
      </c>
    </row>
    <row r="15699" spans="1:1" x14ac:dyDescent="0.25">
      <c r="A15699" s="74">
        <v>20491</v>
      </c>
    </row>
    <row r="15700" spans="1:1" x14ac:dyDescent="0.25">
      <c r="A15700" s="74">
        <v>20492</v>
      </c>
    </row>
    <row r="15701" spans="1:1" x14ac:dyDescent="0.25">
      <c r="A15701" s="74">
        <v>20493</v>
      </c>
    </row>
    <row r="15702" spans="1:1" x14ac:dyDescent="0.25">
      <c r="A15702" s="74">
        <v>20494</v>
      </c>
    </row>
    <row r="15703" spans="1:1" x14ac:dyDescent="0.25">
      <c r="A15703" s="74">
        <v>20495</v>
      </c>
    </row>
    <row r="15704" spans="1:1" x14ac:dyDescent="0.25">
      <c r="A15704" s="74">
        <v>20496</v>
      </c>
    </row>
    <row r="15705" spans="1:1" x14ac:dyDescent="0.25">
      <c r="A15705" s="74">
        <v>20497</v>
      </c>
    </row>
    <row r="15706" spans="1:1" x14ac:dyDescent="0.25">
      <c r="A15706" s="74">
        <v>20498</v>
      </c>
    </row>
    <row r="15707" spans="1:1" x14ac:dyDescent="0.25">
      <c r="A15707" s="74">
        <v>20499</v>
      </c>
    </row>
    <row r="15708" spans="1:1" x14ac:dyDescent="0.25">
      <c r="A15708" s="74">
        <v>20500</v>
      </c>
    </row>
    <row r="15709" spans="1:1" x14ac:dyDescent="0.25">
      <c r="A15709" s="74">
        <v>20501</v>
      </c>
    </row>
    <row r="15710" spans="1:1" x14ac:dyDescent="0.25">
      <c r="A15710" s="74">
        <v>20502</v>
      </c>
    </row>
    <row r="15711" spans="1:1" x14ac:dyDescent="0.25">
      <c r="A15711" s="74">
        <v>20503</v>
      </c>
    </row>
    <row r="15712" spans="1:1" x14ac:dyDescent="0.25">
      <c r="A15712" s="74">
        <v>20504</v>
      </c>
    </row>
    <row r="15713" spans="1:1" x14ac:dyDescent="0.25">
      <c r="A15713" s="74">
        <v>20505</v>
      </c>
    </row>
    <row r="15714" spans="1:1" x14ac:dyDescent="0.25">
      <c r="A15714" s="74">
        <v>20506</v>
      </c>
    </row>
    <row r="15715" spans="1:1" x14ac:dyDescent="0.25">
      <c r="A15715" s="74">
        <v>20507</v>
      </c>
    </row>
    <row r="15716" spans="1:1" x14ac:dyDescent="0.25">
      <c r="A15716" s="74">
        <v>20508</v>
      </c>
    </row>
    <row r="15717" spans="1:1" x14ac:dyDescent="0.25">
      <c r="A15717" s="74">
        <v>20509</v>
      </c>
    </row>
    <row r="15718" spans="1:1" x14ac:dyDescent="0.25">
      <c r="A15718" s="74">
        <v>20510</v>
      </c>
    </row>
    <row r="15719" spans="1:1" x14ac:dyDescent="0.25">
      <c r="A15719" s="74">
        <v>20511</v>
      </c>
    </row>
    <row r="15720" spans="1:1" x14ac:dyDescent="0.25">
      <c r="A15720" s="74">
        <v>20512</v>
      </c>
    </row>
    <row r="15721" spans="1:1" x14ac:dyDescent="0.25">
      <c r="A15721" s="74">
        <v>20513</v>
      </c>
    </row>
    <row r="15722" spans="1:1" x14ac:dyDescent="0.25">
      <c r="A15722" s="74">
        <v>20514</v>
      </c>
    </row>
    <row r="15723" spans="1:1" x14ac:dyDescent="0.25">
      <c r="A15723" s="74">
        <v>20515</v>
      </c>
    </row>
    <row r="15724" spans="1:1" x14ac:dyDescent="0.25">
      <c r="A15724" s="74">
        <v>20516</v>
      </c>
    </row>
    <row r="15725" spans="1:1" x14ac:dyDescent="0.25">
      <c r="A15725" s="74">
        <v>20517</v>
      </c>
    </row>
    <row r="15726" spans="1:1" x14ac:dyDescent="0.25">
      <c r="A15726" s="74">
        <v>20518</v>
      </c>
    </row>
    <row r="15727" spans="1:1" x14ac:dyDescent="0.25">
      <c r="A15727" s="74">
        <v>20519</v>
      </c>
    </row>
    <row r="15728" spans="1:1" x14ac:dyDescent="0.25">
      <c r="A15728" s="74">
        <v>20520</v>
      </c>
    </row>
    <row r="15729" spans="1:1" x14ac:dyDescent="0.25">
      <c r="A15729" s="74">
        <v>20521</v>
      </c>
    </row>
    <row r="15730" spans="1:1" x14ac:dyDescent="0.25">
      <c r="A15730" s="74">
        <v>20522</v>
      </c>
    </row>
    <row r="15731" spans="1:1" x14ac:dyDescent="0.25">
      <c r="A15731" s="74">
        <v>20523</v>
      </c>
    </row>
    <row r="15732" spans="1:1" x14ac:dyDescent="0.25">
      <c r="A15732" s="74">
        <v>20524</v>
      </c>
    </row>
    <row r="15733" spans="1:1" x14ac:dyDescent="0.25">
      <c r="A15733" s="74">
        <v>20525</v>
      </c>
    </row>
    <row r="15734" spans="1:1" x14ac:dyDescent="0.25">
      <c r="A15734" s="74">
        <v>20526</v>
      </c>
    </row>
    <row r="15735" spans="1:1" x14ac:dyDescent="0.25">
      <c r="A15735" s="74">
        <v>20527</v>
      </c>
    </row>
    <row r="15736" spans="1:1" x14ac:dyDescent="0.25">
      <c r="A15736" s="74">
        <v>20528</v>
      </c>
    </row>
    <row r="15737" spans="1:1" x14ac:dyDescent="0.25">
      <c r="A15737" s="74">
        <v>20529</v>
      </c>
    </row>
    <row r="15738" spans="1:1" x14ac:dyDescent="0.25">
      <c r="A15738" s="74">
        <v>20530</v>
      </c>
    </row>
    <row r="15739" spans="1:1" x14ac:dyDescent="0.25">
      <c r="A15739" s="74">
        <v>20531</v>
      </c>
    </row>
    <row r="15740" spans="1:1" x14ac:dyDescent="0.25">
      <c r="A15740" s="74">
        <v>20532</v>
      </c>
    </row>
    <row r="15741" spans="1:1" x14ac:dyDescent="0.25">
      <c r="A15741" s="74">
        <v>20533</v>
      </c>
    </row>
    <row r="15742" spans="1:1" x14ac:dyDescent="0.25">
      <c r="A15742" s="74">
        <v>20534</v>
      </c>
    </row>
    <row r="15743" spans="1:1" x14ac:dyDescent="0.25">
      <c r="A15743" s="74">
        <v>20535</v>
      </c>
    </row>
    <row r="15744" spans="1:1" x14ac:dyDescent="0.25">
      <c r="A15744" s="74">
        <v>20536</v>
      </c>
    </row>
    <row r="15745" spans="1:1" x14ac:dyDescent="0.25">
      <c r="A15745" s="74">
        <v>20537</v>
      </c>
    </row>
    <row r="15746" spans="1:1" x14ac:dyDescent="0.25">
      <c r="A15746" s="74">
        <v>20538</v>
      </c>
    </row>
    <row r="15747" spans="1:1" x14ac:dyDescent="0.25">
      <c r="A15747" s="74">
        <v>20539</v>
      </c>
    </row>
    <row r="15748" spans="1:1" x14ac:dyDescent="0.25">
      <c r="A15748" s="74">
        <v>20540</v>
      </c>
    </row>
    <row r="15749" spans="1:1" x14ac:dyDescent="0.25">
      <c r="A15749" s="74">
        <v>20541</v>
      </c>
    </row>
    <row r="15750" spans="1:1" x14ac:dyDescent="0.25">
      <c r="A15750" s="74">
        <v>20542</v>
      </c>
    </row>
    <row r="15751" spans="1:1" x14ac:dyDescent="0.25">
      <c r="A15751" s="74">
        <v>20543</v>
      </c>
    </row>
    <row r="15752" spans="1:1" x14ac:dyDescent="0.25">
      <c r="A15752" s="74">
        <v>20544</v>
      </c>
    </row>
    <row r="15753" spans="1:1" x14ac:dyDescent="0.25">
      <c r="A15753" s="74">
        <v>20545</v>
      </c>
    </row>
    <row r="15754" spans="1:1" x14ac:dyDescent="0.25">
      <c r="A15754" s="74">
        <v>20546</v>
      </c>
    </row>
    <row r="15755" spans="1:1" x14ac:dyDescent="0.25">
      <c r="A15755" s="74">
        <v>20547</v>
      </c>
    </row>
    <row r="15756" spans="1:1" x14ac:dyDescent="0.25">
      <c r="A15756" s="74">
        <v>20548</v>
      </c>
    </row>
    <row r="15757" spans="1:1" x14ac:dyDescent="0.25">
      <c r="A15757" s="74">
        <v>20549</v>
      </c>
    </row>
    <row r="15758" spans="1:1" x14ac:dyDescent="0.25">
      <c r="A15758" s="74">
        <v>20550</v>
      </c>
    </row>
    <row r="15759" spans="1:1" x14ac:dyDescent="0.25">
      <c r="A15759" s="74">
        <v>20551</v>
      </c>
    </row>
    <row r="15760" spans="1:1" x14ac:dyDescent="0.25">
      <c r="A15760" s="74">
        <v>20552</v>
      </c>
    </row>
    <row r="15761" spans="1:1" x14ac:dyDescent="0.25">
      <c r="A15761" s="74">
        <v>20553</v>
      </c>
    </row>
    <row r="15762" spans="1:1" x14ac:dyDescent="0.25">
      <c r="A15762" s="74">
        <v>20554</v>
      </c>
    </row>
    <row r="15763" spans="1:1" x14ac:dyDescent="0.25">
      <c r="A15763" s="74">
        <v>20555</v>
      </c>
    </row>
    <row r="15764" spans="1:1" x14ac:dyDescent="0.25">
      <c r="A15764" s="74">
        <v>20556</v>
      </c>
    </row>
    <row r="15765" spans="1:1" x14ac:dyDescent="0.25">
      <c r="A15765" s="74">
        <v>20557</v>
      </c>
    </row>
    <row r="15766" spans="1:1" x14ac:dyDescent="0.25">
      <c r="A15766" s="74">
        <v>20558</v>
      </c>
    </row>
    <row r="15767" spans="1:1" x14ac:dyDescent="0.25">
      <c r="A15767" s="74">
        <v>20559</v>
      </c>
    </row>
    <row r="15768" spans="1:1" x14ac:dyDescent="0.25">
      <c r="A15768" s="74">
        <v>20560</v>
      </c>
    </row>
    <row r="15769" spans="1:1" x14ac:dyDescent="0.25">
      <c r="A15769" s="74">
        <v>20561</v>
      </c>
    </row>
    <row r="15770" spans="1:1" x14ac:dyDescent="0.25">
      <c r="A15770" s="74">
        <v>20562</v>
      </c>
    </row>
    <row r="15771" spans="1:1" x14ac:dyDescent="0.25">
      <c r="A15771" s="74">
        <v>20563</v>
      </c>
    </row>
    <row r="15772" spans="1:1" x14ac:dyDescent="0.25">
      <c r="A15772" s="74">
        <v>20564</v>
      </c>
    </row>
    <row r="15773" spans="1:1" x14ac:dyDescent="0.25">
      <c r="A15773" s="74">
        <v>20565</v>
      </c>
    </row>
    <row r="15774" spans="1:1" x14ac:dyDescent="0.25">
      <c r="A15774" s="74">
        <v>20566</v>
      </c>
    </row>
    <row r="15775" spans="1:1" x14ac:dyDescent="0.25">
      <c r="A15775" s="74">
        <v>20567</v>
      </c>
    </row>
    <row r="15776" spans="1:1" x14ac:dyDescent="0.25">
      <c r="A15776" s="74">
        <v>20568</v>
      </c>
    </row>
    <row r="15777" spans="1:1" x14ac:dyDescent="0.25">
      <c r="A15777" s="74">
        <v>20569</v>
      </c>
    </row>
    <row r="15778" spans="1:1" x14ac:dyDescent="0.25">
      <c r="A15778" s="74">
        <v>20570</v>
      </c>
    </row>
    <row r="15779" spans="1:1" x14ac:dyDescent="0.25">
      <c r="A15779" s="74">
        <v>20571</v>
      </c>
    </row>
    <row r="15780" spans="1:1" x14ac:dyDescent="0.25">
      <c r="A15780" s="74">
        <v>20572</v>
      </c>
    </row>
    <row r="15781" spans="1:1" x14ac:dyDescent="0.25">
      <c r="A15781" s="74">
        <v>20573</v>
      </c>
    </row>
    <row r="15782" spans="1:1" x14ac:dyDescent="0.25">
      <c r="A15782" s="74">
        <v>20574</v>
      </c>
    </row>
    <row r="15783" spans="1:1" x14ac:dyDescent="0.25">
      <c r="A15783" s="74">
        <v>20575</v>
      </c>
    </row>
    <row r="15784" spans="1:1" x14ac:dyDescent="0.25">
      <c r="A15784" s="74">
        <v>20576</v>
      </c>
    </row>
    <row r="15785" spans="1:1" x14ac:dyDescent="0.25">
      <c r="A15785" s="74">
        <v>20577</v>
      </c>
    </row>
    <row r="15786" spans="1:1" x14ac:dyDescent="0.25">
      <c r="A15786" s="74">
        <v>20578</v>
      </c>
    </row>
    <row r="15787" spans="1:1" x14ac:dyDescent="0.25">
      <c r="A15787" s="74">
        <v>20579</v>
      </c>
    </row>
    <row r="15788" spans="1:1" x14ac:dyDescent="0.25">
      <c r="A15788" s="74">
        <v>20580</v>
      </c>
    </row>
    <row r="15789" spans="1:1" x14ac:dyDescent="0.25">
      <c r="A15789" s="74">
        <v>20581</v>
      </c>
    </row>
    <row r="15790" spans="1:1" x14ac:dyDescent="0.25">
      <c r="A15790" s="74">
        <v>20582</v>
      </c>
    </row>
    <row r="15791" spans="1:1" x14ac:dyDescent="0.25">
      <c r="A15791" s="74">
        <v>20583</v>
      </c>
    </row>
    <row r="15792" spans="1:1" x14ac:dyDescent="0.25">
      <c r="A15792" s="74">
        <v>20584</v>
      </c>
    </row>
    <row r="15793" spans="1:1" x14ac:dyDescent="0.25">
      <c r="A15793" s="74">
        <v>20585</v>
      </c>
    </row>
    <row r="15794" spans="1:1" x14ac:dyDescent="0.25">
      <c r="A15794" s="74">
        <v>20586</v>
      </c>
    </row>
    <row r="15795" spans="1:1" x14ac:dyDescent="0.25">
      <c r="A15795" s="74">
        <v>20587</v>
      </c>
    </row>
    <row r="15796" spans="1:1" x14ac:dyDescent="0.25">
      <c r="A15796" s="74">
        <v>20588</v>
      </c>
    </row>
    <row r="15797" spans="1:1" x14ac:dyDescent="0.25">
      <c r="A15797" s="74">
        <v>20589</v>
      </c>
    </row>
    <row r="15798" spans="1:1" x14ac:dyDescent="0.25">
      <c r="A15798" s="74">
        <v>20590</v>
      </c>
    </row>
    <row r="15799" spans="1:1" x14ac:dyDescent="0.25">
      <c r="A15799" s="74">
        <v>20591</v>
      </c>
    </row>
    <row r="15800" spans="1:1" x14ac:dyDescent="0.25">
      <c r="A15800" s="74">
        <v>20592</v>
      </c>
    </row>
    <row r="15801" spans="1:1" x14ac:dyDescent="0.25">
      <c r="A15801" s="74">
        <v>20593</v>
      </c>
    </row>
    <row r="15802" spans="1:1" x14ac:dyDescent="0.25">
      <c r="A15802" s="74">
        <v>20594</v>
      </c>
    </row>
    <row r="15803" spans="1:1" x14ac:dyDescent="0.25">
      <c r="A15803" s="74">
        <v>20595</v>
      </c>
    </row>
    <row r="15804" spans="1:1" x14ac:dyDescent="0.25">
      <c r="A15804" s="74">
        <v>20596</v>
      </c>
    </row>
    <row r="15805" spans="1:1" x14ac:dyDescent="0.25">
      <c r="A15805" s="74">
        <v>20597</v>
      </c>
    </row>
    <row r="15806" spans="1:1" x14ac:dyDescent="0.25">
      <c r="A15806" s="74">
        <v>20598</v>
      </c>
    </row>
    <row r="15807" spans="1:1" x14ac:dyDescent="0.25">
      <c r="A15807" s="74">
        <v>20599</v>
      </c>
    </row>
    <row r="15808" spans="1:1" x14ac:dyDescent="0.25">
      <c r="A15808" s="74">
        <v>20600</v>
      </c>
    </row>
    <row r="15809" spans="1:1" x14ac:dyDescent="0.25">
      <c r="A15809" s="74">
        <v>20601</v>
      </c>
    </row>
    <row r="15810" spans="1:1" x14ac:dyDescent="0.25">
      <c r="A15810" s="74">
        <v>20602</v>
      </c>
    </row>
    <row r="15811" spans="1:1" x14ac:dyDescent="0.25">
      <c r="A15811" s="74">
        <v>20603</v>
      </c>
    </row>
    <row r="15812" spans="1:1" x14ac:dyDescent="0.25">
      <c r="A15812" s="74">
        <v>20604</v>
      </c>
    </row>
    <row r="15813" spans="1:1" x14ac:dyDescent="0.25">
      <c r="A15813" s="74">
        <v>20605</v>
      </c>
    </row>
    <row r="15814" spans="1:1" x14ac:dyDescent="0.25">
      <c r="A15814" s="74">
        <v>20606</v>
      </c>
    </row>
    <row r="15815" spans="1:1" x14ac:dyDescent="0.25">
      <c r="A15815" s="74">
        <v>20607</v>
      </c>
    </row>
    <row r="15816" spans="1:1" x14ac:dyDescent="0.25">
      <c r="A15816" s="74">
        <v>20608</v>
      </c>
    </row>
    <row r="15817" spans="1:1" x14ac:dyDescent="0.25">
      <c r="A15817" s="74">
        <v>20609</v>
      </c>
    </row>
    <row r="15818" spans="1:1" x14ac:dyDescent="0.25">
      <c r="A15818" s="74">
        <v>20610</v>
      </c>
    </row>
    <row r="15819" spans="1:1" x14ac:dyDescent="0.25">
      <c r="A15819" s="74">
        <v>20611</v>
      </c>
    </row>
    <row r="15820" spans="1:1" x14ac:dyDescent="0.25">
      <c r="A15820" s="74">
        <v>20612</v>
      </c>
    </row>
    <row r="15821" spans="1:1" x14ac:dyDescent="0.25">
      <c r="A15821" s="74">
        <v>20613</v>
      </c>
    </row>
    <row r="15822" spans="1:1" x14ac:dyDescent="0.25">
      <c r="A15822" s="74">
        <v>20614</v>
      </c>
    </row>
    <row r="15823" spans="1:1" x14ac:dyDescent="0.25">
      <c r="A15823" s="74">
        <v>20615</v>
      </c>
    </row>
    <row r="15824" spans="1:1" x14ac:dyDescent="0.25">
      <c r="A15824" s="74">
        <v>20616</v>
      </c>
    </row>
    <row r="15825" spans="1:1" x14ac:dyDescent="0.25">
      <c r="A15825" s="74">
        <v>20617</v>
      </c>
    </row>
    <row r="15826" spans="1:1" x14ac:dyDescent="0.25">
      <c r="A15826" s="74">
        <v>20618</v>
      </c>
    </row>
    <row r="15827" spans="1:1" x14ac:dyDescent="0.25">
      <c r="A15827" s="74">
        <v>20619</v>
      </c>
    </row>
    <row r="15828" spans="1:1" x14ac:dyDescent="0.25">
      <c r="A15828" s="74">
        <v>20620</v>
      </c>
    </row>
    <row r="15829" spans="1:1" x14ac:dyDescent="0.25">
      <c r="A15829" s="74">
        <v>20621</v>
      </c>
    </row>
    <row r="15830" spans="1:1" x14ac:dyDescent="0.25">
      <c r="A15830" s="74">
        <v>20622</v>
      </c>
    </row>
    <row r="15831" spans="1:1" x14ac:dyDescent="0.25">
      <c r="A15831" s="74">
        <v>20623</v>
      </c>
    </row>
    <row r="15832" spans="1:1" x14ac:dyDescent="0.25">
      <c r="A15832" s="74">
        <v>20624</v>
      </c>
    </row>
    <row r="15833" spans="1:1" x14ac:dyDescent="0.25">
      <c r="A15833" s="74">
        <v>20625</v>
      </c>
    </row>
    <row r="15834" spans="1:1" x14ac:dyDescent="0.25">
      <c r="A15834" s="74">
        <v>20626</v>
      </c>
    </row>
    <row r="15835" spans="1:1" x14ac:dyDescent="0.25">
      <c r="A15835" s="74">
        <v>20627</v>
      </c>
    </row>
    <row r="15836" spans="1:1" x14ac:dyDescent="0.25">
      <c r="A15836" s="74">
        <v>20628</v>
      </c>
    </row>
    <row r="15837" spans="1:1" x14ac:dyDescent="0.25">
      <c r="A15837" s="74">
        <v>20629</v>
      </c>
    </row>
    <row r="15838" spans="1:1" x14ac:dyDescent="0.25">
      <c r="A15838" s="74">
        <v>20630</v>
      </c>
    </row>
    <row r="15839" spans="1:1" x14ac:dyDescent="0.25">
      <c r="A15839" s="74">
        <v>20631</v>
      </c>
    </row>
    <row r="15840" spans="1:1" x14ac:dyDescent="0.25">
      <c r="A15840" s="74">
        <v>20632</v>
      </c>
    </row>
    <row r="15841" spans="1:1" x14ac:dyDescent="0.25">
      <c r="A15841" s="74">
        <v>20633</v>
      </c>
    </row>
    <row r="15842" spans="1:1" x14ac:dyDescent="0.25">
      <c r="A15842" s="74">
        <v>20634</v>
      </c>
    </row>
    <row r="15843" spans="1:1" x14ac:dyDescent="0.25">
      <c r="A15843" s="74">
        <v>20635</v>
      </c>
    </row>
    <row r="15844" spans="1:1" x14ac:dyDescent="0.25">
      <c r="A15844" s="74">
        <v>20636</v>
      </c>
    </row>
    <row r="15845" spans="1:1" x14ac:dyDescent="0.25">
      <c r="A15845" s="74">
        <v>20637</v>
      </c>
    </row>
    <row r="15846" spans="1:1" x14ac:dyDescent="0.25">
      <c r="A15846" s="74">
        <v>20638</v>
      </c>
    </row>
    <row r="15847" spans="1:1" x14ac:dyDescent="0.25">
      <c r="A15847" s="74">
        <v>20639</v>
      </c>
    </row>
    <row r="15848" spans="1:1" x14ac:dyDescent="0.25">
      <c r="A15848" s="74">
        <v>20640</v>
      </c>
    </row>
    <row r="15849" spans="1:1" x14ac:dyDescent="0.25">
      <c r="A15849" s="74">
        <v>20641</v>
      </c>
    </row>
    <row r="15850" spans="1:1" x14ac:dyDescent="0.25">
      <c r="A15850" s="74">
        <v>20642</v>
      </c>
    </row>
    <row r="15851" spans="1:1" x14ac:dyDescent="0.25">
      <c r="A15851" s="74">
        <v>20643</v>
      </c>
    </row>
    <row r="15852" spans="1:1" x14ac:dyDescent="0.25">
      <c r="A15852" s="74">
        <v>20644</v>
      </c>
    </row>
    <row r="15853" spans="1:1" x14ac:dyDescent="0.25">
      <c r="A15853" s="74">
        <v>20645</v>
      </c>
    </row>
    <row r="15854" spans="1:1" x14ac:dyDescent="0.25">
      <c r="A15854" s="74">
        <v>20646</v>
      </c>
    </row>
    <row r="15855" spans="1:1" x14ac:dyDescent="0.25">
      <c r="A15855" s="74">
        <v>20647</v>
      </c>
    </row>
    <row r="15856" spans="1:1" x14ac:dyDescent="0.25">
      <c r="A15856" s="74">
        <v>20648</v>
      </c>
    </row>
    <row r="15857" spans="1:1" x14ac:dyDescent="0.25">
      <c r="A15857" s="74">
        <v>20649</v>
      </c>
    </row>
    <row r="15858" spans="1:1" x14ac:dyDescent="0.25">
      <c r="A15858" s="74">
        <v>20650</v>
      </c>
    </row>
    <row r="15859" spans="1:1" x14ac:dyDescent="0.25">
      <c r="A15859" s="74">
        <v>20651</v>
      </c>
    </row>
    <row r="15860" spans="1:1" x14ac:dyDescent="0.25">
      <c r="A15860" s="74">
        <v>20652</v>
      </c>
    </row>
    <row r="15861" spans="1:1" x14ac:dyDescent="0.25">
      <c r="A15861" s="74">
        <v>20653</v>
      </c>
    </row>
    <row r="15862" spans="1:1" x14ac:dyDescent="0.25">
      <c r="A15862" s="74">
        <v>20654</v>
      </c>
    </row>
    <row r="15863" spans="1:1" x14ac:dyDescent="0.25">
      <c r="A15863" s="74">
        <v>20655</v>
      </c>
    </row>
    <row r="15864" spans="1:1" x14ac:dyDescent="0.25">
      <c r="A15864" s="74">
        <v>20656</v>
      </c>
    </row>
    <row r="15865" spans="1:1" x14ac:dyDescent="0.25">
      <c r="A15865" s="74">
        <v>20657</v>
      </c>
    </row>
    <row r="15866" spans="1:1" x14ac:dyDescent="0.25">
      <c r="A15866" s="74">
        <v>20658</v>
      </c>
    </row>
    <row r="15867" spans="1:1" x14ac:dyDescent="0.25">
      <c r="A15867" s="74">
        <v>20659</v>
      </c>
    </row>
    <row r="15868" spans="1:1" x14ac:dyDescent="0.25">
      <c r="A15868" s="74">
        <v>20660</v>
      </c>
    </row>
    <row r="15869" spans="1:1" x14ac:dyDescent="0.25">
      <c r="A15869" s="74">
        <v>20661</v>
      </c>
    </row>
    <row r="15870" spans="1:1" x14ac:dyDescent="0.25">
      <c r="A15870" s="74">
        <v>20662</v>
      </c>
    </row>
    <row r="15871" spans="1:1" x14ac:dyDescent="0.25">
      <c r="A15871" s="74">
        <v>20663</v>
      </c>
    </row>
    <row r="15872" spans="1:1" x14ac:dyDescent="0.25">
      <c r="A15872" s="74">
        <v>20664</v>
      </c>
    </row>
    <row r="15873" spans="1:1" x14ac:dyDescent="0.25">
      <c r="A15873" s="74">
        <v>20665</v>
      </c>
    </row>
    <row r="15874" spans="1:1" x14ac:dyDescent="0.25">
      <c r="A15874" s="74">
        <v>20666</v>
      </c>
    </row>
    <row r="15875" spans="1:1" x14ac:dyDescent="0.25">
      <c r="A15875" s="74">
        <v>20667</v>
      </c>
    </row>
    <row r="15876" spans="1:1" x14ac:dyDescent="0.25">
      <c r="A15876" s="74">
        <v>20668</v>
      </c>
    </row>
    <row r="15877" spans="1:1" x14ac:dyDescent="0.25">
      <c r="A15877" s="74">
        <v>20669</v>
      </c>
    </row>
    <row r="15878" spans="1:1" x14ac:dyDescent="0.25">
      <c r="A15878" s="74">
        <v>20670</v>
      </c>
    </row>
    <row r="15879" spans="1:1" x14ac:dyDescent="0.25">
      <c r="A15879" s="74">
        <v>20671</v>
      </c>
    </row>
    <row r="15880" spans="1:1" x14ac:dyDescent="0.25">
      <c r="A15880" s="74">
        <v>20672</v>
      </c>
    </row>
    <row r="15881" spans="1:1" x14ac:dyDescent="0.25">
      <c r="A15881" s="74">
        <v>20673</v>
      </c>
    </row>
    <row r="15882" spans="1:1" x14ac:dyDescent="0.25">
      <c r="A15882" s="74">
        <v>20674</v>
      </c>
    </row>
    <row r="15883" spans="1:1" x14ac:dyDescent="0.25">
      <c r="A15883" s="74">
        <v>20675</v>
      </c>
    </row>
    <row r="15884" spans="1:1" x14ac:dyDescent="0.25">
      <c r="A15884" s="74">
        <v>20676</v>
      </c>
    </row>
    <row r="15885" spans="1:1" x14ac:dyDescent="0.25">
      <c r="A15885" s="74">
        <v>20677</v>
      </c>
    </row>
    <row r="15886" spans="1:1" x14ac:dyDescent="0.25">
      <c r="A15886" s="74">
        <v>20678</v>
      </c>
    </row>
    <row r="15887" spans="1:1" x14ac:dyDescent="0.25">
      <c r="A15887" s="74">
        <v>20679</v>
      </c>
    </row>
    <row r="15888" spans="1:1" x14ac:dyDescent="0.25">
      <c r="A15888" s="74">
        <v>20680</v>
      </c>
    </row>
    <row r="15889" spans="1:1" x14ac:dyDescent="0.25">
      <c r="A15889" s="74">
        <v>20681</v>
      </c>
    </row>
    <row r="15890" spans="1:1" x14ac:dyDescent="0.25">
      <c r="A15890" s="74">
        <v>20682</v>
      </c>
    </row>
    <row r="15891" spans="1:1" x14ac:dyDescent="0.25">
      <c r="A15891" s="74">
        <v>20683</v>
      </c>
    </row>
    <row r="15892" spans="1:1" x14ac:dyDescent="0.25">
      <c r="A15892" s="74">
        <v>20684</v>
      </c>
    </row>
    <row r="15893" spans="1:1" x14ac:dyDescent="0.25">
      <c r="A15893" s="74">
        <v>20685</v>
      </c>
    </row>
    <row r="15894" spans="1:1" x14ac:dyDescent="0.25">
      <c r="A15894" s="74">
        <v>20686</v>
      </c>
    </row>
    <row r="15895" spans="1:1" x14ac:dyDescent="0.25">
      <c r="A15895" s="74">
        <v>20687</v>
      </c>
    </row>
    <row r="15896" spans="1:1" x14ac:dyDescent="0.25">
      <c r="A15896" s="74">
        <v>20688</v>
      </c>
    </row>
    <row r="15897" spans="1:1" x14ac:dyDescent="0.25">
      <c r="A15897" s="74">
        <v>20689</v>
      </c>
    </row>
    <row r="15898" spans="1:1" x14ac:dyDescent="0.25">
      <c r="A15898" s="74">
        <v>20690</v>
      </c>
    </row>
    <row r="15899" spans="1:1" x14ac:dyDescent="0.25">
      <c r="A15899" s="74">
        <v>20691</v>
      </c>
    </row>
    <row r="15900" spans="1:1" x14ac:dyDescent="0.25">
      <c r="A15900" s="74">
        <v>20692</v>
      </c>
    </row>
    <row r="15901" spans="1:1" x14ac:dyDescent="0.25">
      <c r="A15901" s="74">
        <v>20693</v>
      </c>
    </row>
    <row r="15902" spans="1:1" x14ac:dyDescent="0.25">
      <c r="A15902" s="74">
        <v>20694</v>
      </c>
    </row>
    <row r="15903" spans="1:1" x14ac:dyDescent="0.25">
      <c r="A15903" s="74">
        <v>20695</v>
      </c>
    </row>
    <row r="15904" spans="1:1" x14ac:dyDescent="0.25">
      <c r="A15904" s="74">
        <v>20696</v>
      </c>
    </row>
    <row r="15905" spans="1:1" x14ac:dyDescent="0.25">
      <c r="A15905" s="74">
        <v>20697</v>
      </c>
    </row>
    <row r="15906" spans="1:1" x14ac:dyDescent="0.25">
      <c r="A15906" s="74">
        <v>20698</v>
      </c>
    </row>
    <row r="15907" spans="1:1" x14ac:dyDescent="0.25">
      <c r="A15907" s="74">
        <v>20699</v>
      </c>
    </row>
    <row r="15908" spans="1:1" x14ac:dyDescent="0.25">
      <c r="A15908" s="74">
        <v>20700</v>
      </c>
    </row>
    <row r="15909" spans="1:1" x14ac:dyDescent="0.25">
      <c r="A15909" s="74">
        <v>20701</v>
      </c>
    </row>
    <row r="15910" spans="1:1" x14ac:dyDescent="0.25">
      <c r="A15910" s="74">
        <v>20702</v>
      </c>
    </row>
    <row r="15911" spans="1:1" x14ac:dyDescent="0.25">
      <c r="A15911" s="74">
        <v>20703</v>
      </c>
    </row>
    <row r="15912" spans="1:1" x14ac:dyDescent="0.25">
      <c r="A15912" s="74">
        <v>20704</v>
      </c>
    </row>
    <row r="15913" spans="1:1" x14ac:dyDescent="0.25">
      <c r="A15913" s="74">
        <v>20705</v>
      </c>
    </row>
    <row r="15914" spans="1:1" x14ac:dyDescent="0.25">
      <c r="A15914" s="74">
        <v>20706</v>
      </c>
    </row>
    <row r="15915" spans="1:1" x14ac:dyDescent="0.25">
      <c r="A15915" s="74">
        <v>20707</v>
      </c>
    </row>
    <row r="15916" spans="1:1" x14ac:dyDescent="0.25">
      <c r="A15916" s="74">
        <v>20708</v>
      </c>
    </row>
    <row r="15917" spans="1:1" x14ac:dyDescent="0.25">
      <c r="A15917" s="74">
        <v>20709</v>
      </c>
    </row>
    <row r="15918" spans="1:1" x14ac:dyDescent="0.25">
      <c r="A15918" s="74">
        <v>20710</v>
      </c>
    </row>
    <row r="15919" spans="1:1" x14ac:dyDescent="0.25">
      <c r="A15919" s="74">
        <v>20711</v>
      </c>
    </row>
    <row r="15920" spans="1:1" x14ac:dyDescent="0.25">
      <c r="A15920" s="74">
        <v>20712</v>
      </c>
    </row>
    <row r="15921" spans="1:1" x14ac:dyDescent="0.25">
      <c r="A15921" s="74">
        <v>20713</v>
      </c>
    </row>
    <row r="15922" spans="1:1" x14ac:dyDescent="0.25">
      <c r="A15922" s="74">
        <v>20714</v>
      </c>
    </row>
    <row r="15923" spans="1:1" x14ac:dyDescent="0.25">
      <c r="A15923" s="74">
        <v>20715</v>
      </c>
    </row>
    <row r="15924" spans="1:1" x14ac:dyDescent="0.25">
      <c r="A15924" s="74">
        <v>20716</v>
      </c>
    </row>
    <row r="15925" spans="1:1" x14ac:dyDescent="0.25">
      <c r="A15925" s="74">
        <v>20717</v>
      </c>
    </row>
    <row r="15926" spans="1:1" x14ac:dyDescent="0.25">
      <c r="A15926" s="74">
        <v>20718</v>
      </c>
    </row>
    <row r="15927" spans="1:1" x14ac:dyDescent="0.25">
      <c r="A15927" s="74">
        <v>20719</v>
      </c>
    </row>
    <row r="15928" spans="1:1" x14ac:dyDescent="0.25">
      <c r="A15928" s="74">
        <v>20720</v>
      </c>
    </row>
    <row r="15929" spans="1:1" x14ac:dyDescent="0.25">
      <c r="A15929" s="74">
        <v>20721</v>
      </c>
    </row>
    <row r="15930" spans="1:1" x14ac:dyDescent="0.25">
      <c r="A15930" s="74">
        <v>20722</v>
      </c>
    </row>
    <row r="15931" spans="1:1" x14ac:dyDescent="0.25">
      <c r="A15931" s="74">
        <v>20723</v>
      </c>
    </row>
    <row r="15932" spans="1:1" x14ac:dyDescent="0.25">
      <c r="A15932" s="74">
        <v>20724</v>
      </c>
    </row>
    <row r="15933" spans="1:1" x14ac:dyDescent="0.25">
      <c r="A15933" s="74">
        <v>20725</v>
      </c>
    </row>
    <row r="15934" spans="1:1" x14ac:dyDescent="0.25">
      <c r="A15934" s="74">
        <v>20726</v>
      </c>
    </row>
    <row r="15935" spans="1:1" x14ac:dyDescent="0.25">
      <c r="A15935" s="74">
        <v>20727</v>
      </c>
    </row>
    <row r="15936" spans="1:1" x14ac:dyDescent="0.25">
      <c r="A15936" s="74">
        <v>20728</v>
      </c>
    </row>
    <row r="15937" spans="1:1" x14ac:dyDescent="0.25">
      <c r="A15937" s="74">
        <v>20729</v>
      </c>
    </row>
    <row r="15938" spans="1:1" x14ac:dyDescent="0.25">
      <c r="A15938" s="74">
        <v>20730</v>
      </c>
    </row>
    <row r="15939" spans="1:1" x14ac:dyDescent="0.25">
      <c r="A15939" s="74">
        <v>20731</v>
      </c>
    </row>
    <row r="15940" spans="1:1" x14ac:dyDescent="0.25">
      <c r="A15940" s="74">
        <v>20732</v>
      </c>
    </row>
    <row r="15941" spans="1:1" x14ac:dyDescent="0.25">
      <c r="A15941" s="74">
        <v>20733</v>
      </c>
    </row>
    <row r="15942" spans="1:1" x14ac:dyDescent="0.25">
      <c r="A15942" s="74">
        <v>20734</v>
      </c>
    </row>
    <row r="15943" spans="1:1" x14ac:dyDescent="0.25">
      <c r="A15943" s="74">
        <v>20735</v>
      </c>
    </row>
    <row r="15944" spans="1:1" x14ac:dyDescent="0.25">
      <c r="A15944" s="74">
        <v>20736</v>
      </c>
    </row>
    <row r="15945" spans="1:1" x14ac:dyDescent="0.25">
      <c r="A15945" s="74">
        <v>20737</v>
      </c>
    </row>
    <row r="15946" spans="1:1" x14ac:dyDescent="0.25">
      <c r="A15946" s="74">
        <v>20738</v>
      </c>
    </row>
    <row r="15947" spans="1:1" x14ac:dyDescent="0.25">
      <c r="A15947" s="74">
        <v>20739</v>
      </c>
    </row>
    <row r="15948" spans="1:1" x14ac:dyDescent="0.25">
      <c r="A15948" s="74">
        <v>20740</v>
      </c>
    </row>
    <row r="15949" spans="1:1" x14ac:dyDescent="0.25">
      <c r="A15949" s="74">
        <v>20741</v>
      </c>
    </row>
    <row r="15950" spans="1:1" x14ac:dyDescent="0.25">
      <c r="A15950" s="74">
        <v>20742</v>
      </c>
    </row>
    <row r="15951" spans="1:1" x14ac:dyDescent="0.25">
      <c r="A15951" s="74">
        <v>20743</v>
      </c>
    </row>
    <row r="15952" spans="1:1" x14ac:dyDescent="0.25">
      <c r="A15952" s="74">
        <v>20744</v>
      </c>
    </row>
    <row r="15953" spans="1:1" x14ac:dyDescent="0.25">
      <c r="A15953" s="74">
        <v>20745</v>
      </c>
    </row>
    <row r="15954" spans="1:1" x14ac:dyDescent="0.25">
      <c r="A15954" s="74">
        <v>20746</v>
      </c>
    </row>
    <row r="15955" spans="1:1" x14ac:dyDescent="0.25">
      <c r="A15955" s="74">
        <v>20747</v>
      </c>
    </row>
    <row r="15956" spans="1:1" x14ac:dyDescent="0.25">
      <c r="A15956" s="74">
        <v>20748</v>
      </c>
    </row>
    <row r="15957" spans="1:1" x14ac:dyDescent="0.25">
      <c r="A15957" s="74">
        <v>20749</v>
      </c>
    </row>
    <row r="15958" spans="1:1" x14ac:dyDescent="0.25">
      <c r="A15958" s="74">
        <v>20750</v>
      </c>
    </row>
    <row r="15959" spans="1:1" x14ac:dyDescent="0.25">
      <c r="A15959" s="74">
        <v>20751</v>
      </c>
    </row>
    <row r="15960" spans="1:1" x14ac:dyDescent="0.25">
      <c r="A15960" s="74">
        <v>20752</v>
      </c>
    </row>
    <row r="15961" spans="1:1" x14ac:dyDescent="0.25">
      <c r="A15961" s="74">
        <v>20753</v>
      </c>
    </row>
    <row r="15962" spans="1:1" x14ac:dyDescent="0.25">
      <c r="A15962" s="74">
        <v>20754</v>
      </c>
    </row>
    <row r="15963" spans="1:1" x14ac:dyDescent="0.25">
      <c r="A15963" s="74">
        <v>20755</v>
      </c>
    </row>
    <row r="15964" spans="1:1" x14ac:dyDescent="0.25">
      <c r="A15964" s="74">
        <v>20756</v>
      </c>
    </row>
    <row r="15965" spans="1:1" x14ac:dyDescent="0.25">
      <c r="A15965" s="74">
        <v>20757</v>
      </c>
    </row>
    <row r="15966" spans="1:1" x14ac:dyDescent="0.25">
      <c r="A15966" s="74">
        <v>20758</v>
      </c>
    </row>
    <row r="15967" spans="1:1" x14ac:dyDescent="0.25">
      <c r="A15967" s="74">
        <v>20759</v>
      </c>
    </row>
    <row r="15968" spans="1:1" x14ac:dyDescent="0.25">
      <c r="A15968" s="74">
        <v>20760</v>
      </c>
    </row>
    <row r="15969" spans="1:1" x14ac:dyDescent="0.25">
      <c r="A15969" s="74">
        <v>20761</v>
      </c>
    </row>
    <row r="15970" spans="1:1" x14ac:dyDescent="0.25">
      <c r="A15970" s="74">
        <v>20762</v>
      </c>
    </row>
    <row r="15971" spans="1:1" x14ac:dyDescent="0.25">
      <c r="A15971" s="74">
        <v>20763</v>
      </c>
    </row>
    <row r="15972" spans="1:1" x14ac:dyDescent="0.25">
      <c r="A15972" s="74">
        <v>20764</v>
      </c>
    </row>
    <row r="15973" spans="1:1" x14ac:dyDescent="0.25">
      <c r="A15973" s="74">
        <v>20765</v>
      </c>
    </row>
    <row r="15974" spans="1:1" x14ac:dyDescent="0.25">
      <c r="A15974" s="74">
        <v>20766</v>
      </c>
    </row>
    <row r="15975" spans="1:1" x14ac:dyDescent="0.25">
      <c r="A15975" s="74">
        <v>20767</v>
      </c>
    </row>
    <row r="15976" spans="1:1" x14ac:dyDescent="0.25">
      <c r="A15976" s="74">
        <v>20768</v>
      </c>
    </row>
    <row r="15977" spans="1:1" x14ac:dyDescent="0.25">
      <c r="A15977" s="74">
        <v>20769</v>
      </c>
    </row>
    <row r="15978" spans="1:1" x14ac:dyDescent="0.25">
      <c r="A15978" s="74">
        <v>20770</v>
      </c>
    </row>
    <row r="15979" spans="1:1" x14ac:dyDescent="0.25">
      <c r="A15979" s="74">
        <v>20771</v>
      </c>
    </row>
    <row r="15980" spans="1:1" x14ac:dyDescent="0.25">
      <c r="A15980" s="74">
        <v>20772</v>
      </c>
    </row>
    <row r="15981" spans="1:1" x14ac:dyDescent="0.25">
      <c r="A15981" s="74">
        <v>20773</v>
      </c>
    </row>
    <row r="15982" spans="1:1" x14ac:dyDescent="0.25">
      <c r="A15982" s="74">
        <v>20774</v>
      </c>
    </row>
    <row r="15983" spans="1:1" x14ac:dyDescent="0.25">
      <c r="A15983" s="74">
        <v>20775</v>
      </c>
    </row>
    <row r="15984" spans="1:1" x14ac:dyDescent="0.25">
      <c r="A15984" s="74">
        <v>20776</v>
      </c>
    </row>
    <row r="15985" spans="1:1" x14ac:dyDescent="0.25">
      <c r="A15985" s="74">
        <v>20777</v>
      </c>
    </row>
    <row r="15986" spans="1:1" x14ac:dyDescent="0.25">
      <c r="A15986" s="74">
        <v>20778</v>
      </c>
    </row>
    <row r="15987" spans="1:1" x14ac:dyDescent="0.25">
      <c r="A15987" s="74">
        <v>20779</v>
      </c>
    </row>
    <row r="15988" spans="1:1" x14ac:dyDescent="0.25">
      <c r="A15988" s="74">
        <v>20780</v>
      </c>
    </row>
    <row r="15989" spans="1:1" x14ac:dyDescent="0.25">
      <c r="A15989" s="74">
        <v>20781</v>
      </c>
    </row>
    <row r="15990" spans="1:1" x14ac:dyDescent="0.25">
      <c r="A15990" s="74">
        <v>20782</v>
      </c>
    </row>
    <row r="15991" spans="1:1" x14ac:dyDescent="0.25">
      <c r="A15991" s="74">
        <v>20783</v>
      </c>
    </row>
    <row r="15992" spans="1:1" x14ac:dyDescent="0.25">
      <c r="A15992" s="74">
        <v>20784</v>
      </c>
    </row>
    <row r="15993" spans="1:1" x14ac:dyDescent="0.25">
      <c r="A15993" s="74">
        <v>20785</v>
      </c>
    </row>
    <row r="15994" spans="1:1" x14ac:dyDescent="0.25">
      <c r="A15994" s="74">
        <v>20786</v>
      </c>
    </row>
    <row r="15995" spans="1:1" x14ac:dyDescent="0.25">
      <c r="A15995" s="74">
        <v>20787</v>
      </c>
    </row>
    <row r="15996" spans="1:1" x14ac:dyDescent="0.25">
      <c r="A15996" s="74">
        <v>20788</v>
      </c>
    </row>
    <row r="15997" spans="1:1" x14ac:dyDescent="0.25">
      <c r="A15997" s="74">
        <v>20789</v>
      </c>
    </row>
    <row r="15998" spans="1:1" x14ac:dyDescent="0.25">
      <c r="A15998" s="74">
        <v>20790</v>
      </c>
    </row>
    <row r="15999" spans="1:1" x14ac:dyDescent="0.25">
      <c r="A15999" s="74">
        <v>20791</v>
      </c>
    </row>
    <row r="16000" spans="1:1" x14ac:dyDescent="0.25">
      <c r="A16000" s="74">
        <v>20792</v>
      </c>
    </row>
    <row r="16001" spans="1:1" x14ac:dyDescent="0.25">
      <c r="A16001" s="74">
        <v>20793</v>
      </c>
    </row>
    <row r="16002" spans="1:1" x14ac:dyDescent="0.25">
      <c r="A16002" s="74">
        <v>20794</v>
      </c>
    </row>
    <row r="16003" spans="1:1" x14ac:dyDescent="0.25">
      <c r="A16003" s="74">
        <v>20795</v>
      </c>
    </row>
    <row r="16004" spans="1:1" x14ac:dyDescent="0.25">
      <c r="A16004" s="74">
        <v>20796</v>
      </c>
    </row>
    <row r="16005" spans="1:1" x14ac:dyDescent="0.25">
      <c r="A16005" s="74">
        <v>20797</v>
      </c>
    </row>
    <row r="16006" spans="1:1" x14ac:dyDescent="0.25">
      <c r="A16006" s="74">
        <v>20798</v>
      </c>
    </row>
    <row r="16007" spans="1:1" x14ac:dyDescent="0.25">
      <c r="A16007" s="74">
        <v>20799</v>
      </c>
    </row>
    <row r="16008" spans="1:1" x14ac:dyDescent="0.25">
      <c r="A16008" s="74">
        <v>20800</v>
      </c>
    </row>
    <row r="16009" spans="1:1" x14ac:dyDescent="0.25">
      <c r="A16009" s="74">
        <v>20801</v>
      </c>
    </row>
    <row r="16010" spans="1:1" x14ac:dyDescent="0.25">
      <c r="A16010" s="74">
        <v>20802</v>
      </c>
    </row>
    <row r="16011" spans="1:1" x14ac:dyDescent="0.25">
      <c r="A16011" s="74">
        <v>20803</v>
      </c>
    </row>
    <row r="16012" spans="1:1" x14ac:dyDescent="0.25">
      <c r="A16012" s="74">
        <v>20804</v>
      </c>
    </row>
    <row r="16013" spans="1:1" x14ac:dyDescent="0.25">
      <c r="A16013" s="74">
        <v>20805</v>
      </c>
    </row>
    <row r="16014" spans="1:1" x14ac:dyDescent="0.25">
      <c r="A16014" s="74">
        <v>20806</v>
      </c>
    </row>
    <row r="16015" spans="1:1" x14ac:dyDescent="0.25">
      <c r="A16015" s="74">
        <v>20807</v>
      </c>
    </row>
    <row r="16016" spans="1:1" x14ac:dyDescent="0.25">
      <c r="A16016" s="74">
        <v>20808</v>
      </c>
    </row>
    <row r="16017" spans="1:1" x14ac:dyDescent="0.25">
      <c r="A16017" s="74">
        <v>20809</v>
      </c>
    </row>
    <row r="16018" spans="1:1" x14ac:dyDescent="0.25">
      <c r="A16018" s="74">
        <v>20810</v>
      </c>
    </row>
    <row r="16019" spans="1:1" x14ac:dyDescent="0.25">
      <c r="A16019" s="74">
        <v>20811</v>
      </c>
    </row>
    <row r="16020" spans="1:1" x14ac:dyDescent="0.25">
      <c r="A16020" s="74">
        <v>20812</v>
      </c>
    </row>
    <row r="16021" spans="1:1" x14ac:dyDescent="0.25">
      <c r="A16021" s="74">
        <v>20813</v>
      </c>
    </row>
    <row r="16022" spans="1:1" x14ac:dyDescent="0.25">
      <c r="A16022" s="74">
        <v>20814</v>
      </c>
    </row>
    <row r="16023" spans="1:1" x14ac:dyDescent="0.25">
      <c r="A16023" s="74">
        <v>20815</v>
      </c>
    </row>
    <row r="16024" spans="1:1" x14ac:dyDescent="0.25">
      <c r="A16024" s="74">
        <v>20816</v>
      </c>
    </row>
    <row r="16025" spans="1:1" x14ac:dyDescent="0.25">
      <c r="A16025" s="74">
        <v>20817</v>
      </c>
    </row>
    <row r="16026" spans="1:1" x14ac:dyDescent="0.25">
      <c r="A16026" s="74">
        <v>20818</v>
      </c>
    </row>
    <row r="16027" spans="1:1" x14ac:dyDescent="0.25">
      <c r="A16027" s="74">
        <v>20819</v>
      </c>
    </row>
    <row r="16028" spans="1:1" x14ac:dyDescent="0.25">
      <c r="A16028" s="74">
        <v>20820</v>
      </c>
    </row>
    <row r="16029" spans="1:1" x14ac:dyDescent="0.25">
      <c r="A16029" s="74">
        <v>20821</v>
      </c>
    </row>
    <row r="16030" spans="1:1" x14ac:dyDescent="0.25">
      <c r="A16030" s="74">
        <v>20822</v>
      </c>
    </row>
    <row r="16031" spans="1:1" x14ac:dyDescent="0.25">
      <c r="A16031" s="74">
        <v>20823</v>
      </c>
    </row>
    <row r="16032" spans="1:1" x14ac:dyDescent="0.25">
      <c r="A16032" s="74">
        <v>20824</v>
      </c>
    </row>
    <row r="16033" spans="1:1" x14ac:dyDescent="0.25">
      <c r="A16033" s="74">
        <v>20825</v>
      </c>
    </row>
    <row r="16034" spans="1:1" x14ac:dyDescent="0.25">
      <c r="A16034" s="74">
        <v>20826</v>
      </c>
    </row>
    <row r="16035" spans="1:1" x14ac:dyDescent="0.25">
      <c r="A16035" s="74">
        <v>20827</v>
      </c>
    </row>
    <row r="16036" spans="1:1" x14ac:dyDescent="0.25">
      <c r="A16036" s="74">
        <v>20828</v>
      </c>
    </row>
    <row r="16037" spans="1:1" x14ac:dyDescent="0.25">
      <c r="A16037" s="74">
        <v>20829</v>
      </c>
    </row>
    <row r="16038" spans="1:1" x14ac:dyDescent="0.25">
      <c r="A16038" s="74">
        <v>20830</v>
      </c>
    </row>
    <row r="16039" spans="1:1" x14ac:dyDescent="0.25">
      <c r="A16039" s="74">
        <v>20831</v>
      </c>
    </row>
    <row r="16040" spans="1:1" x14ac:dyDescent="0.25">
      <c r="A16040" s="74">
        <v>20832</v>
      </c>
    </row>
    <row r="16041" spans="1:1" x14ac:dyDescent="0.25">
      <c r="A16041" s="74">
        <v>20833</v>
      </c>
    </row>
    <row r="16042" spans="1:1" x14ac:dyDescent="0.25">
      <c r="A16042" s="74">
        <v>20834</v>
      </c>
    </row>
    <row r="16043" spans="1:1" x14ac:dyDescent="0.25">
      <c r="A16043" s="74">
        <v>20835</v>
      </c>
    </row>
    <row r="16044" spans="1:1" x14ac:dyDescent="0.25">
      <c r="A16044" s="74">
        <v>20836</v>
      </c>
    </row>
    <row r="16045" spans="1:1" x14ac:dyDescent="0.25">
      <c r="A16045" s="74">
        <v>20837</v>
      </c>
    </row>
    <row r="16046" spans="1:1" x14ac:dyDescent="0.25">
      <c r="A16046" s="74">
        <v>20838</v>
      </c>
    </row>
    <row r="16047" spans="1:1" x14ac:dyDescent="0.25">
      <c r="A16047" s="74">
        <v>20839</v>
      </c>
    </row>
    <row r="16048" spans="1:1" x14ac:dyDescent="0.25">
      <c r="A16048" s="74">
        <v>20840</v>
      </c>
    </row>
    <row r="16049" spans="1:1" x14ac:dyDescent="0.25">
      <c r="A16049" s="74">
        <v>20841</v>
      </c>
    </row>
    <row r="16050" spans="1:1" x14ac:dyDescent="0.25">
      <c r="A16050" s="74">
        <v>20842</v>
      </c>
    </row>
    <row r="16051" spans="1:1" x14ac:dyDescent="0.25">
      <c r="A16051" s="74">
        <v>20843</v>
      </c>
    </row>
    <row r="16052" spans="1:1" x14ac:dyDescent="0.25">
      <c r="A16052" s="74">
        <v>20844</v>
      </c>
    </row>
    <row r="16053" spans="1:1" x14ac:dyDescent="0.25">
      <c r="A16053" s="74">
        <v>20845</v>
      </c>
    </row>
    <row r="16054" spans="1:1" x14ac:dyDescent="0.25">
      <c r="A16054" s="74">
        <v>20846</v>
      </c>
    </row>
    <row r="16055" spans="1:1" x14ac:dyDescent="0.25">
      <c r="A16055" s="74">
        <v>20847</v>
      </c>
    </row>
    <row r="16056" spans="1:1" x14ac:dyDescent="0.25">
      <c r="A16056" s="74">
        <v>20848</v>
      </c>
    </row>
    <row r="16057" spans="1:1" x14ac:dyDescent="0.25">
      <c r="A16057" s="74">
        <v>20849</v>
      </c>
    </row>
    <row r="16058" spans="1:1" x14ac:dyDescent="0.25">
      <c r="A16058" s="74">
        <v>20850</v>
      </c>
    </row>
    <row r="16059" spans="1:1" x14ac:dyDescent="0.25">
      <c r="A16059" s="74">
        <v>20851</v>
      </c>
    </row>
    <row r="16060" spans="1:1" x14ac:dyDescent="0.25">
      <c r="A16060" s="74">
        <v>20852</v>
      </c>
    </row>
    <row r="16061" spans="1:1" x14ac:dyDescent="0.25">
      <c r="A16061" s="74">
        <v>20853</v>
      </c>
    </row>
    <row r="16062" spans="1:1" x14ac:dyDescent="0.25">
      <c r="A16062" s="74">
        <v>20854</v>
      </c>
    </row>
    <row r="16063" spans="1:1" x14ac:dyDescent="0.25">
      <c r="A16063" s="74">
        <v>20855</v>
      </c>
    </row>
    <row r="16064" spans="1:1" x14ac:dyDescent="0.25">
      <c r="A16064" s="74">
        <v>20856</v>
      </c>
    </row>
    <row r="16065" spans="1:1" x14ac:dyDescent="0.25">
      <c r="A16065" s="74">
        <v>20857</v>
      </c>
    </row>
    <row r="16066" spans="1:1" x14ac:dyDescent="0.25">
      <c r="A16066" s="74">
        <v>20858</v>
      </c>
    </row>
    <row r="16067" spans="1:1" x14ac:dyDescent="0.25">
      <c r="A16067" s="74">
        <v>20859</v>
      </c>
    </row>
    <row r="16068" spans="1:1" x14ac:dyDescent="0.25">
      <c r="A16068" s="74">
        <v>20860</v>
      </c>
    </row>
    <row r="16069" spans="1:1" x14ac:dyDescent="0.25">
      <c r="A16069" s="74">
        <v>20861</v>
      </c>
    </row>
    <row r="16070" spans="1:1" x14ac:dyDescent="0.25">
      <c r="A16070" s="74">
        <v>20862</v>
      </c>
    </row>
    <row r="16071" spans="1:1" x14ac:dyDescent="0.25">
      <c r="A16071" s="74">
        <v>20863</v>
      </c>
    </row>
    <row r="16072" spans="1:1" x14ac:dyDescent="0.25">
      <c r="A16072" s="74">
        <v>20864</v>
      </c>
    </row>
    <row r="16073" spans="1:1" x14ac:dyDescent="0.25">
      <c r="A16073" s="74">
        <v>20865</v>
      </c>
    </row>
    <row r="16074" spans="1:1" x14ac:dyDescent="0.25">
      <c r="A16074" s="74">
        <v>20866</v>
      </c>
    </row>
    <row r="16075" spans="1:1" x14ac:dyDescent="0.25">
      <c r="A16075" s="74">
        <v>20867</v>
      </c>
    </row>
    <row r="16076" spans="1:1" x14ac:dyDescent="0.25">
      <c r="A16076" s="74">
        <v>20868</v>
      </c>
    </row>
    <row r="16077" spans="1:1" x14ac:dyDescent="0.25">
      <c r="A16077" s="74">
        <v>20869</v>
      </c>
    </row>
    <row r="16078" spans="1:1" x14ac:dyDescent="0.25">
      <c r="A16078" s="74">
        <v>20870</v>
      </c>
    </row>
    <row r="16079" spans="1:1" x14ac:dyDescent="0.25">
      <c r="A16079" s="74">
        <v>20871</v>
      </c>
    </row>
    <row r="16080" spans="1:1" x14ac:dyDescent="0.25">
      <c r="A16080" s="74">
        <v>20872</v>
      </c>
    </row>
    <row r="16081" spans="1:1" x14ac:dyDescent="0.25">
      <c r="A16081" s="74">
        <v>20873</v>
      </c>
    </row>
    <row r="16082" spans="1:1" x14ac:dyDescent="0.25">
      <c r="A16082" s="74">
        <v>20874</v>
      </c>
    </row>
    <row r="16083" spans="1:1" x14ac:dyDescent="0.25">
      <c r="A16083" s="74">
        <v>20875</v>
      </c>
    </row>
    <row r="16084" spans="1:1" x14ac:dyDescent="0.25">
      <c r="A16084" s="74">
        <v>20876</v>
      </c>
    </row>
    <row r="16085" spans="1:1" x14ac:dyDescent="0.25">
      <c r="A16085" s="74">
        <v>20877</v>
      </c>
    </row>
    <row r="16086" spans="1:1" x14ac:dyDescent="0.25">
      <c r="A16086" s="74">
        <v>20878</v>
      </c>
    </row>
    <row r="16087" spans="1:1" x14ac:dyDescent="0.25">
      <c r="A16087" s="74">
        <v>20879</v>
      </c>
    </row>
    <row r="16088" spans="1:1" x14ac:dyDescent="0.25">
      <c r="A16088" s="74">
        <v>20880</v>
      </c>
    </row>
    <row r="16089" spans="1:1" x14ac:dyDescent="0.25">
      <c r="A16089" s="74">
        <v>20881</v>
      </c>
    </row>
    <row r="16090" spans="1:1" x14ac:dyDescent="0.25">
      <c r="A16090" s="74">
        <v>20882</v>
      </c>
    </row>
    <row r="16091" spans="1:1" x14ac:dyDescent="0.25">
      <c r="A16091" s="74">
        <v>20883</v>
      </c>
    </row>
    <row r="16092" spans="1:1" x14ac:dyDescent="0.25">
      <c r="A16092" s="74">
        <v>20884</v>
      </c>
    </row>
    <row r="16093" spans="1:1" x14ac:dyDescent="0.25">
      <c r="A16093" s="74">
        <v>20885</v>
      </c>
    </row>
    <row r="16094" spans="1:1" x14ac:dyDescent="0.25">
      <c r="A16094" s="74">
        <v>20886</v>
      </c>
    </row>
    <row r="16095" spans="1:1" x14ac:dyDescent="0.25">
      <c r="A16095" s="74">
        <v>20887</v>
      </c>
    </row>
    <row r="16096" spans="1:1" x14ac:dyDescent="0.25">
      <c r="A16096" s="74">
        <v>20888</v>
      </c>
    </row>
    <row r="16097" spans="1:1" x14ac:dyDescent="0.25">
      <c r="A16097" s="74">
        <v>20889</v>
      </c>
    </row>
    <row r="16098" spans="1:1" x14ac:dyDescent="0.25">
      <c r="A16098" s="74">
        <v>20890</v>
      </c>
    </row>
    <row r="16099" spans="1:1" x14ac:dyDescent="0.25">
      <c r="A16099" s="74">
        <v>20891</v>
      </c>
    </row>
    <row r="16100" spans="1:1" x14ac:dyDescent="0.25">
      <c r="A16100" s="74">
        <v>20892</v>
      </c>
    </row>
    <row r="16101" spans="1:1" x14ac:dyDescent="0.25">
      <c r="A16101" s="74">
        <v>20893</v>
      </c>
    </row>
    <row r="16102" spans="1:1" x14ac:dyDescent="0.25">
      <c r="A16102" s="74">
        <v>20894</v>
      </c>
    </row>
    <row r="16103" spans="1:1" x14ac:dyDescent="0.25">
      <c r="A16103" s="74">
        <v>20895</v>
      </c>
    </row>
    <row r="16104" spans="1:1" x14ac:dyDescent="0.25">
      <c r="A16104" s="74">
        <v>20896</v>
      </c>
    </row>
    <row r="16105" spans="1:1" x14ac:dyDescent="0.25">
      <c r="A16105" s="74">
        <v>20897</v>
      </c>
    </row>
    <row r="16106" spans="1:1" x14ac:dyDescent="0.25">
      <c r="A16106" s="74">
        <v>20898</v>
      </c>
    </row>
    <row r="16107" spans="1:1" x14ac:dyDescent="0.25">
      <c r="A16107" s="74">
        <v>20899</v>
      </c>
    </row>
    <row r="16108" spans="1:1" x14ac:dyDescent="0.25">
      <c r="A16108" s="74">
        <v>20900</v>
      </c>
    </row>
    <row r="16109" spans="1:1" x14ac:dyDescent="0.25">
      <c r="A16109" s="74">
        <v>20901</v>
      </c>
    </row>
    <row r="16110" spans="1:1" x14ac:dyDescent="0.25">
      <c r="A16110" s="74">
        <v>20902</v>
      </c>
    </row>
    <row r="16111" spans="1:1" x14ac:dyDescent="0.25">
      <c r="A16111" s="74">
        <v>20903</v>
      </c>
    </row>
    <row r="16112" spans="1:1" x14ac:dyDescent="0.25">
      <c r="A16112" s="74">
        <v>20904</v>
      </c>
    </row>
    <row r="16113" spans="1:1" x14ac:dyDescent="0.25">
      <c r="A16113" s="74">
        <v>20905</v>
      </c>
    </row>
    <row r="16114" spans="1:1" x14ac:dyDescent="0.25">
      <c r="A16114" s="74">
        <v>20906</v>
      </c>
    </row>
    <row r="16115" spans="1:1" x14ac:dyDescent="0.25">
      <c r="A16115" s="74">
        <v>20907</v>
      </c>
    </row>
    <row r="16116" spans="1:1" x14ac:dyDescent="0.25">
      <c r="A16116" s="74">
        <v>20908</v>
      </c>
    </row>
    <row r="16117" spans="1:1" x14ac:dyDescent="0.25">
      <c r="A16117" s="74">
        <v>20909</v>
      </c>
    </row>
    <row r="16118" spans="1:1" x14ac:dyDescent="0.25">
      <c r="A16118" s="74">
        <v>20910</v>
      </c>
    </row>
    <row r="16119" spans="1:1" x14ac:dyDescent="0.25">
      <c r="A16119" s="74">
        <v>20911</v>
      </c>
    </row>
    <row r="16120" spans="1:1" x14ac:dyDescent="0.25">
      <c r="A16120" s="74">
        <v>20912</v>
      </c>
    </row>
    <row r="16121" spans="1:1" x14ac:dyDescent="0.25">
      <c r="A16121" s="74">
        <v>20913</v>
      </c>
    </row>
    <row r="16122" spans="1:1" x14ac:dyDescent="0.25">
      <c r="A16122" s="74">
        <v>20914</v>
      </c>
    </row>
    <row r="16123" spans="1:1" x14ac:dyDescent="0.25">
      <c r="A16123" s="74">
        <v>20915</v>
      </c>
    </row>
    <row r="16124" spans="1:1" x14ac:dyDescent="0.25">
      <c r="A16124" s="74">
        <v>20916</v>
      </c>
    </row>
    <row r="16125" spans="1:1" x14ac:dyDescent="0.25">
      <c r="A16125" s="74">
        <v>20917</v>
      </c>
    </row>
    <row r="16126" spans="1:1" x14ac:dyDescent="0.25">
      <c r="A16126" s="74">
        <v>20918</v>
      </c>
    </row>
    <row r="16127" spans="1:1" x14ac:dyDescent="0.25">
      <c r="A16127" s="74">
        <v>20919</v>
      </c>
    </row>
    <row r="16128" spans="1:1" x14ac:dyDescent="0.25">
      <c r="A16128" s="74">
        <v>20920</v>
      </c>
    </row>
    <row r="16129" spans="1:1" x14ac:dyDescent="0.25">
      <c r="A16129" s="74">
        <v>20921</v>
      </c>
    </row>
    <row r="16130" spans="1:1" x14ac:dyDescent="0.25">
      <c r="A16130" s="74">
        <v>20922</v>
      </c>
    </row>
    <row r="16131" spans="1:1" x14ac:dyDescent="0.25">
      <c r="A16131" s="74">
        <v>20923</v>
      </c>
    </row>
    <row r="16132" spans="1:1" x14ac:dyDescent="0.25">
      <c r="A16132" s="74">
        <v>20924</v>
      </c>
    </row>
    <row r="16133" spans="1:1" x14ac:dyDescent="0.25">
      <c r="A16133" s="74">
        <v>20925</v>
      </c>
    </row>
    <row r="16134" spans="1:1" x14ac:dyDescent="0.25">
      <c r="A16134" s="74">
        <v>20926</v>
      </c>
    </row>
    <row r="16135" spans="1:1" x14ac:dyDescent="0.25">
      <c r="A16135" s="74">
        <v>20927</v>
      </c>
    </row>
    <row r="16136" spans="1:1" x14ac:dyDescent="0.25">
      <c r="A16136" s="74">
        <v>20928</v>
      </c>
    </row>
    <row r="16137" spans="1:1" x14ac:dyDescent="0.25">
      <c r="A16137" s="74">
        <v>20929</v>
      </c>
    </row>
    <row r="16138" spans="1:1" x14ac:dyDescent="0.25">
      <c r="A16138" s="74">
        <v>20930</v>
      </c>
    </row>
    <row r="16139" spans="1:1" x14ac:dyDescent="0.25">
      <c r="A16139" s="74">
        <v>20931</v>
      </c>
    </row>
    <row r="16140" spans="1:1" x14ac:dyDescent="0.25">
      <c r="A16140" s="74">
        <v>20932</v>
      </c>
    </row>
    <row r="16141" spans="1:1" x14ac:dyDescent="0.25">
      <c r="A16141" s="74">
        <v>20933</v>
      </c>
    </row>
    <row r="16142" spans="1:1" x14ac:dyDescent="0.25">
      <c r="A16142" s="74">
        <v>20934</v>
      </c>
    </row>
    <row r="16143" spans="1:1" x14ac:dyDescent="0.25">
      <c r="A16143" s="74">
        <v>20935</v>
      </c>
    </row>
    <row r="16144" spans="1:1" x14ac:dyDescent="0.25">
      <c r="A16144" s="74">
        <v>20936</v>
      </c>
    </row>
    <row r="16145" spans="1:1" x14ac:dyDescent="0.25">
      <c r="A16145" s="74">
        <v>20937</v>
      </c>
    </row>
    <row r="16146" spans="1:1" x14ac:dyDescent="0.25">
      <c r="A16146" s="74">
        <v>20938</v>
      </c>
    </row>
    <row r="16147" spans="1:1" x14ac:dyDescent="0.25">
      <c r="A16147" s="74">
        <v>20939</v>
      </c>
    </row>
    <row r="16148" spans="1:1" x14ac:dyDescent="0.25">
      <c r="A16148" s="74">
        <v>20940</v>
      </c>
    </row>
    <row r="16149" spans="1:1" x14ac:dyDescent="0.25">
      <c r="A16149" s="74">
        <v>20941</v>
      </c>
    </row>
    <row r="16150" spans="1:1" x14ac:dyDescent="0.25">
      <c r="A16150" s="74">
        <v>20942</v>
      </c>
    </row>
    <row r="16151" spans="1:1" x14ac:dyDescent="0.25">
      <c r="A16151" s="74">
        <v>20943</v>
      </c>
    </row>
    <row r="16152" spans="1:1" x14ac:dyDescent="0.25">
      <c r="A16152" s="74">
        <v>20944</v>
      </c>
    </row>
    <row r="16153" spans="1:1" x14ac:dyDescent="0.25">
      <c r="A16153" s="74">
        <v>20945</v>
      </c>
    </row>
    <row r="16154" spans="1:1" x14ac:dyDescent="0.25">
      <c r="A16154" s="74">
        <v>20946</v>
      </c>
    </row>
    <row r="16155" spans="1:1" x14ac:dyDescent="0.25">
      <c r="A16155" s="74">
        <v>20947</v>
      </c>
    </row>
    <row r="16156" spans="1:1" x14ac:dyDescent="0.25">
      <c r="A16156" s="74">
        <v>20948</v>
      </c>
    </row>
    <row r="16157" spans="1:1" x14ac:dyDescent="0.25">
      <c r="A16157" s="74">
        <v>20949</v>
      </c>
    </row>
    <row r="16158" spans="1:1" x14ac:dyDescent="0.25">
      <c r="A16158" s="74">
        <v>20950</v>
      </c>
    </row>
    <row r="16159" spans="1:1" x14ac:dyDescent="0.25">
      <c r="A16159" s="74">
        <v>20951</v>
      </c>
    </row>
    <row r="16160" spans="1:1" x14ac:dyDescent="0.25">
      <c r="A16160" s="74">
        <v>20952</v>
      </c>
    </row>
    <row r="16161" spans="1:1" x14ac:dyDescent="0.25">
      <c r="A16161" s="74">
        <v>20953</v>
      </c>
    </row>
    <row r="16162" spans="1:1" x14ac:dyDescent="0.25">
      <c r="A16162" s="74">
        <v>20954</v>
      </c>
    </row>
    <row r="16163" spans="1:1" x14ac:dyDescent="0.25">
      <c r="A16163" s="74">
        <v>20955</v>
      </c>
    </row>
    <row r="16164" spans="1:1" x14ac:dyDescent="0.25">
      <c r="A16164" s="74">
        <v>20956</v>
      </c>
    </row>
    <row r="16165" spans="1:1" x14ac:dyDescent="0.25">
      <c r="A16165" s="74">
        <v>20957</v>
      </c>
    </row>
    <row r="16166" spans="1:1" x14ac:dyDescent="0.25">
      <c r="A16166" s="74">
        <v>20958</v>
      </c>
    </row>
    <row r="16167" spans="1:1" x14ac:dyDescent="0.25">
      <c r="A16167" s="74">
        <v>20959</v>
      </c>
    </row>
    <row r="16168" spans="1:1" x14ac:dyDescent="0.25">
      <c r="A16168" s="74">
        <v>20960</v>
      </c>
    </row>
    <row r="16169" spans="1:1" x14ac:dyDescent="0.25">
      <c r="A16169" s="74">
        <v>20961</v>
      </c>
    </row>
    <row r="16170" spans="1:1" x14ac:dyDescent="0.25">
      <c r="A16170" s="74">
        <v>20962</v>
      </c>
    </row>
    <row r="16171" spans="1:1" x14ac:dyDescent="0.25">
      <c r="A16171" s="74">
        <v>20963</v>
      </c>
    </row>
    <row r="16172" spans="1:1" x14ac:dyDescent="0.25">
      <c r="A16172" s="74">
        <v>20964</v>
      </c>
    </row>
    <row r="16173" spans="1:1" x14ac:dyDescent="0.25">
      <c r="A16173" s="74">
        <v>20965</v>
      </c>
    </row>
    <row r="16174" spans="1:1" x14ac:dyDescent="0.25">
      <c r="A16174" s="74">
        <v>20966</v>
      </c>
    </row>
    <row r="16175" spans="1:1" x14ac:dyDescent="0.25">
      <c r="A16175" s="74">
        <v>20967</v>
      </c>
    </row>
    <row r="16176" spans="1:1" x14ac:dyDescent="0.25">
      <c r="A16176" s="74">
        <v>20968</v>
      </c>
    </row>
    <row r="16177" spans="1:1" x14ac:dyDescent="0.25">
      <c r="A16177" s="74">
        <v>20969</v>
      </c>
    </row>
    <row r="16178" spans="1:1" x14ac:dyDescent="0.25">
      <c r="A16178" s="74">
        <v>20970</v>
      </c>
    </row>
    <row r="16179" spans="1:1" x14ac:dyDescent="0.25">
      <c r="A16179" s="74">
        <v>20971</v>
      </c>
    </row>
    <row r="16180" spans="1:1" x14ac:dyDescent="0.25">
      <c r="A16180" s="74">
        <v>20972</v>
      </c>
    </row>
    <row r="16181" spans="1:1" x14ac:dyDescent="0.25">
      <c r="A16181" s="74">
        <v>20973</v>
      </c>
    </row>
    <row r="16182" spans="1:1" x14ac:dyDescent="0.25">
      <c r="A16182" s="74">
        <v>20974</v>
      </c>
    </row>
    <row r="16183" spans="1:1" x14ac:dyDescent="0.25">
      <c r="A16183" s="74">
        <v>20975</v>
      </c>
    </row>
    <row r="16184" spans="1:1" x14ac:dyDescent="0.25">
      <c r="A16184" s="74">
        <v>20976</v>
      </c>
    </row>
    <row r="16185" spans="1:1" x14ac:dyDescent="0.25">
      <c r="A16185" s="74">
        <v>20977</v>
      </c>
    </row>
    <row r="16186" spans="1:1" x14ac:dyDescent="0.25">
      <c r="A16186" s="74">
        <v>20978</v>
      </c>
    </row>
    <row r="16187" spans="1:1" x14ac:dyDescent="0.25">
      <c r="A16187" s="74">
        <v>20979</v>
      </c>
    </row>
    <row r="16188" spans="1:1" x14ac:dyDescent="0.25">
      <c r="A16188" s="74">
        <v>20980</v>
      </c>
    </row>
    <row r="16189" spans="1:1" x14ac:dyDescent="0.25">
      <c r="A16189" s="74">
        <v>20981</v>
      </c>
    </row>
    <row r="16190" spans="1:1" x14ac:dyDescent="0.25">
      <c r="A16190" s="74">
        <v>20982</v>
      </c>
    </row>
    <row r="16191" spans="1:1" x14ac:dyDescent="0.25">
      <c r="A16191" s="74">
        <v>20983</v>
      </c>
    </row>
    <row r="16192" spans="1:1" x14ac:dyDescent="0.25">
      <c r="A16192" s="74">
        <v>20984</v>
      </c>
    </row>
    <row r="16193" spans="1:1" x14ac:dyDescent="0.25">
      <c r="A16193" s="74">
        <v>20985</v>
      </c>
    </row>
    <row r="16194" spans="1:1" x14ac:dyDescent="0.25">
      <c r="A16194" s="74">
        <v>20986</v>
      </c>
    </row>
    <row r="16195" spans="1:1" x14ac:dyDescent="0.25">
      <c r="A16195" s="74">
        <v>20987</v>
      </c>
    </row>
    <row r="16196" spans="1:1" x14ac:dyDescent="0.25">
      <c r="A16196" s="74">
        <v>20988</v>
      </c>
    </row>
    <row r="16197" spans="1:1" x14ac:dyDescent="0.25">
      <c r="A16197" s="74">
        <v>20989</v>
      </c>
    </row>
    <row r="16198" spans="1:1" x14ac:dyDescent="0.25">
      <c r="A16198" s="74">
        <v>20990</v>
      </c>
    </row>
    <row r="16199" spans="1:1" x14ac:dyDescent="0.25">
      <c r="A16199" s="74">
        <v>20991</v>
      </c>
    </row>
    <row r="16200" spans="1:1" x14ac:dyDescent="0.25">
      <c r="A16200" s="74">
        <v>20992</v>
      </c>
    </row>
    <row r="16201" spans="1:1" x14ac:dyDescent="0.25">
      <c r="A16201" s="74">
        <v>20993</v>
      </c>
    </row>
    <row r="16202" spans="1:1" x14ac:dyDescent="0.25">
      <c r="A16202" s="74">
        <v>20994</v>
      </c>
    </row>
    <row r="16203" spans="1:1" x14ac:dyDescent="0.25">
      <c r="A16203" s="74">
        <v>20995</v>
      </c>
    </row>
    <row r="16204" spans="1:1" x14ac:dyDescent="0.25">
      <c r="A16204" s="74">
        <v>20996</v>
      </c>
    </row>
    <row r="16205" spans="1:1" x14ac:dyDescent="0.25">
      <c r="A16205" s="74">
        <v>20997</v>
      </c>
    </row>
    <row r="16206" spans="1:1" x14ac:dyDescent="0.25">
      <c r="A16206" s="74">
        <v>20998</v>
      </c>
    </row>
    <row r="16207" spans="1:1" x14ac:dyDescent="0.25">
      <c r="A16207" s="74">
        <v>20999</v>
      </c>
    </row>
    <row r="16208" spans="1:1" x14ac:dyDescent="0.25">
      <c r="A16208" s="74">
        <v>21000</v>
      </c>
    </row>
    <row r="16209" spans="1:1" x14ac:dyDescent="0.25">
      <c r="A16209" s="74">
        <v>21001</v>
      </c>
    </row>
    <row r="16210" spans="1:1" x14ac:dyDescent="0.25">
      <c r="A16210" s="74">
        <v>21002</v>
      </c>
    </row>
    <row r="16211" spans="1:1" x14ac:dyDescent="0.25">
      <c r="A16211" s="74">
        <v>21003</v>
      </c>
    </row>
    <row r="16212" spans="1:1" x14ac:dyDescent="0.25">
      <c r="A16212" s="74">
        <v>21004</v>
      </c>
    </row>
    <row r="16213" spans="1:1" x14ac:dyDescent="0.25">
      <c r="A16213" s="74">
        <v>21005</v>
      </c>
    </row>
    <row r="16214" spans="1:1" x14ac:dyDescent="0.25">
      <c r="A16214" s="74">
        <v>21006</v>
      </c>
    </row>
    <row r="16215" spans="1:1" x14ac:dyDescent="0.25">
      <c r="A16215" s="74">
        <v>21007</v>
      </c>
    </row>
    <row r="16216" spans="1:1" x14ac:dyDescent="0.25">
      <c r="A16216" s="74">
        <v>21008</v>
      </c>
    </row>
    <row r="16217" spans="1:1" x14ac:dyDescent="0.25">
      <c r="A16217" s="74">
        <v>21009</v>
      </c>
    </row>
    <row r="16218" spans="1:1" x14ac:dyDescent="0.25">
      <c r="A16218" s="74">
        <v>21010</v>
      </c>
    </row>
    <row r="16219" spans="1:1" x14ac:dyDescent="0.25">
      <c r="A16219" s="74">
        <v>21011</v>
      </c>
    </row>
    <row r="16220" spans="1:1" x14ac:dyDescent="0.25">
      <c r="A16220" s="74">
        <v>21012</v>
      </c>
    </row>
    <row r="16221" spans="1:1" x14ac:dyDescent="0.25">
      <c r="A16221" s="74">
        <v>21013</v>
      </c>
    </row>
    <row r="16222" spans="1:1" x14ac:dyDescent="0.25">
      <c r="A16222" s="74">
        <v>21014</v>
      </c>
    </row>
    <row r="16223" spans="1:1" x14ac:dyDescent="0.25">
      <c r="A16223" s="74">
        <v>21015</v>
      </c>
    </row>
    <row r="16224" spans="1:1" x14ac:dyDescent="0.25">
      <c r="A16224" s="74">
        <v>21016</v>
      </c>
    </row>
    <row r="16225" spans="1:1" x14ac:dyDescent="0.25">
      <c r="A16225" s="74">
        <v>21017</v>
      </c>
    </row>
    <row r="16226" spans="1:1" x14ac:dyDescent="0.25">
      <c r="A16226" s="74">
        <v>21018</v>
      </c>
    </row>
    <row r="16227" spans="1:1" x14ac:dyDescent="0.25">
      <c r="A16227" s="74">
        <v>21019</v>
      </c>
    </row>
    <row r="16228" spans="1:1" x14ac:dyDescent="0.25">
      <c r="A16228" s="74">
        <v>21020</v>
      </c>
    </row>
    <row r="16229" spans="1:1" x14ac:dyDescent="0.25">
      <c r="A16229" s="74">
        <v>21021</v>
      </c>
    </row>
    <row r="16230" spans="1:1" x14ac:dyDescent="0.25">
      <c r="A16230" s="74">
        <v>21022</v>
      </c>
    </row>
    <row r="16231" spans="1:1" x14ac:dyDescent="0.25">
      <c r="A16231" s="74">
        <v>21023</v>
      </c>
    </row>
    <row r="16232" spans="1:1" x14ac:dyDescent="0.25">
      <c r="A16232" s="74">
        <v>21024</v>
      </c>
    </row>
    <row r="16233" spans="1:1" x14ac:dyDescent="0.25">
      <c r="A16233" s="74">
        <v>21025</v>
      </c>
    </row>
    <row r="16234" spans="1:1" x14ac:dyDescent="0.25">
      <c r="A16234" s="74">
        <v>21026</v>
      </c>
    </row>
    <row r="16235" spans="1:1" x14ac:dyDescent="0.25">
      <c r="A16235" s="74">
        <v>21027</v>
      </c>
    </row>
    <row r="16236" spans="1:1" x14ac:dyDescent="0.25">
      <c r="A16236" s="74">
        <v>21028</v>
      </c>
    </row>
    <row r="16237" spans="1:1" x14ac:dyDescent="0.25">
      <c r="A16237" s="74">
        <v>21029</v>
      </c>
    </row>
    <row r="16238" spans="1:1" x14ac:dyDescent="0.25">
      <c r="A16238" s="74">
        <v>21030</v>
      </c>
    </row>
    <row r="16239" spans="1:1" x14ac:dyDescent="0.25">
      <c r="A16239" s="74">
        <v>21031</v>
      </c>
    </row>
    <row r="16240" spans="1:1" x14ac:dyDescent="0.25">
      <c r="A16240" s="74">
        <v>21032</v>
      </c>
    </row>
    <row r="16241" spans="1:1" x14ac:dyDescent="0.25">
      <c r="A16241" s="74">
        <v>21033</v>
      </c>
    </row>
    <row r="16242" spans="1:1" x14ac:dyDescent="0.25">
      <c r="A16242" s="74">
        <v>21034</v>
      </c>
    </row>
    <row r="16243" spans="1:1" x14ac:dyDescent="0.25">
      <c r="A16243" s="74">
        <v>21035</v>
      </c>
    </row>
    <row r="16244" spans="1:1" x14ac:dyDescent="0.25">
      <c r="A16244" s="74">
        <v>21036</v>
      </c>
    </row>
    <row r="16245" spans="1:1" x14ac:dyDescent="0.25">
      <c r="A16245" s="74">
        <v>21037</v>
      </c>
    </row>
    <row r="16246" spans="1:1" x14ac:dyDescent="0.25">
      <c r="A16246" s="74">
        <v>21038</v>
      </c>
    </row>
    <row r="16247" spans="1:1" x14ac:dyDescent="0.25">
      <c r="A16247" s="74">
        <v>21039</v>
      </c>
    </row>
    <row r="16248" spans="1:1" x14ac:dyDescent="0.25">
      <c r="A16248" s="74">
        <v>21040</v>
      </c>
    </row>
    <row r="16249" spans="1:1" x14ac:dyDescent="0.25">
      <c r="A16249" s="74">
        <v>21041</v>
      </c>
    </row>
    <row r="16250" spans="1:1" x14ac:dyDescent="0.25">
      <c r="A16250" s="74">
        <v>21042</v>
      </c>
    </row>
    <row r="16251" spans="1:1" x14ac:dyDescent="0.25">
      <c r="A16251" s="74">
        <v>21043</v>
      </c>
    </row>
    <row r="16252" spans="1:1" x14ac:dyDescent="0.25">
      <c r="A16252" s="74">
        <v>21044</v>
      </c>
    </row>
    <row r="16253" spans="1:1" x14ac:dyDescent="0.25">
      <c r="A16253" s="74">
        <v>21045</v>
      </c>
    </row>
    <row r="16254" spans="1:1" x14ac:dyDescent="0.25">
      <c r="A16254" s="74">
        <v>21046</v>
      </c>
    </row>
    <row r="16255" spans="1:1" x14ac:dyDescent="0.25">
      <c r="A16255" s="74">
        <v>21047</v>
      </c>
    </row>
    <row r="16256" spans="1:1" x14ac:dyDescent="0.25">
      <c r="A16256" s="74">
        <v>21048</v>
      </c>
    </row>
    <row r="16257" spans="1:1" x14ac:dyDescent="0.25">
      <c r="A16257" s="74">
        <v>21049</v>
      </c>
    </row>
    <row r="16258" spans="1:1" x14ac:dyDescent="0.25">
      <c r="A16258" s="74">
        <v>21050</v>
      </c>
    </row>
    <row r="16259" spans="1:1" x14ac:dyDescent="0.25">
      <c r="A16259" s="74">
        <v>21051</v>
      </c>
    </row>
    <row r="16260" spans="1:1" x14ac:dyDescent="0.25">
      <c r="A16260" s="74">
        <v>21052</v>
      </c>
    </row>
    <row r="16261" spans="1:1" x14ac:dyDescent="0.25">
      <c r="A16261" s="74">
        <v>21053</v>
      </c>
    </row>
    <row r="16262" spans="1:1" x14ac:dyDescent="0.25">
      <c r="A16262" s="74">
        <v>21054</v>
      </c>
    </row>
    <row r="16263" spans="1:1" x14ac:dyDescent="0.25">
      <c r="A16263" s="74">
        <v>21055</v>
      </c>
    </row>
    <row r="16264" spans="1:1" x14ac:dyDescent="0.25">
      <c r="A16264" s="74">
        <v>21056</v>
      </c>
    </row>
    <row r="16265" spans="1:1" x14ac:dyDescent="0.25">
      <c r="A16265" s="74">
        <v>21057</v>
      </c>
    </row>
    <row r="16266" spans="1:1" x14ac:dyDescent="0.25">
      <c r="A16266" s="74">
        <v>21058</v>
      </c>
    </row>
    <row r="16267" spans="1:1" x14ac:dyDescent="0.25">
      <c r="A16267" s="74">
        <v>21059</v>
      </c>
    </row>
    <row r="16268" spans="1:1" x14ac:dyDescent="0.25">
      <c r="A16268" s="74">
        <v>21060</v>
      </c>
    </row>
    <row r="16269" spans="1:1" x14ac:dyDescent="0.25">
      <c r="A16269" s="74">
        <v>21061</v>
      </c>
    </row>
    <row r="16270" spans="1:1" x14ac:dyDescent="0.25">
      <c r="A16270" s="74">
        <v>21062</v>
      </c>
    </row>
    <row r="16271" spans="1:1" x14ac:dyDescent="0.25">
      <c r="A16271" s="74">
        <v>21063</v>
      </c>
    </row>
    <row r="16272" spans="1:1" x14ac:dyDescent="0.25">
      <c r="A16272" s="74">
        <v>21064</v>
      </c>
    </row>
    <row r="16273" spans="1:1" x14ac:dyDescent="0.25">
      <c r="A16273" s="74">
        <v>21065</v>
      </c>
    </row>
    <row r="16274" spans="1:1" x14ac:dyDescent="0.25">
      <c r="A16274" s="74">
        <v>21066</v>
      </c>
    </row>
    <row r="16275" spans="1:1" x14ac:dyDescent="0.25">
      <c r="A16275" s="74">
        <v>21067</v>
      </c>
    </row>
    <row r="16276" spans="1:1" x14ac:dyDescent="0.25">
      <c r="A16276" s="74">
        <v>21068</v>
      </c>
    </row>
    <row r="16277" spans="1:1" x14ac:dyDescent="0.25">
      <c r="A16277" s="74">
        <v>21069</v>
      </c>
    </row>
    <row r="16278" spans="1:1" x14ac:dyDescent="0.25">
      <c r="A16278" s="74">
        <v>21070</v>
      </c>
    </row>
    <row r="16279" spans="1:1" x14ac:dyDescent="0.25">
      <c r="A16279" s="74">
        <v>21071</v>
      </c>
    </row>
    <row r="16280" spans="1:1" x14ac:dyDescent="0.25">
      <c r="A16280" s="74">
        <v>21072</v>
      </c>
    </row>
    <row r="16281" spans="1:1" x14ac:dyDescent="0.25">
      <c r="A16281" s="74">
        <v>21073</v>
      </c>
    </row>
    <row r="16282" spans="1:1" x14ac:dyDescent="0.25">
      <c r="A16282" s="74">
        <v>21074</v>
      </c>
    </row>
    <row r="16283" spans="1:1" x14ac:dyDescent="0.25">
      <c r="A16283" s="74">
        <v>21075</v>
      </c>
    </row>
    <row r="16284" spans="1:1" x14ac:dyDescent="0.25">
      <c r="A16284" s="74">
        <v>21076</v>
      </c>
    </row>
    <row r="16285" spans="1:1" x14ac:dyDescent="0.25">
      <c r="A16285" s="74">
        <v>21077</v>
      </c>
    </row>
    <row r="16286" spans="1:1" x14ac:dyDescent="0.25">
      <c r="A16286" s="74">
        <v>21078</v>
      </c>
    </row>
    <row r="16287" spans="1:1" x14ac:dyDescent="0.25">
      <c r="A16287" s="74">
        <v>21079</v>
      </c>
    </row>
    <row r="16288" spans="1:1" x14ac:dyDescent="0.25">
      <c r="A16288" s="74">
        <v>21080</v>
      </c>
    </row>
    <row r="16289" spans="1:1" x14ac:dyDescent="0.25">
      <c r="A16289" s="74">
        <v>21081</v>
      </c>
    </row>
    <row r="16290" spans="1:1" x14ac:dyDescent="0.25">
      <c r="A16290" s="74">
        <v>21082</v>
      </c>
    </row>
    <row r="16291" spans="1:1" x14ac:dyDescent="0.25">
      <c r="A16291" s="74">
        <v>21083</v>
      </c>
    </row>
    <row r="16292" spans="1:1" x14ac:dyDescent="0.25">
      <c r="A16292" s="74">
        <v>21084</v>
      </c>
    </row>
    <row r="16293" spans="1:1" x14ac:dyDescent="0.25">
      <c r="A16293" s="74">
        <v>21085</v>
      </c>
    </row>
    <row r="16294" spans="1:1" x14ac:dyDescent="0.25">
      <c r="A16294" s="74">
        <v>21086</v>
      </c>
    </row>
    <row r="16295" spans="1:1" x14ac:dyDescent="0.25">
      <c r="A16295" s="74">
        <v>21087</v>
      </c>
    </row>
    <row r="16296" spans="1:1" x14ac:dyDescent="0.25">
      <c r="A16296" s="74">
        <v>21088</v>
      </c>
    </row>
    <row r="16297" spans="1:1" x14ac:dyDescent="0.25">
      <c r="A16297" s="74">
        <v>21089</v>
      </c>
    </row>
    <row r="16298" spans="1:1" x14ac:dyDescent="0.25">
      <c r="A16298" s="74">
        <v>21090</v>
      </c>
    </row>
    <row r="16299" spans="1:1" x14ac:dyDescent="0.25">
      <c r="A16299" s="74">
        <v>21091</v>
      </c>
    </row>
    <row r="16300" spans="1:1" x14ac:dyDescent="0.25">
      <c r="A16300" s="74">
        <v>21092</v>
      </c>
    </row>
    <row r="16301" spans="1:1" x14ac:dyDescent="0.25">
      <c r="A16301" s="74">
        <v>21093</v>
      </c>
    </row>
    <row r="16302" spans="1:1" x14ac:dyDescent="0.25">
      <c r="A16302" s="74">
        <v>21094</v>
      </c>
    </row>
    <row r="16303" spans="1:1" x14ac:dyDescent="0.25">
      <c r="A16303" s="74">
        <v>21095</v>
      </c>
    </row>
    <row r="16304" spans="1:1" x14ac:dyDescent="0.25">
      <c r="A16304" s="74">
        <v>21096</v>
      </c>
    </row>
    <row r="16305" spans="1:1" x14ac:dyDescent="0.25">
      <c r="A16305" s="74">
        <v>21097</v>
      </c>
    </row>
    <row r="16306" spans="1:1" x14ac:dyDescent="0.25">
      <c r="A16306" s="74">
        <v>21098</v>
      </c>
    </row>
    <row r="16307" spans="1:1" x14ac:dyDescent="0.25">
      <c r="A16307" s="74">
        <v>21099</v>
      </c>
    </row>
    <row r="16308" spans="1:1" x14ac:dyDescent="0.25">
      <c r="A16308" s="74">
        <v>21100</v>
      </c>
    </row>
    <row r="16309" spans="1:1" x14ac:dyDescent="0.25">
      <c r="A16309" s="74">
        <v>21101</v>
      </c>
    </row>
    <row r="16310" spans="1:1" x14ac:dyDescent="0.25">
      <c r="A16310" s="74">
        <v>21102</v>
      </c>
    </row>
    <row r="16311" spans="1:1" x14ac:dyDescent="0.25">
      <c r="A16311" s="74">
        <v>21103</v>
      </c>
    </row>
    <row r="16312" spans="1:1" x14ac:dyDescent="0.25">
      <c r="A16312" s="74">
        <v>21104</v>
      </c>
    </row>
    <row r="16313" spans="1:1" x14ac:dyDescent="0.25">
      <c r="A16313" s="74">
        <v>21105</v>
      </c>
    </row>
    <row r="16314" spans="1:1" x14ac:dyDescent="0.25">
      <c r="A16314" s="74">
        <v>21106</v>
      </c>
    </row>
    <row r="16315" spans="1:1" x14ac:dyDescent="0.25">
      <c r="A16315" s="74">
        <v>21107</v>
      </c>
    </row>
    <row r="16316" spans="1:1" x14ac:dyDescent="0.25">
      <c r="A16316" s="74">
        <v>21108</v>
      </c>
    </row>
    <row r="16317" spans="1:1" x14ac:dyDescent="0.25">
      <c r="A16317" s="74">
        <v>21109</v>
      </c>
    </row>
    <row r="16318" spans="1:1" x14ac:dyDescent="0.25">
      <c r="A16318" s="74">
        <v>21110</v>
      </c>
    </row>
    <row r="16319" spans="1:1" x14ac:dyDescent="0.25">
      <c r="A16319" s="74">
        <v>21111</v>
      </c>
    </row>
    <row r="16320" spans="1:1" x14ac:dyDescent="0.25">
      <c r="A16320" s="74">
        <v>21112</v>
      </c>
    </row>
    <row r="16321" spans="1:1" x14ac:dyDescent="0.25">
      <c r="A16321" s="74">
        <v>21113</v>
      </c>
    </row>
    <row r="16322" spans="1:1" x14ac:dyDescent="0.25">
      <c r="A16322" s="74">
        <v>21114</v>
      </c>
    </row>
    <row r="16323" spans="1:1" x14ac:dyDescent="0.25">
      <c r="A16323" s="74">
        <v>21115</v>
      </c>
    </row>
    <row r="16324" spans="1:1" x14ac:dyDescent="0.25">
      <c r="A16324" s="74">
        <v>21116</v>
      </c>
    </row>
    <row r="16325" spans="1:1" x14ac:dyDescent="0.25">
      <c r="A16325" s="74">
        <v>21117</v>
      </c>
    </row>
    <row r="16326" spans="1:1" x14ac:dyDescent="0.25">
      <c r="A16326" s="74">
        <v>21118</v>
      </c>
    </row>
    <row r="16327" spans="1:1" x14ac:dyDescent="0.25">
      <c r="A16327" s="74">
        <v>21119</v>
      </c>
    </row>
    <row r="16328" spans="1:1" x14ac:dyDescent="0.25">
      <c r="A16328" s="74">
        <v>21120</v>
      </c>
    </row>
    <row r="16329" spans="1:1" x14ac:dyDescent="0.25">
      <c r="A16329" s="74">
        <v>21121</v>
      </c>
    </row>
    <row r="16330" spans="1:1" x14ac:dyDescent="0.25">
      <c r="A16330" s="74">
        <v>21122</v>
      </c>
    </row>
    <row r="16331" spans="1:1" x14ac:dyDescent="0.25">
      <c r="A16331" s="74">
        <v>21123</v>
      </c>
    </row>
    <row r="16332" spans="1:1" x14ac:dyDescent="0.25">
      <c r="A16332" s="74">
        <v>21124</v>
      </c>
    </row>
    <row r="16333" spans="1:1" x14ac:dyDescent="0.25">
      <c r="A16333" s="74">
        <v>21125</v>
      </c>
    </row>
    <row r="16334" spans="1:1" x14ac:dyDescent="0.25">
      <c r="A16334" s="74">
        <v>21126</v>
      </c>
    </row>
    <row r="16335" spans="1:1" x14ac:dyDescent="0.25">
      <c r="A16335" s="74">
        <v>21127</v>
      </c>
    </row>
    <row r="16336" spans="1:1" x14ac:dyDescent="0.25">
      <c r="A16336" s="74">
        <v>21128</v>
      </c>
    </row>
    <row r="16337" spans="1:1" x14ac:dyDescent="0.25">
      <c r="A16337" s="74">
        <v>21129</v>
      </c>
    </row>
    <row r="16338" spans="1:1" x14ac:dyDescent="0.25">
      <c r="A16338" s="74">
        <v>21130</v>
      </c>
    </row>
    <row r="16339" spans="1:1" x14ac:dyDescent="0.25">
      <c r="A16339" s="74">
        <v>21131</v>
      </c>
    </row>
    <row r="16340" spans="1:1" x14ac:dyDescent="0.25">
      <c r="A16340" s="74">
        <v>21132</v>
      </c>
    </row>
    <row r="16341" spans="1:1" x14ac:dyDescent="0.25">
      <c r="A16341" s="74">
        <v>21133</v>
      </c>
    </row>
    <row r="16342" spans="1:1" x14ac:dyDescent="0.25">
      <c r="A16342" s="74">
        <v>21134</v>
      </c>
    </row>
    <row r="16343" spans="1:1" x14ac:dyDescent="0.25">
      <c r="A16343" s="74">
        <v>21135</v>
      </c>
    </row>
    <row r="16344" spans="1:1" x14ac:dyDescent="0.25">
      <c r="A16344" s="74">
        <v>21136</v>
      </c>
    </row>
    <row r="16345" spans="1:1" x14ac:dyDescent="0.25">
      <c r="A16345" s="74">
        <v>21137</v>
      </c>
    </row>
    <row r="16346" spans="1:1" x14ac:dyDescent="0.25">
      <c r="A16346" s="74">
        <v>21138</v>
      </c>
    </row>
    <row r="16347" spans="1:1" x14ac:dyDescent="0.25">
      <c r="A16347" s="74">
        <v>21139</v>
      </c>
    </row>
    <row r="16348" spans="1:1" x14ac:dyDescent="0.25">
      <c r="A16348" s="74">
        <v>21140</v>
      </c>
    </row>
    <row r="16349" spans="1:1" x14ac:dyDescent="0.25">
      <c r="A16349" s="74">
        <v>21141</v>
      </c>
    </row>
    <row r="16350" spans="1:1" x14ac:dyDescent="0.25">
      <c r="A16350" s="74">
        <v>21142</v>
      </c>
    </row>
    <row r="16351" spans="1:1" x14ac:dyDescent="0.25">
      <c r="A16351" s="74">
        <v>21143</v>
      </c>
    </row>
    <row r="16352" spans="1:1" x14ac:dyDescent="0.25">
      <c r="A16352" s="74">
        <v>21144</v>
      </c>
    </row>
    <row r="16353" spans="1:1" x14ac:dyDescent="0.25">
      <c r="A16353" s="74">
        <v>21145</v>
      </c>
    </row>
    <row r="16354" spans="1:1" x14ac:dyDescent="0.25">
      <c r="A16354" s="74">
        <v>21146</v>
      </c>
    </row>
    <row r="16355" spans="1:1" x14ac:dyDescent="0.25">
      <c r="A16355" s="74">
        <v>21147</v>
      </c>
    </row>
    <row r="16356" spans="1:1" x14ac:dyDescent="0.25">
      <c r="A16356" s="74">
        <v>21148</v>
      </c>
    </row>
    <row r="16357" spans="1:1" x14ac:dyDescent="0.25">
      <c r="A16357" s="74">
        <v>21149</v>
      </c>
    </row>
    <row r="16358" spans="1:1" x14ac:dyDescent="0.25">
      <c r="A16358" s="74">
        <v>21150</v>
      </c>
    </row>
    <row r="16359" spans="1:1" x14ac:dyDescent="0.25">
      <c r="A16359" s="74">
        <v>21151</v>
      </c>
    </row>
    <row r="16360" spans="1:1" x14ac:dyDescent="0.25">
      <c r="A16360" s="74">
        <v>21152</v>
      </c>
    </row>
    <row r="16361" spans="1:1" x14ac:dyDescent="0.25">
      <c r="A16361" s="74">
        <v>21153</v>
      </c>
    </row>
    <row r="16362" spans="1:1" x14ac:dyDescent="0.25">
      <c r="A16362" s="74">
        <v>21154</v>
      </c>
    </row>
    <row r="16363" spans="1:1" x14ac:dyDescent="0.25">
      <c r="A16363" s="74">
        <v>21155</v>
      </c>
    </row>
    <row r="16364" spans="1:1" x14ac:dyDescent="0.25">
      <c r="A16364" s="74">
        <v>21156</v>
      </c>
    </row>
    <row r="16365" spans="1:1" x14ac:dyDescent="0.25">
      <c r="A16365" s="74">
        <v>21157</v>
      </c>
    </row>
    <row r="16366" spans="1:1" x14ac:dyDescent="0.25">
      <c r="A16366" s="74">
        <v>21158</v>
      </c>
    </row>
    <row r="16367" spans="1:1" x14ac:dyDescent="0.25">
      <c r="A16367" s="74">
        <v>21159</v>
      </c>
    </row>
    <row r="16368" spans="1:1" x14ac:dyDescent="0.25">
      <c r="A16368" s="74">
        <v>21160</v>
      </c>
    </row>
    <row r="16369" spans="1:1" x14ac:dyDescent="0.25">
      <c r="A16369" s="74">
        <v>21161</v>
      </c>
    </row>
    <row r="16370" spans="1:1" x14ac:dyDescent="0.25">
      <c r="A16370" s="74">
        <v>21162</v>
      </c>
    </row>
    <row r="16371" spans="1:1" x14ac:dyDescent="0.25">
      <c r="A16371" s="74">
        <v>21163</v>
      </c>
    </row>
    <row r="16372" spans="1:1" x14ac:dyDescent="0.25">
      <c r="A16372" s="74">
        <v>21164</v>
      </c>
    </row>
    <row r="16373" spans="1:1" x14ac:dyDescent="0.25">
      <c r="A16373" s="74">
        <v>21165</v>
      </c>
    </row>
    <row r="16374" spans="1:1" x14ac:dyDescent="0.25">
      <c r="A16374" s="74">
        <v>21166</v>
      </c>
    </row>
    <row r="16375" spans="1:1" x14ac:dyDescent="0.25">
      <c r="A16375" s="74">
        <v>21167</v>
      </c>
    </row>
    <row r="16376" spans="1:1" x14ac:dyDescent="0.25">
      <c r="A16376" s="74">
        <v>21168</v>
      </c>
    </row>
    <row r="16377" spans="1:1" x14ac:dyDescent="0.25">
      <c r="A16377" s="74">
        <v>21169</v>
      </c>
    </row>
    <row r="16378" spans="1:1" x14ac:dyDescent="0.25">
      <c r="A16378" s="74">
        <v>21170</v>
      </c>
    </row>
    <row r="16379" spans="1:1" x14ac:dyDescent="0.25">
      <c r="A16379" s="74">
        <v>21171</v>
      </c>
    </row>
    <row r="16380" spans="1:1" x14ac:dyDescent="0.25">
      <c r="A16380" s="74">
        <v>21172</v>
      </c>
    </row>
    <row r="16381" spans="1:1" x14ac:dyDescent="0.25">
      <c r="A16381" s="74">
        <v>21173</v>
      </c>
    </row>
    <row r="16382" spans="1:1" x14ac:dyDescent="0.25">
      <c r="A16382" s="74">
        <v>21174</v>
      </c>
    </row>
    <row r="16383" spans="1:1" x14ac:dyDescent="0.25">
      <c r="A16383" s="74">
        <v>21175</v>
      </c>
    </row>
    <row r="16384" spans="1:1" x14ac:dyDescent="0.25">
      <c r="A16384" s="74">
        <v>21176</v>
      </c>
    </row>
    <row r="16385" spans="1:1" x14ac:dyDescent="0.25">
      <c r="A16385" s="74">
        <v>21177</v>
      </c>
    </row>
    <row r="16386" spans="1:1" x14ac:dyDescent="0.25">
      <c r="A16386" s="74">
        <v>21178</v>
      </c>
    </row>
    <row r="16387" spans="1:1" x14ac:dyDescent="0.25">
      <c r="A16387" s="74">
        <v>21179</v>
      </c>
    </row>
    <row r="16388" spans="1:1" x14ac:dyDescent="0.25">
      <c r="A16388" s="74">
        <v>21180</v>
      </c>
    </row>
    <row r="16389" spans="1:1" x14ac:dyDescent="0.25">
      <c r="A16389" s="74">
        <v>21181</v>
      </c>
    </row>
    <row r="16390" spans="1:1" x14ac:dyDescent="0.25">
      <c r="A16390" s="74">
        <v>21182</v>
      </c>
    </row>
    <row r="16391" spans="1:1" x14ac:dyDescent="0.25">
      <c r="A16391" s="74">
        <v>21183</v>
      </c>
    </row>
    <row r="16392" spans="1:1" x14ac:dyDescent="0.25">
      <c r="A16392" s="74">
        <v>21184</v>
      </c>
    </row>
    <row r="16393" spans="1:1" x14ac:dyDescent="0.25">
      <c r="A16393" s="74">
        <v>21185</v>
      </c>
    </row>
    <row r="16394" spans="1:1" x14ac:dyDescent="0.25">
      <c r="A16394" s="74">
        <v>21186</v>
      </c>
    </row>
    <row r="16395" spans="1:1" x14ac:dyDescent="0.25">
      <c r="A16395" s="74">
        <v>21187</v>
      </c>
    </row>
    <row r="16396" spans="1:1" x14ac:dyDescent="0.25">
      <c r="A16396" s="74">
        <v>21188</v>
      </c>
    </row>
    <row r="16397" spans="1:1" x14ac:dyDescent="0.25">
      <c r="A16397" s="74">
        <v>21189</v>
      </c>
    </row>
    <row r="16398" spans="1:1" x14ac:dyDescent="0.25">
      <c r="A16398" s="74">
        <v>21190</v>
      </c>
    </row>
    <row r="16399" spans="1:1" x14ac:dyDescent="0.25">
      <c r="A16399" s="74">
        <v>21191</v>
      </c>
    </row>
    <row r="16400" spans="1:1" x14ac:dyDescent="0.25">
      <c r="A16400" s="74">
        <v>21192</v>
      </c>
    </row>
    <row r="16401" spans="1:1" x14ac:dyDescent="0.25">
      <c r="A16401" s="74">
        <v>21193</v>
      </c>
    </row>
    <row r="16402" spans="1:1" x14ac:dyDescent="0.25">
      <c r="A16402" s="74">
        <v>21194</v>
      </c>
    </row>
    <row r="16403" spans="1:1" x14ac:dyDescent="0.25">
      <c r="A16403" s="74">
        <v>21195</v>
      </c>
    </row>
    <row r="16404" spans="1:1" x14ac:dyDescent="0.25">
      <c r="A16404" s="74">
        <v>21196</v>
      </c>
    </row>
    <row r="16405" spans="1:1" x14ac:dyDescent="0.25">
      <c r="A16405" s="74">
        <v>21197</v>
      </c>
    </row>
    <row r="16406" spans="1:1" x14ac:dyDescent="0.25">
      <c r="A16406" s="74">
        <v>21198</v>
      </c>
    </row>
    <row r="16407" spans="1:1" x14ac:dyDescent="0.25">
      <c r="A16407" s="74">
        <v>21199</v>
      </c>
    </row>
    <row r="16408" spans="1:1" x14ac:dyDescent="0.25">
      <c r="A16408" s="74">
        <v>21200</v>
      </c>
    </row>
    <row r="16409" spans="1:1" x14ac:dyDescent="0.25">
      <c r="A16409" s="74">
        <v>21201</v>
      </c>
    </row>
    <row r="16410" spans="1:1" x14ac:dyDescent="0.25">
      <c r="A16410" s="74">
        <v>21202</v>
      </c>
    </row>
    <row r="16411" spans="1:1" x14ac:dyDescent="0.25">
      <c r="A16411" s="74">
        <v>21203</v>
      </c>
    </row>
    <row r="16412" spans="1:1" x14ac:dyDescent="0.25">
      <c r="A16412" s="74">
        <v>21204</v>
      </c>
    </row>
    <row r="16413" spans="1:1" x14ac:dyDescent="0.25">
      <c r="A16413" s="74">
        <v>21205</v>
      </c>
    </row>
    <row r="16414" spans="1:1" x14ac:dyDescent="0.25">
      <c r="A16414" s="74">
        <v>21206</v>
      </c>
    </row>
    <row r="16415" spans="1:1" x14ac:dyDescent="0.25">
      <c r="A16415" s="74">
        <v>21207</v>
      </c>
    </row>
    <row r="16416" spans="1:1" x14ac:dyDescent="0.25">
      <c r="A16416" s="74">
        <v>21208</v>
      </c>
    </row>
    <row r="16417" spans="1:1" x14ac:dyDescent="0.25">
      <c r="A16417" s="74">
        <v>21209</v>
      </c>
    </row>
    <row r="16418" spans="1:1" x14ac:dyDescent="0.25">
      <c r="A16418" s="74">
        <v>21210</v>
      </c>
    </row>
    <row r="16419" spans="1:1" x14ac:dyDescent="0.25">
      <c r="A16419" s="74">
        <v>21211</v>
      </c>
    </row>
    <row r="16420" spans="1:1" x14ac:dyDescent="0.25">
      <c r="A16420" s="74">
        <v>21212</v>
      </c>
    </row>
    <row r="16421" spans="1:1" x14ac:dyDescent="0.25">
      <c r="A16421" s="74">
        <v>21213</v>
      </c>
    </row>
    <row r="16422" spans="1:1" x14ac:dyDescent="0.25">
      <c r="A16422" s="74">
        <v>21214</v>
      </c>
    </row>
    <row r="16423" spans="1:1" x14ac:dyDescent="0.25">
      <c r="A16423" s="74">
        <v>21215</v>
      </c>
    </row>
    <row r="16424" spans="1:1" x14ac:dyDescent="0.25">
      <c r="A16424" s="74">
        <v>21216</v>
      </c>
    </row>
    <row r="16425" spans="1:1" x14ac:dyDescent="0.25">
      <c r="A16425" s="74">
        <v>21217</v>
      </c>
    </row>
    <row r="16426" spans="1:1" x14ac:dyDescent="0.25">
      <c r="A16426" s="74">
        <v>21218</v>
      </c>
    </row>
    <row r="16427" spans="1:1" x14ac:dyDescent="0.25">
      <c r="A16427" s="74">
        <v>21219</v>
      </c>
    </row>
    <row r="16428" spans="1:1" x14ac:dyDescent="0.25">
      <c r="A16428" s="74">
        <v>21220</v>
      </c>
    </row>
    <row r="16429" spans="1:1" x14ac:dyDescent="0.25">
      <c r="A16429" s="74">
        <v>21221</v>
      </c>
    </row>
    <row r="16430" spans="1:1" x14ac:dyDescent="0.25">
      <c r="A16430" s="74">
        <v>21222</v>
      </c>
    </row>
    <row r="16431" spans="1:1" x14ac:dyDescent="0.25">
      <c r="A16431" s="74">
        <v>21223</v>
      </c>
    </row>
    <row r="16432" spans="1:1" x14ac:dyDescent="0.25">
      <c r="A16432" s="74">
        <v>21224</v>
      </c>
    </row>
    <row r="16433" spans="1:1" x14ac:dyDescent="0.25">
      <c r="A16433" s="74">
        <v>21225</v>
      </c>
    </row>
    <row r="16434" spans="1:1" x14ac:dyDescent="0.25">
      <c r="A16434" s="74">
        <v>21226</v>
      </c>
    </row>
    <row r="16435" spans="1:1" x14ac:dyDescent="0.25">
      <c r="A16435" s="74">
        <v>21227</v>
      </c>
    </row>
    <row r="16436" spans="1:1" x14ac:dyDescent="0.25">
      <c r="A16436" s="74">
        <v>21228</v>
      </c>
    </row>
    <row r="16437" spans="1:1" x14ac:dyDescent="0.25">
      <c r="A16437" s="74">
        <v>21229</v>
      </c>
    </row>
    <row r="16438" spans="1:1" x14ac:dyDescent="0.25">
      <c r="A16438" s="74">
        <v>21230</v>
      </c>
    </row>
    <row r="16439" spans="1:1" x14ac:dyDescent="0.25">
      <c r="A16439" s="74">
        <v>21231</v>
      </c>
    </row>
    <row r="16440" spans="1:1" x14ac:dyDescent="0.25">
      <c r="A16440" s="74">
        <v>21232</v>
      </c>
    </row>
    <row r="16441" spans="1:1" x14ac:dyDescent="0.25">
      <c r="A16441" s="74">
        <v>21233</v>
      </c>
    </row>
    <row r="16442" spans="1:1" x14ac:dyDescent="0.25">
      <c r="A16442" s="74">
        <v>21234</v>
      </c>
    </row>
    <row r="16443" spans="1:1" x14ac:dyDescent="0.25">
      <c r="A16443" s="74">
        <v>21235</v>
      </c>
    </row>
    <row r="16444" spans="1:1" x14ac:dyDescent="0.25">
      <c r="A16444" s="74">
        <v>21236</v>
      </c>
    </row>
    <row r="16445" spans="1:1" x14ac:dyDescent="0.25">
      <c r="A16445" s="74">
        <v>21237</v>
      </c>
    </row>
    <row r="16446" spans="1:1" x14ac:dyDescent="0.25">
      <c r="A16446" s="74">
        <v>21238</v>
      </c>
    </row>
    <row r="16447" spans="1:1" x14ac:dyDescent="0.25">
      <c r="A16447" s="74">
        <v>21239</v>
      </c>
    </row>
    <row r="16448" spans="1:1" x14ac:dyDescent="0.25">
      <c r="A16448" s="74">
        <v>21240</v>
      </c>
    </row>
    <row r="16449" spans="1:1" x14ac:dyDescent="0.25">
      <c r="A16449" s="74">
        <v>21241</v>
      </c>
    </row>
    <row r="16450" spans="1:1" x14ac:dyDescent="0.25">
      <c r="A16450" s="74">
        <v>21242</v>
      </c>
    </row>
    <row r="16451" spans="1:1" x14ac:dyDescent="0.25">
      <c r="A16451" s="74">
        <v>21243</v>
      </c>
    </row>
    <row r="16452" spans="1:1" x14ac:dyDescent="0.25">
      <c r="A16452" s="74">
        <v>21244</v>
      </c>
    </row>
    <row r="16453" spans="1:1" x14ac:dyDescent="0.25">
      <c r="A16453" s="74">
        <v>21245</v>
      </c>
    </row>
    <row r="16454" spans="1:1" x14ac:dyDescent="0.25">
      <c r="A16454" s="74">
        <v>21246</v>
      </c>
    </row>
    <row r="16455" spans="1:1" x14ac:dyDescent="0.25">
      <c r="A16455" s="74">
        <v>21247</v>
      </c>
    </row>
    <row r="16456" spans="1:1" x14ac:dyDescent="0.25">
      <c r="A16456" s="74">
        <v>21248</v>
      </c>
    </row>
    <row r="16457" spans="1:1" x14ac:dyDescent="0.25">
      <c r="A16457" s="74">
        <v>21249</v>
      </c>
    </row>
    <row r="16458" spans="1:1" x14ac:dyDescent="0.25">
      <c r="A16458" s="74">
        <v>21250</v>
      </c>
    </row>
    <row r="16459" spans="1:1" x14ac:dyDescent="0.25">
      <c r="A16459" s="74">
        <v>21251</v>
      </c>
    </row>
    <row r="16460" spans="1:1" x14ac:dyDescent="0.25">
      <c r="A16460" s="74">
        <v>21252</v>
      </c>
    </row>
    <row r="16461" spans="1:1" x14ac:dyDescent="0.25">
      <c r="A16461" s="74">
        <v>21253</v>
      </c>
    </row>
    <row r="16462" spans="1:1" x14ac:dyDescent="0.25">
      <c r="A16462" s="74">
        <v>21254</v>
      </c>
    </row>
    <row r="16463" spans="1:1" x14ac:dyDescent="0.25">
      <c r="A16463" s="74">
        <v>21255</v>
      </c>
    </row>
    <row r="16464" spans="1:1" x14ac:dyDescent="0.25">
      <c r="A16464" s="74">
        <v>21256</v>
      </c>
    </row>
    <row r="16465" spans="1:1" x14ac:dyDescent="0.25">
      <c r="A16465" s="74">
        <v>21257</v>
      </c>
    </row>
    <row r="16466" spans="1:1" x14ac:dyDescent="0.25">
      <c r="A16466" s="74">
        <v>21258</v>
      </c>
    </row>
    <row r="16467" spans="1:1" x14ac:dyDescent="0.25">
      <c r="A16467" s="74">
        <v>21259</v>
      </c>
    </row>
    <row r="16468" spans="1:1" x14ac:dyDescent="0.25">
      <c r="A16468" s="74">
        <v>21260</v>
      </c>
    </row>
    <row r="16469" spans="1:1" x14ac:dyDescent="0.25">
      <c r="A16469" s="74">
        <v>21261</v>
      </c>
    </row>
    <row r="16470" spans="1:1" x14ac:dyDescent="0.25">
      <c r="A16470" s="74">
        <v>21262</v>
      </c>
    </row>
    <row r="16471" spans="1:1" x14ac:dyDescent="0.25">
      <c r="A16471" s="74">
        <v>21263</v>
      </c>
    </row>
    <row r="16472" spans="1:1" x14ac:dyDescent="0.25">
      <c r="A16472" s="74">
        <v>21264</v>
      </c>
    </row>
    <row r="16473" spans="1:1" x14ac:dyDescent="0.25">
      <c r="A16473" s="74">
        <v>21265</v>
      </c>
    </row>
    <row r="16474" spans="1:1" x14ac:dyDescent="0.25">
      <c r="A16474" s="74">
        <v>21266</v>
      </c>
    </row>
    <row r="16475" spans="1:1" x14ac:dyDescent="0.25">
      <c r="A16475" s="74">
        <v>21267</v>
      </c>
    </row>
    <row r="16476" spans="1:1" x14ac:dyDescent="0.25">
      <c r="A16476" s="74">
        <v>21268</v>
      </c>
    </row>
    <row r="16477" spans="1:1" x14ac:dyDescent="0.25">
      <c r="A16477" s="74">
        <v>21269</v>
      </c>
    </row>
    <row r="16478" spans="1:1" x14ac:dyDescent="0.25">
      <c r="A16478" s="74">
        <v>21270</v>
      </c>
    </row>
    <row r="16479" spans="1:1" x14ac:dyDescent="0.25">
      <c r="A16479" s="74">
        <v>21271</v>
      </c>
    </row>
    <row r="16480" spans="1:1" x14ac:dyDescent="0.25">
      <c r="A16480" s="74">
        <v>21272</v>
      </c>
    </row>
    <row r="16481" spans="1:1" x14ac:dyDescent="0.25">
      <c r="A16481" s="74">
        <v>21273</v>
      </c>
    </row>
    <row r="16482" spans="1:1" x14ac:dyDescent="0.25">
      <c r="A16482" s="74">
        <v>21274</v>
      </c>
    </row>
    <row r="16483" spans="1:1" x14ac:dyDescent="0.25">
      <c r="A16483" s="74">
        <v>21275</v>
      </c>
    </row>
    <row r="16484" spans="1:1" x14ac:dyDescent="0.25">
      <c r="A16484" s="74">
        <v>21276</v>
      </c>
    </row>
    <row r="16485" spans="1:1" x14ac:dyDescent="0.25">
      <c r="A16485" s="74">
        <v>21277</v>
      </c>
    </row>
    <row r="16486" spans="1:1" x14ac:dyDescent="0.25">
      <c r="A16486" s="74">
        <v>21278</v>
      </c>
    </row>
    <row r="16487" spans="1:1" x14ac:dyDescent="0.25">
      <c r="A16487" s="74">
        <v>21279</v>
      </c>
    </row>
    <row r="16488" spans="1:1" x14ac:dyDescent="0.25">
      <c r="A16488" s="74">
        <v>21280</v>
      </c>
    </row>
    <row r="16489" spans="1:1" x14ac:dyDescent="0.25">
      <c r="A16489" s="74">
        <v>21281</v>
      </c>
    </row>
    <row r="16490" spans="1:1" x14ac:dyDescent="0.25">
      <c r="A16490" s="74">
        <v>21282</v>
      </c>
    </row>
    <row r="16491" spans="1:1" x14ac:dyDescent="0.25">
      <c r="A16491" s="74">
        <v>21283</v>
      </c>
    </row>
    <row r="16492" spans="1:1" x14ac:dyDescent="0.25">
      <c r="A16492" s="74">
        <v>21284</v>
      </c>
    </row>
    <row r="16493" spans="1:1" x14ac:dyDescent="0.25">
      <c r="A16493" s="74">
        <v>21285</v>
      </c>
    </row>
    <row r="16494" spans="1:1" x14ac:dyDescent="0.25">
      <c r="A16494" s="74">
        <v>21286</v>
      </c>
    </row>
    <row r="16495" spans="1:1" x14ac:dyDescent="0.25">
      <c r="A16495" s="74">
        <v>21287</v>
      </c>
    </row>
    <row r="16496" spans="1:1" x14ac:dyDescent="0.25">
      <c r="A16496" s="74">
        <v>21288</v>
      </c>
    </row>
    <row r="16497" spans="1:1" x14ac:dyDescent="0.25">
      <c r="A16497" s="74">
        <v>21289</v>
      </c>
    </row>
    <row r="16498" spans="1:1" x14ac:dyDescent="0.25">
      <c r="A16498" s="74">
        <v>21290</v>
      </c>
    </row>
    <row r="16499" spans="1:1" x14ac:dyDescent="0.25">
      <c r="A16499" s="74">
        <v>21291</v>
      </c>
    </row>
    <row r="16500" spans="1:1" x14ac:dyDescent="0.25">
      <c r="A16500" s="74">
        <v>21292</v>
      </c>
    </row>
    <row r="16501" spans="1:1" x14ac:dyDescent="0.25">
      <c r="A16501" s="74">
        <v>21293</v>
      </c>
    </row>
    <row r="16502" spans="1:1" x14ac:dyDescent="0.25">
      <c r="A16502" s="74">
        <v>21294</v>
      </c>
    </row>
    <row r="16503" spans="1:1" x14ac:dyDescent="0.25">
      <c r="A16503" s="74">
        <v>21295</v>
      </c>
    </row>
    <row r="16504" spans="1:1" x14ac:dyDescent="0.25">
      <c r="A16504" s="74">
        <v>21296</v>
      </c>
    </row>
    <row r="16505" spans="1:1" x14ac:dyDescent="0.25">
      <c r="A16505" s="74">
        <v>21297</v>
      </c>
    </row>
    <row r="16506" spans="1:1" x14ac:dyDescent="0.25">
      <c r="A16506" s="74">
        <v>21298</v>
      </c>
    </row>
    <row r="16507" spans="1:1" x14ac:dyDescent="0.25">
      <c r="A16507" s="74">
        <v>21299</v>
      </c>
    </row>
    <row r="16508" spans="1:1" x14ac:dyDescent="0.25">
      <c r="A16508" s="74">
        <v>21300</v>
      </c>
    </row>
    <row r="16509" spans="1:1" x14ac:dyDescent="0.25">
      <c r="A16509" s="74">
        <v>21301</v>
      </c>
    </row>
    <row r="16510" spans="1:1" x14ac:dyDescent="0.25">
      <c r="A16510" s="74">
        <v>21302</v>
      </c>
    </row>
    <row r="16511" spans="1:1" x14ac:dyDescent="0.25">
      <c r="A16511" s="74">
        <v>21303</v>
      </c>
    </row>
    <row r="16512" spans="1:1" x14ac:dyDescent="0.25">
      <c r="A16512" s="74">
        <v>21304</v>
      </c>
    </row>
    <row r="16513" spans="1:1" x14ac:dyDescent="0.25">
      <c r="A16513" s="74">
        <v>21305</v>
      </c>
    </row>
    <row r="16514" spans="1:1" x14ac:dyDescent="0.25">
      <c r="A16514" s="74">
        <v>21306</v>
      </c>
    </row>
    <row r="16515" spans="1:1" x14ac:dyDescent="0.25">
      <c r="A16515" s="74">
        <v>21307</v>
      </c>
    </row>
    <row r="16516" spans="1:1" x14ac:dyDescent="0.25">
      <c r="A16516" s="74">
        <v>21308</v>
      </c>
    </row>
    <row r="16517" spans="1:1" x14ac:dyDescent="0.25">
      <c r="A16517" s="74">
        <v>21309</v>
      </c>
    </row>
    <row r="16518" spans="1:1" x14ac:dyDescent="0.25">
      <c r="A16518" s="74">
        <v>21310</v>
      </c>
    </row>
    <row r="16519" spans="1:1" x14ac:dyDescent="0.25">
      <c r="A16519" s="74">
        <v>21311</v>
      </c>
    </row>
    <row r="16520" spans="1:1" x14ac:dyDescent="0.25">
      <c r="A16520" s="74">
        <v>21312</v>
      </c>
    </row>
    <row r="16521" spans="1:1" x14ac:dyDescent="0.25">
      <c r="A16521" s="74">
        <v>21313</v>
      </c>
    </row>
    <row r="16522" spans="1:1" x14ac:dyDescent="0.25">
      <c r="A16522" s="74">
        <v>21314</v>
      </c>
    </row>
    <row r="16523" spans="1:1" x14ac:dyDescent="0.25">
      <c r="A16523" s="74">
        <v>21315</v>
      </c>
    </row>
    <row r="16524" spans="1:1" x14ac:dyDescent="0.25">
      <c r="A16524" s="74">
        <v>21316</v>
      </c>
    </row>
    <row r="16525" spans="1:1" x14ac:dyDescent="0.25">
      <c r="A16525" s="74">
        <v>21317</v>
      </c>
    </row>
    <row r="16526" spans="1:1" x14ac:dyDescent="0.25">
      <c r="A16526" s="74">
        <v>21318</v>
      </c>
    </row>
    <row r="16527" spans="1:1" x14ac:dyDescent="0.25">
      <c r="A16527" s="74">
        <v>21319</v>
      </c>
    </row>
    <row r="16528" spans="1:1" x14ac:dyDescent="0.25">
      <c r="A16528" s="74">
        <v>21320</v>
      </c>
    </row>
    <row r="16529" spans="1:1" x14ac:dyDescent="0.25">
      <c r="A16529" s="74">
        <v>21321</v>
      </c>
    </row>
    <row r="16530" spans="1:1" x14ac:dyDescent="0.25">
      <c r="A16530" s="74">
        <v>21322</v>
      </c>
    </row>
    <row r="16531" spans="1:1" x14ac:dyDescent="0.25">
      <c r="A16531" s="74">
        <v>21323</v>
      </c>
    </row>
    <row r="16532" spans="1:1" x14ac:dyDescent="0.25">
      <c r="A16532" s="74">
        <v>21324</v>
      </c>
    </row>
    <row r="16533" spans="1:1" x14ac:dyDescent="0.25">
      <c r="A16533" s="74">
        <v>21325</v>
      </c>
    </row>
    <row r="16534" spans="1:1" x14ac:dyDescent="0.25">
      <c r="A16534" s="74">
        <v>21326</v>
      </c>
    </row>
    <row r="16535" spans="1:1" x14ac:dyDescent="0.25">
      <c r="A16535" s="74">
        <v>21327</v>
      </c>
    </row>
    <row r="16536" spans="1:1" x14ac:dyDescent="0.25">
      <c r="A16536" s="74">
        <v>21328</v>
      </c>
    </row>
    <row r="16537" spans="1:1" x14ac:dyDescent="0.25">
      <c r="A16537" s="74">
        <v>21329</v>
      </c>
    </row>
    <row r="16538" spans="1:1" x14ac:dyDescent="0.25">
      <c r="A16538" s="74">
        <v>21330</v>
      </c>
    </row>
    <row r="16539" spans="1:1" x14ac:dyDescent="0.25">
      <c r="A16539" s="74">
        <v>21331</v>
      </c>
    </row>
    <row r="16540" spans="1:1" x14ac:dyDescent="0.25">
      <c r="A16540" s="74">
        <v>21332</v>
      </c>
    </row>
    <row r="16541" spans="1:1" x14ac:dyDescent="0.25">
      <c r="A16541" s="74">
        <v>21333</v>
      </c>
    </row>
    <row r="16542" spans="1:1" x14ac:dyDescent="0.25">
      <c r="A16542" s="74">
        <v>21334</v>
      </c>
    </row>
    <row r="16543" spans="1:1" x14ac:dyDescent="0.25">
      <c r="A16543" s="74">
        <v>21335</v>
      </c>
    </row>
    <row r="16544" spans="1:1" x14ac:dyDescent="0.25">
      <c r="A16544" s="74">
        <v>21336</v>
      </c>
    </row>
    <row r="16545" spans="1:1" x14ac:dyDescent="0.25">
      <c r="A16545" s="74">
        <v>21337</v>
      </c>
    </row>
    <row r="16546" spans="1:1" x14ac:dyDescent="0.25">
      <c r="A16546" s="74">
        <v>21338</v>
      </c>
    </row>
    <row r="16547" spans="1:1" x14ac:dyDescent="0.25">
      <c r="A16547" s="74">
        <v>21339</v>
      </c>
    </row>
    <row r="16548" spans="1:1" x14ac:dyDescent="0.25">
      <c r="A16548" s="74">
        <v>21340</v>
      </c>
    </row>
    <row r="16549" spans="1:1" x14ac:dyDescent="0.25">
      <c r="A16549" s="74">
        <v>21341</v>
      </c>
    </row>
    <row r="16550" spans="1:1" x14ac:dyDescent="0.25">
      <c r="A16550" s="74">
        <v>21342</v>
      </c>
    </row>
    <row r="16551" spans="1:1" x14ac:dyDescent="0.25">
      <c r="A16551" s="74">
        <v>21343</v>
      </c>
    </row>
    <row r="16552" spans="1:1" x14ac:dyDescent="0.25">
      <c r="A16552" s="74">
        <v>21344</v>
      </c>
    </row>
    <row r="16553" spans="1:1" x14ac:dyDescent="0.25">
      <c r="A16553" s="74">
        <v>21345</v>
      </c>
    </row>
    <row r="16554" spans="1:1" x14ac:dyDescent="0.25">
      <c r="A16554" s="74">
        <v>21346</v>
      </c>
    </row>
    <row r="16555" spans="1:1" x14ac:dyDescent="0.25">
      <c r="A16555" s="74">
        <v>21347</v>
      </c>
    </row>
    <row r="16556" spans="1:1" x14ac:dyDescent="0.25">
      <c r="A16556" s="74">
        <v>21348</v>
      </c>
    </row>
    <row r="16557" spans="1:1" x14ac:dyDescent="0.25">
      <c r="A16557" s="74">
        <v>21349</v>
      </c>
    </row>
    <row r="16558" spans="1:1" x14ac:dyDescent="0.25">
      <c r="A16558" s="74">
        <v>21350</v>
      </c>
    </row>
    <row r="16559" spans="1:1" x14ac:dyDescent="0.25">
      <c r="A16559" s="74">
        <v>21351</v>
      </c>
    </row>
    <row r="16560" spans="1:1" x14ac:dyDescent="0.25">
      <c r="A16560" s="74">
        <v>21352</v>
      </c>
    </row>
    <row r="16561" spans="1:1" x14ac:dyDescent="0.25">
      <c r="A16561" s="74">
        <v>21353</v>
      </c>
    </row>
    <row r="16562" spans="1:1" x14ac:dyDescent="0.25">
      <c r="A16562" s="74">
        <v>21354</v>
      </c>
    </row>
    <row r="16563" spans="1:1" x14ac:dyDescent="0.25">
      <c r="A16563" s="74">
        <v>21355</v>
      </c>
    </row>
    <row r="16564" spans="1:1" x14ac:dyDescent="0.25">
      <c r="A16564" s="74">
        <v>21356</v>
      </c>
    </row>
    <row r="16565" spans="1:1" x14ac:dyDescent="0.25">
      <c r="A16565" s="74">
        <v>21357</v>
      </c>
    </row>
    <row r="16566" spans="1:1" x14ac:dyDescent="0.25">
      <c r="A16566" s="74">
        <v>21358</v>
      </c>
    </row>
    <row r="16567" spans="1:1" x14ac:dyDescent="0.25">
      <c r="A16567" s="74">
        <v>21359</v>
      </c>
    </row>
    <row r="16568" spans="1:1" x14ac:dyDescent="0.25">
      <c r="A16568" s="74">
        <v>21360</v>
      </c>
    </row>
    <row r="16569" spans="1:1" x14ac:dyDescent="0.25">
      <c r="A16569" s="74">
        <v>21361</v>
      </c>
    </row>
    <row r="16570" spans="1:1" x14ac:dyDescent="0.25">
      <c r="A16570" s="74">
        <v>21362</v>
      </c>
    </row>
    <row r="16571" spans="1:1" x14ac:dyDescent="0.25">
      <c r="A16571" s="74">
        <v>21363</v>
      </c>
    </row>
    <row r="16572" spans="1:1" x14ac:dyDescent="0.25">
      <c r="A16572" s="74">
        <v>21364</v>
      </c>
    </row>
    <row r="16573" spans="1:1" x14ac:dyDescent="0.25">
      <c r="A16573" s="74">
        <v>21365</v>
      </c>
    </row>
    <row r="16574" spans="1:1" x14ac:dyDescent="0.25">
      <c r="A16574" s="74">
        <v>21366</v>
      </c>
    </row>
    <row r="16575" spans="1:1" x14ac:dyDescent="0.25">
      <c r="A16575" s="74">
        <v>21367</v>
      </c>
    </row>
    <row r="16576" spans="1:1" x14ac:dyDescent="0.25">
      <c r="A16576" s="74">
        <v>21368</v>
      </c>
    </row>
    <row r="16577" spans="1:1" x14ac:dyDescent="0.25">
      <c r="A16577" s="74">
        <v>21369</v>
      </c>
    </row>
    <row r="16578" spans="1:1" x14ac:dyDescent="0.25">
      <c r="A16578" s="74">
        <v>21370</v>
      </c>
    </row>
    <row r="16579" spans="1:1" x14ac:dyDescent="0.25">
      <c r="A16579" s="74">
        <v>21371</v>
      </c>
    </row>
    <row r="16580" spans="1:1" x14ac:dyDescent="0.25">
      <c r="A16580" s="74">
        <v>21372</v>
      </c>
    </row>
    <row r="16581" spans="1:1" x14ac:dyDescent="0.25">
      <c r="A16581" s="74">
        <v>21373</v>
      </c>
    </row>
    <row r="16582" spans="1:1" x14ac:dyDescent="0.25">
      <c r="A16582" s="74">
        <v>21374</v>
      </c>
    </row>
    <row r="16583" spans="1:1" x14ac:dyDescent="0.25">
      <c r="A16583" s="74">
        <v>21375</v>
      </c>
    </row>
    <row r="16584" spans="1:1" x14ac:dyDescent="0.25">
      <c r="A16584" s="74">
        <v>21376</v>
      </c>
    </row>
    <row r="16585" spans="1:1" x14ac:dyDescent="0.25">
      <c r="A16585" s="74">
        <v>21377</v>
      </c>
    </row>
    <row r="16586" spans="1:1" x14ac:dyDescent="0.25">
      <c r="A16586" s="74">
        <v>21378</v>
      </c>
    </row>
    <row r="16587" spans="1:1" x14ac:dyDescent="0.25">
      <c r="A16587" s="74">
        <v>21379</v>
      </c>
    </row>
    <row r="16588" spans="1:1" x14ac:dyDescent="0.25">
      <c r="A16588" s="74">
        <v>21380</v>
      </c>
    </row>
    <row r="16589" spans="1:1" x14ac:dyDescent="0.25">
      <c r="A16589" s="74">
        <v>21381</v>
      </c>
    </row>
    <row r="16590" spans="1:1" x14ac:dyDescent="0.25">
      <c r="A16590" s="74">
        <v>21382</v>
      </c>
    </row>
    <row r="16591" spans="1:1" x14ac:dyDescent="0.25">
      <c r="A16591" s="74">
        <v>21383</v>
      </c>
    </row>
    <row r="16592" spans="1:1" x14ac:dyDescent="0.25">
      <c r="A16592" s="74">
        <v>21384</v>
      </c>
    </row>
    <row r="16593" spans="1:1" x14ac:dyDescent="0.25">
      <c r="A16593" s="74">
        <v>21385</v>
      </c>
    </row>
    <row r="16594" spans="1:1" x14ac:dyDescent="0.25">
      <c r="A16594" s="74">
        <v>21386</v>
      </c>
    </row>
    <row r="16595" spans="1:1" x14ac:dyDescent="0.25">
      <c r="A16595" s="74">
        <v>21387</v>
      </c>
    </row>
    <row r="16596" spans="1:1" x14ac:dyDescent="0.25">
      <c r="A16596" s="74">
        <v>21388</v>
      </c>
    </row>
    <row r="16597" spans="1:1" x14ac:dyDescent="0.25">
      <c r="A16597" s="74">
        <v>21389</v>
      </c>
    </row>
    <row r="16598" spans="1:1" x14ac:dyDescent="0.25">
      <c r="A16598" s="74">
        <v>21390</v>
      </c>
    </row>
    <row r="16599" spans="1:1" x14ac:dyDescent="0.25">
      <c r="A16599" s="74">
        <v>21391</v>
      </c>
    </row>
    <row r="16600" spans="1:1" x14ac:dyDescent="0.25">
      <c r="A16600" s="74">
        <v>21392</v>
      </c>
    </row>
    <row r="16601" spans="1:1" x14ac:dyDescent="0.25">
      <c r="A16601" s="74">
        <v>21393</v>
      </c>
    </row>
    <row r="16602" spans="1:1" x14ac:dyDescent="0.25">
      <c r="A16602" s="74">
        <v>21394</v>
      </c>
    </row>
    <row r="16603" spans="1:1" x14ac:dyDescent="0.25">
      <c r="A16603" s="74">
        <v>21395</v>
      </c>
    </row>
    <row r="16604" spans="1:1" x14ac:dyDescent="0.25">
      <c r="A16604" s="74">
        <v>21396</v>
      </c>
    </row>
    <row r="16605" spans="1:1" x14ac:dyDescent="0.25">
      <c r="A16605" s="74">
        <v>21397</v>
      </c>
    </row>
    <row r="16606" spans="1:1" x14ac:dyDescent="0.25">
      <c r="A16606" s="74">
        <v>21398</v>
      </c>
    </row>
    <row r="16607" spans="1:1" x14ac:dyDescent="0.25">
      <c r="A16607" s="74">
        <v>21399</v>
      </c>
    </row>
    <row r="16608" spans="1:1" x14ac:dyDescent="0.25">
      <c r="A16608" s="74">
        <v>21400</v>
      </c>
    </row>
    <row r="16609" spans="1:1" x14ac:dyDescent="0.25">
      <c r="A16609" s="74">
        <v>21401</v>
      </c>
    </row>
    <row r="16610" spans="1:1" x14ac:dyDescent="0.25">
      <c r="A16610" s="74">
        <v>21402</v>
      </c>
    </row>
    <row r="16611" spans="1:1" x14ac:dyDescent="0.25">
      <c r="A16611" s="74">
        <v>21403</v>
      </c>
    </row>
    <row r="16612" spans="1:1" x14ac:dyDescent="0.25">
      <c r="A16612" s="74">
        <v>21404</v>
      </c>
    </row>
    <row r="16613" spans="1:1" x14ac:dyDescent="0.25">
      <c r="A16613" s="74">
        <v>21405</v>
      </c>
    </row>
    <row r="16614" spans="1:1" x14ac:dyDescent="0.25">
      <c r="A16614" s="74">
        <v>21406</v>
      </c>
    </row>
    <row r="16615" spans="1:1" x14ac:dyDescent="0.25">
      <c r="A16615" s="74">
        <v>21407</v>
      </c>
    </row>
    <row r="16616" spans="1:1" x14ac:dyDescent="0.25">
      <c r="A16616" s="74">
        <v>21408</v>
      </c>
    </row>
    <row r="16617" spans="1:1" x14ac:dyDescent="0.25">
      <c r="A16617" s="74">
        <v>21409</v>
      </c>
    </row>
    <row r="16618" spans="1:1" x14ac:dyDescent="0.25">
      <c r="A16618" s="74">
        <v>21410</v>
      </c>
    </row>
    <row r="16619" spans="1:1" x14ac:dyDescent="0.25">
      <c r="A16619" s="74">
        <v>21411</v>
      </c>
    </row>
    <row r="16620" spans="1:1" x14ac:dyDescent="0.25">
      <c r="A16620" s="74">
        <v>21412</v>
      </c>
    </row>
    <row r="16621" spans="1:1" x14ac:dyDescent="0.25">
      <c r="A16621" s="74">
        <v>21413</v>
      </c>
    </row>
    <row r="16622" spans="1:1" x14ac:dyDescent="0.25">
      <c r="A16622" s="74">
        <v>21414</v>
      </c>
    </row>
    <row r="16623" spans="1:1" x14ac:dyDescent="0.25">
      <c r="A16623" s="74">
        <v>21415</v>
      </c>
    </row>
    <row r="16624" spans="1:1" x14ac:dyDescent="0.25">
      <c r="A16624" s="74">
        <v>21416</v>
      </c>
    </row>
    <row r="16625" spans="1:1" x14ac:dyDescent="0.25">
      <c r="A16625" s="74">
        <v>21417</v>
      </c>
    </row>
    <row r="16626" spans="1:1" x14ac:dyDescent="0.25">
      <c r="A16626" s="74">
        <v>21418</v>
      </c>
    </row>
    <row r="16627" spans="1:1" x14ac:dyDescent="0.25">
      <c r="A16627" s="74">
        <v>21419</v>
      </c>
    </row>
    <row r="16628" spans="1:1" x14ac:dyDescent="0.25">
      <c r="A16628" s="74">
        <v>21420</v>
      </c>
    </row>
    <row r="16629" spans="1:1" x14ac:dyDescent="0.25">
      <c r="A16629" s="74">
        <v>21421</v>
      </c>
    </row>
    <row r="16630" spans="1:1" x14ac:dyDescent="0.25">
      <c r="A16630" s="74">
        <v>21422</v>
      </c>
    </row>
    <row r="16631" spans="1:1" x14ac:dyDescent="0.25">
      <c r="A16631" s="74">
        <v>21423</v>
      </c>
    </row>
    <row r="16632" spans="1:1" x14ac:dyDescent="0.25">
      <c r="A16632" s="74">
        <v>21424</v>
      </c>
    </row>
    <row r="16633" spans="1:1" x14ac:dyDescent="0.25">
      <c r="A16633" s="74">
        <v>21425</v>
      </c>
    </row>
    <row r="16634" spans="1:1" x14ac:dyDescent="0.25">
      <c r="A16634" s="74">
        <v>21426</v>
      </c>
    </row>
    <row r="16635" spans="1:1" x14ac:dyDescent="0.25">
      <c r="A16635" s="74">
        <v>21427</v>
      </c>
    </row>
    <row r="16636" spans="1:1" x14ac:dyDescent="0.25">
      <c r="A16636" s="74">
        <v>21428</v>
      </c>
    </row>
    <row r="16637" spans="1:1" x14ac:dyDescent="0.25">
      <c r="A16637" s="74">
        <v>21429</v>
      </c>
    </row>
    <row r="16638" spans="1:1" x14ac:dyDescent="0.25">
      <c r="A16638" s="74">
        <v>21430</v>
      </c>
    </row>
    <row r="16639" spans="1:1" x14ac:dyDescent="0.25">
      <c r="A16639" s="74">
        <v>21431</v>
      </c>
    </row>
    <row r="16640" spans="1:1" x14ac:dyDescent="0.25">
      <c r="A16640" s="74">
        <v>21432</v>
      </c>
    </row>
    <row r="16641" spans="1:1" x14ac:dyDescent="0.25">
      <c r="A16641" s="74">
        <v>21433</v>
      </c>
    </row>
    <row r="16642" spans="1:1" x14ac:dyDescent="0.25">
      <c r="A16642" s="74">
        <v>21434</v>
      </c>
    </row>
    <row r="16643" spans="1:1" x14ac:dyDescent="0.25">
      <c r="A16643" s="74">
        <v>21435</v>
      </c>
    </row>
    <row r="16644" spans="1:1" x14ac:dyDescent="0.25">
      <c r="A16644" s="74">
        <v>21436</v>
      </c>
    </row>
    <row r="16645" spans="1:1" x14ac:dyDescent="0.25">
      <c r="A16645" s="74">
        <v>21437</v>
      </c>
    </row>
    <row r="16646" spans="1:1" x14ac:dyDescent="0.25">
      <c r="A16646" s="74">
        <v>21438</v>
      </c>
    </row>
    <row r="16647" spans="1:1" x14ac:dyDescent="0.25">
      <c r="A16647" s="74">
        <v>21439</v>
      </c>
    </row>
    <row r="16648" spans="1:1" x14ac:dyDescent="0.25">
      <c r="A16648" s="74">
        <v>21440</v>
      </c>
    </row>
    <row r="16649" spans="1:1" x14ac:dyDescent="0.25">
      <c r="A16649" s="74">
        <v>21441</v>
      </c>
    </row>
    <row r="16650" spans="1:1" x14ac:dyDescent="0.25">
      <c r="A16650" s="74">
        <v>21442</v>
      </c>
    </row>
    <row r="16651" spans="1:1" x14ac:dyDescent="0.25">
      <c r="A16651" s="74">
        <v>21443</v>
      </c>
    </row>
    <row r="16652" spans="1:1" x14ac:dyDescent="0.25">
      <c r="A16652" s="74">
        <v>21444</v>
      </c>
    </row>
    <row r="16653" spans="1:1" x14ac:dyDescent="0.25">
      <c r="A16653" s="74">
        <v>21445</v>
      </c>
    </row>
    <row r="16654" spans="1:1" x14ac:dyDescent="0.25">
      <c r="A16654" s="74">
        <v>21446</v>
      </c>
    </row>
    <row r="16655" spans="1:1" x14ac:dyDescent="0.25">
      <c r="A16655" s="74">
        <v>21447</v>
      </c>
    </row>
    <row r="16656" spans="1:1" x14ac:dyDescent="0.25">
      <c r="A16656" s="74">
        <v>21448</v>
      </c>
    </row>
    <row r="16657" spans="1:1" x14ac:dyDescent="0.25">
      <c r="A16657" s="74">
        <v>21449</v>
      </c>
    </row>
    <row r="16658" spans="1:1" x14ac:dyDescent="0.25">
      <c r="A16658" s="74">
        <v>21450</v>
      </c>
    </row>
    <row r="16659" spans="1:1" x14ac:dyDescent="0.25">
      <c r="A16659" s="74">
        <v>21451</v>
      </c>
    </row>
    <row r="16660" spans="1:1" x14ac:dyDescent="0.25">
      <c r="A16660" s="74">
        <v>21452</v>
      </c>
    </row>
    <row r="16661" spans="1:1" x14ac:dyDescent="0.25">
      <c r="A16661" s="74">
        <v>21453</v>
      </c>
    </row>
    <row r="16662" spans="1:1" x14ac:dyDescent="0.25">
      <c r="A16662" s="74">
        <v>21454</v>
      </c>
    </row>
    <row r="16663" spans="1:1" x14ac:dyDescent="0.25">
      <c r="A16663" s="74">
        <v>21455</v>
      </c>
    </row>
    <row r="16664" spans="1:1" x14ac:dyDescent="0.25">
      <c r="A16664" s="74">
        <v>21456</v>
      </c>
    </row>
    <row r="16665" spans="1:1" x14ac:dyDescent="0.25">
      <c r="A16665" s="74">
        <v>21457</v>
      </c>
    </row>
    <row r="16666" spans="1:1" x14ac:dyDescent="0.25">
      <c r="A16666" s="74">
        <v>21458</v>
      </c>
    </row>
    <row r="16667" spans="1:1" x14ac:dyDescent="0.25">
      <c r="A16667" s="74">
        <v>21459</v>
      </c>
    </row>
    <row r="16668" spans="1:1" x14ac:dyDescent="0.25">
      <c r="A16668" s="74">
        <v>21460</v>
      </c>
    </row>
    <row r="16669" spans="1:1" x14ac:dyDescent="0.25">
      <c r="A16669" s="74">
        <v>21461</v>
      </c>
    </row>
    <row r="16670" spans="1:1" x14ac:dyDescent="0.25">
      <c r="A16670" s="74">
        <v>21462</v>
      </c>
    </row>
    <row r="16671" spans="1:1" x14ac:dyDescent="0.25">
      <c r="A16671" s="74">
        <v>21463</v>
      </c>
    </row>
    <row r="16672" spans="1:1" x14ac:dyDescent="0.25">
      <c r="A16672" s="74">
        <v>21464</v>
      </c>
    </row>
    <row r="16673" spans="1:1" x14ac:dyDescent="0.25">
      <c r="A16673" s="74">
        <v>21465</v>
      </c>
    </row>
    <row r="16674" spans="1:1" x14ac:dyDescent="0.25">
      <c r="A16674" s="74">
        <v>21466</v>
      </c>
    </row>
    <row r="16675" spans="1:1" x14ac:dyDescent="0.25">
      <c r="A16675" s="74">
        <v>21467</v>
      </c>
    </row>
    <row r="16676" spans="1:1" x14ac:dyDescent="0.25">
      <c r="A16676" s="74">
        <v>21468</v>
      </c>
    </row>
    <row r="16677" spans="1:1" x14ac:dyDescent="0.25">
      <c r="A16677" s="74">
        <v>21469</v>
      </c>
    </row>
    <row r="16678" spans="1:1" x14ac:dyDescent="0.25">
      <c r="A16678" s="74">
        <v>21470</v>
      </c>
    </row>
    <row r="16679" spans="1:1" x14ac:dyDescent="0.25">
      <c r="A16679" s="74">
        <v>21471</v>
      </c>
    </row>
    <row r="16680" spans="1:1" x14ac:dyDescent="0.25">
      <c r="A16680" s="74">
        <v>21472</v>
      </c>
    </row>
    <row r="16681" spans="1:1" x14ac:dyDescent="0.25">
      <c r="A16681" s="74">
        <v>21473</v>
      </c>
    </row>
    <row r="16682" spans="1:1" x14ac:dyDescent="0.25">
      <c r="A16682" s="74">
        <v>21474</v>
      </c>
    </row>
    <row r="16683" spans="1:1" x14ac:dyDescent="0.25">
      <c r="A16683" s="74">
        <v>21475</v>
      </c>
    </row>
    <row r="16684" spans="1:1" x14ac:dyDescent="0.25">
      <c r="A16684" s="74">
        <v>21476</v>
      </c>
    </row>
    <row r="16685" spans="1:1" x14ac:dyDescent="0.25">
      <c r="A16685" s="74">
        <v>21477</v>
      </c>
    </row>
    <row r="16686" spans="1:1" x14ac:dyDescent="0.25">
      <c r="A16686" s="74">
        <v>21478</v>
      </c>
    </row>
    <row r="16687" spans="1:1" x14ac:dyDescent="0.25">
      <c r="A16687" s="74">
        <v>21479</v>
      </c>
    </row>
    <row r="16688" spans="1:1" x14ac:dyDescent="0.25">
      <c r="A16688" s="74">
        <v>21480</v>
      </c>
    </row>
    <row r="16689" spans="1:1" x14ac:dyDescent="0.25">
      <c r="A16689" s="74">
        <v>21481</v>
      </c>
    </row>
    <row r="16690" spans="1:1" x14ac:dyDescent="0.25">
      <c r="A16690" s="74">
        <v>21482</v>
      </c>
    </row>
    <row r="16691" spans="1:1" x14ac:dyDescent="0.25">
      <c r="A16691" s="74">
        <v>21483</v>
      </c>
    </row>
    <row r="16692" spans="1:1" x14ac:dyDescent="0.25">
      <c r="A16692" s="74">
        <v>21484</v>
      </c>
    </row>
    <row r="16693" spans="1:1" x14ac:dyDescent="0.25">
      <c r="A16693" s="74">
        <v>21485</v>
      </c>
    </row>
    <row r="16694" spans="1:1" x14ac:dyDescent="0.25">
      <c r="A16694" s="74">
        <v>21486</v>
      </c>
    </row>
    <row r="16695" spans="1:1" x14ac:dyDescent="0.25">
      <c r="A16695" s="74">
        <v>21487</v>
      </c>
    </row>
    <row r="16696" spans="1:1" x14ac:dyDescent="0.25">
      <c r="A16696" s="74">
        <v>21488</v>
      </c>
    </row>
    <row r="16697" spans="1:1" x14ac:dyDescent="0.25">
      <c r="A16697" s="74">
        <v>21489</v>
      </c>
    </row>
    <row r="16698" spans="1:1" x14ac:dyDescent="0.25">
      <c r="A16698" s="74">
        <v>21490</v>
      </c>
    </row>
    <row r="16699" spans="1:1" x14ac:dyDescent="0.25">
      <c r="A16699" s="74">
        <v>21491</v>
      </c>
    </row>
    <row r="16700" spans="1:1" x14ac:dyDescent="0.25">
      <c r="A16700" s="74">
        <v>21492</v>
      </c>
    </row>
    <row r="16701" spans="1:1" x14ac:dyDescent="0.25">
      <c r="A16701" s="74">
        <v>21493</v>
      </c>
    </row>
    <row r="16702" spans="1:1" x14ac:dyDescent="0.25">
      <c r="A16702" s="74">
        <v>21494</v>
      </c>
    </row>
    <row r="16703" spans="1:1" x14ac:dyDescent="0.25">
      <c r="A16703" s="74">
        <v>21495</v>
      </c>
    </row>
    <row r="16704" spans="1:1" x14ac:dyDescent="0.25">
      <c r="A16704" s="74">
        <v>21496</v>
      </c>
    </row>
    <row r="16705" spans="1:1" x14ac:dyDescent="0.25">
      <c r="A16705" s="74">
        <v>21497</v>
      </c>
    </row>
    <row r="16706" spans="1:1" x14ac:dyDescent="0.25">
      <c r="A16706" s="74">
        <v>21498</v>
      </c>
    </row>
    <row r="16707" spans="1:1" x14ac:dyDescent="0.25">
      <c r="A16707" s="74">
        <v>21499</v>
      </c>
    </row>
    <row r="16708" spans="1:1" x14ac:dyDescent="0.25">
      <c r="A16708" s="74">
        <v>21500</v>
      </c>
    </row>
    <row r="16709" spans="1:1" x14ac:dyDescent="0.25">
      <c r="A16709" s="74">
        <v>21501</v>
      </c>
    </row>
    <row r="16710" spans="1:1" x14ac:dyDescent="0.25">
      <c r="A16710" s="74">
        <v>21502</v>
      </c>
    </row>
    <row r="16711" spans="1:1" x14ac:dyDescent="0.25">
      <c r="A16711" s="74">
        <v>21503</v>
      </c>
    </row>
    <row r="16712" spans="1:1" x14ac:dyDescent="0.25">
      <c r="A16712" s="74">
        <v>21504</v>
      </c>
    </row>
    <row r="16713" spans="1:1" x14ac:dyDescent="0.25">
      <c r="A16713" s="74">
        <v>21505</v>
      </c>
    </row>
    <row r="16714" spans="1:1" x14ac:dyDescent="0.25">
      <c r="A16714" s="74">
        <v>21506</v>
      </c>
    </row>
    <row r="16715" spans="1:1" x14ac:dyDescent="0.25">
      <c r="A16715" s="74">
        <v>21507</v>
      </c>
    </row>
    <row r="16716" spans="1:1" x14ac:dyDescent="0.25">
      <c r="A16716" s="74">
        <v>21508</v>
      </c>
    </row>
    <row r="16717" spans="1:1" x14ac:dyDescent="0.25">
      <c r="A16717" s="74">
        <v>21509</v>
      </c>
    </row>
    <row r="16718" spans="1:1" x14ac:dyDescent="0.25">
      <c r="A16718" s="74">
        <v>21510</v>
      </c>
    </row>
    <row r="16719" spans="1:1" x14ac:dyDescent="0.25">
      <c r="A16719" s="74">
        <v>21511</v>
      </c>
    </row>
    <row r="16720" spans="1:1" x14ac:dyDescent="0.25">
      <c r="A16720" s="74">
        <v>21512</v>
      </c>
    </row>
    <row r="16721" spans="1:1" x14ac:dyDescent="0.25">
      <c r="A16721" s="74">
        <v>21513</v>
      </c>
    </row>
    <row r="16722" spans="1:1" x14ac:dyDescent="0.25">
      <c r="A16722" s="74">
        <v>21514</v>
      </c>
    </row>
    <row r="16723" spans="1:1" x14ac:dyDescent="0.25">
      <c r="A16723" s="74">
        <v>21515</v>
      </c>
    </row>
    <row r="16724" spans="1:1" x14ac:dyDescent="0.25">
      <c r="A16724" s="74">
        <v>21516</v>
      </c>
    </row>
    <row r="16725" spans="1:1" x14ac:dyDescent="0.25">
      <c r="A16725" s="74">
        <v>21517</v>
      </c>
    </row>
    <row r="16726" spans="1:1" x14ac:dyDescent="0.25">
      <c r="A16726" s="74">
        <v>21518</v>
      </c>
    </row>
    <row r="16727" spans="1:1" x14ac:dyDescent="0.25">
      <c r="A16727" s="74">
        <v>21519</v>
      </c>
    </row>
    <row r="16728" spans="1:1" x14ac:dyDescent="0.25">
      <c r="A16728" s="74">
        <v>21520</v>
      </c>
    </row>
    <row r="16729" spans="1:1" x14ac:dyDescent="0.25">
      <c r="A16729" s="74">
        <v>21521</v>
      </c>
    </row>
    <row r="16730" spans="1:1" x14ac:dyDescent="0.25">
      <c r="A16730" s="74">
        <v>21522</v>
      </c>
    </row>
    <row r="16731" spans="1:1" x14ac:dyDescent="0.25">
      <c r="A16731" s="74">
        <v>21523</v>
      </c>
    </row>
    <row r="16732" spans="1:1" x14ac:dyDescent="0.25">
      <c r="A16732" s="74">
        <v>21524</v>
      </c>
    </row>
    <row r="16733" spans="1:1" x14ac:dyDescent="0.25">
      <c r="A16733" s="74">
        <v>21525</v>
      </c>
    </row>
    <row r="16734" spans="1:1" x14ac:dyDescent="0.25">
      <c r="A16734" s="74">
        <v>21526</v>
      </c>
    </row>
    <row r="16735" spans="1:1" x14ac:dyDescent="0.25">
      <c r="A16735" s="74">
        <v>21527</v>
      </c>
    </row>
    <row r="16736" spans="1:1" x14ac:dyDescent="0.25">
      <c r="A16736" s="74">
        <v>21528</v>
      </c>
    </row>
    <row r="16737" spans="1:1" x14ac:dyDescent="0.25">
      <c r="A16737" s="74">
        <v>21529</v>
      </c>
    </row>
    <row r="16738" spans="1:1" x14ac:dyDescent="0.25">
      <c r="A16738" s="74">
        <v>21530</v>
      </c>
    </row>
    <row r="16739" spans="1:1" x14ac:dyDescent="0.25">
      <c r="A16739" s="74">
        <v>21531</v>
      </c>
    </row>
    <row r="16740" spans="1:1" x14ac:dyDescent="0.25">
      <c r="A16740" s="74">
        <v>21532</v>
      </c>
    </row>
    <row r="16741" spans="1:1" x14ac:dyDescent="0.25">
      <c r="A16741" s="74">
        <v>21533</v>
      </c>
    </row>
    <row r="16742" spans="1:1" x14ac:dyDescent="0.25">
      <c r="A16742" s="74">
        <v>21534</v>
      </c>
    </row>
    <row r="16743" spans="1:1" x14ac:dyDescent="0.25">
      <c r="A16743" s="74">
        <v>21535</v>
      </c>
    </row>
    <row r="16744" spans="1:1" x14ac:dyDescent="0.25">
      <c r="A16744" s="74">
        <v>21536</v>
      </c>
    </row>
    <row r="16745" spans="1:1" x14ac:dyDescent="0.25">
      <c r="A16745" s="74">
        <v>21537</v>
      </c>
    </row>
    <row r="16746" spans="1:1" x14ac:dyDescent="0.25">
      <c r="A16746" s="74">
        <v>21538</v>
      </c>
    </row>
    <row r="16747" spans="1:1" x14ac:dyDescent="0.25">
      <c r="A16747" s="74">
        <v>21539</v>
      </c>
    </row>
    <row r="16748" spans="1:1" x14ac:dyDescent="0.25">
      <c r="A16748" s="74">
        <v>21540</v>
      </c>
    </row>
    <row r="16749" spans="1:1" x14ac:dyDescent="0.25">
      <c r="A16749" s="74">
        <v>21541</v>
      </c>
    </row>
    <row r="16750" spans="1:1" x14ac:dyDescent="0.25">
      <c r="A16750" s="74">
        <v>21542</v>
      </c>
    </row>
    <row r="16751" spans="1:1" x14ac:dyDescent="0.25">
      <c r="A16751" s="74">
        <v>21543</v>
      </c>
    </row>
    <row r="16752" spans="1:1" x14ac:dyDescent="0.25">
      <c r="A16752" s="74">
        <v>21544</v>
      </c>
    </row>
    <row r="16753" spans="1:1" x14ac:dyDescent="0.25">
      <c r="A16753" s="74">
        <v>21545</v>
      </c>
    </row>
    <row r="16754" spans="1:1" x14ac:dyDescent="0.25">
      <c r="A16754" s="74">
        <v>21546</v>
      </c>
    </row>
    <row r="16755" spans="1:1" x14ac:dyDescent="0.25">
      <c r="A16755" s="74">
        <v>21547</v>
      </c>
    </row>
    <row r="16756" spans="1:1" x14ac:dyDescent="0.25">
      <c r="A16756" s="74">
        <v>21548</v>
      </c>
    </row>
    <row r="16757" spans="1:1" x14ac:dyDescent="0.25">
      <c r="A16757" s="74">
        <v>21549</v>
      </c>
    </row>
    <row r="16758" spans="1:1" x14ac:dyDescent="0.25">
      <c r="A16758" s="74">
        <v>21550</v>
      </c>
    </row>
    <row r="16759" spans="1:1" x14ac:dyDescent="0.25">
      <c r="A16759" s="74">
        <v>21551</v>
      </c>
    </row>
    <row r="16760" spans="1:1" x14ac:dyDescent="0.25">
      <c r="A16760" s="74">
        <v>21552</v>
      </c>
    </row>
    <row r="16761" spans="1:1" x14ac:dyDescent="0.25">
      <c r="A16761" s="74">
        <v>21553</v>
      </c>
    </row>
    <row r="16762" spans="1:1" x14ac:dyDescent="0.25">
      <c r="A16762" s="74">
        <v>21554</v>
      </c>
    </row>
    <row r="16763" spans="1:1" x14ac:dyDescent="0.25">
      <c r="A16763" s="74">
        <v>21555</v>
      </c>
    </row>
    <row r="16764" spans="1:1" x14ac:dyDescent="0.25">
      <c r="A16764" s="74">
        <v>21556</v>
      </c>
    </row>
    <row r="16765" spans="1:1" x14ac:dyDescent="0.25">
      <c r="A16765" s="74">
        <v>21557</v>
      </c>
    </row>
    <row r="16766" spans="1:1" x14ac:dyDescent="0.25">
      <c r="A16766" s="74">
        <v>21558</v>
      </c>
    </row>
    <row r="16767" spans="1:1" x14ac:dyDescent="0.25">
      <c r="A16767" s="74">
        <v>21559</v>
      </c>
    </row>
    <row r="16768" spans="1:1" x14ac:dyDescent="0.25">
      <c r="A16768" s="74">
        <v>21560</v>
      </c>
    </row>
    <row r="16769" spans="1:1" x14ac:dyDescent="0.25">
      <c r="A16769" s="74">
        <v>21561</v>
      </c>
    </row>
    <row r="16770" spans="1:1" x14ac:dyDescent="0.25">
      <c r="A16770" s="74">
        <v>21562</v>
      </c>
    </row>
    <row r="16771" spans="1:1" x14ac:dyDescent="0.25">
      <c r="A16771" s="74">
        <v>21563</v>
      </c>
    </row>
    <row r="16772" spans="1:1" x14ac:dyDescent="0.25">
      <c r="A16772" s="74">
        <v>21564</v>
      </c>
    </row>
    <row r="16773" spans="1:1" x14ac:dyDescent="0.25">
      <c r="A16773" s="74">
        <v>21565</v>
      </c>
    </row>
    <row r="16774" spans="1:1" x14ac:dyDescent="0.25">
      <c r="A16774" s="74">
        <v>21566</v>
      </c>
    </row>
    <row r="16775" spans="1:1" x14ac:dyDescent="0.25">
      <c r="A16775" s="74">
        <v>21567</v>
      </c>
    </row>
    <row r="16776" spans="1:1" x14ac:dyDescent="0.25">
      <c r="A16776" s="74">
        <v>21568</v>
      </c>
    </row>
    <row r="16777" spans="1:1" x14ac:dyDescent="0.25">
      <c r="A16777" s="74">
        <v>21569</v>
      </c>
    </row>
    <row r="16778" spans="1:1" x14ac:dyDescent="0.25">
      <c r="A16778" s="74">
        <v>21570</v>
      </c>
    </row>
    <row r="16779" spans="1:1" x14ac:dyDescent="0.25">
      <c r="A16779" s="74">
        <v>21571</v>
      </c>
    </row>
    <row r="16780" spans="1:1" x14ac:dyDescent="0.25">
      <c r="A16780" s="74">
        <v>21572</v>
      </c>
    </row>
    <row r="16781" spans="1:1" x14ac:dyDescent="0.25">
      <c r="A16781" s="74">
        <v>21573</v>
      </c>
    </row>
    <row r="16782" spans="1:1" x14ac:dyDescent="0.25">
      <c r="A16782" s="74">
        <v>21574</v>
      </c>
    </row>
    <row r="16783" spans="1:1" x14ac:dyDescent="0.25">
      <c r="A16783" s="74">
        <v>21575</v>
      </c>
    </row>
    <row r="16784" spans="1:1" x14ac:dyDescent="0.25">
      <c r="A16784" s="74">
        <v>21576</v>
      </c>
    </row>
    <row r="16785" spans="1:1" x14ac:dyDescent="0.25">
      <c r="A16785" s="74">
        <v>21577</v>
      </c>
    </row>
    <row r="16786" spans="1:1" x14ac:dyDescent="0.25">
      <c r="A16786" s="74">
        <v>21578</v>
      </c>
    </row>
    <row r="16787" spans="1:1" x14ac:dyDescent="0.25">
      <c r="A16787" s="74">
        <v>21579</v>
      </c>
    </row>
    <row r="16788" spans="1:1" x14ac:dyDescent="0.25">
      <c r="A16788" s="74">
        <v>21580</v>
      </c>
    </row>
    <row r="16789" spans="1:1" x14ac:dyDescent="0.25">
      <c r="A16789" s="74">
        <v>21581</v>
      </c>
    </row>
    <row r="16790" spans="1:1" x14ac:dyDescent="0.25">
      <c r="A16790" s="74">
        <v>21582</v>
      </c>
    </row>
    <row r="16791" spans="1:1" x14ac:dyDescent="0.25">
      <c r="A16791" s="74">
        <v>21583</v>
      </c>
    </row>
    <row r="16792" spans="1:1" x14ac:dyDescent="0.25">
      <c r="A16792" s="74">
        <v>21584</v>
      </c>
    </row>
    <row r="16793" spans="1:1" x14ac:dyDescent="0.25">
      <c r="A16793" s="74">
        <v>21585</v>
      </c>
    </row>
    <row r="16794" spans="1:1" x14ac:dyDescent="0.25">
      <c r="A16794" s="74">
        <v>21586</v>
      </c>
    </row>
    <row r="16795" spans="1:1" x14ac:dyDescent="0.25">
      <c r="A16795" s="74">
        <v>21587</v>
      </c>
    </row>
    <row r="16796" spans="1:1" x14ac:dyDescent="0.25">
      <c r="A16796" s="74">
        <v>21588</v>
      </c>
    </row>
    <row r="16797" spans="1:1" x14ac:dyDescent="0.25">
      <c r="A16797" s="74">
        <v>21589</v>
      </c>
    </row>
    <row r="16798" spans="1:1" x14ac:dyDescent="0.25">
      <c r="A16798" s="74">
        <v>21590</v>
      </c>
    </row>
    <row r="16799" spans="1:1" x14ac:dyDescent="0.25">
      <c r="A16799" s="74">
        <v>21591</v>
      </c>
    </row>
    <row r="16800" spans="1:1" x14ac:dyDescent="0.25">
      <c r="A16800" s="74">
        <v>21592</v>
      </c>
    </row>
    <row r="16801" spans="1:1" x14ac:dyDescent="0.25">
      <c r="A16801" s="74">
        <v>21593</v>
      </c>
    </row>
    <row r="16802" spans="1:1" x14ac:dyDescent="0.25">
      <c r="A16802" s="74">
        <v>21594</v>
      </c>
    </row>
    <row r="16803" spans="1:1" x14ac:dyDescent="0.25">
      <c r="A16803" s="74">
        <v>21595</v>
      </c>
    </row>
    <row r="16804" spans="1:1" x14ac:dyDescent="0.25">
      <c r="A16804" s="74">
        <v>21596</v>
      </c>
    </row>
    <row r="16805" spans="1:1" x14ac:dyDescent="0.25">
      <c r="A16805" s="74">
        <v>21597</v>
      </c>
    </row>
    <row r="16806" spans="1:1" x14ac:dyDescent="0.25">
      <c r="A16806" s="74">
        <v>21598</v>
      </c>
    </row>
    <row r="16807" spans="1:1" x14ac:dyDescent="0.25">
      <c r="A16807" s="74">
        <v>21599</v>
      </c>
    </row>
    <row r="16808" spans="1:1" x14ac:dyDescent="0.25">
      <c r="A16808" s="74">
        <v>21600</v>
      </c>
    </row>
    <row r="16809" spans="1:1" x14ac:dyDescent="0.25">
      <c r="A16809" s="74">
        <v>21601</v>
      </c>
    </row>
    <row r="16810" spans="1:1" x14ac:dyDescent="0.25">
      <c r="A16810" s="74">
        <v>21602</v>
      </c>
    </row>
    <row r="16811" spans="1:1" x14ac:dyDescent="0.25">
      <c r="A16811" s="74">
        <v>21603</v>
      </c>
    </row>
    <row r="16812" spans="1:1" x14ac:dyDescent="0.25">
      <c r="A16812" s="74">
        <v>21604</v>
      </c>
    </row>
    <row r="16813" spans="1:1" x14ac:dyDescent="0.25">
      <c r="A16813" s="74">
        <v>21605</v>
      </c>
    </row>
    <row r="16814" spans="1:1" x14ac:dyDescent="0.25">
      <c r="A16814" s="74">
        <v>21606</v>
      </c>
    </row>
    <row r="16815" spans="1:1" x14ac:dyDescent="0.25">
      <c r="A16815" s="74">
        <v>21607</v>
      </c>
    </row>
    <row r="16816" spans="1:1" x14ac:dyDescent="0.25">
      <c r="A16816" s="74">
        <v>21608</v>
      </c>
    </row>
    <row r="16817" spans="1:1" x14ac:dyDescent="0.25">
      <c r="A16817" s="74">
        <v>21609</v>
      </c>
    </row>
    <row r="16818" spans="1:1" x14ac:dyDescent="0.25">
      <c r="A16818" s="74">
        <v>21610</v>
      </c>
    </row>
    <row r="16819" spans="1:1" x14ac:dyDescent="0.25">
      <c r="A16819" s="74">
        <v>21611</v>
      </c>
    </row>
    <row r="16820" spans="1:1" x14ac:dyDescent="0.25">
      <c r="A16820" s="74">
        <v>21612</v>
      </c>
    </row>
    <row r="16821" spans="1:1" x14ac:dyDescent="0.25">
      <c r="A16821" s="74">
        <v>21613</v>
      </c>
    </row>
    <row r="16822" spans="1:1" x14ac:dyDescent="0.25">
      <c r="A16822" s="74">
        <v>21614</v>
      </c>
    </row>
    <row r="16823" spans="1:1" x14ac:dyDescent="0.25">
      <c r="A16823" s="74">
        <v>21615</v>
      </c>
    </row>
    <row r="16824" spans="1:1" x14ac:dyDescent="0.25">
      <c r="A16824" s="74">
        <v>21616</v>
      </c>
    </row>
    <row r="16825" spans="1:1" x14ac:dyDescent="0.25">
      <c r="A16825" s="74">
        <v>21617</v>
      </c>
    </row>
    <row r="16826" spans="1:1" x14ac:dyDescent="0.25">
      <c r="A16826" s="74">
        <v>21618</v>
      </c>
    </row>
    <row r="16827" spans="1:1" x14ac:dyDescent="0.25">
      <c r="A16827" s="74">
        <v>21619</v>
      </c>
    </row>
    <row r="16828" spans="1:1" x14ac:dyDescent="0.25">
      <c r="A16828" s="74">
        <v>21620</v>
      </c>
    </row>
    <row r="16829" spans="1:1" x14ac:dyDescent="0.25">
      <c r="A16829" s="74">
        <v>21621</v>
      </c>
    </row>
    <row r="16830" spans="1:1" x14ac:dyDescent="0.25">
      <c r="A16830" s="74">
        <v>21622</v>
      </c>
    </row>
    <row r="16831" spans="1:1" x14ac:dyDescent="0.25">
      <c r="A16831" s="74">
        <v>21623</v>
      </c>
    </row>
    <row r="16832" spans="1:1" x14ac:dyDescent="0.25">
      <c r="A16832" s="74">
        <v>21624</v>
      </c>
    </row>
    <row r="16833" spans="1:1" x14ac:dyDescent="0.25">
      <c r="A16833" s="74">
        <v>21625</v>
      </c>
    </row>
    <row r="16834" spans="1:1" x14ac:dyDescent="0.25">
      <c r="A16834" s="74">
        <v>21626</v>
      </c>
    </row>
    <row r="16835" spans="1:1" x14ac:dyDescent="0.25">
      <c r="A16835" s="74">
        <v>21627</v>
      </c>
    </row>
    <row r="16836" spans="1:1" x14ac:dyDescent="0.25">
      <c r="A16836" s="74">
        <v>21628</v>
      </c>
    </row>
    <row r="16837" spans="1:1" x14ac:dyDescent="0.25">
      <c r="A16837" s="74">
        <v>21629</v>
      </c>
    </row>
    <row r="16838" spans="1:1" x14ac:dyDescent="0.25">
      <c r="A16838" s="74">
        <v>21630</v>
      </c>
    </row>
    <row r="16839" spans="1:1" x14ac:dyDescent="0.25">
      <c r="A16839" s="74">
        <v>21631</v>
      </c>
    </row>
    <row r="16840" spans="1:1" x14ac:dyDescent="0.25">
      <c r="A16840" s="74">
        <v>21632</v>
      </c>
    </row>
    <row r="16841" spans="1:1" x14ac:dyDescent="0.25">
      <c r="A16841" s="74">
        <v>21633</v>
      </c>
    </row>
    <row r="16842" spans="1:1" x14ac:dyDescent="0.25">
      <c r="A16842" s="74">
        <v>21634</v>
      </c>
    </row>
    <row r="16843" spans="1:1" x14ac:dyDescent="0.25">
      <c r="A16843" s="74">
        <v>21635</v>
      </c>
    </row>
    <row r="16844" spans="1:1" x14ac:dyDescent="0.25">
      <c r="A16844" s="74">
        <v>21636</v>
      </c>
    </row>
    <row r="16845" spans="1:1" x14ac:dyDescent="0.25">
      <c r="A16845" s="74">
        <v>21637</v>
      </c>
    </row>
    <row r="16846" spans="1:1" x14ac:dyDescent="0.25">
      <c r="A16846" s="74">
        <v>21638</v>
      </c>
    </row>
    <row r="16847" spans="1:1" x14ac:dyDescent="0.25">
      <c r="A16847" s="74">
        <v>21639</v>
      </c>
    </row>
    <row r="16848" spans="1:1" x14ac:dyDescent="0.25">
      <c r="A16848" s="74">
        <v>21640</v>
      </c>
    </row>
    <row r="16849" spans="1:1" x14ac:dyDescent="0.25">
      <c r="A16849" s="74">
        <v>21641</v>
      </c>
    </row>
    <row r="16850" spans="1:1" x14ac:dyDescent="0.25">
      <c r="A16850" s="74">
        <v>21642</v>
      </c>
    </row>
    <row r="16851" spans="1:1" x14ac:dyDescent="0.25">
      <c r="A16851" s="74">
        <v>21643</v>
      </c>
    </row>
    <row r="16852" spans="1:1" x14ac:dyDescent="0.25">
      <c r="A16852" s="74">
        <v>21644</v>
      </c>
    </row>
    <row r="16853" spans="1:1" x14ac:dyDescent="0.25">
      <c r="A16853" s="74">
        <v>21645</v>
      </c>
    </row>
    <row r="16854" spans="1:1" x14ac:dyDescent="0.25">
      <c r="A16854" s="74">
        <v>21646</v>
      </c>
    </row>
    <row r="16855" spans="1:1" x14ac:dyDescent="0.25">
      <c r="A16855" s="74">
        <v>21647</v>
      </c>
    </row>
    <row r="16856" spans="1:1" x14ac:dyDescent="0.25">
      <c r="A16856" s="74">
        <v>21648</v>
      </c>
    </row>
    <row r="16857" spans="1:1" x14ac:dyDescent="0.25">
      <c r="A16857" s="74">
        <v>21649</v>
      </c>
    </row>
    <row r="16858" spans="1:1" x14ac:dyDescent="0.25">
      <c r="A16858" s="74">
        <v>21650</v>
      </c>
    </row>
    <row r="16859" spans="1:1" x14ac:dyDescent="0.25">
      <c r="A16859" s="74">
        <v>21651</v>
      </c>
    </row>
    <row r="16860" spans="1:1" x14ac:dyDescent="0.25">
      <c r="A16860" s="74">
        <v>21652</v>
      </c>
    </row>
    <row r="16861" spans="1:1" x14ac:dyDescent="0.25">
      <c r="A16861" s="74">
        <v>21653</v>
      </c>
    </row>
    <row r="16862" spans="1:1" x14ac:dyDescent="0.25">
      <c r="A16862" s="74">
        <v>21654</v>
      </c>
    </row>
    <row r="16863" spans="1:1" x14ac:dyDescent="0.25">
      <c r="A16863" s="74">
        <v>21655</v>
      </c>
    </row>
    <row r="16864" spans="1:1" x14ac:dyDescent="0.25">
      <c r="A16864" s="74">
        <v>21656</v>
      </c>
    </row>
    <row r="16865" spans="1:1" x14ac:dyDescent="0.25">
      <c r="A16865" s="74">
        <v>21657</v>
      </c>
    </row>
    <row r="16866" spans="1:1" x14ac:dyDescent="0.25">
      <c r="A16866" s="74">
        <v>21658</v>
      </c>
    </row>
    <row r="16867" spans="1:1" x14ac:dyDescent="0.25">
      <c r="A16867" s="74">
        <v>21659</v>
      </c>
    </row>
    <row r="16868" spans="1:1" x14ac:dyDescent="0.25">
      <c r="A16868" s="74">
        <v>21660</v>
      </c>
    </row>
    <row r="16869" spans="1:1" x14ac:dyDescent="0.25">
      <c r="A16869" s="74">
        <v>21661</v>
      </c>
    </row>
    <row r="16870" spans="1:1" x14ac:dyDescent="0.25">
      <c r="A16870" s="74">
        <v>21662</v>
      </c>
    </row>
    <row r="16871" spans="1:1" x14ac:dyDescent="0.25">
      <c r="A16871" s="74">
        <v>21663</v>
      </c>
    </row>
    <row r="16872" spans="1:1" x14ac:dyDescent="0.25">
      <c r="A16872" s="74">
        <v>21664</v>
      </c>
    </row>
    <row r="16873" spans="1:1" x14ac:dyDescent="0.25">
      <c r="A16873" s="74">
        <v>21665</v>
      </c>
    </row>
    <row r="16874" spans="1:1" x14ac:dyDescent="0.25">
      <c r="A16874" s="74">
        <v>21666</v>
      </c>
    </row>
    <row r="16875" spans="1:1" x14ac:dyDescent="0.25">
      <c r="A16875" s="74">
        <v>21667</v>
      </c>
    </row>
    <row r="16876" spans="1:1" x14ac:dyDescent="0.25">
      <c r="A16876" s="74">
        <v>21668</v>
      </c>
    </row>
    <row r="16877" spans="1:1" x14ac:dyDescent="0.25">
      <c r="A16877" s="74">
        <v>21669</v>
      </c>
    </row>
    <row r="16878" spans="1:1" x14ac:dyDescent="0.25">
      <c r="A16878" s="74">
        <v>21670</v>
      </c>
    </row>
    <row r="16879" spans="1:1" x14ac:dyDescent="0.25">
      <c r="A16879" s="74">
        <v>21671</v>
      </c>
    </row>
    <row r="16880" spans="1:1" x14ac:dyDescent="0.25">
      <c r="A16880" s="74">
        <v>21672</v>
      </c>
    </row>
    <row r="16881" spans="1:1" x14ac:dyDescent="0.25">
      <c r="A16881" s="74">
        <v>21673</v>
      </c>
    </row>
    <row r="16882" spans="1:1" x14ac:dyDescent="0.25">
      <c r="A16882" s="74">
        <v>21674</v>
      </c>
    </row>
    <row r="16883" spans="1:1" x14ac:dyDescent="0.25">
      <c r="A16883" s="74">
        <v>21675</v>
      </c>
    </row>
    <row r="16884" spans="1:1" x14ac:dyDescent="0.25">
      <c r="A16884" s="74">
        <v>21676</v>
      </c>
    </row>
    <row r="16885" spans="1:1" x14ac:dyDescent="0.25">
      <c r="A16885" s="74">
        <v>21677</v>
      </c>
    </row>
    <row r="16886" spans="1:1" x14ac:dyDescent="0.25">
      <c r="A16886" s="74">
        <v>21678</v>
      </c>
    </row>
    <row r="16887" spans="1:1" x14ac:dyDescent="0.25">
      <c r="A16887" s="74">
        <v>21679</v>
      </c>
    </row>
    <row r="16888" spans="1:1" x14ac:dyDescent="0.25">
      <c r="A16888" s="74">
        <v>21680</v>
      </c>
    </row>
    <row r="16889" spans="1:1" x14ac:dyDescent="0.25">
      <c r="A16889" s="74">
        <v>21681</v>
      </c>
    </row>
    <row r="16890" spans="1:1" x14ac:dyDescent="0.25">
      <c r="A16890" s="74">
        <v>21682</v>
      </c>
    </row>
    <row r="16891" spans="1:1" x14ac:dyDescent="0.25">
      <c r="A16891" s="74">
        <v>21683</v>
      </c>
    </row>
    <row r="16892" spans="1:1" x14ac:dyDescent="0.25">
      <c r="A16892" s="74">
        <v>21684</v>
      </c>
    </row>
    <row r="16893" spans="1:1" x14ac:dyDescent="0.25">
      <c r="A16893" s="74">
        <v>21685</v>
      </c>
    </row>
    <row r="16894" spans="1:1" x14ac:dyDescent="0.25">
      <c r="A16894" s="74">
        <v>21686</v>
      </c>
    </row>
    <row r="16895" spans="1:1" x14ac:dyDescent="0.25">
      <c r="A16895" s="74">
        <v>21687</v>
      </c>
    </row>
    <row r="16896" spans="1:1" x14ac:dyDescent="0.25">
      <c r="A16896" s="74">
        <v>21688</v>
      </c>
    </row>
    <row r="16897" spans="1:1" x14ac:dyDescent="0.25">
      <c r="A16897" s="74">
        <v>21689</v>
      </c>
    </row>
    <row r="16898" spans="1:1" x14ac:dyDescent="0.25">
      <c r="A16898" s="74">
        <v>21690</v>
      </c>
    </row>
    <row r="16899" spans="1:1" x14ac:dyDescent="0.25">
      <c r="A16899" s="74">
        <v>21691</v>
      </c>
    </row>
    <row r="16900" spans="1:1" x14ac:dyDescent="0.25">
      <c r="A16900" s="74">
        <v>21692</v>
      </c>
    </row>
    <row r="16901" spans="1:1" x14ac:dyDescent="0.25">
      <c r="A16901" s="74">
        <v>21693</v>
      </c>
    </row>
    <row r="16902" spans="1:1" x14ac:dyDescent="0.25">
      <c r="A16902" s="74">
        <v>21694</v>
      </c>
    </row>
    <row r="16903" spans="1:1" x14ac:dyDescent="0.25">
      <c r="A16903" s="74">
        <v>21695</v>
      </c>
    </row>
    <row r="16904" spans="1:1" x14ac:dyDescent="0.25">
      <c r="A16904" s="74">
        <v>21696</v>
      </c>
    </row>
    <row r="16905" spans="1:1" x14ac:dyDescent="0.25">
      <c r="A16905" s="74">
        <v>21697</v>
      </c>
    </row>
    <row r="16906" spans="1:1" x14ac:dyDescent="0.25">
      <c r="A16906" s="74">
        <v>21698</v>
      </c>
    </row>
    <row r="16907" spans="1:1" x14ac:dyDescent="0.25">
      <c r="A16907" s="74">
        <v>21699</v>
      </c>
    </row>
    <row r="16908" spans="1:1" x14ac:dyDescent="0.25">
      <c r="A16908" s="74">
        <v>21700</v>
      </c>
    </row>
    <row r="16909" spans="1:1" x14ac:dyDescent="0.25">
      <c r="A16909" s="74">
        <v>21701</v>
      </c>
    </row>
    <row r="16910" spans="1:1" x14ac:dyDescent="0.25">
      <c r="A16910" s="74">
        <v>21702</v>
      </c>
    </row>
    <row r="16911" spans="1:1" x14ac:dyDescent="0.25">
      <c r="A16911" s="74">
        <v>21703</v>
      </c>
    </row>
    <row r="16912" spans="1:1" x14ac:dyDescent="0.25">
      <c r="A16912" s="74">
        <v>21704</v>
      </c>
    </row>
    <row r="16913" spans="1:1" x14ac:dyDescent="0.25">
      <c r="A16913" s="74">
        <v>21705</v>
      </c>
    </row>
    <row r="16914" spans="1:1" x14ac:dyDescent="0.25">
      <c r="A16914" s="74">
        <v>21706</v>
      </c>
    </row>
    <row r="16915" spans="1:1" x14ac:dyDescent="0.25">
      <c r="A16915" s="74">
        <v>21707</v>
      </c>
    </row>
    <row r="16916" spans="1:1" x14ac:dyDescent="0.25">
      <c r="A16916" s="74">
        <v>21708</v>
      </c>
    </row>
    <row r="16917" spans="1:1" x14ac:dyDescent="0.25">
      <c r="A16917" s="74">
        <v>21709</v>
      </c>
    </row>
    <row r="16918" spans="1:1" x14ac:dyDescent="0.25">
      <c r="A16918" s="74">
        <v>21710</v>
      </c>
    </row>
    <row r="16919" spans="1:1" x14ac:dyDescent="0.25">
      <c r="A16919" s="74">
        <v>21711</v>
      </c>
    </row>
    <row r="16920" spans="1:1" x14ac:dyDescent="0.25">
      <c r="A16920" s="74">
        <v>21712</v>
      </c>
    </row>
    <row r="16921" spans="1:1" x14ac:dyDescent="0.25">
      <c r="A16921" s="74">
        <v>21713</v>
      </c>
    </row>
    <row r="16922" spans="1:1" x14ac:dyDescent="0.25">
      <c r="A16922" s="74">
        <v>21714</v>
      </c>
    </row>
    <row r="16923" spans="1:1" x14ac:dyDescent="0.25">
      <c r="A16923" s="74">
        <v>21715</v>
      </c>
    </row>
    <row r="16924" spans="1:1" x14ac:dyDescent="0.25">
      <c r="A16924" s="74">
        <v>21716</v>
      </c>
    </row>
    <row r="16925" spans="1:1" x14ac:dyDescent="0.25">
      <c r="A16925" s="74">
        <v>21717</v>
      </c>
    </row>
    <row r="16926" spans="1:1" x14ac:dyDescent="0.25">
      <c r="A16926" s="74">
        <v>21718</v>
      </c>
    </row>
    <row r="16927" spans="1:1" x14ac:dyDescent="0.25">
      <c r="A16927" s="74">
        <v>21719</v>
      </c>
    </row>
    <row r="16928" spans="1:1" x14ac:dyDescent="0.25">
      <c r="A16928" s="74">
        <v>21720</v>
      </c>
    </row>
    <row r="16929" spans="1:1" x14ac:dyDescent="0.25">
      <c r="A16929" s="74">
        <v>21721</v>
      </c>
    </row>
    <row r="16930" spans="1:1" x14ac:dyDescent="0.25">
      <c r="A16930" s="74">
        <v>21722</v>
      </c>
    </row>
    <row r="16931" spans="1:1" x14ac:dyDescent="0.25">
      <c r="A16931" s="74">
        <v>21723</v>
      </c>
    </row>
    <row r="16932" spans="1:1" x14ac:dyDescent="0.25">
      <c r="A16932" s="74">
        <v>21724</v>
      </c>
    </row>
    <row r="16933" spans="1:1" x14ac:dyDescent="0.25">
      <c r="A16933" s="74">
        <v>21725</v>
      </c>
    </row>
    <row r="16934" spans="1:1" x14ac:dyDescent="0.25">
      <c r="A16934" s="74">
        <v>21726</v>
      </c>
    </row>
    <row r="16935" spans="1:1" x14ac:dyDescent="0.25">
      <c r="A16935" s="74">
        <v>21727</v>
      </c>
    </row>
    <row r="16936" spans="1:1" x14ac:dyDescent="0.25">
      <c r="A16936" s="74">
        <v>21728</v>
      </c>
    </row>
    <row r="16937" spans="1:1" x14ac:dyDescent="0.25">
      <c r="A16937" s="74">
        <v>21729</v>
      </c>
    </row>
    <row r="16938" spans="1:1" x14ac:dyDescent="0.25">
      <c r="A16938" s="74">
        <v>21730</v>
      </c>
    </row>
    <row r="16939" spans="1:1" x14ac:dyDescent="0.25">
      <c r="A16939" s="74">
        <v>21731</v>
      </c>
    </row>
    <row r="16940" spans="1:1" x14ac:dyDescent="0.25">
      <c r="A16940" s="74">
        <v>21732</v>
      </c>
    </row>
    <row r="16941" spans="1:1" x14ac:dyDescent="0.25">
      <c r="A16941" s="74">
        <v>21733</v>
      </c>
    </row>
    <row r="16942" spans="1:1" x14ac:dyDescent="0.25">
      <c r="A16942" s="74">
        <v>21734</v>
      </c>
    </row>
    <row r="16943" spans="1:1" x14ac:dyDescent="0.25">
      <c r="A16943" s="74">
        <v>21735</v>
      </c>
    </row>
    <row r="16944" spans="1:1" x14ac:dyDescent="0.25">
      <c r="A16944" s="74">
        <v>21736</v>
      </c>
    </row>
    <row r="16945" spans="1:1" x14ac:dyDescent="0.25">
      <c r="A16945" s="74">
        <v>21737</v>
      </c>
    </row>
    <row r="16946" spans="1:1" x14ac:dyDescent="0.25">
      <c r="A16946" s="74">
        <v>21738</v>
      </c>
    </row>
    <row r="16947" spans="1:1" x14ac:dyDescent="0.25">
      <c r="A16947" s="74">
        <v>21739</v>
      </c>
    </row>
    <row r="16948" spans="1:1" x14ac:dyDescent="0.25">
      <c r="A16948" s="74">
        <v>21740</v>
      </c>
    </row>
    <row r="16949" spans="1:1" x14ac:dyDescent="0.25">
      <c r="A16949" s="74">
        <v>21741</v>
      </c>
    </row>
    <row r="16950" spans="1:1" x14ac:dyDescent="0.25">
      <c r="A16950" s="74">
        <v>21742</v>
      </c>
    </row>
    <row r="16951" spans="1:1" x14ac:dyDescent="0.25">
      <c r="A16951" s="74">
        <v>21743</v>
      </c>
    </row>
    <row r="16952" spans="1:1" x14ac:dyDescent="0.25">
      <c r="A16952" s="74">
        <v>21744</v>
      </c>
    </row>
    <row r="16953" spans="1:1" x14ac:dyDescent="0.25">
      <c r="A16953" s="74">
        <v>21745</v>
      </c>
    </row>
    <row r="16954" spans="1:1" x14ac:dyDescent="0.25">
      <c r="A16954" s="74">
        <v>21746</v>
      </c>
    </row>
    <row r="16955" spans="1:1" x14ac:dyDescent="0.25">
      <c r="A16955" s="74">
        <v>21747</v>
      </c>
    </row>
    <row r="16956" spans="1:1" x14ac:dyDescent="0.25">
      <c r="A16956" s="74">
        <v>21748</v>
      </c>
    </row>
    <row r="16957" spans="1:1" x14ac:dyDescent="0.25">
      <c r="A16957" s="74">
        <v>21749</v>
      </c>
    </row>
    <row r="16958" spans="1:1" x14ac:dyDescent="0.25">
      <c r="A16958" s="74">
        <v>21750</v>
      </c>
    </row>
    <row r="16959" spans="1:1" x14ac:dyDescent="0.25">
      <c r="A16959" s="74">
        <v>21751</v>
      </c>
    </row>
    <row r="16960" spans="1:1" x14ac:dyDescent="0.25">
      <c r="A16960" s="74">
        <v>21752</v>
      </c>
    </row>
    <row r="16961" spans="1:1" x14ac:dyDescent="0.25">
      <c r="A16961" s="74">
        <v>21753</v>
      </c>
    </row>
    <row r="16962" spans="1:1" x14ac:dyDescent="0.25">
      <c r="A16962" s="74">
        <v>21754</v>
      </c>
    </row>
    <row r="16963" spans="1:1" x14ac:dyDescent="0.25">
      <c r="A16963" s="74">
        <v>21755</v>
      </c>
    </row>
    <row r="16964" spans="1:1" x14ac:dyDescent="0.25">
      <c r="A16964" s="74">
        <v>21756</v>
      </c>
    </row>
    <row r="16965" spans="1:1" x14ac:dyDescent="0.25">
      <c r="A16965" s="74">
        <v>21757</v>
      </c>
    </row>
    <row r="16966" spans="1:1" x14ac:dyDescent="0.25">
      <c r="A16966" s="74">
        <v>21758</v>
      </c>
    </row>
    <row r="16967" spans="1:1" x14ac:dyDescent="0.25">
      <c r="A16967" s="74">
        <v>21759</v>
      </c>
    </row>
    <row r="16968" spans="1:1" x14ac:dyDescent="0.25">
      <c r="A16968" s="74">
        <v>21760</v>
      </c>
    </row>
    <row r="16969" spans="1:1" x14ac:dyDescent="0.25">
      <c r="A16969" s="74">
        <v>21761</v>
      </c>
    </row>
    <row r="16970" spans="1:1" x14ac:dyDescent="0.25">
      <c r="A16970" s="74">
        <v>21762</v>
      </c>
    </row>
    <row r="16971" spans="1:1" x14ac:dyDescent="0.25">
      <c r="A16971" s="74">
        <v>21763</v>
      </c>
    </row>
    <row r="16972" spans="1:1" x14ac:dyDescent="0.25">
      <c r="A16972" s="74">
        <v>21764</v>
      </c>
    </row>
    <row r="16973" spans="1:1" x14ac:dyDescent="0.25">
      <c r="A16973" s="74">
        <v>21765</v>
      </c>
    </row>
    <row r="16974" spans="1:1" x14ac:dyDescent="0.25">
      <c r="A16974" s="74">
        <v>21766</v>
      </c>
    </row>
    <row r="16975" spans="1:1" x14ac:dyDescent="0.25">
      <c r="A16975" s="74">
        <v>21767</v>
      </c>
    </row>
    <row r="16976" spans="1:1" x14ac:dyDescent="0.25">
      <c r="A16976" s="74">
        <v>21768</v>
      </c>
    </row>
    <row r="16977" spans="1:1" x14ac:dyDescent="0.25">
      <c r="A16977" s="74">
        <v>21769</v>
      </c>
    </row>
    <row r="16978" spans="1:1" x14ac:dyDescent="0.25">
      <c r="A16978" s="74">
        <v>21770</v>
      </c>
    </row>
    <row r="16979" spans="1:1" x14ac:dyDescent="0.25">
      <c r="A16979" s="74">
        <v>21771</v>
      </c>
    </row>
    <row r="16980" spans="1:1" x14ac:dyDescent="0.25">
      <c r="A16980" s="74">
        <v>21772</v>
      </c>
    </row>
    <row r="16981" spans="1:1" x14ac:dyDescent="0.25">
      <c r="A16981" s="74">
        <v>21773</v>
      </c>
    </row>
    <row r="16982" spans="1:1" x14ac:dyDescent="0.25">
      <c r="A16982" s="74">
        <v>21774</v>
      </c>
    </row>
    <row r="16983" spans="1:1" x14ac:dyDescent="0.25">
      <c r="A16983" s="74">
        <v>21775</v>
      </c>
    </row>
    <row r="16984" spans="1:1" x14ac:dyDescent="0.25">
      <c r="A16984" s="74">
        <v>21776</v>
      </c>
    </row>
    <row r="16985" spans="1:1" x14ac:dyDescent="0.25">
      <c r="A16985" s="74">
        <v>21777</v>
      </c>
    </row>
    <row r="16986" spans="1:1" x14ac:dyDescent="0.25">
      <c r="A16986" s="74">
        <v>21778</v>
      </c>
    </row>
    <row r="16987" spans="1:1" x14ac:dyDescent="0.25">
      <c r="A16987" s="74">
        <v>21779</v>
      </c>
    </row>
    <row r="16988" spans="1:1" x14ac:dyDescent="0.25">
      <c r="A16988" s="74">
        <v>21780</v>
      </c>
    </row>
    <row r="16989" spans="1:1" x14ac:dyDescent="0.25">
      <c r="A16989" s="74">
        <v>21781</v>
      </c>
    </row>
    <row r="16990" spans="1:1" x14ac:dyDescent="0.25">
      <c r="A16990" s="74">
        <v>21782</v>
      </c>
    </row>
    <row r="16991" spans="1:1" x14ac:dyDescent="0.25">
      <c r="A16991" s="74">
        <v>21783</v>
      </c>
    </row>
    <row r="16992" spans="1:1" x14ac:dyDescent="0.25">
      <c r="A16992" s="74">
        <v>21784</v>
      </c>
    </row>
    <row r="16993" spans="1:1" x14ac:dyDescent="0.25">
      <c r="A16993" s="74">
        <v>21785</v>
      </c>
    </row>
    <row r="16994" spans="1:1" x14ac:dyDescent="0.25">
      <c r="A16994" s="74">
        <v>21786</v>
      </c>
    </row>
    <row r="16995" spans="1:1" x14ac:dyDescent="0.25">
      <c r="A16995" s="74">
        <v>21787</v>
      </c>
    </row>
    <row r="16996" spans="1:1" x14ac:dyDescent="0.25">
      <c r="A16996" s="74">
        <v>21788</v>
      </c>
    </row>
    <row r="16997" spans="1:1" x14ac:dyDescent="0.25">
      <c r="A16997" s="74">
        <v>21789</v>
      </c>
    </row>
    <row r="16998" spans="1:1" x14ac:dyDescent="0.25">
      <c r="A16998" s="74">
        <v>21790</v>
      </c>
    </row>
    <row r="16999" spans="1:1" x14ac:dyDescent="0.25">
      <c r="A16999" s="74">
        <v>21791</v>
      </c>
    </row>
    <row r="17000" spans="1:1" x14ac:dyDescent="0.25">
      <c r="A17000" s="74">
        <v>21792</v>
      </c>
    </row>
    <row r="17001" spans="1:1" x14ac:dyDescent="0.25">
      <c r="A17001" s="74">
        <v>21793</v>
      </c>
    </row>
    <row r="17002" spans="1:1" x14ac:dyDescent="0.25">
      <c r="A17002" s="74">
        <v>21794</v>
      </c>
    </row>
    <row r="17003" spans="1:1" x14ac:dyDescent="0.25">
      <c r="A17003" s="74">
        <v>21795</v>
      </c>
    </row>
    <row r="17004" spans="1:1" x14ac:dyDescent="0.25">
      <c r="A17004" s="74">
        <v>21796</v>
      </c>
    </row>
    <row r="17005" spans="1:1" x14ac:dyDescent="0.25">
      <c r="A17005" s="74">
        <v>21797</v>
      </c>
    </row>
    <row r="17006" spans="1:1" x14ac:dyDescent="0.25">
      <c r="A17006" s="74">
        <v>21798</v>
      </c>
    </row>
    <row r="17007" spans="1:1" x14ac:dyDescent="0.25">
      <c r="A17007" s="74">
        <v>21799</v>
      </c>
    </row>
    <row r="17008" spans="1:1" x14ac:dyDescent="0.25">
      <c r="A17008" s="74">
        <v>21800</v>
      </c>
    </row>
    <row r="17009" spans="1:1" x14ac:dyDescent="0.25">
      <c r="A17009" s="74">
        <v>21801</v>
      </c>
    </row>
    <row r="17010" spans="1:1" x14ac:dyDescent="0.25">
      <c r="A17010" s="74">
        <v>21802</v>
      </c>
    </row>
    <row r="17011" spans="1:1" x14ac:dyDescent="0.25">
      <c r="A17011" s="74">
        <v>21803</v>
      </c>
    </row>
    <row r="17012" spans="1:1" x14ac:dyDescent="0.25">
      <c r="A17012" s="74">
        <v>21804</v>
      </c>
    </row>
    <row r="17013" spans="1:1" x14ac:dyDescent="0.25">
      <c r="A17013" s="74">
        <v>21805</v>
      </c>
    </row>
    <row r="17014" spans="1:1" x14ac:dyDescent="0.25">
      <c r="A17014" s="74">
        <v>21806</v>
      </c>
    </row>
    <row r="17015" spans="1:1" x14ac:dyDescent="0.25">
      <c r="A17015" s="74">
        <v>21807</v>
      </c>
    </row>
    <row r="17016" spans="1:1" x14ac:dyDescent="0.25">
      <c r="A17016" s="74">
        <v>21808</v>
      </c>
    </row>
    <row r="17017" spans="1:1" x14ac:dyDescent="0.25">
      <c r="A17017" s="74">
        <v>21809</v>
      </c>
    </row>
    <row r="17018" spans="1:1" x14ac:dyDescent="0.25">
      <c r="A17018" s="74">
        <v>21810</v>
      </c>
    </row>
    <row r="17019" spans="1:1" x14ac:dyDescent="0.25">
      <c r="A17019" s="74">
        <v>21811</v>
      </c>
    </row>
    <row r="17020" spans="1:1" x14ac:dyDescent="0.25">
      <c r="A17020" s="74">
        <v>21812</v>
      </c>
    </row>
    <row r="17021" spans="1:1" x14ac:dyDescent="0.25">
      <c r="A17021" s="74">
        <v>21813</v>
      </c>
    </row>
    <row r="17022" spans="1:1" x14ac:dyDescent="0.25">
      <c r="A17022" s="74">
        <v>21814</v>
      </c>
    </row>
    <row r="17023" spans="1:1" x14ac:dyDescent="0.25">
      <c r="A17023" s="74">
        <v>21815</v>
      </c>
    </row>
    <row r="17024" spans="1:1" x14ac:dyDescent="0.25">
      <c r="A17024" s="74">
        <v>21816</v>
      </c>
    </row>
    <row r="17025" spans="1:1" x14ac:dyDescent="0.25">
      <c r="A17025" s="74">
        <v>21817</v>
      </c>
    </row>
    <row r="17026" spans="1:1" x14ac:dyDescent="0.25">
      <c r="A17026" s="74">
        <v>21818</v>
      </c>
    </row>
    <row r="17027" spans="1:1" x14ac:dyDescent="0.25">
      <c r="A17027" s="74">
        <v>21819</v>
      </c>
    </row>
    <row r="17028" spans="1:1" x14ac:dyDescent="0.25">
      <c r="A17028" s="74">
        <v>21820</v>
      </c>
    </row>
    <row r="17029" spans="1:1" x14ac:dyDescent="0.25">
      <c r="A17029" s="74">
        <v>21821</v>
      </c>
    </row>
    <row r="17030" spans="1:1" x14ac:dyDescent="0.25">
      <c r="A17030" s="74">
        <v>21822</v>
      </c>
    </row>
    <row r="17031" spans="1:1" x14ac:dyDescent="0.25">
      <c r="A17031" s="74">
        <v>21823</v>
      </c>
    </row>
    <row r="17032" spans="1:1" x14ac:dyDescent="0.25">
      <c r="A17032" s="74">
        <v>21824</v>
      </c>
    </row>
    <row r="17033" spans="1:1" x14ac:dyDescent="0.25">
      <c r="A17033" s="74">
        <v>21825</v>
      </c>
    </row>
    <row r="17034" spans="1:1" x14ac:dyDescent="0.25">
      <c r="A17034" s="74">
        <v>21826</v>
      </c>
    </row>
    <row r="17035" spans="1:1" x14ac:dyDescent="0.25">
      <c r="A17035" s="74">
        <v>21827</v>
      </c>
    </row>
    <row r="17036" spans="1:1" x14ac:dyDescent="0.25">
      <c r="A17036" s="74">
        <v>21828</v>
      </c>
    </row>
    <row r="17037" spans="1:1" x14ac:dyDescent="0.25">
      <c r="A17037" s="74">
        <v>21829</v>
      </c>
    </row>
    <row r="17038" spans="1:1" x14ac:dyDescent="0.25">
      <c r="A17038" s="74">
        <v>21830</v>
      </c>
    </row>
    <row r="17039" spans="1:1" x14ac:dyDescent="0.25">
      <c r="A17039" s="74">
        <v>21831</v>
      </c>
    </row>
    <row r="17040" spans="1:1" x14ac:dyDescent="0.25">
      <c r="A17040" s="74">
        <v>21832</v>
      </c>
    </row>
    <row r="17041" spans="1:1" x14ac:dyDescent="0.25">
      <c r="A17041" s="74">
        <v>21833</v>
      </c>
    </row>
    <row r="17042" spans="1:1" x14ac:dyDescent="0.25">
      <c r="A17042" s="74">
        <v>21834</v>
      </c>
    </row>
    <row r="17043" spans="1:1" x14ac:dyDescent="0.25">
      <c r="A17043" s="74">
        <v>21835</v>
      </c>
    </row>
    <row r="17044" spans="1:1" x14ac:dyDescent="0.25">
      <c r="A17044" s="74">
        <v>21836</v>
      </c>
    </row>
    <row r="17045" spans="1:1" x14ac:dyDescent="0.25">
      <c r="A17045" s="74">
        <v>21837</v>
      </c>
    </row>
    <row r="17046" spans="1:1" x14ac:dyDescent="0.25">
      <c r="A17046" s="74">
        <v>21838</v>
      </c>
    </row>
    <row r="17047" spans="1:1" x14ac:dyDescent="0.25">
      <c r="A17047" s="74">
        <v>21839</v>
      </c>
    </row>
    <row r="17048" spans="1:1" x14ac:dyDescent="0.25">
      <c r="A17048" s="74">
        <v>21840</v>
      </c>
    </row>
    <row r="17049" spans="1:1" x14ac:dyDescent="0.25">
      <c r="A17049" s="74">
        <v>21841</v>
      </c>
    </row>
    <row r="17050" spans="1:1" x14ac:dyDescent="0.25">
      <c r="A17050" s="74">
        <v>21842</v>
      </c>
    </row>
    <row r="17051" spans="1:1" x14ac:dyDescent="0.25">
      <c r="A17051" s="74">
        <v>21843</v>
      </c>
    </row>
    <row r="17052" spans="1:1" x14ac:dyDescent="0.25">
      <c r="A17052" s="74">
        <v>21844</v>
      </c>
    </row>
    <row r="17053" spans="1:1" x14ac:dyDescent="0.25">
      <c r="A17053" s="74">
        <v>21845</v>
      </c>
    </row>
    <row r="17054" spans="1:1" x14ac:dyDescent="0.25">
      <c r="A17054" s="74">
        <v>21846</v>
      </c>
    </row>
    <row r="17055" spans="1:1" x14ac:dyDescent="0.25">
      <c r="A17055" s="74">
        <v>21847</v>
      </c>
    </row>
    <row r="17056" spans="1:1" x14ac:dyDescent="0.25">
      <c r="A17056" s="74">
        <v>21848</v>
      </c>
    </row>
    <row r="17057" spans="1:1" x14ac:dyDescent="0.25">
      <c r="A17057" s="74">
        <v>21849</v>
      </c>
    </row>
    <row r="17058" spans="1:1" x14ac:dyDescent="0.25">
      <c r="A17058" s="74">
        <v>21850</v>
      </c>
    </row>
    <row r="17059" spans="1:1" x14ac:dyDescent="0.25">
      <c r="A17059" s="74">
        <v>21851</v>
      </c>
    </row>
    <row r="17060" spans="1:1" x14ac:dyDescent="0.25">
      <c r="A17060" s="74">
        <v>21852</v>
      </c>
    </row>
    <row r="17061" spans="1:1" x14ac:dyDescent="0.25">
      <c r="A17061" s="74">
        <v>21853</v>
      </c>
    </row>
    <row r="17062" spans="1:1" x14ac:dyDescent="0.25">
      <c r="A17062" s="74">
        <v>21854</v>
      </c>
    </row>
    <row r="17063" spans="1:1" x14ac:dyDescent="0.25">
      <c r="A17063" s="74">
        <v>21855</v>
      </c>
    </row>
    <row r="17064" spans="1:1" x14ac:dyDescent="0.25">
      <c r="A17064" s="74">
        <v>21856</v>
      </c>
    </row>
    <row r="17065" spans="1:1" x14ac:dyDescent="0.25">
      <c r="A17065" s="74">
        <v>21857</v>
      </c>
    </row>
    <row r="17066" spans="1:1" x14ac:dyDescent="0.25">
      <c r="A17066" s="74">
        <v>21858</v>
      </c>
    </row>
    <row r="17067" spans="1:1" x14ac:dyDescent="0.25">
      <c r="A17067" s="74">
        <v>21859</v>
      </c>
    </row>
    <row r="17068" spans="1:1" x14ac:dyDescent="0.25">
      <c r="A17068" s="74">
        <v>21860</v>
      </c>
    </row>
    <row r="17069" spans="1:1" x14ac:dyDescent="0.25">
      <c r="A17069" s="74">
        <v>21861</v>
      </c>
    </row>
    <row r="17070" spans="1:1" x14ac:dyDescent="0.25">
      <c r="A17070" s="74">
        <v>21862</v>
      </c>
    </row>
    <row r="17071" spans="1:1" x14ac:dyDescent="0.25">
      <c r="A17071" s="74">
        <v>21863</v>
      </c>
    </row>
    <row r="17072" spans="1:1" x14ac:dyDescent="0.25">
      <c r="A17072" s="74">
        <v>21864</v>
      </c>
    </row>
    <row r="17073" spans="1:1" x14ac:dyDescent="0.25">
      <c r="A17073" s="74">
        <v>21865</v>
      </c>
    </row>
    <row r="17074" spans="1:1" x14ac:dyDescent="0.25">
      <c r="A17074" s="74">
        <v>21866</v>
      </c>
    </row>
    <row r="17075" spans="1:1" x14ac:dyDescent="0.25">
      <c r="A17075" s="74">
        <v>21867</v>
      </c>
    </row>
    <row r="17076" spans="1:1" x14ac:dyDescent="0.25">
      <c r="A17076" s="74">
        <v>21868</v>
      </c>
    </row>
    <row r="17077" spans="1:1" x14ac:dyDescent="0.25">
      <c r="A17077" s="74">
        <v>21869</v>
      </c>
    </row>
    <row r="17078" spans="1:1" x14ac:dyDescent="0.25">
      <c r="A17078" s="74">
        <v>21870</v>
      </c>
    </row>
    <row r="17079" spans="1:1" x14ac:dyDescent="0.25">
      <c r="A17079" s="74">
        <v>21871</v>
      </c>
    </row>
    <row r="17080" spans="1:1" x14ac:dyDescent="0.25">
      <c r="A17080" s="74">
        <v>21872</v>
      </c>
    </row>
    <row r="17081" spans="1:1" x14ac:dyDescent="0.25">
      <c r="A17081" s="74">
        <v>21873</v>
      </c>
    </row>
    <row r="17082" spans="1:1" x14ac:dyDescent="0.25">
      <c r="A17082" s="74">
        <v>21874</v>
      </c>
    </row>
    <row r="17083" spans="1:1" x14ac:dyDescent="0.25">
      <c r="A17083" s="74">
        <v>21875</v>
      </c>
    </row>
    <row r="17084" spans="1:1" x14ac:dyDescent="0.25">
      <c r="A17084" s="74">
        <v>21876</v>
      </c>
    </row>
    <row r="17085" spans="1:1" x14ac:dyDescent="0.25">
      <c r="A17085" s="74">
        <v>21877</v>
      </c>
    </row>
    <row r="17086" spans="1:1" x14ac:dyDescent="0.25">
      <c r="A17086" s="74">
        <v>21878</v>
      </c>
    </row>
    <row r="17087" spans="1:1" x14ac:dyDescent="0.25">
      <c r="A17087" s="74">
        <v>21879</v>
      </c>
    </row>
    <row r="17088" spans="1:1" x14ac:dyDescent="0.25">
      <c r="A17088" s="74">
        <v>21880</v>
      </c>
    </row>
    <row r="17089" spans="1:1" x14ac:dyDescent="0.25">
      <c r="A17089" s="74">
        <v>21881</v>
      </c>
    </row>
    <row r="17090" spans="1:1" x14ac:dyDescent="0.25">
      <c r="A17090" s="74">
        <v>21882</v>
      </c>
    </row>
    <row r="17091" spans="1:1" x14ac:dyDescent="0.25">
      <c r="A17091" s="74">
        <v>21883</v>
      </c>
    </row>
    <row r="17092" spans="1:1" x14ac:dyDescent="0.25">
      <c r="A17092" s="74">
        <v>21884</v>
      </c>
    </row>
    <row r="17093" spans="1:1" x14ac:dyDescent="0.25">
      <c r="A17093" s="74">
        <v>21885</v>
      </c>
    </row>
    <row r="17094" spans="1:1" x14ac:dyDescent="0.25">
      <c r="A17094" s="74">
        <v>21886</v>
      </c>
    </row>
    <row r="17095" spans="1:1" x14ac:dyDescent="0.25">
      <c r="A17095" s="74">
        <v>21887</v>
      </c>
    </row>
    <row r="17096" spans="1:1" x14ac:dyDescent="0.25">
      <c r="A17096" s="74">
        <v>21888</v>
      </c>
    </row>
    <row r="17097" spans="1:1" x14ac:dyDescent="0.25">
      <c r="A17097" s="74">
        <v>21889</v>
      </c>
    </row>
    <row r="17098" spans="1:1" x14ac:dyDescent="0.25">
      <c r="A17098" s="74">
        <v>21890</v>
      </c>
    </row>
    <row r="17099" spans="1:1" x14ac:dyDescent="0.25">
      <c r="A17099" s="74">
        <v>21891</v>
      </c>
    </row>
    <row r="17100" spans="1:1" x14ac:dyDescent="0.25">
      <c r="A17100" s="74">
        <v>21892</v>
      </c>
    </row>
    <row r="17101" spans="1:1" x14ac:dyDescent="0.25">
      <c r="A17101" s="74">
        <v>21893</v>
      </c>
    </row>
    <row r="17102" spans="1:1" x14ac:dyDescent="0.25">
      <c r="A17102" s="74">
        <v>21894</v>
      </c>
    </row>
    <row r="17103" spans="1:1" x14ac:dyDescent="0.25">
      <c r="A17103" s="74">
        <v>21895</v>
      </c>
    </row>
    <row r="17104" spans="1:1" x14ac:dyDescent="0.25">
      <c r="A17104" s="74">
        <v>21896</v>
      </c>
    </row>
    <row r="17105" spans="1:1" x14ac:dyDescent="0.25">
      <c r="A17105" s="74">
        <v>21897</v>
      </c>
    </row>
    <row r="17106" spans="1:1" x14ac:dyDescent="0.25">
      <c r="A17106" s="74">
        <v>21898</v>
      </c>
    </row>
    <row r="17107" spans="1:1" x14ac:dyDescent="0.25">
      <c r="A17107" s="74">
        <v>21899</v>
      </c>
    </row>
    <row r="17108" spans="1:1" x14ac:dyDescent="0.25">
      <c r="A17108" s="74">
        <v>21900</v>
      </c>
    </row>
    <row r="17109" spans="1:1" x14ac:dyDescent="0.25">
      <c r="A17109" s="74">
        <v>21901</v>
      </c>
    </row>
    <row r="17110" spans="1:1" x14ac:dyDescent="0.25">
      <c r="A17110" s="74">
        <v>21902</v>
      </c>
    </row>
    <row r="17111" spans="1:1" x14ac:dyDescent="0.25">
      <c r="A17111" s="74">
        <v>21903</v>
      </c>
    </row>
    <row r="17112" spans="1:1" x14ac:dyDescent="0.25">
      <c r="A17112" s="74">
        <v>21904</v>
      </c>
    </row>
    <row r="17113" spans="1:1" x14ac:dyDescent="0.25">
      <c r="A17113" s="74">
        <v>21905</v>
      </c>
    </row>
    <row r="17114" spans="1:1" x14ac:dyDescent="0.25">
      <c r="A17114" s="74">
        <v>21906</v>
      </c>
    </row>
    <row r="17115" spans="1:1" x14ac:dyDescent="0.25">
      <c r="A17115" s="74">
        <v>21907</v>
      </c>
    </row>
    <row r="17116" spans="1:1" x14ac:dyDescent="0.25">
      <c r="A17116" s="74">
        <v>21908</v>
      </c>
    </row>
    <row r="17117" spans="1:1" x14ac:dyDescent="0.25">
      <c r="A17117" s="74">
        <v>21909</v>
      </c>
    </row>
    <row r="17118" spans="1:1" x14ac:dyDescent="0.25">
      <c r="A17118" s="74">
        <v>21910</v>
      </c>
    </row>
    <row r="17119" spans="1:1" x14ac:dyDescent="0.25">
      <c r="A17119" s="74">
        <v>21911</v>
      </c>
    </row>
    <row r="17120" spans="1:1" x14ac:dyDescent="0.25">
      <c r="A17120" s="74">
        <v>21912</v>
      </c>
    </row>
    <row r="17121" spans="1:1" x14ac:dyDescent="0.25">
      <c r="A17121" s="74">
        <v>21913</v>
      </c>
    </row>
    <row r="17122" spans="1:1" x14ac:dyDescent="0.25">
      <c r="A17122" s="74">
        <v>21914</v>
      </c>
    </row>
    <row r="17123" spans="1:1" x14ac:dyDescent="0.25">
      <c r="A17123" s="74">
        <v>21915</v>
      </c>
    </row>
    <row r="17124" spans="1:1" x14ac:dyDescent="0.25">
      <c r="A17124" s="74">
        <v>21916</v>
      </c>
    </row>
    <row r="17125" spans="1:1" x14ac:dyDescent="0.25">
      <c r="A17125" s="74">
        <v>21917</v>
      </c>
    </row>
    <row r="17126" spans="1:1" x14ac:dyDescent="0.25">
      <c r="A17126" s="74">
        <v>21918</v>
      </c>
    </row>
    <row r="17127" spans="1:1" x14ac:dyDescent="0.25">
      <c r="A17127" s="74">
        <v>21919</v>
      </c>
    </row>
    <row r="17128" spans="1:1" x14ac:dyDescent="0.25">
      <c r="A17128" s="74">
        <v>21920</v>
      </c>
    </row>
    <row r="17129" spans="1:1" x14ac:dyDescent="0.25">
      <c r="A17129" s="74">
        <v>21921</v>
      </c>
    </row>
    <row r="17130" spans="1:1" x14ac:dyDescent="0.25">
      <c r="A17130" s="74">
        <v>21922</v>
      </c>
    </row>
    <row r="17131" spans="1:1" x14ac:dyDescent="0.25">
      <c r="A17131" s="74">
        <v>21923</v>
      </c>
    </row>
    <row r="17132" spans="1:1" x14ac:dyDescent="0.25">
      <c r="A17132" s="74">
        <v>21924</v>
      </c>
    </row>
    <row r="17133" spans="1:1" x14ac:dyDescent="0.25">
      <c r="A17133" s="74">
        <v>21925</v>
      </c>
    </row>
    <row r="17134" spans="1:1" x14ac:dyDescent="0.25">
      <c r="A17134" s="74">
        <v>21926</v>
      </c>
    </row>
    <row r="17135" spans="1:1" x14ac:dyDescent="0.25">
      <c r="A17135" s="74">
        <v>21927</v>
      </c>
    </row>
    <row r="17136" spans="1:1" x14ac:dyDescent="0.25">
      <c r="A17136" s="74">
        <v>21928</v>
      </c>
    </row>
    <row r="17137" spans="1:1" x14ac:dyDescent="0.25">
      <c r="A17137" s="74">
        <v>21929</v>
      </c>
    </row>
    <row r="17138" spans="1:1" x14ac:dyDescent="0.25">
      <c r="A17138" s="74">
        <v>21930</v>
      </c>
    </row>
    <row r="17139" spans="1:1" x14ac:dyDescent="0.25">
      <c r="A17139" s="74">
        <v>21931</v>
      </c>
    </row>
    <row r="17140" spans="1:1" x14ac:dyDescent="0.25">
      <c r="A17140" s="74">
        <v>21932</v>
      </c>
    </row>
    <row r="17141" spans="1:1" x14ac:dyDescent="0.25">
      <c r="A17141" s="74">
        <v>21933</v>
      </c>
    </row>
    <row r="17142" spans="1:1" x14ac:dyDescent="0.25">
      <c r="A17142" s="74">
        <v>21934</v>
      </c>
    </row>
    <row r="17143" spans="1:1" x14ac:dyDescent="0.25">
      <c r="A17143" s="74">
        <v>21935</v>
      </c>
    </row>
    <row r="17144" spans="1:1" x14ac:dyDescent="0.25">
      <c r="A17144" s="74">
        <v>21936</v>
      </c>
    </row>
    <row r="17145" spans="1:1" x14ac:dyDescent="0.25">
      <c r="A17145" s="74">
        <v>21937</v>
      </c>
    </row>
    <row r="17146" spans="1:1" x14ac:dyDescent="0.25">
      <c r="A17146" s="74">
        <v>21938</v>
      </c>
    </row>
    <row r="17147" spans="1:1" x14ac:dyDescent="0.25">
      <c r="A17147" s="74">
        <v>21939</v>
      </c>
    </row>
    <row r="17148" spans="1:1" x14ac:dyDescent="0.25">
      <c r="A17148" s="74">
        <v>21940</v>
      </c>
    </row>
    <row r="17149" spans="1:1" x14ac:dyDescent="0.25">
      <c r="A17149" s="74">
        <v>21941</v>
      </c>
    </row>
    <row r="17150" spans="1:1" x14ac:dyDescent="0.25">
      <c r="A17150" s="74">
        <v>21942</v>
      </c>
    </row>
    <row r="17151" spans="1:1" x14ac:dyDescent="0.25">
      <c r="A17151" s="74">
        <v>21943</v>
      </c>
    </row>
    <row r="17152" spans="1:1" x14ac:dyDescent="0.25">
      <c r="A17152" s="74">
        <v>21944</v>
      </c>
    </row>
    <row r="17153" spans="1:1" x14ac:dyDescent="0.25">
      <c r="A17153" s="74">
        <v>21945</v>
      </c>
    </row>
    <row r="17154" spans="1:1" x14ac:dyDescent="0.25">
      <c r="A17154" s="74">
        <v>21946</v>
      </c>
    </row>
    <row r="17155" spans="1:1" x14ac:dyDescent="0.25">
      <c r="A17155" s="74">
        <v>21947</v>
      </c>
    </row>
    <row r="17156" spans="1:1" x14ac:dyDescent="0.25">
      <c r="A17156" s="74">
        <v>21948</v>
      </c>
    </row>
    <row r="17157" spans="1:1" x14ac:dyDescent="0.25">
      <c r="A17157" s="74">
        <v>21949</v>
      </c>
    </row>
    <row r="17158" spans="1:1" x14ac:dyDescent="0.25">
      <c r="A17158" s="74">
        <v>21950</v>
      </c>
    </row>
    <row r="17159" spans="1:1" x14ac:dyDescent="0.25">
      <c r="A17159" s="74">
        <v>21951</v>
      </c>
    </row>
    <row r="17160" spans="1:1" x14ac:dyDescent="0.25">
      <c r="A17160" s="74">
        <v>21952</v>
      </c>
    </row>
    <row r="17161" spans="1:1" x14ac:dyDescent="0.25">
      <c r="A17161" s="74">
        <v>21953</v>
      </c>
    </row>
    <row r="17162" spans="1:1" x14ac:dyDescent="0.25">
      <c r="A17162" s="74">
        <v>21954</v>
      </c>
    </row>
    <row r="17163" spans="1:1" x14ac:dyDescent="0.25">
      <c r="A17163" s="74">
        <v>21955</v>
      </c>
    </row>
    <row r="17164" spans="1:1" x14ac:dyDescent="0.25">
      <c r="A17164" s="74">
        <v>21956</v>
      </c>
    </row>
    <row r="17165" spans="1:1" x14ac:dyDescent="0.25">
      <c r="A17165" s="74">
        <v>21957</v>
      </c>
    </row>
    <row r="17166" spans="1:1" x14ac:dyDescent="0.25">
      <c r="A17166" s="74">
        <v>21958</v>
      </c>
    </row>
    <row r="17167" spans="1:1" x14ac:dyDescent="0.25">
      <c r="A17167" s="74">
        <v>21959</v>
      </c>
    </row>
    <row r="17168" spans="1:1" x14ac:dyDescent="0.25">
      <c r="A17168" s="74">
        <v>21960</v>
      </c>
    </row>
    <row r="17169" spans="1:1" x14ac:dyDescent="0.25">
      <c r="A17169" s="74">
        <v>21961</v>
      </c>
    </row>
    <row r="17170" spans="1:1" x14ac:dyDescent="0.25">
      <c r="A17170" s="74">
        <v>21962</v>
      </c>
    </row>
    <row r="17171" spans="1:1" x14ac:dyDescent="0.25">
      <c r="A17171" s="74">
        <v>21963</v>
      </c>
    </row>
    <row r="17172" spans="1:1" x14ac:dyDescent="0.25">
      <c r="A17172" s="74">
        <v>21964</v>
      </c>
    </row>
    <row r="17173" spans="1:1" x14ac:dyDescent="0.25">
      <c r="A17173" s="74">
        <v>21965</v>
      </c>
    </row>
    <row r="17174" spans="1:1" x14ac:dyDescent="0.25">
      <c r="A17174" s="74">
        <v>21966</v>
      </c>
    </row>
    <row r="17175" spans="1:1" x14ac:dyDescent="0.25">
      <c r="A17175" s="74">
        <v>21967</v>
      </c>
    </row>
    <row r="17176" spans="1:1" x14ac:dyDescent="0.25">
      <c r="A17176" s="74">
        <v>21968</v>
      </c>
    </row>
    <row r="17177" spans="1:1" x14ac:dyDescent="0.25">
      <c r="A17177" s="74">
        <v>21969</v>
      </c>
    </row>
    <row r="17178" spans="1:1" x14ac:dyDescent="0.25">
      <c r="A17178" s="74">
        <v>21970</v>
      </c>
    </row>
    <row r="17179" spans="1:1" x14ac:dyDescent="0.25">
      <c r="A17179" s="74">
        <v>21971</v>
      </c>
    </row>
    <row r="17180" spans="1:1" x14ac:dyDescent="0.25">
      <c r="A17180" s="74">
        <v>21972</v>
      </c>
    </row>
    <row r="17181" spans="1:1" x14ac:dyDescent="0.25">
      <c r="A17181" s="74">
        <v>21973</v>
      </c>
    </row>
    <row r="17182" spans="1:1" x14ac:dyDescent="0.25">
      <c r="A17182" s="74">
        <v>21974</v>
      </c>
    </row>
    <row r="17183" spans="1:1" x14ac:dyDescent="0.25">
      <c r="A17183" s="74">
        <v>21975</v>
      </c>
    </row>
    <row r="17184" spans="1:1" x14ac:dyDescent="0.25">
      <c r="A17184" s="74">
        <v>21976</v>
      </c>
    </row>
    <row r="17185" spans="1:1" x14ac:dyDescent="0.25">
      <c r="A17185" s="74">
        <v>21977</v>
      </c>
    </row>
    <row r="17186" spans="1:1" x14ac:dyDescent="0.25">
      <c r="A17186" s="74">
        <v>21978</v>
      </c>
    </row>
    <row r="17187" spans="1:1" x14ac:dyDescent="0.25">
      <c r="A17187" s="74">
        <v>21979</v>
      </c>
    </row>
    <row r="17188" spans="1:1" x14ac:dyDescent="0.25">
      <c r="A17188" s="74">
        <v>21980</v>
      </c>
    </row>
    <row r="17189" spans="1:1" x14ac:dyDescent="0.25">
      <c r="A17189" s="74">
        <v>21981</v>
      </c>
    </row>
    <row r="17190" spans="1:1" x14ac:dyDescent="0.25">
      <c r="A17190" s="74">
        <v>21982</v>
      </c>
    </row>
    <row r="17191" spans="1:1" x14ac:dyDescent="0.25">
      <c r="A17191" s="74">
        <v>21983</v>
      </c>
    </row>
    <row r="17192" spans="1:1" x14ac:dyDescent="0.25">
      <c r="A17192" s="74">
        <v>21984</v>
      </c>
    </row>
    <row r="17193" spans="1:1" x14ac:dyDescent="0.25">
      <c r="A17193" s="74">
        <v>21985</v>
      </c>
    </row>
    <row r="17194" spans="1:1" x14ac:dyDescent="0.25">
      <c r="A17194" s="74">
        <v>21986</v>
      </c>
    </row>
    <row r="17195" spans="1:1" x14ac:dyDescent="0.25">
      <c r="A17195" s="74">
        <v>21987</v>
      </c>
    </row>
    <row r="17196" spans="1:1" x14ac:dyDescent="0.25">
      <c r="A17196" s="74">
        <v>21988</v>
      </c>
    </row>
    <row r="17197" spans="1:1" x14ac:dyDescent="0.25">
      <c r="A17197" s="74">
        <v>21989</v>
      </c>
    </row>
    <row r="17198" spans="1:1" x14ac:dyDescent="0.25">
      <c r="A17198" s="74">
        <v>21990</v>
      </c>
    </row>
    <row r="17199" spans="1:1" x14ac:dyDescent="0.25">
      <c r="A17199" s="74">
        <v>21991</v>
      </c>
    </row>
    <row r="17200" spans="1:1" x14ac:dyDescent="0.25">
      <c r="A17200" s="74">
        <v>21992</v>
      </c>
    </row>
    <row r="17201" spans="1:1" x14ac:dyDescent="0.25">
      <c r="A17201" s="74">
        <v>21993</v>
      </c>
    </row>
    <row r="17202" spans="1:1" x14ac:dyDescent="0.25">
      <c r="A17202" s="74">
        <v>21994</v>
      </c>
    </row>
    <row r="17203" spans="1:1" x14ac:dyDescent="0.25">
      <c r="A17203" s="74">
        <v>21995</v>
      </c>
    </row>
    <row r="17204" spans="1:1" x14ac:dyDescent="0.25">
      <c r="A17204" s="74">
        <v>21996</v>
      </c>
    </row>
    <row r="17205" spans="1:1" x14ac:dyDescent="0.25">
      <c r="A17205" s="74">
        <v>21997</v>
      </c>
    </row>
    <row r="17206" spans="1:1" x14ac:dyDescent="0.25">
      <c r="A17206" s="74">
        <v>21998</v>
      </c>
    </row>
    <row r="17207" spans="1:1" x14ac:dyDescent="0.25">
      <c r="A17207" s="74">
        <v>21999</v>
      </c>
    </row>
    <row r="17208" spans="1:1" x14ac:dyDescent="0.25">
      <c r="A17208" s="74">
        <v>22000</v>
      </c>
    </row>
    <row r="17209" spans="1:1" x14ac:dyDescent="0.25">
      <c r="A17209" s="74">
        <v>22001</v>
      </c>
    </row>
    <row r="17210" spans="1:1" x14ac:dyDescent="0.25">
      <c r="A17210" s="74">
        <v>22002</v>
      </c>
    </row>
    <row r="17211" spans="1:1" x14ac:dyDescent="0.25">
      <c r="A17211" s="74">
        <v>22003</v>
      </c>
    </row>
    <row r="17212" spans="1:1" x14ac:dyDescent="0.25">
      <c r="A17212" s="74">
        <v>22004</v>
      </c>
    </row>
    <row r="17213" spans="1:1" x14ac:dyDescent="0.25">
      <c r="A17213" s="74">
        <v>22005</v>
      </c>
    </row>
    <row r="17214" spans="1:1" x14ac:dyDescent="0.25">
      <c r="A17214" s="74">
        <v>22006</v>
      </c>
    </row>
    <row r="17215" spans="1:1" x14ac:dyDescent="0.25">
      <c r="A17215" s="74">
        <v>22007</v>
      </c>
    </row>
    <row r="17216" spans="1:1" x14ac:dyDescent="0.25">
      <c r="A17216" s="74">
        <v>22008</v>
      </c>
    </row>
    <row r="17217" spans="1:1" x14ac:dyDescent="0.25">
      <c r="A17217" s="74">
        <v>22009</v>
      </c>
    </row>
    <row r="17218" spans="1:1" x14ac:dyDescent="0.25">
      <c r="A17218" s="74">
        <v>22010</v>
      </c>
    </row>
    <row r="17219" spans="1:1" x14ac:dyDescent="0.25">
      <c r="A17219" s="74">
        <v>22011</v>
      </c>
    </row>
    <row r="17220" spans="1:1" x14ac:dyDescent="0.25">
      <c r="A17220" s="74">
        <v>22012</v>
      </c>
    </row>
    <row r="17221" spans="1:1" x14ac:dyDescent="0.25">
      <c r="A17221" s="74">
        <v>22013</v>
      </c>
    </row>
    <row r="17222" spans="1:1" x14ac:dyDescent="0.25">
      <c r="A17222" s="74">
        <v>22014</v>
      </c>
    </row>
    <row r="17223" spans="1:1" x14ac:dyDescent="0.25">
      <c r="A17223" s="74">
        <v>22015</v>
      </c>
    </row>
    <row r="17224" spans="1:1" x14ac:dyDescent="0.25">
      <c r="A17224" s="74">
        <v>22016</v>
      </c>
    </row>
    <row r="17225" spans="1:1" x14ac:dyDescent="0.25">
      <c r="A17225" s="74">
        <v>22017</v>
      </c>
    </row>
    <row r="17226" spans="1:1" x14ac:dyDescent="0.25">
      <c r="A17226" s="74">
        <v>22018</v>
      </c>
    </row>
    <row r="17227" spans="1:1" x14ac:dyDescent="0.25">
      <c r="A17227" s="74">
        <v>22019</v>
      </c>
    </row>
    <row r="17228" spans="1:1" x14ac:dyDescent="0.25">
      <c r="A17228" s="74">
        <v>22020</v>
      </c>
    </row>
    <row r="17229" spans="1:1" x14ac:dyDescent="0.25">
      <c r="A17229" s="74">
        <v>22021</v>
      </c>
    </row>
    <row r="17230" spans="1:1" x14ac:dyDescent="0.25">
      <c r="A17230" s="74">
        <v>22022</v>
      </c>
    </row>
    <row r="17231" spans="1:1" x14ac:dyDescent="0.25">
      <c r="A17231" s="74">
        <v>22023</v>
      </c>
    </row>
    <row r="17232" spans="1:1" x14ac:dyDescent="0.25">
      <c r="A17232" s="74">
        <v>22024</v>
      </c>
    </row>
    <row r="17233" spans="1:1" x14ac:dyDescent="0.25">
      <c r="A17233" s="74">
        <v>22025</v>
      </c>
    </row>
    <row r="17234" spans="1:1" x14ac:dyDescent="0.25">
      <c r="A17234" s="74">
        <v>22026</v>
      </c>
    </row>
    <row r="17235" spans="1:1" x14ac:dyDescent="0.25">
      <c r="A17235" s="74">
        <v>22027</v>
      </c>
    </row>
    <row r="17236" spans="1:1" x14ac:dyDescent="0.25">
      <c r="A17236" s="74">
        <v>22028</v>
      </c>
    </row>
    <row r="17237" spans="1:1" x14ac:dyDescent="0.25">
      <c r="A17237" s="74">
        <v>22029</v>
      </c>
    </row>
    <row r="17238" spans="1:1" x14ac:dyDescent="0.25">
      <c r="A17238" s="74">
        <v>22030</v>
      </c>
    </row>
    <row r="17239" spans="1:1" x14ac:dyDescent="0.25">
      <c r="A17239" s="74">
        <v>22031</v>
      </c>
    </row>
    <row r="17240" spans="1:1" x14ac:dyDescent="0.25">
      <c r="A17240" s="74">
        <v>22032</v>
      </c>
    </row>
    <row r="17241" spans="1:1" x14ac:dyDescent="0.25">
      <c r="A17241" s="74">
        <v>22033</v>
      </c>
    </row>
    <row r="17242" spans="1:1" x14ac:dyDescent="0.25">
      <c r="A17242" s="74">
        <v>22034</v>
      </c>
    </row>
    <row r="17243" spans="1:1" x14ac:dyDescent="0.25">
      <c r="A17243" s="74">
        <v>22035</v>
      </c>
    </row>
    <row r="17244" spans="1:1" x14ac:dyDescent="0.25">
      <c r="A17244" s="74">
        <v>22036</v>
      </c>
    </row>
    <row r="17245" spans="1:1" x14ac:dyDescent="0.25">
      <c r="A17245" s="74">
        <v>22037</v>
      </c>
    </row>
    <row r="17246" spans="1:1" x14ac:dyDescent="0.25">
      <c r="A17246" s="74">
        <v>22038</v>
      </c>
    </row>
    <row r="17247" spans="1:1" x14ac:dyDescent="0.25">
      <c r="A17247" s="74">
        <v>22039</v>
      </c>
    </row>
    <row r="17248" spans="1:1" x14ac:dyDescent="0.25">
      <c r="A17248" s="74">
        <v>22040</v>
      </c>
    </row>
    <row r="17249" spans="1:1" x14ac:dyDescent="0.25">
      <c r="A17249" s="74">
        <v>22041</v>
      </c>
    </row>
    <row r="17250" spans="1:1" x14ac:dyDescent="0.25">
      <c r="A17250" s="74">
        <v>22042</v>
      </c>
    </row>
    <row r="17251" spans="1:1" x14ac:dyDescent="0.25">
      <c r="A17251" s="74">
        <v>22043</v>
      </c>
    </row>
    <row r="17252" spans="1:1" x14ac:dyDescent="0.25">
      <c r="A17252" s="74">
        <v>22044</v>
      </c>
    </row>
    <row r="17253" spans="1:1" x14ac:dyDescent="0.25">
      <c r="A17253" s="74">
        <v>22045</v>
      </c>
    </row>
    <row r="17254" spans="1:1" x14ac:dyDescent="0.25">
      <c r="A17254" s="74">
        <v>22046</v>
      </c>
    </row>
    <row r="17255" spans="1:1" x14ac:dyDescent="0.25">
      <c r="A17255" s="74">
        <v>22047</v>
      </c>
    </row>
    <row r="17256" spans="1:1" x14ac:dyDescent="0.25">
      <c r="A17256" s="74">
        <v>22048</v>
      </c>
    </row>
    <row r="17257" spans="1:1" x14ac:dyDescent="0.25">
      <c r="A17257" s="74">
        <v>22049</v>
      </c>
    </row>
    <row r="17258" spans="1:1" x14ac:dyDescent="0.25">
      <c r="A17258" s="74">
        <v>22050</v>
      </c>
    </row>
    <row r="17259" spans="1:1" x14ac:dyDescent="0.25">
      <c r="A17259" s="74">
        <v>22051</v>
      </c>
    </row>
    <row r="17260" spans="1:1" x14ac:dyDescent="0.25">
      <c r="A17260" s="74">
        <v>22052</v>
      </c>
    </row>
    <row r="17261" spans="1:1" x14ac:dyDescent="0.25">
      <c r="A17261" s="74">
        <v>22053</v>
      </c>
    </row>
    <row r="17262" spans="1:1" x14ac:dyDescent="0.25">
      <c r="A17262" s="74">
        <v>22054</v>
      </c>
    </row>
    <row r="17263" spans="1:1" x14ac:dyDescent="0.25">
      <c r="A17263" s="74">
        <v>22055</v>
      </c>
    </row>
    <row r="17264" spans="1:1" x14ac:dyDescent="0.25">
      <c r="A17264" s="74">
        <v>22056</v>
      </c>
    </row>
    <row r="17265" spans="1:1" x14ac:dyDescent="0.25">
      <c r="A17265" s="74">
        <v>22057</v>
      </c>
    </row>
    <row r="17266" spans="1:1" x14ac:dyDescent="0.25">
      <c r="A17266" s="74">
        <v>22058</v>
      </c>
    </row>
    <row r="17267" spans="1:1" x14ac:dyDescent="0.25">
      <c r="A17267" s="74">
        <v>22059</v>
      </c>
    </row>
    <row r="17268" spans="1:1" x14ac:dyDescent="0.25">
      <c r="A17268" s="74">
        <v>22060</v>
      </c>
    </row>
    <row r="17269" spans="1:1" x14ac:dyDescent="0.25">
      <c r="A17269" s="74">
        <v>22061</v>
      </c>
    </row>
    <row r="17270" spans="1:1" x14ac:dyDescent="0.25">
      <c r="A17270" s="74">
        <v>22062</v>
      </c>
    </row>
    <row r="17271" spans="1:1" x14ac:dyDescent="0.25">
      <c r="A17271" s="74">
        <v>22063</v>
      </c>
    </row>
    <row r="17272" spans="1:1" x14ac:dyDescent="0.25">
      <c r="A17272" s="74">
        <v>22064</v>
      </c>
    </row>
    <row r="17273" spans="1:1" x14ac:dyDescent="0.25">
      <c r="A17273" s="74">
        <v>22065</v>
      </c>
    </row>
    <row r="17274" spans="1:1" x14ac:dyDescent="0.25">
      <c r="A17274" s="74">
        <v>22066</v>
      </c>
    </row>
    <row r="17275" spans="1:1" x14ac:dyDescent="0.25">
      <c r="A17275" s="74">
        <v>22067</v>
      </c>
    </row>
    <row r="17276" spans="1:1" x14ac:dyDescent="0.25">
      <c r="A17276" s="74">
        <v>22068</v>
      </c>
    </row>
    <row r="17277" spans="1:1" x14ac:dyDescent="0.25">
      <c r="A17277" s="74">
        <v>22069</v>
      </c>
    </row>
    <row r="17278" spans="1:1" x14ac:dyDescent="0.25">
      <c r="A17278" s="74">
        <v>22070</v>
      </c>
    </row>
    <row r="17279" spans="1:1" x14ac:dyDescent="0.25">
      <c r="A17279" s="74">
        <v>22071</v>
      </c>
    </row>
    <row r="17280" spans="1:1" x14ac:dyDescent="0.25">
      <c r="A17280" s="74">
        <v>22072</v>
      </c>
    </row>
    <row r="17281" spans="1:1" x14ac:dyDescent="0.25">
      <c r="A17281" s="74">
        <v>22073</v>
      </c>
    </row>
    <row r="17282" spans="1:1" x14ac:dyDescent="0.25">
      <c r="A17282" s="74">
        <v>22074</v>
      </c>
    </row>
    <row r="17283" spans="1:1" x14ac:dyDescent="0.25">
      <c r="A17283" s="74">
        <v>22075</v>
      </c>
    </row>
    <row r="17284" spans="1:1" x14ac:dyDescent="0.25">
      <c r="A17284" s="74">
        <v>22076</v>
      </c>
    </row>
    <row r="17285" spans="1:1" x14ac:dyDescent="0.25">
      <c r="A17285" s="74">
        <v>22077</v>
      </c>
    </row>
    <row r="17286" spans="1:1" x14ac:dyDescent="0.25">
      <c r="A17286" s="74">
        <v>22078</v>
      </c>
    </row>
    <row r="17287" spans="1:1" x14ac:dyDescent="0.25">
      <c r="A17287" s="74">
        <v>22079</v>
      </c>
    </row>
    <row r="17288" spans="1:1" x14ac:dyDescent="0.25">
      <c r="A17288" s="74">
        <v>22080</v>
      </c>
    </row>
    <row r="17289" spans="1:1" x14ac:dyDescent="0.25">
      <c r="A17289" s="74">
        <v>22081</v>
      </c>
    </row>
    <row r="17290" spans="1:1" x14ac:dyDescent="0.25">
      <c r="A17290" s="74">
        <v>22082</v>
      </c>
    </row>
    <row r="17291" spans="1:1" x14ac:dyDescent="0.25">
      <c r="A17291" s="74">
        <v>22083</v>
      </c>
    </row>
    <row r="17292" spans="1:1" x14ac:dyDescent="0.25">
      <c r="A17292" s="74">
        <v>22084</v>
      </c>
    </row>
    <row r="17293" spans="1:1" x14ac:dyDescent="0.25">
      <c r="A17293" s="74">
        <v>22085</v>
      </c>
    </row>
    <row r="17294" spans="1:1" x14ac:dyDescent="0.25">
      <c r="A17294" s="74">
        <v>22086</v>
      </c>
    </row>
    <row r="17295" spans="1:1" x14ac:dyDescent="0.25">
      <c r="A17295" s="74">
        <v>22087</v>
      </c>
    </row>
    <row r="17296" spans="1:1" x14ac:dyDescent="0.25">
      <c r="A17296" s="74">
        <v>22088</v>
      </c>
    </row>
    <row r="17297" spans="1:1" x14ac:dyDescent="0.25">
      <c r="A17297" s="74">
        <v>22089</v>
      </c>
    </row>
    <row r="17298" spans="1:1" x14ac:dyDescent="0.25">
      <c r="A17298" s="74">
        <v>22090</v>
      </c>
    </row>
    <row r="17299" spans="1:1" x14ac:dyDescent="0.25">
      <c r="A17299" s="74">
        <v>22091</v>
      </c>
    </row>
    <row r="17300" spans="1:1" x14ac:dyDescent="0.25">
      <c r="A17300" s="74">
        <v>22092</v>
      </c>
    </row>
    <row r="17301" spans="1:1" x14ac:dyDescent="0.25">
      <c r="A17301" s="74">
        <v>22093</v>
      </c>
    </row>
    <row r="17302" spans="1:1" x14ac:dyDescent="0.25">
      <c r="A17302" s="74">
        <v>22094</v>
      </c>
    </row>
    <row r="17303" spans="1:1" x14ac:dyDescent="0.25">
      <c r="A17303" s="74">
        <v>22095</v>
      </c>
    </row>
    <row r="17304" spans="1:1" x14ac:dyDescent="0.25">
      <c r="A17304" s="74">
        <v>22096</v>
      </c>
    </row>
    <row r="17305" spans="1:1" x14ac:dyDescent="0.25">
      <c r="A17305" s="74">
        <v>22097</v>
      </c>
    </row>
    <row r="17306" spans="1:1" x14ac:dyDescent="0.25">
      <c r="A17306" s="74">
        <v>22098</v>
      </c>
    </row>
    <row r="17307" spans="1:1" x14ac:dyDescent="0.25">
      <c r="A17307" s="74">
        <v>22099</v>
      </c>
    </row>
    <row r="17308" spans="1:1" x14ac:dyDescent="0.25">
      <c r="A17308" s="74">
        <v>22100</v>
      </c>
    </row>
    <row r="17309" spans="1:1" x14ac:dyDescent="0.25">
      <c r="A17309" s="74">
        <v>22101</v>
      </c>
    </row>
    <row r="17310" spans="1:1" x14ac:dyDescent="0.25">
      <c r="A17310" s="74">
        <v>22102</v>
      </c>
    </row>
    <row r="17311" spans="1:1" x14ac:dyDescent="0.25">
      <c r="A17311" s="74">
        <v>22103</v>
      </c>
    </row>
    <row r="17312" spans="1:1" x14ac:dyDescent="0.25">
      <c r="A17312" s="74">
        <v>22104</v>
      </c>
    </row>
    <row r="17313" spans="1:1" x14ac:dyDescent="0.25">
      <c r="A17313" s="74">
        <v>22105</v>
      </c>
    </row>
    <row r="17314" spans="1:1" x14ac:dyDescent="0.25">
      <c r="A17314" s="74">
        <v>22106</v>
      </c>
    </row>
    <row r="17315" spans="1:1" x14ac:dyDescent="0.25">
      <c r="A17315" s="74">
        <v>22107</v>
      </c>
    </row>
    <row r="17316" spans="1:1" x14ac:dyDescent="0.25">
      <c r="A17316" s="74">
        <v>22108</v>
      </c>
    </row>
    <row r="17317" spans="1:1" x14ac:dyDescent="0.25">
      <c r="A17317" s="74">
        <v>22109</v>
      </c>
    </row>
    <row r="17318" spans="1:1" x14ac:dyDescent="0.25">
      <c r="A17318" s="74">
        <v>22110</v>
      </c>
    </row>
    <row r="17319" spans="1:1" x14ac:dyDescent="0.25">
      <c r="A17319" s="74">
        <v>22111</v>
      </c>
    </row>
    <row r="17320" spans="1:1" x14ac:dyDescent="0.25">
      <c r="A17320" s="74">
        <v>22112</v>
      </c>
    </row>
    <row r="17321" spans="1:1" x14ac:dyDescent="0.25">
      <c r="A17321" s="74">
        <v>22113</v>
      </c>
    </row>
    <row r="17322" spans="1:1" x14ac:dyDescent="0.25">
      <c r="A17322" s="74">
        <v>22114</v>
      </c>
    </row>
    <row r="17323" spans="1:1" x14ac:dyDescent="0.25">
      <c r="A17323" s="74">
        <v>22115</v>
      </c>
    </row>
    <row r="17324" spans="1:1" x14ac:dyDescent="0.25">
      <c r="A17324" s="74">
        <v>22116</v>
      </c>
    </row>
    <row r="17325" spans="1:1" x14ac:dyDescent="0.25">
      <c r="A17325" s="74">
        <v>22117</v>
      </c>
    </row>
    <row r="17326" spans="1:1" x14ac:dyDescent="0.25">
      <c r="A17326" s="74">
        <v>22118</v>
      </c>
    </row>
    <row r="17327" spans="1:1" x14ac:dyDescent="0.25">
      <c r="A17327" s="74">
        <v>22119</v>
      </c>
    </row>
    <row r="17328" spans="1:1" x14ac:dyDescent="0.25">
      <c r="A17328" s="74">
        <v>22120</v>
      </c>
    </row>
    <row r="17329" spans="1:1" x14ac:dyDescent="0.25">
      <c r="A17329" s="74">
        <v>22121</v>
      </c>
    </row>
    <row r="17330" spans="1:1" x14ac:dyDescent="0.25">
      <c r="A17330" s="74">
        <v>22122</v>
      </c>
    </row>
    <row r="17331" spans="1:1" x14ac:dyDescent="0.25">
      <c r="A17331" s="74">
        <v>22123</v>
      </c>
    </row>
    <row r="17332" spans="1:1" x14ac:dyDescent="0.25">
      <c r="A17332" s="74">
        <v>22124</v>
      </c>
    </row>
    <row r="17333" spans="1:1" x14ac:dyDescent="0.25">
      <c r="A17333" s="74">
        <v>22125</v>
      </c>
    </row>
    <row r="17334" spans="1:1" x14ac:dyDescent="0.25">
      <c r="A17334" s="74">
        <v>22126</v>
      </c>
    </row>
    <row r="17335" spans="1:1" x14ac:dyDescent="0.25">
      <c r="A17335" s="74">
        <v>22127</v>
      </c>
    </row>
    <row r="17336" spans="1:1" x14ac:dyDescent="0.25">
      <c r="A17336" s="74">
        <v>22128</v>
      </c>
    </row>
    <row r="17337" spans="1:1" x14ac:dyDescent="0.25">
      <c r="A17337" s="74">
        <v>22129</v>
      </c>
    </row>
    <row r="17338" spans="1:1" x14ac:dyDescent="0.25">
      <c r="A17338" s="74">
        <v>22130</v>
      </c>
    </row>
    <row r="17339" spans="1:1" x14ac:dyDescent="0.25">
      <c r="A17339" s="74">
        <v>22131</v>
      </c>
    </row>
    <row r="17340" spans="1:1" x14ac:dyDescent="0.25">
      <c r="A17340" s="74">
        <v>22132</v>
      </c>
    </row>
    <row r="17341" spans="1:1" x14ac:dyDescent="0.25">
      <c r="A17341" s="74">
        <v>22133</v>
      </c>
    </row>
    <row r="17342" spans="1:1" x14ac:dyDescent="0.25">
      <c r="A17342" s="74">
        <v>22134</v>
      </c>
    </row>
    <row r="17343" spans="1:1" x14ac:dyDescent="0.25">
      <c r="A17343" s="74">
        <v>22135</v>
      </c>
    </row>
    <row r="17344" spans="1:1" x14ac:dyDescent="0.25">
      <c r="A17344" s="74">
        <v>22136</v>
      </c>
    </row>
    <row r="17345" spans="1:1" x14ac:dyDescent="0.25">
      <c r="A17345" s="74">
        <v>22137</v>
      </c>
    </row>
    <row r="17346" spans="1:1" x14ac:dyDescent="0.25">
      <c r="A17346" s="74">
        <v>22138</v>
      </c>
    </row>
    <row r="17347" spans="1:1" x14ac:dyDescent="0.25">
      <c r="A17347" s="74">
        <v>22139</v>
      </c>
    </row>
    <row r="17348" spans="1:1" x14ac:dyDescent="0.25">
      <c r="A17348" s="74">
        <v>22140</v>
      </c>
    </row>
    <row r="17349" spans="1:1" x14ac:dyDescent="0.25">
      <c r="A17349" s="74">
        <v>22141</v>
      </c>
    </row>
    <row r="17350" spans="1:1" x14ac:dyDescent="0.25">
      <c r="A17350" s="74">
        <v>22142</v>
      </c>
    </row>
    <row r="17351" spans="1:1" x14ac:dyDescent="0.25">
      <c r="A17351" s="74">
        <v>22143</v>
      </c>
    </row>
    <row r="17352" spans="1:1" x14ac:dyDescent="0.25">
      <c r="A17352" s="74">
        <v>22144</v>
      </c>
    </row>
    <row r="17353" spans="1:1" x14ac:dyDescent="0.25">
      <c r="A17353" s="74">
        <v>22145</v>
      </c>
    </row>
    <row r="17354" spans="1:1" x14ac:dyDescent="0.25">
      <c r="A17354" s="74">
        <v>22146</v>
      </c>
    </row>
    <row r="17355" spans="1:1" x14ac:dyDescent="0.25">
      <c r="A17355" s="74">
        <v>22147</v>
      </c>
    </row>
    <row r="17356" spans="1:1" x14ac:dyDescent="0.25">
      <c r="A17356" s="74">
        <v>22148</v>
      </c>
    </row>
    <row r="17357" spans="1:1" x14ac:dyDescent="0.25">
      <c r="A17357" s="74">
        <v>22149</v>
      </c>
    </row>
    <row r="17358" spans="1:1" x14ac:dyDescent="0.25">
      <c r="A17358" s="74">
        <v>22150</v>
      </c>
    </row>
    <row r="17359" spans="1:1" x14ac:dyDescent="0.25">
      <c r="A17359" s="74">
        <v>22151</v>
      </c>
    </row>
    <row r="17360" spans="1:1" x14ac:dyDescent="0.25">
      <c r="A17360" s="74">
        <v>22152</v>
      </c>
    </row>
    <row r="17361" spans="1:1" x14ac:dyDescent="0.25">
      <c r="A17361" s="74">
        <v>22153</v>
      </c>
    </row>
    <row r="17362" spans="1:1" x14ac:dyDescent="0.25">
      <c r="A17362" s="74">
        <v>22154</v>
      </c>
    </row>
    <row r="17363" spans="1:1" x14ac:dyDescent="0.25">
      <c r="A17363" s="74">
        <v>22155</v>
      </c>
    </row>
    <row r="17364" spans="1:1" x14ac:dyDescent="0.25">
      <c r="A17364" s="74">
        <v>22156</v>
      </c>
    </row>
    <row r="17365" spans="1:1" x14ac:dyDescent="0.25">
      <c r="A17365" s="74">
        <v>22157</v>
      </c>
    </row>
    <row r="17366" spans="1:1" x14ac:dyDescent="0.25">
      <c r="A17366" s="74">
        <v>22158</v>
      </c>
    </row>
    <row r="17367" spans="1:1" x14ac:dyDescent="0.25">
      <c r="A17367" s="74">
        <v>22159</v>
      </c>
    </row>
    <row r="17368" spans="1:1" x14ac:dyDescent="0.25">
      <c r="A17368" s="74">
        <v>22160</v>
      </c>
    </row>
    <row r="17369" spans="1:1" x14ac:dyDescent="0.25">
      <c r="A17369" s="74">
        <v>22161</v>
      </c>
    </row>
    <row r="17370" spans="1:1" x14ac:dyDescent="0.25">
      <c r="A17370" s="74">
        <v>22162</v>
      </c>
    </row>
    <row r="17371" spans="1:1" x14ac:dyDescent="0.25">
      <c r="A17371" s="74">
        <v>22163</v>
      </c>
    </row>
    <row r="17372" spans="1:1" x14ac:dyDescent="0.25">
      <c r="A17372" s="74">
        <v>22164</v>
      </c>
    </row>
    <row r="17373" spans="1:1" x14ac:dyDescent="0.25">
      <c r="A17373" s="74">
        <v>22165</v>
      </c>
    </row>
    <row r="17374" spans="1:1" x14ac:dyDescent="0.25">
      <c r="A17374" s="74">
        <v>22166</v>
      </c>
    </row>
    <row r="17375" spans="1:1" x14ac:dyDescent="0.25">
      <c r="A17375" s="74">
        <v>22167</v>
      </c>
    </row>
    <row r="17376" spans="1:1" x14ac:dyDescent="0.25">
      <c r="A17376" s="74">
        <v>22168</v>
      </c>
    </row>
    <row r="17377" spans="1:1" x14ac:dyDescent="0.25">
      <c r="A17377" s="74">
        <v>22169</v>
      </c>
    </row>
    <row r="17378" spans="1:1" x14ac:dyDescent="0.25">
      <c r="A17378" s="74">
        <v>22170</v>
      </c>
    </row>
    <row r="17379" spans="1:1" x14ac:dyDescent="0.25">
      <c r="A17379" s="74">
        <v>22171</v>
      </c>
    </row>
    <row r="17380" spans="1:1" x14ac:dyDescent="0.25">
      <c r="A17380" s="74">
        <v>22172</v>
      </c>
    </row>
    <row r="17381" spans="1:1" x14ac:dyDescent="0.25">
      <c r="A17381" s="74">
        <v>22173</v>
      </c>
    </row>
    <row r="17382" spans="1:1" x14ac:dyDescent="0.25">
      <c r="A17382" s="74">
        <v>22174</v>
      </c>
    </row>
    <row r="17383" spans="1:1" x14ac:dyDescent="0.25">
      <c r="A17383" s="74">
        <v>22175</v>
      </c>
    </row>
    <row r="17384" spans="1:1" x14ac:dyDescent="0.25">
      <c r="A17384" s="74">
        <v>22176</v>
      </c>
    </row>
    <row r="17385" spans="1:1" x14ac:dyDescent="0.25">
      <c r="A17385" s="74">
        <v>22177</v>
      </c>
    </row>
    <row r="17386" spans="1:1" x14ac:dyDescent="0.25">
      <c r="A17386" s="74">
        <v>22178</v>
      </c>
    </row>
    <row r="17387" spans="1:1" x14ac:dyDescent="0.25">
      <c r="A17387" s="74">
        <v>22179</v>
      </c>
    </row>
    <row r="17388" spans="1:1" x14ac:dyDescent="0.25">
      <c r="A17388" s="74">
        <v>22180</v>
      </c>
    </row>
    <row r="17389" spans="1:1" x14ac:dyDescent="0.25">
      <c r="A17389" s="74">
        <v>22181</v>
      </c>
    </row>
    <row r="17390" spans="1:1" x14ac:dyDescent="0.25">
      <c r="A17390" s="74">
        <v>22182</v>
      </c>
    </row>
    <row r="17391" spans="1:1" x14ac:dyDescent="0.25">
      <c r="A17391" s="74">
        <v>22183</v>
      </c>
    </row>
    <row r="17392" spans="1:1" x14ac:dyDescent="0.25">
      <c r="A17392" s="74">
        <v>22184</v>
      </c>
    </row>
    <row r="17393" spans="1:1" x14ac:dyDescent="0.25">
      <c r="A17393" s="74">
        <v>22185</v>
      </c>
    </row>
    <row r="17394" spans="1:1" x14ac:dyDescent="0.25">
      <c r="A17394" s="74">
        <v>22186</v>
      </c>
    </row>
    <row r="17395" spans="1:1" x14ac:dyDescent="0.25">
      <c r="A17395" s="74">
        <v>22187</v>
      </c>
    </row>
    <row r="17396" spans="1:1" x14ac:dyDescent="0.25">
      <c r="A17396" s="74">
        <v>22188</v>
      </c>
    </row>
    <row r="17397" spans="1:1" x14ac:dyDescent="0.25">
      <c r="A17397" s="74">
        <v>22189</v>
      </c>
    </row>
    <row r="17398" spans="1:1" x14ac:dyDescent="0.25">
      <c r="A17398" s="74">
        <v>22190</v>
      </c>
    </row>
    <row r="17399" spans="1:1" x14ac:dyDescent="0.25">
      <c r="A17399" s="74">
        <v>22191</v>
      </c>
    </row>
    <row r="17400" spans="1:1" x14ac:dyDescent="0.25">
      <c r="A17400" s="74">
        <v>22192</v>
      </c>
    </row>
    <row r="17401" spans="1:1" x14ac:dyDescent="0.25">
      <c r="A17401" s="74">
        <v>22193</v>
      </c>
    </row>
    <row r="17402" spans="1:1" x14ac:dyDescent="0.25">
      <c r="A17402" s="74">
        <v>22194</v>
      </c>
    </row>
    <row r="17403" spans="1:1" x14ac:dyDescent="0.25">
      <c r="A17403" s="74">
        <v>22195</v>
      </c>
    </row>
    <row r="17404" spans="1:1" x14ac:dyDescent="0.25">
      <c r="A17404" s="74">
        <v>22196</v>
      </c>
    </row>
    <row r="17405" spans="1:1" x14ac:dyDescent="0.25">
      <c r="A17405" s="74">
        <v>22197</v>
      </c>
    </row>
    <row r="17406" spans="1:1" x14ac:dyDescent="0.25">
      <c r="A17406" s="74">
        <v>22198</v>
      </c>
    </row>
    <row r="17407" spans="1:1" x14ac:dyDescent="0.25">
      <c r="A17407" s="74">
        <v>22199</v>
      </c>
    </row>
    <row r="17408" spans="1:1" x14ac:dyDescent="0.25">
      <c r="A17408" s="74">
        <v>22200</v>
      </c>
    </row>
    <row r="17409" spans="1:1" x14ac:dyDescent="0.25">
      <c r="A17409" s="74">
        <v>22201</v>
      </c>
    </row>
    <row r="17410" spans="1:1" x14ac:dyDescent="0.25">
      <c r="A17410" s="74">
        <v>22202</v>
      </c>
    </row>
    <row r="17411" spans="1:1" x14ac:dyDescent="0.25">
      <c r="A17411" s="74">
        <v>22203</v>
      </c>
    </row>
    <row r="17412" spans="1:1" x14ac:dyDescent="0.25">
      <c r="A17412" s="74">
        <v>22204</v>
      </c>
    </row>
    <row r="17413" spans="1:1" x14ac:dyDescent="0.25">
      <c r="A17413" s="74">
        <v>22205</v>
      </c>
    </row>
    <row r="17414" spans="1:1" x14ac:dyDescent="0.25">
      <c r="A17414" s="74">
        <v>22206</v>
      </c>
    </row>
    <row r="17415" spans="1:1" x14ac:dyDescent="0.25">
      <c r="A17415" s="74">
        <v>22207</v>
      </c>
    </row>
    <row r="17416" spans="1:1" x14ac:dyDescent="0.25">
      <c r="A17416" s="74">
        <v>22208</v>
      </c>
    </row>
    <row r="17417" spans="1:1" x14ac:dyDescent="0.25">
      <c r="A17417" s="74">
        <v>22209</v>
      </c>
    </row>
    <row r="17418" spans="1:1" x14ac:dyDescent="0.25">
      <c r="A17418" s="74">
        <v>22210</v>
      </c>
    </row>
    <row r="17419" spans="1:1" x14ac:dyDescent="0.25">
      <c r="A17419" s="74">
        <v>22211</v>
      </c>
    </row>
    <row r="17420" spans="1:1" x14ac:dyDescent="0.25">
      <c r="A17420" s="74">
        <v>22212</v>
      </c>
    </row>
    <row r="17421" spans="1:1" x14ac:dyDescent="0.25">
      <c r="A17421" s="74">
        <v>22213</v>
      </c>
    </row>
    <row r="17422" spans="1:1" x14ac:dyDescent="0.25">
      <c r="A17422" s="74">
        <v>22214</v>
      </c>
    </row>
    <row r="17423" spans="1:1" x14ac:dyDescent="0.25">
      <c r="A17423" s="74">
        <v>22215</v>
      </c>
    </row>
    <row r="17424" spans="1:1" x14ac:dyDescent="0.25">
      <c r="A17424" s="74">
        <v>22216</v>
      </c>
    </row>
    <row r="17425" spans="1:1" x14ac:dyDescent="0.25">
      <c r="A17425" s="74">
        <v>22217</v>
      </c>
    </row>
    <row r="17426" spans="1:1" x14ac:dyDescent="0.25">
      <c r="A17426" s="74">
        <v>22218</v>
      </c>
    </row>
    <row r="17427" spans="1:1" x14ac:dyDescent="0.25">
      <c r="A17427" s="74">
        <v>22219</v>
      </c>
    </row>
    <row r="17428" spans="1:1" x14ac:dyDescent="0.25">
      <c r="A17428" s="74">
        <v>22220</v>
      </c>
    </row>
    <row r="17429" spans="1:1" x14ac:dyDescent="0.25">
      <c r="A17429" s="74">
        <v>22221</v>
      </c>
    </row>
    <row r="17430" spans="1:1" x14ac:dyDescent="0.25">
      <c r="A17430" s="74">
        <v>22222</v>
      </c>
    </row>
    <row r="17431" spans="1:1" x14ac:dyDescent="0.25">
      <c r="A17431" s="74">
        <v>22223</v>
      </c>
    </row>
    <row r="17432" spans="1:1" x14ac:dyDescent="0.25">
      <c r="A17432" s="74">
        <v>22224</v>
      </c>
    </row>
    <row r="17433" spans="1:1" x14ac:dyDescent="0.25">
      <c r="A17433" s="74">
        <v>22225</v>
      </c>
    </row>
    <row r="17434" spans="1:1" x14ac:dyDescent="0.25">
      <c r="A17434" s="74">
        <v>22226</v>
      </c>
    </row>
    <row r="17435" spans="1:1" x14ac:dyDescent="0.25">
      <c r="A17435" s="74">
        <v>22227</v>
      </c>
    </row>
    <row r="17436" spans="1:1" x14ac:dyDescent="0.25">
      <c r="A17436" s="74">
        <v>22228</v>
      </c>
    </row>
    <row r="17437" spans="1:1" x14ac:dyDescent="0.25">
      <c r="A17437" s="74">
        <v>22229</v>
      </c>
    </row>
    <row r="17438" spans="1:1" x14ac:dyDescent="0.25">
      <c r="A17438" s="74">
        <v>22230</v>
      </c>
    </row>
    <row r="17439" spans="1:1" x14ac:dyDescent="0.25">
      <c r="A17439" s="74">
        <v>22231</v>
      </c>
    </row>
    <row r="17440" spans="1:1" x14ac:dyDescent="0.25">
      <c r="A17440" s="74">
        <v>22232</v>
      </c>
    </row>
    <row r="17441" spans="1:1" x14ac:dyDescent="0.25">
      <c r="A17441" s="74">
        <v>22233</v>
      </c>
    </row>
    <row r="17442" spans="1:1" x14ac:dyDescent="0.25">
      <c r="A17442" s="74">
        <v>22234</v>
      </c>
    </row>
    <row r="17443" spans="1:1" x14ac:dyDescent="0.25">
      <c r="A17443" s="74">
        <v>22235</v>
      </c>
    </row>
    <row r="17444" spans="1:1" x14ac:dyDescent="0.25">
      <c r="A17444" s="74">
        <v>22236</v>
      </c>
    </row>
    <row r="17445" spans="1:1" x14ac:dyDescent="0.25">
      <c r="A17445" s="74">
        <v>22237</v>
      </c>
    </row>
    <row r="17446" spans="1:1" x14ac:dyDescent="0.25">
      <c r="A17446" s="74">
        <v>22238</v>
      </c>
    </row>
    <row r="17447" spans="1:1" x14ac:dyDescent="0.25">
      <c r="A17447" s="74">
        <v>22239</v>
      </c>
    </row>
    <row r="17448" spans="1:1" x14ac:dyDescent="0.25">
      <c r="A17448" s="74">
        <v>22240</v>
      </c>
    </row>
    <row r="17449" spans="1:1" x14ac:dyDescent="0.25">
      <c r="A17449" s="74">
        <v>22241</v>
      </c>
    </row>
    <row r="17450" spans="1:1" x14ac:dyDescent="0.25">
      <c r="A17450" s="74">
        <v>22242</v>
      </c>
    </row>
    <row r="17451" spans="1:1" x14ac:dyDescent="0.25">
      <c r="A17451" s="74">
        <v>22243</v>
      </c>
    </row>
    <row r="17452" spans="1:1" x14ac:dyDescent="0.25">
      <c r="A17452" s="74">
        <v>22244</v>
      </c>
    </row>
    <row r="17453" spans="1:1" x14ac:dyDescent="0.25">
      <c r="A17453" s="74">
        <v>22245</v>
      </c>
    </row>
    <row r="17454" spans="1:1" x14ac:dyDescent="0.25">
      <c r="A17454" s="74">
        <v>22246</v>
      </c>
    </row>
    <row r="17455" spans="1:1" x14ac:dyDescent="0.25">
      <c r="A17455" s="74">
        <v>22247</v>
      </c>
    </row>
    <row r="17456" spans="1:1" x14ac:dyDescent="0.25">
      <c r="A17456" s="74">
        <v>22248</v>
      </c>
    </row>
    <row r="17457" spans="1:1" x14ac:dyDescent="0.25">
      <c r="A17457" s="74">
        <v>22249</v>
      </c>
    </row>
    <row r="17458" spans="1:1" x14ac:dyDescent="0.25">
      <c r="A17458" s="74">
        <v>22250</v>
      </c>
    </row>
    <row r="17459" spans="1:1" x14ac:dyDescent="0.25">
      <c r="A17459" s="74">
        <v>22251</v>
      </c>
    </row>
    <row r="17460" spans="1:1" x14ac:dyDescent="0.25">
      <c r="A17460" s="74">
        <v>22252</v>
      </c>
    </row>
    <row r="17461" spans="1:1" x14ac:dyDescent="0.25">
      <c r="A17461" s="74">
        <v>22253</v>
      </c>
    </row>
    <row r="17462" spans="1:1" x14ac:dyDescent="0.25">
      <c r="A17462" s="74">
        <v>22254</v>
      </c>
    </row>
    <row r="17463" spans="1:1" x14ac:dyDescent="0.25">
      <c r="A17463" s="74">
        <v>22255</v>
      </c>
    </row>
    <row r="17464" spans="1:1" x14ac:dyDescent="0.25">
      <c r="A17464" s="74">
        <v>22256</v>
      </c>
    </row>
    <row r="17465" spans="1:1" x14ac:dyDescent="0.25">
      <c r="A17465" s="74">
        <v>22257</v>
      </c>
    </row>
    <row r="17466" spans="1:1" x14ac:dyDescent="0.25">
      <c r="A17466" s="74">
        <v>22258</v>
      </c>
    </row>
    <row r="17467" spans="1:1" x14ac:dyDescent="0.25">
      <c r="A17467" s="74">
        <v>22259</v>
      </c>
    </row>
    <row r="17468" spans="1:1" x14ac:dyDescent="0.25">
      <c r="A17468" s="74">
        <v>22260</v>
      </c>
    </row>
    <row r="17469" spans="1:1" x14ac:dyDescent="0.25">
      <c r="A17469" s="74">
        <v>22261</v>
      </c>
    </row>
    <row r="17470" spans="1:1" x14ac:dyDescent="0.25">
      <c r="A17470" s="74">
        <v>22262</v>
      </c>
    </row>
    <row r="17471" spans="1:1" x14ac:dyDescent="0.25">
      <c r="A17471" s="74">
        <v>22263</v>
      </c>
    </row>
    <row r="17472" spans="1:1" x14ac:dyDescent="0.25">
      <c r="A17472" s="74">
        <v>22264</v>
      </c>
    </row>
    <row r="17473" spans="1:1" x14ac:dyDescent="0.25">
      <c r="A17473" s="74">
        <v>22265</v>
      </c>
    </row>
    <row r="17474" spans="1:1" x14ac:dyDescent="0.25">
      <c r="A17474" s="74">
        <v>22266</v>
      </c>
    </row>
    <row r="17475" spans="1:1" x14ac:dyDescent="0.25">
      <c r="A17475" s="74">
        <v>22267</v>
      </c>
    </row>
    <row r="17476" spans="1:1" x14ac:dyDescent="0.25">
      <c r="A17476" s="74">
        <v>22268</v>
      </c>
    </row>
    <row r="17477" spans="1:1" x14ac:dyDescent="0.25">
      <c r="A17477" s="74">
        <v>22269</v>
      </c>
    </row>
    <row r="17478" spans="1:1" x14ac:dyDescent="0.25">
      <c r="A17478" s="74">
        <v>22270</v>
      </c>
    </row>
    <row r="17479" spans="1:1" x14ac:dyDescent="0.25">
      <c r="A17479" s="74">
        <v>22271</v>
      </c>
    </row>
    <row r="17480" spans="1:1" x14ac:dyDescent="0.25">
      <c r="A17480" s="74">
        <v>22272</v>
      </c>
    </row>
    <row r="17481" spans="1:1" x14ac:dyDescent="0.25">
      <c r="A17481" s="74">
        <v>22273</v>
      </c>
    </row>
    <row r="17482" spans="1:1" x14ac:dyDescent="0.25">
      <c r="A17482" s="74">
        <v>22274</v>
      </c>
    </row>
    <row r="17483" spans="1:1" x14ac:dyDescent="0.25">
      <c r="A17483" s="74">
        <v>22275</v>
      </c>
    </row>
    <row r="17484" spans="1:1" x14ac:dyDescent="0.25">
      <c r="A17484" s="74">
        <v>22276</v>
      </c>
    </row>
    <row r="17485" spans="1:1" x14ac:dyDescent="0.25">
      <c r="A17485" s="74">
        <v>22277</v>
      </c>
    </row>
    <row r="17486" spans="1:1" x14ac:dyDescent="0.25">
      <c r="A17486" s="74">
        <v>22278</v>
      </c>
    </row>
    <row r="17487" spans="1:1" x14ac:dyDescent="0.25">
      <c r="A17487" s="74">
        <v>22279</v>
      </c>
    </row>
    <row r="17488" spans="1:1" x14ac:dyDescent="0.25">
      <c r="A17488" s="74">
        <v>22280</v>
      </c>
    </row>
    <row r="17489" spans="1:1" x14ac:dyDescent="0.25">
      <c r="A17489" s="74">
        <v>22281</v>
      </c>
    </row>
    <row r="17490" spans="1:1" x14ac:dyDescent="0.25">
      <c r="A17490" s="74">
        <v>22282</v>
      </c>
    </row>
    <row r="17491" spans="1:1" x14ac:dyDescent="0.25">
      <c r="A17491" s="74">
        <v>22283</v>
      </c>
    </row>
    <row r="17492" spans="1:1" x14ac:dyDescent="0.25">
      <c r="A17492" s="74">
        <v>22284</v>
      </c>
    </row>
    <row r="17493" spans="1:1" x14ac:dyDescent="0.25">
      <c r="A17493" s="74">
        <v>22285</v>
      </c>
    </row>
    <row r="17494" spans="1:1" x14ac:dyDescent="0.25">
      <c r="A17494" s="74">
        <v>22286</v>
      </c>
    </row>
    <row r="17495" spans="1:1" x14ac:dyDescent="0.25">
      <c r="A17495" s="74">
        <v>22287</v>
      </c>
    </row>
    <row r="17496" spans="1:1" x14ac:dyDescent="0.25">
      <c r="A17496" s="74">
        <v>22288</v>
      </c>
    </row>
    <row r="17497" spans="1:1" x14ac:dyDescent="0.25">
      <c r="A17497" s="74">
        <v>22289</v>
      </c>
    </row>
    <row r="17498" spans="1:1" x14ac:dyDescent="0.25">
      <c r="A17498" s="74">
        <v>22290</v>
      </c>
    </row>
    <row r="17499" spans="1:1" x14ac:dyDescent="0.25">
      <c r="A17499" s="74">
        <v>22291</v>
      </c>
    </row>
    <row r="17500" spans="1:1" x14ac:dyDescent="0.25">
      <c r="A17500" s="74">
        <v>22292</v>
      </c>
    </row>
    <row r="17501" spans="1:1" x14ac:dyDescent="0.25">
      <c r="A17501" s="74">
        <v>22293</v>
      </c>
    </row>
    <row r="17502" spans="1:1" x14ac:dyDescent="0.25">
      <c r="A17502" s="74">
        <v>22294</v>
      </c>
    </row>
    <row r="17503" spans="1:1" x14ac:dyDescent="0.25">
      <c r="A17503" s="74">
        <v>22295</v>
      </c>
    </row>
    <row r="17504" spans="1:1" x14ac:dyDescent="0.25">
      <c r="A17504" s="74">
        <v>22296</v>
      </c>
    </row>
    <row r="17505" spans="1:1" x14ac:dyDescent="0.25">
      <c r="A17505" s="74">
        <v>22297</v>
      </c>
    </row>
    <row r="17506" spans="1:1" x14ac:dyDescent="0.25">
      <c r="A17506" s="74">
        <v>22298</v>
      </c>
    </row>
    <row r="17507" spans="1:1" x14ac:dyDescent="0.25">
      <c r="A17507" s="74">
        <v>22299</v>
      </c>
    </row>
    <row r="17508" spans="1:1" x14ac:dyDescent="0.25">
      <c r="A17508" s="74">
        <v>22300</v>
      </c>
    </row>
    <row r="17509" spans="1:1" x14ac:dyDescent="0.25">
      <c r="A17509" s="74">
        <v>22301</v>
      </c>
    </row>
    <row r="17510" spans="1:1" x14ac:dyDescent="0.25">
      <c r="A17510" s="74">
        <v>22302</v>
      </c>
    </row>
    <row r="17511" spans="1:1" x14ac:dyDescent="0.25">
      <c r="A17511" s="74">
        <v>22303</v>
      </c>
    </row>
    <row r="17512" spans="1:1" x14ac:dyDescent="0.25">
      <c r="A17512" s="74">
        <v>22304</v>
      </c>
    </row>
    <row r="17513" spans="1:1" x14ac:dyDescent="0.25">
      <c r="A17513" s="74">
        <v>22305</v>
      </c>
    </row>
    <row r="17514" spans="1:1" x14ac:dyDescent="0.25">
      <c r="A17514" s="74">
        <v>22306</v>
      </c>
    </row>
    <row r="17515" spans="1:1" x14ac:dyDescent="0.25">
      <c r="A17515" s="74">
        <v>22307</v>
      </c>
    </row>
    <row r="17516" spans="1:1" x14ac:dyDescent="0.25">
      <c r="A17516" s="74">
        <v>22308</v>
      </c>
    </row>
    <row r="17517" spans="1:1" x14ac:dyDescent="0.25">
      <c r="A17517" s="74">
        <v>22309</v>
      </c>
    </row>
    <row r="17518" spans="1:1" x14ac:dyDescent="0.25">
      <c r="A17518" s="74">
        <v>22310</v>
      </c>
    </row>
    <row r="17519" spans="1:1" x14ac:dyDescent="0.25">
      <c r="A17519" s="74">
        <v>22311</v>
      </c>
    </row>
    <row r="17520" spans="1:1" x14ac:dyDescent="0.25">
      <c r="A17520" s="74">
        <v>22312</v>
      </c>
    </row>
    <row r="17521" spans="1:1" x14ac:dyDescent="0.25">
      <c r="A17521" s="74">
        <v>22313</v>
      </c>
    </row>
    <row r="17522" spans="1:1" x14ac:dyDescent="0.25">
      <c r="A17522" s="74">
        <v>22314</v>
      </c>
    </row>
    <row r="17523" spans="1:1" x14ac:dyDescent="0.25">
      <c r="A17523" s="74">
        <v>22315</v>
      </c>
    </row>
    <row r="17524" spans="1:1" x14ac:dyDescent="0.25">
      <c r="A17524" s="74">
        <v>22316</v>
      </c>
    </row>
    <row r="17525" spans="1:1" x14ac:dyDescent="0.25">
      <c r="A17525" s="74">
        <v>22317</v>
      </c>
    </row>
    <row r="17526" spans="1:1" x14ac:dyDescent="0.25">
      <c r="A17526" s="74">
        <v>22318</v>
      </c>
    </row>
    <row r="17527" spans="1:1" x14ac:dyDescent="0.25">
      <c r="A17527" s="74">
        <v>22319</v>
      </c>
    </row>
    <row r="17528" spans="1:1" x14ac:dyDescent="0.25">
      <c r="A17528" s="74">
        <v>22320</v>
      </c>
    </row>
    <row r="17529" spans="1:1" x14ac:dyDescent="0.25">
      <c r="A17529" s="74">
        <v>22321</v>
      </c>
    </row>
    <row r="17530" spans="1:1" x14ac:dyDescent="0.25">
      <c r="A17530" s="74">
        <v>22322</v>
      </c>
    </row>
    <row r="17531" spans="1:1" x14ac:dyDescent="0.25">
      <c r="A17531" s="74">
        <v>22323</v>
      </c>
    </row>
    <row r="17532" spans="1:1" x14ac:dyDescent="0.25">
      <c r="A17532" s="74">
        <v>22324</v>
      </c>
    </row>
    <row r="17533" spans="1:1" x14ac:dyDescent="0.25">
      <c r="A17533" s="74">
        <v>22325</v>
      </c>
    </row>
    <row r="17534" spans="1:1" x14ac:dyDescent="0.25">
      <c r="A17534" s="74">
        <v>22326</v>
      </c>
    </row>
    <row r="17535" spans="1:1" x14ac:dyDescent="0.25">
      <c r="A17535" s="74">
        <v>22327</v>
      </c>
    </row>
    <row r="17536" spans="1:1" x14ac:dyDescent="0.25">
      <c r="A17536" s="74">
        <v>22328</v>
      </c>
    </row>
    <row r="17537" spans="1:1" x14ac:dyDescent="0.25">
      <c r="A17537" s="74">
        <v>22329</v>
      </c>
    </row>
    <row r="17538" spans="1:1" x14ac:dyDescent="0.25">
      <c r="A17538" s="74">
        <v>22330</v>
      </c>
    </row>
    <row r="17539" spans="1:1" x14ac:dyDescent="0.25">
      <c r="A17539" s="74">
        <v>22331</v>
      </c>
    </row>
    <row r="17540" spans="1:1" x14ac:dyDescent="0.25">
      <c r="A17540" s="74">
        <v>22332</v>
      </c>
    </row>
    <row r="17541" spans="1:1" x14ac:dyDescent="0.25">
      <c r="A17541" s="74">
        <v>22333</v>
      </c>
    </row>
    <row r="17542" spans="1:1" x14ac:dyDescent="0.25">
      <c r="A17542" s="74">
        <v>22334</v>
      </c>
    </row>
    <row r="17543" spans="1:1" x14ac:dyDescent="0.25">
      <c r="A17543" s="74">
        <v>22335</v>
      </c>
    </row>
    <row r="17544" spans="1:1" x14ac:dyDescent="0.25">
      <c r="A17544" s="74">
        <v>22336</v>
      </c>
    </row>
    <row r="17545" spans="1:1" x14ac:dyDescent="0.25">
      <c r="A17545" s="74">
        <v>22337</v>
      </c>
    </row>
    <row r="17546" spans="1:1" x14ac:dyDescent="0.25">
      <c r="A17546" s="74">
        <v>22338</v>
      </c>
    </row>
    <row r="17547" spans="1:1" x14ac:dyDescent="0.25">
      <c r="A17547" s="74">
        <v>22339</v>
      </c>
    </row>
    <row r="17548" spans="1:1" x14ac:dyDescent="0.25">
      <c r="A17548" s="74">
        <v>22340</v>
      </c>
    </row>
    <row r="17549" spans="1:1" x14ac:dyDescent="0.25">
      <c r="A17549" s="74">
        <v>22341</v>
      </c>
    </row>
    <row r="17550" spans="1:1" x14ac:dyDescent="0.25">
      <c r="A17550" s="74">
        <v>22342</v>
      </c>
    </row>
    <row r="17551" spans="1:1" x14ac:dyDescent="0.25">
      <c r="A17551" s="74">
        <v>22343</v>
      </c>
    </row>
    <row r="17552" spans="1:1" x14ac:dyDescent="0.25">
      <c r="A17552" s="74">
        <v>22344</v>
      </c>
    </row>
    <row r="17553" spans="1:1" x14ac:dyDescent="0.25">
      <c r="A17553" s="74">
        <v>22345</v>
      </c>
    </row>
    <row r="17554" spans="1:1" x14ac:dyDescent="0.25">
      <c r="A17554" s="74">
        <v>22346</v>
      </c>
    </row>
    <row r="17555" spans="1:1" x14ac:dyDescent="0.25">
      <c r="A17555" s="74">
        <v>22347</v>
      </c>
    </row>
    <row r="17556" spans="1:1" x14ac:dyDescent="0.25">
      <c r="A17556" s="74">
        <v>22348</v>
      </c>
    </row>
    <row r="17557" spans="1:1" x14ac:dyDescent="0.25">
      <c r="A17557" s="74">
        <v>22349</v>
      </c>
    </row>
    <row r="17558" spans="1:1" x14ac:dyDescent="0.25">
      <c r="A17558" s="74">
        <v>22350</v>
      </c>
    </row>
    <row r="17559" spans="1:1" x14ac:dyDescent="0.25">
      <c r="A17559" s="74">
        <v>22351</v>
      </c>
    </row>
    <row r="17560" spans="1:1" x14ac:dyDescent="0.25">
      <c r="A17560" s="74">
        <v>22352</v>
      </c>
    </row>
    <row r="17561" spans="1:1" x14ac:dyDescent="0.25">
      <c r="A17561" s="74">
        <v>22353</v>
      </c>
    </row>
    <row r="17562" spans="1:1" x14ac:dyDescent="0.25">
      <c r="A17562" s="74">
        <v>22354</v>
      </c>
    </row>
    <row r="17563" spans="1:1" x14ac:dyDescent="0.25">
      <c r="A17563" s="74">
        <v>22355</v>
      </c>
    </row>
    <row r="17564" spans="1:1" x14ac:dyDescent="0.25">
      <c r="A17564" s="74">
        <v>22356</v>
      </c>
    </row>
    <row r="17565" spans="1:1" x14ac:dyDescent="0.25">
      <c r="A17565" s="74">
        <v>22357</v>
      </c>
    </row>
    <row r="17566" spans="1:1" x14ac:dyDescent="0.25">
      <c r="A17566" s="74">
        <v>22358</v>
      </c>
    </row>
    <row r="17567" spans="1:1" x14ac:dyDescent="0.25">
      <c r="A17567" s="74">
        <v>22359</v>
      </c>
    </row>
    <row r="17568" spans="1:1" x14ac:dyDescent="0.25">
      <c r="A17568" s="74">
        <v>22360</v>
      </c>
    </row>
    <row r="17569" spans="1:1" x14ac:dyDescent="0.25">
      <c r="A17569" s="74">
        <v>22361</v>
      </c>
    </row>
    <row r="17570" spans="1:1" x14ac:dyDescent="0.25">
      <c r="A17570" s="74">
        <v>22362</v>
      </c>
    </row>
    <row r="17571" spans="1:1" x14ac:dyDescent="0.25">
      <c r="A17571" s="74">
        <v>22363</v>
      </c>
    </row>
    <row r="17572" spans="1:1" x14ac:dyDescent="0.25">
      <c r="A17572" s="74">
        <v>22364</v>
      </c>
    </row>
    <row r="17573" spans="1:1" x14ac:dyDescent="0.25">
      <c r="A17573" s="74">
        <v>22365</v>
      </c>
    </row>
    <row r="17574" spans="1:1" x14ac:dyDescent="0.25">
      <c r="A17574" s="74">
        <v>22366</v>
      </c>
    </row>
    <row r="17575" spans="1:1" x14ac:dyDescent="0.25">
      <c r="A17575" s="74">
        <v>22367</v>
      </c>
    </row>
    <row r="17576" spans="1:1" x14ac:dyDescent="0.25">
      <c r="A17576" s="74">
        <v>22368</v>
      </c>
    </row>
    <row r="17577" spans="1:1" x14ac:dyDescent="0.25">
      <c r="A17577" s="74">
        <v>22369</v>
      </c>
    </row>
    <row r="17578" spans="1:1" x14ac:dyDescent="0.25">
      <c r="A17578" s="74">
        <v>22370</v>
      </c>
    </row>
    <row r="17579" spans="1:1" x14ac:dyDescent="0.25">
      <c r="A17579" s="74">
        <v>22371</v>
      </c>
    </row>
    <row r="17580" spans="1:1" x14ac:dyDescent="0.25">
      <c r="A17580" s="74">
        <v>22372</v>
      </c>
    </row>
    <row r="17581" spans="1:1" x14ac:dyDescent="0.25">
      <c r="A17581" s="74">
        <v>22373</v>
      </c>
    </row>
    <row r="17582" spans="1:1" x14ac:dyDescent="0.25">
      <c r="A17582" s="74">
        <v>22374</v>
      </c>
    </row>
    <row r="17583" spans="1:1" x14ac:dyDescent="0.25">
      <c r="A17583" s="74">
        <v>22375</v>
      </c>
    </row>
    <row r="17584" spans="1:1" x14ac:dyDescent="0.25">
      <c r="A17584" s="74">
        <v>22376</v>
      </c>
    </row>
    <row r="17585" spans="1:1" x14ac:dyDescent="0.25">
      <c r="A17585" s="74">
        <v>22377</v>
      </c>
    </row>
    <row r="17586" spans="1:1" x14ac:dyDescent="0.25">
      <c r="A17586" s="74">
        <v>22378</v>
      </c>
    </row>
    <row r="17587" spans="1:1" x14ac:dyDescent="0.25">
      <c r="A17587" s="74">
        <v>22379</v>
      </c>
    </row>
    <row r="17588" spans="1:1" x14ac:dyDescent="0.25">
      <c r="A17588" s="74">
        <v>22380</v>
      </c>
    </row>
    <row r="17589" spans="1:1" x14ac:dyDescent="0.25">
      <c r="A17589" s="74">
        <v>22381</v>
      </c>
    </row>
    <row r="17590" spans="1:1" x14ac:dyDescent="0.25">
      <c r="A17590" s="74">
        <v>22382</v>
      </c>
    </row>
    <row r="17591" spans="1:1" x14ac:dyDescent="0.25">
      <c r="A17591" s="74">
        <v>22383</v>
      </c>
    </row>
    <row r="17592" spans="1:1" x14ac:dyDescent="0.25">
      <c r="A17592" s="74">
        <v>22384</v>
      </c>
    </row>
    <row r="17593" spans="1:1" x14ac:dyDescent="0.25">
      <c r="A17593" s="74">
        <v>22385</v>
      </c>
    </row>
    <row r="17594" spans="1:1" x14ac:dyDescent="0.25">
      <c r="A17594" s="74">
        <v>22386</v>
      </c>
    </row>
    <row r="17595" spans="1:1" x14ac:dyDescent="0.25">
      <c r="A17595" s="74">
        <v>22387</v>
      </c>
    </row>
    <row r="17596" spans="1:1" x14ac:dyDescent="0.25">
      <c r="A17596" s="74">
        <v>22388</v>
      </c>
    </row>
    <row r="17597" spans="1:1" x14ac:dyDescent="0.25">
      <c r="A17597" s="74">
        <v>22389</v>
      </c>
    </row>
    <row r="17598" spans="1:1" x14ac:dyDescent="0.25">
      <c r="A17598" s="74">
        <v>22390</v>
      </c>
    </row>
    <row r="17599" spans="1:1" x14ac:dyDescent="0.25">
      <c r="A17599" s="74">
        <v>22391</v>
      </c>
    </row>
    <row r="17600" spans="1:1" x14ac:dyDescent="0.25">
      <c r="A17600" s="74">
        <v>22392</v>
      </c>
    </row>
    <row r="17601" spans="1:1" x14ac:dyDescent="0.25">
      <c r="A17601" s="74">
        <v>22393</v>
      </c>
    </row>
    <row r="17602" spans="1:1" x14ac:dyDescent="0.25">
      <c r="A17602" s="74">
        <v>22394</v>
      </c>
    </row>
    <row r="17603" spans="1:1" x14ac:dyDescent="0.25">
      <c r="A17603" s="74">
        <v>22395</v>
      </c>
    </row>
    <row r="17604" spans="1:1" x14ac:dyDescent="0.25">
      <c r="A17604" s="74">
        <v>22396</v>
      </c>
    </row>
    <row r="17605" spans="1:1" x14ac:dyDescent="0.25">
      <c r="A17605" s="74">
        <v>22397</v>
      </c>
    </row>
    <row r="17606" spans="1:1" x14ac:dyDescent="0.25">
      <c r="A17606" s="74">
        <v>22398</v>
      </c>
    </row>
    <row r="17607" spans="1:1" x14ac:dyDescent="0.25">
      <c r="A17607" s="74">
        <v>22399</v>
      </c>
    </row>
    <row r="17608" spans="1:1" x14ac:dyDescent="0.25">
      <c r="A17608" s="74">
        <v>22400</v>
      </c>
    </row>
    <row r="17609" spans="1:1" x14ac:dyDescent="0.25">
      <c r="A17609" s="74">
        <v>22401</v>
      </c>
    </row>
    <row r="17610" spans="1:1" x14ac:dyDescent="0.25">
      <c r="A17610" s="74">
        <v>22402</v>
      </c>
    </row>
    <row r="17611" spans="1:1" x14ac:dyDescent="0.25">
      <c r="A17611" s="74">
        <v>22403</v>
      </c>
    </row>
    <row r="17612" spans="1:1" x14ac:dyDescent="0.25">
      <c r="A17612" s="74">
        <v>22404</v>
      </c>
    </row>
    <row r="17613" spans="1:1" x14ac:dyDescent="0.25">
      <c r="A17613" s="74">
        <v>22405</v>
      </c>
    </row>
    <row r="17614" spans="1:1" x14ac:dyDescent="0.25">
      <c r="A17614" s="74">
        <v>22406</v>
      </c>
    </row>
    <row r="17615" spans="1:1" x14ac:dyDescent="0.25">
      <c r="A17615" s="74">
        <v>22407</v>
      </c>
    </row>
    <row r="17616" spans="1:1" x14ac:dyDescent="0.25">
      <c r="A17616" s="74">
        <v>22408</v>
      </c>
    </row>
    <row r="17617" spans="1:1" x14ac:dyDescent="0.25">
      <c r="A17617" s="74">
        <v>22409</v>
      </c>
    </row>
    <row r="17618" spans="1:1" x14ac:dyDescent="0.25">
      <c r="A17618" s="74">
        <v>22410</v>
      </c>
    </row>
    <row r="17619" spans="1:1" x14ac:dyDescent="0.25">
      <c r="A17619" s="74">
        <v>22411</v>
      </c>
    </row>
    <row r="17620" spans="1:1" x14ac:dyDescent="0.25">
      <c r="A17620" s="74">
        <v>22412</v>
      </c>
    </row>
    <row r="17621" spans="1:1" x14ac:dyDescent="0.25">
      <c r="A17621" s="74">
        <v>22413</v>
      </c>
    </row>
    <row r="17622" spans="1:1" x14ac:dyDescent="0.25">
      <c r="A17622" s="74">
        <v>22414</v>
      </c>
    </row>
    <row r="17623" spans="1:1" x14ac:dyDescent="0.25">
      <c r="A17623" s="74">
        <v>22415</v>
      </c>
    </row>
    <row r="17624" spans="1:1" x14ac:dyDescent="0.25">
      <c r="A17624" s="74">
        <v>22416</v>
      </c>
    </row>
    <row r="17625" spans="1:1" x14ac:dyDescent="0.25">
      <c r="A17625" s="74">
        <v>22417</v>
      </c>
    </row>
    <row r="17626" spans="1:1" x14ac:dyDescent="0.25">
      <c r="A17626" s="74">
        <v>22418</v>
      </c>
    </row>
    <row r="17627" spans="1:1" x14ac:dyDescent="0.25">
      <c r="A17627" s="74">
        <v>22419</v>
      </c>
    </row>
    <row r="17628" spans="1:1" x14ac:dyDescent="0.25">
      <c r="A17628" s="74">
        <v>22420</v>
      </c>
    </row>
    <row r="17629" spans="1:1" x14ac:dyDescent="0.25">
      <c r="A17629" s="74">
        <v>22421</v>
      </c>
    </row>
    <row r="17630" spans="1:1" x14ac:dyDescent="0.25">
      <c r="A17630" s="74">
        <v>22422</v>
      </c>
    </row>
    <row r="17631" spans="1:1" x14ac:dyDescent="0.25">
      <c r="A17631" s="74">
        <v>22423</v>
      </c>
    </row>
    <row r="17632" spans="1:1" x14ac:dyDescent="0.25">
      <c r="A17632" s="74">
        <v>22424</v>
      </c>
    </row>
    <row r="17633" spans="1:1" x14ac:dyDescent="0.25">
      <c r="A17633" s="74">
        <v>22425</v>
      </c>
    </row>
    <row r="17634" spans="1:1" x14ac:dyDescent="0.25">
      <c r="A17634" s="74">
        <v>22426</v>
      </c>
    </row>
    <row r="17635" spans="1:1" x14ac:dyDescent="0.25">
      <c r="A17635" s="74">
        <v>22427</v>
      </c>
    </row>
    <row r="17636" spans="1:1" x14ac:dyDescent="0.25">
      <c r="A17636" s="74">
        <v>22428</v>
      </c>
    </row>
    <row r="17637" spans="1:1" x14ac:dyDescent="0.25">
      <c r="A17637" s="74">
        <v>22429</v>
      </c>
    </row>
    <row r="17638" spans="1:1" x14ac:dyDescent="0.25">
      <c r="A17638" s="74">
        <v>22430</v>
      </c>
    </row>
    <row r="17639" spans="1:1" x14ac:dyDescent="0.25">
      <c r="A17639" s="74">
        <v>22431</v>
      </c>
    </row>
    <row r="17640" spans="1:1" x14ac:dyDescent="0.25">
      <c r="A17640" s="74">
        <v>22432</v>
      </c>
    </row>
    <row r="17641" spans="1:1" x14ac:dyDescent="0.25">
      <c r="A17641" s="74">
        <v>22433</v>
      </c>
    </row>
    <row r="17642" spans="1:1" x14ac:dyDescent="0.25">
      <c r="A17642" s="74">
        <v>22434</v>
      </c>
    </row>
    <row r="17643" spans="1:1" x14ac:dyDescent="0.25">
      <c r="A17643" s="74">
        <v>22435</v>
      </c>
    </row>
    <row r="17644" spans="1:1" x14ac:dyDescent="0.25">
      <c r="A17644" s="74">
        <v>22436</v>
      </c>
    </row>
    <row r="17645" spans="1:1" x14ac:dyDescent="0.25">
      <c r="A17645" s="74">
        <v>22437</v>
      </c>
    </row>
    <row r="17646" spans="1:1" x14ac:dyDescent="0.25">
      <c r="A17646" s="74">
        <v>22438</v>
      </c>
    </row>
    <row r="17647" spans="1:1" x14ac:dyDescent="0.25">
      <c r="A17647" s="74">
        <v>22439</v>
      </c>
    </row>
    <row r="17648" spans="1:1" x14ac:dyDescent="0.25">
      <c r="A17648" s="74">
        <v>22440</v>
      </c>
    </row>
    <row r="17649" spans="1:1" x14ac:dyDescent="0.25">
      <c r="A17649" s="74">
        <v>22441</v>
      </c>
    </row>
    <row r="17650" spans="1:1" x14ac:dyDescent="0.25">
      <c r="A17650" s="74">
        <v>22442</v>
      </c>
    </row>
    <row r="17651" spans="1:1" x14ac:dyDescent="0.25">
      <c r="A17651" s="74">
        <v>22443</v>
      </c>
    </row>
    <row r="17652" spans="1:1" x14ac:dyDescent="0.25">
      <c r="A17652" s="74">
        <v>22444</v>
      </c>
    </row>
    <row r="17653" spans="1:1" x14ac:dyDescent="0.25">
      <c r="A17653" s="74">
        <v>22445</v>
      </c>
    </row>
    <row r="17654" spans="1:1" x14ac:dyDescent="0.25">
      <c r="A17654" s="74">
        <v>22446</v>
      </c>
    </row>
    <row r="17655" spans="1:1" x14ac:dyDescent="0.25">
      <c r="A17655" s="74">
        <v>22447</v>
      </c>
    </row>
    <row r="17656" spans="1:1" x14ac:dyDescent="0.25">
      <c r="A17656" s="74">
        <v>22448</v>
      </c>
    </row>
    <row r="17657" spans="1:1" x14ac:dyDescent="0.25">
      <c r="A17657" s="74">
        <v>22449</v>
      </c>
    </row>
    <row r="17658" spans="1:1" x14ac:dyDescent="0.25">
      <c r="A17658" s="74">
        <v>22450</v>
      </c>
    </row>
    <row r="17659" spans="1:1" x14ac:dyDescent="0.25">
      <c r="A17659" s="74">
        <v>22451</v>
      </c>
    </row>
    <row r="17660" spans="1:1" x14ac:dyDescent="0.25">
      <c r="A17660" s="74">
        <v>22452</v>
      </c>
    </row>
    <row r="17661" spans="1:1" x14ac:dyDescent="0.25">
      <c r="A17661" s="74">
        <v>22453</v>
      </c>
    </row>
    <row r="17662" spans="1:1" x14ac:dyDescent="0.25">
      <c r="A17662" s="74">
        <v>22454</v>
      </c>
    </row>
    <row r="17663" spans="1:1" x14ac:dyDescent="0.25">
      <c r="A17663" s="74">
        <v>22455</v>
      </c>
    </row>
    <row r="17664" spans="1:1" x14ac:dyDescent="0.25">
      <c r="A17664" s="74">
        <v>22456</v>
      </c>
    </row>
    <row r="17665" spans="1:1" x14ac:dyDescent="0.25">
      <c r="A17665" s="74">
        <v>22457</v>
      </c>
    </row>
    <row r="17666" spans="1:1" x14ac:dyDescent="0.25">
      <c r="A17666" s="74">
        <v>22458</v>
      </c>
    </row>
    <row r="17667" spans="1:1" x14ac:dyDescent="0.25">
      <c r="A17667" s="74">
        <v>22459</v>
      </c>
    </row>
    <row r="17668" spans="1:1" x14ac:dyDescent="0.25">
      <c r="A17668" s="74">
        <v>22460</v>
      </c>
    </row>
    <row r="17669" spans="1:1" x14ac:dyDescent="0.25">
      <c r="A17669" s="74">
        <v>22461</v>
      </c>
    </row>
    <row r="17670" spans="1:1" x14ac:dyDescent="0.25">
      <c r="A17670" s="74">
        <v>22462</v>
      </c>
    </row>
    <row r="17671" spans="1:1" x14ac:dyDescent="0.25">
      <c r="A17671" s="74">
        <v>22463</v>
      </c>
    </row>
    <row r="17672" spans="1:1" x14ac:dyDescent="0.25">
      <c r="A17672" s="74">
        <v>22464</v>
      </c>
    </row>
    <row r="17673" spans="1:1" x14ac:dyDescent="0.25">
      <c r="A17673" s="74">
        <v>22465</v>
      </c>
    </row>
    <row r="17674" spans="1:1" x14ac:dyDescent="0.25">
      <c r="A17674" s="74">
        <v>22466</v>
      </c>
    </row>
    <row r="17675" spans="1:1" x14ac:dyDescent="0.25">
      <c r="A17675" s="74">
        <v>22467</v>
      </c>
    </row>
    <row r="17676" spans="1:1" x14ac:dyDescent="0.25">
      <c r="A17676" s="74">
        <v>22468</v>
      </c>
    </row>
    <row r="17677" spans="1:1" x14ac:dyDescent="0.25">
      <c r="A17677" s="74">
        <v>22469</v>
      </c>
    </row>
    <row r="17678" spans="1:1" x14ac:dyDescent="0.25">
      <c r="A17678" s="74">
        <v>22470</v>
      </c>
    </row>
    <row r="17679" spans="1:1" x14ac:dyDescent="0.25">
      <c r="A17679" s="74">
        <v>22471</v>
      </c>
    </row>
    <row r="17680" spans="1:1" x14ac:dyDescent="0.25">
      <c r="A17680" s="74">
        <v>22472</v>
      </c>
    </row>
    <row r="17681" spans="1:1" x14ac:dyDescent="0.25">
      <c r="A17681" s="74">
        <v>22473</v>
      </c>
    </row>
    <row r="17682" spans="1:1" x14ac:dyDescent="0.25">
      <c r="A17682" s="74">
        <v>22474</v>
      </c>
    </row>
    <row r="17683" spans="1:1" x14ac:dyDescent="0.25">
      <c r="A17683" s="74">
        <v>22475</v>
      </c>
    </row>
    <row r="17684" spans="1:1" x14ac:dyDescent="0.25">
      <c r="A17684" s="74">
        <v>22476</v>
      </c>
    </row>
    <row r="17685" spans="1:1" x14ac:dyDescent="0.25">
      <c r="A17685" s="74">
        <v>22477</v>
      </c>
    </row>
    <row r="17686" spans="1:1" x14ac:dyDescent="0.25">
      <c r="A17686" s="74">
        <v>22478</v>
      </c>
    </row>
    <row r="17687" spans="1:1" x14ac:dyDescent="0.25">
      <c r="A17687" s="74">
        <v>22479</v>
      </c>
    </row>
    <row r="17688" spans="1:1" x14ac:dyDescent="0.25">
      <c r="A17688" s="74">
        <v>22480</v>
      </c>
    </row>
    <row r="17689" spans="1:1" x14ac:dyDescent="0.25">
      <c r="A17689" s="74">
        <v>22481</v>
      </c>
    </row>
    <row r="17690" spans="1:1" x14ac:dyDescent="0.25">
      <c r="A17690" s="74">
        <v>22482</v>
      </c>
    </row>
    <row r="17691" spans="1:1" x14ac:dyDescent="0.25">
      <c r="A17691" s="74">
        <v>22483</v>
      </c>
    </row>
    <row r="17692" spans="1:1" x14ac:dyDescent="0.25">
      <c r="A17692" s="74">
        <v>22484</v>
      </c>
    </row>
    <row r="17693" spans="1:1" x14ac:dyDescent="0.25">
      <c r="A17693" s="74">
        <v>22485</v>
      </c>
    </row>
    <row r="17694" spans="1:1" x14ac:dyDescent="0.25">
      <c r="A17694" s="74">
        <v>22486</v>
      </c>
    </row>
    <row r="17695" spans="1:1" x14ac:dyDescent="0.25">
      <c r="A17695" s="74">
        <v>22487</v>
      </c>
    </row>
    <row r="17696" spans="1:1" x14ac:dyDescent="0.25">
      <c r="A17696" s="74">
        <v>22488</v>
      </c>
    </row>
    <row r="17697" spans="1:1" x14ac:dyDescent="0.25">
      <c r="A17697" s="74">
        <v>22489</v>
      </c>
    </row>
    <row r="17698" spans="1:1" x14ac:dyDescent="0.25">
      <c r="A17698" s="74">
        <v>22490</v>
      </c>
    </row>
    <row r="17699" spans="1:1" x14ac:dyDescent="0.25">
      <c r="A17699" s="74">
        <v>22491</v>
      </c>
    </row>
    <row r="17700" spans="1:1" x14ac:dyDescent="0.25">
      <c r="A17700" s="74">
        <v>22492</v>
      </c>
    </row>
    <row r="17701" spans="1:1" x14ac:dyDescent="0.25">
      <c r="A17701" s="74">
        <v>22493</v>
      </c>
    </row>
    <row r="17702" spans="1:1" x14ac:dyDescent="0.25">
      <c r="A17702" s="74">
        <v>22494</v>
      </c>
    </row>
    <row r="17703" spans="1:1" x14ac:dyDescent="0.25">
      <c r="A17703" s="74">
        <v>22495</v>
      </c>
    </row>
    <row r="17704" spans="1:1" x14ac:dyDescent="0.25">
      <c r="A17704" s="74">
        <v>22496</v>
      </c>
    </row>
    <row r="17705" spans="1:1" x14ac:dyDescent="0.25">
      <c r="A17705" s="74">
        <v>22497</v>
      </c>
    </row>
    <row r="17706" spans="1:1" x14ac:dyDescent="0.25">
      <c r="A17706" s="74">
        <v>22498</v>
      </c>
    </row>
    <row r="17707" spans="1:1" x14ac:dyDescent="0.25">
      <c r="A17707" s="74">
        <v>22499</v>
      </c>
    </row>
    <row r="17708" spans="1:1" x14ac:dyDescent="0.25">
      <c r="A17708" s="74">
        <v>22500</v>
      </c>
    </row>
    <row r="17709" spans="1:1" x14ac:dyDescent="0.25">
      <c r="A17709" s="74">
        <v>22501</v>
      </c>
    </row>
    <row r="17710" spans="1:1" x14ac:dyDescent="0.25">
      <c r="A17710" s="74">
        <v>22502</v>
      </c>
    </row>
    <row r="17711" spans="1:1" x14ac:dyDescent="0.25">
      <c r="A17711" s="74">
        <v>22503</v>
      </c>
    </row>
    <row r="17712" spans="1:1" x14ac:dyDescent="0.25">
      <c r="A17712" s="74">
        <v>22504</v>
      </c>
    </row>
    <row r="17713" spans="1:1" x14ac:dyDescent="0.25">
      <c r="A17713" s="74">
        <v>22505</v>
      </c>
    </row>
    <row r="17714" spans="1:1" x14ac:dyDescent="0.25">
      <c r="A17714" s="74">
        <v>22506</v>
      </c>
    </row>
    <row r="17715" spans="1:1" x14ac:dyDescent="0.25">
      <c r="A17715" s="74">
        <v>22507</v>
      </c>
    </row>
    <row r="17716" spans="1:1" x14ac:dyDescent="0.25">
      <c r="A17716" s="74">
        <v>22508</v>
      </c>
    </row>
    <row r="17717" spans="1:1" x14ac:dyDescent="0.25">
      <c r="A17717" s="74">
        <v>22509</v>
      </c>
    </row>
    <row r="17718" spans="1:1" x14ac:dyDescent="0.25">
      <c r="A17718" s="74">
        <v>22510</v>
      </c>
    </row>
    <row r="17719" spans="1:1" x14ac:dyDescent="0.25">
      <c r="A17719" s="74">
        <v>22511</v>
      </c>
    </row>
    <row r="17720" spans="1:1" x14ac:dyDescent="0.25">
      <c r="A17720" s="74">
        <v>22512</v>
      </c>
    </row>
    <row r="17721" spans="1:1" x14ac:dyDescent="0.25">
      <c r="A17721" s="74">
        <v>22513</v>
      </c>
    </row>
    <row r="17722" spans="1:1" x14ac:dyDescent="0.25">
      <c r="A17722" s="74">
        <v>22514</v>
      </c>
    </row>
    <row r="17723" spans="1:1" x14ac:dyDescent="0.25">
      <c r="A17723" s="74">
        <v>22515</v>
      </c>
    </row>
    <row r="17724" spans="1:1" x14ac:dyDescent="0.25">
      <c r="A17724" s="74">
        <v>22516</v>
      </c>
    </row>
    <row r="17725" spans="1:1" x14ac:dyDescent="0.25">
      <c r="A17725" s="74">
        <v>22517</v>
      </c>
    </row>
    <row r="17726" spans="1:1" x14ac:dyDescent="0.25">
      <c r="A17726" s="74">
        <v>22518</v>
      </c>
    </row>
    <row r="17727" spans="1:1" x14ac:dyDescent="0.25">
      <c r="A17727" s="74">
        <v>22519</v>
      </c>
    </row>
    <row r="17728" spans="1:1" x14ac:dyDescent="0.25">
      <c r="A17728" s="74">
        <v>22520</v>
      </c>
    </row>
    <row r="17729" spans="1:1" x14ac:dyDescent="0.25">
      <c r="A17729" s="74">
        <v>22521</v>
      </c>
    </row>
    <row r="17730" spans="1:1" x14ac:dyDescent="0.25">
      <c r="A17730" s="74">
        <v>22522</v>
      </c>
    </row>
    <row r="17731" spans="1:1" x14ac:dyDescent="0.25">
      <c r="A17731" s="74">
        <v>22523</v>
      </c>
    </row>
    <row r="17732" spans="1:1" x14ac:dyDescent="0.25">
      <c r="A17732" s="74">
        <v>22524</v>
      </c>
    </row>
    <row r="17733" spans="1:1" x14ac:dyDescent="0.25">
      <c r="A17733" s="74">
        <v>22525</v>
      </c>
    </row>
    <row r="17734" spans="1:1" x14ac:dyDescent="0.25">
      <c r="A17734" s="74">
        <v>22526</v>
      </c>
    </row>
    <row r="17735" spans="1:1" x14ac:dyDescent="0.25">
      <c r="A17735" s="74">
        <v>22527</v>
      </c>
    </row>
    <row r="17736" spans="1:1" x14ac:dyDescent="0.25">
      <c r="A17736" s="74">
        <v>22528</v>
      </c>
    </row>
    <row r="17737" spans="1:1" x14ac:dyDescent="0.25">
      <c r="A17737" s="74">
        <v>22529</v>
      </c>
    </row>
    <row r="17738" spans="1:1" x14ac:dyDescent="0.25">
      <c r="A17738" s="74">
        <v>22530</v>
      </c>
    </row>
    <row r="17739" spans="1:1" x14ac:dyDescent="0.25">
      <c r="A17739" s="74">
        <v>22531</v>
      </c>
    </row>
    <row r="17740" spans="1:1" x14ac:dyDescent="0.25">
      <c r="A17740" s="74">
        <v>22532</v>
      </c>
    </row>
    <row r="17741" spans="1:1" x14ac:dyDescent="0.25">
      <c r="A17741" s="74">
        <v>22533</v>
      </c>
    </row>
    <row r="17742" spans="1:1" x14ac:dyDescent="0.25">
      <c r="A17742" s="74">
        <v>22534</v>
      </c>
    </row>
    <row r="17743" spans="1:1" x14ac:dyDescent="0.25">
      <c r="A17743" s="74">
        <v>22535</v>
      </c>
    </row>
    <row r="17744" spans="1:1" x14ac:dyDescent="0.25">
      <c r="A17744" s="74">
        <v>22536</v>
      </c>
    </row>
    <row r="17745" spans="1:1" x14ac:dyDescent="0.25">
      <c r="A17745" s="74">
        <v>22537</v>
      </c>
    </row>
    <row r="17746" spans="1:1" x14ac:dyDescent="0.25">
      <c r="A17746" s="74">
        <v>22538</v>
      </c>
    </row>
    <row r="17747" spans="1:1" x14ac:dyDescent="0.25">
      <c r="A17747" s="74">
        <v>22539</v>
      </c>
    </row>
    <row r="17748" spans="1:1" x14ac:dyDescent="0.25">
      <c r="A17748" s="74">
        <v>22540</v>
      </c>
    </row>
    <row r="17749" spans="1:1" x14ac:dyDescent="0.25">
      <c r="A17749" s="74">
        <v>22541</v>
      </c>
    </row>
    <row r="17750" spans="1:1" x14ac:dyDescent="0.25">
      <c r="A17750" s="74">
        <v>22542</v>
      </c>
    </row>
    <row r="17751" spans="1:1" x14ac:dyDescent="0.25">
      <c r="A17751" s="74">
        <v>22543</v>
      </c>
    </row>
    <row r="17752" spans="1:1" x14ac:dyDescent="0.25">
      <c r="A17752" s="74">
        <v>22544</v>
      </c>
    </row>
    <row r="17753" spans="1:1" x14ac:dyDescent="0.25">
      <c r="A17753" s="74">
        <v>22545</v>
      </c>
    </row>
    <row r="17754" spans="1:1" x14ac:dyDescent="0.25">
      <c r="A17754" s="74">
        <v>22546</v>
      </c>
    </row>
    <row r="17755" spans="1:1" x14ac:dyDescent="0.25">
      <c r="A17755" s="74">
        <v>22547</v>
      </c>
    </row>
    <row r="17756" spans="1:1" x14ac:dyDescent="0.25">
      <c r="A17756" s="74">
        <v>22548</v>
      </c>
    </row>
    <row r="17757" spans="1:1" x14ac:dyDescent="0.25">
      <c r="A17757" s="74">
        <v>22549</v>
      </c>
    </row>
    <row r="17758" spans="1:1" x14ac:dyDescent="0.25">
      <c r="A17758" s="74">
        <v>22550</v>
      </c>
    </row>
    <row r="17759" spans="1:1" x14ac:dyDescent="0.25">
      <c r="A17759" s="74">
        <v>22551</v>
      </c>
    </row>
    <row r="17760" spans="1:1" x14ac:dyDescent="0.25">
      <c r="A17760" s="74">
        <v>22552</v>
      </c>
    </row>
    <row r="17761" spans="1:1" x14ac:dyDescent="0.25">
      <c r="A17761" s="74">
        <v>22553</v>
      </c>
    </row>
    <row r="17762" spans="1:1" x14ac:dyDescent="0.25">
      <c r="A17762" s="74">
        <v>22554</v>
      </c>
    </row>
    <row r="17763" spans="1:1" x14ac:dyDescent="0.25">
      <c r="A17763" s="74">
        <v>22555</v>
      </c>
    </row>
    <row r="17764" spans="1:1" x14ac:dyDescent="0.25">
      <c r="A17764" s="74">
        <v>22556</v>
      </c>
    </row>
    <row r="17765" spans="1:1" x14ac:dyDescent="0.25">
      <c r="A17765" s="74">
        <v>22557</v>
      </c>
    </row>
    <row r="17766" spans="1:1" x14ac:dyDescent="0.25">
      <c r="A17766" s="74">
        <v>22558</v>
      </c>
    </row>
    <row r="17767" spans="1:1" x14ac:dyDescent="0.25">
      <c r="A17767" s="74">
        <v>22559</v>
      </c>
    </row>
    <row r="17768" spans="1:1" x14ac:dyDescent="0.25">
      <c r="A17768" s="74">
        <v>22560</v>
      </c>
    </row>
    <row r="17769" spans="1:1" x14ac:dyDescent="0.25">
      <c r="A17769" s="74">
        <v>22561</v>
      </c>
    </row>
    <row r="17770" spans="1:1" x14ac:dyDescent="0.25">
      <c r="A17770" s="74">
        <v>22562</v>
      </c>
    </row>
    <row r="17771" spans="1:1" x14ac:dyDescent="0.25">
      <c r="A17771" s="74">
        <v>22563</v>
      </c>
    </row>
    <row r="17772" spans="1:1" x14ac:dyDescent="0.25">
      <c r="A17772" s="74">
        <v>22564</v>
      </c>
    </row>
    <row r="17773" spans="1:1" x14ac:dyDescent="0.25">
      <c r="A17773" s="74">
        <v>22565</v>
      </c>
    </row>
    <row r="17774" spans="1:1" x14ac:dyDescent="0.25">
      <c r="A17774" s="74">
        <v>22566</v>
      </c>
    </row>
    <row r="17775" spans="1:1" x14ac:dyDescent="0.25">
      <c r="A17775" s="74">
        <v>22567</v>
      </c>
    </row>
    <row r="17776" spans="1:1" x14ac:dyDescent="0.25">
      <c r="A17776" s="74">
        <v>22568</v>
      </c>
    </row>
    <row r="17777" spans="1:1" x14ac:dyDescent="0.25">
      <c r="A17777" s="74">
        <v>22569</v>
      </c>
    </row>
    <row r="17778" spans="1:1" x14ac:dyDescent="0.25">
      <c r="A17778" s="74">
        <v>22570</v>
      </c>
    </row>
    <row r="17779" spans="1:1" x14ac:dyDescent="0.25">
      <c r="A17779" s="74">
        <v>22571</v>
      </c>
    </row>
    <row r="17780" spans="1:1" x14ac:dyDescent="0.25">
      <c r="A17780" s="74">
        <v>22572</v>
      </c>
    </row>
    <row r="17781" spans="1:1" x14ac:dyDescent="0.25">
      <c r="A17781" s="74">
        <v>22573</v>
      </c>
    </row>
    <row r="17782" spans="1:1" x14ac:dyDescent="0.25">
      <c r="A17782" s="74">
        <v>22574</v>
      </c>
    </row>
    <row r="17783" spans="1:1" x14ac:dyDescent="0.25">
      <c r="A17783" s="74">
        <v>22575</v>
      </c>
    </row>
    <row r="17784" spans="1:1" x14ac:dyDescent="0.25">
      <c r="A17784" s="74">
        <v>22576</v>
      </c>
    </row>
    <row r="17785" spans="1:1" x14ac:dyDescent="0.25">
      <c r="A17785" s="74">
        <v>22577</v>
      </c>
    </row>
    <row r="17786" spans="1:1" x14ac:dyDescent="0.25">
      <c r="A17786" s="74">
        <v>22578</v>
      </c>
    </row>
    <row r="17787" spans="1:1" x14ac:dyDescent="0.25">
      <c r="A17787" s="74">
        <v>22579</v>
      </c>
    </row>
    <row r="17788" spans="1:1" x14ac:dyDescent="0.25">
      <c r="A17788" s="74">
        <v>22580</v>
      </c>
    </row>
    <row r="17789" spans="1:1" x14ac:dyDescent="0.25">
      <c r="A17789" s="74">
        <v>22581</v>
      </c>
    </row>
    <row r="17790" spans="1:1" x14ac:dyDescent="0.25">
      <c r="A17790" s="74">
        <v>22582</v>
      </c>
    </row>
    <row r="17791" spans="1:1" x14ac:dyDescent="0.25">
      <c r="A17791" s="74">
        <v>22583</v>
      </c>
    </row>
    <row r="17792" spans="1:1" x14ac:dyDescent="0.25">
      <c r="A17792" s="74">
        <v>22584</v>
      </c>
    </row>
    <row r="17793" spans="1:1" x14ac:dyDescent="0.25">
      <c r="A17793" s="74">
        <v>22585</v>
      </c>
    </row>
    <row r="17794" spans="1:1" x14ac:dyDescent="0.25">
      <c r="A17794" s="74">
        <v>22586</v>
      </c>
    </row>
    <row r="17795" spans="1:1" x14ac:dyDescent="0.25">
      <c r="A17795" s="74">
        <v>22587</v>
      </c>
    </row>
    <row r="17796" spans="1:1" x14ac:dyDescent="0.25">
      <c r="A17796" s="74">
        <v>22588</v>
      </c>
    </row>
    <row r="17797" spans="1:1" x14ac:dyDescent="0.25">
      <c r="A17797" s="74">
        <v>22589</v>
      </c>
    </row>
    <row r="17798" spans="1:1" x14ac:dyDescent="0.25">
      <c r="A17798" s="74">
        <v>22590</v>
      </c>
    </row>
    <row r="17799" spans="1:1" x14ac:dyDescent="0.25">
      <c r="A17799" s="74">
        <v>22591</v>
      </c>
    </row>
    <row r="17800" spans="1:1" x14ac:dyDescent="0.25">
      <c r="A17800" s="74">
        <v>22592</v>
      </c>
    </row>
    <row r="17801" spans="1:1" x14ac:dyDescent="0.25">
      <c r="A17801" s="74">
        <v>22593</v>
      </c>
    </row>
    <row r="17802" spans="1:1" x14ac:dyDescent="0.25">
      <c r="A17802" s="74">
        <v>22594</v>
      </c>
    </row>
    <row r="17803" spans="1:1" x14ac:dyDescent="0.25">
      <c r="A17803" s="74">
        <v>22595</v>
      </c>
    </row>
    <row r="17804" spans="1:1" x14ac:dyDescent="0.25">
      <c r="A17804" s="74">
        <v>22596</v>
      </c>
    </row>
    <row r="17805" spans="1:1" x14ac:dyDescent="0.25">
      <c r="A17805" s="74">
        <v>22597</v>
      </c>
    </row>
    <row r="17806" spans="1:1" x14ac:dyDescent="0.25">
      <c r="A17806" s="74">
        <v>22598</v>
      </c>
    </row>
    <row r="17807" spans="1:1" x14ac:dyDescent="0.25">
      <c r="A17807" s="74">
        <v>22599</v>
      </c>
    </row>
    <row r="17808" spans="1:1" x14ac:dyDescent="0.25">
      <c r="A17808" s="74">
        <v>22600</v>
      </c>
    </row>
    <row r="17809" spans="1:1" x14ac:dyDescent="0.25">
      <c r="A17809" s="74">
        <v>22601</v>
      </c>
    </row>
    <row r="17810" spans="1:1" x14ac:dyDescent="0.25">
      <c r="A17810" s="74">
        <v>22602</v>
      </c>
    </row>
    <row r="17811" spans="1:1" x14ac:dyDescent="0.25">
      <c r="A17811" s="74">
        <v>22603</v>
      </c>
    </row>
    <row r="17812" spans="1:1" x14ac:dyDescent="0.25">
      <c r="A17812" s="74">
        <v>22604</v>
      </c>
    </row>
    <row r="17813" spans="1:1" x14ac:dyDescent="0.25">
      <c r="A17813" s="74">
        <v>22605</v>
      </c>
    </row>
    <row r="17814" spans="1:1" x14ac:dyDescent="0.25">
      <c r="A17814" s="74">
        <v>22606</v>
      </c>
    </row>
    <row r="17815" spans="1:1" x14ac:dyDescent="0.25">
      <c r="A17815" s="74">
        <v>22607</v>
      </c>
    </row>
    <row r="17816" spans="1:1" x14ac:dyDescent="0.25">
      <c r="A17816" s="74">
        <v>22608</v>
      </c>
    </row>
    <row r="17817" spans="1:1" x14ac:dyDescent="0.25">
      <c r="A17817" s="74">
        <v>22609</v>
      </c>
    </row>
    <row r="17818" spans="1:1" x14ac:dyDescent="0.25">
      <c r="A17818" s="74">
        <v>22610</v>
      </c>
    </row>
    <row r="17819" spans="1:1" x14ac:dyDescent="0.25">
      <c r="A17819" s="74">
        <v>22611</v>
      </c>
    </row>
    <row r="17820" spans="1:1" x14ac:dyDescent="0.25">
      <c r="A17820" s="74">
        <v>22612</v>
      </c>
    </row>
    <row r="17821" spans="1:1" x14ac:dyDescent="0.25">
      <c r="A17821" s="74">
        <v>22613</v>
      </c>
    </row>
    <row r="17822" spans="1:1" x14ac:dyDescent="0.25">
      <c r="A17822" s="74">
        <v>22614</v>
      </c>
    </row>
    <row r="17823" spans="1:1" x14ac:dyDescent="0.25">
      <c r="A17823" s="74">
        <v>22615</v>
      </c>
    </row>
    <row r="17824" spans="1:1" x14ac:dyDescent="0.25">
      <c r="A17824" s="74">
        <v>22616</v>
      </c>
    </row>
    <row r="17825" spans="1:1" x14ac:dyDescent="0.25">
      <c r="A17825" s="74">
        <v>22617</v>
      </c>
    </row>
    <row r="17826" spans="1:1" x14ac:dyDescent="0.25">
      <c r="A17826" s="74">
        <v>22618</v>
      </c>
    </row>
    <row r="17827" spans="1:1" x14ac:dyDescent="0.25">
      <c r="A17827" s="74">
        <v>22619</v>
      </c>
    </row>
    <row r="17828" spans="1:1" x14ac:dyDescent="0.25">
      <c r="A17828" s="74">
        <v>22620</v>
      </c>
    </row>
    <row r="17829" spans="1:1" x14ac:dyDescent="0.25">
      <c r="A17829" s="74">
        <v>22621</v>
      </c>
    </row>
    <row r="17830" spans="1:1" x14ac:dyDescent="0.25">
      <c r="A17830" s="74">
        <v>22622</v>
      </c>
    </row>
    <row r="17831" spans="1:1" x14ac:dyDescent="0.25">
      <c r="A17831" s="74">
        <v>22623</v>
      </c>
    </row>
    <row r="17832" spans="1:1" x14ac:dyDescent="0.25">
      <c r="A17832" s="74">
        <v>22624</v>
      </c>
    </row>
    <row r="17833" spans="1:1" x14ac:dyDescent="0.25">
      <c r="A17833" s="74">
        <v>22625</v>
      </c>
    </row>
    <row r="17834" spans="1:1" x14ac:dyDescent="0.25">
      <c r="A17834" s="74">
        <v>22626</v>
      </c>
    </row>
    <row r="17835" spans="1:1" x14ac:dyDescent="0.25">
      <c r="A17835" s="74">
        <v>22627</v>
      </c>
    </row>
    <row r="17836" spans="1:1" x14ac:dyDescent="0.25">
      <c r="A17836" s="74">
        <v>22628</v>
      </c>
    </row>
    <row r="17837" spans="1:1" x14ac:dyDescent="0.25">
      <c r="A17837" s="74">
        <v>22629</v>
      </c>
    </row>
    <row r="17838" spans="1:1" x14ac:dyDescent="0.25">
      <c r="A17838" s="74">
        <v>22630</v>
      </c>
    </row>
    <row r="17839" spans="1:1" x14ac:dyDescent="0.25">
      <c r="A17839" s="74">
        <v>22631</v>
      </c>
    </row>
    <row r="17840" spans="1:1" x14ac:dyDescent="0.25">
      <c r="A17840" s="74">
        <v>22632</v>
      </c>
    </row>
    <row r="17841" spans="1:1" x14ac:dyDescent="0.25">
      <c r="A17841" s="74">
        <v>22633</v>
      </c>
    </row>
    <row r="17842" spans="1:1" x14ac:dyDescent="0.25">
      <c r="A17842" s="74">
        <v>22634</v>
      </c>
    </row>
    <row r="17843" spans="1:1" x14ac:dyDescent="0.25">
      <c r="A17843" s="74">
        <v>22635</v>
      </c>
    </row>
    <row r="17844" spans="1:1" x14ac:dyDescent="0.25">
      <c r="A17844" s="74">
        <v>22636</v>
      </c>
    </row>
    <row r="17845" spans="1:1" x14ac:dyDescent="0.25">
      <c r="A17845" s="74">
        <v>22637</v>
      </c>
    </row>
    <row r="17846" spans="1:1" x14ac:dyDescent="0.25">
      <c r="A17846" s="74">
        <v>22638</v>
      </c>
    </row>
    <row r="17847" spans="1:1" x14ac:dyDescent="0.25">
      <c r="A17847" s="74">
        <v>22639</v>
      </c>
    </row>
    <row r="17848" spans="1:1" x14ac:dyDescent="0.25">
      <c r="A17848" s="74">
        <v>22640</v>
      </c>
    </row>
    <row r="17849" spans="1:1" x14ac:dyDescent="0.25">
      <c r="A17849" s="74">
        <v>22641</v>
      </c>
    </row>
    <row r="17850" spans="1:1" x14ac:dyDescent="0.25">
      <c r="A17850" s="74">
        <v>22642</v>
      </c>
    </row>
    <row r="17851" spans="1:1" x14ac:dyDescent="0.25">
      <c r="A17851" s="74">
        <v>22643</v>
      </c>
    </row>
    <row r="17852" spans="1:1" x14ac:dyDescent="0.25">
      <c r="A17852" s="74">
        <v>22644</v>
      </c>
    </row>
    <row r="17853" spans="1:1" x14ac:dyDescent="0.25">
      <c r="A17853" s="74">
        <v>22645</v>
      </c>
    </row>
    <row r="17854" spans="1:1" x14ac:dyDescent="0.25">
      <c r="A17854" s="74">
        <v>22646</v>
      </c>
    </row>
    <row r="17855" spans="1:1" x14ac:dyDescent="0.25">
      <c r="A17855" s="74">
        <v>22647</v>
      </c>
    </row>
    <row r="17856" spans="1:1" x14ac:dyDescent="0.25">
      <c r="A17856" s="74">
        <v>22648</v>
      </c>
    </row>
    <row r="17857" spans="1:1" x14ac:dyDescent="0.25">
      <c r="A17857" s="74">
        <v>22649</v>
      </c>
    </row>
    <row r="17858" spans="1:1" x14ac:dyDescent="0.25">
      <c r="A17858" s="74">
        <v>22650</v>
      </c>
    </row>
    <row r="17859" spans="1:1" x14ac:dyDescent="0.25">
      <c r="A17859" s="74">
        <v>22651</v>
      </c>
    </row>
    <row r="17860" spans="1:1" x14ac:dyDescent="0.25">
      <c r="A17860" s="74">
        <v>22652</v>
      </c>
    </row>
    <row r="17861" spans="1:1" x14ac:dyDescent="0.25">
      <c r="A17861" s="74">
        <v>22653</v>
      </c>
    </row>
    <row r="17862" spans="1:1" x14ac:dyDescent="0.25">
      <c r="A17862" s="74">
        <v>22654</v>
      </c>
    </row>
    <row r="17863" spans="1:1" x14ac:dyDescent="0.25">
      <c r="A17863" s="74">
        <v>22655</v>
      </c>
    </row>
    <row r="17864" spans="1:1" x14ac:dyDescent="0.25">
      <c r="A17864" s="74">
        <v>22656</v>
      </c>
    </row>
    <row r="17865" spans="1:1" x14ac:dyDescent="0.25">
      <c r="A17865" s="74">
        <v>22657</v>
      </c>
    </row>
    <row r="17866" spans="1:1" x14ac:dyDescent="0.25">
      <c r="A17866" s="74">
        <v>22658</v>
      </c>
    </row>
    <row r="17867" spans="1:1" x14ac:dyDescent="0.25">
      <c r="A17867" s="74">
        <v>22659</v>
      </c>
    </row>
    <row r="17868" spans="1:1" x14ac:dyDescent="0.25">
      <c r="A17868" s="74">
        <v>22660</v>
      </c>
    </row>
    <row r="17869" spans="1:1" x14ac:dyDescent="0.25">
      <c r="A17869" s="74">
        <v>22661</v>
      </c>
    </row>
    <row r="17870" spans="1:1" x14ac:dyDescent="0.25">
      <c r="A17870" s="74">
        <v>22662</v>
      </c>
    </row>
    <row r="17871" spans="1:1" x14ac:dyDescent="0.25">
      <c r="A17871" s="74">
        <v>22663</v>
      </c>
    </row>
    <row r="17872" spans="1:1" x14ac:dyDescent="0.25">
      <c r="A17872" s="74">
        <v>22664</v>
      </c>
    </row>
    <row r="17873" spans="1:1" x14ac:dyDescent="0.25">
      <c r="A17873" s="74">
        <v>22665</v>
      </c>
    </row>
    <row r="17874" spans="1:1" x14ac:dyDescent="0.25">
      <c r="A17874" s="74">
        <v>22666</v>
      </c>
    </row>
    <row r="17875" spans="1:1" x14ac:dyDescent="0.25">
      <c r="A17875" s="74">
        <v>22667</v>
      </c>
    </row>
    <row r="17876" spans="1:1" x14ac:dyDescent="0.25">
      <c r="A17876" s="74">
        <v>22668</v>
      </c>
    </row>
    <row r="17877" spans="1:1" x14ac:dyDescent="0.25">
      <c r="A17877" s="74">
        <v>22669</v>
      </c>
    </row>
    <row r="17878" spans="1:1" x14ac:dyDescent="0.25">
      <c r="A17878" s="74">
        <v>22670</v>
      </c>
    </row>
    <row r="17879" spans="1:1" x14ac:dyDescent="0.25">
      <c r="A17879" s="74">
        <v>22671</v>
      </c>
    </row>
    <row r="17880" spans="1:1" x14ac:dyDescent="0.25">
      <c r="A17880" s="74">
        <v>22672</v>
      </c>
    </row>
    <row r="17881" spans="1:1" x14ac:dyDescent="0.25">
      <c r="A17881" s="74">
        <v>22673</v>
      </c>
    </row>
    <row r="17882" spans="1:1" x14ac:dyDescent="0.25">
      <c r="A17882" s="74">
        <v>22674</v>
      </c>
    </row>
    <row r="17883" spans="1:1" x14ac:dyDescent="0.25">
      <c r="A17883" s="74">
        <v>22675</v>
      </c>
    </row>
    <row r="17884" spans="1:1" x14ac:dyDescent="0.25">
      <c r="A17884" s="74">
        <v>22676</v>
      </c>
    </row>
    <row r="17885" spans="1:1" x14ac:dyDescent="0.25">
      <c r="A17885" s="74">
        <v>22677</v>
      </c>
    </row>
    <row r="17886" spans="1:1" x14ac:dyDescent="0.25">
      <c r="A17886" s="74">
        <v>22678</v>
      </c>
    </row>
    <row r="17887" spans="1:1" x14ac:dyDescent="0.25">
      <c r="A17887" s="74">
        <v>22679</v>
      </c>
    </row>
    <row r="17888" spans="1:1" x14ac:dyDescent="0.25">
      <c r="A17888" s="74">
        <v>22680</v>
      </c>
    </row>
    <row r="17889" spans="1:1" x14ac:dyDescent="0.25">
      <c r="A17889" s="74">
        <v>22681</v>
      </c>
    </row>
    <row r="17890" spans="1:1" x14ac:dyDescent="0.25">
      <c r="A17890" s="74">
        <v>22682</v>
      </c>
    </row>
    <row r="17891" spans="1:1" x14ac:dyDescent="0.25">
      <c r="A17891" s="74">
        <v>22683</v>
      </c>
    </row>
    <row r="17892" spans="1:1" x14ac:dyDescent="0.25">
      <c r="A17892" s="74">
        <v>22684</v>
      </c>
    </row>
    <row r="17893" spans="1:1" x14ac:dyDescent="0.25">
      <c r="A17893" s="74">
        <v>22685</v>
      </c>
    </row>
    <row r="17894" spans="1:1" x14ac:dyDescent="0.25">
      <c r="A17894" s="74">
        <v>22686</v>
      </c>
    </row>
    <row r="17895" spans="1:1" x14ac:dyDescent="0.25">
      <c r="A17895" s="74">
        <v>22687</v>
      </c>
    </row>
    <row r="17896" spans="1:1" x14ac:dyDescent="0.25">
      <c r="A17896" s="74">
        <v>22688</v>
      </c>
    </row>
    <row r="17897" spans="1:1" x14ac:dyDescent="0.25">
      <c r="A17897" s="74">
        <v>22689</v>
      </c>
    </row>
    <row r="17898" spans="1:1" x14ac:dyDescent="0.25">
      <c r="A17898" s="74">
        <v>22690</v>
      </c>
    </row>
    <row r="17899" spans="1:1" x14ac:dyDescent="0.25">
      <c r="A17899" s="74">
        <v>22691</v>
      </c>
    </row>
    <row r="17900" spans="1:1" x14ac:dyDescent="0.25">
      <c r="A17900" s="74">
        <v>22692</v>
      </c>
    </row>
    <row r="17901" spans="1:1" x14ac:dyDescent="0.25">
      <c r="A17901" s="74">
        <v>22693</v>
      </c>
    </row>
    <row r="17902" spans="1:1" x14ac:dyDescent="0.25">
      <c r="A17902" s="74">
        <v>22694</v>
      </c>
    </row>
    <row r="17903" spans="1:1" x14ac:dyDescent="0.25">
      <c r="A17903" s="74">
        <v>22695</v>
      </c>
    </row>
    <row r="17904" spans="1:1" x14ac:dyDescent="0.25">
      <c r="A17904" s="74">
        <v>22696</v>
      </c>
    </row>
    <row r="17905" spans="1:1" x14ac:dyDescent="0.25">
      <c r="A17905" s="74">
        <v>22697</v>
      </c>
    </row>
    <row r="17906" spans="1:1" x14ac:dyDescent="0.25">
      <c r="A17906" s="74">
        <v>22698</v>
      </c>
    </row>
    <row r="17907" spans="1:1" x14ac:dyDescent="0.25">
      <c r="A17907" s="74">
        <v>22699</v>
      </c>
    </row>
    <row r="17908" spans="1:1" x14ac:dyDescent="0.25">
      <c r="A17908" s="74">
        <v>22700</v>
      </c>
    </row>
    <row r="17909" spans="1:1" x14ac:dyDescent="0.25">
      <c r="A17909" s="74">
        <v>22701</v>
      </c>
    </row>
    <row r="17910" spans="1:1" x14ac:dyDescent="0.25">
      <c r="A17910" s="74">
        <v>22702</v>
      </c>
    </row>
    <row r="17911" spans="1:1" x14ac:dyDescent="0.25">
      <c r="A17911" s="74">
        <v>22703</v>
      </c>
    </row>
    <row r="17912" spans="1:1" x14ac:dyDescent="0.25">
      <c r="A17912" s="74">
        <v>22704</v>
      </c>
    </row>
    <row r="17913" spans="1:1" x14ac:dyDescent="0.25">
      <c r="A17913" s="74">
        <v>22705</v>
      </c>
    </row>
    <row r="17914" spans="1:1" x14ac:dyDescent="0.25">
      <c r="A17914" s="74">
        <v>22706</v>
      </c>
    </row>
    <row r="17915" spans="1:1" x14ac:dyDescent="0.25">
      <c r="A17915" s="74">
        <v>22707</v>
      </c>
    </row>
    <row r="17916" spans="1:1" x14ac:dyDescent="0.25">
      <c r="A17916" s="74">
        <v>22708</v>
      </c>
    </row>
    <row r="17917" spans="1:1" x14ac:dyDescent="0.25">
      <c r="A17917" s="74">
        <v>22709</v>
      </c>
    </row>
    <row r="17918" spans="1:1" x14ac:dyDescent="0.25">
      <c r="A17918" s="74">
        <v>22710</v>
      </c>
    </row>
    <row r="17919" spans="1:1" x14ac:dyDescent="0.25">
      <c r="A17919" s="74">
        <v>22711</v>
      </c>
    </row>
    <row r="17920" spans="1:1" x14ac:dyDescent="0.25">
      <c r="A17920" s="74">
        <v>22712</v>
      </c>
    </row>
    <row r="17921" spans="1:1" x14ac:dyDescent="0.25">
      <c r="A17921" s="74">
        <v>22713</v>
      </c>
    </row>
    <row r="17922" spans="1:1" x14ac:dyDescent="0.25">
      <c r="A17922" s="74">
        <v>22714</v>
      </c>
    </row>
    <row r="17923" spans="1:1" x14ac:dyDescent="0.25">
      <c r="A17923" s="74">
        <v>22715</v>
      </c>
    </row>
    <row r="17924" spans="1:1" x14ac:dyDescent="0.25">
      <c r="A17924" s="74">
        <v>22716</v>
      </c>
    </row>
    <row r="17925" spans="1:1" x14ac:dyDescent="0.25">
      <c r="A17925" s="74">
        <v>22717</v>
      </c>
    </row>
    <row r="17926" spans="1:1" x14ac:dyDescent="0.25">
      <c r="A17926" s="74">
        <v>22718</v>
      </c>
    </row>
    <row r="17927" spans="1:1" x14ac:dyDescent="0.25">
      <c r="A17927" s="74">
        <v>22719</v>
      </c>
    </row>
    <row r="17928" spans="1:1" x14ac:dyDescent="0.25">
      <c r="A17928" s="74">
        <v>22720</v>
      </c>
    </row>
    <row r="17929" spans="1:1" x14ac:dyDescent="0.25">
      <c r="A17929" s="74">
        <v>22721</v>
      </c>
    </row>
    <row r="17930" spans="1:1" x14ac:dyDescent="0.25">
      <c r="A17930" s="74">
        <v>22722</v>
      </c>
    </row>
    <row r="17931" spans="1:1" x14ac:dyDescent="0.25">
      <c r="A17931" s="74">
        <v>22723</v>
      </c>
    </row>
    <row r="17932" spans="1:1" x14ac:dyDescent="0.25">
      <c r="A17932" s="74">
        <v>22724</v>
      </c>
    </row>
    <row r="17933" spans="1:1" x14ac:dyDescent="0.25">
      <c r="A17933" s="74">
        <v>22725</v>
      </c>
    </row>
    <row r="17934" spans="1:1" x14ac:dyDescent="0.25">
      <c r="A17934" s="74">
        <v>22726</v>
      </c>
    </row>
    <row r="17935" spans="1:1" x14ac:dyDescent="0.25">
      <c r="A17935" s="74">
        <v>22727</v>
      </c>
    </row>
    <row r="17936" spans="1:1" x14ac:dyDescent="0.25">
      <c r="A17936" s="74">
        <v>22728</v>
      </c>
    </row>
    <row r="17937" spans="1:1" x14ac:dyDescent="0.25">
      <c r="A17937" s="74">
        <v>22729</v>
      </c>
    </row>
    <row r="17938" spans="1:1" x14ac:dyDescent="0.25">
      <c r="A17938" s="74">
        <v>22730</v>
      </c>
    </row>
    <row r="17939" spans="1:1" x14ac:dyDescent="0.25">
      <c r="A17939" s="74">
        <v>22731</v>
      </c>
    </row>
    <row r="17940" spans="1:1" x14ac:dyDescent="0.25">
      <c r="A17940" s="74">
        <v>22732</v>
      </c>
    </row>
    <row r="17941" spans="1:1" x14ac:dyDescent="0.25">
      <c r="A17941" s="74">
        <v>22733</v>
      </c>
    </row>
    <row r="17942" spans="1:1" x14ac:dyDescent="0.25">
      <c r="A17942" s="74">
        <v>22734</v>
      </c>
    </row>
    <row r="17943" spans="1:1" x14ac:dyDescent="0.25">
      <c r="A17943" s="74">
        <v>22735</v>
      </c>
    </row>
    <row r="17944" spans="1:1" x14ac:dyDescent="0.25">
      <c r="A17944" s="74">
        <v>22736</v>
      </c>
    </row>
    <row r="17945" spans="1:1" x14ac:dyDescent="0.25">
      <c r="A17945" s="74">
        <v>22737</v>
      </c>
    </row>
    <row r="17946" spans="1:1" x14ac:dyDescent="0.25">
      <c r="A17946" s="74">
        <v>22738</v>
      </c>
    </row>
    <row r="17947" spans="1:1" x14ac:dyDescent="0.25">
      <c r="A17947" s="74">
        <v>22739</v>
      </c>
    </row>
    <row r="17948" spans="1:1" x14ac:dyDescent="0.25">
      <c r="A17948" s="74">
        <v>22740</v>
      </c>
    </row>
    <row r="17949" spans="1:1" x14ac:dyDescent="0.25">
      <c r="A17949" s="74">
        <v>22741</v>
      </c>
    </row>
    <row r="17950" spans="1:1" x14ac:dyDescent="0.25">
      <c r="A17950" s="74">
        <v>22742</v>
      </c>
    </row>
    <row r="17951" spans="1:1" x14ac:dyDescent="0.25">
      <c r="A17951" s="74">
        <v>22743</v>
      </c>
    </row>
    <row r="17952" spans="1:1" x14ac:dyDescent="0.25">
      <c r="A17952" s="74">
        <v>22744</v>
      </c>
    </row>
    <row r="17953" spans="1:1" x14ac:dyDescent="0.25">
      <c r="A17953" s="74">
        <v>22745</v>
      </c>
    </row>
    <row r="17954" spans="1:1" x14ac:dyDescent="0.25">
      <c r="A17954" s="74">
        <v>22746</v>
      </c>
    </row>
    <row r="17955" spans="1:1" x14ac:dyDescent="0.25">
      <c r="A17955" s="74">
        <v>22747</v>
      </c>
    </row>
    <row r="17956" spans="1:1" x14ac:dyDescent="0.25">
      <c r="A17956" s="74">
        <v>22748</v>
      </c>
    </row>
    <row r="17957" spans="1:1" x14ac:dyDescent="0.25">
      <c r="A17957" s="74">
        <v>22749</v>
      </c>
    </row>
    <row r="17958" spans="1:1" x14ac:dyDescent="0.25">
      <c r="A17958" s="74">
        <v>22750</v>
      </c>
    </row>
    <row r="17959" spans="1:1" x14ac:dyDescent="0.25">
      <c r="A17959" s="74">
        <v>22751</v>
      </c>
    </row>
    <row r="17960" spans="1:1" x14ac:dyDescent="0.25">
      <c r="A17960" s="74">
        <v>22752</v>
      </c>
    </row>
    <row r="17961" spans="1:1" x14ac:dyDescent="0.25">
      <c r="A17961" s="74">
        <v>22753</v>
      </c>
    </row>
    <row r="17962" spans="1:1" x14ac:dyDescent="0.25">
      <c r="A17962" s="74">
        <v>22754</v>
      </c>
    </row>
    <row r="17963" spans="1:1" x14ac:dyDescent="0.25">
      <c r="A17963" s="74">
        <v>22755</v>
      </c>
    </row>
    <row r="17964" spans="1:1" x14ac:dyDescent="0.25">
      <c r="A17964" s="74">
        <v>22756</v>
      </c>
    </row>
    <row r="17965" spans="1:1" x14ac:dyDescent="0.25">
      <c r="A17965" s="74">
        <v>22757</v>
      </c>
    </row>
    <row r="17966" spans="1:1" x14ac:dyDescent="0.25">
      <c r="A17966" s="74">
        <v>22758</v>
      </c>
    </row>
    <row r="17967" spans="1:1" x14ac:dyDescent="0.25">
      <c r="A17967" s="74">
        <v>22759</v>
      </c>
    </row>
    <row r="17968" spans="1:1" x14ac:dyDescent="0.25">
      <c r="A17968" s="74">
        <v>22760</v>
      </c>
    </row>
    <row r="17969" spans="1:1" x14ac:dyDescent="0.25">
      <c r="A17969" s="74">
        <v>22761</v>
      </c>
    </row>
    <row r="17970" spans="1:1" x14ac:dyDescent="0.25">
      <c r="A17970" s="74">
        <v>22762</v>
      </c>
    </row>
    <row r="17971" spans="1:1" x14ac:dyDescent="0.25">
      <c r="A17971" s="74">
        <v>22763</v>
      </c>
    </row>
    <row r="17972" spans="1:1" x14ac:dyDescent="0.25">
      <c r="A17972" s="74">
        <v>22764</v>
      </c>
    </row>
    <row r="17973" spans="1:1" x14ac:dyDescent="0.25">
      <c r="A17973" s="74">
        <v>22765</v>
      </c>
    </row>
    <row r="17974" spans="1:1" x14ac:dyDescent="0.25">
      <c r="A17974" s="74">
        <v>22766</v>
      </c>
    </row>
    <row r="17975" spans="1:1" x14ac:dyDescent="0.25">
      <c r="A17975" s="74">
        <v>22767</v>
      </c>
    </row>
    <row r="17976" spans="1:1" x14ac:dyDescent="0.25">
      <c r="A17976" s="74">
        <v>22768</v>
      </c>
    </row>
    <row r="17977" spans="1:1" x14ac:dyDescent="0.25">
      <c r="A17977" s="74">
        <v>22769</v>
      </c>
    </row>
    <row r="17978" spans="1:1" x14ac:dyDescent="0.25">
      <c r="A17978" s="74">
        <v>22770</v>
      </c>
    </row>
    <row r="17979" spans="1:1" x14ac:dyDescent="0.25">
      <c r="A17979" s="74">
        <v>22771</v>
      </c>
    </row>
    <row r="17980" spans="1:1" x14ac:dyDescent="0.25">
      <c r="A17980" s="74">
        <v>22772</v>
      </c>
    </row>
    <row r="17981" spans="1:1" x14ac:dyDescent="0.25">
      <c r="A17981" s="74">
        <v>22773</v>
      </c>
    </row>
    <row r="17982" spans="1:1" x14ac:dyDescent="0.25">
      <c r="A17982" s="74">
        <v>22774</v>
      </c>
    </row>
    <row r="17983" spans="1:1" x14ac:dyDescent="0.25">
      <c r="A17983" s="74">
        <v>22775</v>
      </c>
    </row>
    <row r="17984" spans="1:1" x14ac:dyDescent="0.25">
      <c r="A17984" s="74">
        <v>22776</v>
      </c>
    </row>
    <row r="17985" spans="1:1" x14ac:dyDescent="0.25">
      <c r="A17985" s="74">
        <v>22777</v>
      </c>
    </row>
    <row r="17986" spans="1:1" x14ac:dyDescent="0.25">
      <c r="A17986" s="74">
        <v>22778</v>
      </c>
    </row>
    <row r="17987" spans="1:1" x14ac:dyDescent="0.25">
      <c r="A17987" s="74">
        <v>22779</v>
      </c>
    </row>
    <row r="17988" spans="1:1" x14ac:dyDescent="0.25">
      <c r="A17988" s="74">
        <v>22780</v>
      </c>
    </row>
    <row r="17989" spans="1:1" x14ac:dyDescent="0.25">
      <c r="A17989" s="74">
        <v>22781</v>
      </c>
    </row>
    <row r="17990" spans="1:1" x14ac:dyDescent="0.25">
      <c r="A17990" s="74">
        <v>22782</v>
      </c>
    </row>
    <row r="17991" spans="1:1" x14ac:dyDescent="0.25">
      <c r="A17991" s="74">
        <v>22783</v>
      </c>
    </row>
    <row r="17992" spans="1:1" x14ac:dyDescent="0.25">
      <c r="A17992" s="74">
        <v>22784</v>
      </c>
    </row>
    <row r="17993" spans="1:1" x14ac:dyDescent="0.25">
      <c r="A17993" s="74">
        <v>22785</v>
      </c>
    </row>
    <row r="17994" spans="1:1" x14ac:dyDescent="0.25">
      <c r="A17994" s="74">
        <v>22786</v>
      </c>
    </row>
    <row r="17995" spans="1:1" x14ac:dyDescent="0.25">
      <c r="A17995" s="74">
        <v>22787</v>
      </c>
    </row>
    <row r="17996" spans="1:1" x14ac:dyDescent="0.25">
      <c r="A17996" s="74">
        <v>22788</v>
      </c>
    </row>
    <row r="17997" spans="1:1" x14ac:dyDescent="0.25">
      <c r="A17997" s="74">
        <v>22789</v>
      </c>
    </row>
    <row r="17998" spans="1:1" x14ac:dyDescent="0.25">
      <c r="A17998" s="74">
        <v>22790</v>
      </c>
    </row>
    <row r="17999" spans="1:1" x14ac:dyDescent="0.25">
      <c r="A17999" s="74">
        <v>22791</v>
      </c>
    </row>
    <row r="18000" spans="1:1" x14ac:dyDescent="0.25">
      <c r="A18000" s="74">
        <v>22792</v>
      </c>
    </row>
    <row r="18001" spans="1:1" x14ac:dyDescent="0.25">
      <c r="A18001" s="74">
        <v>22793</v>
      </c>
    </row>
    <row r="18002" spans="1:1" x14ac:dyDescent="0.25">
      <c r="A18002" s="74">
        <v>22794</v>
      </c>
    </row>
    <row r="18003" spans="1:1" x14ac:dyDescent="0.25">
      <c r="A18003" s="74">
        <v>22795</v>
      </c>
    </row>
    <row r="18004" spans="1:1" x14ac:dyDescent="0.25">
      <c r="A18004" s="74">
        <v>22796</v>
      </c>
    </row>
    <row r="18005" spans="1:1" x14ac:dyDescent="0.25">
      <c r="A18005" s="74">
        <v>22797</v>
      </c>
    </row>
    <row r="18006" spans="1:1" x14ac:dyDescent="0.25">
      <c r="A18006" s="74">
        <v>22798</v>
      </c>
    </row>
    <row r="18007" spans="1:1" x14ac:dyDescent="0.25">
      <c r="A18007" s="74">
        <v>22799</v>
      </c>
    </row>
    <row r="18008" spans="1:1" x14ac:dyDescent="0.25">
      <c r="A18008" s="74">
        <v>22800</v>
      </c>
    </row>
    <row r="18009" spans="1:1" x14ac:dyDescent="0.25">
      <c r="A18009" s="74">
        <v>22801</v>
      </c>
    </row>
    <row r="18010" spans="1:1" x14ac:dyDescent="0.25">
      <c r="A18010" s="74">
        <v>22802</v>
      </c>
    </row>
    <row r="18011" spans="1:1" x14ac:dyDescent="0.25">
      <c r="A18011" s="74">
        <v>22803</v>
      </c>
    </row>
    <row r="18012" spans="1:1" x14ac:dyDescent="0.25">
      <c r="A18012" s="74">
        <v>22804</v>
      </c>
    </row>
    <row r="18013" spans="1:1" x14ac:dyDescent="0.25">
      <c r="A18013" s="74">
        <v>22805</v>
      </c>
    </row>
    <row r="18014" spans="1:1" x14ac:dyDescent="0.25">
      <c r="A18014" s="74">
        <v>22806</v>
      </c>
    </row>
    <row r="18015" spans="1:1" x14ac:dyDescent="0.25">
      <c r="A18015" s="74">
        <v>22807</v>
      </c>
    </row>
    <row r="18016" spans="1:1" x14ac:dyDescent="0.25">
      <c r="A18016" s="74">
        <v>22808</v>
      </c>
    </row>
    <row r="18017" spans="1:1" x14ac:dyDescent="0.25">
      <c r="A18017" s="74">
        <v>22809</v>
      </c>
    </row>
    <row r="18018" spans="1:1" x14ac:dyDescent="0.25">
      <c r="A18018" s="74">
        <v>22810</v>
      </c>
    </row>
    <row r="18019" spans="1:1" x14ac:dyDescent="0.25">
      <c r="A18019" s="74">
        <v>22811</v>
      </c>
    </row>
    <row r="18020" spans="1:1" x14ac:dyDescent="0.25">
      <c r="A18020" s="74">
        <v>22812</v>
      </c>
    </row>
    <row r="18021" spans="1:1" x14ac:dyDescent="0.25">
      <c r="A18021" s="74">
        <v>22813</v>
      </c>
    </row>
    <row r="18022" spans="1:1" x14ac:dyDescent="0.25">
      <c r="A18022" s="74">
        <v>22814</v>
      </c>
    </row>
    <row r="18023" spans="1:1" x14ac:dyDescent="0.25">
      <c r="A18023" s="74">
        <v>22815</v>
      </c>
    </row>
    <row r="18024" spans="1:1" x14ac:dyDescent="0.25">
      <c r="A18024" s="74">
        <v>22816</v>
      </c>
    </row>
    <row r="18025" spans="1:1" x14ac:dyDescent="0.25">
      <c r="A18025" s="74">
        <v>22817</v>
      </c>
    </row>
    <row r="18026" spans="1:1" x14ac:dyDescent="0.25">
      <c r="A18026" s="74">
        <v>22818</v>
      </c>
    </row>
    <row r="18027" spans="1:1" x14ac:dyDescent="0.25">
      <c r="A18027" s="74">
        <v>22819</v>
      </c>
    </row>
    <row r="18028" spans="1:1" x14ac:dyDescent="0.25">
      <c r="A18028" s="74">
        <v>22820</v>
      </c>
    </row>
    <row r="18029" spans="1:1" x14ac:dyDescent="0.25">
      <c r="A18029" s="74">
        <v>22821</v>
      </c>
    </row>
    <row r="18030" spans="1:1" x14ac:dyDescent="0.25">
      <c r="A18030" s="74">
        <v>22822</v>
      </c>
    </row>
    <row r="18031" spans="1:1" x14ac:dyDescent="0.25">
      <c r="A18031" s="74">
        <v>22823</v>
      </c>
    </row>
    <row r="18032" spans="1:1" x14ac:dyDescent="0.25">
      <c r="A18032" s="74">
        <v>22824</v>
      </c>
    </row>
    <row r="18033" spans="1:1" x14ac:dyDescent="0.25">
      <c r="A18033" s="74">
        <v>22825</v>
      </c>
    </row>
    <row r="18034" spans="1:1" x14ac:dyDescent="0.25">
      <c r="A18034" s="74">
        <v>22826</v>
      </c>
    </row>
    <row r="18035" spans="1:1" x14ac:dyDescent="0.25">
      <c r="A18035" s="74">
        <v>22827</v>
      </c>
    </row>
    <row r="18036" spans="1:1" x14ac:dyDescent="0.25">
      <c r="A18036" s="74">
        <v>22828</v>
      </c>
    </row>
    <row r="18037" spans="1:1" x14ac:dyDescent="0.25">
      <c r="A18037" s="74">
        <v>22829</v>
      </c>
    </row>
    <row r="18038" spans="1:1" x14ac:dyDescent="0.25">
      <c r="A18038" s="74">
        <v>22830</v>
      </c>
    </row>
    <row r="18039" spans="1:1" x14ac:dyDescent="0.25">
      <c r="A18039" s="74">
        <v>22831</v>
      </c>
    </row>
    <row r="18040" spans="1:1" x14ac:dyDescent="0.25">
      <c r="A18040" s="74">
        <v>22832</v>
      </c>
    </row>
    <row r="18041" spans="1:1" x14ac:dyDescent="0.25">
      <c r="A18041" s="74">
        <v>22833</v>
      </c>
    </row>
    <row r="18042" spans="1:1" x14ac:dyDescent="0.25">
      <c r="A18042" s="74">
        <v>22834</v>
      </c>
    </row>
    <row r="18043" spans="1:1" x14ac:dyDescent="0.25">
      <c r="A18043" s="74">
        <v>22835</v>
      </c>
    </row>
    <row r="18044" spans="1:1" x14ac:dyDescent="0.25">
      <c r="A18044" s="74">
        <v>22836</v>
      </c>
    </row>
    <row r="18045" spans="1:1" x14ac:dyDescent="0.25">
      <c r="A18045" s="74">
        <v>22837</v>
      </c>
    </row>
    <row r="18046" spans="1:1" x14ac:dyDescent="0.25">
      <c r="A18046" s="74">
        <v>22838</v>
      </c>
    </row>
    <row r="18047" spans="1:1" x14ac:dyDescent="0.25">
      <c r="A18047" s="74">
        <v>22839</v>
      </c>
    </row>
    <row r="18048" spans="1:1" x14ac:dyDescent="0.25">
      <c r="A18048" s="74">
        <v>22840</v>
      </c>
    </row>
    <row r="18049" spans="1:1" x14ac:dyDescent="0.25">
      <c r="A18049" s="74">
        <v>22841</v>
      </c>
    </row>
    <row r="18050" spans="1:1" x14ac:dyDescent="0.25">
      <c r="A18050" s="74">
        <v>22842</v>
      </c>
    </row>
    <row r="18051" spans="1:1" x14ac:dyDescent="0.25">
      <c r="A18051" s="74">
        <v>22843</v>
      </c>
    </row>
    <row r="18052" spans="1:1" x14ac:dyDescent="0.25">
      <c r="A18052" s="74">
        <v>22844</v>
      </c>
    </row>
    <row r="18053" spans="1:1" x14ac:dyDescent="0.25">
      <c r="A18053" s="74">
        <v>22845</v>
      </c>
    </row>
    <row r="18054" spans="1:1" x14ac:dyDescent="0.25">
      <c r="A18054" s="74">
        <v>22846</v>
      </c>
    </row>
    <row r="18055" spans="1:1" x14ac:dyDescent="0.25">
      <c r="A18055" s="74">
        <v>22847</v>
      </c>
    </row>
    <row r="18056" spans="1:1" x14ac:dyDescent="0.25">
      <c r="A18056" s="74">
        <v>22848</v>
      </c>
    </row>
    <row r="18057" spans="1:1" x14ac:dyDescent="0.25">
      <c r="A18057" s="74">
        <v>22849</v>
      </c>
    </row>
    <row r="18058" spans="1:1" x14ac:dyDescent="0.25">
      <c r="A18058" s="74">
        <v>22850</v>
      </c>
    </row>
    <row r="18059" spans="1:1" x14ac:dyDescent="0.25">
      <c r="A18059" s="74">
        <v>22851</v>
      </c>
    </row>
    <row r="18060" spans="1:1" x14ac:dyDescent="0.25">
      <c r="A18060" s="74">
        <v>22852</v>
      </c>
    </row>
    <row r="18061" spans="1:1" x14ac:dyDescent="0.25">
      <c r="A18061" s="74">
        <v>22853</v>
      </c>
    </row>
    <row r="18062" spans="1:1" x14ac:dyDescent="0.25">
      <c r="A18062" s="74">
        <v>22854</v>
      </c>
    </row>
    <row r="18063" spans="1:1" x14ac:dyDescent="0.25">
      <c r="A18063" s="74">
        <v>22855</v>
      </c>
    </row>
    <row r="18064" spans="1:1" x14ac:dyDescent="0.25">
      <c r="A18064" s="74">
        <v>22856</v>
      </c>
    </row>
    <row r="18065" spans="1:1" x14ac:dyDescent="0.25">
      <c r="A18065" s="74">
        <v>22857</v>
      </c>
    </row>
    <row r="18066" spans="1:1" x14ac:dyDescent="0.25">
      <c r="A18066" s="74">
        <v>22858</v>
      </c>
    </row>
    <row r="18067" spans="1:1" x14ac:dyDescent="0.25">
      <c r="A18067" s="74">
        <v>22859</v>
      </c>
    </row>
    <row r="18068" spans="1:1" x14ac:dyDescent="0.25">
      <c r="A18068" s="74">
        <v>22860</v>
      </c>
    </row>
    <row r="18069" spans="1:1" x14ac:dyDescent="0.25">
      <c r="A18069" s="74">
        <v>22861</v>
      </c>
    </row>
    <row r="18070" spans="1:1" x14ac:dyDescent="0.25">
      <c r="A18070" s="74">
        <v>22862</v>
      </c>
    </row>
    <row r="18071" spans="1:1" x14ac:dyDescent="0.25">
      <c r="A18071" s="74">
        <v>22863</v>
      </c>
    </row>
    <row r="18072" spans="1:1" x14ac:dyDescent="0.25">
      <c r="A18072" s="74">
        <v>22864</v>
      </c>
    </row>
    <row r="18073" spans="1:1" x14ac:dyDescent="0.25">
      <c r="A18073" s="74">
        <v>22865</v>
      </c>
    </row>
    <row r="18074" spans="1:1" x14ac:dyDescent="0.25">
      <c r="A18074" s="74">
        <v>22866</v>
      </c>
    </row>
    <row r="18075" spans="1:1" x14ac:dyDescent="0.25">
      <c r="A18075" s="74">
        <v>22867</v>
      </c>
    </row>
    <row r="18076" spans="1:1" x14ac:dyDescent="0.25">
      <c r="A18076" s="74">
        <v>22868</v>
      </c>
    </row>
    <row r="18077" spans="1:1" x14ac:dyDescent="0.25">
      <c r="A18077" s="74">
        <v>22869</v>
      </c>
    </row>
    <row r="18078" spans="1:1" x14ac:dyDescent="0.25">
      <c r="A18078" s="74">
        <v>22870</v>
      </c>
    </row>
    <row r="18079" spans="1:1" x14ac:dyDescent="0.25">
      <c r="A18079" s="74">
        <v>22871</v>
      </c>
    </row>
    <row r="18080" spans="1:1" x14ac:dyDescent="0.25">
      <c r="A18080" s="74">
        <v>22872</v>
      </c>
    </row>
    <row r="18081" spans="1:1" x14ac:dyDescent="0.25">
      <c r="A18081" s="74">
        <v>22873</v>
      </c>
    </row>
    <row r="18082" spans="1:1" x14ac:dyDescent="0.25">
      <c r="A18082" s="74">
        <v>22874</v>
      </c>
    </row>
    <row r="18083" spans="1:1" x14ac:dyDescent="0.25">
      <c r="A18083" s="74">
        <v>22875</v>
      </c>
    </row>
    <row r="18084" spans="1:1" x14ac:dyDescent="0.25">
      <c r="A18084" s="74">
        <v>22876</v>
      </c>
    </row>
    <row r="18085" spans="1:1" x14ac:dyDescent="0.25">
      <c r="A18085" s="74">
        <v>22877</v>
      </c>
    </row>
    <row r="18086" spans="1:1" x14ac:dyDescent="0.25">
      <c r="A18086" s="74">
        <v>22878</v>
      </c>
    </row>
    <row r="18087" spans="1:1" x14ac:dyDescent="0.25">
      <c r="A18087" s="74">
        <v>22879</v>
      </c>
    </row>
    <row r="18088" spans="1:1" x14ac:dyDescent="0.25">
      <c r="A18088" s="74">
        <v>22880</v>
      </c>
    </row>
    <row r="18089" spans="1:1" x14ac:dyDescent="0.25">
      <c r="A18089" s="74">
        <v>22881</v>
      </c>
    </row>
    <row r="18090" spans="1:1" x14ac:dyDescent="0.25">
      <c r="A18090" s="74">
        <v>22882</v>
      </c>
    </row>
    <row r="18091" spans="1:1" x14ac:dyDescent="0.25">
      <c r="A18091" s="74">
        <v>22883</v>
      </c>
    </row>
    <row r="18092" spans="1:1" x14ac:dyDescent="0.25">
      <c r="A18092" s="74">
        <v>22884</v>
      </c>
    </row>
    <row r="18093" spans="1:1" x14ac:dyDescent="0.25">
      <c r="A18093" s="74">
        <v>22885</v>
      </c>
    </row>
    <row r="18094" spans="1:1" x14ac:dyDescent="0.25">
      <c r="A18094" s="74">
        <v>22886</v>
      </c>
    </row>
    <row r="18095" spans="1:1" x14ac:dyDescent="0.25">
      <c r="A18095" s="74">
        <v>22887</v>
      </c>
    </row>
    <row r="18096" spans="1:1" x14ac:dyDescent="0.25">
      <c r="A18096" s="74">
        <v>22888</v>
      </c>
    </row>
    <row r="18097" spans="1:1" x14ac:dyDescent="0.25">
      <c r="A18097" s="74">
        <v>22889</v>
      </c>
    </row>
    <row r="18098" spans="1:1" x14ac:dyDescent="0.25">
      <c r="A18098" s="74">
        <v>22890</v>
      </c>
    </row>
    <row r="18099" spans="1:1" x14ac:dyDescent="0.25">
      <c r="A18099" s="74">
        <v>22891</v>
      </c>
    </row>
    <row r="18100" spans="1:1" x14ac:dyDescent="0.25">
      <c r="A18100" s="74">
        <v>22892</v>
      </c>
    </row>
    <row r="18101" spans="1:1" x14ac:dyDescent="0.25">
      <c r="A18101" s="74">
        <v>22893</v>
      </c>
    </row>
    <row r="18102" spans="1:1" x14ac:dyDescent="0.25">
      <c r="A18102" s="74">
        <v>22894</v>
      </c>
    </row>
    <row r="18103" spans="1:1" x14ac:dyDescent="0.25">
      <c r="A18103" s="74">
        <v>22895</v>
      </c>
    </row>
    <row r="18104" spans="1:1" x14ac:dyDescent="0.25">
      <c r="A18104" s="74">
        <v>22896</v>
      </c>
    </row>
    <row r="18105" spans="1:1" x14ac:dyDescent="0.25">
      <c r="A18105" s="74">
        <v>22897</v>
      </c>
    </row>
    <row r="18106" spans="1:1" x14ac:dyDescent="0.25">
      <c r="A18106" s="74">
        <v>22898</v>
      </c>
    </row>
    <row r="18107" spans="1:1" x14ac:dyDescent="0.25">
      <c r="A18107" s="74">
        <v>22899</v>
      </c>
    </row>
    <row r="18108" spans="1:1" x14ac:dyDescent="0.25">
      <c r="A18108" s="74">
        <v>22900</v>
      </c>
    </row>
    <row r="18109" spans="1:1" x14ac:dyDescent="0.25">
      <c r="A18109" s="74">
        <v>22901</v>
      </c>
    </row>
    <row r="18110" spans="1:1" x14ac:dyDescent="0.25">
      <c r="A18110" s="74">
        <v>22902</v>
      </c>
    </row>
    <row r="18111" spans="1:1" x14ac:dyDescent="0.25">
      <c r="A18111" s="74">
        <v>22903</v>
      </c>
    </row>
    <row r="18112" spans="1:1" x14ac:dyDescent="0.25">
      <c r="A18112" s="74">
        <v>22904</v>
      </c>
    </row>
    <row r="18113" spans="1:1" x14ac:dyDescent="0.25">
      <c r="A18113" s="74">
        <v>22905</v>
      </c>
    </row>
    <row r="18114" spans="1:1" x14ac:dyDescent="0.25">
      <c r="A18114" s="74">
        <v>22906</v>
      </c>
    </row>
    <row r="18115" spans="1:1" x14ac:dyDescent="0.25">
      <c r="A18115" s="74">
        <v>22907</v>
      </c>
    </row>
    <row r="18116" spans="1:1" x14ac:dyDescent="0.25">
      <c r="A18116" s="74">
        <v>22908</v>
      </c>
    </row>
    <row r="18117" spans="1:1" x14ac:dyDescent="0.25">
      <c r="A18117" s="74">
        <v>22909</v>
      </c>
    </row>
    <row r="18118" spans="1:1" x14ac:dyDescent="0.25">
      <c r="A18118" s="74">
        <v>22910</v>
      </c>
    </row>
    <row r="18119" spans="1:1" x14ac:dyDescent="0.25">
      <c r="A18119" s="74">
        <v>22911</v>
      </c>
    </row>
    <row r="18120" spans="1:1" x14ac:dyDescent="0.25">
      <c r="A18120" s="74">
        <v>22912</v>
      </c>
    </row>
    <row r="18121" spans="1:1" x14ac:dyDescent="0.25">
      <c r="A18121" s="74">
        <v>22913</v>
      </c>
    </row>
    <row r="18122" spans="1:1" x14ac:dyDescent="0.25">
      <c r="A18122" s="74">
        <v>22914</v>
      </c>
    </row>
    <row r="18123" spans="1:1" x14ac:dyDescent="0.25">
      <c r="A18123" s="74">
        <v>22915</v>
      </c>
    </row>
    <row r="18124" spans="1:1" x14ac:dyDescent="0.25">
      <c r="A18124" s="74">
        <v>22916</v>
      </c>
    </row>
    <row r="18125" spans="1:1" x14ac:dyDescent="0.25">
      <c r="A18125" s="74">
        <v>22917</v>
      </c>
    </row>
    <row r="18126" spans="1:1" x14ac:dyDescent="0.25">
      <c r="A18126" s="74">
        <v>22918</v>
      </c>
    </row>
    <row r="18127" spans="1:1" x14ac:dyDescent="0.25">
      <c r="A18127" s="74">
        <v>22919</v>
      </c>
    </row>
    <row r="18128" spans="1:1" x14ac:dyDescent="0.25">
      <c r="A18128" s="74">
        <v>22920</v>
      </c>
    </row>
    <row r="18129" spans="1:1" x14ac:dyDescent="0.25">
      <c r="A18129" s="74">
        <v>22921</v>
      </c>
    </row>
    <row r="18130" spans="1:1" x14ac:dyDescent="0.25">
      <c r="A18130" s="74">
        <v>22922</v>
      </c>
    </row>
    <row r="18131" spans="1:1" x14ac:dyDescent="0.25">
      <c r="A18131" s="74">
        <v>22923</v>
      </c>
    </row>
    <row r="18132" spans="1:1" x14ac:dyDescent="0.25">
      <c r="A18132" s="74">
        <v>22924</v>
      </c>
    </row>
    <row r="18133" spans="1:1" x14ac:dyDescent="0.25">
      <c r="A18133" s="74">
        <v>22925</v>
      </c>
    </row>
    <row r="18134" spans="1:1" x14ac:dyDescent="0.25">
      <c r="A18134" s="74">
        <v>22926</v>
      </c>
    </row>
    <row r="18135" spans="1:1" x14ac:dyDescent="0.25">
      <c r="A18135" s="74">
        <v>22927</v>
      </c>
    </row>
    <row r="18136" spans="1:1" x14ac:dyDescent="0.25">
      <c r="A18136" s="74">
        <v>22928</v>
      </c>
    </row>
    <row r="18137" spans="1:1" x14ac:dyDescent="0.25">
      <c r="A18137" s="74">
        <v>22929</v>
      </c>
    </row>
    <row r="18138" spans="1:1" x14ac:dyDescent="0.25">
      <c r="A18138" s="74">
        <v>22930</v>
      </c>
    </row>
    <row r="18139" spans="1:1" x14ac:dyDescent="0.25">
      <c r="A18139" s="74">
        <v>22931</v>
      </c>
    </row>
    <row r="18140" spans="1:1" x14ac:dyDescent="0.25">
      <c r="A18140" s="74">
        <v>22932</v>
      </c>
    </row>
    <row r="18141" spans="1:1" x14ac:dyDescent="0.25">
      <c r="A18141" s="74">
        <v>22933</v>
      </c>
    </row>
    <row r="18142" spans="1:1" x14ac:dyDescent="0.25">
      <c r="A18142" s="74">
        <v>22934</v>
      </c>
    </row>
    <row r="18143" spans="1:1" x14ac:dyDescent="0.25">
      <c r="A18143" s="74">
        <v>22935</v>
      </c>
    </row>
    <row r="18144" spans="1:1" x14ac:dyDescent="0.25">
      <c r="A18144" s="74">
        <v>22936</v>
      </c>
    </row>
    <row r="18145" spans="1:1" x14ac:dyDescent="0.25">
      <c r="A18145" s="74">
        <v>22937</v>
      </c>
    </row>
    <row r="18146" spans="1:1" x14ac:dyDescent="0.25">
      <c r="A18146" s="74">
        <v>22938</v>
      </c>
    </row>
    <row r="18147" spans="1:1" x14ac:dyDescent="0.25">
      <c r="A18147" s="74">
        <v>22939</v>
      </c>
    </row>
    <row r="18148" spans="1:1" x14ac:dyDescent="0.25">
      <c r="A18148" s="74">
        <v>22940</v>
      </c>
    </row>
    <row r="18149" spans="1:1" x14ac:dyDescent="0.25">
      <c r="A18149" s="74">
        <v>22941</v>
      </c>
    </row>
    <row r="18150" spans="1:1" x14ac:dyDescent="0.25">
      <c r="A18150" s="74">
        <v>22942</v>
      </c>
    </row>
    <row r="18151" spans="1:1" x14ac:dyDescent="0.25">
      <c r="A18151" s="74">
        <v>22943</v>
      </c>
    </row>
    <row r="18152" spans="1:1" x14ac:dyDescent="0.25">
      <c r="A18152" s="74">
        <v>22944</v>
      </c>
    </row>
    <row r="18153" spans="1:1" x14ac:dyDescent="0.25">
      <c r="A18153" s="74">
        <v>22945</v>
      </c>
    </row>
    <row r="18154" spans="1:1" x14ac:dyDescent="0.25">
      <c r="A18154" s="74">
        <v>22946</v>
      </c>
    </row>
    <row r="18155" spans="1:1" x14ac:dyDescent="0.25">
      <c r="A18155" s="74">
        <v>22947</v>
      </c>
    </row>
    <row r="18156" spans="1:1" x14ac:dyDescent="0.25">
      <c r="A18156" s="74">
        <v>22948</v>
      </c>
    </row>
    <row r="18157" spans="1:1" x14ac:dyDescent="0.25">
      <c r="A18157" s="74">
        <v>22949</v>
      </c>
    </row>
    <row r="18158" spans="1:1" x14ac:dyDescent="0.25">
      <c r="A18158" s="74">
        <v>22950</v>
      </c>
    </row>
    <row r="18159" spans="1:1" x14ac:dyDescent="0.25">
      <c r="A18159" s="74">
        <v>22951</v>
      </c>
    </row>
    <row r="18160" spans="1:1" x14ac:dyDescent="0.25">
      <c r="A18160" s="74">
        <v>22952</v>
      </c>
    </row>
    <row r="18161" spans="1:1" x14ac:dyDescent="0.25">
      <c r="A18161" s="74">
        <v>22953</v>
      </c>
    </row>
    <row r="18162" spans="1:1" x14ac:dyDescent="0.25">
      <c r="A18162" s="74">
        <v>22954</v>
      </c>
    </row>
    <row r="18163" spans="1:1" x14ac:dyDescent="0.25">
      <c r="A18163" s="74">
        <v>22955</v>
      </c>
    </row>
    <row r="18164" spans="1:1" x14ac:dyDescent="0.25">
      <c r="A18164" s="74">
        <v>22956</v>
      </c>
    </row>
    <row r="18165" spans="1:1" x14ac:dyDescent="0.25">
      <c r="A18165" s="74">
        <v>22957</v>
      </c>
    </row>
    <row r="18166" spans="1:1" x14ac:dyDescent="0.25">
      <c r="A18166" s="74">
        <v>22958</v>
      </c>
    </row>
    <row r="18167" spans="1:1" x14ac:dyDescent="0.25">
      <c r="A18167" s="74">
        <v>22959</v>
      </c>
    </row>
    <row r="18168" spans="1:1" x14ac:dyDescent="0.25">
      <c r="A18168" s="74">
        <v>22960</v>
      </c>
    </row>
    <row r="18169" spans="1:1" x14ac:dyDescent="0.25">
      <c r="A18169" s="74">
        <v>22961</v>
      </c>
    </row>
    <row r="18170" spans="1:1" x14ac:dyDescent="0.25">
      <c r="A18170" s="74">
        <v>22962</v>
      </c>
    </row>
    <row r="18171" spans="1:1" x14ac:dyDescent="0.25">
      <c r="A18171" s="74">
        <v>22963</v>
      </c>
    </row>
    <row r="18172" spans="1:1" x14ac:dyDescent="0.25">
      <c r="A18172" s="74">
        <v>22964</v>
      </c>
    </row>
    <row r="18173" spans="1:1" x14ac:dyDescent="0.25">
      <c r="A18173" s="74">
        <v>22965</v>
      </c>
    </row>
    <row r="18174" spans="1:1" x14ac:dyDescent="0.25">
      <c r="A18174" s="74">
        <v>22966</v>
      </c>
    </row>
    <row r="18175" spans="1:1" x14ac:dyDescent="0.25">
      <c r="A18175" s="74">
        <v>22967</v>
      </c>
    </row>
    <row r="18176" spans="1:1" x14ac:dyDescent="0.25">
      <c r="A18176" s="74">
        <v>22968</v>
      </c>
    </row>
    <row r="18177" spans="1:1" x14ac:dyDescent="0.25">
      <c r="A18177" s="74">
        <v>22969</v>
      </c>
    </row>
    <row r="18178" spans="1:1" x14ac:dyDescent="0.25">
      <c r="A18178" s="74">
        <v>22970</v>
      </c>
    </row>
    <row r="18179" spans="1:1" x14ac:dyDescent="0.25">
      <c r="A18179" s="74">
        <v>22971</v>
      </c>
    </row>
    <row r="18180" spans="1:1" x14ac:dyDescent="0.25">
      <c r="A18180" s="74">
        <v>22972</v>
      </c>
    </row>
    <row r="18181" spans="1:1" x14ac:dyDescent="0.25">
      <c r="A18181" s="74">
        <v>22973</v>
      </c>
    </row>
    <row r="18182" spans="1:1" x14ac:dyDescent="0.25">
      <c r="A18182" s="74">
        <v>22974</v>
      </c>
    </row>
    <row r="18183" spans="1:1" x14ac:dyDescent="0.25">
      <c r="A18183" s="74">
        <v>22975</v>
      </c>
    </row>
    <row r="18184" spans="1:1" x14ac:dyDescent="0.25">
      <c r="A18184" s="74">
        <v>22976</v>
      </c>
    </row>
    <row r="18185" spans="1:1" x14ac:dyDescent="0.25">
      <c r="A18185" s="74">
        <v>22977</v>
      </c>
    </row>
    <row r="18186" spans="1:1" x14ac:dyDescent="0.25">
      <c r="A18186" s="74">
        <v>22978</v>
      </c>
    </row>
    <row r="18187" spans="1:1" x14ac:dyDescent="0.25">
      <c r="A18187" s="74">
        <v>22979</v>
      </c>
    </row>
    <row r="18188" spans="1:1" x14ac:dyDescent="0.25">
      <c r="A18188" s="74">
        <v>22980</v>
      </c>
    </row>
    <row r="18189" spans="1:1" x14ac:dyDescent="0.25">
      <c r="A18189" s="74">
        <v>22981</v>
      </c>
    </row>
    <row r="18190" spans="1:1" x14ac:dyDescent="0.25">
      <c r="A18190" s="74">
        <v>22982</v>
      </c>
    </row>
    <row r="18191" spans="1:1" x14ac:dyDescent="0.25">
      <c r="A18191" s="74">
        <v>22983</v>
      </c>
    </row>
    <row r="18192" spans="1:1" x14ac:dyDescent="0.25">
      <c r="A18192" s="74">
        <v>22984</v>
      </c>
    </row>
    <row r="18193" spans="1:1" x14ac:dyDescent="0.25">
      <c r="A18193" s="74">
        <v>22985</v>
      </c>
    </row>
    <row r="18194" spans="1:1" x14ac:dyDescent="0.25">
      <c r="A18194" s="74">
        <v>22986</v>
      </c>
    </row>
    <row r="18195" spans="1:1" x14ac:dyDescent="0.25">
      <c r="A18195" s="74">
        <v>22987</v>
      </c>
    </row>
    <row r="18196" spans="1:1" x14ac:dyDescent="0.25">
      <c r="A18196" s="74">
        <v>22988</v>
      </c>
    </row>
    <row r="18197" spans="1:1" x14ac:dyDescent="0.25">
      <c r="A18197" s="74">
        <v>22989</v>
      </c>
    </row>
    <row r="18198" spans="1:1" x14ac:dyDescent="0.25">
      <c r="A18198" s="74">
        <v>22990</v>
      </c>
    </row>
    <row r="18199" spans="1:1" x14ac:dyDescent="0.25">
      <c r="A18199" s="74">
        <v>22991</v>
      </c>
    </row>
    <row r="18200" spans="1:1" x14ac:dyDescent="0.25">
      <c r="A18200" s="74">
        <v>22992</v>
      </c>
    </row>
    <row r="18201" spans="1:1" x14ac:dyDescent="0.25">
      <c r="A18201" s="74">
        <v>22993</v>
      </c>
    </row>
    <row r="18202" spans="1:1" x14ac:dyDescent="0.25">
      <c r="A18202" s="74">
        <v>22994</v>
      </c>
    </row>
    <row r="18203" spans="1:1" x14ac:dyDescent="0.25">
      <c r="A18203" s="74">
        <v>22995</v>
      </c>
    </row>
    <row r="18204" spans="1:1" x14ac:dyDescent="0.25">
      <c r="A18204" s="74">
        <v>22996</v>
      </c>
    </row>
    <row r="18205" spans="1:1" x14ac:dyDescent="0.25">
      <c r="A18205" s="74">
        <v>22997</v>
      </c>
    </row>
    <row r="18206" spans="1:1" x14ac:dyDescent="0.25">
      <c r="A18206" s="74">
        <v>22998</v>
      </c>
    </row>
    <row r="18207" spans="1:1" x14ac:dyDescent="0.25">
      <c r="A18207" s="74">
        <v>22999</v>
      </c>
    </row>
    <row r="18208" spans="1:1" x14ac:dyDescent="0.25">
      <c r="A18208" s="74">
        <v>23000</v>
      </c>
    </row>
    <row r="18209" spans="1:1" x14ac:dyDescent="0.25">
      <c r="A18209" s="74">
        <v>23001</v>
      </c>
    </row>
    <row r="18210" spans="1:1" x14ac:dyDescent="0.25">
      <c r="A18210" s="74">
        <v>23002</v>
      </c>
    </row>
    <row r="18211" spans="1:1" x14ac:dyDescent="0.25">
      <c r="A18211" s="74">
        <v>23003</v>
      </c>
    </row>
    <row r="18212" spans="1:1" x14ac:dyDescent="0.25">
      <c r="A18212" s="74">
        <v>23004</v>
      </c>
    </row>
    <row r="18213" spans="1:1" x14ac:dyDescent="0.25">
      <c r="A18213" s="74">
        <v>23005</v>
      </c>
    </row>
    <row r="18214" spans="1:1" x14ac:dyDescent="0.25">
      <c r="A18214" s="74">
        <v>23006</v>
      </c>
    </row>
    <row r="18215" spans="1:1" x14ac:dyDescent="0.25">
      <c r="A18215" s="74">
        <v>23007</v>
      </c>
    </row>
    <row r="18216" spans="1:1" x14ac:dyDescent="0.25">
      <c r="A18216" s="74">
        <v>23008</v>
      </c>
    </row>
    <row r="18217" spans="1:1" x14ac:dyDescent="0.25">
      <c r="A18217" s="74">
        <v>23009</v>
      </c>
    </row>
    <row r="18218" spans="1:1" x14ac:dyDescent="0.25">
      <c r="A18218" s="74">
        <v>23010</v>
      </c>
    </row>
    <row r="18219" spans="1:1" x14ac:dyDescent="0.25">
      <c r="A18219" s="74">
        <v>23011</v>
      </c>
    </row>
    <row r="18220" spans="1:1" x14ac:dyDescent="0.25">
      <c r="A18220" s="74">
        <v>23012</v>
      </c>
    </row>
    <row r="18221" spans="1:1" x14ac:dyDescent="0.25">
      <c r="A18221" s="74">
        <v>23013</v>
      </c>
    </row>
    <row r="18222" spans="1:1" x14ac:dyDescent="0.25">
      <c r="A18222" s="74">
        <v>23014</v>
      </c>
    </row>
    <row r="18223" spans="1:1" x14ac:dyDescent="0.25">
      <c r="A18223" s="74">
        <v>23015</v>
      </c>
    </row>
    <row r="18224" spans="1:1" x14ac:dyDescent="0.25">
      <c r="A18224" s="74">
        <v>23016</v>
      </c>
    </row>
    <row r="18225" spans="1:1" x14ac:dyDescent="0.25">
      <c r="A18225" s="74">
        <v>23017</v>
      </c>
    </row>
    <row r="18226" spans="1:1" x14ac:dyDescent="0.25">
      <c r="A18226" s="74">
        <v>23018</v>
      </c>
    </row>
    <row r="18227" spans="1:1" x14ac:dyDescent="0.25">
      <c r="A18227" s="74">
        <v>23019</v>
      </c>
    </row>
    <row r="18228" spans="1:1" x14ac:dyDescent="0.25">
      <c r="A18228" s="74">
        <v>23020</v>
      </c>
    </row>
    <row r="18229" spans="1:1" x14ac:dyDescent="0.25">
      <c r="A18229" s="74">
        <v>23021</v>
      </c>
    </row>
    <row r="18230" spans="1:1" x14ac:dyDescent="0.25">
      <c r="A18230" s="74">
        <v>23022</v>
      </c>
    </row>
    <row r="18231" spans="1:1" x14ac:dyDescent="0.25">
      <c r="A18231" s="74">
        <v>23023</v>
      </c>
    </row>
    <row r="18232" spans="1:1" x14ac:dyDescent="0.25">
      <c r="A18232" s="74">
        <v>23024</v>
      </c>
    </row>
    <row r="18233" spans="1:1" x14ac:dyDescent="0.25">
      <c r="A18233" s="74">
        <v>23025</v>
      </c>
    </row>
    <row r="18234" spans="1:1" x14ac:dyDescent="0.25">
      <c r="A18234" s="74">
        <v>23026</v>
      </c>
    </row>
    <row r="18235" spans="1:1" x14ac:dyDescent="0.25">
      <c r="A18235" s="74">
        <v>23027</v>
      </c>
    </row>
    <row r="18236" spans="1:1" x14ac:dyDescent="0.25">
      <c r="A18236" s="74">
        <v>23028</v>
      </c>
    </row>
    <row r="18237" spans="1:1" x14ac:dyDescent="0.25">
      <c r="A18237" s="74">
        <v>23029</v>
      </c>
    </row>
    <row r="18238" spans="1:1" x14ac:dyDescent="0.25">
      <c r="A18238" s="74">
        <v>23030</v>
      </c>
    </row>
    <row r="18239" spans="1:1" x14ac:dyDescent="0.25">
      <c r="A18239" s="74">
        <v>23031</v>
      </c>
    </row>
    <row r="18240" spans="1:1" x14ac:dyDescent="0.25">
      <c r="A18240" s="74">
        <v>23032</v>
      </c>
    </row>
    <row r="18241" spans="1:1" x14ac:dyDescent="0.25">
      <c r="A18241" s="74">
        <v>23033</v>
      </c>
    </row>
    <row r="18242" spans="1:1" x14ac:dyDescent="0.25">
      <c r="A18242" s="74">
        <v>23034</v>
      </c>
    </row>
    <row r="18243" spans="1:1" x14ac:dyDescent="0.25">
      <c r="A18243" s="74">
        <v>23035</v>
      </c>
    </row>
    <row r="18244" spans="1:1" x14ac:dyDescent="0.25">
      <c r="A18244" s="74">
        <v>23036</v>
      </c>
    </row>
    <row r="18245" spans="1:1" x14ac:dyDescent="0.25">
      <c r="A18245" s="74">
        <v>23037</v>
      </c>
    </row>
    <row r="18246" spans="1:1" x14ac:dyDescent="0.25">
      <c r="A18246" s="74">
        <v>23038</v>
      </c>
    </row>
    <row r="18247" spans="1:1" x14ac:dyDescent="0.25">
      <c r="A18247" s="74">
        <v>23039</v>
      </c>
    </row>
    <row r="18248" spans="1:1" x14ac:dyDescent="0.25">
      <c r="A18248" s="74">
        <v>23040</v>
      </c>
    </row>
    <row r="18249" spans="1:1" x14ac:dyDescent="0.25">
      <c r="A18249" s="74">
        <v>23041</v>
      </c>
    </row>
    <row r="18250" spans="1:1" x14ac:dyDescent="0.25">
      <c r="A18250" s="74">
        <v>23042</v>
      </c>
    </row>
    <row r="18251" spans="1:1" x14ac:dyDescent="0.25">
      <c r="A18251" s="74">
        <v>23043</v>
      </c>
    </row>
    <row r="18252" spans="1:1" x14ac:dyDescent="0.25">
      <c r="A18252" s="74">
        <v>23044</v>
      </c>
    </row>
    <row r="18253" spans="1:1" x14ac:dyDescent="0.25">
      <c r="A18253" s="74">
        <v>23045</v>
      </c>
    </row>
    <row r="18254" spans="1:1" x14ac:dyDescent="0.25">
      <c r="A18254" s="74">
        <v>23046</v>
      </c>
    </row>
    <row r="18255" spans="1:1" x14ac:dyDescent="0.25">
      <c r="A18255" s="74">
        <v>23047</v>
      </c>
    </row>
    <row r="18256" spans="1:1" x14ac:dyDescent="0.25">
      <c r="A18256" s="74">
        <v>23048</v>
      </c>
    </row>
    <row r="18257" spans="1:1" x14ac:dyDescent="0.25">
      <c r="A18257" s="74">
        <v>23049</v>
      </c>
    </row>
    <row r="18258" spans="1:1" x14ac:dyDescent="0.25">
      <c r="A18258" s="74">
        <v>23050</v>
      </c>
    </row>
    <row r="18259" spans="1:1" x14ac:dyDescent="0.25">
      <c r="A18259" s="74">
        <v>23051</v>
      </c>
    </row>
    <row r="18260" spans="1:1" x14ac:dyDescent="0.25">
      <c r="A18260" s="74">
        <v>23052</v>
      </c>
    </row>
    <row r="18261" spans="1:1" x14ac:dyDescent="0.25">
      <c r="A18261" s="74">
        <v>23053</v>
      </c>
    </row>
    <row r="18262" spans="1:1" x14ac:dyDescent="0.25">
      <c r="A18262" s="74">
        <v>23054</v>
      </c>
    </row>
    <row r="18263" spans="1:1" x14ac:dyDescent="0.25">
      <c r="A18263" s="74">
        <v>23055</v>
      </c>
    </row>
    <row r="18264" spans="1:1" x14ac:dyDescent="0.25">
      <c r="A18264" s="74">
        <v>23056</v>
      </c>
    </row>
    <row r="18265" spans="1:1" x14ac:dyDescent="0.25">
      <c r="A18265" s="74">
        <v>23057</v>
      </c>
    </row>
    <row r="18266" spans="1:1" x14ac:dyDescent="0.25">
      <c r="A18266" s="74">
        <v>23058</v>
      </c>
    </row>
    <row r="18267" spans="1:1" x14ac:dyDescent="0.25">
      <c r="A18267" s="74">
        <v>23059</v>
      </c>
    </row>
    <row r="18268" spans="1:1" x14ac:dyDescent="0.25">
      <c r="A18268" s="74">
        <v>23060</v>
      </c>
    </row>
    <row r="18269" spans="1:1" x14ac:dyDescent="0.25">
      <c r="A18269" s="74">
        <v>23061</v>
      </c>
    </row>
    <row r="18270" spans="1:1" x14ac:dyDescent="0.25">
      <c r="A18270" s="74">
        <v>23062</v>
      </c>
    </row>
    <row r="18271" spans="1:1" x14ac:dyDescent="0.25">
      <c r="A18271" s="74">
        <v>23063</v>
      </c>
    </row>
    <row r="18272" spans="1:1" x14ac:dyDescent="0.25">
      <c r="A18272" s="74">
        <v>23064</v>
      </c>
    </row>
    <row r="18273" spans="1:1" x14ac:dyDescent="0.25">
      <c r="A18273" s="74">
        <v>23065</v>
      </c>
    </row>
    <row r="18274" spans="1:1" x14ac:dyDescent="0.25">
      <c r="A18274" s="74">
        <v>23066</v>
      </c>
    </row>
    <row r="18275" spans="1:1" x14ac:dyDescent="0.25">
      <c r="A18275" s="74">
        <v>23067</v>
      </c>
    </row>
    <row r="18276" spans="1:1" x14ac:dyDescent="0.25">
      <c r="A18276" s="74">
        <v>23068</v>
      </c>
    </row>
    <row r="18277" spans="1:1" x14ac:dyDescent="0.25">
      <c r="A18277" s="74">
        <v>23069</v>
      </c>
    </row>
    <row r="18278" spans="1:1" x14ac:dyDescent="0.25">
      <c r="A18278" s="74">
        <v>23070</v>
      </c>
    </row>
    <row r="18279" spans="1:1" x14ac:dyDescent="0.25">
      <c r="A18279" s="74">
        <v>23071</v>
      </c>
    </row>
    <row r="18280" spans="1:1" x14ac:dyDescent="0.25">
      <c r="A18280" s="74">
        <v>23072</v>
      </c>
    </row>
    <row r="18281" spans="1:1" x14ac:dyDescent="0.25">
      <c r="A18281" s="74">
        <v>23073</v>
      </c>
    </row>
    <row r="18282" spans="1:1" x14ac:dyDescent="0.25">
      <c r="A18282" s="74">
        <v>23074</v>
      </c>
    </row>
    <row r="18283" spans="1:1" x14ac:dyDescent="0.25">
      <c r="A18283" s="74">
        <v>23075</v>
      </c>
    </row>
    <row r="18284" spans="1:1" x14ac:dyDescent="0.25">
      <c r="A18284" s="74">
        <v>23076</v>
      </c>
    </row>
    <row r="18285" spans="1:1" x14ac:dyDescent="0.25">
      <c r="A18285" s="74">
        <v>23077</v>
      </c>
    </row>
    <row r="18286" spans="1:1" x14ac:dyDescent="0.25">
      <c r="A18286" s="74">
        <v>23078</v>
      </c>
    </row>
    <row r="18287" spans="1:1" x14ac:dyDescent="0.25">
      <c r="A18287" s="74">
        <v>23079</v>
      </c>
    </row>
    <row r="18288" spans="1:1" x14ac:dyDescent="0.25">
      <c r="A18288" s="74">
        <v>23080</v>
      </c>
    </row>
    <row r="18289" spans="1:1" x14ac:dyDescent="0.25">
      <c r="A18289" s="74">
        <v>23081</v>
      </c>
    </row>
    <row r="18290" spans="1:1" x14ac:dyDescent="0.25">
      <c r="A18290" s="74">
        <v>23082</v>
      </c>
    </row>
    <row r="18291" spans="1:1" x14ac:dyDescent="0.25">
      <c r="A18291" s="74">
        <v>23083</v>
      </c>
    </row>
    <row r="18292" spans="1:1" x14ac:dyDescent="0.25">
      <c r="A18292" s="74">
        <v>23084</v>
      </c>
    </row>
    <row r="18293" spans="1:1" x14ac:dyDescent="0.25">
      <c r="A18293" s="74">
        <v>23085</v>
      </c>
    </row>
    <row r="18294" spans="1:1" x14ac:dyDescent="0.25">
      <c r="A18294" s="74">
        <v>23086</v>
      </c>
    </row>
    <row r="18295" spans="1:1" x14ac:dyDescent="0.25">
      <c r="A18295" s="74">
        <v>23087</v>
      </c>
    </row>
    <row r="18296" spans="1:1" x14ac:dyDescent="0.25">
      <c r="A18296" s="74">
        <v>23088</v>
      </c>
    </row>
    <row r="18297" spans="1:1" x14ac:dyDescent="0.25">
      <c r="A18297" s="74">
        <v>23089</v>
      </c>
    </row>
    <row r="18298" spans="1:1" x14ac:dyDescent="0.25">
      <c r="A18298" s="74">
        <v>23090</v>
      </c>
    </row>
    <row r="18299" spans="1:1" x14ac:dyDescent="0.25">
      <c r="A18299" s="74">
        <v>23091</v>
      </c>
    </row>
    <row r="18300" spans="1:1" x14ac:dyDescent="0.25">
      <c r="A18300" s="74">
        <v>23092</v>
      </c>
    </row>
    <row r="18301" spans="1:1" x14ac:dyDescent="0.25">
      <c r="A18301" s="74">
        <v>23093</v>
      </c>
    </row>
    <row r="18302" spans="1:1" x14ac:dyDescent="0.25">
      <c r="A18302" s="74">
        <v>23094</v>
      </c>
    </row>
    <row r="18303" spans="1:1" x14ac:dyDescent="0.25">
      <c r="A18303" s="74">
        <v>23095</v>
      </c>
    </row>
    <row r="18304" spans="1:1" x14ac:dyDescent="0.25">
      <c r="A18304" s="74">
        <v>23096</v>
      </c>
    </row>
    <row r="18305" spans="1:1" x14ac:dyDescent="0.25">
      <c r="A18305" s="74">
        <v>23097</v>
      </c>
    </row>
    <row r="18306" spans="1:1" x14ac:dyDescent="0.25">
      <c r="A18306" s="74">
        <v>23098</v>
      </c>
    </row>
    <row r="18307" spans="1:1" x14ac:dyDescent="0.25">
      <c r="A18307" s="74">
        <v>23099</v>
      </c>
    </row>
    <row r="18308" spans="1:1" x14ac:dyDescent="0.25">
      <c r="A18308" s="74">
        <v>23100</v>
      </c>
    </row>
    <row r="18309" spans="1:1" x14ac:dyDescent="0.25">
      <c r="A18309" s="74">
        <v>23101</v>
      </c>
    </row>
    <row r="18310" spans="1:1" x14ac:dyDescent="0.25">
      <c r="A18310" s="74">
        <v>23102</v>
      </c>
    </row>
    <row r="18311" spans="1:1" x14ac:dyDescent="0.25">
      <c r="A18311" s="74">
        <v>23103</v>
      </c>
    </row>
    <row r="18312" spans="1:1" x14ac:dyDescent="0.25">
      <c r="A18312" s="74">
        <v>23104</v>
      </c>
    </row>
    <row r="18313" spans="1:1" x14ac:dyDescent="0.25">
      <c r="A18313" s="74">
        <v>23105</v>
      </c>
    </row>
    <row r="18314" spans="1:1" x14ac:dyDescent="0.25">
      <c r="A18314" s="74">
        <v>23106</v>
      </c>
    </row>
    <row r="18315" spans="1:1" x14ac:dyDescent="0.25">
      <c r="A18315" s="74">
        <v>23107</v>
      </c>
    </row>
    <row r="18316" spans="1:1" x14ac:dyDescent="0.25">
      <c r="A18316" s="74">
        <v>23108</v>
      </c>
    </row>
    <row r="18317" spans="1:1" x14ac:dyDescent="0.25">
      <c r="A18317" s="74">
        <v>23109</v>
      </c>
    </row>
    <row r="18318" spans="1:1" x14ac:dyDescent="0.25">
      <c r="A18318" s="74">
        <v>23110</v>
      </c>
    </row>
    <row r="18319" spans="1:1" x14ac:dyDescent="0.25">
      <c r="A18319" s="74">
        <v>23111</v>
      </c>
    </row>
    <row r="18320" spans="1:1" x14ac:dyDescent="0.25">
      <c r="A18320" s="74">
        <v>23112</v>
      </c>
    </row>
    <row r="18321" spans="1:1" x14ac:dyDescent="0.25">
      <c r="A18321" s="74">
        <v>23113</v>
      </c>
    </row>
    <row r="18322" spans="1:1" x14ac:dyDescent="0.25">
      <c r="A18322" s="74">
        <v>23114</v>
      </c>
    </row>
    <row r="18323" spans="1:1" x14ac:dyDescent="0.25">
      <c r="A18323" s="74">
        <v>23115</v>
      </c>
    </row>
    <row r="18324" spans="1:1" x14ac:dyDescent="0.25">
      <c r="A18324" s="74">
        <v>23116</v>
      </c>
    </row>
    <row r="18325" spans="1:1" x14ac:dyDescent="0.25">
      <c r="A18325" s="74">
        <v>23117</v>
      </c>
    </row>
    <row r="18326" spans="1:1" x14ac:dyDescent="0.25">
      <c r="A18326" s="74">
        <v>23118</v>
      </c>
    </row>
    <row r="18327" spans="1:1" x14ac:dyDescent="0.25">
      <c r="A18327" s="74">
        <v>23119</v>
      </c>
    </row>
    <row r="18328" spans="1:1" x14ac:dyDescent="0.25">
      <c r="A18328" s="74">
        <v>23120</v>
      </c>
    </row>
    <row r="18329" spans="1:1" x14ac:dyDescent="0.25">
      <c r="A18329" s="74">
        <v>23121</v>
      </c>
    </row>
    <row r="18330" spans="1:1" x14ac:dyDescent="0.25">
      <c r="A18330" s="74">
        <v>23122</v>
      </c>
    </row>
    <row r="18331" spans="1:1" x14ac:dyDescent="0.25">
      <c r="A18331" s="74">
        <v>23123</v>
      </c>
    </row>
    <row r="18332" spans="1:1" x14ac:dyDescent="0.25">
      <c r="A18332" s="74">
        <v>23124</v>
      </c>
    </row>
    <row r="18333" spans="1:1" x14ac:dyDescent="0.25">
      <c r="A18333" s="74">
        <v>23125</v>
      </c>
    </row>
    <row r="18334" spans="1:1" x14ac:dyDescent="0.25">
      <c r="A18334" s="74">
        <v>23126</v>
      </c>
    </row>
    <row r="18335" spans="1:1" x14ac:dyDescent="0.25">
      <c r="A18335" s="74">
        <v>23127</v>
      </c>
    </row>
    <row r="18336" spans="1:1" x14ac:dyDescent="0.25">
      <c r="A18336" s="74">
        <v>23128</v>
      </c>
    </row>
    <row r="18337" spans="1:1" x14ac:dyDescent="0.25">
      <c r="A18337" s="74">
        <v>23129</v>
      </c>
    </row>
    <row r="18338" spans="1:1" x14ac:dyDescent="0.25">
      <c r="A18338" s="74">
        <v>23130</v>
      </c>
    </row>
    <row r="18339" spans="1:1" x14ac:dyDescent="0.25">
      <c r="A18339" s="74">
        <v>23131</v>
      </c>
    </row>
    <row r="18340" spans="1:1" x14ac:dyDescent="0.25">
      <c r="A18340" s="74">
        <v>23132</v>
      </c>
    </row>
    <row r="18341" spans="1:1" x14ac:dyDescent="0.25">
      <c r="A18341" s="74">
        <v>23133</v>
      </c>
    </row>
    <row r="18342" spans="1:1" x14ac:dyDescent="0.25">
      <c r="A18342" s="74">
        <v>23134</v>
      </c>
    </row>
    <row r="18343" spans="1:1" x14ac:dyDescent="0.25">
      <c r="A18343" s="74">
        <v>23135</v>
      </c>
    </row>
    <row r="18344" spans="1:1" x14ac:dyDescent="0.25">
      <c r="A18344" s="74">
        <v>23136</v>
      </c>
    </row>
    <row r="18345" spans="1:1" x14ac:dyDescent="0.25">
      <c r="A18345" s="74">
        <v>23137</v>
      </c>
    </row>
    <row r="18346" spans="1:1" x14ac:dyDescent="0.25">
      <c r="A18346" s="74">
        <v>23138</v>
      </c>
    </row>
    <row r="18347" spans="1:1" x14ac:dyDescent="0.25">
      <c r="A18347" s="74">
        <v>23139</v>
      </c>
    </row>
    <row r="18348" spans="1:1" x14ac:dyDescent="0.25">
      <c r="A18348" s="74">
        <v>23140</v>
      </c>
    </row>
    <row r="18349" spans="1:1" x14ac:dyDescent="0.25">
      <c r="A18349" s="74">
        <v>23141</v>
      </c>
    </row>
    <row r="18350" spans="1:1" x14ac:dyDescent="0.25">
      <c r="A18350" s="74">
        <v>23142</v>
      </c>
    </row>
    <row r="18351" spans="1:1" x14ac:dyDescent="0.25">
      <c r="A18351" s="74">
        <v>23143</v>
      </c>
    </row>
    <row r="18352" spans="1:1" x14ac:dyDescent="0.25">
      <c r="A18352" s="74">
        <v>23144</v>
      </c>
    </row>
    <row r="18353" spans="1:1" x14ac:dyDescent="0.25">
      <c r="A18353" s="74">
        <v>23145</v>
      </c>
    </row>
    <row r="18354" spans="1:1" x14ac:dyDescent="0.25">
      <c r="A18354" s="74">
        <v>23146</v>
      </c>
    </row>
    <row r="18355" spans="1:1" x14ac:dyDescent="0.25">
      <c r="A18355" s="74">
        <v>23147</v>
      </c>
    </row>
    <row r="18356" spans="1:1" x14ac:dyDescent="0.25">
      <c r="A18356" s="74">
        <v>23148</v>
      </c>
    </row>
    <row r="18357" spans="1:1" x14ac:dyDescent="0.25">
      <c r="A18357" s="74">
        <v>23149</v>
      </c>
    </row>
    <row r="18358" spans="1:1" x14ac:dyDescent="0.25">
      <c r="A18358" s="74">
        <v>23150</v>
      </c>
    </row>
    <row r="18359" spans="1:1" x14ac:dyDescent="0.25">
      <c r="A18359" s="74">
        <v>23151</v>
      </c>
    </row>
    <row r="18360" spans="1:1" x14ac:dyDescent="0.25">
      <c r="A18360" s="74">
        <v>23152</v>
      </c>
    </row>
    <row r="18361" spans="1:1" x14ac:dyDescent="0.25">
      <c r="A18361" s="74">
        <v>23153</v>
      </c>
    </row>
    <row r="18362" spans="1:1" x14ac:dyDescent="0.25">
      <c r="A18362" s="74">
        <v>23154</v>
      </c>
    </row>
    <row r="18363" spans="1:1" x14ac:dyDescent="0.25">
      <c r="A18363" s="74">
        <v>23155</v>
      </c>
    </row>
    <row r="18364" spans="1:1" x14ac:dyDescent="0.25">
      <c r="A18364" s="74">
        <v>23156</v>
      </c>
    </row>
    <row r="18365" spans="1:1" x14ac:dyDescent="0.25">
      <c r="A18365" s="74">
        <v>23157</v>
      </c>
    </row>
    <row r="18366" spans="1:1" x14ac:dyDescent="0.25">
      <c r="A18366" s="74">
        <v>23158</v>
      </c>
    </row>
    <row r="18367" spans="1:1" x14ac:dyDescent="0.25">
      <c r="A18367" s="74">
        <v>23159</v>
      </c>
    </row>
    <row r="18368" spans="1:1" x14ac:dyDescent="0.25">
      <c r="A18368" s="74">
        <v>23160</v>
      </c>
    </row>
    <row r="18369" spans="1:1" x14ac:dyDescent="0.25">
      <c r="A18369" s="74">
        <v>23161</v>
      </c>
    </row>
    <row r="18370" spans="1:1" x14ac:dyDescent="0.25">
      <c r="A18370" s="74">
        <v>23162</v>
      </c>
    </row>
    <row r="18371" spans="1:1" x14ac:dyDescent="0.25">
      <c r="A18371" s="74">
        <v>23163</v>
      </c>
    </row>
    <row r="18372" spans="1:1" x14ac:dyDescent="0.25">
      <c r="A18372" s="74">
        <v>23164</v>
      </c>
    </row>
    <row r="18373" spans="1:1" x14ac:dyDescent="0.25">
      <c r="A18373" s="74">
        <v>23165</v>
      </c>
    </row>
    <row r="18374" spans="1:1" x14ac:dyDescent="0.25">
      <c r="A18374" s="74">
        <v>23166</v>
      </c>
    </row>
    <row r="18375" spans="1:1" x14ac:dyDescent="0.25">
      <c r="A18375" s="74">
        <v>23167</v>
      </c>
    </row>
    <row r="18376" spans="1:1" x14ac:dyDescent="0.25">
      <c r="A18376" s="74">
        <v>23168</v>
      </c>
    </row>
    <row r="18377" spans="1:1" x14ac:dyDescent="0.25">
      <c r="A18377" s="74">
        <v>23169</v>
      </c>
    </row>
    <row r="18378" spans="1:1" x14ac:dyDescent="0.25">
      <c r="A18378" s="74">
        <v>23170</v>
      </c>
    </row>
    <row r="18379" spans="1:1" x14ac:dyDescent="0.25">
      <c r="A18379" s="74">
        <v>23171</v>
      </c>
    </row>
    <row r="18380" spans="1:1" x14ac:dyDescent="0.25">
      <c r="A18380" s="74">
        <v>23172</v>
      </c>
    </row>
    <row r="18381" spans="1:1" x14ac:dyDescent="0.25">
      <c r="A18381" s="74">
        <v>23173</v>
      </c>
    </row>
    <row r="18382" spans="1:1" x14ac:dyDescent="0.25">
      <c r="A18382" s="74">
        <v>23174</v>
      </c>
    </row>
    <row r="18383" spans="1:1" x14ac:dyDescent="0.25">
      <c r="A18383" s="74">
        <v>23175</v>
      </c>
    </row>
    <row r="18384" spans="1:1" x14ac:dyDescent="0.25">
      <c r="A18384" s="74">
        <v>23176</v>
      </c>
    </row>
    <row r="18385" spans="1:1" x14ac:dyDescent="0.25">
      <c r="A18385" s="74">
        <v>23177</v>
      </c>
    </row>
    <row r="18386" spans="1:1" x14ac:dyDescent="0.25">
      <c r="A18386" s="74">
        <v>23178</v>
      </c>
    </row>
    <row r="18387" spans="1:1" x14ac:dyDescent="0.25">
      <c r="A18387" s="74">
        <v>23179</v>
      </c>
    </row>
    <row r="18388" spans="1:1" x14ac:dyDescent="0.25">
      <c r="A18388" s="74">
        <v>23180</v>
      </c>
    </row>
    <row r="18389" spans="1:1" x14ac:dyDescent="0.25">
      <c r="A18389" s="74">
        <v>23181</v>
      </c>
    </row>
    <row r="18390" spans="1:1" x14ac:dyDescent="0.25">
      <c r="A18390" s="74">
        <v>23182</v>
      </c>
    </row>
    <row r="18391" spans="1:1" x14ac:dyDescent="0.25">
      <c r="A18391" s="74">
        <v>23183</v>
      </c>
    </row>
    <row r="18392" spans="1:1" x14ac:dyDescent="0.25">
      <c r="A18392" s="74">
        <v>23184</v>
      </c>
    </row>
    <row r="18393" spans="1:1" x14ac:dyDescent="0.25">
      <c r="A18393" s="74">
        <v>23185</v>
      </c>
    </row>
    <row r="18394" spans="1:1" x14ac:dyDescent="0.25">
      <c r="A18394" s="74">
        <v>23186</v>
      </c>
    </row>
    <row r="18395" spans="1:1" x14ac:dyDescent="0.25">
      <c r="A18395" s="74">
        <v>23187</v>
      </c>
    </row>
    <row r="18396" spans="1:1" x14ac:dyDescent="0.25">
      <c r="A18396" s="74">
        <v>23188</v>
      </c>
    </row>
    <row r="18397" spans="1:1" x14ac:dyDescent="0.25">
      <c r="A18397" s="74">
        <v>23189</v>
      </c>
    </row>
    <row r="18398" spans="1:1" x14ac:dyDescent="0.25">
      <c r="A18398" s="74">
        <v>23190</v>
      </c>
    </row>
    <row r="18399" spans="1:1" x14ac:dyDescent="0.25">
      <c r="A18399" s="74">
        <v>23191</v>
      </c>
    </row>
    <row r="18400" spans="1:1" x14ac:dyDescent="0.25">
      <c r="A18400" s="74">
        <v>23192</v>
      </c>
    </row>
    <row r="18401" spans="1:1" x14ac:dyDescent="0.25">
      <c r="A18401" s="74">
        <v>23193</v>
      </c>
    </row>
    <row r="18402" spans="1:1" x14ac:dyDescent="0.25">
      <c r="A18402" s="74">
        <v>23194</v>
      </c>
    </row>
    <row r="18403" spans="1:1" x14ac:dyDescent="0.25">
      <c r="A18403" s="74">
        <v>23195</v>
      </c>
    </row>
    <row r="18404" spans="1:1" x14ac:dyDescent="0.25">
      <c r="A18404" s="74">
        <v>23196</v>
      </c>
    </row>
    <row r="18405" spans="1:1" x14ac:dyDescent="0.25">
      <c r="A18405" s="74">
        <v>23197</v>
      </c>
    </row>
    <row r="18406" spans="1:1" x14ac:dyDescent="0.25">
      <c r="A18406" s="74">
        <v>23198</v>
      </c>
    </row>
    <row r="18407" spans="1:1" x14ac:dyDescent="0.25">
      <c r="A18407" s="74">
        <v>23199</v>
      </c>
    </row>
    <row r="18408" spans="1:1" x14ac:dyDescent="0.25">
      <c r="A18408" s="74">
        <v>23200</v>
      </c>
    </row>
    <row r="18409" spans="1:1" x14ac:dyDescent="0.25">
      <c r="A18409" s="74">
        <v>23201</v>
      </c>
    </row>
    <row r="18410" spans="1:1" x14ac:dyDescent="0.25">
      <c r="A18410" s="74">
        <v>23202</v>
      </c>
    </row>
    <row r="18411" spans="1:1" x14ac:dyDescent="0.25">
      <c r="A18411" s="74">
        <v>23203</v>
      </c>
    </row>
    <row r="18412" spans="1:1" x14ac:dyDescent="0.25">
      <c r="A18412" s="74">
        <v>23204</v>
      </c>
    </row>
    <row r="18413" spans="1:1" x14ac:dyDescent="0.25">
      <c r="A18413" s="74">
        <v>23205</v>
      </c>
    </row>
    <row r="18414" spans="1:1" x14ac:dyDescent="0.25">
      <c r="A18414" s="74">
        <v>23206</v>
      </c>
    </row>
    <row r="18415" spans="1:1" x14ac:dyDescent="0.25">
      <c r="A18415" s="74">
        <v>23207</v>
      </c>
    </row>
    <row r="18416" spans="1:1" x14ac:dyDescent="0.25">
      <c r="A18416" s="74">
        <v>23208</v>
      </c>
    </row>
    <row r="18417" spans="1:1" x14ac:dyDescent="0.25">
      <c r="A18417" s="74">
        <v>23209</v>
      </c>
    </row>
    <row r="18418" spans="1:1" x14ac:dyDescent="0.25">
      <c r="A18418" s="74">
        <v>23210</v>
      </c>
    </row>
    <row r="18419" spans="1:1" x14ac:dyDescent="0.25">
      <c r="A18419" s="74">
        <v>23211</v>
      </c>
    </row>
    <row r="18420" spans="1:1" x14ac:dyDescent="0.25">
      <c r="A18420" s="74">
        <v>23212</v>
      </c>
    </row>
    <row r="18421" spans="1:1" x14ac:dyDescent="0.25">
      <c r="A18421" s="74">
        <v>23213</v>
      </c>
    </row>
    <row r="18422" spans="1:1" x14ac:dyDescent="0.25">
      <c r="A18422" s="74">
        <v>23214</v>
      </c>
    </row>
    <row r="18423" spans="1:1" x14ac:dyDescent="0.25">
      <c r="A18423" s="74">
        <v>23215</v>
      </c>
    </row>
    <row r="18424" spans="1:1" x14ac:dyDescent="0.25">
      <c r="A18424" s="74">
        <v>23216</v>
      </c>
    </row>
    <row r="18425" spans="1:1" x14ac:dyDescent="0.25">
      <c r="A18425" s="74">
        <v>23217</v>
      </c>
    </row>
    <row r="18426" spans="1:1" x14ac:dyDescent="0.25">
      <c r="A18426" s="74">
        <v>23218</v>
      </c>
    </row>
    <row r="18427" spans="1:1" x14ac:dyDescent="0.25">
      <c r="A18427" s="74">
        <v>23219</v>
      </c>
    </row>
    <row r="18428" spans="1:1" x14ac:dyDescent="0.25">
      <c r="A18428" s="74">
        <v>23220</v>
      </c>
    </row>
    <row r="18429" spans="1:1" x14ac:dyDescent="0.25">
      <c r="A18429" s="74">
        <v>23221</v>
      </c>
    </row>
    <row r="18430" spans="1:1" x14ac:dyDescent="0.25">
      <c r="A18430" s="74">
        <v>23222</v>
      </c>
    </row>
    <row r="18431" spans="1:1" x14ac:dyDescent="0.25">
      <c r="A18431" s="74">
        <v>23223</v>
      </c>
    </row>
    <row r="18432" spans="1:1" x14ac:dyDescent="0.25">
      <c r="A18432" s="74">
        <v>23224</v>
      </c>
    </row>
    <row r="18433" spans="1:1" x14ac:dyDescent="0.25">
      <c r="A18433" s="74">
        <v>23225</v>
      </c>
    </row>
    <row r="18434" spans="1:1" x14ac:dyDescent="0.25">
      <c r="A18434" s="74">
        <v>23226</v>
      </c>
    </row>
    <row r="18435" spans="1:1" x14ac:dyDescent="0.25">
      <c r="A18435" s="74">
        <v>23227</v>
      </c>
    </row>
    <row r="18436" spans="1:1" x14ac:dyDescent="0.25">
      <c r="A18436" s="74">
        <v>23228</v>
      </c>
    </row>
    <row r="18437" spans="1:1" x14ac:dyDescent="0.25">
      <c r="A18437" s="74">
        <v>23229</v>
      </c>
    </row>
    <row r="18438" spans="1:1" x14ac:dyDescent="0.25">
      <c r="A18438" s="74">
        <v>23230</v>
      </c>
    </row>
    <row r="18439" spans="1:1" x14ac:dyDescent="0.25">
      <c r="A18439" s="74">
        <v>23231</v>
      </c>
    </row>
    <row r="18440" spans="1:1" x14ac:dyDescent="0.25">
      <c r="A18440" s="74">
        <v>23232</v>
      </c>
    </row>
    <row r="18441" spans="1:1" x14ac:dyDescent="0.25">
      <c r="A18441" s="74">
        <v>23233</v>
      </c>
    </row>
    <row r="18442" spans="1:1" x14ac:dyDescent="0.25">
      <c r="A18442" s="74">
        <v>23234</v>
      </c>
    </row>
    <row r="18443" spans="1:1" x14ac:dyDescent="0.25">
      <c r="A18443" s="74">
        <v>23235</v>
      </c>
    </row>
    <row r="18444" spans="1:1" x14ac:dyDescent="0.25">
      <c r="A18444" s="74">
        <v>23236</v>
      </c>
    </row>
    <row r="18445" spans="1:1" x14ac:dyDescent="0.25">
      <c r="A18445" s="74">
        <v>23237</v>
      </c>
    </row>
    <row r="18446" spans="1:1" x14ac:dyDescent="0.25">
      <c r="A18446" s="74">
        <v>23238</v>
      </c>
    </row>
    <row r="18447" spans="1:1" x14ac:dyDescent="0.25">
      <c r="A18447" s="74">
        <v>23239</v>
      </c>
    </row>
    <row r="18448" spans="1:1" x14ac:dyDescent="0.25">
      <c r="A18448" s="74">
        <v>23240</v>
      </c>
    </row>
    <row r="18449" spans="1:1" x14ac:dyDescent="0.25">
      <c r="A18449" s="74">
        <v>23241</v>
      </c>
    </row>
    <row r="18450" spans="1:1" x14ac:dyDescent="0.25">
      <c r="A18450" s="74">
        <v>23242</v>
      </c>
    </row>
    <row r="18451" spans="1:1" x14ac:dyDescent="0.25">
      <c r="A18451" s="74">
        <v>23243</v>
      </c>
    </row>
    <row r="18452" spans="1:1" x14ac:dyDescent="0.25">
      <c r="A18452" s="74">
        <v>23244</v>
      </c>
    </row>
    <row r="18453" spans="1:1" x14ac:dyDescent="0.25">
      <c r="A18453" s="74">
        <v>23245</v>
      </c>
    </row>
    <row r="18454" spans="1:1" x14ac:dyDescent="0.25">
      <c r="A18454" s="74">
        <v>23246</v>
      </c>
    </row>
    <row r="18455" spans="1:1" x14ac:dyDescent="0.25">
      <c r="A18455" s="74">
        <v>23247</v>
      </c>
    </row>
    <row r="18456" spans="1:1" x14ac:dyDescent="0.25">
      <c r="A18456" s="74">
        <v>23248</v>
      </c>
    </row>
    <row r="18457" spans="1:1" x14ac:dyDescent="0.25">
      <c r="A18457" s="74">
        <v>23249</v>
      </c>
    </row>
    <row r="18458" spans="1:1" x14ac:dyDescent="0.25">
      <c r="A18458" s="74">
        <v>23250</v>
      </c>
    </row>
    <row r="18459" spans="1:1" x14ac:dyDescent="0.25">
      <c r="A18459" s="74">
        <v>23251</v>
      </c>
    </row>
    <row r="18460" spans="1:1" x14ac:dyDescent="0.25">
      <c r="A18460" s="74">
        <v>23252</v>
      </c>
    </row>
    <row r="18461" spans="1:1" x14ac:dyDescent="0.25">
      <c r="A18461" s="74">
        <v>23253</v>
      </c>
    </row>
    <row r="18462" spans="1:1" x14ac:dyDescent="0.25">
      <c r="A18462" s="74">
        <v>23254</v>
      </c>
    </row>
    <row r="18463" spans="1:1" x14ac:dyDescent="0.25">
      <c r="A18463" s="74">
        <v>23255</v>
      </c>
    </row>
    <row r="18464" spans="1:1" x14ac:dyDescent="0.25">
      <c r="A18464" s="74">
        <v>23256</v>
      </c>
    </row>
    <row r="18465" spans="1:1" x14ac:dyDescent="0.25">
      <c r="A18465" s="74">
        <v>23257</v>
      </c>
    </row>
    <row r="18466" spans="1:1" x14ac:dyDescent="0.25">
      <c r="A18466" s="74">
        <v>23258</v>
      </c>
    </row>
    <row r="18467" spans="1:1" x14ac:dyDescent="0.25">
      <c r="A18467" s="74">
        <v>23259</v>
      </c>
    </row>
    <row r="18468" spans="1:1" x14ac:dyDescent="0.25">
      <c r="A18468" s="74">
        <v>23260</v>
      </c>
    </row>
    <row r="18469" spans="1:1" x14ac:dyDescent="0.25">
      <c r="A18469" s="74">
        <v>23261</v>
      </c>
    </row>
    <row r="18470" spans="1:1" x14ac:dyDescent="0.25">
      <c r="A18470" s="74">
        <v>23262</v>
      </c>
    </row>
    <row r="18471" spans="1:1" x14ac:dyDescent="0.25">
      <c r="A18471" s="74">
        <v>23263</v>
      </c>
    </row>
    <row r="18472" spans="1:1" x14ac:dyDescent="0.25">
      <c r="A18472" s="74">
        <v>23264</v>
      </c>
    </row>
    <row r="18473" spans="1:1" x14ac:dyDescent="0.25">
      <c r="A18473" s="74">
        <v>23265</v>
      </c>
    </row>
    <row r="18474" spans="1:1" x14ac:dyDescent="0.25">
      <c r="A18474" s="74">
        <v>23266</v>
      </c>
    </row>
    <row r="18475" spans="1:1" x14ac:dyDescent="0.25">
      <c r="A18475" s="74">
        <v>23267</v>
      </c>
    </row>
    <row r="18476" spans="1:1" x14ac:dyDescent="0.25">
      <c r="A18476" s="74">
        <v>23268</v>
      </c>
    </row>
    <row r="18477" spans="1:1" x14ac:dyDescent="0.25">
      <c r="A18477" s="74">
        <v>23269</v>
      </c>
    </row>
    <row r="18478" spans="1:1" x14ac:dyDescent="0.25">
      <c r="A18478" s="74">
        <v>23270</v>
      </c>
    </row>
    <row r="18479" spans="1:1" x14ac:dyDescent="0.25">
      <c r="A18479" s="74">
        <v>23271</v>
      </c>
    </row>
    <row r="18480" spans="1:1" x14ac:dyDescent="0.25">
      <c r="A18480" s="74">
        <v>23272</v>
      </c>
    </row>
    <row r="18481" spans="1:1" x14ac:dyDescent="0.25">
      <c r="A18481" s="74">
        <v>23273</v>
      </c>
    </row>
    <row r="18482" spans="1:1" x14ac:dyDescent="0.25">
      <c r="A18482" s="74">
        <v>23274</v>
      </c>
    </row>
    <row r="18483" spans="1:1" x14ac:dyDescent="0.25">
      <c r="A18483" s="74">
        <v>23275</v>
      </c>
    </row>
    <row r="18484" spans="1:1" x14ac:dyDescent="0.25">
      <c r="A18484" s="74">
        <v>23276</v>
      </c>
    </row>
    <row r="18485" spans="1:1" x14ac:dyDescent="0.25">
      <c r="A18485" s="74">
        <v>23277</v>
      </c>
    </row>
    <row r="18486" spans="1:1" x14ac:dyDescent="0.25">
      <c r="A18486" s="74">
        <v>23278</v>
      </c>
    </row>
    <row r="18487" spans="1:1" x14ac:dyDescent="0.25">
      <c r="A18487" s="74">
        <v>23279</v>
      </c>
    </row>
    <row r="18488" spans="1:1" x14ac:dyDescent="0.25">
      <c r="A18488" s="74">
        <v>23280</v>
      </c>
    </row>
    <row r="18489" spans="1:1" x14ac:dyDescent="0.25">
      <c r="A18489" s="74">
        <v>23281</v>
      </c>
    </row>
    <row r="18490" spans="1:1" x14ac:dyDescent="0.25">
      <c r="A18490" s="74">
        <v>23282</v>
      </c>
    </row>
    <row r="18491" spans="1:1" x14ac:dyDescent="0.25">
      <c r="A18491" s="74">
        <v>23283</v>
      </c>
    </row>
    <row r="18492" spans="1:1" x14ac:dyDescent="0.25">
      <c r="A18492" s="74">
        <v>23284</v>
      </c>
    </row>
    <row r="18493" spans="1:1" x14ac:dyDescent="0.25">
      <c r="A18493" s="74">
        <v>23285</v>
      </c>
    </row>
    <row r="18494" spans="1:1" x14ac:dyDescent="0.25">
      <c r="A18494" s="74">
        <v>23286</v>
      </c>
    </row>
    <row r="18495" spans="1:1" x14ac:dyDescent="0.25">
      <c r="A18495" s="74">
        <v>23287</v>
      </c>
    </row>
    <row r="18496" spans="1:1" x14ac:dyDescent="0.25">
      <c r="A18496" s="74">
        <v>23288</v>
      </c>
    </row>
    <row r="18497" spans="1:1" x14ac:dyDescent="0.25">
      <c r="A18497" s="74">
        <v>23289</v>
      </c>
    </row>
    <row r="18498" spans="1:1" x14ac:dyDescent="0.25">
      <c r="A18498" s="74">
        <v>23290</v>
      </c>
    </row>
    <row r="18499" spans="1:1" x14ac:dyDescent="0.25">
      <c r="A18499" s="74">
        <v>23291</v>
      </c>
    </row>
    <row r="18500" spans="1:1" x14ac:dyDescent="0.25">
      <c r="A18500" s="74">
        <v>23292</v>
      </c>
    </row>
    <row r="18501" spans="1:1" x14ac:dyDescent="0.25">
      <c r="A18501" s="74">
        <v>23293</v>
      </c>
    </row>
    <row r="18502" spans="1:1" x14ac:dyDescent="0.25">
      <c r="A18502" s="74">
        <v>23294</v>
      </c>
    </row>
    <row r="18503" spans="1:1" x14ac:dyDescent="0.25">
      <c r="A18503" s="74">
        <v>23295</v>
      </c>
    </row>
    <row r="18504" spans="1:1" x14ac:dyDescent="0.25">
      <c r="A18504" s="74">
        <v>23296</v>
      </c>
    </row>
    <row r="18505" spans="1:1" x14ac:dyDescent="0.25">
      <c r="A18505" s="74">
        <v>23297</v>
      </c>
    </row>
    <row r="18506" spans="1:1" x14ac:dyDescent="0.25">
      <c r="A18506" s="74">
        <v>23298</v>
      </c>
    </row>
    <row r="18507" spans="1:1" x14ac:dyDescent="0.25">
      <c r="A18507" s="74">
        <v>23299</v>
      </c>
    </row>
    <row r="18508" spans="1:1" x14ac:dyDescent="0.25">
      <c r="A18508" s="74">
        <v>23300</v>
      </c>
    </row>
    <row r="18509" spans="1:1" x14ac:dyDescent="0.25">
      <c r="A18509" s="74">
        <v>23301</v>
      </c>
    </row>
    <row r="18510" spans="1:1" x14ac:dyDescent="0.25">
      <c r="A18510" s="74">
        <v>23302</v>
      </c>
    </row>
    <row r="18511" spans="1:1" x14ac:dyDescent="0.25">
      <c r="A18511" s="74">
        <v>23303</v>
      </c>
    </row>
    <row r="18512" spans="1:1" x14ac:dyDescent="0.25">
      <c r="A18512" s="74">
        <v>23304</v>
      </c>
    </row>
    <row r="18513" spans="1:1" x14ac:dyDescent="0.25">
      <c r="A18513" s="74">
        <v>23305</v>
      </c>
    </row>
    <row r="18514" spans="1:1" x14ac:dyDescent="0.25">
      <c r="A18514" s="74">
        <v>23306</v>
      </c>
    </row>
    <row r="18515" spans="1:1" x14ac:dyDescent="0.25">
      <c r="A18515" s="74">
        <v>23307</v>
      </c>
    </row>
    <row r="18516" spans="1:1" x14ac:dyDescent="0.25">
      <c r="A18516" s="74">
        <v>23308</v>
      </c>
    </row>
    <row r="18517" spans="1:1" x14ac:dyDescent="0.25">
      <c r="A18517" s="74">
        <v>23309</v>
      </c>
    </row>
    <row r="18518" spans="1:1" x14ac:dyDescent="0.25">
      <c r="A18518" s="74">
        <v>23310</v>
      </c>
    </row>
    <row r="18519" spans="1:1" x14ac:dyDescent="0.25">
      <c r="A18519" s="74">
        <v>23311</v>
      </c>
    </row>
    <row r="18520" spans="1:1" x14ac:dyDescent="0.25">
      <c r="A18520" s="74">
        <v>23312</v>
      </c>
    </row>
    <row r="18521" spans="1:1" x14ac:dyDescent="0.25">
      <c r="A18521" s="74">
        <v>23313</v>
      </c>
    </row>
    <row r="18522" spans="1:1" x14ac:dyDescent="0.25">
      <c r="A18522" s="74">
        <v>23314</v>
      </c>
    </row>
    <row r="18523" spans="1:1" x14ac:dyDescent="0.25">
      <c r="A18523" s="74">
        <v>23315</v>
      </c>
    </row>
    <row r="18524" spans="1:1" x14ac:dyDescent="0.25">
      <c r="A18524" s="74">
        <v>23316</v>
      </c>
    </row>
    <row r="18525" spans="1:1" x14ac:dyDescent="0.25">
      <c r="A18525" s="74">
        <v>23317</v>
      </c>
    </row>
    <row r="18526" spans="1:1" x14ac:dyDescent="0.25">
      <c r="A18526" s="74">
        <v>23318</v>
      </c>
    </row>
    <row r="18527" spans="1:1" x14ac:dyDescent="0.25">
      <c r="A18527" s="74">
        <v>23319</v>
      </c>
    </row>
    <row r="18528" spans="1:1" x14ac:dyDescent="0.25">
      <c r="A18528" s="74">
        <v>23320</v>
      </c>
    </row>
    <row r="18529" spans="1:1" x14ac:dyDescent="0.25">
      <c r="A18529" s="74">
        <v>23321</v>
      </c>
    </row>
    <row r="18530" spans="1:1" x14ac:dyDescent="0.25">
      <c r="A18530" s="74">
        <v>23322</v>
      </c>
    </row>
    <row r="18531" spans="1:1" x14ac:dyDescent="0.25">
      <c r="A18531" s="74">
        <v>23323</v>
      </c>
    </row>
    <row r="18532" spans="1:1" x14ac:dyDescent="0.25">
      <c r="A18532" s="74">
        <v>23324</v>
      </c>
    </row>
    <row r="18533" spans="1:1" x14ac:dyDescent="0.25">
      <c r="A18533" s="74">
        <v>23325</v>
      </c>
    </row>
    <row r="18534" spans="1:1" x14ac:dyDescent="0.25">
      <c r="A18534" s="74">
        <v>23326</v>
      </c>
    </row>
    <row r="18535" spans="1:1" x14ac:dyDescent="0.25">
      <c r="A18535" s="74">
        <v>23327</v>
      </c>
    </row>
    <row r="18536" spans="1:1" x14ac:dyDescent="0.25">
      <c r="A18536" s="74">
        <v>23328</v>
      </c>
    </row>
    <row r="18537" spans="1:1" x14ac:dyDescent="0.25">
      <c r="A18537" s="74">
        <v>23329</v>
      </c>
    </row>
    <row r="18538" spans="1:1" x14ac:dyDescent="0.25">
      <c r="A18538" s="74">
        <v>23330</v>
      </c>
    </row>
    <row r="18539" spans="1:1" x14ac:dyDescent="0.25">
      <c r="A18539" s="74">
        <v>23331</v>
      </c>
    </row>
    <row r="18540" spans="1:1" x14ac:dyDescent="0.25">
      <c r="A18540" s="74">
        <v>23332</v>
      </c>
    </row>
    <row r="18541" spans="1:1" x14ac:dyDescent="0.25">
      <c r="A18541" s="74">
        <v>23333</v>
      </c>
    </row>
    <row r="18542" spans="1:1" x14ac:dyDescent="0.25">
      <c r="A18542" s="74">
        <v>23334</v>
      </c>
    </row>
    <row r="18543" spans="1:1" x14ac:dyDescent="0.25">
      <c r="A18543" s="74">
        <v>23335</v>
      </c>
    </row>
    <row r="18544" spans="1:1" x14ac:dyDescent="0.25">
      <c r="A18544" s="74">
        <v>23336</v>
      </c>
    </row>
    <row r="18545" spans="1:1" x14ac:dyDescent="0.25">
      <c r="A18545" s="74">
        <v>23337</v>
      </c>
    </row>
    <row r="18546" spans="1:1" x14ac:dyDescent="0.25">
      <c r="A18546" s="74">
        <v>23338</v>
      </c>
    </row>
    <row r="18547" spans="1:1" x14ac:dyDescent="0.25">
      <c r="A18547" s="74">
        <v>23339</v>
      </c>
    </row>
    <row r="18548" spans="1:1" x14ac:dyDescent="0.25">
      <c r="A18548" s="74">
        <v>23340</v>
      </c>
    </row>
    <row r="18549" spans="1:1" x14ac:dyDescent="0.25">
      <c r="A18549" s="74">
        <v>23341</v>
      </c>
    </row>
    <row r="18550" spans="1:1" x14ac:dyDescent="0.25">
      <c r="A18550" s="74">
        <v>23342</v>
      </c>
    </row>
    <row r="18551" spans="1:1" x14ac:dyDescent="0.25">
      <c r="A18551" s="74">
        <v>23343</v>
      </c>
    </row>
    <row r="18552" spans="1:1" x14ac:dyDescent="0.25">
      <c r="A18552" s="74">
        <v>23344</v>
      </c>
    </row>
    <row r="18553" spans="1:1" x14ac:dyDescent="0.25">
      <c r="A18553" s="74">
        <v>23345</v>
      </c>
    </row>
    <row r="18554" spans="1:1" x14ac:dyDescent="0.25">
      <c r="A18554" s="74">
        <v>23346</v>
      </c>
    </row>
    <row r="18555" spans="1:1" x14ac:dyDescent="0.25">
      <c r="A18555" s="74">
        <v>23347</v>
      </c>
    </row>
    <row r="18556" spans="1:1" x14ac:dyDescent="0.25">
      <c r="A18556" s="74">
        <v>23348</v>
      </c>
    </row>
    <row r="18557" spans="1:1" x14ac:dyDescent="0.25">
      <c r="A18557" s="74">
        <v>23349</v>
      </c>
    </row>
    <row r="18558" spans="1:1" x14ac:dyDescent="0.25">
      <c r="A18558" s="74">
        <v>23350</v>
      </c>
    </row>
    <row r="18559" spans="1:1" x14ac:dyDescent="0.25">
      <c r="A18559" s="74">
        <v>23351</v>
      </c>
    </row>
    <row r="18560" spans="1:1" x14ac:dyDescent="0.25">
      <c r="A18560" s="74">
        <v>23352</v>
      </c>
    </row>
    <row r="18561" spans="1:1" x14ac:dyDescent="0.25">
      <c r="A18561" s="74">
        <v>23353</v>
      </c>
    </row>
    <row r="18562" spans="1:1" x14ac:dyDescent="0.25">
      <c r="A18562" s="74">
        <v>23354</v>
      </c>
    </row>
    <row r="18563" spans="1:1" x14ac:dyDescent="0.25">
      <c r="A18563" s="74">
        <v>23355</v>
      </c>
    </row>
    <row r="18564" spans="1:1" x14ac:dyDescent="0.25">
      <c r="A18564" s="74">
        <v>23356</v>
      </c>
    </row>
    <row r="18565" spans="1:1" x14ac:dyDescent="0.25">
      <c r="A18565" s="74">
        <v>23357</v>
      </c>
    </row>
    <row r="18566" spans="1:1" x14ac:dyDescent="0.25">
      <c r="A18566" s="74">
        <v>23358</v>
      </c>
    </row>
    <row r="18567" spans="1:1" x14ac:dyDescent="0.25">
      <c r="A18567" s="74">
        <v>23359</v>
      </c>
    </row>
    <row r="18568" spans="1:1" x14ac:dyDescent="0.25">
      <c r="A18568" s="74">
        <v>23360</v>
      </c>
    </row>
    <row r="18569" spans="1:1" x14ac:dyDescent="0.25">
      <c r="A18569" s="74">
        <v>23361</v>
      </c>
    </row>
    <row r="18570" spans="1:1" x14ac:dyDescent="0.25">
      <c r="A18570" s="74">
        <v>23362</v>
      </c>
    </row>
    <row r="18571" spans="1:1" x14ac:dyDescent="0.25">
      <c r="A18571" s="74">
        <v>23363</v>
      </c>
    </row>
    <row r="18572" spans="1:1" x14ac:dyDescent="0.25">
      <c r="A18572" s="74">
        <v>23364</v>
      </c>
    </row>
    <row r="18573" spans="1:1" x14ac:dyDescent="0.25">
      <c r="A18573" s="74">
        <v>23365</v>
      </c>
    </row>
    <row r="18574" spans="1:1" x14ac:dyDescent="0.25">
      <c r="A18574" s="74">
        <v>23366</v>
      </c>
    </row>
    <row r="18575" spans="1:1" x14ac:dyDescent="0.25">
      <c r="A18575" s="74">
        <v>23367</v>
      </c>
    </row>
    <row r="18576" spans="1:1" x14ac:dyDescent="0.25">
      <c r="A18576" s="74">
        <v>23368</v>
      </c>
    </row>
    <row r="18577" spans="1:1" x14ac:dyDescent="0.25">
      <c r="A18577" s="74">
        <v>23369</v>
      </c>
    </row>
    <row r="18578" spans="1:1" x14ac:dyDescent="0.25">
      <c r="A18578" s="74">
        <v>23370</v>
      </c>
    </row>
    <row r="18579" spans="1:1" x14ac:dyDescent="0.25">
      <c r="A18579" s="74">
        <v>23371</v>
      </c>
    </row>
    <row r="18580" spans="1:1" x14ac:dyDescent="0.25">
      <c r="A18580" s="74">
        <v>23372</v>
      </c>
    </row>
    <row r="18581" spans="1:1" x14ac:dyDescent="0.25">
      <c r="A18581" s="74">
        <v>23373</v>
      </c>
    </row>
    <row r="18582" spans="1:1" x14ac:dyDescent="0.25">
      <c r="A18582" s="74">
        <v>23374</v>
      </c>
    </row>
    <row r="18583" spans="1:1" x14ac:dyDescent="0.25">
      <c r="A18583" s="74">
        <v>23375</v>
      </c>
    </row>
    <row r="18584" spans="1:1" x14ac:dyDescent="0.25">
      <c r="A18584" s="74">
        <v>23376</v>
      </c>
    </row>
    <row r="18585" spans="1:1" x14ac:dyDescent="0.25">
      <c r="A18585" s="74">
        <v>23377</v>
      </c>
    </row>
    <row r="18586" spans="1:1" x14ac:dyDescent="0.25">
      <c r="A18586" s="74">
        <v>23378</v>
      </c>
    </row>
    <row r="18587" spans="1:1" x14ac:dyDescent="0.25">
      <c r="A18587" s="74">
        <v>23379</v>
      </c>
    </row>
    <row r="18588" spans="1:1" x14ac:dyDescent="0.25">
      <c r="A18588" s="74">
        <v>23380</v>
      </c>
    </row>
    <row r="18589" spans="1:1" x14ac:dyDescent="0.25">
      <c r="A18589" s="74">
        <v>23381</v>
      </c>
    </row>
    <row r="18590" spans="1:1" x14ac:dyDescent="0.25">
      <c r="A18590" s="74">
        <v>23382</v>
      </c>
    </row>
    <row r="18591" spans="1:1" x14ac:dyDescent="0.25">
      <c r="A18591" s="74">
        <v>23383</v>
      </c>
    </row>
    <row r="18592" spans="1:1" x14ac:dyDescent="0.25">
      <c r="A18592" s="74">
        <v>23384</v>
      </c>
    </row>
    <row r="18593" spans="1:1" x14ac:dyDescent="0.25">
      <c r="A18593" s="74">
        <v>23385</v>
      </c>
    </row>
    <row r="18594" spans="1:1" x14ac:dyDescent="0.25">
      <c r="A18594" s="74">
        <v>23386</v>
      </c>
    </row>
    <row r="18595" spans="1:1" x14ac:dyDescent="0.25">
      <c r="A18595" s="74">
        <v>23387</v>
      </c>
    </row>
    <row r="18596" spans="1:1" x14ac:dyDescent="0.25">
      <c r="A18596" s="74">
        <v>23388</v>
      </c>
    </row>
    <row r="18597" spans="1:1" x14ac:dyDescent="0.25">
      <c r="A18597" s="74">
        <v>23389</v>
      </c>
    </row>
    <row r="18598" spans="1:1" x14ac:dyDescent="0.25">
      <c r="A18598" s="74">
        <v>23390</v>
      </c>
    </row>
    <row r="18599" spans="1:1" x14ac:dyDescent="0.25">
      <c r="A18599" s="74">
        <v>23391</v>
      </c>
    </row>
    <row r="18600" spans="1:1" x14ac:dyDescent="0.25">
      <c r="A18600" s="74">
        <v>23392</v>
      </c>
    </row>
    <row r="18601" spans="1:1" x14ac:dyDescent="0.25">
      <c r="A18601" s="74">
        <v>23393</v>
      </c>
    </row>
    <row r="18602" spans="1:1" x14ac:dyDescent="0.25">
      <c r="A18602" s="74">
        <v>23394</v>
      </c>
    </row>
    <row r="18603" spans="1:1" x14ac:dyDescent="0.25">
      <c r="A18603" s="74">
        <v>23395</v>
      </c>
    </row>
    <row r="18604" spans="1:1" x14ac:dyDescent="0.25">
      <c r="A18604" s="74">
        <v>23396</v>
      </c>
    </row>
    <row r="18605" spans="1:1" x14ac:dyDescent="0.25">
      <c r="A18605" s="74">
        <v>23397</v>
      </c>
    </row>
    <row r="18606" spans="1:1" x14ac:dyDescent="0.25">
      <c r="A18606" s="74">
        <v>23398</v>
      </c>
    </row>
    <row r="18607" spans="1:1" x14ac:dyDescent="0.25">
      <c r="A18607" s="74">
        <v>23399</v>
      </c>
    </row>
    <row r="18608" spans="1:1" x14ac:dyDescent="0.25">
      <c r="A18608" s="74">
        <v>23400</v>
      </c>
    </row>
    <row r="18609" spans="1:1" x14ac:dyDescent="0.25">
      <c r="A18609" s="74">
        <v>23401</v>
      </c>
    </row>
    <row r="18610" spans="1:1" x14ac:dyDescent="0.25">
      <c r="A18610" s="74">
        <v>23402</v>
      </c>
    </row>
    <row r="18611" spans="1:1" x14ac:dyDescent="0.25">
      <c r="A18611" s="74">
        <v>23403</v>
      </c>
    </row>
    <row r="18612" spans="1:1" x14ac:dyDescent="0.25">
      <c r="A18612" s="74">
        <v>23404</v>
      </c>
    </row>
    <row r="18613" spans="1:1" x14ac:dyDescent="0.25">
      <c r="A18613" s="74">
        <v>23405</v>
      </c>
    </row>
    <row r="18614" spans="1:1" x14ac:dyDescent="0.25">
      <c r="A18614" s="74">
        <v>23406</v>
      </c>
    </row>
    <row r="18615" spans="1:1" x14ac:dyDescent="0.25">
      <c r="A18615" s="74">
        <v>23407</v>
      </c>
    </row>
    <row r="18616" spans="1:1" x14ac:dyDescent="0.25">
      <c r="A18616" s="74">
        <v>23408</v>
      </c>
    </row>
    <row r="18617" spans="1:1" x14ac:dyDescent="0.25">
      <c r="A18617" s="74">
        <v>23409</v>
      </c>
    </row>
    <row r="18618" spans="1:1" x14ac:dyDescent="0.25">
      <c r="A18618" s="74">
        <v>23410</v>
      </c>
    </row>
    <row r="18619" spans="1:1" x14ac:dyDescent="0.25">
      <c r="A18619" s="74">
        <v>23411</v>
      </c>
    </row>
    <row r="18620" spans="1:1" x14ac:dyDescent="0.25">
      <c r="A18620" s="74">
        <v>23412</v>
      </c>
    </row>
    <row r="18621" spans="1:1" x14ac:dyDescent="0.25">
      <c r="A18621" s="74">
        <v>23413</v>
      </c>
    </row>
    <row r="18622" spans="1:1" x14ac:dyDescent="0.25">
      <c r="A18622" s="74">
        <v>23414</v>
      </c>
    </row>
    <row r="18623" spans="1:1" x14ac:dyDescent="0.25">
      <c r="A18623" s="74">
        <v>23415</v>
      </c>
    </row>
    <row r="18624" spans="1:1" x14ac:dyDescent="0.25">
      <c r="A18624" s="74">
        <v>23416</v>
      </c>
    </row>
    <row r="18625" spans="1:1" x14ac:dyDescent="0.25">
      <c r="A18625" s="74">
        <v>23417</v>
      </c>
    </row>
    <row r="18626" spans="1:1" x14ac:dyDescent="0.25">
      <c r="A18626" s="74">
        <v>23418</v>
      </c>
    </row>
    <row r="18627" spans="1:1" x14ac:dyDescent="0.25">
      <c r="A18627" s="74">
        <v>23419</v>
      </c>
    </row>
    <row r="18628" spans="1:1" x14ac:dyDescent="0.25">
      <c r="A18628" s="74">
        <v>23420</v>
      </c>
    </row>
    <row r="18629" spans="1:1" x14ac:dyDescent="0.25">
      <c r="A18629" s="74">
        <v>23421</v>
      </c>
    </row>
    <row r="18630" spans="1:1" x14ac:dyDescent="0.25">
      <c r="A18630" s="74">
        <v>23422</v>
      </c>
    </row>
    <row r="18631" spans="1:1" x14ac:dyDescent="0.25">
      <c r="A18631" s="74">
        <v>23423</v>
      </c>
    </row>
    <row r="18632" spans="1:1" x14ac:dyDescent="0.25">
      <c r="A18632" s="74">
        <v>23424</v>
      </c>
    </row>
    <row r="18633" spans="1:1" x14ac:dyDescent="0.25">
      <c r="A18633" s="74">
        <v>23425</v>
      </c>
    </row>
    <row r="18634" spans="1:1" x14ac:dyDescent="0.25">
      <c r="A18634" s="74">
        <v>23426</v>
      </c>
    </row>
    <row r="18635" spans="1:1" x14ac:dyDescent="0.25">
      <c r="A18635" s="74">
        <v>23427</v>
      </c>
    </row>
    <row r="18636" spans="1:1" x14ac:dyDescent="0.25">
      <c r="A18636" s="74">
        <v>23428</v>
      </c>
    </row>
    <row r="18637" spans="1:1" x14ac:dyDescent="0.25">
      <c r="A18637" s="74">
        <v>23429</v>
      </c>
    </row>
    <row r="18638" spans="1:1" x14ac:dyDescent="0.25">
      <c r="A18638" s="74">
        <v>23430</v>
      </c>
    </row>
    <row r="18639" spans="1:1" x14ac:dyDescent="0.25">
      <c r="A18639" s="74">
        <v>23431</v>
      </c>
    </row>
    <row r="18640" spans="1:1" x14ac:dyDescent="0.25">
      <c r="A18640" s="74">
        <v>23432</v>
      </c>
    </row>
    <row r="18641" spans="1:1" x14ac:dyDescent="0.25">
      <c r="A18641" s="74">
        <v>23433</v>
      </c>
    </row>
    <row r="18642" spans="1:1" x14ac:dyDescent="0.25">
      <c r="A18642" s="74">
        <v>23434</v>
      </c>
    </row>
    <row r="18643" spans="1:1" x14ac:dyDescent="0.25">
      <c r="A18643" s="74">
        <v>23435</v>
      </c>
    </row>
    <row r="18644" spans="1:1" x14ac:dyDescent="0.25">
      <c r="A18644" s="74">
        <v>23436</v>
      </c>
    </row>
    <row r="18645" spans="1:1" x14ac:dyDescent="0.25">
      <c r="A18645" s="74">
        <v>23437</v>
      </c>
    </row>
    <row r="18646" spans="1:1" x14ac:dyDescent="0.25">
      <c r="A18646" s="74">
        <v>23438</v>
      </c>
    </row>
    <row r="18647" spans="1:1" x14ac:dyDescent="0.25">
      <c r="A18647" s="74">
        <v>23439</v>
      </c>
    </row>
    <row r="18648" spans="1:1" x14ac:dyDescent="0.25">
      <c r="A18648" s="74">
        <v>23440</v>
      </c>
    </row>
    <row r="18649" spans="1:1" x14ac:dyDescent="0.25">
      <c r="A18649" s="74">
        <v>23441</v>
      </c>
    </row>
    <row r="18650" spans="1:1" x14ac:dyDescent="0.25">
      <c r="A18650" s="74">
        <v>23442</v>
      </c>
    </row>
    <row r="18651" spans="1:1" x14ac:dyDescent="0.25">
      <c r="A18651" s="74">
        <v>23443</v>
      </c>
    </row>
    <row r="18652" spans="1:1" x14ac:dyDescent="0.25">
      <c r="A18652" s="74">
        <v>23444</v>
      </c>
    </row>
    <row r="18653" spans="1:1" x14ac:dyDescent="0.25">
      <c r="A18653" s="74">
        <v>23445</v>
      </c>
    </row>
    <row r="18654" spans="1:1" x14ac:dyDescent="0.25">
      <c r="A18654" s="74">
        <v>23446</v>
      </c>
    </row>
    <row r="18655" spans="1:1" x14ac:dyDescent="0.25">
      <c r="A18655" s="74">
        <v>23447</v>
      </c>
    </row>
    <row r="18656" spans="1:1" x14ac:dyDescent="0.25">
      <c r="A18656" s="74">
        <v>23448</v>
      </c>
    </row>
    <row r="18657" spans="1:1" x14ac:dyDescent="0.25">
      <c r="A18657" s="74">
        <v>23449</v>
      </c>
    </row>
    <row r="18658" spans="1:1" x14ac:dyDescent="0.25">
      <c r="A18658" s="74">
        <v>23450</v>
      </c>
    </row>
    <row r="18659" spans="1:1" x14ac:dyDescent="0.25">
      <c r="A18659" s="74">
        <v>23451</v>
      </c>
    </row>
    <row r="18660" spans="1:1" x14ac:dyDescent="0.25">
      <c r="A18660" s="74">
        <v>23452</v>
      </c>
    </row>
    <row r="18661" spans="1:1" x14ac:dyDescent="0.25">
      <c r="A18661" s="74">
        <v>23453</v>
      </c>
    </row>
    <row r="18662" spans="1:1" x14ac:dyDescent="0.25">
      <c r="A18662" s="74">
        <v>23454</v>
      </c>
    </row>
    <row r="18663" spans="1:1" x14ac:dyDescent="0.25">
      <c r="A18663" s="74">
        <v>23455</v>
      </c>
    </row>
    <row r="18664" spans="1:1" x14ac:dyDescent="0.25">
      <c r="A18664" s="74">
        <v>23456</v>
      </c>
    </row>
    <row r="18665" spans="1:1" x14ac:dyDescent="0.25">
      <c r="A18665" s="74">
        <v>23457</v>
      </c>
    </row>
    <row r="18666" spans="1:1" x14ac:dyDescent="0.25">
      <c r="A18666" s="74">
        <v>23458</v>
      </c>
    </row>
    <row r="18667" spans="1:1" x14ac:dyDescent="0.25">
      <c r="A18667" s="74">
        <v>23459</v>
      </c>
    </row>
    <row r="18668" spans="1:1" x14ac:dyDescent="0.25">
      <c r="A18668" s="74">
        <v>23460</v>
      </c>
    </row>
    <row r="18669" spans="1:1" x14ac:dyDescent="0.25">
      <c r="A18669" s="74">
        <v>23461</v>
      </c>
    </row>
    <row r="18670" spans="1:1" x14ac:dyDescent="0.25">
      <c r="A18670" s="74">
        <v>23462</v>
      </c>
    </row>
    <row r="18671" spans="1:1" x14ac:dyDescent="0.25">
      <c r="A18671" s="74">
        <v>23463</v>
      </c>
    </row>
    <row r="18672" spans="1:1" x14ac:dyDescent="0.25">
      <c r="A18672" s="74">
        <v>23464</v>
      </c>
    </row>
    <row r="18673" spans="1:1" x14ac:dyDescent="0.25">
      <c r="A18673" s="74">
        <v>23465</v>
      </c>
    </row>
    <row r="18674" spans="1:1" x14ac:dyDescent="0.25">
      <c r="A18674" s="74">
        <v>23466</v>
      </c>
    </row>
    <row r="18675" spans="1:1" x14ac:dyDescent="0.25">
      <c r="A18675" s="74">
        <v>23467</v>
      </c>
    </row>
    <row r="18676" spans="1:1" x14ac:dyDescent="0.25">
      <c r="A18676" s="74">
        <v>23468</v>
      </c>
    </row>
    <row r="18677" spans="1:1" x14ac:dyDescent="0.25">
      <c r="A18677" s="74">
        <v>23469</v>
      </c>
    </row>
    <row r="18678" spans="1:1" x14ac:dyDescent="0.25">
      <c r="A18678" s="74">
        <v>23470</v>
      </c>
    </row>
    <row r="18679" spans="1:1" x14ac:dyDescent="0.25">
      <c r="A18679" s="74">
        <v>23471</v>
      </c>
    </row>
    <row r="18680" spans="1:1" x14ac:dyDescent="0.25">
      <c r="A18680" s="74">
        <v>23472</v>
      </c>
    </row>
    <row r="18681" spans="1:1" x14ac:dyDescent="0.25">
      <c r="A18681" s="74">
        <v>23473</v>
      </c>
    </row>
    <row r="18682" spans="1:1" x14ac:dyDescent="0.25">
      <c r="A18682" s="74">
        <v>23474</v>
      </c>
    </row>
    <row r="18683" spans="1:1" x14ac:dyDescent="0.25">
      <c r="A18683" s="74">
        <v>23475</v>
      </c>
    </row>
    <row r="18684" spans="1:1" x14ac:dyDescent="0.25">
      <c r="A18684" s="74">
        <v>23476</v>
      </c>
    </row>
    <row r="18685" spans="1:1" x14ac:dyDescent="0.25">
      <c r="A18685" s="74">
        <v>23477</v>
      </c>
    </row>
    <row r="18686" spans="1:1" x14ac:dyDescent="0.25">
      <c r="A18686" s="74">
        <v>23478</v>
      </c>
    </row>
    <row r="18687" spans="1:1" x14ac:dyDescent="0.25">
      <c r="A18687" s="74">
        <v>23479</v>
      </c>
    </row>
    <row r="18688" spans="1:1" x14ac:dyDescent="0.25">
      <c r="A18688" s="74">
        <v>23480</v>
      </c>
    </row>
    <row r="18689" spans="1:1" x14ac:dyDescent="0.25">
      <c r="A18689" s="74">
        <v>23481</v>
      </c>
    </row>
    <row r="18690" spans="1:1" x14ac:dyDescent="0.25">
      <c r="A18690" s="74">
        <v>23482</v>
      </c>
    </row>
    <row r="18691" spans="1:1" x14ac:dyDescent="0.25">
      <c r="A18691" s="74">
        <v>23483</v>
      </c>
    </row>
    <row r="18692" spans="1:1" x14ac:dyDescent="0.25">
      <c r="A18692" s="74">
        <v>23484</v>
      </c>
    </row>
    <row r="18693" spans="1:1" x14ac:dyDescent="0.25">
      <c r="A18693" s="74">
        <v>23485</v>
      </c>
    </row>
    <row r="18694" spans="1:1" x14ac:dyDescent="0.25">
      <c r="A18694" s="74">
        <v>23486</v>
      </c>
    </row>
    <row r="18695" spans="1:1" x14ac:dyDescent="0.25">
      <c r="A18695" s="74">
        <v>23487</v>
      </c>
    </row>
    <row r="18696" spans="1:1" x14ac:dyDescent="0.25">
      <c r="A18696" s="74">
        <v>23488</v>
      </c>
    </row>
    <row r="18697" spans="1:1" x14ac:dyDescent="0.25">
      <c r="A18697" s="74">
        <v>23489</v>
      </c>
    </row>
    <row r="18698" spans="1:1" x14ac:dyDescent="0.25">
      <c r="A18698" s="74">
        <v>23490</v>
      </c>
    </row>
    <row r="18699" spans="1:1" x14ac:dyDescent="0.25">
      <c r="A18699" s="74">
        <v>23491</v>
      </c>
    </row>
    <row r="18700" spans="1:1" x14ac:dyDescent="0.25">
      <c r="A18700" s="74">
        <v>23492</v>
      </c>
    </row>
    <row r="18701" spans="1:1" x14ac:dyDescent="0.25">
      <c r="A18701" s="74">
        <v>23493</v>
      </c>
    </row>
    <row r="18702" spans="1:1" x14ac:dyDescent="0.25">
      <c r="A18702" s="74">
        <v>23494</v>
      </c>
    </row>
    <row r="18703" spans="1:1" x14ac:dyDescent="0.25">
      <c r="A18703" s="74">
        <v>23495</v>
      </c>
    </row>
    <row r="18704" spans="1:1" x14ac:dyDescent="0.25">
      <c r="A18704" s="74">
        <v>23496</v>
      </c>
    </row>
    <row r="18705" spans="1:1" x14ac:dyDescent="0.25">
      <c r="A18705" s="74">
        <v>23497</v>
      </c>
    </row>
    <row r="18706" spans="1:1" x14ac:dyDescent="0.25">
      <c r="A18706" s="74">
        <v>23498</v>
      </c>
    </row>
    <row r="18707" spans="1:1" x14ac:dyDescent="0.25">
      <c r="A18707" s="74">
        <v>23499</v>
      </c>
    </row>
    <row r="18708" spans="1:1" x14ac:dyDescent="0.25">
      <c r="A18708" s="74">
        <v>23500</v>
      </c>
    </row>
    <row r="18709" spans="1:1" x14ac:dyDescent="0.25">
      <c r="A18709" s="74">
        <v>23501</v>
      </c>
    </row>
    <row r="18710" spans="1:1" x14ac:dyDescent="0.25">
      <c r="A18710" s="74">
        <v>23502</v>
      </c>
    </row>
    <row r="18711" spans="1:1" x14ac:dyDescent="0.25">
      <c r="A18711" s="74">
        <v>23503</v>
      </c>
    </row>
    <row r="18712" spans="1:1" x14ac:dyDescent="0.25">
      <c r="A18712" s="74">
        <v>23504</v>
      </c>
    </row>
    <row r="18713" spans="1:1" x14ac:dyDescent="0.25">
      <c r="A18713" s="74">
        <v>23505</v>
      </c>
    </row>
    <row r="18714" spans="1:1" x14ac:dyDescent="0.25">
      <c r="A18714" s="74">
        <v>23506</v>
      </c>
    </row>
    <row r="18715" spans="1:1" x14ac:dyDescent="0.25">
      <c r="A18715" s="74">
        <v>23507</v>
      </c>
    </row>
    <row r="18716" spans="1:1" x14ac:dyDescent="0.25">
      <c r="A18716" s="74">
        <v>23508</v>
      </c>
    </row>
    <row r="18717" spans="1:1" x14ac:dyDescent="0.25">
      <c r="A18717" s="74">
        <v>23509</v>
      </c>
    </row>
    <row r="18718" spans="1:1" x14ac:dyDescent="0.25">
      <c r="A18718" s="74">
        <v>23510</v>
      </c>
    </row>
    <row r="18719" spans="1:1" x14ac:dyDescent="0.25">
      <c r="A18719" s="74">
        <v>23511</v>
      </c>
    </row>
    <row r="18720" spans="1:1" x14ac:dyDescent="0.25">
      <c r="A18720" s="74">
        <v>23512</v>
      </c>
    </row>
    <row r="18721" spans="1:1" x14ac:dyDescent="0.25">
      <c r="A18721" s="74">
        <v>23513</v>
      </c>
    </row>
    <row r="18722" spans="1:1" x14ac:dyDescent="0.25">
      <c r="A18722" s="74">
        <v>23514</v>
      </c>
    </row>
    <row r="18723" spans="1:1" x14ac:dyDescent="0.25">
      <c r="A18723" s="74">
        <v>23515</v>
      </c>
    </row>
    <row r="18724" spans="1:1" x14ac:dyDescent="0.25">
      <c r="A18724" s="74">
        <v>23516</v>
      </c>
    </row>
    <row r="18725" spans="1:1" x14ac:dyDescent="0.25">
      <c r="A18725" s="74">
        <v>23517</v>
      </c>
    </row>
    <row r="18726" spans="1:1" x14ac:dyDescent="0.25">
      <c r="A18726" s="74">
        <v>23518</v>
      </c>
    </row>
    <row r="18727" spans="1:1" x14ac:dyDescent="0.25">
      <c r="A18727" s="74">
        <v>23519</v>
      </c>
    </row>
    <row r="18728" spans="1:1" x14ac:dyDescent="0.25">
      <c r="A18728" s="74">
        <v>23520</v>
      </c>
    </row>
    <row r="18729" spans="1:1" x14ac:dyDescent="0.25">
      <c r="A18729" s="74">
        <v>23521</v>
      </c>
    </row>
    <row r="18730" spans="1:1" x14ac:dyDescent="0.25">
      <c r="A18730" s="74">
        <v>23522</v>
      </c>
    </row>
    <row r="18731" spans="1:1" x14ac:dyDescent="0.25">
      <c r="A18731" s="74">
        <v>23523</v>
      </c>
    </row>
    <row r="18732" spans="1:1" x14ac:dyDescent="0.25">
      <c r="A18732" s="74">
        <v>23524</v>
      </c>
    </row>
    <row r="18733" spans="1:1" x14ac:dyDescent="0.25">
      <c r="A18733" s="74">
        <v>23525</v>
      </c>
    </row>
    <row r="18734" spans="1:1" x14ac:dyDescent="0.25">
      <c r="A18734" s="74">
        <v>23526</v>
      </c>
    </row>
    <row r="18735" spans="1:1" x14ac:dyDescent="0.25">
      <c r="A18735" s="74">
        <v>23527</v>
      </c>
    </row>
    <row r="18736" spans="1:1" x14ac:dyDescent="0.25">
      <c r="A18736" s="74">
        <v>23528</v>
      </c>
    </row>
    <row r="18737" spans="1:1" x14ac:dyDescent="0.25">
      <c r="A18737" s="74">
        <v>23529</v>
      </c>
    </row>
    <row r="18738" spans="1:1" x14ac:dyDescent="0.25">
      <c r="A18738" s="74">
        <v>23530</v>
      </c>
    </row>
    <row r="18739" spans="1:1" x14ac:dyDescent="0.25">
      <c r="A18739" s="74">
        <v>23531</v>
      </c>
    </row>
    <row r="18740" spans="1:1" x14ac:dyDescent="0.25">
      <c r="A18740" s="74">
        <v>23532</v>
      </c>
    </row>
    <row r="18741" spans="1:1" x14ac:dyDescent="0.25">
      <c r="A18741" s="74">
        <v>23533</v>
      </c>
    </row>
    <row r="18742" spans="1:1" x14ac:dyDescent="0.25">
      <c r="A18742" s="74">
        <v>23534</v>
      </c>
    </row>
    <row r="18743" spans="1:1" x14ac:dyDescent="0.25">
      <c r="A18743" s="74">
        <v>23535</v>
      </c>
    </row>
    <row r="18744" spans="1:1" x14ac:dyDescent="0.25">
      <c r="A18744" s="74">
        <v>23536</v>
      </c>
    </row>
    <row r="18745" spans="1:1" x14ac:dyDescent="0.25">
      <c r="A18745" s="74">
        <v>23537</v>
      </c>
    </row>
    <row r="18746" spans="1:1" x14ac:dyDescent="0.25">
      <c r="A18746" s="74">
        <v>23538</v>
      </c>
    </row>
    <row r="18747" spans="1:1" x14ac:dyDescent="0.25">
      <c r="A18747" s="74">
        <v>23539</v>
      </c>
    </row>
    <row r="18748" spans="1:1" x14ac:dyDescent="0.25">
      <c r="A18748" s="74">
        <v>23540</v>
      </c>
    </row>
    <row r="18749" spans="1:1" x14ac:dyDescent="0.25">
      <c r="A18749" s="74">
        <v>23541</v>
      </c>
    </row>
    <row r="18750" spans="1:1" x14ac:dyDescent="0.25">
      <c r="A18750" s="74">
        <v>23542</v>
      </c>
    </row>
    <row r="18751" spans="1:1" x14ac:dyDescent="0.25">
      <c r="A18751" s="74">
        <v>23543</v>
      </c>
    </row>
    <row r="18752" spans="1:1" x14ac:dyDescent="0.25">
      <c r="A18752" s="74">
        <v>23544</v>
      </c>
    </row>
    <row r="18753" spans="1:1" x14ac:dyDescent="0.25">
      <c r="A18753" s="74">
        <v>23545</v>
      </c>
    </row>
    <row r="18754" spans="1:1" x14ac:dyDescent="0.25">
      <c r="A18754" s="74">
        <v>23546</v>
      </c>
    </row>
    <row r="18755" spans="1:1" x14ac:dyDescent="0.25">
      <c r="A18755" s="74">
        <v>23547</v>
      </c>
    </row>
    <row r="18756" spans="1:1" x14ac:dyDescent="0.25">
      <c r="A18756" s="74">
        <v>23548</v>
      </c>
    </row>
    <row r="18757" spans="1:1" x14ac:dyDescent="0.25">
      <c r="A18757" s="74">
        <v>23549</v>
      </c>
    </row>
    <row r="18758" spans="1:1" x14ac:dyDescent="0.25">
      <c r="A18758" s="74">
        <v>23550</v>
      </c>
    </row>
    <row r="18759" spans="1:1" x14ac:dyDescent="0.25">
      <c r="A18759" s="74">
        <v>23551</v>
      </c>
    </row>
    <row r="18760" spans="1:1" x14ac:dyDescent="0.25">
      <c r="A18760" s="74">
        <v>23552</v>
      </c>
    </row>
    <row r="18761" spans="1:1" x14ac:dyDescent="0.25">
      <c r="A18761" s="74">
        <v>23553</v>
      </c>
    </row>
    <row r="18762" spans="1:1" x14ac:dyDescent="0.25">
      <c r="A18762" s="74">
        <v>23554</v>
      </c>
    </row>
    <row r="18763" spans="1:1" x14ac:dyDescent="0.25">
      <c r="A18763" s="74">
        <v>23555</v>
      </c>
    </row>
    <row r="18764" spans="1:1" x14ac:dyDescent="0.25">
      <c r="A18764" s="74">
        <v>23556</v>
      </c>
    </row>
    <row r="18765" spans="1:1" x14ac:dyDescent="0.25">
      <c r="A18765" s="74">
        <v>23557</v>
      </c>
    </row>
    <row r="18766" spans="1:1" x14ac:dyDescent="0.25">
      <c r="A18766" s="74">
        <v>23558</v>
      </c>
    </row>
    <row r="18767" spans="1:1" x14ac:dyDescent="0.25">
      <c r="A18767" s="74">
        <v>23559</v>
      </c>
    </row>
    <row r="18768" spans="1:1" x14ac:dyDescent="0.25">
      <c r="A18768" s="74">
        <v>23560</v>
      </c>
    </row>
    <row r="18769" spans="1:1" x14ac:dyDescent="0.25">
      <c r="A18769" s="74">
        <v>23561</v>
      </c>
    </row>
    <row r="18770" spans="1:1" x14ac:dyDescent="0.25">
      <c r="A18770" s="74">
        <v>23562</v>
      </c>
    </row>
    <row r="18771" spans="1:1" x14ac:dyDescent="0.25">
      <c r="A18771" s="74">
        <v>23563</v>
      </c>
    </row>
    <row r="18772" spans="1:1" x14ac:dyDescent="0.25">
      <c r="A18772" s="74">
        <v>23564</v>
      </c>
    </row>
    <row r="18773" spans="1:1" x14ac:dyDescent="0.25">
      <c r="A18773" s="74">
        <v>23565</v>
      </c>
    </row>
    <row r="18774" spans="1:1" x14ac:dyDescent="0.25">
      <c r="A18774" s="74">
        <v>23566</v>
      </c>
    </row>
    <row r="18775" spans="1:1" x14ac:dyDescent="0.25">
      <c r="A18775" s="74">
        <v>23567</v>
      </c>
    </row>
    <row r="18776" spans="1:1" x14ac:dyDescent="0.25">
      <c r="A18776" s="74">
        <v>23568</v>
      </c>
    </row>
    <row r="18777" spans="1:1" x14ac:dyDescent="0.25">
      <c r="A18777" s="74">
        <v>23569</v>
      </c>
    </row>
    <row r="18778" spans="1:1" x14ac:dyDescent="0.25">
      <c r="A18778" s="74">
        <v>23570</v>
      </c>
    </row>
    <row r="18779" spans="1:1" x14ac:dyDescent="0.25">
      <c r="A18779" s="74">
        <v>23571</v>
      </c>
    </row>
    <row r="18780" spans="1:1" x14ac:dyDescent="0.25">
      <c r="A18780" s="74">
        <v>23572</v>
      </c>
    </row>
    <row r="18781" spans="1:1" x14ac:dyDescent="0.25">
      <c r="A18781" s="74">
        <v>23573</v>
      </c>
    </row>
    <row r="18782" spans="1:1" x14ac:dyDescent="0.25">
      <c r="A18782" s="74">
        <v>23574</v>
      </c>
    </row>
    <row r="18783" spans="1:1" x14ac:dyDescent="0.25">
      <c r="A18783" s="74">
        <v>23575</v>
      </c>
    </row>
    <row r="18784" spans="1:1" x14ac:dyDescent="0.25">
      <c r="A18784" s="74">
        <v>23576</v>
      </c>
    </row>
    <row r="18785" spans="1:1" x14ac:dyDescent="0.25">
      <c r="A18785" s="74">
        <v>23577</v>
      </c>
    </row>
    <row r="18786" spans="1:1" x14ac:dyDescent="0.25">
      <c r="A18786" s="74">
        <v>23578</v>
      </c>
    </row>
    <row r="18787" spans="1:1" x14ac:dyDescent="0.25">
      <c r="A18787" s="74">
        <v>23579</v>
      </c>
    </row>
    <row r="18788" spans="1:1" x14ac:dyDescent="0.25">
      <c r="A18788" s="74">
        <v>23580</v>
      </c>
    </row>
    <row r="18789" spans="1:1" x14ac:dyDescent="0.25">
      <c r="A18789" s="74">
        <v>23581</v>
      </c>
    </row>
    <row r="18790" spans="1:1" x14ac:dyDescent="0.25">
      <c r="A18790" s="74">
        <v>23582</v>
      </c>
    </row>
    <row r="18791" spans="1:1" x14ac:dyDescent="0.25">
      <c r="A18791" s="74">
        <v>23583</v>
      </c>
    </row>
    <row r="18792" spans="1:1" x14ac:dyDescent="0.25">
      <c r="A18792" s="74">
        <v>23584</v>
      </c>
    </row>
    <row r="18793" spans="1:1" x14ac:dyDescent="0.25">
      <c r="A18793" s="74">
        <v>23585</v>
      </c>
    </row>
    <row r="18794" spans="1:1" x14ac:dyDescent="0.25">
      <c r="A18794" s="74">
        <v>23586</v>
      </c>
    </row>
    <row r="18795" spans="1:1" x14ac:dyDescent="0.25">
      <c r="A18795" s="74">
        <v>23587</v>
      </c>
    </row>
    <row r="18796" spans="1:1" x14ac:dyDescent="0.25">
      <c r="A18796" s="74">
        <v>23588</v>
      </c>
    </row>
    <row r="18797" spans="1:1" x14ac:dyDescent="0.25">
      <c r="A18797" s="74">
        <v>23589</v>
      </c>
    </row>
    <row r="18798" spans="1:1" x14ac:dyDescent="0.25">
      <c r="A18798" s="74">
        <v>23590</v>
      </c>
    </row>
    <row r="18799" spans="1:1" x14ac:dyDescent="0.25">
      <c r="A18799" s="74">
        <v>23591</v>
      </c>
    </row>
    <row r="18800" spans="1:1" x14ac:dyDescent="0.25">
      <c r="A18800" s="74">
        <v>23592</v>
      </c>
    </row>
    <row r="18801" spans="1:1" x14ac:dyDescent="0.25">
      <c r="A18801" s="74">
        <v>23593</v>
      </c>
    </row>
    <row r="18802" spans="1:1" x14ac:dyDescent="0.25">
      <c r="A18802" s="74">
        <v>23594</v>
      </c>
    </row>
    <row r="18803" spans="1:1" x14ac:dyDescent="0.25">
      <c r="A18803" s="74">
        <v>23595</v>
      </c>
    </row>
    <row r="18804" spans="1:1" x14ac:dyDescent="0.25">
      <c r="A18804" s="74">
        <v>23596</v>
      </c>
    </row>
    <row r="18805" spans="1:1" x14ac:dyDescent="0.25">
      <c r="A18805" s="74">
        <v>23597</v>
      </c>
    </row>
    <row r="18806" spans="1:1" x14ac:dyDescent="0.25">
      <c r="A18806" s="74">
        <v>23598</v>
      </c>
    </row>
    <row r="18807" spans="1:1" x14ac:dyDescent="0.25">
      <c r="A18807" s="74">
        <v>23599</v>
      </c>
    </row>
    <row r="18808" spans="1:1" x14ac:dyDescent="0.25">
      <c r="A18808" s="74">
        <v>23600</v>
      </c>
    </row>
    <row r="18809" spans="1:1" x14ac:dyDescent="0.25">
      <c r="A18809" s="74">
        <v>23601</v>
      </c>
    </row>
    <row r="18810" spans="1:1" x14ac:dyDescent="0.25">
      <c r="A18810" s="74">
        <v>23602</v>
      </c>
    </row>
    <row r="18811" spans="1:1" x14ac:dyDescent="0.25">
      <c r="A18811" s="74">
        <v>23603</v>
      </c>
    </row>
    <row r="18812" spans="1:1" x14ac:dyDescent="0.25">
      <c r="A18812" s="74">
        <v>23604</v>
      </c>
    </row>
    <row r="18813" spans="1:1" x14ac:dyDescent="0.25">
      <c r="A18813" s="74">
        <v>23605</v>
      </c>
    </row>
    <row r="18814" spans="1:1" x14ac:dyDescent="0.25">
      <c r="A18814" s="74">
        <v>23606</v>
      </c>
    </row>
    <row r="18815" spans="1:1" x14ac:dyDescent="0.25">
      <c r="A18815" s="74">
        <v>23607</v>
      </c>
    </row>
    <row r="18816" spans="1:1" x14ac:dyDescent="0.25">
      <c r="A18816" s="74">
        <v>23608</v>
      </c>
    </row>
    <row r="18817" spans="1:1" x14ac:dyDescent="0.25">
      <c r="A18817" s="74">
        <v>23609</v>
      </c>
    </row>
    <row r="18818" spans="1:1" x14ac:dyDescent="0.25">
      <c r="A18818" s="74">
        <v>23610</v>
      </c>
    </row>
    <row r="18819" spans="1:1" x14ac:dyDescent="0.25">
      <c r="A18819" s="74">
        <v>23611</v>
      </c>
    </row>
    <row r="18820" spans="1:1" x14ac:dyDescent="0.25">
      <c r="A18820" s="74">
        <v>23612</v>
      </c>
    </row>
    <row r="18821" spans="1:1" x14ac:dyDescent="0.25">
      <c r="A18821" s="74">
        <v>23613</v>
      </c>
    </row>
    <row r="18822" spans="1:1" x14ac:dyDescent="0.25">
      <c r="A18822" s="74">
        <v>23614</v>
      </c>
    </row>
    <row r="18823" spans="1:1" x14ac:dyDescent="0.25">
      <c r="A18823" s="74">
        <v>23615</v>
      </c>
    </row>
    <row r="18824" spans="1:1" x14ac:dyDescent="0.25">
      <c r="A18824" s="74">
        <v>23616</v>
      </c>
    </row>
    <row r="18825" spans="1:1" x14ac:dyDescent="0.25">
      <c r="A18825" s="74">
        <v>23617</v>
      </c>
    </row>
    <row r="18826" spans="1:1" x14ac:dyDescent="0.25">
      <c r="A18826" s="74">
        <v>23618</v>
      </c>
    </row>
    <row r="18827" spans="1:1" x14ac:dyDescent="0.25">
      <c r="A18827" s="74">
        <v>23619</v>
      </c>
    </row>
    <row r="18828" spans="1:1" x14ac:dyDescent="0.25">
      <c r="A18828" s="74">
        <v>23620</v>
      </c>
    </row>
    <row r="18829" spans="1:1" x14ac:dyDescent="0.25">
      <c r="A18829" s="74">
        <v>23621</v>
      </c>
    </row>
    <row r="18830" spans="1:1" x14ac:dyDescent="0.25">
      <c r="A18830" s="74">
        <v>23622</v>
      </c>
    </row>
    <row r="18831" spans="1:1" x14ac:dyDescent="0.25">
      <c r="A18831" s="74">
        <v>23623</v>
      </c>
    </row>
    <row r="18832" spans="1:1" x14ac:dyDescent="0.25">
      <c r="A18832" s="74">
        <v>23624</v>
      </c>
    </row>
    <row r="18833" spans="1:1" x14ac:dyDescent="0.25">
      <c r="A18833" s="74">
        <v>23625</v>
      </c>
    </row>
    <row r="18834" spans="1:1" x14ac:dyDescent="0.25">
      <c r="A18834" s="74">
        <v>23626</v>
      </c>
    </row>
    <row r="18835" spans="1:1" x14ac:dyDescent="0.25">
      <c r="A18835" s="74">
        <v>23627</v>
      </c>
    </row>
    <row r="18836" spans="1:1" x14ac:dyDescent="0.25">
      <c r="A18836" s="74">
        <v>23628</v>
      </c>
    </row>
    <row r="18837" spans="1:1" x14ac:dyDescent="0.25">
      <c r="A18837" s="74">
        <v>23629</v>
      </c>
    </row>
    <row r="18838" spans="1:1" x14ac:dyDescent="0.25">
      <c r="A18838" s="74">
        <v>23630</v>
      </c>
    </row>
    <row r="18839" spans="1:1" x14ac:dyDescent="0.25">
      <c r="A18839" s="74">
        <v>23631</v>
      </c>
    </row>
    <row r="18840" spans="1:1" x14ac:dyDescent="0.25">
      <c r="A18840" s="74">
        <v>23632</v>
      </c>
    </row>
    <row r="18841" spans="1:1" x14ac:dyDescent="0.25">
      <c r="A18841" s="74">
        <v>23633</v>
      </c>
    </row>
    <row r="18842" spans="1:1" x14ac:dyDescent="0.25">
      <c r="A18842" s="74">
        <v>23634</v>
      </c>
    </row>
    <row r="18843" spans="1:1" x14ac:dyDescent="0.25">
      <c r="A18843" s="74">
        <v>23635</v>
      </c>
    </row>
    <row r="18844" spans="1:1" x14ac:dyDescent="0.25">
      <c r="A18844" s="74">
        <v>23636</v>
      </c>
    </row>
    <row r="18845" spans="1:1" x14ac:dyDescent="0.25">
      <c r="A18845" s="74">
        <v>23637</v>
      </c>
    </row>
    <row r="18846" spans="1:1" x14ac:dyDescent="0.25">
      <c r="A18846" s="74">
        <v>23638</v>
      </c>
    </row>
    <row r="18847" spans="1:1" x14ac:dyDescent="0.25">
      <c r="A18847" s="74">
        <v>23639</v>
      </c>
    </row>
    <row r="18848" spans="1:1" x14ac:dyDescent="0.25">
      <c r="A18848" s="74">
        <v>23640</v>
      </c>
    </row>
    <row r="18849" spans="1:1" x14ac:dyDescent="0.25">
      <c r="A18849" s="74">
        <v>23641</v>
      </c>
    </row>
    <row r="18850" spans="1:1" x14ac:dyDescent="0.25">
      <c r="A18850" s="74">
        <v>23642</v>
      </c>
    </row>
    <row r="18851" spans="1:1" x14ac:dyDescent="0.25">
      <c r="A18851" s="74">
        <v>23643</v>
      </c>
    </row>
    <row r="18852" spans="1:1" x14ac:dyDescent="0.25">
      <c r="A18852" s="74">
        <v>23644</v>
      </c>
    </row>
    <row r="18853" spans="1:1" x14ac:dyDescent="0.25">
      <c r="A18853" s="74">
        <v>23645</v>
      </c>
    </row>
    <row r="18854" spans="1:1" x14ac:dyDescent="0.25">
      <c r="A18854" s="74">
        <v>23646</v>
      </c>
    </row>
    <row r="18855" spans="1:1" x14ac:dyDescent="0.25">
      <c r="A18855" s="74">
        <v>23647</v>
      </c>
    </row>
    <row r="18856" spans="1:1" x14ac:dyDescent="0.25">
      <c r="A18856" s="74">
        <v>23648</v>
      </c>
    </row>
    <row r="18857" spans="1:1" x14ac:dyDescent="0.25">
      <c r="A18857" s="74">
        <v>23649</v>
      </c>
    </row>
    <row r="18858" spans="1:1" x14ac:dyDescent="0.25">
      <c r="A18858" s="74">
        <v>23650</v>
      </c>
    </row>
    <row r="18859" spans="1:1" x14ac:dyDescent="0.25">
      <c r="A18859" s="74">
        <v>23651</v>
      </c>
    </row>
    <row r="18860" spans="1:1" x14ac:dyDescent="0.25">
      <c r="A18860" s="74">
        <v>23652</v>
      </c>
    </row>
    <row r="18861" spans="1:1" x14ac:dyDescent="0.25">
      <c r="A18861" s="74">
        <v>23653</v>
      </c>
    </row>
    <row r="18862" spans="1:1" x14ac:dyDescent="0.25">
      <c r="A18862" s="74">
        <v>23654</v>
      </c>
    </row>
    <row r="18863" spans="1:1" x14ac:dyDescent="0.25">
      <c r="A18863" s="74">
        <v>23655</v>
      </c>
    </row>
    <row r="18864" spans="1:1" x14ac:dyDescent="0.25">
      <c r="A18864" s="74">
        <v>23656</v>
      </c>
    </row>
    <row r="18865" spans="1:1" x14ac:dyDescent="0.25">
      <c r="A18865" s="74">
        <v>23657</v>
      </c>
    </row>
    <row r="18866" spans="1:1" x14ac:dyDescent="0.25">
      <c r="A18866" s="74">
        <v>23658</v>
      </c>
    </row>
    <row r="18867" spans="1:1" x14ac:dyDescent="0.25">
      <c r="A18867" s="74">
        <v>23659</v>
      </c>
    </row>
    <row r="18868" spans="1:1" x14ac:dyDescent="0.25">
      <c r="A18868" s="74">
        <v>23660</v>
      </c>
    </row>
    <row r="18869" spans="1:1" x14ac:dyDescent="0.25">
      <c r="A18869" s="74">
        <v>23661</v>
      </c>
    </row>
    <row r="18870" spans="1:1" x14ac:dyDescent="0.25">
      <c r="A18870" s="74">
        <v>23662</v>
      </c>
    </row>
    <row r="18871" spans="1:1" x14ac:dyDescent="0.25">
      <c r="A18871" s="74">
        <v>23663</v>
      </c>
    </row>
    <row r="18872" spans="1:1" x14ac:dyDescent="0.25">
      <c r="A18872" s="74">
        <v>23664</v>
      </c>
    </row>
    <row r="18873" spans="1:1" x14ac:dyDescent="0.25">
      <c r="A18873" s="74">
        <v>23665</v>
      </c>
    </row>
    <row r="18874" spans="1:1" x14ac:dyDescent="0.25">
      <c r="A18874" s="74">
        <v>23666</v>
      </c>
    </row>
    <row r="18875" spans="1:1" x14ac:dyDescent="0.25">
      <c r="A18875" s="74">
        <v>23667</v>
      </c>
    </row>
    <row r="18876" spans="1:1" x14ac:dyDescent="0.25">
      <c r="A18876" s="74">
        <v>23668</v>
      </c>
    </row>
    <row r="18877" spans="1:1" x14ac:dyDescent="0.25">
      <c r="A18877" s="74">
        <v>23669</v>
      </c>
    </row>
    <row r="18878" spans="1:1" x14ac:dyDescent="0.25">
      <c r="A18878" s="74">
        <v>23670</v>
      </c>
    </row>
    <row r="18879" spans="1:1" x14ac:dyDescent="0.25">
      <c r="A18879" s="74">
        <v>23671</v>
      </c>
    </row>
    <row r="18880" spans="1:1" x14ac:dyDescent="0.25">
      <c r="A18880" s="74">
        <v>23672</v>
      </c>
    </row>
    <row r="18881" spans="1:1" x14ac:dyDescent="0.25">
      <c r="A18881" s="74">
        <v>23673</v>
      </c>
    </row>
    <row r="18882" spans="1:1" x14ac:dyDescent="0.25">
      <c r="A18882" s="74">
        <v>23674</v>
      </c>
    </row>
    <row r="18883" spans="1:1" x14ac:dyDescent="0.25">
      <c r="A18883" s="74">
        <v>23675</v>
      </c>
    </row>
    <row r="18884" spans="1:1" x14ac:dyDescent="0.25">
      <c r="A18884" s="74">
        <v>23676</v>
      </c>
    </row>
    <row r="18885" spans="1:1" x14ac:dyDescent="0.25">
      <c r="A18885" s="74">
        <v>23677</v>
      </c>
    </row>
    <row r="18886" spans="1:1" x14ac:dyDescent="0.25">
      <c r="A18886" s="74">
        <v>23678</v>
      </c>
    </row>
    <row r="18887" spans="1:1" x14ac:dyDescent="0.25">
      <c r="A18887" s="74">
        <v>23679</v>
      </c>
    </row>
    <row r="18888" spans="1:1" x14ac:dyDescent="0.25">
      <c r="A18888" s="74">
        <v>23680</v>
      </c>
    </row>
    <row r="18889" spans="1:1" x14ac:dyDescent="0.25">
      <c r="A18889" s="74">
        <v>23681</v>
      </c>
    </row>
    <row r="18890" spans="1:1" x14ac:dyDescent="0.25">
      <c r="A18890" s="74">
        <v>23682</v>
      </c>
    </row>
    <row r="18891" spans="1:1" x14ac:dyDescent="0.25">
      <c r="A18891" s="74">
        <v>23683</v>
      </c>
    </row>
    <row r="18892" spans="1:1" x14ac:dyDescent="0.25">
      <c r="A18892" s="74">
        <v>23684</v>
      </c>
    </row>
    <row r="18893" spans="1:1" x14ac:dyDescent="0.25">
      <c r="A18893" s="74">
        <v>23685</v>
      </c>
    </row>
    <row r="18894" spans="1:1" x14ac:dyDescent="0.25">
      <c r="A18894" s="74">
        <v>23686</v>
      </c>
    </row>
    <row r="18895" spans="1:1" x14ac:dyDescent="0.25">
      <c r="A18895" s="74">
        <v>23687</v>
      </c>
    </row>
    <row r="18896" spans="1:1" x14ac:dyDescent="0.25">
      <c r="A18896" s="74">
        <v>23688</v>
      </c>
    </row>
    <row r="18897" spans="1:1" x14ac:dyDescent="0.25">
      <c r="A18897" s="74">
        <v>23689</v>
      </c>
    </row>
    <row r="18898" spans="1:1" x14ac:dyDescent="0.25">
      <c r="A18898" s="74">
        <v>23690</v>
      </c>
    </row>
    <row r="18899" spans="1:1" x14ac:dyDescent="0.25">
      <c r="A18899" s="74">
        <v>23691</v>
      </c>
    </row>
    <row r="18900" spans="1:1" x14ac:dyDescent="0.25">
      <c r="A18900" s="74">
        <v>23692</v>
      </c>
    </row>
    <row r="18901" spans="1:1" x14ac:dyDescent="0.25">
      <c r="A18901" s="74">
        <v>23693</v>
      </c>
    </row>
    <row r="18902" spans="1:1" x14ac:dyDescent="0.25">
      <c r="A18902" s="74">
        <v>23694</v>
      </c>
    </row>
    <row r="18903" spans="1:1" x14ac:dyDescent="0.25">
      <c r="A18903" s="74">
        <v>23695</v>
      </c>
    </row>
    <row r="18904" spans="1:1" x14ac:dyDescent="0.25">
      <c r="A18904" s="74">
        <v>23696</v>
      </c>
    </row>
    <row r="18905" spans="1:1" x14ac:dyDescent="0.25">
      <c r="A18905" s="74">
        <v>23697</v>
      </c>
    </row>
    <row r="18906" spans="1:1" x14ac:dyDescent="0.25">
      <c r="A18906" s="74">
        <v>23698</v>
      </c>
    </row>
    <row r="18907" spans="1:1" x14ac:dyDescent="0.25">
      <c r="A18907" s="74">
        <v>23699</v>
      </c>
    </row>
    <row r="18908" spans="1:1" x14ac:dyDescent="0.25">
      <c r="A18908" s="74">
        <v>23700</v>
      </c>
    </row>
    <row r="18909" spans="1:1" x14ac:dyDescent="0.25">
      <c r="A18909" s="74">
        <v>23701</v>
      </c>
    </row>
    <row r="18910" spans="1:1" x14ac:dyDescent="0.25">
      <c r="A18910" s="74">
        <v>23702</v>
      </c>
    </row>
    <row r="18911" spans="1:1" x14ac:dyDescent="0.25">
      <c r="A18911" s="74">
        <v>23703</v>
      </c>
    </row>
    <row r="18912" spans="1:1" x14ac:dyDescent="0.25">
      <c r="A18912" s="74">
        <v>23704</v>
      </c>
    </row>
    <row r="18913" spans="1:1" x14ac:dyDescent="0.25">
      <c r="A18913" s="74">
        <v>23705</v>
      </c>
    </row>
    <row r="18914" spans="1:1" x14ac:dyDescent="0.25">
      <c r="A18914" s="74">
        <v>23706</v>
      </c>
    </row>
    <row r="18915" spans="1:1" x14ac:dyDescent="0.25">
      <c r="A18915" s="74">
        <v>23707</v>
      </c>
    </row>
    <row r="18916" spans="1:1" x14ac:dyDescent="0.25">
      <c r="A18916" s="74">
        <v>23708</v>
      </c>
    </row>
    <row r="18917" spans="1:1" x14ac:dyDescent="0.25">
      <c r="A18917" s="74">
        <v>23709</v>
      </c>
    </row>
    <row r="18918" spans="1:1" x14ac:dyDescent="0.25">
      <c r="A18918" s="74">
        <v>23710</v>
      </c>
    </row>
    <row r="18919" spans="1:1" x14ac:dyDescent="0.25">
      <c r="A18919" s="74">
        <v>23711</v>
      </c>
    </row>
    <row r="18920" spans="1:1" x14ac:dyDescent="0.25">
      <c r="A18920" s="74">
        <v>23712</v>
      </c>
    </row>
    <row r="18921" spans="1:1" x14ac:dyDescent="0.25">
      <c r="A18921" s="74">
        <v>23713</v>
      </c>
    </row>
    <row r="18922" spans="1:1" x14ac:dyDescent="0.25">
      <c r="A18922" s="74">
        <v>23714</v>
      </c>
    </row>
    <row r="18923" spans="1:1" x14ac:dyDescent="0.25">
      <c r="A18923" s="74">
        <v>23715</v>
      </c>
    </row>
    <row r="18924" spans="1:1" x14ac:dyDescent="0.25">
      <c r="A18924" s="74">
        <v>23716</v>
      </c>
    </row>
    <row r="18925" spans="1:1" x14ac:dyDescent="0.25">
      <c r="A18925" s="74">
        <v>23717</v>
      </c>
    </row>
    <row r="18926" spans="1:1" x14ac:dyDescent="0.25">
      <c r="A18926" s="74">
        <v>23718</v>
      </c>
    </row>
    <row r="18927" spans="1:1" x14ac:dyDescent="0.25">
      <c r="A18927" s="74">
        <v>23719</v>
      </c>
    </row>
    <row r="18928" spans="1:1" x14ac:dyDescent="0.25">
      <c r="A18928" s="74">
        <v>23720</v>
      </c>
    </row>
    <row r="18929" spans="1:1" x14ac:dyDescent="0.25">
      <c r="A18929" s="74">
        <v>23721</v>
      </c>
    </row>
    <row r="18930" spans="1:1" x14ac:dyDescent="0.25">
      <c r="A18930" s="74">
        <v>23722</v>
      </c>
    </row>
    <row r="18931" spans="1:1" x14ac:dyDescent="0.25">
      <c r="A18931" s="74">
        <v>23723</v>
      </c>
    </row>
    <row r="18932" spans="1:1" x14ac:dyDescent="0.25">
      <c r="A18932" s="74">
        <v>23724</v>
      </c>
    </row>
    <row r="18933" spans="1:1" x14ac:dyDescent="0.25">
      <c r="A18933" s="74">
        <v>23725</v>
      </c>
    </row>
    <row r="18934" spans="1:1" x14ac:dyDescent="0.25">
      <c r="A18934" s="74">
        <v>23726</v>
      </c>
    </row>
    <row r="18935" spans="1:1" x14ac:dyDescent="0.25">
      <c r="A18935" s="74">
        <v>23727</v>
      </c>
    </row>
    <row r="18936" spans="1:1" x14ac:dyDescent="0.25">
      <c r="A18936" s="74">
        <v>23728</v>
      </c>
    </row>
    <row r="18937" spans="1:1" x14ac:dyDescent="0.25">
      <c r="A18937" s="74">
        <v>23729</v>
      </c>
    </row>
    <row r="18938" spans="1:1" x14ac:dyDescent="0.25">
      <c r="A18938" s="74">
        <v>23730</v>
      </c>
    </row>
    <row r="18939" spans="1:1" x14ac:dyDescent="0.25">
      <c r="A18939" s="74">
        <v>23731</v>
      </c>
    </row>
    <row r="18940" spans="1:1" x14ac:dyDescent="0.25">
      <c r="A18940" s="74">
        <v>23732</v>
      </c>
    </row>
    <row r="18941" spans="1:1" x14ac:dyDescent="0.25">
      <c r="A18941" s="74">
        <v>23733</v>
      </c>
    </row>
    <row r="18942" spans="1:1" x14ac:dyDescent="0.25">
      <c r="A18942" s="74">
        <v>23734</v>
      </c>
    </row>
    <row r="18943" spans="1:1" x14ac:dyDescent="0.25">
      <c r="A18943" s="74">
        <v>23735</v>
      </c>
    </row>
    <row r="18944" spans="1:1" x14ac:dyDescent="0.25">
      <c r="A18944" s="74">
        <v>23736</v>
      </c>
    </row>
    <row r="18945" spans="1:1" x14ac:dyDescent="0.25">
      <c r="A18945" s="74">
        <v>23737</v>
      </c>
    </row>
    <row r="18946" spans="1:1" x14ac:dyDescent="0.25">
      <c r="A18946" s="74">
        <v>23738</v>
      </c>
    </row>
    <row r="18947" spans="1:1" x14ac:dyDescent="0.25">
      <c r="A18947" s="74">
        <v>23739</v>
      </c>
    </row>
    <row r="18948" spans="1:1" x14ac:dyDescent="0.25">
      <c r="A18948" s="74">
        <v>23740</v>
      </c>
    </row>
    <row r="18949" spans="1:1" x14ac:dyDescent="0.25">
      <c r="A18949" s="74">
        <v>23741</v>
      </c>
    </row>
    <row r="18950" spans="1:1" x14ac:dyDescent="0.25">
      <c r="A18950" s="74">
        <v>23742</v>
      </c>
    </row>
    <row r="18951" spans="1:1" x14ac:dyDescent="0.25">
      <c r="A18951" s="74">
        <v>23743</v>
      </c>
    </row>
    <row r="18952" spans="1:1" x14ac:dyDescent="0.25">
      <c r="A18952" s="74">
        <v>23744</v>
      </c>
    </row>
    <row r="18953" spans="1:1" x14ac:dyDescent="0.25">
      <c r="A18953" s="74">
        <v>23745</v>
      </c>
    </row>
    <row r="18954" spans="1:1" x14ac:dyDescent="0.25">
      <c r="A18954" s="74">
        <v>23746</v>
      </c>
    </row>
    <row r="18955" spans="1:1" x14ac:dyDescent="0.25">
      <c r="A18955" s="74">
        <v>23747</v>
      </c>
    </row>
    <row r="18956" spans="1:1" x14ac:dyDescent="0.25">
      <c r="A18956" s="74">
        <v>23748</v>
      </c>
    </row>
    <row r="18957" spans="1:1" x14ac:dyDescent="0.25">
      <c r="A18957" s="74">
        <v>23749</v>
      </c>
    </row>
    <row r="18958" spans="1:1" x14ac:dyDescent="0.25">
      <c r="A18958" s="74">
        <v>23750</v>
      </c>
    </row>
    <row r="18959" spans="1:1" x14ac:dyDescent="0.25">
      <c r="A18959" s="74">
        <v>23751</v>
      </c>
    </row>
    <row r="18960" spans="1:1" x14ac:dyDescent="0.25">
      <c r="A18960" s="74">
        <v>23752</v>
      </c>
    </row>
    <row r="18961" spans="1:1" x14ac:dyDescent="0.25">
      <c r="A18961" s="74">
        <v>23753</v>
      </c>
    </row>
    <row r="18962" spans="1:1" x14ac:dyDescent="0.25">
      <c r="A18962" s="74">
        <v>23754</v>
      </c>
    </row>
    <row r="18963" spans="1:1" x14ac:dyDescent="0.25">
      <c r="A18963" s="74">
        <v>23755</v>
      </c>
    </row>
    <row r="18964" spans="1:1" x14ac:dyDescent="0.25">
      <c r="A18964" s="74">
        <v>23756</v>
      </c>
    </row>
    <row r="18965" spans="1:1" x14ac:dyDescent="0.25">
      <c r="A18965" s="74">
        <v>23757</v>
      </c>
    </row>
    <row r="18966" spans="1:1" x14ac:dyDescent="0.25">
      <c r="A18966" s="74">
        <v>23758</v>
      </c>
    </row>
    <row r="18967" spans="1:1" x14ac:dyDescent="0.25">
      <c r="A18967" s="74">
        <v>23759</v>
      </c>
    </row>
    <row r="18968" spans="1:1" x14ac:dyDescent="0.25">
      <c r="A18968" s="74">
        <v>23760</v>
      </c>
    </row>
    <row r="18969" spans="1:1" x14ac:dyDescent="0.25">
      <c r="A18969" s="74">
        <v>23761</v>
      </c>
    </row>
    <row r="18970" spans="1:1" x14ac:dyDescent="0.25">
      <c r="A18970" s="74">
        <v>23762</v>
      </c>
    </row>
    <row r="18971" spans="1:1" x14ac:dyDescent="0.25">
      <c r="A18971" s="74">
        <v>23763</v>
      </c>
    </row>
    <row r="18972" spans="1:1" x14ac:dyDescent="0.25">
      <c r="A18972" s="74">
        <v>23764</v>
      </c>
    </row>
    <row r="18973" spans="1:1" x14ac:dyDescent="0.25">
      <c r="A18973" s="74">
        <v>23765</v>
      </c>
    </row>
    <row r="18974" spans="1:1" x14ac:dyDescent="0.25">
      <c r="A18974" s="74">
        <v>23766</v>
      </c>
    </row>
    <row r="18975" spans="1:1" x14ac:dyDescent="0.25">
      <c r="A18975" s="74">
        <v>23767</v>
      </c>
    </row>
    <row r="18976" spans="1:1" x14ac:dyDescent="0.25">
      <c r="A18976" s="74">
        <v>23768</v>
      </c>
    </row>
    <row r="18977" spans="1:1" x14ac:dyDescent="0.25">
      <c r="A18977" s="74">
        <v>23769</v>
      </c>
    </row>
    <row r="18978" spans="1:1" x14ac:dyDescent="0.25">
      <c r="A18978" s="74">
        <v>23770</v>
      </c>
    </row>
    <row r="18979" spans="1:1" x14ac:dyDescent="0.25">
      <c r="A18979" s="74">
        <v>23771</v>
      </c>
    </row>
    <row r="18980" spans="1:1" x14ac:dyDescent="0.25">
      <c r="A18980" s="74">
        <v>23772</v>
      </c>
    </row>
    <row r="18981" spans="1:1" x14ac:dyDescent="0.25">
      <c r="A18981" s="74">
        <v>23773</v>
      </c>
    </row>
    <row r="18982" spans="1:1" x14ac:dyDescent="0.25">
      <c r="A18982" s="74">
        <v>23774</v>
      </c>
    </row>
    <row r="18983" spans="1:1" x14ac:dyDescent="0.25">
      <c r="A18983" s="74">
        <v>23775</v>
      </c>
    </row>
    <row r="18984" spans="1:1" x14ac:dyDescent="0.25">
      <c r="A18984" s="74">
        <v>23776</v>
      </c>
    </row>
    <row r="18985" spans="1:1" x14ac:dyDescent="0.25">
      <c r="A18985" s="74">
        <v>23777</v>
      </c>
    </row>
    <row r="18986" spans="1:1" x14ac:dyDescent="0.25">
      <c r="A18986" s="74">
        <v>23778</v>
      </c>
    </row>
    <row r="18987" spans="1:1" x14ac:dyDescent="0.25">
      <c r="A18987" s="74">
        <v>23779</v>
      </c>
    </row>
    <row r="18988" spans="1:1" x14ac:dyDescent="0.25">
      <c r="A18988" s="74">
        <v>23780</v>
      </c>
    </row>
    <row r="18989" spans="1:1" x14ac:dyDescent="0.25">
      <c r="A18989" s="74">
        <v>23781</v>
      </c>
    </row>
    <row r="18990" spans="1:1" x14ac:dyDescent="0.25">
      <c r="A18990" s="74">
        <v>23782</v>
      </c>
    </row>
    <row r="18991" spans="1:1" x14ac:dyDescent="0.25">
      <c r="A18991" s="74">
        <v>23783</v>
      </c>
    </row>
    <row r="18992" spans="1:1" x14ac:dyDescent="0.25">
      <c r="A18992" s="74">
        <v>23784</v>
      </c>
    </row>
    <row r="18993" spans="1:1" x14ac:dyDescent="0.25">
      <c r="A18993" s="74">
        <v>23785</v>
      </c>
    </row>
    <row r="18994" spans="1:1" x14ac:dyDescent="0.25">
      <c r="A18994" s="74">
        <v>23786</v>
      </c>
    </row>
    <row r="18995" spans="1:1" x14ac:dyDescent="0.25">
      <c r="A18995" s="74">
        <v>23787</v>
      </c>
    </row>
    <row r="18996" spans="1:1" x14ac:dyDescent="0.25">
      <c r="A18996" s="74">
        <v>23788</v>
      </c>
    </row>
    <row r="18997" spans="1:1" x14ac:dyDescent="0.25">
      <c r="A18997" s="74">
        <v>23789</v>
      </c>
    </row>
    <row r="18998" spans="1:1" x14ac:dyDescent="0.25">
      <c r="A18998" s="74">
        <v>23790</v>
      </c>
    </row>
    <row r="18999" spans="1:1" x14ac:dyDescent="0.25">
      <c r="A18999" s="74">
        <v>23791</v>
      </c>
    </row>
    <row r="19000" spans="1:1" x14ac:dyDescent="0.25">
      <c r="A19000" s="74">
        <v>23792</v>
      </c>
    </row>
    <row r="19001" spans="1:1" x14ac:dyDescent="0.25">
      <c r="A19001" s="74">
        <v>23793</v>
      </c>
    </row>
    <row r="19002" spans="1:1" x14ac:dyDescent="0.25">
      <c r="A19002" s="74">
        <v>23794</v>
      </c>
    </row>
    <row r="19003" spans="1:1" x14ac:dyDescent="0.25">
      <c r="A19003" s="74">
        <v>23795</v>
      </c>
    </row>
    <row r="19004" spans="1:1" x14ac:dyDescent="0.25">
      <c r="A19004" s="74">
        <v>23796</v>
      </c>
    </row>
    <row r="19005" spans="1:1" x14ac:dyDescent="0.25">
      <c r="A19005" s="74">
        <v>23797</v>
      </c>
    </row>
    <row r="19006" spans="1:1" x14ac:dyDescent="0.25">
      <c r="A19006" s="74">
        <v>23798</v>
      </c>
    </row>
    <row r="19007" spans="1:1" x14ac:dyDescent="0.25">
      <c r="A19007" s="74">
        <v>23799</v>
      </c>
    </row>
    <row r="19008" spans="1:1" x14ac:dyDescent="0.25">
      <c r="A19008" s="74">
        <v>23800</v>
      </c>
    </row>
    <row r="19009" spans="1:1" x14ac:dyDescent="0.25">
      <c r="A19009" s="74">
        <v>23801</v>
      </c>
    </row>
    <row r="19010" spans="1:1" x14ac:dyDescent="0.25">
      <c r="A19010" s="74">
        <v>23802</v>
      </c>
    </row>
    <row r="19011" spans="1:1" x14ac:dyDescent="0.25">
      <c r="A19011" s="74">
        <v>23803</v>
      </c>
    </row>
    <row r="19012" spans="1:1" x14ac:dyDescent="0.25">
      <c r="A19012" s="74">
        <v>23804</v>
      </c>
    </row>
    <row r="19013" spans="1:1" x14ac:dyDescent="0.25">
      <c r="A19013" s="74">
        <v>23805</v>
      </c>
    </row>
    <row r="19014" spans="1:1" x14ac:dyDescent="0.25">
      <c r="A19014" s="74">
        <v>23806</v>
      </c>
    </row>
    <row r="19015" spans="1:1" x14ac:dyDescent="0.25">
      <c r="A19015" s="74">
        <v>23807</v>
      </c>
    </row>
    <row r="19016" spans="1:1" x14ac:dyDescent="0.25">
      <c r="A19016" s="74">
        <v>23808</v>
      </c>
    </row>
    <row r="19017" spans="1:1" x14ac:dyDescent="0.25">
      <c r="A19017" s="74">
        <v>23809</v>
      </c>
    </row>
    <row r="19018" spans="1:1" x14ac:dyDescent="0.25">
      <c r="A19018" s="74">
        <v>23810</v>
      </c>
    </row>
    <row r="19019" spans="1:1" x14ac:dyDescent="0.25">
      <c r="A19019" s="74">
        <v>23811</v>
      </c>
    </row>
    <row r="19020" spans="1:1" x14ac:dyDescent="0.25">
      <c r="A19020" s="74">
        <v>23812</v>
      </c>
    </row>
    <row r="19021" spans="1:1" x14ac:dyDescent="0.25">
      <c r="A19021" s="74">
        <v>23813</v>
      </c>
    </row>
    <row r="19022" spans="1:1" x14ac:dyDescent="0.25">
      <c r="A19022" s="74">
        <v>23814</v>
      </c>
    </row>
    <row r="19023" spans="1:1" x14ac:dyDescent="0.25">
      <c r="A19023" s="74">
        <v>23815</v>
      </c>
    </row>
    <row r="19024" spans="1:1" x14ac:dyDescent="0.25">
      <c r="A19024" s="74">
        <v>23816</v>
      </c>
    </row>
    <row r="19025" spans="1:1" x14ac:dyDescent="0.25">
      <c r="A19025" s="74">
        <v>23817</v>
      </c>
    </row>
    <row r="19026" spans="1:1" x14ac:dyDescent="0.25">
      <c r="A19026" s="74">
        <v>23818</v>
      </c>
    </row>
    <row r="19027" spans="1:1" x14ac:dyDescent="0.25">
      <c r="A19027" s="74">
        <v>23819</v>
      </c>
    </row>
    <row r="19028" spans="1:1" x14ac:dyDescent="0.25">
      <c r="A19028" s="74">
        <v>23820</v>
      </c>
    </row>
    <row r="19029" spans="1:1" x14ac:dyDescent="0.25">
      <c r="A19029" s="74">
        <v>23821</v>
      </c>
    </row>
    <row r="19030" spans="1:1" x14ac:dyDescent="0.25">
      <c r="A19030" s="74">
        <v>23822</v>
      </c>
    </row>
    <row r="19031" spans="1:1" x14ac:dyDescent="0.25">
      <c r="A19031" s="74">
        <v>23823</v>
      </c>
    </row>
    <row r="19032" spans="1:1" x14ac:dyDescent="0.25">
      <c r="A19032" s="74">
        <v>23824</v>
      </c>
    </row>
    <row r="19033" spans="1:1" x14ac:dyDescent="0.25">
      <c r="A19033" s="74">
        <v>23825</v>
      </c>
    </row>
    <row r="19034" spans="1:1" x14ac:dyDescent="0.25">
      <c r="A19034" s="74">
        <v>23826</v>
      </c>
    </row>
    <row r="19035" spans="1:1" x14ac:dyDescent="0.25">
      <c r="A19035" s="74">
        <v>23827</v>
      </c>
    </row>
    <row r="19036" spans="1:1" x14ac:dyDescent="0.25">
      <c r="A19036" s="74">
        <v>23828</v>
      </c>
    </row>
    <row r="19037" spans="1:1" x14ac:dyDescent="0.25">
      <c r="A19037" s="74">
        <v>23829</v>
      </c>
    </row>
    <row r="19038" spans="1:1" x14ac:dyDescent="0.25">
      <c r="A19038" s="74">
        <v>23830</v>
      </c>
    </row>
    <row r="19039" spans="1:1" x14ac:dyDescent="0.25">
      <c r="A19039" s="74">
        <v>23831</v>
      </c>
    </row>
    <row r="19040" spans="1:1" x14ac:dyDescent="0.25">
      <c r="A19040" s="74">
        <v>23832</v>
      </c>
    </row>
    <row r="19041" spans="1:1" x14ac:dyDescent="0.25">
      <c r="A19041" s="74">
        <v>23833</v>
      </c>
    </row>
    <row r="19042" spans="1:1" x14ac:dyDescent="0.25">
      <c r="A19042" s="74">
        <v>23834</v>
      </c>
    </row>
    <row r="19043" spans="1:1" x14ac:dyDescent="0.25">
      <c r="A19043" s="74">
        <v>23835</v>
      </c>
    </row>
    <row r="19044" spans="1:1" x14ac:dyDescent="0.25">
      <c r="A19044" s="74">
        <v>23836</v>
      </c>
    </row>
    <row r="19045" spans="1:1" x14ac:dyDescent="0.25">
      <c r="A19045" s="74">
        <v>23837</v>
      </c>
    </row>
    <row r="19046" spans="1:1" x14ac:dyDescent="0.25">
      <c r="A19046" s="74">
        <v>23838</v>
      </c>
    </row>
    <row r="19047" spans="1:1" x14ac:dyDescent="0.25">
      <c r="A19047" s="74">
        <v>23839</v>
      </c>
    </row>
    <row r="19048" spans="1:1" x14ac:dyDescent="0.25">
      <c r="A19048" s="74">
        <v>23840</v>
      </c>
    </row>
    <row r="19049" spans="1:1" x14ac:dyDescent="0.25">
      <c r="A19049" s="74">
        <v>23841</v>
      </c>
    </row>
    <row r="19050" spans="1:1" x14ac:dyDescent="0.25">
      <c r="A19050" s="74">
        <v>23842</v>
      </c>
    </row>
    <row r="19051" spans="1:1" x14ac:dyDescent="0.25">
      <c r="A19051" s="74">
        <v>23843</v>
      </c>
    </row>
    <row r="19052" spans="1:1" x14ac:dyDescent="0.25">
      <c r="A19052" s="74">
        <v>23844</v>
      </c>
    </row>
    <row r="19053" spans="1:1" x14ac:dyDescent="0.25">
      <c r="A19053" s="74">
        <v>23845</v>
      </c>
    </row>
    <row r="19054" spans="1:1" x14ac:dyDescent="0.25">
      <c r="A19054" s="74">
        <v>23846</v>
      </c>
    </row>
    <row r="19055" spans="1:1" x14ac:dyDescent="0.25">
      <c r="A19055" s="74">
        <v>23847</v>
      </c>
    </row>
    <row r="19056" spans="1:1" x14ac:dyDescent="0.25">
      <c r="A19056" s="74">
        <v>23848</v>
      </c>
    </row>
    <row r="19057" spans="1:1" x14ac:dyDescent="0.25">
      <c r="A19057" s="74">
        <v>23849</v>
      </c>
    </row>
    <row r="19058" spans="1:1" x14ac:dyDescent="0.25">
      <c r="A19058" s="74">
        <v>23850</v>
      </c>
    </row>
    <row r="19059" spans="1:1" x14ac:dyDescent="0.25">
      <c r="A19059" s="74">
        <v>23851</v>
      </c>
    </row>
    <row r="19060" spans="1:1" x14ac:dyDescent="0.25">
      <c r="A19060" s="74">
        <v>23852</v>
      </c>
    </row>
    <row r="19061" spans="1:1" x14ac:dyDescent="0.25">
      <c r="A19061" s="74">
        <v>23853</v>
      </c>
    </row>
    <row r="19062" spans="1:1" x14ac:dyDescent="0.25">
      <c r="A19062" s="74">
        <v>23854</v>
      </c>
    </row>
    <row r="19063" spans="1:1" x14ac:dyDescent="0.25">
      <c r="A19063" s="74">
        <v>23855</v>
      </c>
    </row>
    <row r="19064" spans="1:1" x14ac:dyDescent="0.25">
      <c r="A19064" s="74">
        <v>23856</v>
      </c>
    </row>
    <row r="19065" spans="1:1" x14ac:dyDescent="0.25">
      <c r="A19065" s="74">
        <v>23857</v>
      </c>
    </row>
    <row r="19066" spans="1:1" x14ac:dyDescent="0.25">
      <c r="A19066" s="74">
        <v>23858</v>
      </c>
    </row>
    <row r="19067" spans="1:1" x14ac:dyDescent="0.25">
      <c r="A19067" s="74">
        <v>23859</v>
      </c>
    </row>
    <row r="19068" spans="1:1" x14ac:dyDescent="0.25">
      <c r="A19068" s="74">
        <v>23860</v>
      </c>
    </row>
    <row r="19069" spans="1:1" x14ac:dyDescent="0.25">
      <c r="A19069" s="74">
        <v>23861</v>
      </c>
    </row>
    <row r="19070" spans="1:1" x14ac:dyDescent="0.25">
      <c r="A19070" s="74">
        <v>23862</v>
      </c>
    </row>
    <row r="19071" spans="1:1" x14ac:dyDescent="0.25">
      <c r="A19071" s="74">
        <v>23863</v>
      </c>
    </row>
    <row r="19072" spans="1:1" x14ac:dyDescent="0.25">
      <c r="A19072" s="74">
        <v>23864</v>
      </c>
    </row>
    <row r="19073" spans="1:1" x14ac:dyDescent="0.25">
      <c r="A19073" s="74">
        <v>23865</v>
      </c>
    </row>
    <row r="19074" spans="1:1" x14ac:dyDescent="0.25">
      <c r="A19074" s="74">
        <v>23866</v>
      </c>
    </row>
    <row r="19075" spans="1:1" x14ac:dyDescent="0.25">
      <c r="A19075" s="74">
        <v>23867</v>
      </c>
    </row>
    <row r="19076" spans="1:1" x14ac:dyDescent="0.25">
      <c r="A19076" s="74">
        <v>23868</v>
      </c>
    </row>
    <row r="19077" spans="1:1" x14ac:dyDescent="0.25">
      <c r="A19077" s="74">
        <v>23869</v>
      </c>
    </row>
    <row r="19078" spans="1:1" x14ac:dyDescent="0.25">
      <c r="A19078" s="74">
        <v>23870</v>
      </c>
    </row>
    <row r="19079" spans="1:1" x14ac:dyDescent="0.25">
      <c r="A19079" s="74">
        <v>23871</v>
      </c>
    </row>
    <row r="19080" spans="1:1" x14ac:dyDescent="0.25">
      <c r="A19080" s="74">
        <v>23872</v>
      </c>
    </row>
    <row r="19081" spans="1:1" x14ac:dyDescent="0.25">
      <c r="A19081" s="74">
        <v>23873</v>
      </c>
    </row>
    <row r="19082" spans="1:1" x14ac:dyDescent="0.25">
      <c r="A19082" s="74">
        <v>23874</v>
      </c>
    </row>
    <row r="19083" spans="1:1" x14ac:dyDescent="0.25">
      <c r="A19083" s="74">
        <v>23875</v>
      </c>
    </row>
    <row r="19084" spans="1:1" x14ac:dyDescent="0.25">
      <c r="A19084" s="74">
        <v>23876</v>
      </c>
    </row>
    <row r="19085" spans="1:1" x14ac:dyDescent="0.25">
      <c r="A19085" s="74">
        <v>23877</v>
      </c>
    </row>
    <row r="19086" spans="1:1" x14ac:dyDescent="0.25">
      <c r="A19086" s="74">
        <v>23878</v>
      </c>
    </row>
    <row r="19087" spans="1:1" x14ac:dyDescent="0.25">
      <c r="A19087" s="74">
        <v>23879</v>
      </c>
    </row>
    <row r="19088" spans="1:1" x14ac:dyDescent="0.25">
      <c r="A19088" s="74">
        <v>23880</v>
      </c>
    </row>
    <row r="19089" spans="1:1" x14ac:dyDescent="0.25">
      <c r="A19089" s="74">
        <v>23881</v>
      </c>
    </row>
    <row r="19090" spans="1:1" x14ac:dyDescent="0.25">
      <c r="A19090" s="74">
        <v>23882</v>
      </c>
    </row>
    <row r="19091" spans="1:1" x14ac:dyDescent="0.25">
      <c r="A19091" s="74">
        <v>23883</v>
      </c>
    </row>
    <row r="19092" spans="1:1" x14ac:dyDescent="0.25">
      <c r="A19092" s="74">
        <v>23884</v>
      </c>
    </row>
    <row r="19093" spans="1:1" x14ac:dyDescent="0.25">
      <c r="A19093" s="74">
        <v>23885</v>
      </c>
    </row>
    <row r="19094" spans="1:1" x14ac:dyDescent="0.25">
      <c r="A19094" s="74">
        <v>23886</v>
      </c>
    </row>
    <row r="19095" spans="1:1" x14ac:dyDescent="0.25">
      <c r="A19095" s="74">
        <v>23887</v>
      </c>
    </row>
    <row r="19096" spans="1:1" x14ac:dyDescent="0.25">
      <c r="A19096" s="74">
        <v>23888</v>
      </c>
    </row>
    <row r="19097" spans="1:1" x14ac:dyDescent="0.25">
      <c r="A19097" s="74">
        <v>23889</v>
      </c>
    </row>
    <row r="19098" spans="1:1" x14ac:dyDescent="0.25">
      <c r="A19098" s="74">
        <v>23890</v>
      </c>
    </row>
    <row r="19099" spans="1:1" x14ac:dyDescent="0.25">
      <c r="A19099" s="74">
        <v>23891</v>
      </c>
    </row>
    <row r="19100" spans="1:1" x14ac:dyDescent="0.25">
      <c r="A19100" s="74">
        <v>23892</v>
      </c>
    </row>
    <row r="19101" spans="1:1" x14ac:dyDescent="0.25">
      <c r="A19101" s="74">
        <v>23893</v>
      </c>
    </row>
    <row r="19102" spans="1:1" x14ac:dyDescent="0.25">
      <c r="A19102" s="74">
        <v>23894</v>
      </c>
    </row>
    <row r="19103" spans="1:1" x14ac:dyDescent="0.25">
      <c r="A19103" s="74">
        <v>23895</v>
      </c>
    </row>
    <row r="19104" spans="1:1" x14ac:dyDescent="0.25">
      <c r="A19104" s="74">
        <v>23896</v>
      </c>
    </row>
    <row r="19105" spans="1:1" x14ac:dyDescent="0.25">
      <c r="A19105" s="74">
        <v>23897</v>
      </c>
    </row>
    <row r="19106" spans="1:1" x14ac:dyDescent="0.25">
      <c r="A19106" s="74">
        <v>23898</v>
      </c>
    </row>
    <row r="19107" spans="1:1" x14ac:dyDescent="0.25">
      <c r="A19107" s="74">
        <v>23899</v>
      </c>
    </row>
    <row r="19108" spans="1:1" x14ac:dyDescent="0.25">
      <c r="A19108" s="74">
        <v>23900</v>
      </c>
    </row>
    <row r="19109" spans="1:1" x14ac:dyDescent="0.25">
      <c r="A19109" s="74">
        <v>23901</v>
      </c>
    </row>
    <row r="19110" spans="1:1" x14ac:dyDescent="0.25">
      <c r="A19110" s="74">
        <v>23902</v>
      </c>
    </row>
    <row r="19111" spans="1:1" x14ac:dyDescent="0.25">
      <c r="A19111" s="74">
        <v>23903</v>
      </c>
    </row>
    <row r="19112" spans="1:1" x14ac:dyDescent="0.25">
      <c r="A19112" s="74">
        <v>23904</v>
      </c>
    </row>
    <row r="19113" spans="1:1" x14ac:dyDescent="0.25">
      <c r="A19113" s="74">
        <v>23905</v>
      </c>
    </row>
    <row r="19114" spans="1:1" x14ac:dyDescent="0.25">
      <c r="A19114" s="74">
        <v>23906</v>
      </c>
    </row>
    <row r="19115" spans="1:1" x14ac:dyDescent="0.25">
      <c r="A19115" s="74">
        <v>23907</v>
      </c>
    </row>
    <row r="19116" spans="1:1" x14ac:dyDescent="0.25">
      <c r="A19116" s="74">
        <v>23908</v>
      </c>
    </row>
    <row r="19117" spans="1:1" x14ac:dyDescent="0.25">
      <c r="A19117" s="74">
        <v>23909</v>
      </c>
    </row>
    <row r="19118" spans="1:1" x14ac:dyDescent="0.25">
      <c r="A19118" s="74">
        <v>23910</v>
      </c>
    </row>
    <row r="19119" spans="1:1" x14ac:dyDescent="0.25">
      <c r="A19119" s="74">
        <v>23911</v>
      </c>
    </row>
    <row r="19120" spans="1:1" x14ac:dyDescent="0.25">
      <c r="A19120" s="74">
        <v>23912</v>
      </c>
    </row>
    <row r="19121" spans="1:1" x14ac:dyDescent="0.25">
      <c r="A19121" s="74">
        <v>23913</v>
      </c>
    </row>
    <row r="19122" spans="1:1" x14ac:dyDescent="0.25">
      <c r="A19122" s="74">
        <v>23914</v>
      </c>
    </row>
    <row r="19123" spans="1:1" x14ac:dyDescent="0.25">
      <c r="A19123" s="74">
        <v>23915</v>
      </c>
    </row>
    <row r="19124" spans="1:1" x14ac:dyDescent="0.25">
      <c r="A19124" s="74">
        <v>23916</v>
      </c>
    </row>
    <row r="19125" spans="1:1" x14ac:dyDescent="0.25">
      <c r="A19125" s="74">
        <v>23917</v>
      </c>
    </row>
    <row r="19126" spans="1:1" x14ac:dyDescent="0.25">
      <c r="A19126" s="74">
        <v>23918</v>
      </c>
    </row>
    <row r="19127" spans="1:1" x14ac:dyDescent="0.25">
      <c r="A19127" s="74">
        <v>23919</v>
      </c>
    </row>
    <row r="19128" spans="1:1" x14ac:dyDescent="0.25">
      <c r="A19128" s="74">
        <v>23920</v>
      </c>
    </row>
    <row r="19129" spans="1:1" x14ac:dyDescent="0.25">
      <c r="A19129" s="74">
        <v>23921</v>
      </c>
    </row>
    <row r="19130" spans="1:1" x14ac:dyDescent="0.25">
      <c r="A19130" s="74">
        <v>23922</v>
      </c>
    </row>
    <row r="19131" spans="1:1" x14ac:dyDescent="0.25">
      <c r="A19131" s="74">
        <v>23923</v>
      </c>
    </row>
    <row r="19132" spans="1:1" x14ac:dyDescent="0.25">
      <c r="A19132" s="74">
        <v>23924</v>
      </c>
    </row>
    <row r="19133" spans="1:1" x14ac:dyDescent="0.25">
      <c r="A19133" s="74">
        <v>23925</v>
      </c>
    </row>
    <row r="19134" spans="1:1" x14ac:dyDescent="0.25">
      <c r="A19134" s="74">
        <v>23926</v>
      </c>
    </row>
    <row r="19135" spans="1:1" x14ac:dyDescent="0.25">
      <c r="A19135" s="74">
        <v>23927</v>
      </c>
    </row>
    <row r="19136" spans="1:1" x14ac:dyDescent="0.25">
      <c r="A19136" s="74">
        <v>23928</v>
      </c>
    </row>
    <row r="19137" spans="1:1" x14ac:dyDescent="0.25">
      <c r="A19137" s="74">
        <v>23929</v>
      </c>
    </row>
    <row r="19138" spans="1:1" x14ac:dyDescent="0.25">
      <c r="A19138" s="74">
        <v>23930</v>
      </c>
    </row>
    <row r="19139" spans="1:1" x14ac:dyDescent="0.25">
      <c r="A19139" s="74">
        <v>23931</v>
      </c>
    </row>
    <row r="19140" spans="1:1" x14ac:dyDescent="0.25">
      <c r="A19140" s="74">
        <v>23932</v>
      </c>
    </row>
    <row r="19141" spans="1:1" x14ac:dyDescent="0.25">
      <c r="A19141" s="74">
        <v>23933</v>
      </c>
    </row>
    <row r="19142" spans="1:1" x14ac:dyDescent="0.25">
      <c r="A19142" s="74">
        <v>23934</v>
      </c>
    </row>
    <row r="19143" spans="1:1" x14ac:dyDescent="0.25">
      <c r="A19143" s="74">
        <v>23935</v>
      </c>
    </row>
    <row r="19144" spans="1:1" x14ac:dyDescent="0.25">
      <c r="A19144" s="74">
        <v>23936</v>
      </c>
    </row>
    <row r="19145" spans="1:1" x14ac:dyDescent="0.25">
      <c r="A19145" s="74">
        <v>23937</v>
      </c>
    </row>
    <row r="19146" spans="1:1" x14ac:dyDescent="0.25">
      <c r="A19146" s="74">
        <v>23938</v>
      </c>
    </row>
    <row r="19147" spans="1:1" x14ac:dyDescent="0.25">
      <c r="A19147" s="74">
        <v>23939</v>
      </c>
    </row>
    <row r="19148" spans="1:1" x14ac:dyDescent="0.25">
      <c r="A19148" s="74">
        <v>23940</v>
      </c>
    </row>
    <row r="19149" spans="1:1" x14ac:dyDescent="0.25">
      <c r="A19149" s="74">
        <v>23941</v>
      </c>
    </row>
    <row r="19150" spans="1:1" x14ac:dyDescent="0.25">
      <c r="A19150" s="74">
        <v>23942</v>
      </c>
    </row>
    <row r="19151" spans="1:1" x14ac:dyDescent="0.25">
      <c r="A19151" s="74">
        <v>23943</v>
      </c>
    </row>
    <row r="19152" spans="1:1" x14ac:dyDescent="0.25">
      <c r="A19152" s="74">
        <v>23944</v>
      </c>
    </row>
    <row r="19153" spans="1:1" x14ac:dyDescent="0.25">
      <c r="A19153" s="74">
        <v>23945</v>
      </c>
    </row>
    <row r="19154" spans="1:1" x14ac:dyDescent="0.25">
      <c r="A19154" s="74">
        <v>23946</v>
      </c>
    </row>
    <row r="19155" spans="1:1" x14ac:dyDescent="0.25">
      <c r="A19155" s="74">
        <v>23947</v>
      </c>
    </row>
    <row r="19156" spans="1:1" x14ac:dyDescent="0.25">
      <c r="A19156" s="74">
        <v>23948</v>
      </c>
    </row>
    <row r="19157" spans="1:1" x14ac:dyDescent="0.25">
      <c r="A19157" s="74">
        <v>23949</v>
      </c>
    </row>
    <row r="19158" spans="1:1" x14ac:dyDescent="0.25">
      <c r="A19158" s="74">
        <v>23950</v>
      </c>
    </row>
    <row r="19159" spans="1:1" x14ac:dyDescent="0.25">
      <c r="A19159" s="74">
        <v>23951</v>
      </c>
    </row>
    <row r="19160" spans="1:1" x14ac:dyDescent="0.25">
      <c r="A19160" s="74">
        <v>23952</v>
      </c>
    </row>
    <row r="19161" spans="1:1" x14ac:dyDescent="0.25">
      <c r="A19161" s="74">
        <v>23953</v>
      </c>
    </row>
    <row r="19162" spans="1:1" x14ac:dyDescent="0.25">
      <c r="A19162" s="74">
        <v>23954</v>
      </c>
    </row>
    <row r="19163" spans="1:1" x14ac:dyDescent="0.25">
      <c r="A19163" s="74">
        <v>23955</v>
      </c>
    </row>
    <row r="19164" spans="1:1" x14ac:dyDescent="0.25">
      <c r="A19164" s="74">
        <v>23956</v>
      </c>
    </row>
    <row r="19165" spans="1:1" x14ac:dyDescent="0.25">
      <c r="A19165" s="74">
        <v>23957</v>
      </c>
    </row>
    <row r="19166" spans="1:1" x14ac:dyDescent="0.25">
      <c r="A19166" s="74">
        <v>23958</v>
      </c>
    </row>
    <row r="19167" spans="1:1" x14ac:dyDescent="0.25">
      <c r="A19167" s="74">
        <v>23959</v>
      </c>
    </row>
    <row r="19168" spans="1:1" x14ac:dyDescent="0.25">
      <c r="A19168" s="74">
        <v>23960</v>
      </c>
    </row>
    <row r="19169" spans="1:1" x14ac:dyDescent="0.25">
      <c r="A19169" s="74">
        <v>23961</v>
      </c>
    </row>
    <row r="19170" spans="1:1" x14ac:dyDescent="0.25">
      <c r="A19170" s="74">
        <v>23962</v>
      </c>
    </row>
    <row r="19171" spans="1:1" x14ac:dyDescent="0.25">
      <c r="A19171" s="74">
        <v>23963</v>
      </c>
    </row>
    <row r="19172" spans="1:1" x14ac:dyDescent="0.25">
      <c r="A19172" s="74">
        <v>23964</v>
      </c>
    </row>
    <row r="19173" spans="1:1" x14ac:dyDescent="0.25">
      <c r="A19173" s="74">
        <v>23965</v>
      </c>
    </row>
    <row r="19174" spans="1:1" x14ac:dyDescent="0.25">
      <c r="A19174" s="74">
        <v>23966</v>
      </c>
    </row>
    <row r="19175" spans="1:1" x14ac:dyDescent="0.25">
      <c r="A19175" s="74">
        <v>23967</v>
      </c>
    </row>
    <row r="19176" spans="1:1" x14ac:dyDescent="0.25">
      <c r="A19176" s="74">
        <v>23968</v>
      </c>
    </row>
    <row r="19177" spans="1:1" x14ac:dyDescent="0.25">
      <c r="A19177" s="74">
        <v>23969</v>
      </c>
    </row>
    <row r="19178" spans="1:1" x14ac:dyDescent="0.25">
      <c r="A19178" s="74">
        <v>23970</v>
      </c>
    </row>
    <row r="19179" spans="1:1" x14ac:dyDescent="0.25">
      <c r="A19179" s="74">
        <v>23971</v>
      </c>
    </row>
    <row r="19180" spans="1:1" x14ac:dyDescent="0.25">
      <c r="A19180" s="74">
        <v>23972</v>
      </c>
    </row>
    <row r="19181" spans="1:1" x14ac:dyDescent="0.25">
      <c r="A19181" s="74">
        <v>23973</v>
      </c>
    </row>
    <row r="19182" spans="1:1" x14ac:dyDescent="0.25">
      <c r="A19182" s="74">
        <v>23974</v>
      </c>
    </row>
    <row r="19183" spans="1:1" x14ac:dyDescent="0.25">
      <c r="A19183" s="74">
        <v>23975</v>
      </c>
    </row>
    <row r="19184" spans="1:1" x14ac:dyDescent="0.25">
      <c r="A19184" s="74">
        <v>23976</v>
      </c>
    </row>
    <row r="19185" spans="1:1" x14ac:dyDescent="0.25">
      <c r="A19185" s="74">
        <v>23977</v>
      </c>
    </row>
    <row r="19186" spans="1:1" x14ac:dyDescent="0.25">
      <c r="A19186" s="74">
        <v>23978</v>
      </c>
    </row>
    <row r="19187" spans="1:1" x14ac:dyDescent="0.25">
      <c r="A19187" s="74">
        <v>23979</v>
      </c>
    </row>
    <row r="19188" spans="1:1" x14ac:dyDescent="0.25">
      <c r="A19188" s="74">
        <v>23980</v>
      </c>
    </row>
    <row r="19189" spans="1:1" x14ac:dyDescent="0.25">
      <c r="A19189" s="74">
        <v>23981</v>
      </c>
    </row>
    <row r="19190" spans="1:1" x14ac:dyDescent="0.25">
      <c r="A19190" s="74">
        <v>23982</v>
      </c>
    </row>
    <row r="19191" spans="1:1" x14ac:dyDescent="0.25">
      <c r="A19191" s="74">
        <v>23983</v>
      </c>
    </row>
    <row r="19192" spans="1:1" x14ac:dyDescent="0.25">
      <c r="A19192" s="74">
        <v>23984</v>
      </c>
    </row>
    <row r="19193" spans="1:1" x14ac:dyDescent="0.25">
      <c r="A19193" s="74">
        <v>23985</v>
      </c>
    </row>
    <row r="19194" spans="1:1" x14ac:dyDescent="0.25">
      <c r="A19194" s="74">
        <v>23986</v>
      </c>
    </row>
    <row r="19195" spans="1:1" x14ac:dyDescent="0.25">
      <c r="A19195" s="74">
        <v>23987</v>
      </c>
    </row>
    <row r="19196" spans="1:1" x14ac:dyDescent="0.25">
      <c r="A19196" s="74">
        <v>23988</v>
      </c>
    </row>
    <row r="19197" spans="1:1" x14ac:dyDescent="0.25">
      <c r="A19197" s="74">
        <v>23989</v>
      </c>
    </row>
    <row r="19198" spans="1:1" x14ac:dyDescent="0.25">
      <c r="A19198" s="74">
        <v>23990</v>
      </c>
    </row>
    <row r="19199" spans="1:1" x14ac:dyDescent="0.25">
      <c r="A19199" s="74">
        <v>23991</v>
      </c>
    </row>
    <row r="19200" spans="1:1" x14ac:dyDescent="0.25">
      <c r="A19200" s="74">
        <v>23992</v>
      </c>
    </row>
    <row r="19201" spans="1:1" x14ac:dyDescent="0.25">
      <c r="A19201" s="74">
        <v>23993</v>
      </c>
    </row>
    <row r="19202" spans="1:1" x14ac:dyDescent="0.25">
      <c r="A19202" s="74">
        <v>23994</v>
      </c>
    </row>
    <row r="19203" spans="1:1" x14ac:dyDescent="0.25">
      <c r="A19203" s="74">
        <v>23995</v>
      </c>
    </row>
    <row r="19204" spans="1:1" x14ac:dyDescent="0.25">
      <c r="A19204" s="74">
        <v>23996</v>
      </c>
    </row>
    <row r="19205" spans="1:1" x14ac:dyDescent="0.25">
      <c r="A19205" s="74">
        <v>23997</v>
      </c>
    </row>
    <row r="19206" spans="1:1" x14ac:dyDescent="0.25">
      <c r="A19206" s="74">
        <v>23998</v>
      </c>
    </row>
    <row r="19207" spans="1:1" x14ac:dyDescent="0.25">
      <c r="A19207" s="74">
        <v>23999</v>
      </c>
    </row>
    <row r="19208" spans="1:1" x14ac:dyDescent="0.25">
      <c r="A19208" s="74">
        <v>24000</v>
      </c>
    </row>
    <row r="19209" spans="1:1" x14ac:dyDescent="0.25">
      <c r="A19209" s="74">
        <v>24001</v>
      </c>
    </row>
    <row r="19210" spans="1:1" x14ac:dyDescent="0.25">
      <c r="A19210" s="74">
        <v>24002</v>
      </c>
    </row>
    <row r="19211" spans="1:1" x14ac:dyDescent="0.25">
      <c r="A19211" s="74">
        <v>24003</v>
      </c>
    </row>
    <row r="19212" spans="1:1" x14ac:dyDescent="0.25">
      <c r="A19212" s="74">
        <v>24004</v>
      </c>
    </row>
    <row r="19213" spans="1:1" x14ac:dyDescent="0.25">
      <c r="A19213" s="74">
        <v>24005</v>
      </c>
    </row>
    <row r="19214" spans="1:1" x14ac:dyDescent="0.25">
      <c r="A19214" s="74">
        <v>24006</v>
      </c>
    </row>
    <row r="19215" spans="1:1" x14ac:dyDescent="0.25">
      <c r="A19215" s="74">
        <v>24007</v>
      </c>
    </row>
    <row r="19216" spans="1:1" x14ac:dyDescent="0.25">
      <c r="A19216" s="74">
        <v>24008</v>
      </c>
    </row>
    <row r="19217" spans="1:1" x14ac:dyDescent="0.25">
      <c r="A19217" s="74">
        <v>24009</v>
      </c>
    </row>
    <row r="19218" spans="1:1" x14ac:dyDescent="0.25">
      <c r="A19218" s="74">
        <v>24010</v>
      </c>
    </row>
    <row r="19219" spans="1:1" x14ac:dyDescent="0.25">
      <c r="A19219" s="74">
        <v>24011</v>
      </c>
    </row>
    <row r="19220" spans="1:1" x14ac:dyDescent="0.25">
      <c r="A19220" s="74">
        <v>24012</v>
      </c>
    </row>
    <row r="19221" spans="1:1" x14ac:dyDescent="0.25">
      <c r="A19221" s="74">
        <v>24013</v>
      </c>
    </row>
    <row r="19222" spans="1:1" x14ac:dyDescent="0.25">
      <c r="A19222" s="74">
        <v>24014</v>
      </c>
    </row>
    <row r="19223" spans="1:1" x14ac:dyDescent="0.25">
      <c r="A19223" s="74">
        <v>24015</v>
      </c>
    </row>
    <row r="19224" spans="1:1" x14ac:dyDescent="0.25">
      <c r="A19224" s="74">
        <v>24016</v>
      </c>
    </row>
    <row r="19225" spans="1:1" x14ac:dyDescent="0.25">
      <c r="A19225" s="74">
        <v>24017</v>
      </c>
    </row>
    <row r="19226" spans="1:1" x14ac:dyDescent="0.25">
      <c r="A19226" s="74">
        <v>24018</v>
      </c>
    </row>
    <row r="19227" spans="1:1" x14ac:dyDescent="0.25">
      <c r="A19227" s="74">
        <v>24019</v>
      </c>
    </row>
    <row r="19228" spans="1:1" x14ac:dyDescent="0.25">
      <c r="A19228" s="74">
        <v>24020</v>
      </c>
    </row>
    <row r="19229" spans="1:1" x14ac:dyDescent="0.25">
      <c r="A19229" s="74">
        <v>24021</v>
      </c>
    </row>
    <row r="19230" spans="1:1" x14ac:dyDescent="0.25">
      <c r="A19230" s="74">
        <v>24022</v>
      </c>
    </row>
    <row r="19231" spans="1:1" x14ac:dyDescent="0.25">
      <c r="A19231" s="74">
        <v>24023</v>
      </c>
    </row>
    <row r="19232" spans="1:1" x14ac:dyDescent="0.25">
      <c r="A19232" s="74">
        <v>24024</v>
      </c>
    </row>
    <row r="19233" spans="1:1" x14ac:dyDescent="0.25">
      <c r="A19233" s="74">
        <v>24025</v>
      </c>
    </row>
    <row r="19234" spans="1:1" x14ac:dyDescent="0.25">
      <c r="A19234" s="74">
        <v>24026</v>
      </c>
    </row>
    <row r="19235" spans="1:1" x14ac:dyDescent="0.25">
      <c r="A19235" s="74">
        <v>24027</v>
      </c>
    </row>
    <row r="19236" spans="1:1" x14ac:dyDescent="0.25">
      <c r="A19236" s="74">
        <v>24028</v>
      </c>
    </row>
    <row r="19237" spans="1:1" x14ac:dyDescent="0.25">
      <c r="A19237" s="74">
        <v>24029</v>
      </c>
    </row>
    <row r="19238" spans="1:1" x14ac:dyDescent="0.25">
      <c r="A19238" s="74">
        <v>24030</v>
      </c>
    </row>
    <row r="19239" spans="1:1" x14ac:dyDescent="0.25">
      <c r="A19239" s="74">
        <v>24031</v>
      </c>
    </row>
    <row r="19240" spans="1:1" x14ac:dyDescent="0.25">
      <c r="A19240" s="74">
        <v>24032</v>
      </c>
    </row>
    <row r="19241" spans="1:1" x14ac:dyDescent="0.25">
      <c r="A19241" s="74">
        <v>24033</v>
      </c>
    </row>
    <row r="19242" spans="1:1" x14ac:dyDescent="0.25">
      <c r="A19242" s="74">
        <v>24034</v>
      </c>
    </row>
    <row r="19243" spans="1:1" x14ac:dyDescent="0.25">
      <c r="A19243" s="74">
        <v>24035</v>
      </c>
    </row>
    <row r="19244" spans="1:1" x14ac:dyDescent="0.25">
      <c r="A19244" s="74">
        <v>24036</v>
      </c>
    </row>
    <row r="19245" spans="1:1" x14ac:dyDescent="0.25">
      <c r="A19245" s="74">
        <v>24037</v>
      </c>
    </row>
    <row r="19246" spans="1:1" x14ac:dyDescent="0.25">
      <c r="A19246" s="74">
        <v>24038</v>
      </c>
    </row>
    <row r="19247" spans="1:1" x14ac:dyDescent="0.25">
      <c r="A19247" s="74">
        <v>24039</v>
      </c>
    </row>
    <row r="19248" spans="1:1" x14ac:dyDescent="0.25">
      <c r="A19248" s="74">
        <v>24040</v>
      </c>
    </row>
    <row r="19249" spans="1:1" x14ac:dyDescent="0.25">
      <c r="A19249" s="74">
        <v>24041</v>
      </c>
    </row>
    <row r="19250" spans="1:1" x14ac:dyDescent="0.25">
      <c r="A19250" s="74">
        <v>24042</v>
      </c>
    </row>
    <row r="19251" spans="1:1" x14ac:dyDescent="0.25">
      <c r="A19251" s="74">
        <v>24043</v>
      </c>
    </row>
    <row r="19252" spans="1:1" x14ac:dyDescent="0.25">
      <c r="A19252" s="74">
        <v>24044</v>
      </c>
    </row>
    <row r="19253" spans="1:1" x14ac:dyDescent="0.25">
      <c r="A19253" s="74">
        <v>24045</v>
      </c>
    </row>
    <row r="19254" spans="1:1" x14ac:dyDescent="0.25">
      <c r="A19254" s="74">
        <v>24046</v>
      </c>
    </row>
    <row r="19255" spans="1:1" x14ac:dyDescent="0.25">
      <c r="A19255" s="74">
        <v>24047</v>
      </c>
    </row>
    <row r="19256" spans="1:1" x14ac:dyDescent="0.25">
      <c r="A19256" s="74">
        <v>24048</v>
      </c>
    </row>
    <row r="19257" spans="1:1" x14ac:dyDescent="0.25">
      <c r="A19257" s="74">
        <v>24049</v>
      </c>
    </row>
    <row r="19258" spans="1:1" x14ac:dyDescent="0.25">
      <c r="A19258" s="74">
        <v>24050</v>
      </c>
    </row>
    <row r="19259" spans="1:1" x14ac:dyDescent="0.25">
      <c r="A19259" s="74">
        <v>24051</v>
      </c>
    </row>
    <row r="19260" spans="1:1" x14ac:dyDescent="0.25">
      <c r="A19260" s="74">
        <v>24052</v>
      </c>
    </row>
    <row r="19261" spans="1:1" x14ac:dyDescent="0.25">
      <c r="A19261" s="74">
        <v>24053</v>
      </c>
    </row>
    <row r="19262" spans="1:1" x14ac:dyDescent="0.25">
      <c r="A19262" s="74">
        <v>24054</v>
      </c>
    </row>
    <row r="19263" spans="1:1" x14ac:dyDescent="0.25">
      <c r="A19263" s="74">
        <v>24055</v>
      </c>
    </row>
    <row r="19264" spans="1:1" x14ac:dyDescent="0.25">
      <c r="A19264" s="74">
        <v>24056</v>
      </c>
    </row>
    <row r="19265" spans="1:1" x14ac:dyDescent="0.25">
      <c r="A19265" s="74">
        <v>24057</v>
      </c>
    </row>
    <row r="19266" spans="1:1" x14ac:dyDescent="0.25">
      <c r="A19266" s="74">
        <v>24058</v>
      </c>
    </row>
    <row r="19267" spans="1:1" x14ac:dyDescent="0.25">
      <c r="A19267" s="74">
        <v>24059</v>
      </c>
    </row>
    <row r="19268" spans="1:1" x14ac:dyDescent="0.25">
      <c r="A19268" s="74">
        <v>24060</v>
      </c>
    </row>
    <row r="19269" spans="1:1" x14ac:dyDescent="0.25">
      <c r="A19269" s="74">
        <v>24061</v>
      </c>
    </row>
    <row r="19270" spans="1:1" x14ac:dyDescent="0.25">
      <c r="A19270" s="74">
        <v>24062</v>
      </c>
    </row>
    <row r="19271" spans="1:1" x14ac:dyDescent="0.25">
      <c r="A19271" s="74">
        <v>24063</v>
      </c>
    </row>
    <row r="19272" spans="1:1" x14ac:dyDescent="0.25">
      <c r="A19272" s="74">
        <v>24064</v>
      </c>
    </row>
    <row r="19273" spans="1:1" x14ac:dyDescent="0.25">
      <c r="A19273" s="74">
        <v>24065</v>
      </c>
    </row>
    <row r="19274" spans="1:1" x14ac:dyDescent="0.25">
      <c r="A19274" s="74">
        <v>24066</v>
      </c>
    </row>
    <row r="19275" spans="1:1" x14ac:dyDescent="0.25">
      <c r="A19275" s="74">
        <v>24067</v>
      </c>
    </row>
    <row r="19276" spans="1:1" x14ac:dyDescent="0.25">
      <c r="A19276" s="74">
        <v>24068</v>
      </c>
    </row>
    <row r="19277" spans="1:1" x14ac:dyDescent="0.25">
      <c r="A19277" s="74">
        <v>24069</v>
      </c>
    </row>
    <row r="19278" spans="1:1" x14ac:dyDescent="0.25">
      <c r="A19278" s="74">
        <v>24070</v>
      </c>
    </row>
    <row r="19279" spans="1:1" x14ac:dyDescent="0.25">
      <c r="A19279" s="74">
        <v>24071</v>
      </c>
    </row>
    <row r="19280" spans="1:1" x14ac:dyDescent="0.25">
      <c r="A19280" s="74">
        <v>24072</v>
      </c>
    </row>
    <row r="19281" spans="1:1" x14ac:dyDescent="0.25">
      <c r="A19281" s="74">
        <v>24073</v>
      </c>
    </row>
    <row r="19282" spans="1:1" x14ac:dyDescent="0.25">
      <c r="A19282" s="74">
        <v>24074</v>
      </c>
    </row>
    <row r="19283" spans="1:1" x14ac:dyDescent="0.25">
      <c r="A19283" s="74">
        <v>24075</v>
      </c>
    </row>
    <row r="19284" spans="1:1" x14ac:dyDescent="0.25">
      <c r="A19284" s="74">
        <v>24076</v>
      </c>
    </row>
    <row r="19285" spans="1:1" x14ac:dyDescent="0.25">
      <c r="A19285" s="74">
        <v>24077</v>
      </c>
    </row>
    <row r="19286" spans="1:1" x14ac:dyDescent="0.25">
      <c r="A19286" s="74">
        <v>24078</v>
      </c>
    </row>
    <row r="19287" spans="1:1" x14ac:dyDescent="0.25">
      <c r="A19287" s="74">
        <v>24079</v>
      </c>
    </row>
    <row r="19288" spans="1:1" x14ac:dyDescent="0.25">
      <c r="A19288" s="74">
        <v>24080</v>
      </c>
    </row>
    <row r="19289" spans="1:1" x14ac:dyDescent="0.25">
      <c r="A19289" s="74">
        <v>24081</v>
      </c>
    </row>
    <row r="19290" spans="1:1" x14ac:dyDescent="0.25">
      <c r="A19290" s="74">
        <v>24082</v>
      </c>
    </row>
    <row r="19291" spans="1:1" x14ac:dyDescent="0.25">
      <c r="A19291" s="74">
        <v>24083</v>
      </c>
    </row>
    <row r="19292" spans="1:1" x14ac:dyDescent="0.25">
      <c r="A19292" s="74">
        <v>24084</v>
      </c>
    </row>
    <row r="19293" spans="1:1" x14ac:dyDescent="0.25">
      <c r="A19293" s="74">
        <v>24085</v>
      </c>
    </row>
    <row r="19294" spans="1:1" x14ac:dyDescent="0.25">
      <c r="A19294" s="74">
        <v>24086</v>
      </c>
    </row>
    <row r="19295" spans="1:1" x14ac:dyDescent="0.25">
      <c r="A19295" s="74">
        <v>24087</v>
      </c>
    </row>
    <row r="19296" spans="1:1" x14ac:dyDescent="0.25">
      <c r="A19296" s="74">
        <v>24088</v>
      </c>
    </row>
    <row r="19297" spans="1:1" x14ac:dyDescent="0.25">
      <c r="A19297" s="74">
        <v>24089</v>
      </c>
    </row>
    <row r="19298" spans="1:1" x14ac:dyDescent="0.25">
      <c r="A19298" s="74">
        <v>24090</v>
      </c>
    </row>
    <row r="19299" spans="1:1" x14ac:dyDescent="0.25">
      <c r="A19299" s="74">
        <v>24091</v>
      </c>
    </row>
    <row r="19300" spans="1:1" x14ac:dyDescent="0.25">
      <c r="A19300" s="74">
        <v>24092</v>
      </c>
    </row>
    <row r="19301" spans="1:1" x14ac:dyDescent="0.25">
      <c r="A19301" s="74">
        <v>24093</v>
      </c>
    </row>
    <row r="19302" spans="1:1" x14ac:dyDescent="0.25">
      <c r="A19302" s="74">
        <v>24094</v>
      </c>
    </row>
    <row r="19303" spans="1:1" x14ac:dyDescent="0.25">
      <c r="A19303" s="74">
        <v>24095</v>
      </c>
    </row>
    <row r="19304" spans="1:1" x14ac:dyDescent="0.25">
      <c r="A19304" s="74">
        <v>24096</v>
      </c>
    </row>
    <row r="19305" spans="1:1" x14ac:dyDescent="0.25">
      <c r="A19305" s="74">
        <v>24097</v>
      </c>
    </row>
    <row r="19306" spans="1:1" x14ac:dyDescent="0.25">
      <c r="A19306" s="74">
        <v>24098</v>
      </c>
    </row>
    <row r="19307" spans="1:1" x14ac:dyDescent="0.25">
      <c r="A19307" s="74">
        <v>24099</v>
      </c>
    </row>
    <row r="19308" spans="1:1" x14ac:dyDescent="0.25">
      <c r="A19308" s="74">
        <v>24100</v>
      </c>
    </row>
    <row r="19309" spans="1:1" x14ac:dyDescent="0.25">
      <c r="A19309" s="74">
        <v>24101</v>
      </c>
    </row>
    <row r="19310" spans="1:1" x14ac:dyDescent="0.25">
      <c r="A19310" s="74">
        <v>24102</v>
      </c>
    </row>
    <row r="19311" spans="1:1" x14ac:dyDescent="0.25">
      <c r="A19311" s="74">
        <v>24103</v>
      </c>
    </row>
    <row r="19312" spans="1:1" x14ac:dyDescent="0.25">
      <c r="A19312" s="74">
        <v>24104</v>
      </c>
    </row>
    <row r="19313" spans="1:1" x14ac:dyDescent="0.25">
      <c r="A19313" s="74">
        <v>24105</v>
      </c>
    </row>
    <row r="19314" spans="1:1" x14ac:dyDescent="0.25">
      <c r="A19314" s="74">
        <v>24106</v>
      </c>
    </row>
    <row r="19315" spans="1:1" x14ac:dyDescent="0.25">
      <c r="A19315" s="74">
        <v>24107</v>
      </c>
    </row>
    <row r="19316" spans="1:1" x14ac:dyDescent="0.25">
      <c r="A19316" s="74">
        <v>24108</v>
      </c>
    </row>
    <row r="19317" spans="1:1" x14ac:dyDescent="0.25">
      <c r="A19317" s="74">
        <v>24109</v>
      </c>
    </row>
    <row r="19318" spans="1:1" x14ac:dyDescent="0.25">
      <c r="A19318" s="74">
        <v>24110</v>
      </c>
    </row>
    <row r="19319" spans="1:1" x14ac:dyDescent="0.25">
      <c r="A19319" s="74">
        <v>24111</v>
      </c>
    </row>
    <row r="19320" spans="1:1" x14ac:dyDescent="0.25">
      <c r="A19320" s="74">
        <v>24112</v>
      </c>
    </row>
    <row r="19321" spans="1:1" x14ac:dyDescent="0.25">
      <c r="A19321" s="74">
        <v>24113</v>
      </c>
    </row>
    <row r="19322" spans="1:1" x14ac:dyDescent="0.25">
      <c r="A19322" s="74">
        <v>24114</v>
      </c>
    </row>
    <row r="19323" spans="1:1" x14ac:dyDescent="0.25">
      <c r="A19323" s="74">
        <v>24115</v>
      </c>
    </row>
    <row r="19324" spans="1:1" x14ac:dyDescent="0.25">
      <c r="A19324" s="74">
        <v>24116</v>
      </c>
    </row>
    <row r="19325" spans="1:1" x14ac:dyDescent="0.25">
      <c r="A19325" s="74">
        <v>24117</v>
      </c>
    </row>
    <row r="19326" spans="1:1" x14ac:dyDescent="0.25">
      <c r="A19326" s="74">
        <v>24118</v>
      </c>
    </row>
    <row r="19327" spans="1:1" x14ac:dyDescent="0.25">
      <c r="A19327" s="74">
        <v>24119</v>
      </c>
    </row>
    <row r="19328" spans="1:1" x14ac:dyDescent="0.25">
      <c r="A19328" s="74">
        <v>24120</v>
      </c>
    </row>
    <row r="19329" spans="1:1" x14ac:dyDescent="0.25">
      <c r="A19329" s="74">
        <v>24121</v>
      </c>
    </row>
    <row r="19330" spans="1:1" x14ac:dyDescent="0.25">
      <c r="A19330" s="74">
        <v>24122</v>
      </c>
    </row>
    <row r="19331" spans="1:1" x14ac:dyDescent="0.25">
      <c r="A19331" s="74">
        <v>24123</v>
      </c>
    </row>
    <row r="19332" spans="1:1" x14ac:dyDescent="0.25">
      <c r="A19332" s="74">
        <v>24124</v>
      </c>
    </row>
    <row r="19333" spans="1:1" x14ac:dyDescent="0.25">
      <c r="A19333" s="74">
        <v>24125</v>
      </c>
    </row>
    <row r="19334" spans="1:1" x14ac:dyDescent="0.25">
      <c r="A19334" s="74">
        <v>24126</v>
      </c>
    </row>
    <row r="19335" spans="1:1" x14ac:dyDescent="0.25">
      <c r="A19335" s="74">
        <v>24127</v>
      </c>
    </row>
    <row r="19336" spans="1:1" x14ac:dyDescent="0.25">
      <c r="A19336" s="74">
        <v>24128</v>
      </c>
    </row>
    <row r="19337" spans="1:1" x14ac:dyDescent="0.25">
      <c r="A19337" s="74">
        <v>24129</v>
      </c>
    </row>
    <row r="19338" spans="1:1" x14ac:dyDescent="0.25">
      <c r="A19338" s="74">
        <v>24130</v>
      </c>
    </row>
    <row r="19339" spans="1:1" x14ac:dyDescent="0.25">
      <c r="A19339" s="74">
        <v>24131</v>
      </c>
    </row>
    <row r="19340" spans="1:1" x14ac:dyDescent="0.25">
      <c r="A19340" s="74">
        <v>24132</v>
      </c>
    </row>
    <row r="19341" spans="1:1" x14ac:dyDescent="0.25">
      <c r="A19341" s="74">
        <v>24133</v>
      </c>
    </row>
    <row r="19342" spans="1:1" x14ac:dyDescent="0.25">
      <c r="A19342" s="74">
        <v>24134</v>
      </c>
    </row>
    <row r="19343" spans="1:1" x14ac:dyDescent="0.25">
      <c r="A19343" s="74">
        <v>24135</v>
      </c>
    </row>
    <row r="19344" spans="1:1" x14ac:dyDescent="0.25">
      <c r="A19344" s="74">
        <v>24136</v>
      </c>
    </row>
    <row r="19345" spans="1:1" x14ac:dyDescent="0.25">
      <c r="A19345" s="74">
        <v>24137</v>
      </c>
    </row>
    <row r="19346" spans="1:1" x14ac:dyDescent="0.25">
      <c r="A19346" s="74">
        <v>24138</v>
      </c>
    </row>
    <row r="19347" spans="1:1" x14ac:dyDescent="0.25">
      <c r="A19347" s="74">
        <v>24139</v>
      </c>
    </row>
    <row r="19348" spans="1:1" x14ac:dyDescent="0.25">
      <c r="A19348" s="74">
        <v>24140</v>
      </c>
    </row>
    <row r="19349" spans="1:1" x14ac:dyDescent="0.25">
      <c r="A19349" s="74">
        <v>24141</v>
      </c>
    </row>
    <row r="19350" spans="1:1" x14ac:dyDescent="0.25">
      <c r="A19350" s="74">
        <v>24142</v>
      </c>
    </row>
    <row r="19351" spans="1:1" x14ac:dyDescent="0.25">
      <c r="A19351" s="74">
        <v>24143</v>
      </c>
    </row>
    <row r="19352" spans="1:1" x14ac:dyDescent="0.25">
      <c r="A19352" s="74">
        <v>24144</v>
      </c>
    </row>
    <row r="19353" spans="1:1" x14ac:dyDescent="0.25">
      <c r="A19353" s="74">
        <v>24145</v>
      </c>
    </row>
    <row r="19354" spans="1:1" x14ac:dyDescent="0.25">
      <c r="A19354" s="74">
        <v>24146</v>
      </c>
    </row>
    <row r="19355" spans="1:1" x14ac:dyDescent="0.25">
      <c r="A19355" s="74">
        <v>24147</v>
      </c>
    </row>
    <row r="19356" spans="1:1" x14ac:dyDescent="0.25">
      <c r="A19356" s="74">
        <v>24148</v>
      </c>
    </row>
    <row r="19357" spans="1:1" x14ac:dyDescent="0.25">
      <c r="A19357" s="74">
        <v>24149</v>
      </c>
    </row>
    <row r="19358" spans="1:1" x14ac:dyDescent="0.25">
      <c r="A19358" s="74">
        <v>24150</v>
      </c>
    </row>
    <row r="19359" spans="1:1" x14ac:dyDescent="0.25">
      <c r="A19359" s="74">
        <v>24151</v>
      </c>
    </row>
    <row r="19360" spans="1:1" x14ac:dyDescent="0.25">
      <c r="A19360" s="74">
        <v>24152</v>
      </c>
    </row>
    <row r="19361" spans="1:1" x14ac:dyDescent="0.25">
      <c r="A19361" s="74">
        <v>24153</v>
      </c>
    </row>
    <row r="19362" spans="1:1" x14ac:dyDescent="0.25">
      <c r="A19362" s="74">
        <v>24154</v>
      </c>
    </row>
    <row r="19363" spans="1:1" x14ac:dyDescent="0.25">
      <c r="A19363" s="74">
        <v>24155</v>
      </c>
    </row>
    <row r="19364" spans="1:1" x14ac:dyDescent="0.25">
      <c r="A19364" s="74">
        <v>24156</v>
      </c>
    </row>
    <row r="19365" spans="1:1" x14ac:dyDescent="0.25">
      <c r="A19365" s="74">
        <v>24157</v>
      </c>
    </row>
    <row r="19366" spans="1:1" x14ac:dyDescent="0.25">
      <c r="A19366" s="74">
        <v>24158</v>
      </c>
    </row>
    <row r="19367" spans="1:1" x14ac:dyDescent="0.25">
      <c r="A19367" s="74">
        <v>24159</v>
      </c>
    </row>
    <row r="19368" spans="1:1" x14ac:dyDescent="0.25">
      <c r="A19368" s="74">
        <v>24160</v>
      </c>
    </row>
    <row r="19369" spans="1:1" x14ac:dyDescent="0.25">
      <c r="A19369" s="74">
        <v>24161</v>
      </c>
    </row>
    <row r="19370" spans="1:1" x14ac:dyDescent="0.25">
      <c r="A19370" s="74">
        <v>24162</v>
      </c>
    </row>
    <row r="19371" spans="1:1" x14ac:dyDescent="0.25">
      <c r="A19371" s="74">
        <v>24163</v>
      </c>
    </row>
    <row r="19372" spans="1:1" x14ac:dyDescent="0.25">
      <c r="A19372" s="74">
        <v>24164</v>
      </c>
    </row>
    <row r="19373" spans="1:1" x14ac:dyDescent="0.25">
      <c r="A19373" s="74">
        <v>24165</v>
      </c>
    </row>
    <row r="19374" spans="1:1" x14ac:dyDescent="0.25">
      <c r="A19374" s="74">
        <v>24166</v>
      </c>
    </row>
    <row r="19375" spans="1:1" x14ac:dyDescent="0.25">
      <c r="A19375" s="74">
        <v>24167</v>
      </c>
    </row>
    <row r="19376" spans="1:1" x14ac:dyDescent="0.25">
      <c r="A19376" s="74">
        <v>24168</v>
      </c>
    </row>
    <row r="19377" spans="1:1" x14ac:dyDescent="0.25">
      <c r="A19377" s="74">
        <v>24169</v>
      </c>
    </row>
    <row r="19378" spans="1:1" x14ac:dyDescent="0.25">
      <c r="A19378" s="74">
        <v>24170</v>
      </c>
    </row>
    <row r="19379" spans="1:1" x14ac:dyDescent="0.25">
      <c r="A19379" s="74">
        <v>24171</v>
      </c>
    </row>
    <row r="19380" spans="1:1" x14ac:dyDescent="0.25">
      <c r="A19380" s="74">
        <v>24172</v>
      </c>
    </row>
    <row r="19381" spans="1:1" x14ac:dyDescent="0.25">
      <c r="A19381" s="74">
        <v>24173</v>
      </c>
    </row>
    <row r="19382" spans="1:1" x14ac:dyDescent="0.25">
      <c r="A19382" s="74">
        <v>24174</v>
      </c>
    </row>
    <row r="19383" spans="1:1" x14ac:dyDescent="0.25">
      <c r="A19383" s="74">
        <v>24175</v>
      </c>
    </row>
    <row r="19384" spans="1:1" x14ac:dyDescent="0.25">
      <c r="A19384" s="74">
        <v>24176</v>
      </c>
    </row>
    <row r="19385" spans="1:1" x14ac:dyDescent="0.25">
      <c r="A19385" s="74">
        <v>24177</v>
      </c>
    </row>
    <row r="19386" spans="1:1" x14ac:dyDescent="0.25">
      <c r="A19386" s="74">
        <v>24178</v>
      </c>
    </row>
    <row r="19387" spans="1:1" x14ac:dyDescent="0.25">
      <c r="A19387" s="74">
        <v>24179</v>
      </c>
    </row>
    <row r="19388" spans="1:1" x14ac:dyDescent="0.25">
      <c r="A19388" s="74">
        <v>24180</v>
      </c>
    </row>
    <row r="19389" spans="1:1" x14ac:dyDescent="0.25">
      <c r="A19389" s="74">
        <v>24181</v>
      </c>
    </row>
    <row r="19390" spans="1:1" x14ac:dyDescent="0.25">
      <c r="A19390" s="74">
        <v>24182</v>
      </c>
    </row>
    <row r="19391" spans="1:1" x14ac:dyDescent="0.25">
      <c r="A19391" s="74">
        <v>24183</v>
      </c>
    </row>
    <row r="19392" spans="1:1" x14ac:dyDescent="0.25">
      <c r="A19392" s="74">
        <v>24184</v>
      </c>
    </row>
    <row r="19393" spans="1:1" x14ac:dyDescent="0.25">
      <c r="A19393" s="74">
        <v>24185</v>
      </c>
    </row>
    <row r="19394" spans="1:1" x14ac:dyDescent="0.25">
      <c r="A19394" s="74">
        <v>24186</v>
      </c>
    </row>
    <row r="19395" spans="1:1" x14ac:dyDescent="0.25">
      <c r="A19395" s="74">
        <v>24187</v>
      </c>
    </row>
    <row r="19396" spans="1:1" x14ac:dyDescent="0.25">
      <c r="A19396" s="74">
        <v>24188</v>
      </c>
    </row>
    <row r="19397" spans="1:1" x14ac:dyDescent="0.25">
      <c r="A19397" s="74">
        <v>24189</v>
      </c>
    </row>
    <row r="19398" spans="1:1" x14ac:dyDescent="0.25">
      <c r="A19398" s="74">
        <v>24190</v>
      </c>
    </row>
    <row r="19399" spans="1:1" x14ac:dyDescent="0.25">
      <c r="A19399" s="74">
        <v>24191</v>
      </c>
    </row>
    <row r="19400" spans="1:1" x14ac:dyDescent="0.25">
      <c r="A19400" s="74">
        <v>24192</v>
      </c>
    </row>
    <row r="19401" spans="1:1" x14ac:dyDescent="0.25">
      <c r="A19401" s="74">
        <v>24193</v>
      </c>
    </row>
    <row r="19402" spans="1:1" x14ac:dyDescent="0.25">
      <c r="A19402" s="74">
        <v>24194</v>
      </c>
    </row>
    <row r="19403" spans="1:1" x14ac:dyDescent="0.25">
      <c r="A19403" s="74">
        <v>24195</v>
      </c>
    </row>
    <row r="19404" spans="1:1" x14ac:dyDescent="0.25">
      <c r="A19404" s="74">
        <v>24196</v>
      </c>
    </row>
    <row r="19405" spans="1:1" x14ac:dyDescent="0.25">
      <c r="A19405" s="74">
        <v>24197</v>
      </c>
    </row>
    <row r="19406" spans="1:1" x14ac:dyDescent="0.25">
      <c r="A19406" s="74">
        <v>24198</v>
      </c>
    </row>
    <row r="19407" spans="1:1" x14ac:dyDescent="0.25">
      <c r="A19407" s="74">
        <v>24199</v>
      </c>
    </row>
    <row r="19408" spans="1:1" x14ac:dyDescent="0.25">
      <c r="A19408" s="74">
        <v>24200</v>
      </c>
    </row>
    <row r="19409" spans="1:1" x14ac:dyDescent="0.25">
      <c r="A19409" s="74">
        <v>24201</v>
      </c>
    </row>
    <row r="19410" spans="1:1" x14ac:dyDescent="0.25">
      <c r="A19410" s="74">
        <v>24202</v>
      </c>
    </row>
    <row r="19411" spans="1:1" x14ac:dyDescent="0.25">
      <c r="A19411" s="74">
        <v>24203</v>
      </c>
    </row>
    <row r="19412" spans="1:1" x14ac:dyDescent="0.25">
      <c r="A19412" s="74">
        <v>24204</v>
      </c>
    </row>
    <row r="19413" spans="1:1" x14ac:dyDescent="0.25">
      <c r="A19413" s="74">
        <v>24205</v>
      </c>
    </row>
    <row r="19414" spans="1:1" x14ac:dyDescent="0.25">
      <c r="A19414" s="74">
        <v>24206</v>
      </c>
    </row>
    <row r="19415" spans="1:1" x14ac:dyDescent="0.25">
      <c r="A19415" s="74">
        <v>24207</v>
      </c>
    </row>
    <row r="19416" spans="1:1" x14ac:dyDescent="0.25">
      <c r="A19416" s="74">
        <v>24208</v>
      </c>
    </row>
    <row r="19417" spans="1:1" x14ac:dyDescent="0.25">
      <c r="A19417" s="74">
        <v>24209</v>
      </c>
    </row>
    <row r="19418" spans="1:1" x14ac:dyDescent="0.25">
      <c r="A19418" s="74">
        <v>24210</v>
      </c>
    </row>
    <row r="19419" spans="1:1" x14ac:dyDescent="0.25">
      <c r="A19419" s="74">
        <v>24211</v>
      </c>
    </row>
    <row r="19420" spans="1:1" x14ac:dyDescent="0.25">
      <c r="A19420" s="74">
        <v>24212</v>
      </c>
    </row>
    <row r="19421" spans="1:1" x14ac:dyDescent="0.25">
      <c r="A19421" s="74">
        <v>24213</v>
      </c>
    </row>
    <row r="19422" spans="1:1" x14ac:dyDescent="0.25">
      <c r="A19422" s="74">
        <v>24214</v>
      </c>
    </row>
    <row r="19423" spans="1:1" x14ac:dyDescent="0.25">
      <c r="A19423" s="74">
        <v>24215</v>
      </c>
    </row>
    <row r="19424" spans="1:1" x14ac:dyDescent="0.25">
      <c r="A19424" s="74">
        <v>24216</v>
      </c>
    </row>
    <row r="19425" spans="1:1" x14ac:dyDescent="0.25">
      <c r="A19425" s="74">
        <v>24217</v>
      </c>
    </row>
    <row r="19426" spans="1:1" x14ac:dyDescent="0.25">
      <c r="A19426" s="74">
        <v>24218</v>
      </c>
    </row>
    <row r="19427" spans="1:1" x14ac:dyDescent="0.25">
      <c r="A19427" s="74">
        <v>24219</v>
      </c>
    </row>
    <row r="19428" spans="1:1" x14ac:dyDescent="0.25">
      <c r="A19428" s="74">
        <v>24220</v>
      </c>
    </row>
    <row r="19429" spans="1:1" x14ac:dyDescent="0.25">
      <c r="A19429" s="74">
        <v>24221</v>
      </c>
    </row>
    <row r="19430" spans="1:1" x14ac:dyDescent="0.25">
      <c r="A19430" s="74">
        <v>24222</v>
      </c>
    </row>
    <row r="19431" spans="1:1" x14ac:dyDescent="0.25">
      <c r="A19431" s="74">
        <v>24223</v>
      </c>
    </row>
    <row r="19432" spans="1:1" x14ac:dyDescent="0.25">
      <c r="A19432" s="74">
        <v>24224</v>
      </c>
    </row>
    <row r="19433" spans="1:1" x14ac:dyDescent="0.25">
      <c r="A19433" s="74">
        <v>24225</v>
      </c>
    </row>
    <row r="19434" spans="1:1" x14ac:dyDescent="0.25">
      <c r="A19434" s="74">
        <v>24226</v>
      </c>
    </row>
    <row r="19435" spans="1:1" x14ac:dyDescent="0.25">
      <c r="A19435" s="74">
        <v>24227</v>
      </c>
    </row>
    <row r="19436" spans="1:1" x14ac:dyDescent="0.25">
      <c r="A19436" s="74">
        <v>24228</v>
      </c>
    </row>
    <row r="19437" spans="1:1" x14ac:dyDescent="0.25">
      <c r="A19437" s="74">
        <v>24229</v>
      </c>
    </row>
    <row r="19438" spans="1:1" x14ac:dyDescent="0.25">
      <c r="A19438" s="74">
        <v>24230</v>
      </c>
    </row>
    <row r="19439" spans="1:1" x14ac:dyDescent="0.25">
      <c r="A19439" s="74">
        <v>24231</v>
      </c>
    </row>
    <row r="19440" spans="1:1" x14ac:dyDescent="0.25">
      <c r="A19440" s="74">
        <v>24232</v>
      </c>
    </row>
    <row r="19441" spans="1:1" x14ac:dyDescent="0.25">
      <c r="A19441" s="74">
        <v>24233</v>
      </c>
    </row>
    <row r="19442" spans="1:1" x14ac:dyDescent="0.25">
      <c r="A19442" s="74">
        <v>24234</v>
      </c>
    </row>
    <row r="19443" spans="1:1" x14ac:dyDescent="0.25">
      <c r="A19443" s="74">
        <v>24235</v>
      </c>
    </row>
    <row r="19444" spans="1:1" x14ac:dyDescent="0.25">
      <c r="A19444" s="74">
        <v>24236</v>
      </c>
    </row>
    <row r="19445" spans="1:1" x14ac:dyDescent="0.25">
      <c r="A19445" s="74">
        <v>24237</v>
      </c>
    </row>
    <row r="19446" spans="1:1" x14ac:dyDescent="0.25">
      <c r="A19446" s="74">
        <v>24238</v>
      </c>
    </row>
    <row r="19447" spans="1:1" x14ac:dyDescent="0.25">
      <c r="A19447" s="74">
        <v>24239</v>
      </c>
    </row>
    <row r="19448" spans="1:1" x14ac:dyDescent="0.25">
      <c r="A19448" s="74">
        <v>24240</v>
      </c>
    </row>
    <row r="19449" spans="1:1" x14ac:dyDescent="0.25">
      <c r="A19449" s="74">
        <v>24241</v>
      </c>
    </row>
    <row r="19450" spans="1:1" x14ac:dyDescent="0.25">
      <c r="A19450" s="74">
        <v>24242</v>
      </c>
    </row>
    <row r="19451" spans="1:1" x14ac:dyDescent="0.25">
      <c r="A19451" s="74">
        <v>24243</v>
      </c>
    </row>
    <row r="19452" spans="1:1" x14ac:dyDescent="0.25">
      <c r="A19452" s="74">
        <v>24244</v>
      </c>
    </row>
    <row r="19453" spans="1:1" x14ac:dyDescent="0.25">
      <c r="A19453" s="74">
        <v>24245</v>
      </c>
    </row>
    <row r="19454" spans="1:1" x14ac:dyDescent="0.25">
      <c r="A19454" s="74">
        <v>24246</v>
      </c>
    </row>
    <row r="19455" spans="1:1" x14ac:dyDescent="0.25">
      <c r="A19455" s="74">
        <v>24247</v>
      </c>
    </row>
    <row r="19456" spans="1:1" x14ac:dyDescent="0.25">
      <c r="A19456" s="74">
        <v>24248</v>
      </c>
    </row>
    <row r="19457" spans="1:1" x14ac:dyDescent="0.25">
      <c r="A19457" s="74">
        <v>24249</v>
      </c>
    </row>
    <row r="19458" spans="1:1" x14ac:dyDescent="0.25">
      <c r="A19458" s="74">
        <v>24250</v>
      </c>
    </row>
    <row r="19459" spans="1:1" x14ac:dyDescent="0.25">
      <c r="A19459" s="74">
        <v>24251</v>
      </c>
    </row>
    <row r="19460" spans="1:1" x14ac:dyDescent="0.25">
      <c r="A19460" s="74">
        <v>24252</v>
      </c>
    </row>
    <row r="19461" spans="1:1" x14ac:dyDescent="0.25">
      <c r="A19461" s="74">
        <v>24253</v>
      </c>
    </row>
    <row r="19462" spans="1:1" x14ac:dyDescent="0.25">
      <c r="A19462" s="74">
        <v>24254</v>
      </c>
    </row>
    <row r="19463" spans="1:1" x14ac:dyDescent="0.25">
      <c r="A19463" s="74">
        <v>24255</v>
      </c>
    </row>
    <row r="19464" spans="1:1" x14ac:dyDescent="0.25">
      <c r="A19464" s="74">
        <v>24256</v>
      </c>
    </row>
    <row r="19465" spans="1:1" x14ac:dyDescent="0.25">
      <c r="A19465" s="74">
        <v>24257</v>
      </c>
    </row>
    <row r="19466" spans="1:1" x14ac:dyDescent="0.25">
      <c r="A19466" s="74">
        <v>24258</v>
      </c>
    </row>
    <row r="19467" spans="1:1" x14ac:dyDescent="0.25">
      <c r="A19467" s="74">
        <v>24259</v>
      </c>
    </row>
    <row r="19468" spans="1:1" x14ac:dyDescent="0.25">
      <c r="A19468" s="74">
        <v>24260</v>
      </c>
    </row>
    <row r="19469" spans="1:1" x14ac:dyDescent="0.25">
      <c r="A19469" s="74">
        <v>24261</v>
      </c>
    </row>
    <row r="19470" spans="1:1" x14ac:dyDescent="0.25">
      <c r="A19470" s="74">
        <v>24262</v>
      </c>
    </row>
    <row r="19471" spans="1:1" x14ac:dyDescent="0.25">
      <c r="A19471" s="74">
        <v>24263</v>
      </c>
    </row>
    <row r="19472" spans="1:1" x14ac:dyDescent="0.25">
      <c r="A19472" s="74">
        <v>24264</v>
      </c>
    </row>
    <row r="19473" spans="1:1" x14ac:dyDescent="0.25">
      <c r="A19473" s="74">
        <v>24265</v>
      </c>
    </row>
    <row r="19474" spans="1:1" x14ac:dyDescent="0.25">
      <c r="A19474" s="74">
        <v>24266</v>
      </c>
    </row>
    <row r="19475" spans="1:1" x14ac:dyDescent="0.25">
      <c r="A19475" s="74">
        <v>24267</v>
      </c>
    </row>
    <row r="19476" spans="1:1" x14ac:dyDescent="0.25">
      <c r="A19476" s="74">
        <v>24268</v>
      </c>
    </row>
    <row r="19477" spans="1:1" x14ac:dyDescent="0.25">
      <c r="A19477" s="74">
        <v>24269</v>
      </c>
    </row>
    <row r="19478" spans="1:1" x14ac:dyDescent="0.25">
      <c r="A19478" s="74">
        <v>24270</v>
      </c>
    </row>
    <row r="19479" spans="1:1" x14ac:dyDescent="0.25">
      <c r="A19479" s="74">
        <v>24271</v>
      </c>
    </row>
    <row r="19480" spans="1:1" x14ac:dyDescent="0.25">
      <c r="A19480" s="74">
        <v>24272</v>
      </c>
    </row>
    <row r="19481" spans="1:1" x14ac:dyDescent="0.25">
      <c r="A19481" s="74">
        <v>24273</v>
      </c>
    </row>
    <row r="19482" spans="1:1" x14ac:dyDescent="0.25">
      <c r="A19482" s="74">
        <v>24274</v>
      </c>
    </row>
    <row r="19483" spans="1:1" x14ac:dyDescent="0.25">
      <c r="A19483" s="74">
        <v>24275</v>
      </c>
    </row>
    <row r="19484" spans="1:1" x14ac:dyDescent="0.25">
      <c r="A19484" s="74">
        <v>24276</v>
      </c>
    </row>
    <row r="19485" spans="1:1" x14ac:dyDescent="0.25">
      <c r="A19485" s="74">
        <v>24277</v>
      </c>
    </row>
    <row r="19486" spans="1:1" x14ac:dyDescent="0.25">
      <c r="A19486" s="74">
        <v>24278</v>
      </c>
    </row>
    <row r="19487" spans="1:1" x14ac:dyDescent="0.25">
      <c r="A19487" s="74">
        <v>24279</v>
      </c>
    </row>
    <row r="19488" spans="1:1" x14ac:dyDescent="0.25">
      <c r="A19488" s="74">
        <v>24280</v>
      </c>
    </row>
    <row r="19489" spans="1:1" x14ac:dyDescent="0.25">
      <c r="A19489" s="74">
        <v>24281</v>
      </c>
    </row>
    <row r="19490" spans="1:1" x14ac:dyDescent="0.25">
      <c r="A19490" s="74">
        <v>24282</v>
      </c>
    </row>
    <row r="19491" spans="1:1" x14ac:dyDescent="0.25">
      <c r="A19491" s="74">
        <v>24283</v>
      </c>
    </row>
    <row r="19492" spans="1:1" x14ac:dyDescent="0.25">
      <c r="A19492" s="74">
        <v>24284</v>
      </c>
    </row>
    <row r="19493" spans="1:1" x14ac:dyDescent="0.25">
      <c r="A19493" s="74">
        <v>24285</v>
      </c>
    </row>
    <row r="19494" spans="1:1" x14ac:dyDescent="0.25">
      <c r="A19494" s="74">
        <v>24286</v>
      </c>
    </row>
    <row r="19495" spans="1:1" x14ac:dyDescent="0.25">
      <c r="A19495" s="74">
        <v>24287</v>
      </c>
    </row>
    <row r="19496" spans="1:1" x14ac:dyDescent="0.25">
      <c r="A19496" s="74">
        <v>24288</v>
      </c>
    </row>
    <row r="19497" spans="1:1" x14ac:dyDescent="0.25">
      <c r="A19497" s="74">
        <v>24289</v>
      </c>
    </row>
    <row r="19498" spans="1:1" x14ac:dyDescent="0.25">
      <c r="A19498" s="74">
        <v>24290</v>
      </c>
    </row>
    <row r="19499" spans="1:1" x14ac:dyDescent="0.25">
      <c r="A19499" s="74">
        <v>24291</v>
      </c>
    </row>
    <row r="19500" spans="1:1" x14ac:dyDescent="0.25">
      <c r="A19500" s="74">
        <v>24292</v>
      </c>
    </row>
    <row r="19501" spans="1:1" x14ac:dyDescent="0.25">
      <c r="A19501" s="74">
        <v>24293</v>
      </c>
    </row>
    <row r="19502" spans="1:1" x14ac:dyDescent="0.25">
      <c r="A19502" s="74">
        <v>24294</v>
      </c>
    </row>
    <row r="19503" spans="1:1" x14ac:dyDescent="0.25">
      <c r="A19503" s="74">
        <v>24295</v>
      </c>
    </row>
    <row r="19504" spans="1:1" x14ac:dyDescent="0.25">
      <c r="A19504" s="74">
        <v>24296</v>
      </c>
    </row>
    <row r="19505" spans="1:1" x14ac:dyDescent="0.25">
      <c r="A19505" s="74">
        <v>24297</v>
      </c>
    </row>
    <row r="19506" spans="1:1" x14ac:dyDescent="0.25">
      <c r="A19506" s="74">
        <v>24298</v>
      </c>
    </row>
    <row r="19507" spans="1:1" x14ac:dyDescent="0.25">
      <c r="A19507" s="74">
        <v>24299</v>
      </c>
    </row>
    <row r="19508" spans="1:1" x14ac:dyDescent="0.25">
      <c r="A19508" s="74">
        <v>24300</v>
      </c>
    </row>
    <row r="19509" spans="1:1" x14ac:dyDescent="0.25">
      <c r="A19509" s="74">
        <v>24301</v>
      </c>
    </row>
    <row r="19510" spans="1:1" x14ac:dyDescent="0.25">
      <c r="A19510" s="74">
        <v>24302</v>
      </c>
    </row>
    <row r="19511" spans="1:1" x14ac:dyDescent="0.25">
      <c r="A19511" s="74">
        <v>24303</v>
      </c>
    </row>
    <row r="19512" spans="1:1" x14ac:dyDescent="0.25">
      <c r="A19512" s="74">
        <v>24304</v>
      </c>
    </row>
    <row r="19513" spans="1:1" x14ac:dyDescent="0.25">
      <c r="A19513" s="74">
        <v>24305</v>
      </c>
    </row>
    <row r="19514" spans="1:1" x14ac:dyDescent="0.25">
      <c r="A19514" s="74">
        <v>24306</v>
      </c>
    </row>
    <row r="19515" spans="1:1" x14ac:dyDescent="0.25">
      <c r="A19515" s="74">
        <v>24307</v>
      </c>
    </row>
    <row r="19516" spans="1:1" x14ac:dyDescent="0.25">
      <c r="A19516" s="74">
        <v>24308</v>
      </c>
    </row>
    <row r="19517" spans="1:1" x14ac:dyDescent="0.25">
      <c r="A19517" s="74">
        <v>24309</v>
      </c>
    </row>
    <row r="19518" spans="1:1" x14ac:dyDescent="0.25">
      <c r="A19518" s="74">
        <v>24310</v>
      </c>
    </row>
    <row r="19519" spans="1:1" x14ac:dyDescent="0.25">
      <c r="A19519" s="74">
        <v>24311</v>
      </c>
    </row>
    <row r="19520" spans="1:1" x14ac:dyDescent="0.25">
      <c r="A19520" s="74">
        <v>24312</v>
      </c>
    </row>
    <row r="19521" spans="1:1" x14ac:dyDescent="0.25">
      <c r="A19521" s="74">
        <v>24313</v>
      </c>
    </row>
    <row r="19522" spans="1:1" x14ac:dyDescent="0.25">
      <c r="A19522" s="74">
        <v>24314</v>
      </c>
    </row>
    <row r="19523" spans="1:1" x14ac:dyDescent="0.25">
      <c r="A19523" s="74">
        <v>24315</v>
      </c>
    </row>
    <row r="19524" spans="1:1" x14ac:dyDescent="0.25">
      <c r="A19524" s="74">
        <v>24316</v>
      </c>
    </row>
    <row r="19525" spans="1:1" x14ac:dyDescent="0.25">
      <c r="A19525" s="74">
        <v>24317</v>
      </c>
    </row>
    <row r="19526" spans="1:1" x14ac:dyDescent="0.25">
      <c r="A19526" s="74">
        <v>24318</v>
      </c>
    </row>
    <row r="19527" spans="1:1" x14ac:dyDescent="0.25">
      <c r="A19527" s="74">
        <v>24319</v>
      </c>
    </row>
    <row r="19528" spans="1:1" x14ac:dyDescent="0.25">
      <c r="A19528" s="74">
        <v>24320</v>
      </c>
    </row>
    <row r="19529" spans="1:1" x14ac:dyDescent="0.25">
      <c r="A19529" s="74">
        <v>24321</v>
      </c>
    </row>
    <row r="19530" spans="1:1" x14ac:dyDescent="0.25">
      <c r="A19530" s="74">
        <v>24322</v>
      </c>
    </row>
    <row r="19531" spans="1:1" x14ac:dyDescent="0.25">
      <c r="A19531" s="74">
        <v>24323</v>
      </c>
    </row>
    <row r="19532" spans="1:1" x14ac:dyDescent="0.25">
      <c r="A19532" s="74">
        <v>24324</v>
      </c>
    </row>
    <row r="19533" spans="1:1" x14ac:dyDescent="0.25">
      <c r="A19533" s="74">
        <v>24325</v>
      </c>
    </row>
    <row r="19534" spans="1:1" x14ac:dyDescent="0.25">
      <c r="A19534" s="74">
        <v>24326</v>
      </c>
    </row>
    <row r="19535" spans="1:1" x14ac:dyDescent="0.25">
      <c r="A19535" s="74">
        <v>24327</v>
      </c>
    </row>
    <row r="19536" spans="1:1" x14ac:dyDescent="0.25">
      <c r="A19536" s="74">
        <v>24328</v>
      </c>
    </row>
    <row r="19537" spans="1:1" x14ac:dyDescent="0.25">
      <c r="A19537" s="74">
        <v>24329</v>
      </c>
    </row>
    <row r="19538" spans="1:1" x14ac:dyDescent="0.25">
      <c r="A19538" s="74">
        <v>24330</v>
      </c>
    </row>
    <row r="19539" spans="1:1" x14ac:dyDescent="0.25">
      <c r="A19539" s="74">
        <v>24331</v>
      </c>
    </row>
    <row r="19540" spans="1:1" x14ac:dyDescent="0.25">
      <c r="A19540" s="74">
        <v>24332</v>
      </c>
    </row>
    <row r="19541" spans="1:1" x14ac:dyDescent="0.25">
      <c r="A19541" s="74">
        <v>24333</v>
      </c>
    </row>
    <row r="19542" spans="1:1" x14ac:dyDescent="0.25">
      <c r="A19542" s="74">
        <v>24334</v>
      </c>
    </row>
    <row r="19543" spans="1:1" x14ac:dyDescent="0.25">
      <c r="A19543" s="74">
        <v>24335</v>
      </c>
    </row>
    <row r="19544" spans="1:1" x14ac:dyDescent="0.25">
      <c r="A19544" s="74">
        <v>24336</v>
      </c>
    </row>
    <row r="19545" spans="1:1" x14ac:dyDescent="0.25">
      <c r="A19545" s="74">
        <v>24337</v>
      </c>
    </row>
    <row r="19546" spans="1:1" x14ac:dyDescent="0.25">
      <c r="A19546" s="74">
        <v>24338</v>
      </c>
    </row>
    <row r="19547" spans="1:1" x14ac:dyDescent="0.25">
      <c r="A19547" s="74">
        <v>24339</v>
      </c>
    </row>
    <row r="19548" spans="1:1" x14ac:dyDescent="0.25">
      <c r="A19548" s="74">
        <v>24340</v>
      </c>
    </row>
    <row r="19549" spans="1:1" x14ac:dyDescent="0.25">
      <c r="A19549" s="74">
        <v>24341</v>
      </c>
    </row>
    <row r="19550" spans="1:1" x14ac:dyDescent="0.25">
      <c r="A19550" s="74">
        <v>24342</v>
      </c>
    </row>
    <row r="19551" spans="1:1" x14ac:dyDescent="0.25">
      <c r="A19551" s="74">
        <v>24343</v>
      </c>
    </row>
    <row r="19552" spans="1:1" x14ac:dyDescent="0.25">
      <c r="A19552" s="74">
        <v>24344</v>
      </c>
    </row>
    <row r="19553" spans="1:1" x14ac:dyDescent="0.25">
      <c r="A19553" s="74">
        <v>24345</v>
      </c>
    </row>
    <row r="19554" spans="1:1" x14ac:dyDescent="0.25">
      <c r="A19554" s="74">
        <v>24346</v>
      </c>
    </row>
    <row r="19555" spans="1:1" x14ac:dyDescent="0.25">
      <c r="A19555" s="74">
        <v>24347</v>
      </c>
    </row>
    <row r="19556" spans="1:1" x14ac:dyDescent="0.25">
      <c r="A19556" s="74">
        <v>24348</v>
      </c>
    </row>
    <row r="19557" spans="1:1" x14ac:dyDescent="0.25">
      <c r="A19557" s="74">
        <v>24349</v>
      </c>
    </row>
    <row r="19558" spans="1:1" x14ac:dyDescent="0.25">
      <c r="A19558" s="74">
        <v>24350</v>
      </c>
    </row>
    <row r="19559" spans="1:1" x14ac:dyDescent="0.25">
      <c r="A19559" s="74">
        <v>24351</v>
      </c>
    </row>
    <row r="19560" spans="1:1" x14ac:dyDescent="0.25">
      <c r="A19560" s="74">
        <v>24352</v>
      </c>
    </row>
    <row r="19561" spans="1:1" x14ac:dyDescent="0.25">
      <c r="A19561" s="74">
        <v>24353</v>
      </c>
    </row>
    <row r="19562" spans="1:1" x14ac:dyDescent="0.25">
      <c r="A19562" s="74">
        <v>24354</v>
      </c>
    </row>
    <row r="19563" spans="1:1" x14ac:dyDescent="0.25">
      <c r="A19563" s="74">
        <v>24355</v>
      </c>
    </row>
    <row r="19564" spans="1:1" x14ac:dyDescent="0.25">
      <c r="A19564" s="74">
        <v>24356</v>
      </c>
    </row>
    <row r="19565" spans="1:1" x14ac:dyDescent="0.25">
      <c r="A19565" s="74">
        <v>24357</v>
      </c>
    </row>
    <row r="19566" spans="1:1" x14ac:dyDescent="0.25">
      <c r="A19566" s="74">
        <v>24358</v>
      </c>
    </row>
    <row r="19567" spans="1:1" x14ac:dyDescent="0.25">
      <c r="A19567" s="74">
        <v>24359</v>
      </c>
    </row>
    <row r="19568" spans="1:1" x14ac:dyDescent="0.25">
      <c r="A19568" s="74">
        <v>24360</v>
      </c>
    </row>
    <row r="19569" spans="1:1" x14ac:dyDescent="0.25">
      <c r="A19569" s="74">
        <v>24361</v>
      </c>
    </row>
    <row r="19570" spans="1:1" x14ac:dyDescent="0.25">
      <c r="A19570" s="74">
        <v>24362</v>
      </c>
    </row>
    <row r="19571" spans="1:1" x14ac:dyDescent="0.25">
      <c r="A19571" s="74">
        <v>24363</v>
      </c>
    </row>
    <row r="19572" spans="1:1" x14ac:dyDescent="0.25">
      <c r="A19572" s="74">
        <v>24364</v>
      </c>
    </row>
    <row r="19573" spans="1:1" x14ac:dyDescent="0.25">
      <c r="A19573" s="74">
        <v>24365</v>
      </c>
    </row>
    <row r="19574" spans="1:1" x14ac:dyDescent="0.25">
      <c r="A19574" s="74">
        <v>24366</v>
      </c>
    </row>
    <row r="19575" spans="1:1" x14ac:dyDescent="0.25">
      <c r="A19575" s="74">
        <v>24367</v>
      </c>
    </row>
    <row r="19576" spans="1:1" x14ac:dyDescent="0.25">
      <c r="A19576" s="74">
        <v>24368</v>
      </c>
    </row>
    <row r="19577" spans="1:1" x14ac:dyDescent="0.25">
      <c r="A19577" s="74">
        <v>24369</v>
      </c>
    </row>
    <row r="19578" spans="1:1" x14ac:dyDescent="0.25">
      <c r="A19578" s="74">
        <v>24370</v>
      </c>
    </row>
    <row r="19579" spans="1:1" x14ac:dyDescent="0.25">
      <c r="A19579" s="74">
        <v>24371</v>
      </c>
    </row>
    <row r="19580" spans="1:1" x14ac:dyDescent="0.25">
      <c r="A19580" s="74">
        <v>24372</v>
      </c>
    </row>
    <row r="19581" spans="1:1" x14ac:dyDescent="0.25">
      <c r="A19581" s="74">
        <v>24373</v>
      </c>
    </row>
    <row r="19582" spans="1:1" x14ac:dyDescent="0.25">
      <c r="A19582" s="74">
        <v>24374</v>
      </c>
    </row>
    <row r="19583" spans="1:1" x14ac:dyDescent="0.25">
      <c r="A19583" s="74">
        <v>24375</v>
      </c>
    </row>
    <row r="19584" spans="1:1" x14ac:dyDescent="0.25">
      <c r="A19584" s="74">
        <v>24376</v>
      </c>
    </row>
    <row r="19585" spans="1:1" x14ac:dyDescent="0.25">
      <c r="A19585" s="74">
        <v>24377</v>
      </c>
    </row>
    <row r="19586" spans="1:1" x14ac:dyDescent="0.25">
      <c r="A19586" s="74">
        <v>24378</v>
      </c>
    </row>
    <row r="19587" spans="1:1" x14ac:dyDescent="0.25">
      <c r="A19587" s="74">
        <v>24379</v>
      </c>
    </row>
    <row r="19588" spans="1:1" x14ac:dyDescent="0.25">
      <c r="A19588" s="74">
        <v>24380</v>
      </c>
    </row>
    <row r="19589" spans="1:1" x14ac:dyDescent="0.25">
      <c r="A19589" s="74">
        <v>24381</v>
      </c>
    </row>
    <row r="19590" spans="1:1" x14ac:dyDescent="0.25">
      <c r="A19590" s="74">
        <v>24382</v>
      </c>
    </row>
    <row r="19591" spans="1:1" x14ac:dyDescent="0.25">
      <c r="A19591" s="74">
        <v>24383</v>
      </c>
    </row>
    <row r="19592" spans="1:1" x14ac:dyDescent="0.25">
      <c r="A19592" s="74">
        <v>24384</v>
      </c>
    </row>
    <row r="19593" spans="1:1" x14ac:dyDescent="0.25">
      <c r="A19593" s="74">
        <v>24385</v>
      </c>
    </row>
    <row r="19594" spans="1:1" x14ac:dyDescent="0.25">
      <c r="A19594" s="74">
        <v>24386</v>
      </c>
    </row>
    <row r="19595" spans="1:1" x14ac:dyDescent="0.25">
      <c r="A19595" s="74">
        <v>24387</v>
      </c>
    </row>
    <row r="19596" spans="1:1" x14ac:dyDescent="0.25">
      <c r="A19596" s="74">
        <v>24388</v>
      </c>
    </row>
    <row r="19597" spans="1:1" x14ac:dyDescent="0.25">
      <c r="A19597" s="74">
        <v>24389</v>
      </c>
    </row>
    <row r="19598" spans="1:1" x14ac:dyDescent="0.25">
      <c r="A19598" s="74">
        <v>24390</v>
      </c>
    </row>
    <row r="19599" spans="1:1" x14ac:dyDescent="0.25">
      <c r="A19599" s="74">
        <v>24391</v>
      </c>
    </row>
    <row r="19600" spans="1:1" x14ac:dyDescent="0.25">
      <c r="A19600" s="74">
        <v>24392</v>
      </c>
    </row>
    <row r="19601" spans="1:1" x14ac:dyDescent="0.25">
      <c r="A19601" s="74">
        <v>24393</v>
      </c>
    </row>
    <row r="19602" spans="1:1" x14ac:dyDescent="0.25">
      <c r="A19602" s="74">
        <v>24394</v>
      </c>
    </row>
    <row r="19603" spans="1:1" x14ac:dyDescent="0.25">
      <c r="A19603" s="74">
        <v>24395</v>
      </c>
    </row>
    <row r="19604" spans="1:1" x14ac:dyDescent="0.25">
      <c r="A19604" s="74">
        <v>24396</v>
      </c>
    </row>
    <row r="19605" spans="1:1" x14ac:dyDescent="0.25">
      <c r="A19605" s="74">
        <v>24397</v>
      </c>
    </row>
    <row r="19606" spans="1:1" x14ac:dyDescent="0.25">
      <c r="A19606" s="74">
        <v>24398</v>
      </c>
    </row>
    <row r="19607" spans="1:1" x14ac:dyDescent="0.25">
      <c r="A19607" s="74">
        <v>24399</v>
      </c>
    </row>
    <row r="19608" spans="1:1" x14ac:dyDescent="0.25">
      <c r="A19608" s="74">
        <v>24400</v>
      </c>
    </row>
    <row r="19609" spans="1:1" x14ac:dyDescent="0.25">
      <c r="A19609" s="74">
        <v>24401</v>
      </c>
    </row>
    <row r="19610" spans="1:1" x14ac:dyDescent="0.25">
      <c r="A19610" s="74">
        <v>24402</v>
      </c>
    </row>
    <row r="19611" spans="1:1" x14ac:dyDescent="0.25">
      <c r="A19611" s="74">
        <v>24403</v>
      </c>
    </row>
    <row r="19612" spans="1:1" x14ac:dyDescent="0.25">
      <c r="A19612" s="74">
        <v>24404</v>
      </c>
    </row>
    <row r="19613" spans="1:1" x14ac:dyDescent="0.25">
      <c r="A19613" s="74">
        <v>24405</v>
      </c>
    </row>
    <row r="19614" spans="1:1" x14ac:dyDescent="0.25">
      <c r="A19614" s="74">
        <v>24406</v>
      </c>
    </row>
    <row r="19615" spans="1:1" x14ac:dyDescent="0.25">
      <c r="A19615" s="74">
        <v>24407</v>
      </c>
    </row>
    <row r="19616" spans="1:1" x14ac:dyDescent="0.25">
      <c r="A19616" s="74">
        <v>24408</v>
      </c>
    </row>
    <row r="19617" spans="1:1" x14ac:dyDescent="0.25">
      <c r="A19617" s="74">
        <v>24409</v>
      </c>
    </row>
    <row r="19618" spans="1:1" x14ac:dyDescent="0.25">
      <c r="A19618" s="74">
        <v>24410</v>
      </c>
    </row>
    <row r="19619" spans="1:1" x14ac:dyDescent="0.25">
      <c r="A19619" s="74">
        <v>24411</v>
      </c>
    </row>
    <row r="19620" spans="1:1" x14ac:dyDescent="0.25">
      <c r="A19620" s="74">
        <v>24412</v>
      </c>
    </row>
    <row r="19621" spans="1:1" x14ac:dyDescent="0.25">
      <c r="A19621" s="74">
        <v>24413</v>
      </c>
    </row>
    <row r="19622" spans="1:1" x14ac:dyDescent="0.25">
      <c r="A19622" s="74">
        <v>24414</v>
      </c>
    </row>
    <row r="19623" spans="1:1" x14ac:dyDescent="0.25">
      <c r="A19623" s="74">
        <v>24415</v>
      </c>
    </row>
    <row r="19624" spans="1:1" x14ac:dyDescent="0.25">
      <c r="A19624" s="74">
        <v>24416</v>
      </c>
    </row>
    <row r="19625" spans="1:1" x14ac:dyDescent="0.25">
      <c r="A19625" s="74">
        <v>24417</v>
      </c>
    </row>
    <row r="19626" spans="1:1" x14ac:dyDescent="0.25">
      <c r="A19626" s="74">
        <v>24418</v>
      </c>
    </row>
    <row r="19627" spans="1:1" x14ac:dyDescent="0.25">
      <c r="A19627" s="74">
        <v>24419</v>
      </c>
    </row>
    <row r="19628" spans="1:1" x14ac:dyDescent="0.25">
      <c r="A19628" s="74">
        <v>24420</v>
      </c>
    </row>
    <row r="19629" spans="1:1" x14ac:dyDescent="0.25">
      <c r="A19629" s="74">
        <v>24421</v>
      </c>
    </row>
    <row r="19630" spans="1:1" x14ac:dyDescent="0.25">
      <c r="A19630" s="74">
        <v>24422</v>
      </c>
    </row>
    <row r="19631" spans="1:1" x14ac:dyDescent="0.25">
      <c r="A19631" s="74">
        <v>24423</v>
      </c>
    </row>
    <row r="19632" spans="1:1" x14ac:dyDescent="0.25">
      <c r="A19632" s="74">
        <v>24424</v>
      </c>
    </row>
    <row r="19633" spans="1:1" x14ac:dyDescent="0.25">
      <c r="A19633" s="74">
        <v>24425</v>
      </c>
    </row>
    <row r="19634" spans="1:1" x14ac:dyDescent="0.25">
      <c r="A19634" s="74">
        <v>24426</v>
      </c>
    </row>
    <row r="19635" spans="1:1" x14ac:dyDescent="0.25">
      <c r="A19635" s="74">
        <v>24427</v>
      </c>
    </row>
    <row r="19636" spans="1:1" x14ac:dyDescent="0.25">
      <c r="A19636" s="74">
        <v>24428</v>
      </c>
    </row>
    <row r="19637" spans="1:1" x14ac:dyDescent="0.25">
      <c r="A19637" s="74">
        <v>24429</v>
      </c>
    </row>
    <row r="19638" spans="1:1" x14ac:dyDescent="0.25">
      <c r="A19638" s="74">
        <v>24430</v>
      </c>
    </row>
    <row r="19639" spans="1:1" x14ac:dyDescent="0.25">
      <c r="A19639" s="74">
        <v>24431</v>
      </c>
    </row>
    <row r="19640" spans="1:1" x14ac:dyDescent="0.25">
      <c r="A19640" s="74">
        <v>24432</v>
      </c>
    </row>
    <row r="19641" spans="1:1" x14ac:dyDescent="0.25">
      <c r="A19641" s="74">
        <v>24433</v>
      </c>
    </row>
    <row r="19642" spans="1:1" x14ac:dyDescent="0.25">
      <c r="A19642" s="74">
        <v>24434</v>
      </c>
    </row>
    <row r="19643" spans="1:1" x14ac:dyDescent="0.25">
      <c r="A19643" s="74">
        <v>24435</v>
      </c>
    </row>
    <row r="19644" spans="1:1" x14ac:dyDescent="0.25">
      <c r="A19644" s="74">
        <v>24436</v>
      </c>
    </row>
    <row r="19645" spans="1:1" x14ac:dyDescent="0.25">
      <c r="A19645" s="74">
        <v>24437</v>
      </c>
    </row>
    <row r="19646" spans="1:1" x14ac:dyDescent="0.25">
      <c r="A19646" s="74">
        <v>24438</v>
      </c>
    </row>
    <row r="19647" spans="1:1" x14ac:dyDescent="0.25">
      <c r="A19647" s="74">
        <v>24439</v>
      </c>
    </row>
    <row r="19648" spans="1:1" x14ac:dyDescent="0.25">
      <c r="A19648" s="74">
        <v>24440</v>
      </c>
    </row>
    <row r="19649" spans="1:1" x14ac:dyDescent="0.25">
      <c r="A19649" s="74">
        <v>24441</v>
      </c>
    </row>
    <row r="19650" spans="1:1" x14ac:dyDescent="0.25">
      <c r="A19650" s="74">
        <v>24442</v>
      </c>
    </row>
    <row r="19651" spans="1:1" x14ac:dyDescent="0.25">
      <c r="A19651" s="74">
        <v>24443</v>
      </c>
    </row>
    <row r="19652" spans="1:1" x14ac:dyDescent="0.25">
      <c r="A19652" s="74">
        <v>24444</v>
      </c>
    </row>
    <row r="19653" spans="1:1" x14ac:dyDescent="0.25">
      <c r="A19653" s="74">
        <v>24445</v>
      </c>
    </row>
    <row r="19654" spans="1:1" x14ac:dyDescent="0.25">
      <c r="A19654" s="74">
        <v>24446</v>
      </c>
    </row>
    <row r="19655" spans="1:1" x14ac:dyDescent="0.25">
      <c r="A19655" s="74">
        <v>24447</v>
      </c>
    </row>
    <row r="19656" spans="1:1" x14ac:dyDescent="0.25">
      <c r="A19656" s="74">
        <v>24448</v>
      </c>
    </row>
    <row r="19657" spans="1:1" x14ac:dyDescent="0.25">
      <c r="A19657" s="74">
        <v>24449</v>
      </c>
    </row>
    <row r="19658" spans="1:1" x14ac:dyDescent="0.25">
      <c r="A19658" s="74">
        <v>24450</v>
      </c>
    </row>
    <row r="19659" spans="1:1" x14ac:dyDescent="0.25">
      <c r="A19659" s="74">
        <v>24451</v>
      </c>
    </row>
    <row r="19660" spans="1:1" x14ac:dyDescent="0.25">
      <c r="A19660" s="74">
        <v>24452</v>
      </c>
    </row>
    <row r="19661" spans="1:1" x14ac:dyDescent="0.25">
      <c r="A19661" s="74">
        <v>24453</v>
      </c>
    </row>
    <row r="19662" spans="1:1" x14ac:dyDescent="0.25">
      <c r="A19662" s="74">
        <v>24454</v>
      </c>
    </row>
    <row r="19663" spans="1:1" x14ac:dyDescent="0.25">
      <c r="A19663" s="74">
        <v>24455</v>
      </c>
    </row>
    <row r="19664" spans="1:1" x14ac:dyDescent="0.25">
      <c r="A19664" s="74">
        <v>24456</v>
      </c>
    </row>
    <row r="19665" spans="1:1" x14ac:dyDescent="0.25">
      <c r="A19665" s="74">
        <v>24457</v>
      </c>
    </row>
    <row r="19666" spans="1:1" x14ac:dyDescent="0.25">
      <c r="A19666" s="74">
        <v>24458</v>
      </c>
    </row>
    <row r="19667" spans="1:1" x14ac:dyDescent="0.25">
      <c r="A19667" s="74">
        <v>24459</v>
      </c>
    </row>
    <row r="19668" spans="1:1" x14ac:dyDescent="0.25">
      <c r="A19668" s="74">
        <v>24460</v>
      </c>
    </row>
    <row r="19669" spans="1:1" x14ac:dyDescent="0.25">
      <c r="A19669" s="74">
        <v>24461</v>
      </c>
    </row>
    <row r="19670" spans="1:1" x14ac:dyDescent="0.25">
      <c r="A19670" s="74">
        <v>24462</v>
      </c>
    </row>
    <row r="19671" spans="1:1" x14ac:dyDescent="0.25">
      <c r="A19671" s="74">
        <v>24463</v>
      </c>
    </row>
    <row r="19672" spans="1:1" x14ac:dyDescent="0.25">
      <c r="A19672" s="74">
        <v>24464</v>
      </c>
    </row>
    <row r="19673" spans="1:1" x14ac:dyDescent="0.25">
      <c r="A19673" s="74">
        <v>24465</v>
      </c>
    </row>
    <row r="19674" spans="1:1" x14ac:dyDescent="0.25">
      <c r="A19674" s="74">
        <v>24466</v>
      </c>
    </row>
    <row r="19675" spans="1:1" x14ac:dyDescent="0.25">
      <c r="A19675" s="74">
        <v>24467</v>
      </c>
    </row>
    <row r="19676" spans="1:1" x14ac:dyDescent="0.25">
      <c r="A19676" s="74">
        <v>24468</v>
      </c>
    </row>
    <row r="19677" spans="1:1" x14ac:dyDescent="0.25">
      <c r="A19677" s="74">
        <v>24469</v>
      </c>
    </row>
    <row r="19678" spans="1:1" x14ac:dyDescent="0.25">
      <c r="A19678" s="74">
        <v>24470</v>
      </c>
    </row>
    <row r="19679" spans="1:1" x14ac:dyDescent="0.25">
      <c r="A19679" s="74">
        <v>24471</v>
      </c>
    </row>
    <row r="19680" spans="1:1" x14ac:dyDescent="0.25">
      <c r="A19680" s="74">
        <v>24472</v>
      </c>
    </row>
    <row r="19681" spans="1:1" x14ac:dyDescent="0.25">
      <c r="A19681" s="74">
        <v>24473</v>
      </c>
    </row>
    <row r="19682" spans="1:1" x14ac:dyDescent="0.25">
      <c r="A19682" s="74">
        <v>24474</v>
      </c>
    </row>
    <row r="19683" spans="1:1" x14ac:dyDescent="0.25">
      <c r="A19683" s="74">
        <v>24475</v>
      </c>
    </row>
    <row r="19684" spans="1:1" x14ac:dyDescent="0.25">
      <c r="A19684" s="74">
        <v>24476</v>
      </c>
    </row>
    <row r="19685" spans="1:1" x14ac:dyDescent="0.25">
      <c r="A19685" s="74">
        <v>24477</v>
      </c>
    </row>
    <row r="19686" spans="1:1" x14ac:dyDescent="0.25">
      <c r="A19686" s="74">
        <v>24478</v>
      </c>
    </row>
    <row r="19687" spans="1:1" x14ac:dyDescent="0.25">
      <c r="A19687" s="74">
        <v>24479</v>
      </c>
    </row>
    <row r="19688" spans="1:1" x14ac:dyDescent="0.25">
      <c r="A19688" s="74">
        <v>24480</v>
      </c>
    </row>
    <row r="19689" spans="1:1" x14ac:dyDescent="0.25">
      <c r="A19689" s="74">
        <v>24481</v>
      </c>
    </row>
    <row r="19690" spans="1:1" x14ac:dyDescent="0.25">
      <c r="A19690" s="74">
        <v>24482</v>
      </c>
    </row>
    <row r="19691" spans="1:1" x14ac:dyDescent="0.25">
      <c r="A19691" s="74">
        <v>24483</v>
      </c>
    </row>
    <row r="19692" spans="1:1" x14ac:dyDescent="0.25">
      <c r="A19692" s="74">
        <v>24484</v>
      </c>
    </row>
    <row r="19693" spans="1:1" x14ac:dyDescent="0.25">
      <c r="A19693" s="74">
        <v>24485</v>
      </c>
    </row>
    <row r="19694" spans="1:1" x14ac:dyDescent="0.25">
      <c r="A19694" s="74">
        <v>24486</v>
      </c>
    </row>
    <row r="19695" spans="1:1" x14ac:dyDescent="0.25">
      <c r="A19695" s="74">
        <v>24487</v>
      </c>
    </row>
    <row r="19696" spans="1:1" x14ac:dyDescent="0.25">
      <c r="A19696" s="74">
        <v>24488</v>
      </c>
    </row>
    <row r="19697" spans="1:1" x14ac:dyDescent="0.25">
      <c r="A19697" s="74">
        <v>24489</v>
      </c>
    </row>
    <row r="19698" spans="1:1" x14ac:dyDescent="0.25">
      <c r="A19698" s="74">
        <v>24490</v>
      </c>
    </row>
    <row r="19699" spans="1:1" x14ac:dyDescent="0.25">
      <c r="A19699" s="74">
        <v>24491</v>
      </c>
    </row>
    <row r="19700" spans="1:1" x14ac:dyDescent="0.25">
      <c r="A19700" s="74">
        <v>24492</v>
      </c>
    </row>
    <row r="19701" spans="1:1" x14ac:dyDescent="0.25">
      <c r="A19701" s="74">
        <v>24493</v>
      </c>
    </row>
    <row r="19702" spans="1:1" x14ac:dyDescent="0.25">
      <c r="A19702" s="74">
        <v>24494</v>
      </c>
    </row>
    <row r="19703" spans="1:1" x14ac:dyDescent="0.25">
      <c r="A19703" s="74">
        <v>24495</v>
      </c>
    </row>
    <row r="19704" spans="1:1" x14ac:dyDescent="0.25">
      <c r="A19704" s="74">
        <v>24496</v>
      </c>
    </row>
    <row r="19705" spans="1:1" x14ac:dyDescent="0.25">
      <c r="A19705" s="74">
        <v>24497</v>
      </c>
    </row>
    <row r="19706" spans="1:1" x14ac:dyDescent="0.25">
      <c r="A19706" s="74">
        <v>24498</v>
      </c>
    </row>
    <row r="19707" spans="1:1" x14ac:dyDescent="0.25">
      <c r="A19707" s="74">
        <v>24499</v>
      </c>
    </row>
    <row r="19708" spans="1:1" x14ac:dyDescent="0.25">
      <c r="A19708" s="74">
        <v>24500</v>
      </c>
    </row>
    <row r="19709" spans="1:1" x14ac:dyDescent="0.25">
      <c r="A19709" s="74">
        <v>24501</v>
      </c>
    </row>
    <row r="19710" spans="1:1" x14ac:dyDescent="0.25">
      <c r="A19710" s="74">
        <v>24502</v>
      </c>
    </row>
    <row r="19711" spans="1:1" x14ac:dyDescent="0.25">
      <c r="A19711" s="74">
        <v>24503</v>
      </c>
    </row>
    <row r="19712" spans="1:1" x14ac:dyDescent="0.25">
      <c r="A19712" s="74">
        <v>24504</v>
      </c>
    </row>
    <row r="19713" spans="1:1" x14ac:dyDescent="0.25">
      <c r="A19713" s="74">
        <v>24505</v>
      </c>
    </row>
    <row r="19714" spans="1:1" x14ac:dyDescent="0.25">
      <c r="A19714" s="74">
        <v>24506</v>
      </c>
    </row>
    <row r="19715" spans="1:1" x14ac:dyDescent="0.25">
      <c r="A19715" s="74">
        <v>24507</v>
      </c>
    </row>
    <row r="19716" spans="1:1" x14ac:dyDescent="0.25">
      <c r="A19716" s="74">
        <v>24508</v>
      </c>
    </row>
    <row r="19717" spans="1:1" x14ac:dyDescent="0.25">
      <c r="A19717" s="74">
        <v>24509</v>
      </c>
    </row>
    <row r="19718" spans="1:1" x14ac:dyDescent="0.25">
      <c r="A19718" s="74">
        <v>24510</v>
      </c>
    </row>
    <row r="19719" spans="1:1" x14ac:dyDescent="0.25">
      <c r="A19719" s="74">
        <v>24511</v>
      </c>
    </row>
    <row r="19720" spans="1:1" x14ac:dyDescent="0.25">
      <c r="A19720" s="74">
        <v>24512</v>
      </c>
    </row>
    <row r="19721" spans="1:1" x14ac:dyDescent="0.25">
      <c r="A19721" s="74">
        <v>24513</v>
      </c>
    </row>
    <row r="19722" spans="1:1" x14ac:dyDescent="0.25">
      <c r="A19722" s="74">
        <v>24514</v>
      </c>
    </row>
    <row r="19723" spans="1:1" x14ac:dyDescent="0.25">
      <c r="A19723" s="74">
        <v>24515</v>
      </c>
    </row>
    <row r="19724" spans="1:1" x14ac:dyDescent="0.25">
      <c r="A19724" s="74">
        <v>24516</v>
      </c>
    </row>
    <row r="19725" spans="1:1" x14ac:dyDescent="0.25">
      <c r="A19725" s="74">
        <v>24517</v>
      </c>
    </row>
    <row r="19726" spans="1:1" x14ac:dyDescent="0.25">
      <c r="A19726" s="74">
        <v>24518</v>
      </c>
    </row>
    <row r="19727" spans="1:1" x14ac:dyDescent="0.25">
      <c r="A19727" s="74">
        <v>24519</v>
      </c>
    </row>
    <row r="19728" spans="1:1" x14ac:dyDescent="0.25">
      <c r="A19728" s="74">
        <v>24520</v>
      </c>
    </row>
    <row r="19729" spans="1:1" x14ac:dyDescent="0.25">
      <c r="A19729" s="74">
        <v>24521</v>
      </c>
    </row>
    <row r="19730" spans="1:1" x14ac:dyDescent="0.25">
      <c r="A19730" s="74">
        <v>24522</v>
      </c>
    </row>
    <row r="19731" spans="1:1" x14ac:dyDescent="0.25">
      <c r="A19731" s="74">
        <v>24523</v>
      </c>
    </row>
    <row r="19732" spans="1:1" x14ac:dyDescent="0.25">
      <c r="A19732" s="74">
        <v>24524</v>
      </c>
    </row>
    <row r="19733" spans="1:1" x14ac:dyDescent="0.25">
      <c r="A19733" s="74">
        <v>24525</v>
      </c>
    </row>
    <row r="19734" spans="1:1" x14ac:dyDescent="0.25">
      <c r="A19734" s="74">
        <v>24526</v>
      </c>
    </row>
    <row r="19735" spans="1:1" x14ac:dyDescent="0.25">
      <c r="A19735" s="74">
        <v>24527</v>
      </c>
    </row>
    <row r="19736" spans="1:1" x14ac:dyDescent="0.25">
      <c r="A19736" s="74">
        <v>24528</v>
      </c>
    </row>
    <row r="19737" spans="1:1" x14ac:dyDescent="0.25">
      <c r="A19737" s="74">
        <v>24529</v>
      </c>
    </row>
    <row r="19738" spans="1:1" x14ac:dyDescent="0.25">
      <c r="A19738" s="74">
        <v>24530</v>
      </c>
    </row>
    <row r="19739" spans="1:1" x14ac:dyDescent="0.25">
      <c r="A19739" s="74">
        <v>24531</v>
      </c>
    </row>
    <row r="19740" spans="1:1" x14ac:dyDescent="0.25">
      <c r="A19740" s="74">
        <v>24532</v>
      </c>
    </row>
    <row r="19741" spans="1:1" x14ac:dyDescent="0.25">
      <c r="A19741" s="74">
        <v>24533</v>
      </c>
    </row>
    <row r="19742" spans="1:1" x14ac:dyDescent="0.25">
      <c r="A19742" s="74">
        <v>24534</v>
      </c>
    </row>
    <row r="19743" spans="1:1" x14ac:dyDescent="0.25">
      <c r="A19743" s="74">
        <v>24535</v>
      </c>
    </row>
    <row r="19744" spans="1:1" x14ac:dyDescent="0.25">
      <c r="A19744" s="74">
        <v>24536</v>
      </c>
    </row>
    <row r="19745" spans="1:1" x14ac:dyDescent="0.25">
      <c r="A19745" s="74">
        <v>24537</v>
      </c>
    </row>
    <row r="19746" spans="1:1" x14ac:dyDescent="0.25">
      <c r="A19746" s="74">
        <v>24538</v>
      </c>
    </row>
    <row r="19747" spans="1:1" x14ac:dyDescent="0.25">
      <c r="A19747" s="74">
        <v>24539</v>
      </c>
    </row>
    <row r="19748" spans="1:1" x14ac:dyDescent="0.25">
      <c r="A19748" s="74">
        <v>24540</v>
      </c>
    </row>
    <row r="19749" spans="1:1" x14ac:dyDescent="0.25">
      <c r="A19749" s="74">
        <v>24541</v>
      </c>
    </row>
    <row r="19750" spans="1:1" x14ac:dyDescent="0.25">
      <c r="A19750" s="74">
        <v>24542</v>
      </c>
    </row>
    <row r="19751" spans="1:1" x14ac:dyDescent="0.25">
      <c r="A19751" s="74">
        <v>24543</v>
      </c>
    </row>
    <row r="19752" spans="1:1" x14ac:dyDescent="0.25">
      <c r="A19752" s="74">
        <v>24544</v>
      </c>
    </row>
    <row r="19753" spans="1:1" x14ac:dyDescent="0.25">
      <c r="A19753" s="74">
        <v>24545</v>
      </c>
    </row>
    <row r="19754" spans="1:1" x14ac:dyDescent="0.25">
      <c r="A19754" s="74">
        <v>24546</v>
      </c>
    </row>
    <row r="19755" spans="1:1" x14ac:dyDescent="0.25">
      <c r="A19755" s="74">
        <v>24547</v>
      </c>
    </row>
    <row r="19756" spans="1:1" x14ac:dyDescent="0.25">
      <c r="A19756" s="74">
        <v>24548</v>
      </c>
    </row>
    <row r="19757" spans="1:1" x14ac:dyDescent="0.25">
      <c r="A19757" s="74">
        <v>24549</v>
      </c>
    </row>
    <row r="19758" spans="1:1" x14ac:dyDescent="0.25">
      <c r="A19758" s="74">
        <v>24550</v>
      </c>
    </row>
    <row r="19759" spans="1:1" x14ac:dyDescent="0.25">
      <c r="A19759" s="74">
        <v>24551</v>
      </c>
    </row>
    <row r="19760" spans="1:1" x14ac:dyDescent="0.25">
      <c r="A19760" s="74">
        <v>24552</v>
      </c>
    </row>
    <row r="19761" spans="1:1" x14ac:dyDescent="0.25">
      <c r="A19761" s="74">
        <v>24553</v>
      </c>
    </row>
    <row r="19762" spans="1:1" x14ac:dyDescent="0.25">
      <c r="A19762" s="74">
        <v>24554</v>
      </c>
    </row>
    <row r="19763" spans="1:1" x14ac:dyDescent="0.25">
      <c r="A19763" s="74">
        <v>24555</v>
      </c>
    </row>
    <row r="19764" spans="1:1" x14ac:dyDescent="0.25">
      <c r="A19764" s="74">
        <v>24556</v>
      </c>
    </row>
    <row r="19765" spans="1:1" x14ac:dyDescent="0.25">
      <c r="A19765" s="74">
        <v>24557</v>
      </c>
    </row>
    <row r="19766" spans="1:1" x14ac:dyDescent="0.25">
      <c r="A19766" s="74">
        <v>24558</v>
      </c>
    </row>
    <row r="19767" spans="1:1" x14ac:dyDescent="0.25">
      <c r="A19767" s="74">
        <v>24559</v>
      </c>
    </row>
    <row r="19768" spans="1:1" x14ac:dyDescent="0.25">
      <c r="A19768" s="74">
        <v>24560</v>
      </c>
    </row>
    <row r="19769" spans="1:1" x14ac:dyDescent="0.25">
      <c r="A19769" s="74">
        <v>24561</v>
      </c>
    </row>
    <row r="19770" spans="1:1" x14ac:dyDescent="0.25">
      <c r="A19770" s="74">
        <v>24562</v>
      </c>
    </row>
    <row r="19771" spans="1:1" x14ac:dyDescent="0.25">
      <c r="A19771" s="74">
        <v>24563</v>
      </c>
    </row>
    <row r="19772" spans="1:1" x14ac:dyDescent="0.25">
      <c r="A19772" s="74">
        <v>24564</v>
      </c>
    </row>
    <row r="19773" spans="1:1" x14ac:dyDescent="0.25">
      <c r="A19773" s="74">
        <v>24565</v>
      </c>
    </row>
    <row r="19774" spans="1:1" x14ac:dyDescent="0.25">
      <c r="A19774" s="74">
        <v>24566</v>
      </c>
    </row>
    <row r="19775" spans="1:1" x14ac:dyDescent="0.25">
      <c r="A19775" s="74">
        <v>24567</v>
      </c>
    </row>
    <row r="19776" spans="1:1" x14ac:dyDescent="0.25">
      <c r="A19776" s="74">
        <v>24568</v>
      </c>
    </row>
    <row r="19777" spans="1:1" x14ac:dyDescent="0.25">
      <c r="A19777" s="74">
        <v>24569</v>
      </c>
    </row>
    <row r="19778" spans="1:1" x14ac:dyDescent="0.25">
      <c r="A19778" s="74">
        <v>24570</v>
      </c>
    </row>
    <row r="19779" spans="1:1" x14ac:dyDescent="0.25">
      <c r="A19779" s="74">
        <v>24571</v>
      </c>
    </row>
    <row r="19780" spans="1:1" x14ac:dyDescent="0.25">
      <c r="A19780" s="74">
        <v>24572</v>
      </c>
    </row>
    <row r="19781" spans="1:1" x14ac:dyDescent="0.25">
      <c r="A19781" s="74">
        <v>24573</v>
      </c>
    </row>
    <row r="19782" spans="1:1" x14ac:dyDescent="0.25">
      <c r="A19782" s="74">
        <v>24574</v>
      </c>
    </row>
    <row r="19783" spans="1:1" x14ac:dyDescent="0.25">
      <c r="A19783" s="74">
        <v>24575</v>
      </c>
    </row>
    <row r="19784" spans="1:1" x14ac:dyDescent="0.25">
      <c r="A19784" s="74">
        <v>24576</v>
      </c>
    </row>
    <row r="19785" spans="1:1" x14ac:dyDescent="0.25">
      <c r="A19785" s="74">
        <v>24577</v>
      </c>
    </row>
    <row r="19786" spans="1:1" x14ac:dyDescent="0.25">
      <c r="A19786" s="74">
        <v>24578</v>
      </c>
    </row>
    <row r="19787" spans="1:1" x14ac:dyDescent="0.25">
      <c r="A19787" s="74">
        <v>24579</v>
      </c>
    </row>
    <row r="19788" spans="1:1" x14ac:dyDescent="0.25">
      <c r="A19788" s="74">
        <v>24580</v>
      </c>
    </row>
    <row r="19789" spans="1:1" x14ac:dyDescent="0.25">
      <c r="A19789" s="74">
        <v>24581</v>
      </c>
    </row>
    <row r="19790" spans="1:1" x14ac:dyDescent="0.25">
      <c r="A19790" s="74">
        <v>24582</v>
      </c>
    </row>
    <row r="19791" spans="1:1" x14ac:dyDescent="0.25">
      <c r="A19791" s="74">
        <v>24583</v>
      </c>
    </row>
    <row r="19792" spans="1:1" x14ac:dyDescent="0.25">
      <c r="A19792" s="74">
        <v>24584</v>
      </c>
    </row>
    <row r="19793" spans="1:1" x14ac:dyDescent="0.25">
      <c r="A19793" s="74">
        <v>24585</v>
      </c>
    </row>
    <row r="19794" spans="1:1" x14ac:dyDescent="0.25">
      <c r="A19794" s="74">
        <v>24586</v>
      </c>
    </row>
    <row r="19795" spans="1:1" x14ac:dyDescent="0.25">
      <c r="A19795" s="74">
        <v>24587</v>
      </c>
    </row>
    <row r="19796" spans="1:1" x14ac:dyDescent="0.25">
      <c r="A19796" s="74">
        <v>24588</v>
      </c>
    </row>
    <row r="19797" spans="1:1" x14ac:dyDescent="0.25">
      <c r="A19797" s="74">
        <v>24589</v>
      </c>
    </row>
    <row r="19798" spans="1:1" x14ac:dyDescent="0.25">
      <c r="A19798" s="74">
        <v>24590</v>
      </c>
    </row>
    <row r="19799" spans="1:1" x14ac:dyDescent="0.25">
      <c r="A19799" s="74">
        <v>24591</v>
      </c>
    </row>
    <row r="19800" spans="1:1" x14ac:dyDescent="0.25">
      <c r="A19800" s="74">
        <v>24592</v>
      </c>
    </row>
    <row r="19801" spans="1:1" x14ac:dyDescent="0.25">
      <c r="A19801" s="74">
        <v>24593</v>
      </c>
    </row>
    <row r="19802" spans="1:1" x14ac:dyDescent="0.25">
      <c r="A19802" s="74">
        <v>24594</v>
      </c>
    </row>
    <row r="19803" spans="1:1" x14ac:dyDescent="0.25">
      <c r="A19803" s="74">
        <v>24595</v>
      </c>
    </row>
    <row r="19804" spans="1:1" x14ac:dyDescent="0.25">
      <c r="A19804" s="74">
        <v>24596</v>
      </c>
    </row>
    <row r="19805" spans="1:1" x14ac:dyDescent="0.25">
      <c r="A19805" s="74">
        <v>24597</v>
      </c>
    </row>
    <row r="19806" spans="1:1" x14ac:dyDescent="0.25">
      <c r="A19806" s="74">
        <v>24598</v>
      </c>
    </row>
    <row r="19807" spans="1:1" x14ac:dyDescent="0.25">
      <c r="A19807" s="74">
        <v>24599</v>
      </c>
    </row>
    <row r="19808" spans="1:1" x14ac:dyDescent="0.25">
      <c r="A19808" s="74">
        <v>24600</v>
      </c>
    </row>
    <row r="19809" spans="1:1" x14ac:dyDescent="0.25">
      <c r="A19809" s="74">
        <v>24601</v>
      </c>
    </row>
    <row r="19810" spans="1:1" x14ac:dyDescent="0.25">
      <c r="A19810" s="74">
        <v>24602</v>
      </c>
    </row>
    <row r="19811" spans="1:1" x14ac:dyDescent="0.25">
      <c r="A19811" s="74">
        <v>24603</v>
      </c>
    </row>
    <row r="19812" spans="1:1" x14ac:dyDescent="0.25">
      <c r="A19812" s="74">
        <v>24604</v>
      </c>
    </row>
    <row r="19813" spans="1:1" x14ac:dyDescent="0.25">
      <c r="A19813" s="74">
        <v>24605</v>
      </c>
    </row>
    <row r="19814" spans="1:1" x14ac:dyDescent="0.25">
      <c r="A19814" s="74">
        <v>24606</v>
      </c>
    </row>
    <row r="19815" spans="1:1" x14ac:dyDescent="0.25">
      <c r="A19815" s="74">
        <v>24607</v>
      </c>
    </row>
    <row r="19816" spans="1:1" x14ac:dyDescent="0.25">
      <c r="A19816" s="74">
        <v>24608</v>
      </c>
    </row>
    <row r="19817" spans="1:1" x14ac:dyDescent="0.25">
      <c r="A19817" s="74">
        <v>24609</v>
      </c>
    </row>
    <row r="19818" spans="1:1" x14ac:dyDescent="0.25">
      <c r="A19818" s="74">
        <v>24610</v>
      </c>
    </row>
    <row r="19819" spans="1:1" x14ac:dyDescent="0.25">
      <c r="A19819" s="74">
        <v>24611</v>
      </c>
    </row>
    <row r="19820" spans="1:1" x14ac:dyDescent="0.25">
      <c r="A19820" s="74">
        <v>24612</v>
      </c>
    </row>
    <row r="19821" spans="1:1" x14ac:dyDescent="0.25">
      <c r="A19821" s="74">
        <v>24613</v>
      </c>
    </row>
    <row r="19822" spans="1:1" x14ac:dyDescent="0.25">
      <c r="A19822" s="74">
        <v>24614</v>
      </c>
    </row>
    <row r="19823" spans="1:1" x14ac:dyDescent="0.25">
      <c r="A19823" s="74">
        <v>24615</v>
      </c>
    </row>
    <row r="19824" spans="1:1" x14ac:dyDescent="0.25">
      <c r="A19824" s="74">
        <v>24616</v>
      </c>
    </row>
    <row r="19825" spans="1:1" x14ac:dyDescent="0.25">
      <c r="A19825" s="74">
        <v>24617</v>
      </c>
    </row>
    <row r="19826" spans="1:1" x14ac:dyDescent="0.25">
      <c r="A19826" s="74">
        <v>24618</v>
      </c>
    </row>
    <row r="19827" spans="1:1" x14ac:dyDescent="0.25">
      <c r="A19827" s="74">
        <v>24619</v>
      </c>
    </row>
    <row r="19828" spans="1:1" x14ac:dyDescent="0.25">
      <c r="A19828" s="74">
        <v>24620</v>
      </c>
    </row>
    <row r="19829" spans="1:1" x14ac:dyDescent="0.25">
      <c r="A19829" s="74">
        <v>24621</v>
      </c>
    </row>
    <row r="19830" spans="1:1" x14ac:dyDescent="0.25">
      <c r="A19830" s="74">
        <v>24622</v>
      </c>
    </row>
    <row r="19831" spans="1:1" x14ac:dyDescent="0.25">
      <c r="A19831" s="74">
        <v>24623</v>
      </c>
    </row>
    <row r="19832" spans="1:1" x14ac:dyDescent="0.25">
      <c r="A19832" s="74">
        <v>24624</v>
      </c>
    </row>
    <row r="19833" spans="1:1" x14ac:dyDescent="0.25">
      <c r="A19833" s="74">
        <v>24625</v>
      </c>
    </row>
    <row r="19834" spans="1:1" x14ac:dyDescent="0.25">
      <c r="A19834" s="74">
        <v>24626</v>
      </c>
    </row>
    <row r="19835" spans="1:1" x14ac:dyDescent="0.25">
      <c r="A19835" s="74">
        <v>24627</v>
      </c>
    </row>
    <row r="19836" spans="1:1" x14ac:dyDescent="0.25">
      <c r="A19836" s="74">
        <v>24628</v>
      </c>
    </row>
    <row r="19837" spans="1:1" x14ac:dyDescent="0.25">
      <c r="A19837" s="74">
        <v>24629</v>
      </c>
    </row>
    <row r="19838" spans="1:1" x14ac:dyDescent="0.25">
      <c r="A19838" s="74">
        <v>24630</v>
      </c>
    </row>
    <row r="19839" spans="1:1" x14ac:dyDescent="0.25">
      <c r="A19839" s="74">
        <v>24631</v>
      </c>
    </row>
    <row r="19840" spans="1:1" x14ac:dyDescent="0.25">
      <c r="A19840" s="74">
        <v>24632</v>
      </c>
    </row>
    <row r="19841" spans="1:1" x14ac:dyDescent="0.25">
      <c r="A19841" s="74">
        <v>24633</v>
      </c>
    </row>
    <row r="19842" spans="1:1" x14ac:dyDescent="0.25">
      <c r="A19842" s="74">
        <v>24634</v>
      </c>
    </row>
    <row r="19843" spans="1:1" x14ac:dyDescent="0.25">
      <c r="A19843" s="74">
        <v>24635</v>
      </c>
    </row>
    <row r="19844" spans="1:1" x14ac:dyDescent="0.25">
      <c r="A19844" s="74">
        <v>24636</v>
      </c>
    </row>
    <row r="19845" spans="1:1" x14ac:dyDescent="0.25">
      <c r="A19845" s="74">
        <v>24637</v>
      </c>
    </row>
    <row r="19846" spans="1:1" x14ac:dyDescent="0.25">
      <c r="A19846" s="74">
        <v>24638</v>
      </c>
    </row>
    <row r="19847" spans="1:1" x14ac:dyDescent="0.25">
      <c r="A19847" s="74">
        <v>24639</v>
      </c>
    </row>
    <row r="19848" spans="1:1" x14ac:dyDescent="0.25">
      <c r="A19848" s="74">
        <v>24640</v>
      </c>
    </row>
    <row r="19849" spans="1:1" x14ac:dyDescent="0.25">
      <c r="A19849" s="74">
        <v>24641</v>
      </c>
    </row>
    <row r="19850" spans="1:1" x14ac:dyDescent="0.25">
      <c r="A19850" s="74">
        <v>24642</v>
      </c>
    </row>
    <row r="19851" spans="1:1" x14ac:dyDescent="0.25">
      <c r="A19851" s="74">
        <v>24643</v>
      </c>
    </row>
    <row r="19852" spans="1:1" x14ac:dyDescent="0.25">
      <c r="A19852" s="74">
        <v>24644</v>
      </c>
    </row>
    <row r="19853" spans="1:1" x14ac:dyDescent="0.25">
      <c r="A19853" s="74">
        <v>24645</v>
      </c>
    </row>
    <row r="19854" spans="1:1" x14ac:dyDescent="0.25">
      <c r="A19854" s="74">
        <v>24646</v>
      </c>
    </row>
    <row r="19855" spans="1:1" x14ac:dyDescent="0.25">
      <c r="A19855" s="74">
        <v>24647</v>
      </c>
    </row>
    <row r="19856" spans="1:1" x14ac:dyDescent="0.25">
      <c r="A19856" s="74">
        <v>24648</v>
      </c>
    </row>
    <row r="19857" spans="1:1" x14ac:dyDescent="0.25">
      <c r="A19857" s="74">
        <v>24649</v>
      </c>
    </row>
    <row r="19858" spans="1:1" x14ac:dyDescent="0.25">
      <c r="A19858" s="74">
        <v>24650</v>
      </c>
    </row>
    <row r="19859" spans="1:1" x14ac:dyDescent="0.25">
      <c r="A19859" s="74">
        <v>24651</v>
      </c>
    </row>
    <row r="19860" spans="1:1" x14ac:dyDescent="0.25">
      <c r="A19860" s="74">
        <v>24652</v>
      </c>
    </row>
    <row r="19861" spans="1:1" x14ac:dyDescent="0.25">
      <c r="A19861" s="74">
        <v>24653</v>
      </c>
    </row>
    <row r="19862" spans="1:1" x14ac:dyDescent="0.25">
      <c r="A19862" s="74">
        <v>24654</v>
      </c>
    </row>
    <row r="19863" spans="1:1" x14ac:dyDescent="0.25">
      <c r="A19863" s="74">
        <v>24655</v>
      </c>
    </row>
    <row r="19864" spans="1:1" x14ac:dyDescent="0.25">
      <c r="A19864" s="74">
        <v>24656</v>
      </c>
    </row>
    <row r="19865" spans="1:1" x14ac:dyDescent="0.25">
      <c r="A19865" s="74">
        <v>24657</v>
      </c>
    </row>
    <row r="19866" spans="1:1" x14ac:dyDescent="0.25">
      <c r="A19866" s="74">
        <v>24658</v>
      </c>
    </row>
    <row r="19867" spans="1:1" x14ac:dyDescent="0.25">
      <c r="A19867" s="74">
        <v>24659</v>
      </c>
    </row>
    <row r="19868" spans="1:1" x14ac:dyDescent="0.25">
      <c r="A19868" s="74">
        <v>24660</v>
      </c>
    </row>
    <row r="19869" spans="1:1" x14ac:dyDescent="0.25">
      <c r="A19869" s="74">
        <v>24661</v>
      </c>
    </row>
    <row r="19870" spans="1:1" x14ac:dyDescent="0.25">
      <c r="A19870" s="74">
        <v>24662</v>
      </c>
    </row>
    <row r="19871" spans="1:1" x14ac:dyDescent="0.25">
      <c r="A19871" s="74">
        <v>24663</v>
      </c>
    </row>
    <row r="19872" spans="1:1" x14ac:dyDescent="0.25">
      <c r="A19872" s="74">
        <v>24664</v>
      </c>
    </row>
    <row r="19873" spans="1:1" x14ac:dyDescent="0.25">
      <c r="A19873" s="74">
        <v>24665</v>
      </c>
    </row>
    <row r="19874" spans="1:1" x14ac:dyDescent="0.25">
      <c r="A19874" s="74">
        <v>24666</v>
      </c>
    </row>
    <row r="19875" spans="1:1" x14ac:dyDescent="0.25">
      <c r="A19875" s="74">
        <v>24667</v>
      </c>
    </row>
    <row r="19876" spans="1:1" x14ac:dyDescent="0.25">
      <c r="A19876" s="74">
        <v>24668</v>
      </c>
    </row>
    <row r="19877" spans="1:1" x14ac:dyDescent="0.25">
      <c r="A19877" s="74">
        <v>24669</v>
      </c>
    </row>
    <row r="19878" spans="1:1" x14ac:dyDescent="0.25">
      <c r="A19878" s="74">
        <v>24670</v>
      </c>
    </row>
    <row r="19879" spans="1:1" x14ac:dyDescent="0.25">
      <c r="A19879" s="74">
        <v>24671</v>
      </c>
    </row>
    <row r="19880" spans="1:1" x14ac:dyDescent="0.25">
      <c r="A19880" s="74">
        <v>24672</v>
      </c>
    </row>
    <row r="19881" spans="1:1" x14ac:dyDescent="0.25">
      <c r="A19881" s="74">
        <v>24673</v>
      </c>
    </row>
    <row r="19882" spans="1:1" x14ac:dyDescent="0.25">
      <c r="A19882" s="74">
        <v>24674</v>
      </c>
    </row>
    <row r="19883" spans="1:1" x14ac:dyDescent="0.25">
      <c r="A19883" s="74">
        <v>24675</v>
      </c>
    </row>
    <row r="19884" spans="1:1" x14ac:dyDescent="0.25">
      <c r="A19884" s="74">
        <v>24676</v>
      </c>
    </row>
    <row r="19885" spans="1:1" x14ac:dyDescent="0.25">
      <c r="A19885" s="74">
        <v>24677</v>
      </c>
    </row>
    <row r="19886" spans="1:1" x14ac:dyDescent="0.25">
      <c r="A19886" s="74">
        <v>24678</v>
      </c>
    </row>
    <row r="19887" spans="1:1" x14ac:dyDescent="0.25">
      <c r="A19887" s="74">
        <v>24679</v>
      </c>
    </row>
    <row r="19888" spans="1:1" x14ac:dyDescent="0.25">
      <c r="A19888" s="74">
        <v>24680</v>
      </c>
    </row>
    <row r="19889" spans="1:1" x14ac:dyDescent="0.25">
      <c r="A19889" s="74">
        <v>24681</v>
      </c>
    </row>
    <row r="19890" spans="1:1" x14ac:dyDescent="0.25">
      <c r="A19890" s="74">
        <v>24682</v>
      </c>
    </row>
    <row r="19891" spans="1:1" x14ac:dyDescent="0.25">
      <c r="A19891" s="74">
        <v>24683</v>
      </c>
    </row>
    <row r="19892" spans="1:1" x14ac:dyDescent="0.25">
      <c r="A19892" s="74">
        <v>24684</v>
      </c>
    </row>
    <row r="19893" spans="1:1" x14ac:dyDescent="0.25">
      <c r="A19893" s="74">
        <v>24685</v>
      </c>
    </row>
    <row r="19894" spans="1:1" x14ac:dyDescent="0.25">
      <c r="A19894" s="74">
        <v>24686</v>
      </c>
    </row>
    <row r="19895" spans="1:1" x14ac:dyDescent="0.25">
      <c r="A19895" s="74">
        <v>24687</v>
      </c>
    </row>
    <row r="19896" spans="1:1" x14ac:dyDescent="0.25">
      <c r="A19896" s="74">
        <v>24688</v>
      </c>
    </row>
    <row r="19897" spans="1:1" x14ac:dyDescent="0.25">
      <c r="A19897" s="74">
        <v>24689</v>
      </c>
    </row>
    <row r="19898" spans="1:1" x14ac:dyDescent="0.25">
      <c r="A19898" s="74">
        <v>24690</v>
      </c>
    </row>
    <row r="19899" spans="1:1" x14ac:dyDescent="0.25">
      <c r="A19899" s="74">
        <v>24691</v>
      </c>
    </row>
    <row r="19900" spans="1:1" x14ac:dyDescent="0.25">
      <c r="A19900" s="74">
        <v>24692</v>
      </c>
    </row>
    <row r="19901" spans="1:1" x14ac:dyDescent="0.25">
      <c r="A19901" s="74">
        <v>24693</v>
      </c>
    </row>
    <row r="19902" spans="1:1" x14ac:dyDescent="0.25">
      <c r="A19902" s="74">
        <v>24694</v>
      </c>
    </row>
    <row r="19903" spans="1:1" x14ac:dyDescent="0.25">
      <c r="A19903" s="74">
        <v>24695</v>
      </c>
    </row>
    <row r="19904" spans="1:1" x14ac:dyDescent="0.25">
      <c r="A19904" s="74">
        <v>24696</v>
      </c>
    </row>
    <row r="19905" spans="1:1" x14ac:dyDescent="0.25">
      <c r="A19905" s="74">
        <v>24697</v>
      </c>
    </row>
    <row r="19906" spans="1:1" x14ac:dyDescent="0.25">
      <c r="A19906" s="74">
        <v>24698</v>
      </c>
    </row>
    <row r="19907" spans="1:1" x14ac:dyDescent="0.25">
      <c r="A19907" s="74">
        <v>24699</v>
      </c>
    </row>
    <row r="19908" spans="1:1" x14ac:dyDescent="0.25">
      <c r="A19908" s="74">
        <v>24700</v>
      </c>
    </row>
    <row r="19909" spans="1:1" x14ac:dyDescent="0.25">
      <c r="A19909" s="74">
        <v>24701</v>
      </c>
    </row>
    <row r="19910" spans="1:1" x14ac:dyDescent="0.25">
      <c r="A19910" s="74">
        <v>24702</v>
      </c>
    </row>
    <row r="19911" spans="1:1" x14ac:dyDescent="0.25">
      <c r="A19911" s="74">
        <v>24703</v>
      </c>
    </row>
    <row r="19912" spans="1:1" x14ac:dyDescent="0.25">
      <c r="A19912" s="74">
        <v>24704</v>
      </c>
    </row>
    <row r="19913" spans="1:1" x14ac:dyDescent="0.25">
      <c r="A19913" s="74">
        <v>24705</v>
      </c>
    </row>
    <row r="19914" spans="1:1" x14ac:dyDescent="0.25">
      <c r="A19914" s="74">
        <v>24706</v>
      </c>
    </row>
    <row r="19915" spans="1:1" x14ac:dyDescent="0.25">
      <c r="A19915" s="74">
        <v>24707</v>
      </c>
    </row>
    <row r="19916" spans="1:1" x14ac:dyDescent="0.25">
      <c r="A19916" s="74">
        <v>24708</v>
      </c>
    </row>
    <row r="19917" spans="1:1" x14ac:dyDescent="0.25">
      <c r="A19917" s="74">
        <v>24709</v>
      </c>
    </row>
    <row r="19918" spans="1:1" x14ac:dyDescent="0.25">
      <c r="A19918" s="74">
        <v>24710</v>
      </c>
    </row>
    <row r="19919" spans="1:1" x14ac:dyDescent="0.25">
      <c r="A19919" s="74">
        <v>24711</v>
      </c>
    </row>
    <row r="19920" spans="1:1" x14ac:dyDescent="0.25">
      <c r="A19920" s="74">
        <v>24712</v>
      </c>
    </row>
    <row r="19921" spans="1:1" x14ac:dyDescent="0.25">
      <c r="A19921" s="74">
        <v>24713</v>
      </c>
    </row>
    <row r="19922" spans="1:1" x14ac:dyDescent="0.25">
      <c r="A19922" s="74">
        <v>24714</v>
      </c>
    </row>
    <row r="19923" spans="1:1" x14ac:dyDescent="0.25">
      <c r="A19923" s="74">
        <v>24715</v>
      </c>
    </row>
    <row r="19924" spans="1:1" x14ac:dyDescent="0.25">
      <c r="A19924" s="74">
        <v>24716</v>
      </c>
    </row>
    <row r="19925" spans="1:1" x14ac:dyDescent="0.25">
      <c r="A19925" s="74">
        <v>24717</v>
      </c>
    </row>
    <row r="19926" spans="1:1" x14ac:dyDescent="0.25">
      <c r="A19926" s="74">
        <v>24718</v>
      </c>
    </row>
    <row r="19927" spans="1:1" x14ac:dyDescent="0.25">
      <c r="A19927" s="74">
        <v>24719</v>
      </c>
    </row>
    <row r="19928" spans="1:1" x14ac:dyDescent="0.25">
      <c r="A19928" s="74">
        <v>24720</v>
      </c>
    </row>
    <row r="19929" spans="1:1" x14ac:dyDescent="0.25">
      <c r="A19929" s="74">
        <v>24721</v>
      </c>
    </row>
    <row r="19930" spans="1:1" x14ac:dyDescent="0.25">
      <c r="A19930" s="74">
        <v>24722</v>
      </c>
    </row>
    <row r="19931" spans="1:1" x14ac:dyDescent="0.25">
      <c r="A19931" s="74">
        <v>24723</v>
      </c>
    </row>
    <row r="19932" spans="1:1" x14ac:dyDescent="0.25">
      <c r="A19932" s="74">
        <v>24724</v>
      </c>
    </row>
    <row r="19933" spans="1:1" x14ac:dyDescent="0.25">
      <c r="A19933" s="74">
        <v>24725</v>
      </c>
    </row>
    <row r="19934" spans="1:1" x14ac:dyDescent="0.25">
      <c r="A19934" s="74">
        <v>24726</v>
      </c>
    </row>
    <row r="19935" spans="1:1" x14ac:dyDescent="0.25">
      <c r="A19935" s="74">
        <v>24727</v>
      </c>
    </row>
    <row r="19936" spans="1:1" x14ac:dyDescent="0.25">
      <c r="A19936" s="74">
        <v>24728</v>
      </c>
    </row>
    <row r="19937" spans="1:1" x14ac:dyDescent="0.25">
      <c r="A19937" s="74">
        <v>24729</v>
      </c>
    </row>
    <row r="19938" spans="1:1" x14ac:dyDescent="0.25">
      <c r="A19938" s="74">
        <v>24730</v>
      </c>
    </row>
    <row r="19939" spans="1:1" x14ac:dyDescent="0.25">
      <c r="A19939" s="74">
        <v>24731</v>
      </c>
    </row>
    <row r="19940" spans="1:1" x14ac:dyDescent="0.25">
      <c r="A19940" s="74">
        <v>24732</v>
      </c>
    </row>
    <row r="19941" spans="1:1" x14ac:dyDescent="0.25">
      <c r="A19941" s="74">
        <v>24733</v>
      </c>
    </row>
    <row r="19942" spans="1:1" x14ac:dyDescent="0.25">
      <c r="A19942" s="74">
        <v>24734</v>
      </c>
    </row>
    <row r="19943" spans="1:1" x14ac:dyDescent="0.25">
      <c r="A19943" s="74">
        <v>24735</v>
      </c>
    </row>
    <row r="19944" spans="1:1" x14ac:dyDescent="0.25">
      <c r="A19944" s="74">
        <v>24736</v>
      </c>
    </row>
    <row r="19945" spans="1:1" x14ac:dyDescent="0.25">
      <c r="A19945" s="74">
        <v>24737</v>
      </c>
    </row>
    <row r="19946" spans="1:1" x14ac:dyDescent="0.25">
      <c r="A19946" s="74">
        <v>24738</v>
      </c>
    </row>
    <row r="19947" spans="1:1" x14ac:dyDescent="0.25">
      <c r="A19947" s="74">
        <v>24739</v>
      </c>
    </row>
    <row r="19948" spans="1:1" x14ac:dyDescent="0.25">
      <c r="A19948" s="74">
        <v>24740</v>
      </c>
    </row>
    <row r="19949" spans="1:1" x14ac:dyDescent="0.25">
      <c r="A19949" s="74">
        <v>24741</v>
      </c>
    </row>
    <row r="19950" spans="1:1" x14ac:dyDescent="0.25">
      <c r="A19950" s="74">
        <v>24742</v>
      </c>
    </row>
    <row r="19951" spans="1:1" x14ac:dyDescent="0.25">
      <c r="A19951" s="74">
        <v>24743</v>
      </c>
    </row>
    <row r="19952" spans="1:1" x14ac:dyDescent="0.25">
      <c r="A19952" s="74">
        <v>24744</v>
      </c>
    </row>
    <row r="19953" spans="1:1" x14ac:dyDescent="0.25">
      <c r="A19953" s="74">
        <v>24745</v>
      </c>
    </row>
    <row r="19954" spans="1:1" x14ac:dyDescent="0.25">
      <c r="A19954" s="74">
        <v>24746</v>
      </c>
    </row>
    <row r="19955" spans="1:1" x14ac:dyDescent="0.25">
      <c r="A19955" s="74">
        <v>24747</v>
      </c>
    </row>
    <row r="19956" spans="1:1" x14ac:dyDescent="0.25">
      <c r="A19956" s="74">
        <v>24748</v>
      </c>
    </row>
    <row r="19957" spans="1:1" x14ac:dyDescent="0.25">
      <c r="A19957" s="74">
        <v>24749</v>
      </c>
    </row>
    <row r="19958" spans="1:1" x14ac:dyDescent="0.25">
      <c r="A19958" s="74">
        <v>24750</v>
      </c>
    </row>
    <row r="19959" spans="1:1" x14ac:dyDescent="0.25">
      <c r="A19959" s="74">
        <v>24751</v>
      </c>
    </row>
    <row r="19960" spans="1:1" x14ac:dyDescent="0.25">
      <c r="A19960" s="74">
        <v>24752</v>
      </c>
    </row>
    <row r="19961" spans="1:1" x14ac:dyDescent="0.25">
      <c r="A19961" s="74">
        <v>24753</v>
      </c>
    </row>
    <row r="19962" spans="1:1" x14ac:dyDescent="0.25">
      <c r="A19962" s="74">
        <v>24754</v>
      </c>
    </row>
    <row r="19963" spans="1:1" x14ac:dyDescent="0.25">
      <c r="A19963" s="74">
        <v>24755</v>
      </c>
    </row>
    <row r="19964" spans="1:1" x14ac:dyDescent="0.25">
      <c r="A19964" s="74">
        <v>24756</v>
      </c>
    </row>
    <row r="19965" spans="1:1" x14ac:dyDescent="0.25">
      <c r="A19965" s="74">
        <v>24757</v>
      </c>
    </row>
    <row r="19966" spans="1:1" x14ac:dyDescent="0.25">
      <c r="A19966" s="74">
        <v>24758</v>
      </c>
    </row>
    <row r="19967" spans="1:1" x14ac:dyDescent="0.25">
      <c r="A19967" s="74">
        <v>24759</v>
      </c>
    </row>
    <row r="19968" spans="1:1" x14ac:dyDescent="0.25">
      <c r="A19968" s="74">
        <v>24760</v>
      </c>
    </row>
    <row r="19969" spans="1:1" x14ac:dyDescent="0.25">
      <c r="A19969" s="74">
        <v>24761</v>
      </c>
    </row>
    <row r="19970" spans="1:1" x14ac:dyDescent="0.25">
      <c r="A19970" s="74">
        <v>24762</v>
      </c>
    </row>
    <row r="19971" spans="1:1" x14ac:dyDescent="0.25">
      <c r="A19971" s="74">
        <v>24763</v>
      </c>
    </row>
    <row r="19972" spans="1:1" x14ac:dyDescent="0.25">
      <c r="A19972" s="74">
        <v>24764</v>
      </c>
    </row>
    <row r="19973" spans="1:1" x14ac:dyDescent="0.25">
      <c r="A19973" s="74">
        <v>24765</v>
      </c>
    </row>
    <row r="19974" spans="1:1" x14ac:dyDescent="0.25">
      <c r="A19974" s="74">
        <v>24766</v>
      </c>
    </row>
    <row r="19975" spans="1:1" x14ac:dyDescent="0.25">
      <c r="A19975" s="74">
        <v>24767</v>
      </c>
    </row>
    <row r="19976" spans="1:1" x14ac:dyDescent="0.25">
      <c r="A19976" s="74">
        <v>24768</v>
      </c>
    </row>
    <row r="19977" spans="1:1" x14ac:dyDescent="0.25">
      <c r="A19977" s="74">
        <v>24769</v>
      </c>
    </row>
    <row r="19978" spans="1:1" x14ac:dyDescent="0.25">
      <c r="A19978" s="74">
        <v>24770</v>
      </c>
    </row>
    <row r="19979" spans="1:1" x14ac:dyDescent="0.25">
      <c r="A19979" s="74">
        <v>24771</v>
      </c>
    </row>
    <row r="19980" spans="1:1" x14ac:dyDescent="0.25">
      <c r="A19980" s="74">
        <v>24772</v>
      </c>
    </row>
    <row r="19981" spans="1:1" x14ac:dyDescent="0.25">
      <c r="A19981" s="74">
        <v>24773</v>
      </c>
    </row>
    <row r="19982" spans="1:1" x14ac:dyDescent="0.25">
      <c r="A19982" s="74">
        <v>24774</v>
      </c>
    </row>
    <row r="19983" spans="1:1" x14ac:dyDescent="0.25">
      <c r="A19983" s="74">
        <v>24775</v>
      </c>
    </row>
    <row r="19984" spans="1:1" x14ac:dyDescent="0.25">
      <c r="A19984" s="74">
        <v>24776</v>
      </c>
    </row>
    <row r="19985" spans="1:1" x14ac:dyDescent="0.25">
      <c r="A19985" s="74">
        <v>24777</v>
      </c>
    </row>
    <row r="19986" spans="1:1" x14ac:dyDescent="0.25">
      <c r="A19986" s="74">
        <v>24778</v>
      </c>
    </row>
    <row r="19987" spans="1:1" x14ac:dyDescent="0.25">
      <c r="A19987" s="74">
        <v>24779</v>
      </c>
    </row>
    <row r="19988" spans="1:1" x14ac:dyDescent="0.25">
      <c r="A19988" s="74">
        <v>24780</v>
      </c>
    </row>
    <row r="19989" spans="1:1" x14ac:dyDescent="0.25">
      <c r="A19989" s="74">
        <v>24781</v>
      </c>
    </row>
    <row r="19990" spans="1:1" x14ac:dyDescent="0.25">
      <c r="A19990" s="74">
        <v>24782</v>
      </c>
    </row>
    <row r="19991" spans="1:1" x14ac:dyDescent="0.25">
      <c r="A19991" s="74">
        <v>24783</v>
      </c>
    </row>
    <row r="19992" spans="1:1" x14ac:dyDescent="0.25">
      <c r="A19992" s="74">
        <v>24784</v>
      </c>
    </row>
    <row r="19993" spans="1:1" x14ac:dyDescent="0.25">
      <c r="A19993" s="74">
        <v>24785</v>
      </c>
    </row>
    <row r="19994" spans="1:1" x14ac:dyDescent="0.25">
      <c r="A19994" s="74">
        <v>24786</v>
      </c>
    </row>
    <row r="19995" spans="1:1" x14ac:dyDescent="0.25">
      <c r="A19995" s="74">
        <v>24787</v>
      </c>
    </row>
    <row r="19996" spans="1:1" x14ac:dyDescent="0.25">
      <c r="A19996" s="74">
        <v>24788</v>
      </c>
    </row>
    <row r="19997" spans="1:1" x14ac:dyDescent="0.25">
      <c r="A19997" s="74">
        <v>24789</v>
      </c>
    </row>
    <row r="19998" spans="1:1" x14ac:dyDescent="0.25">
      <c r="A19998" s="74">
        <v>24790</v>
      </c>
    </row>
    <row r="19999" spans="1:1" x14ac:dyDescent="0.25">
      <c r="A19999" s="74">
        <v>24791</v>
      </c>
    </row>
    <row r="20000" spans="1:1" x14ac:dyDescent="0.25">
      <c r="A20000" s="74">
        <v>24792</v>
      </c>
    </row>
    <row r="20001" spans="1:1" x14ac:dyDescent="0.25">
      <c r="A20001" s="74">
        <v>24793</v>
      </c>
    </row>
    <row r="20002" spans="1:1" x14ac:dyDescent="0.25">
      <c r="A20002" s="74">
        <v>24794</v>
      </c>
    </row>
    <row r="20003" spans="1:1" x14ac:dyDescent="0.25">
      <c r="A20003" s="74">
        <v>24795</v>
      </c>
    </row>
    <row r="20004" spans="1:1" x14ac:dyDescent="0.25">
      <c r="A20004" s="74">
        <v>24796</v>
      </c>
    </row>
    <row r="20005" spans="1:1" x14ac:dyDescent="0.25">
      <c r="A20005" s="74">
        <v>24797</v>
      </c>
    </row>
    <row r="20006" spans="1:1" x14ac:dyDescent="0.25">
      <c r="A20006" s="74">
        <v>24798</v>
      </c>
    </row>
    <row r="20007" spans="1:1" x14ac:dyDescent="0.25">
      <c r="A20007" s="74">
        <v>24799</v>
      </c>
    </row>
    <row r="20008" spans="1:1" x14ac:dyDescent="0.25">
      <c r="A20008" s="74">
        <v>24800</v>
      </c>
    </row>
    <row r="20009" spans="1:1" x14ac:dyDescent="0.25">
      <c r="A20009" s="74">
        <v>24801</v>
      </c>
    </row>
    <row r="20010" spans="1:1" x14ac:dyDescent="0.25">
      <c r="A20010" s="74">
        <v>24802</v>
      </c>
    </row>
    <row r="20011" spans="1:1" x14ac:dyDescent="0.25">
      <c r="A20011" s="74">
        <v>24803</v>
      </c>
    </row>
    <row r="20012" spans="1:1" x14ac:dyDescent="0.25">
      <c r="A20012" s="74">
        <v>24804</v>
      </c>
    </row>
    <row r="20013" spans="1:1" x14ac:dyDescent="0.25">
      <c r="A20013" s="74">
        <v>24805</v>
      </c>
    </row>
    <row r="20014" spans="1:1" x14ac:dyDescent="0.25">
      <c r="A20014" s="74">
        <v>24806</v>
      </c>
    </row>
    <row r="20015" spans="1:1" x14ac:dyDescent="0.25">
      <c r="A20015" s="74">
        <v>24807</v>
      </c>
    </row>
    <row r="20016" spans="1:1" x14ac:dyDescent="0.25">
      <c r="A20016" s="74">
        <v>24808</v>
      </c>
    </row>
    <row r="20017" spans="1:1" x14ac:dyDescent="0.25">
      <c r="A20017" s="74">
        <v>24809</v>
      </c>
    </row>
    <row r="20018" spans="1:1" x14ac:dyDescent="0.25">
      <c r="A20018" s="74">
        <v>24810</v>
      </c>
    </row>
    <row r="20019" spans="1:1" x14ac:dyDescent="0.25">
      <c r="A20019" s="74">
        <v>24811</v>
      </c>
    </row>
    <row r="20020" spans="1:1" x14ac:dyDescent="0.25">
      <c r="A20020" s="74">
        <v>24812</v>
      </c>
    </row>
    <row r="20021" spans="1:1" x14ac:dyDescent="0.25">
      <c r="A20021" s="74">
        <v>24813</v>
      </c>
    </row>
    <row r="20022" spans="1:1" x14ac:dyDescent="0.25">
      <c r="A20022" s="74">
        <v>24814</v>
      </c>
    </row>
    <row r="20023" spans="1:1" x14ac:dyDescent="0.25">
      <c r="A20023" s="74">
        <v>24815</v>
      </c>
    </row>
    <row r="20024" spans="1:1" x14ac:dyDescent="0.25">
      <c r="A20024" s="74">
        <v>24816</v>
      </c>
    </row>
    <row r="20025" spans="1:1" x14ac:dyDescent="0.25">
      <c r="A20025" s="74">
        <v>24817</v>
      </c>
    </row>
    <row r="20026" spans="1:1" x14ac:dyDescent="0.25">
      <c r="A20026" s="74">
        <v>24818</v>
      </c>
    </row>
    <row r="20027" spans="1:1" x14ac:dyDescent="0.25">
      <c r="A20027" s="74">
        <v>24819</v>
      </c>
    </row>
    <row r="20028" spans="1:1" x14ac:dyDescent="0.25">
      <c r="A20028" s="74">
        <v>24820</v>
      </c>
    </row>
    <row r="20029" spans="1:1" x14ac:dyDescent="0.25">
      <c r="A20029" s="74">
        <v>24821</v>
      </c>
    </row>
    <row r="20030" spans="1:1" x14ac:dyDescent="0.25">
      <c r="A20030" s="74">
        <v>24822</v>
      </c>
    </row>
    <row r="20031" spans="1:1" x14ac:dyDescent="0.25">
      <c r="A20031" s="74">
        <v>24823</v>
      </c>
    </row>
    <row r="20032" spans="1:1" x14ac:dyDescent="0.25">
      <c r="A20032" s="74">
        <v>24824</v>
      </c>
    </row>
    <row r="20033" spans="1:1" x14ac:dyDescent="0.25">
      <c r="A20033" s="74">
        <v>24825</v>
      </c>
    </row>
    <row r="20034" spans="1:1" x14ac:dyDescent="0.25">
      <c r="A20034" s="74">
        <v>24826</v>
      </c>
    </row>
    <row r="20035" spans="1:1" x14ac:dyDescent="0.25">
      <c r="A20035" s="74">
        <v>24827</v>
      </c>
    </row>
    <row r="20036" spans="1:1" x14ac:dyDescent="0.25">
      <c r="A20036" s="74">
        <v>24828</v>
      </c>
    </row>
    <row r="20037" spans="1:1" x14ac:dyDescent="0.25">
      <c r="A20037" s="74">
        <v>24829</v>
      </c>
    </row>
    <row r="20038" spans="1:1" x14ac:dyDescent="0.25">
      <c r="A20038" s="74">
        <v>24830</v>
      </c>
    </row>
    <row r="20039" spans="1:1" x14ac:dyDescent="0.25">
      <c r="A20039" s="74">
        <v>24831</v>
      </c>
    </row>
    <row r="20040" spans="1:1" x14ac:dyDescent="0.25">
      <c r="A20040" s="74">
        <v>24832</v>
      </c>
    </row>
    <row r="20041" spans="1:1" x14ac:dyDescent="0.25">
      <c r="A20041" s="74">
        <v>24833</v>
      </c>
    </row>
    <row r="20042" spans="1:1" x14ac:dyDescent="0.25">
      <c r="A20042" s="74">
        <v>24834</v>
      </c>
    </row>
    <row r="20043" spans="1:1" x14ac:dyDescent="0.25">
      <c r="A20043" s="74">
        <v>24835</v>
      </c>
    </row>
    <row r="20044" spans="1:1" x14ac:dyDescent="0.25">
      <c r="A20044" s="74">
        <v>24836</v>
      </c>
    </row>
    <row r="20045" spans="1:1" x14ac:dyDescent="0.25">
      <c r="A20045" s="74">
        <v>24837</v>
      </c>
    </row>
    <row r="20046" spans="1:1" x14ac:dyDescent="0.25">
      <c r="A20046" s="74">
        <v>24838</v>
      </c>
    </row>
    <row r="20047" spans="1:1" x14ac:dyDescent="0.25">
      <c r="A20047" s="74">
        <v>24839</v>
      </c>
    </row>
    <row r="20048" spans="1:1" x14ac:dyDescent="0.25">
      <c r="A20048" s="74">
        <v>24840</v>
      </c>
    </row>
    <row r="20049" spans="1:1" x14ac:dyDescent="0.25">
      <c r="A20049" s="74">
        <v>24841</v>
      </c>
    </row>
    <row r="20050" spans="1:1" x14ac:dyDescent="0.25">
      <c r="A20050" s="74">
        <v>24842</v>
      </c>
    </row>
    <row r="20051" spans="1:1" x14ac:dyDescent="0.25">
      <c r="A20051" s="74">
        <v>24843</v>
      </c>
    </row>
    <row r="20052" spans="1:1" x14ac:dyDescent="0.25">
      <c r="A20052" s="74">
        <v>24844</v>
      </c>
    </row>
    <row r="20053" spans="1:1" x14ac:dyDescent="0.25">
      <c r="A20053" s="74">
        <v>24845</v>
      </c>
    </row>
    <row r="20054" spans="1:1" x14ac:dyDescent="0.25">
      <c r="A20054" s="74">
        <v>24846</v>
      </c>
    </row>
    <row r="20055" spans="1:1" x14ac:dyDescent="0.25">
      <c r="A20055" s="74">
        <v>24847</v>
      </c>
    </row>
    <row r="20056" spans="1:1" x14ac:dyDescent="0.25">
      <c r="A20056" s="74">
        <v>24848</v>
      </c>
    </row>
    <row r="20057" spans="1:1" x14ac:dyDescent="0.25">
      <c r="A20057" s="74">
        <v>24849</v>
      </c>
    </row>
    <row r="20058" spans="1:1" x14ac:dyDescent="0.25">
      <c r="A20058" s="74">
        <v>24850</v>
      </c>
    </row>
    <row r="20059" spans="1:1" x14ac:dyDescent="0.25">
      <c r="A20059" s="74">
        <v>24851</v>
      </c>
    </row>
    <row r="20060" spans="1:1" x14ac:dyDescent="0.25">
      <c r="A20060" s="74">
        <v>24852</v>
      </c>
    </row>
    <row r="20061" spans="1:1" x14ac:dyDescent="0.25">
      <c r="A20061" s="74">
        <v>24853</v>
      </c>
    </row>
    <row r="20062" spans="1:1" x14ac:dyDescent="0.25">
      <c r="A20062" s="74">
        <v>24854</v>
      </c>
    </row>
    <row r="20063" spans="1:1" x14ac:dyDescent="0.25">
      <c r="A20063" s="74">
        <v>24855</v>
      </c>
    </row>
    <row r="20064" spans="1:1" x14ac:dyDescent="0.25">
      <c r="A20064" s="74">
        <v>24856</v>
      </c>
    </row>
    <row r="20065" spans="1:1" x14ac:dyDescent="0.25">
      <c r="A20065" s="74">
        <v>24857</v>
      </c>
    </row>
    <row r="20066" spans="1:1" x14ac:dyDescent="0.25">
      <c r="A20066" s="74">
        <v>24858</v>
      </c>
    </row>
    <row r="20067" spans="1:1" x14ac:dyDescent="0.25">
      <c r="A20067" s="74">
        <v>24859</v>
      </c>
    </row>
    <row r="20068" spans="1:1" x14ac:dyDescent="0.25">
      <c r="A20068" s="74">
        <v>24860</v>
      </c>
    </row>
    <row r="20069" spans="1:1" x14ac:dyDescent="0.25">
      <c r="A20069" s="74">
        <v>24861</v>
      </c>
    </row>
    <row r="20070" spans="1:1" x14ac:dyDescent="0.25">
      <c r="A20070" s="74">
        <v>24862</v>
      </c>
    </row>
    <row r="20071" spans="1:1" x14ac:dyDescent="0.25">
      <c r="A20071" s="74">
        <v>24863</v>
      </c>
    </row>
    <row r="20072" spans="1:1" x14ac:dyDescent="0.25">
      <c r="A20072" s="74">
        <v>24864</v>
      </c>
    </row>
    <row r="20073" spans="1:1" x14ac:dyDescent="0.25">
      <c r="A20073" s="74">
        <v>24865</v>
      </c>
    </row>
    <row r="20074" spans="1:1" x14ac:dyDescent="0.25">
      <c r="A20074" s="74">
        <v>24866</v>
      </c>
    </row>
    <row r="20075" spans="1:1" x14ac:dyDescent="0.25">
      <c r="A20075" s="74">
        <v>24867</v>
      </c>
    </row>
    <row r="20076" spans="1:1" x14ac:dyDescent="0.25">
      <c r="A20076" s="74">
        <v>24868</v>
      </c>
    </row>
    <row r="20077" spans="1:1" x14ac:dyDescent="0.25">
      <c r="A20077" s="74">
        <v>24869</v>
      </c>
    </row>
    <row r="20078" spans="1:1" x14ac:dyDescent="0.25">
      <c r="A20078" s="74">
        <v>24870</v>
      </c>
    </row>
    <row r="20079" spans="1:1" x14ac:dyDescent="0.25">
      <c r="A20079" s="74">
        <v>24871</v>
      </c>
    </row>
    <row r="20080" spans="1:1" x14ac:dyDescent="0.25">
      <c r="A20080" s="74">
        <v>24872</v>
      </c>
    </row>
    <row r="20081" spans="1:1" x14ac:dyDescent="0.25">
      <c r="A20081" s="74">
        <v>24873</v>
      </c>
    </row>
    <row r="20082" spans="1:1" x14ac:dyDescent="0.25">
      <c r="A20082" s="74">
        <v>24874</v>
      </c>
    </row>
    <row r="20083" spans="1:1" x14ac:dyDescent="0.25">
      <c r="A20083" s="74">
        <v>24875</v>
      </c>
    </row>
    <row r="20084" spans="1:1" x14ac:dyDescent="0.25">
      <c r="A20084" s="74">
        <v>24876</v>
      </c>
    </row>
    <row r="20085" spans="1:1" x14ac:dyDescent="0.25">
      <c r="A20085" s="74">
        <v>24877</v>
      </c>
    </row>
    <row r="20086" spans="1:1" x14ac:dyDescent="0.25">
      <c r="A20086" s="74">
        <v>24878</v>
      </c>
    </row>
    <row r="20087" spans="1:1" x14ac:dyDescent="0.25">
      <c r="A20087" s="74">
        <v>24879</v>
      </c>
    </row>
    <row r="20088" spans="1:1" x14ac:dyDescent="0.25">
      <c r="A20088" s="74">
        <v>24880</v>
      </c>
    </row>
    <row r="20089" spans="1:1" x14ac:dyDescent="0.25">
      <c r="A20089" s="74">
        <v>24881</v>
      </c>
    </row>
    <row r="20090" spans="1:1" x14ac:dyDescent="0.25">
      <c r="A20090" s="74">
        <v>24882</v>
      </c>
    </row>
    <row r="20091" spans="1:1" x14ac:dyDescent="0.25">
      <c r="A20091" s="74">
        <v>24883</v>
      </c>
    </row>
    <row r="20092" spans="1:1" x14ac:dyDescent="0.25">
      <c r="A20092" s="74">
        <v>24884</v>
      </c>
    </row>
    <row r="20093" spans="1:1" x14ac:dyDescent="0.25">
      <c r="A20093" s="74">
        <v>24885</v>
      </c>
    </row>
    <row r="20094" spans="1:1" x14ac:dyDescent="0.25">
      <c r="A20094" s="74">
        <v>24886</v>
      </c>
    </row>
    <row r="20095" spans="1:1" x14ac:dyDescent="0.25">
      <c r="A20095" s="74">
        <v>24887</v>
      </c>
    </row>
    <row r="20096" spans="1:1" x14ac:dyDescent="0.25">
      <c r="A20096" s="74">
        <v>24888</v>
      </c>
    </row>
    <row r="20097" spans="1:1" x14ac:dyDescent="0.25">
      <c r="A20097" s="74">
        <v>24889</v>
      </c>
    </row>
    <row r="20098" spans="1:1" x14ac:dyDescent="0.25">
      <c r="A20098" s="74">
        <v>24890</v>
      </c>
    </row>
    <row r="20099" spans="1:1" x14ac:dyDescent="0.25">
      <c r="A20099" s="74">
        <v>24891</v>
      </c>
    </row>
    <row r="20100" spans="1:1" x14ac:dyDescent="0.25">
      <c r="A20100" s="74">
        <v>24892</v>
      </c>
    </row>
    <row r="20101" spans="1:1" x14ac:dyDescent="0.25">
      <c r="A20101" s="74">
        <v>24893</v>
      </c>
    </row>
    <row r="20102" spans="1:1" x14ac:dyDescent="0.25">
      <c r="A20102" s="74">
        <v>24894</v>
      </c>
    </row>
    <row r="20103" spans="1:1" x14ac:dyDescent="0.25">
      <c r="A20103" s="74">
        <v>24895</v>
      </c>
    </row>
    <row r="20104" spans="1:1" x14ac:dyDescent="0.25">
      <c r="A20104" s="74">
        <v>24896</v>
      </c>
    </row>
    <row r="20105" spans="1:1" x14ac:dyDescent="0.25">
      <c r="A20105" s="74">
        <v>24897</v>
      </c>
    </row>
    <row r="20106" spans="1:1" x14ac:dyDescent="0.25">
      <c r="A20106" s="74">
        <v>24898</v>
      </c>
    </row>
    <row r="20107" spans="1:1" x14ac:dyDescent="0.25">
      <c r="A20107" s="74">
        <v>24899</v>
      </c>
    </row>
    <row r="20108" spans="1:1" x14ac:dyDescent="0.25">
      <c r="A20108" s="74">
        <v>24900</v>
      </c>
    </row>
    <row r="20109" spans="1:1" x14ac:dyDescent="0.25">
      <c r="A20109" s="74">
        <v>24901</v>
      </c>
    </row>
    <row r="20110" spans="1:1" x14ac:dyDescent="0.25">
      <c r="A20110" s="74">
        <v>24902</v>
      </c>
    </row>
    <row r="20111" spans="1:1" x14ac:dyDescent="0.25">
      <c r="A20111" s="74">
        <v>24903</v>
      </c>
    </row>
    <row r="20112" spans="1:1" x14ac:dyDescent="0.25">
      <c r="A20112" s="74">
        <v>24904</v>
      </c>
    </row>
    <row r="20113" spans="1:1" x14ac:dyDescent="0.25">
      <c r="A20113" s="74">
        <v>24905</v>
      </c>
    </row>
    <row r="20114" spans="1:1" x14ac:dyDescent="0.25">
      <c r="A20114" s="74">
        <v>24906</v>
      </c>
    </row>
    <row r="20115" spans="1:1" x14ac:dyDescent="0.25">
      <c r="A20115" s="74">
        <v>24907</v>
      </c>
    </row>
    <row r="20116" spans="1:1" x14ac:dyDescent="0.25">
      <c r="A20116" s="74">
        <v>24908</v>
      </c>
    </row>
    <row r="20117" spans="1:1" x14ac:dyDescent="0.25">
      <c r="A20117" s="74">
        <v>24909</v>
      </c>
    </row>
    <row r="20118" spans="1:1" x14ac:dyDescent="0.25">
      <c r="A20118" s="74">
        <v>24910</v>
      </c>
    </row>
    <row r="20119" spans="1:1" x14ac:dyDescent="0.25">
      <c r="A20119" s="74">
        <v>24911</v>
      </c>
    </row>
    <row r="20120" spans="1:1" x14ac:dyDescent="0.25">
      <c r="A20120" s="74">
        <v>24912</v>
      </c>
    </row>
    <row r="20121" spans="1:1" x14ac:dyDescent="0.25">
      <c r="A20121" s="74">
        <v>24913</v>
      </c>
    </row>
    <row r="20122" spans="1:1" x14ac:dyDescent="0.25">
      <c r="A20122" s="74">
        <v>24914</v>
      </c>
    </row>
    <row r="20123" spans="1:1" x14ac:dyDescent="0.25">
      <c r="A20123" s="74">
        <v>24915</v>
      </c>
    </row>
    <row r="20124" spans="1:1" x14ac:dyDescent="0.25">
      <c r="A20124" s="74">
        <v>24916</v>
      </c>
    </row>
    <row r="20125" spans="1:1" x14ac:dyDescent="0.25">
      <c r="A20125" s="74">
        <v>24917</v>
      </c>
    </row>
    <row r="20126" spans="1:1" x14ac:dyDescent="0.25">
      <c r="A20126" s="74">
        <v>24918</v>
      </c>
    </row>
    <row r="20127" spans="1:1" x14ac:dyDescent="0.25">
      <c r="A20127" s="74">
        <v>24919</v>
      </c>
    </row>
    <row r="20128" spans="1:1" x14ac:dyDescent="0.25">
      <c r="A20128" s="74">
        <v>24920</v>
      </c>
    </row>
    <row r="20129" spans="1:1" x14ac:dyDescent="0.25">
      <c r="A20129" s="74">
        <v>24921</v>
      </c>
    </row>
    <row r="20130" spans="1:1" x14ac:dyDescent="0.25">
      <c r="A20130" s="74">
        <v>24922</v>
      </c>
    </row>
    <row r="20131" spans="1:1" x14ac:dyDescent="0.25">
      <c r="A20131" s="74">
        <v>24923</v>
      </c>
    </row>
    <row r="20132" spans="1:1" x14ac:dyDescent="0.25">
      <c r="A20132" s="74">
        <v>24924</v>
      </c>
    </row>
    <row r="20133" spans="1:1" x14ac:dyDescent="0.25">
      <c r="A20133" s="74">
        <v>24925</v>
      </c>
    </row>
    <row r="20134" spans="1:1" x14ac:dyDescent="0.25">
      <c r="A20134" s="74">
        <v>24926</v>
      </c>
    </row>
    <row r="20135" spans="1:1" x14ac:dyDescent="0.25">
      <c r="A20135" s="74">
        <v>24927</v>
      </c>
    </row>
    <row r="20136" spans="1:1" x14ac:dyDescent="0.25">
      <c r="A20136" s="74">
        <v>24928</v>
      </c>
    </row>
    <row r="20137" spans="1:1" x14ac:dyDescent="0.25">
      <c r="A20137" s="74">
        <v>24929</v>
      </c>
    </row>
    <row r="20138" spans="1:1" x14ac:dyDescent="0.25">
      <c r="A20138" s="74">
        <v>24930</v>
      </c>
    </row>
    <row r="20139" spans="1:1" x14ac:dyDescent="0.25">
      <c r="A20139" s="74">
        <v>24931</v>
      </c>
    </row>
    <row r="20140" spans="1:1" x14ac:dyDescent="0.25">
      <c r="A20140" s="74">
        <v>24932</v>
      </c>
    </row>
    <row r="20141" spans="1:1" x14ac:dyDescent="0.25">
      <c r="A20141" s="74">
        <v>24933</v>
      </c>
    </row>
    <row r="20142" spans="1:1" x14ac:dyDescent="0.25">
      <c r="A20142" s="74">
        <v>24934</v>
      </c>
    </row>
    <row r="20143" spans="1:1" x14ac:dyDescent="0.25">
      <c r="A20143" s="74">
        <v>24935</v>
      </c>
    </row>
    <row r="20144" spans="1:1" x14ac:dyDescent="0.25">
      <c r="A20144" s="74">
        <v>24936</v>
      </c>
    </row>
    <row r="20145" spans="1:1" x14ac:dyDescent="0.25">
      <c r="A20145" s="74">
        <v>24937</v>
      </c>
    </row>
    <row r="20146" spans="1:1" x14ac:dyDescent="0.25">
      <c r="A20146" s="74">
        <v>24938</v>
      </c>
    </row>
    <row r="20147" spans="1:1" x14ac:dyDescent="0.25">
      <c r="A20147" s="74">
        <v>24939</v>
      </c>
    </row>
    <row r="20148" spans="1:1" x14ac:dyDescent="0.25">
      <c r="A20148" s="74">
        <v>24940</v>
      </c>
    </row>
    <row r="20149" spans="1:1" x14ac:dyDescent="0.25">
      <c r="A20149" s="74">
        <v>24941</v>
      </c>
    </row>
    <row r="20150" spans="1:1" x14ac:dyDescent="0.25">
      <c r="A20150" s="74">
        <v>24942</v>
      </c>
    </row>
    <row r="20151" spans="1:1" x14ac:dyDescent="0.25">
      <c r="A20151" s="74">
        <v>24943</v>
      </c>
    </row>
    <row r="20152" spans="1:1" x14ac:dyDescent="0.25">
      <c r="A20152" s="74">
        <v>24944</v>
      </c>
    </row>
    <row r="20153" spans="1:1" x14ac:dyDescent="0.25">
      <c r="A20153" s="74">
        <v>24945</v>
      </c>
    </row>
    <row r="20154" spans="1:1" x14ac:dyDescent="0.25">
      <c r="A20154" s="74">
        <v>24946</v>
      </c>
    </row>
    <row r="20155" spans="1:1" x14ac:dyDescent="0.25">
      <c r="A20155" s="74">
        <v>24947</v>
      </c>
    </row>
    <row r="20156" spans="1:1" x14ac:dyDescent="0.25">
      <c r="A20156" s="74">
        <v>24948</v>
      </c>
    </row>
    <row r="20157" spans="1:1" x14ac:dyDescent="0.25">
      <c r="A20157" s="74">
        <v>24949</v>
      </c>
    </row>
    <row r="20158" spans="1:1" x14ac:dyDescent="0.25">
      <c r="A20158" s="74">
        <v>24950</v>
      </c>
    </row>
    <row r="20159" spans="1:1" x14ac:dyDescent="0.25">
      <c r="A20159" s="74">
        <v>24951</v>
      </c>
    </row>
    <row r="20160" spans="1:1" x14ac:dyDescent="0.25">
      <c r="A20160" s="74">
        <v>24952</v>
      </c>
    </row>
    <row r="20161" spans="1:1" x14ac:dyDescent="0.25">
      <c r="A20161" s="74">
        <v>24953</v>
      </c>
    </row>
    <row r="20162" spans="1:1" x14ac:dyDescent="0.25">
      <c r="A20162" s="74">
        <v>24954</v>
      </c>
    </row>
    <row r="20163" spans="1:1" x14ac:dyDescent="0.25">
      <c r="A20163" s="74">
        <v>24955</v>
      </c>
    </row>
    <row r="20164" spans="1:1" x14ac:dyDescent="0.25">
      <c r="A20164" s="74">
        <v>24956</v>
      </c>
    </row>
    <row r="20165" spans="1:1" x14ac:dyDescent="0.25">
      <c r="A20165" s="74">
        <v>24957</v>
      </c>
    </row>
    <row r="20166" spans="1:1" x14ac:dyDescent="0.25">
      <c r="A20166" s="74">
        <v>24958</v>
      </c>
    </row>
    <row r="20167" spans="1:1" x14ac:dyDescent="0.25">
      <c r="A20167" s="74">
        <v>24959</v>
      </c>
    </row>
    <row r="20168" spans="1:1" x14ac:dyDescent="0.25">
      <c r="A20168" s="74">
        <v>24960</v>
      </c>
    </row>
    <row r="20169" spans="1:1" x14ac:dyDescent="0.25">
      <c r="A20169" s="74">
        <v>24961</v>
      </c>
    </row>
    <row r="20170" spans="1:1" x14ac:dyDescent="0.25">
      <c r="A20170" s="74">
        <v>24962</v>
      </c>
    </row>
    <row r="20171" spans="1:1" x14ac:dyDescent="0.25">
      <c r="A20171" s="74">
        <v>24963</v>
      </c>
    </row>
    <row r="20172" spans="1:1" x14ac:dyDescent="0.25">
      <c r="A20172" s="74">
        <v>24964</v>
      </c>
    </row>
    <row r="20173" spans="1:1" x14ac:dyDescent="0.25">
      <c r="A20173" s="74">
        <v>24965</v>
      </c>
    </row>
    <row r="20174" spans="1:1" x14ac:dyDescent="0.25">
      <c r="A20174" s="74">
        <v>24966</v>
      </c>
    </row>
    <row r="20175" spans="1:1" x14ac:dyDescent="0.25">
      <c r="A20175" s="74">
        <v>24967</v>
      </c>
    </row>
    <row r="20176" spans="1:1" x14ac:dyDescent="0.25">
      <c r="A20176" s="74">
        <v>24968</v>
      </c>
    </row>
    <row r="20177" spans="1:1" x14ac:dyDescent="0.25">
      <c r="A20177" s="74">
        <v>24969</v>
      </c>
    </row>
    <row r="20178" spans="1:1" x14ac:dyDescent="0.25">
      <c r="A20178" s="74">
        <v>24970</v>
      </c>
    </row>
    <row r="20179" spans="1:1" x14ac:dyDescent="0.25">
      <c r="A20179" s="74">
        <v>24971</v>
      </c>
    </row>
    <row r="20180" spans="1:1" x14ac:dyDescent="0.25">
      <c r="A20180" s="74">
        <v>24972</v>
      </c>
    </row>
    <row r="20181" spans="1:1" x14ac:dyDescent="0.25">
      <c r="A20181" s="74">
        <v>24973</v>
      </c>
    </row>
    <row r="20182" spans="1:1" x14ac:dyDescent="0.25">
      <c r="A20182" s="74">
        <v>24974</v>
      </c>
    </row>
    <row r="20183" spans="1:1" x14ac:dyDescent="0.25">
      <c r="A20183" s="74">
        <v>24975</v>
      </c>
    </row>
    <row r="20184" spans="1:1" x14ac:dyDescent="0.25">
      <c r="A20184" s="74">
        <v>24976</v>
      </c>
    </row>
    <row r="20185" spans="1:1" x14ac:dyDescent="0.25">
      <c r="A20185" s="74">
        <v>24977</v>
      </c>
    </row>
    <row r="20186" spans="1:1" x14ac:dyDescent="0.25">
      <c r="A20186" s="74">
        <v>24978</v>
      </c>
    </row>
    <row r="20187" spans="1:1" x14ac:dyDescent="0.25">
      <c r="A20187" s="74">
        <v>24979</v>
      </c>
    </row>
    <row r="20188" spans="1:1" x14ac:dyDescent="0.25">
      <c r="A20188" s="74">
        <v>24980</v>
      </c>
    </row>
    <row r="20189" spans="1:1" x14ac:dyDescent="0.25">
      <c r="A20189" s="74">
        <v>24981</v>
      </c>
    </row>
    <row r="20190" spans="1:1" x14ac:dyDescent="0.25">
      <c r="A20190" s="74">
        <v>24982</v>
      </c>
    </row>
    <row r="20191" spans="1:1" x14ac:dyDescent="0.25">
      <c r="A20191" s="74">
        <v>24983</v>
      </c>
    </row>
    <row r="20192" spans="1:1" x14ac:dyDescent="0.25">
      <c r="A20192" s="74">
        <v>24984</v>
      </c>
    </row>
    <row r="20193" spans="1:1" x14ac:dyDescent="0.25">
      <c r="A20193" s="74">
        <v>24985</v>
      </c>
    </row>
    <row r="20194" spans="1:1" x14ac:dyDescent="0.25">
      <c r="A20194" s="74">
        <v>24986</v>
      </c>
    </row>
    <row r="20195" spans="1:1" x14ac:dyDescent="0.25">
      <c r="A20195" s="74">
        <v>24987</v>
      </c>
    </row>
    <row r="20196" spans="1:1" x14ac:dyDescent="0.25">
      <c r="A20196" s="74">
        <v>24988</v>
      </c>
    </row>
    <row r="20197" spans="1:1" x14ac:dyDescent="0.25">
      <c r="A20197" s="74">
        <v>24989</v>
      </c>
    </row>
    <row r="20198" spans="1:1" x14ac:dyDescent="0.25">
      <c r="A20198" s="74">
        <v>24990</v>
      </c>
    </row>
    <row r="20199" spans="1:1" x14ac:dyDescent="0.25">
      <c r="A20199" s="74">
        <v>24991</v>
      </c>
    </row>
    <row r="20200" spans="1:1" x14ac:dyDescent="0.25">
      <c r="A20200" s="74">
        <v>24992</v>
      </c>
    </row>
    <row r="20201" spans="1:1" x14ac:dyDescent="0.25">
      <c r="A20201" s="74">
        <v>24993</v>
      </c>
    </row>
    <row r="20202" spans="1:1" x14ac:dyDescent="0.25">
      <c r="A20202" s="74">
        <v>24994</v>
      </c>
    </row>
    <row r="20203" spans="1:1" x14ac:dyDescent="0.25">
      <c r="A20203" s="74">
        <v>24995</v>
      </c>
    </row>
    <row r="20204" spans="1:1" x14ac:dyDescent="0.25">
      <c r="A20204" s="74">
        <v>24996</v>
      </c>
    </row>
    <row r="20205" spans="1:1" x14ac:dyDescent="0.25">
      <c r="A20205" s="74">
        <v>24997</v>
      </c>
    </row>
    <row r="20206" spans="1:1" x14ac:dyDescent="0.25">
      <c r="A20206" s="74">
        <v>24998</v>
      </c>
    </row>
    <row r="20207" spans="1:1" x14ac:dyDescent="0.25">
      <c r="A20207" s="74">
        <v>24999</v>
      </c>
    </row>
    <row r="20208" spans="1:1" x14ac:dyDescent="0.25">
      <c r="A20208" s="74">
        <v>25000</v>
      </c>
    </row>
    <row r="20209" spans="1:1" x14ac:dyDescent="0.25">
      <c r="A20209" s="74">
        <v>25001</v>
      </c>
    </row>
    <row r="20210" spans="1:1" x14ac:dyDescent="0.25">
      <c r="A20210" s="74">
        <v>25002</v>
      </c>
    </row>
    <row r="20211" spans="1:1" x14ac:dyDescent="0.25">
      <c r="A20211" s="74">
        <v>25003</v>
      </c>
    </row>
    <row r="20212" spans="1:1" x14ac:dyDescent="0.25">
      <c r="A20212" s="74">
        <v>25004</v>
      </c>
    </row>
    <row r="20213" spans="1:1" x14ac:dyDescent="0.25">
      <c r="A20213" s="74">
        <v>25005</v>
      </c>
    </row>
    <row r="20214" spans="1:1" x14ac:dyDescent="0.25">
      <c r="A20214" s="74">
        <v>25006</v>
      </c>
    </row>
    <row r="20215" spans="1:1" x14ac:dyDescent="0.25">
      <c r="A20215" s="74">
        <v>25007</v>
      </c>
    </row>
    <row r="20216" spans="1:1" x14ac:dyDescent="0.25">
      <c r="A20216" s="74">
        <v>25008</v>
      </c>
    </row>
    <row r="20217" spans="1:1" x14ac:dyDescent="0.25">
      <c r="A20217" s="74">
        <v>25009</v>
      </c>
    </row>
    <row r="20218" spans="1:1" x14ac:dyDescent="0.25">
      <c r="A20218" s="74">
        <v>25010</v>
      </c>
    </row>
    <row r="20219" spans="1:1" x14ac:dyDescent="0.25">
      <c r="A20219" s="74">
        <v>25011</v>
      </c>
    </row>
    <row r="20220" spans="1:1" x14ac:dyDescent="0.25">
      <c r="A20220" s="74">
        <v>25012</v>
      </c>
    </row>
    <row r="20221" spans="1:1" x14ac:dyDescent="0.25">
      <c r="A20221" s="74">
        <v>25013</v>
      </c>
    </row>
    <row r="20222" spans="1:1" x14ac:dyDescent="0.25">
      <c r="A20222" s="74">
        <v>25014</v>
      </c>
    </row>
    <row r="20223" spans="1:1" x14ac:dyDescent="0.25">
      <c r="A20223" s="74">
        <v>25015</v>
      </c>
    </row>
    <row r="20224" spans="1:1" x14ac:dyDescent="0.25">
      <c r="A20224" s="74">
        <v>25016</v>
      </c>
    </row>
    <row r="20225" spans="1:1" x14ac:dyDescent="0.25">
      <c r="A20225" s="74">
        <v>25017</v>
      </c>
    </row>
    <row r="20226" spans="1:1" x14ac:dyDescent="0.25">
      <c r="A20226" s="74">
        <v>25018</v>
      </c>
    </row>
    <row r="20227" spans="1:1" x14ac:dyDescent="0.25">
      <c r="A20227" s="74">
        <v>25019</v>
      </c>
    </row>
    <row r="20228" spans="1:1" x14ac:dyDescent="0.25">
      <c r="A20228" s="74">
        <v>25020</v>
      </c>
    </row>
    <row r="20229" spans="1:1" x14ac:dyDescent="0.25">
      <c r="A20229" s="74">
        <v>25021</v>
      </c>
    </row>
    <row r="20230" spans="1:1" x14ac:dyDescent="0.25">
      <c r="A20230" s="74">
        <v>25022</v>
      </c>
    </row>
    <row r="20231" spans="1:1" x14ac:dyDescent="0.25">
      <c r="A20231" s="74">
        <v>25023</v>
      </c>
    </row>
    <row r="20232" spans="1:1" x14ac:dyDescent="0.25">
      <c r="A20232" s="74">
        <v>25024</v>
      </c>
    </row>
    <row r="20233" spans="1:1" x14ac:dyDescent="0.25">
      <c r="A20233" s="74">
        <v>25025</v>
      </c>
    </row>
    <row r="20234" spans="1:1" x14ac:dyDescent="0.25">
      <c r="A20234" s="74">
        <v>25026</v>
      </c>
    </row>
    <row r="20235" spans="1:1" x14ac:dyDescent="0.25">
      <c r="A20235" s="74">
        <v>25027</v>
      </c>
    </row>
    <row r="20236" spans="1:1" x14ac:dyDescent="0.25">
      <c r="A20236" s="74">
        <v>25028</v>
      </c>
    </row>
    <row r="20237" spans="1:1" x14ac:dyDescent="0.25">
      <c r="A20237" s="74">
        <v>25029</v>
      </c>
    </row>
    <row r="20238" spans="1:1" x14ac:dyDescent="0.25">
      <c r="A20238" s="74">
        <v>25030</v>
      </c>
    </row>
    <row r="20239" spans="1:1" x14ac:dyDescent="0.25">
      <c r="A20239" s="74">
        <v>25031</v>
      </c>
    </row>
    <row r="20240" spans="1:1" x14ac:dyDescent="0.25">
      <c r="A20240" s="74">
        <v>25032</v>
      </c>
    </row>
    <row r="20241" spans="1:1" x14ac:dyDescent="0.25">
      <c r="A20241" s="74">
        <v>25033</v>
      </c>
    </row>
    <row r="20242" spans="1:1" x14ac:dyDescent="0.25">
      <c r="A20242" s="74">
        <v>25034</v>
      </c>
    </row>
    <row r="20243" spans="1:1" x14ac:dyDescent="0.25">
      <c r="A20243" s="74">
        <v>25035</v>
      </c>
    </row>
    <row r="20244" spans="1:1" x14ac:dyDescent="0.25">
      <c r="A20244" s="74">
        <v>25036</v>
      </c>
    </row>
    <row r="20245" spans="1:1" x14ac:dyDescent="0.25">
      <c r="A20245" s="74">
        <v>25037</v>
      </c>
    </row>
    <row r="20246" spans="1:1" x14ac:dyDescent="0.25">
      <c r="A20246" s="74">
        <v>25038</v>
      </c>
    </row>
    <row r="20247" spans="1:1" x14ac:dyDescent="0.25">
      <c r="A20247" s="74">
        <v>25039</v>
      </c>
    </row>
    <row r="20248" spans="1:1" x14ac:dyDescent="0.25">
      <c r="A20248" s="74">
        <v>25040</v>
      </c>
    </row>
    <row r="20249" spans="1:1" x14ac:dyDescent="0.25">
      <c r="A20249" s="74">
        <v>25041</v>
      </c>
    </row>
    <row r="20250" spans="1:1" x14ac:dyDescent="0.25">
      <c r="A20250" s="74">
        <v>25042</v>
      </c>
    </row>
    <row r="20251" spans="1:1" x14ac:dyDescent="0.25">
      <c r="A20251" s="74">
        <v>25043</v>
      </c>
    </row>
    <row r="20252" spans="1:1" x14ac:dyDescent="0.25">
      <c r="A20252" s="74">
        <v>25044</v>
      </c>
    </row>
    <row r="20253" spans="1:1" x14ac:dyDescent="0.25">
      <c r="A20253" s="74">
        <v>25045</v>
      </c>
    </row>
    <row r="20254" spans="1:1" x14ac:dyDescent="0.25">
      <c r="A20254" s="74">
        <v>25046</v>
      </c>
    </row>
    <row r="20255" spans="1:1" x14ac:dyDescent="0.25">
      <c r="A20255" s="74">
        <v>25047</v>
      </c>
    </row>
    <row r="20256" spans="1:1" x14ac:dyDescent="0.25">
      <c r="A20256" s="74">
        <v>25048</v>
      </c>
    </row>
    <row r="20257" spans="1:1" x14ac:dyDescent="0.25">
      <c r="A20257" s="74">
        <v>25049</v>
      </c>
    </row>
    <row r="20258" spans="1:1" x14ac:dyDescent="0.25">
      <c r="A20258" s="74">
        <v>25050</v>
      </c>
    </row>
    <row r="20259" spans="1:1" x14ac:dyDescent="0.25">
      <c r="A20259" s="74">
        <v>25051</v>
      </c>
    </row>
    <row r="20260" spans="1:1" x14ac:dyDescent="0.25">
      <c r="A20260" s="74">
        <v>25052</v>
      </c>
    </row>
    <row r="20261" spans="1:1" x14ac:dyDescent="0.25">
      <c r="A20261" s="74">
        <v>25053</v>
      </c>
    </row>
    <row r="20262" spans="1:1" x14ac:dyDescent="0.25">
      <c r="A20262" s="74">
        <v>25054</v>
      </c>
    </row>
    <row r="20263" spans="1:1" x14ac:dyDescent="0.25">
      <c r="A20263" s="74">
        <v>25055</v>
      </c>
    </row>
    <row r="20264" spans="1:1" x14ac:dyDescent="0.25">
      <c r="A20264" s="74">
        <v>25056</v>
      </c>
    </row>
    <row r="20265" spans="1:1" x14ac:dyDescent="0.25">
      <c r="A20265" s="74">
        <v>25057</v>
      </c>
    </row>
    <row r="20266" spans="1:1" x14ac:dyDescent="0.25">
      <c r="A20266" s="74">
        <v>25058</v>
      </c>
    </row>
    <row r="20267" spans="1:1" x14ac:dyDescent="0.25">
      <c r="A20267" s="74">
        <v>25059</v>
      </c>
    </row>
    <row r="20268" spans="1:1" x14ac:dyDescent="0.25">
      <c r="A20268" s="74">
        <v>25060</v>
      </c>
    </row>
    <row r="20269" spans="1:1" x14ac:dyDescent="0.25">
      <c r="A20269" s="74">
        <v>25061</v>
      </c>
    </row>
    <row r="20270" spans="1:1" x14ac:dyDescent="0.25">
      <c r="A20270" s="74">
        <v>25062</v>
      </c>
    </row>
    <row r="20271" spans="1:1" x14ac:dyDescent="0.25">
      <c r="A20271" s="74">
        <v>25063</v>
      </c>
    </row>
    <row r="20272" spans="1:1" x14ac:dyDescent="0.25">
      <c r="A20272" s="74">
        <v>25064</v>
      </c>
    </row>
    <row r="20273" spans="1:1" x14ac:dyDescent="0.25">
      <c r="A20273" s="74">
        <v>25065</v>
      </c>
    </row>
    <row r="20274" spans="1:1" x14ac:dyDescent="0.25">
      <c r="A20274" s="74">
        <v>25066</v>
      </c>
    </row>
    <row r="20275" spans="1:1" x14ac:dyDescent="0.25">
      <c r="A20275" s="74">
        <v>25067</v>
      </c>
    </row>
    <row r="20276" spans="1:1" x14ac:dyDescent="0.25">
      <c r="A20276" s="74">
        <v>25068</v>
      </c>
    </row>
    <row r="20277" spans="1:1" x14ac:dyDescent="0.25">
      <c r="A20277" s="74">
        <v>25069</v>
      </c>
    </row>
    <row r="20278" spans="1:1" x14ac:dyDescent="0.25">
      <c r="A20278" s="74">
        <v>25070</v>
      </c>
    </row>
    <row r="20279" spans="1:1" x14ac:dyDescent="0.25">
      <c r="A20279" s="74">
        <v>25071</v>
      </c>
    </row>
    <row r="20280" spans="1:1" x14ac:dyDescent="0.25">
      <c r="A20280" s="74">
        <v>25072</v>
      </c>
    </row>
    <row r="20281" spans="1:1" x14ac:dyDescent="0.25">
      <c r="A20281" s="74">
        <v>25073</v>
      </c>
    </row>
    <row r="20282" spans="1:1" x14ac:dyDescent="0.25">
      <c r="A20282" s="74">
        <v>25074</v>
      </c>
    </row>
    <row r="20283" spans="1:1" x14ac:dyDescent="0.25">
      <c r="A20283" s="74">
        <v>25075</v>
      </c>
    </row>
    <row r="20284" spans="1:1" x14ac:dyDescent="0.25">
      <c r="A20284" s="74">
        <v>25076</v>
      </c>
    </row>
    <row r="20285" spans="1:1" x14ac:dyDescent="0.25">
      <c r="A20285" s="74">
        <v>25077</v>
      </c>
    </row>
    <row r="20286" spans="1:1" x14ac:dyDescent="0.25">
      <c r="A20286" s="74">
        <v>25078</v>
      </c>
    </row>
    <row r="20287" spans="1:1" x14ac:dyDescent="0.25">
      <c r="A20287" s="74">
        <v>25079</v>
      </c>
    </row>
    <row r="20288" spans="1:1" x14ac:dyDescent="0.25">
      <c r="A20288" s="74">
        <v>25080</v>
      </c>
    </row>
    <row r="20289" spans="1:1" x14ac:dyDescent="0.25">
      <c r="A20289" s="74">
        <v>25081</v>
      </c>
    </row>
    <row r="20290" spans="1:1" x14ac:dyDescent="0.25">
      <c r="A20290" s="74">
        <v>25082</v>
      </c>
    </row>
    <row r="20291" spans="1:1" x14ac:dyDescent="0.25">
      <c r="A20291" s="74">
        <v>25083</v>
      </c>
    </row>
    <row r="20292" spans="1:1" x14ac:dyDescent="0.25">
      <c r="A20292" s="74">
        <v>25084</v>
      </c>
    </row>
    <row r="20293" spans="1:1" x14ac:dyDescent="0.25">
      <c r="A20293" s="74">
        <v>25085</v>
      </c>
    </row>
    <row r="20294" spans="1:1" x14ac:dyDescent="0.25">
      <c r="A20294" s="74">
        <v>25086</v>
      </c>
    </row>
    <row r="20295" spans="1:1" x14ac:dyDescent="0.25">
      <c r="A20295" s="74">
        <v>25087</v>
      </c>
    </row>
    <row r="20296" spans="1:1" x14ac:dyDescent="0.25">
      <c r="A20296" s="74">
        <v>25088</v>
      </c>
    </row>
    <row r="20297" spans="1:1" x14ac:dyDescent="0.25">
      <c r="A20297" s="74">
        <v>25089</v>
      </c>
    </row>
    <row r="20298" spans="1:1" x14ac:dyDescent="0.25">
      <c r="A20298" s="74">
        <v>25090</v>
      </c>
    </row>
    <row r="20299" spans="1:1" x14ac:dyDescent="0.25">
      <c r="A20299" s="74">
        <v>25091</v>
      </c>
    </row>
    <row r="20300" spans="1:1" x14ac:dyDescent="0.25">
      <c r="A20300" s="74">
        <v>25092</v>
      </c>
    </row>
    <row r="20301" spans="1:1" x14ac:dyDescent="0.25">
      <c r="A20301" s="74">
        <v>25093</v>
      </c>
    </row>
    <row r="20302" spans="1:1" x14ac:dyDescent="0.25">
      <c r="A20302" s="74">
        <v>25094</v>
      </c>
    </row>
    <row r="20303" spans="1:1" x14ac:dyDescent="0.25">
      <c r="A20303" s="74">
        <v>25095</v>
      </c>
    </row>
    <row r="20304" spans="1:1" x14ac:dyDescent="0.25">
      <c r="A20304" s="74">
        <v>25096</v>
      </c>
    </row>
    <row r="20305" spans="1:1" x14ac:dyDescent="0.25">
      <c r="A20305" s="74">
        <v>25097</v>
      </c>
    </row>
    <row r="20306" spans="1:1" x14ac:dyDescent="0.25">
      <c r="A20306" s="74">
        <v>25098</v>
      </c>
    </row>
    <row r="20307" spans="1:1" x14ac:dyDescent="0.25">
      <c r="A20307" s="74">
        <v>25099</v>
      </c>
    </row>
    <row r="20308" spans="1:1" x14ac:dyDescent="0.25">
      <c r="A20308" s="74">
        <v>25100</v>
      </c>
    </row>
    <row r="20309" spans="1:1" x14ac:dyDescent="0.25">
      <c r="A20309" s="74">
        <v>25101</v>
      </c>
    </row>
    <row r="20310" spans="1:1" x14ac:dyDescent="0.25">
      <c r="A20310" s="74">
        <v>25102</v>
      </c>
    </row>
    <row r="20311" spans="1:1" x14ac:dyDescent="0.25">
      <c r="A20311" s="74">
        <v>25103</v>
      </c>
    </row>
    <row r="20312" spans="1:1" x14ac:dyDescent="0.25">
      <c r="A20312" s="74">
        <v>25104</v>
      </c>
    </row>
    <row r="20313" spans="1:1" x14ac:dyDescent="0.25">
      <c r="A20313" s="74">
        <v>25105</v>
      </c>
    </row>
    <row r="20314" spans="1:1" x14ac:dyDescent="0.25">
      <c r="A20314" s="74">
        <v>25106</v>
      </c>
    </row>
    <row r="20315" spans="1:1" x14ac:dyDescent="0.25">
      <c r="A20315" s="74">
        <v>25107</v>
      </c>
    </row>
    <row r="20316" spans="1:1" x14ac:dyDescent="0.25">
      <c r="A20316" s="74">
        <v>25108</v>
      </c>
    </row>
    <row r="20317" spans="1:1" x14ac:dyDescent="0.25">
      <c r="A20317" s="74">
        <v>25109</v>
      </c>
    </row>
    <row r="20318" spans="1:1" x14ac:dyDescent="0.25">
      <c r="A20318" s="74">
        <v>25110</v>
      </c>
    </row>
    <row r="20319" spans="1:1" x14ac:dyDescent="0.25">
      <c r="A20319" s="74">
        <v>25111</v>
      </c>
    </row>
    <row r="20320" spans="1:1" x14ac:dyDescent="0.25">
      <c r="A20320" s="74">
        <v>25112</v>
      </c>
    </row>
    <row r="20321" spans="1:1" x14ac:dyDescent="0.25">
      <c r="A20321" s="74">
        <v>25113</v>
      </c>
    </row>
    <row r="20322" spans="1:1" x14ac:dyDescent="0.25">
      <c r="A20322" s="74">
        <v>25114</v>
      </c>
    </row>
    <row r="20323" spans="1:1" x14ac:dyDescent="0.25">
      <c r="A20323" s="74">
        <v>25115</v>
      </c>
    </row>
    <row r="20324" spans="1:1" x14ac:dyDescent="0.25">
      <c r="A20324" s="74">
        <v>25116</v>
      </c>
    </row>
    <row r="20325" spans="1:1" x14ac:dyDescent="0.25">
      <c r="A20325" s="74">
        <v>25117</v>
      </c>
    </row>
    <row r="20326" spans="1:1" x14ac:dyDescent="0.25">
      <c r="A20326" s="74">
        <v>25118</v>
      </c>
    </row>
    <row r="20327" spans="1:1" x14ac:dyDescent="0.25">
      <c r="A20327" s="74">
        <v>25119</v>
      </c>
    </row>
    <row r="20328" spans="1:1" x14ac:dyDescent="0.25">
      <c r="A20328" s="74">
        <v>25120</v>
      </c>
    </row>
    <row r="20329" spans="1:1" x14ac:dyDescent="0.25">
      <c r="A20329" s="74">
        <v>25121</v>
      </c>
    </row>
    <row r="20330" spans="1:1" x14ac:dyDescent="0.25">
      <c r="A20330" s="74">
        <v>25122</v>
      </c>
    </row>
    <row r="20331" spans="1:1" x14ac:dyDescent="0.25">
      <c r="A20331" s="74">
        <v>25123</v>
      </c>
    </row>
    <row r="20332" spans="1:1" x14ac:dyDescent="0.25">
      <c r="A20332" s="74">
        <v>25124</v>
      </c>
    </row>
    <row r="20333" spans="1:1" x14ac:dyDescent="0.25">
      <c r="A20333" s="74">
        <v>25125</v>
      </c>
    </row>
    <row r="20334" spans="1:1" x14ac:dyDescent="0.25">
      <c r="A20334" s="74">
        <v>25126</v>
      </c>
    </row>
    <row r="20335" spans="1:1" x14ac:dyDescent="0.25">
      <c r="A20335" s="74">
        <v>25127</v>
      </c>
    </row>
    <row r="20336" spans="1:1" x14ac:dyDescent="0.25">
      <c r="A20336" s="74">
        <v>25128</v>
      </c>
    </row>
    <row r="20337" spans="1:1" x14ac:dyDescent="0.25">
      <c r="A20337" s="74">
        <v>25129</v>
      </c>
    </row>
    <row r="20338" spans="1:1" x14ac:dyDescent="0.25">
      <c r="A20338" s="74">
        <v>25130</v>
      </c>
    </row>
    <row r="20339" spans="1:1" x14ac:dyDescent="0.25">
      <c r="A20339" s="74">
        <v>25131</v>
      </c>
    </row>
    <row r="20340" spans="1:1" x14ac:dyDescent="0.25">
      <c r="A20340" s="74">
        <v>25132</v>
      </c>
    </row>
    <row r="20341" spans="1:1" x14ac:dyDescent="0.25">
      <c r="A20341" s="74">
        <v>25133</v>
      </c>
    </row>
    <row r="20342" spans="1:1" x14ac:dyDescent="0.25">
      <c r="A20342" s="74">
        <v>25134</v>
      </c>
    </row>
    <row r="20343" spans="1:1" x14ac:dyDescent="0.25">
      <c r="A20343" s="74">
        <v>25135</v>
      </c>
    </row>
    <row r="20344" spans="1:1" x14ac:dyDescent="0.25">
      <c r="A20344" s="74">
        <v>25136</v>
      </c>
    </row>
    <row r="20345" spans="1:1" x14ac:dyDescent="0.25">
      <c r="A20345" s="74">
        <v>25137</v>
      </c>
    </row>
    <row r="20346" spans="1:1" x14ac:dyDescent="0.25">
      <c r="A20346" s="74">
        <v>25138</v>
      </c>
    </row>
    <row r="20347" spans="1:1" x14ac:dyDescent="0.25">
      <c r="A20347" s="74">
        <v>25139</v>
      </c>
    </row>
    <row r="20348" spans="1:1" x14ac:dyDescent="0.25">
      <c r="A20348" s="74">
        <v>25140</v>
      </c>
    </row>
    <row r="20349" spans="1:1" x14ac:dyDescent="0.25">
      <c r="A20349" s="74">
        <v>25141</v>
      </c>
    </row>
    <row r="20350" spans="1:1" x14ac:dyDescent="0.25">
      <c r="A20350" s="74">
        <v>25142</v>
      </c>
    </row>
    <row r="20351" spans="1:1" x14ac:dyDescent="0.25">
      <c r="A20351" s="74">
        <v>25143</v>
      </c>
    </row>
    <row r="20352" spans="1:1" x14ac:dyDescent="0.25">
      <c r="A20352" s="74">
        <v>25144</v>
      </c>
    </row>
    <row r="20353" spans="1:1" x14ac:dyDescent="0.25">
      <c r="A20353" s="74">
        <v>25145</v>
      </c>
    </row>
    <row r="20354" spans="1:1" x14ac:dyDescent="0.25">
      <c r="A20354" s="74">
        <v>25146</v>
      </c>
    </row>
    <row r="20355" spans="1:1" x14ac:dyDescent="0.25">
      <c r="A20355" s="74">
        <v>25147</v>
      </c>
    </row>
    <row r="20356" spans="1:1" x14ac:dyDescent="0.25">
      <c r="A20356" s="74">
        <v>25148</v>
      </c>
    </row>
    <row r="20357" spans="1:1" x14ac:dyDescent="0.25">
      <c r="A20357" s="74">
        <v>25149</v>
      </c>
    </row>
    <row r="20358" spans="1:1" x14ac:dyDescent="0.25">
      <c r="A20358" s="74">
        <v>25150</v>
      </c>
    </row>
    <row r="20359" spans="1:1" x14ac:dyDescent="0.25">
      <c r="A20359" s="74">
        <v>25151</v>
      </c>
    </row>
    <row r="20360" spans="1:1" x14ac:dyDescent="0.25">
      <c r="A20360" s="74">
        <v>25152</v>
      </c>
    </row>
    <row r="20361" spans="1:1" x14ac:dyDescent="0.25">
      <c r="A20361" s="74">
        <v>25153</v>
      </c>
    </row>
    <row r="20362" spans="1:1" x14ac:dyDescent="0.25">
      <c r="A20362" s="74">
        <v>25154</v>
      </c>
    </row>
    <row r="20363" spans="1:1" x14ac:dyDescent="0.25">
      <c r="A20363" s="74">
        <v>25155</v>
      </c>
    </row>
    <row r="20364" spans="1:1" x14ac:dyDescent="0.25">
      <c r="A20364" s="74">
        <v>25156</v>
      </c>
    </row>
    <row r="20365" spans="1:1" x14ac:dyDescent="0.25">
      <c r="A20365" s="74">
        <v>25157</v>
      </c>
    </row>
    <row r="20366" spans="1:1" x14ac:dyDescent="0.25">
      <c r="A20366" s="74">
        <v>25158</v>
      </c>
    </row>
    <row r="20367" spans="1:1" x14ac:dyDescent="0.25">
      <c r="A20367" s="74">
        <v>25159</v>
      </c>
    </row>
    <row r="20368" spans="1:1" x14ac:dyDescent="0.25">
      <c r="A20368" s="74">
        <v>25160</v>
      </c>
    </row>
    <row r="20369" spans="1:1" x14ac:dyDescent="0.25">
      <c r="A20369" s="74">
        <v>25161</v>
      </c>
    </row>
    <row r="20370" spans="1:1" x14ac:dyDescent="0.25">
      <c r="A20370" s="74">
        <v>25162</v>
      </c>
    </row>
    <row r="20371" spans="1:1" x14ac:dyDescent="0.25">
      <c r="A20371" s="74">
        <v>25163</v>
      </c>
    </row>
    <row r="20372" spans="1:1" x14ac:dyDescent="0.25">
      <c r="A20372" s="74">
        <v>25164</v>
      </c>
    </row>
    <row r="20373" spans="1:1" x14ac:dyDescent="0.25">
      <c r="A20373" s="74">
        <v>25165</v>
      </c>
    </row>
    <row r="20374" spans="1:1" x14ac:dyDescent="0.25">
      <c r="A20374" s="74">
        <v>25166</v>
      </c>
    </row>
    <row r="20375" spans="1:1" x14ac:dyDescent="0.25">
      <c r="A20375" s="74">
        <v>25167</v>
      </c>
    </row>
    <row r="20376" spans="1:1" x14ac:dyDescent="0.25">
      <c r="A20376" s="74">
        <v>25168</v>
      </c>
    </row>
    <row r="20377" spans="1:1" x14ac:dyDescent="0.25">
      <c r="A20377" s="74">
        <v>25169</v>
      </c>
    </row>
    <row r="20378" spans="1:1" x14ac:dyDescent="0.25">
      <c r="A20378" s="74">
        <v>25170</v>
      </c>
    </row>
    <row r="20379" spans="1:1" x14ac:dyDescent="0.25">
      <c r="A20379" s="74">
        <v>25171</v>
      </c>
    </row>
    <row r="20380" spans="1:1" x14ac:dyDescent="0.25">
      <c r="A20380" s="74">
        <v>25172</v>
      </c>
    </row>
    <row r="20381" spans="1:1" x14ac:dyDescent="0.25">
      <c r="A20381" s="74">
        <v>25173</v>
      </c>
    </row>
    <row r="20382" spans="1:1" x14ac:dyDescent="0.25">
      <c r="A20382" s="74">
        <v>25174</v>
      </c>
    </row>
    <row r="20383" spans="1:1" x14ac:dyDescent="0.25">
      <c r="A20383" s="74">
        <v>25175</v>
      </c>
    </row>
    <row r="20384" spans="1:1" x14ac:dyDescent="0.25">
      <c r="A20384" s="74">
        <v>25176</v>
      </c>
    </row>
    <row r="20385" spans="1:1" x14ac:dyDescent="0.25">
      <c r="A20385" s="74">
        <v>25177</v>
      </c>
    </row>
    <row r="20386" spans="1:1" x14ac:dyDescent="0.25">
      <c r="A20386" s="74">
        <v>25178</v>
      </c>
    </row>
    <row r="20387" spans="1:1" x14ac:dyDescent="0.25">
      <c r="A20387" s="74">
        <v>25179</v>
      </c>
    </row>
    <row r="20388" spans="1:1" x14ac:dyDescent="0.25">
      <c r="A20388" s="74">
        <v>25180</v>
      </c>
    </row>
    <row r="20389" spans="1:1" x14ac:dyDescent="0.25">
      <c r="A20389" s="74">
        <v>25181</v>
      </c>
    </row>
    <row r="20390" spans="1:1" x14ac:dyDescent="0.25">
      <c r="A20390" s="74">
        <v>25182</v>
      </c>
    </row>
    <row r="20391" spans="1:1" x14ac:dyDescent="0.25">
      <c r="A20391" s="74">
        <v>25183</v>
      </c>
    </row>
    <row r="20392" spans="1:1" x14ac:dyDescent="0.25">
      <c r="A20392" s="74">
        <v>25184</v>
      </c>
    </row>
    <row r="20393" spans="1:1" x14ac:dyDescent="0.25">
      <c r="A20393" s="74">
        <v>25185</v>
      </c>
    </row>
    <row r="20394" spans="1:1" x14ac:dyDescent="0.25">
      <c r="A20394" s="74">
        <v>25186</v>
      </c>
    </row>
    <row r="20395" spans="1:1" x14ac:dyDescent="0.25">
      <c r="A20395" s="74">
        <v>25187</v>
      </c>
    </row>
    <row r="20396" spans="1:1" x14ac:dyDescent="0.25">
      <c r="A20396" s="74">
        <v>25188</v>
      </c>
    </row>
    <row r="20397" spans="1:1" x14ac:dyDescent="0.25">
      <c r="A20397" s="74">
        <v>25189</v>
      </c>
    </row>
    <row r="20398" spans="1:1" x14ac:dyDescent="0.25">
      <c r="A20398" s="74">
        <v>25190</v>
      </c>
    </row>
    <row r="20399" spans="1:1" x14ac:dyDescent="0.25">
      <c r="A20399" s="74">
        <v>25191</v>
      </c>
    </row>
    <row r="20400" spans="1:1" x14ac:dyDescent="0.25">
      <c r="A20400" s="74">
        <v>25192</v>
      </c>
    </row>
    <row r="20401" spans="1:1" x14ac:dyDescent="0.25">
      <c r="A20401" s="74">
        <v>25193</v>
      </c>
    </row>
    <row r="20402" spans="1:1" x14ac:dyDescent="0.25">
      <c r="A20402" s="74">
        <v>25194</v>
      </c>
    </row>
    <row r="20403" spans="1:1" x14ac:dyDescent="0.25">
      <c r="A20403" s="74">
        <v>25195</v>
      </c>
    </row>
    <row r="20404" spans="1:1" x14ac:dyDescent="0.25">
      <c r="A20404" s="74">
        <v>25196</v>
      </c>
    </row>
    <row r="20405" spans="1:1" x14ac:dyDescent="0.25">
      <c r="A20405" s="74">
        <v>25197</v>
      </c>
    </row>
    <row r="20406" spans="1:1" x14ac:dyDescent="0.25">
      <c r="A20406" s="74">
        <v>25198</v>
      </c>
    </row>
    <row r="20407" spans="1:1" x14ac:dyDescent="0.25">
      <c r="A20407" s="74">
        <v>25199</v>
      </c>
    </row>
    <row r="20408" spans="1:1" x14ac:dyDescent="0.25">
      <c r="A20408" s="74">
        <v>25200</v>
      </c>
    </row>
    <row r="20409" spans="1:1" x14ac:dyDescent="0.25">
      <c r="A20409" s="74">
        <v>25201</v>
      </c>
    </row>
    <row r="20410" spans="1:1" x14ac:dyDescent="0.25">
      <c r="A20410" s="74">
        <v>25202</v>
      </c>
    </row>
    <row r="20411" spans="1:1" x14ac:dyDescent="0.25">
      <c r="A20411" s="74">
        <v>25203</v>
      </c>
    </row>
    <row r="20412" spans="1:1" x14ac:dyDescent="0.25">
      <c r="A20412" s="74">
        <v>25204</v>
      </c>
    </row>
    <row r="20413" spans="1:1" x14ac:dyDescent="0.25">
      <c r="A20413" s="74">
        <v>25205</v>
      </c>
    </row>
    <row r="20414" spans="1:1" x14ac:dyDescent="0.25">
      <c r="A20414" s="74">
        <v>25206</v>
      </c>
    </row>
    <row r="20415" spans="1:1" x14ac:dyDescent="0.25">
      <c r="A20415" s="74">
        <v>25207</v>
      </c>
    </row>
    <row r="20416" spans="1:1" x14ac:dyDescent="0.25">
      <c r="A20416" s="74">
        <v>25208</v>
      </c>
    </row>
    <row r="20417" spans="1:1" x14ac:dyDescent="0.25">
      <c r="A20417" s="74">
        <v>25209</v>
      </c>
    </row>
    <row r="20418" spans="1:1" x14ac:dyDescent="0.25">
      <c r="A20418" s="74">
        <v>25210</v>
      </c>
    </row>
    <row r="20419" spans="1:1" x14ac:dyDescent="0.25">
      <c r="A20419" s="74">
        <v>25211</v>
      </c>
    </row>
    <row r="20420" spans="1:1" x14ac:dyDescent="0.25">
      <c r="A20420" s="74">
        <v>25212</v>
      </c>
    </row>
    <row r="20421" spans="1:1" x14ac:dyDescent="0.25">
      <c r="A20421" s="74">
        <v>25213</v>
      </c>
    </row>
    <row r="20422" spans="1:1" x14ac:dyDescent="0.25">
      <c r="A20422" s="74">
        <v>25214</v>
      </c>
    </row>
    <row r="20423" spans="1:1" x14ac:dyDescent="0.25">
      <c r="A20423" s="74">
        <v>25215</v>
      </c>
    </row>
    <row r="20424" spans="1:1" x14ac:dyDescent="0.25">
      <c r="A20424" s="74">
        <v>25216</v>
      </c>
    </row>
    <row r="20425" spans="1:1" x14ac:dyDescent="0.25">
      <c r="A20425" s="74">
        <v>25217</v>
      </c>
    </row>
    <row r="20426" spans="1:1" x14ac:dyDescent="0.25">
      <c r="A20426" s="74">
        <v>25218</v>
      </c>
    </row>
    <row r="20427" spans="1:1" x14ac:dyDescent="0.25">
      <c r="A20427" s="74">
        <v>25219</v>
      </c>
    </row>
    <row r="20428" spans="1:1" x14ac:dyDescent="0.25">
      <c r="A20428" s="74">
        <v>25220</v>
      </c>
    </row>
    <row r="20429" spans="1:1" x14ac:dyDescent="0.25">
      <c r="A20429" s="74">
        <v>25221</v>
      </c>
    </row>
    <row r="20430" spans="1:1" x14ac:dyDescent="0.25">
      <c r="A20430" s="74">
        <v>25222</v>
      </c>
    </row>
    <row r="20431" spans="1:1" x14ac:dyDescent="0.25">
      <c r="A20431" s="74">
        <v>25223</v>
      </c>
    </row>
    <row r="20432" spans="1:1" x14ac:dyDescent="0.25">
      <c r="A20432" s="74">
        <v>25224</v>
      </c>
    </row>
    <row r="20433" spans="1:1" x14ac:dyDescent="0.25">
      <c r="A20433" s="74">
        <v>25225</v>
      </c>
    </row>
    <row r="20434" spans="1:1" x14ac:dyDescent="0.25">
      <c r="A20434" s="74">
        <v>25226</v>
      </c>
    </row>
    <row r="20435" spans="1:1" x14ac:dyDescent="0.25">
      <c r="A20435" s="74">
        <v>25227</v>
      </c>
    </row>
    <row r="20436" spans="1:1" x14ac:dyDescent="0.25">
      <c r="A20436" s="74">
        <v>25228</v>
      </c>
    </row>
    <row r="20437" spans="1:1" x14ac:dyDescent="0.25">
      <c r="A20437" s="74">
        <v>25229</v>
      </c>
    </row>
    <row r="20438" spans="1:1" x14ac:dyDescent="0.25">
      <c r="A20438" s="74">
        <v>25230</v>
      </c>
    </row>
    <row r="20439" spans="1:1" x14ac:dyDescent="0.25">
      <c r="A20439" s="74">
        <v>25231</v>
      </c>
    </row>
    <row r="20440" spans="1:1" x14ac:dyDescent="0.25">
      <c r="A20440" s="74">
        <v>25232</v>
      </c>
    </row>
    <row r="20441" spans="1:1" x14ac:dyDescent="0.25">
      <c r="A20441" s="74">
        <v>25233</v>
      </c>
    </row>
    <row r="20442" spans="1:1" x14ac:dyDescent="0.25">
      <c r="A20442" s="74">
        <v>25234</v>
      </c>
    </row>
    <row r="20443" spans="1:1" x14ac:dyDescent="0.25">
      <c r="A20443" s="74">
        <v>25235</v>
      </c>
    </row>
    <row r="20444" spans="1:1" x14ac:dyDescent="0.25">
      <c r="A20444" s="74">
        <v>25236</v>
      </c>
    </row>
    <row r="20445" spans="1:1" x14ac:dyDescent="0.25">
      <c r="A20445" s="74">
        <v>25237</v>
      </c>
    </row>
    <row r="20446" spans="1:1" x14ac:dyDescent="0.25">
      <c r="A20446" s="74">
        <v>25238</v>
      </c>
    </row>
    <row r="20447" spans="1:1" x14ac:dyDescent="0.25">
      <c r="A20447" s="74">
        <v>25239</v>
      </c>
    </row>
    <row r="20448" spans="1:1" x14ac:dyDescent="0.25">
      <c r="A20448" s="74">
        <v>25240</v>
      </c>
    </row>
    <row r="20449" spans="1:1" x14ac:dyDescent="0.25">
      <c r="A20449" s="74">
        <v>25241</v>
      </c>
    </row>
    <row r="20450" spans="1:1" x14ac:dyDescent="0.25">
      <c r="A20450" s="74">
        <v>25242</v>
      </c>
    </row>
    <row r="20451" spans="1:1" x14ac:dyDescent="0.25">
      <c r="A20451" s="74">
        <v>25243</v>
      </c>
    </row>
    <row r="20452" spans="1:1" x14ac:dyDescent="0.25">
      <c r="A20452" s="74">
        <v>25244</v>
      </c>
    </row>
    <row r="20453" spans="1:1" x14ac:dyDescent="0.25">
      <c r="A20453" s="74">
        <v>25245</v>
      </c>
    </row>
    <row r="20454" spans="1:1" x14ac:dyDescent="0.25">
      <c r="A20454" s="74">
        <v>25246</v>
      </c>
    </row>
    <row r="20455" spans="1:1" x14ac:dyDescent="0.25">
      <c r="A20455" s="74">
        <v>25247</v>
      </c>
    </row>
    <row r="20456" spans="1:1" x14ac:dyDescent="0.25">
      <c r="A20456" s="74">
        <v>25248</v>
      </c>
    </row>
    <row r="20457" spans="1:1" x14ac:dyDescent="0.25">
      <c r="A20457" s="74">
        <v>25249</v>
      </c>
    </row>
    <row r="20458" spans="1:1" x14ac:dyDescent="0.25">
      <c r="A20458" s="74">
        <v>25250</v>
      </c>
    </row>
    <row r="20459" spans="1:1" x14ac:dyDescent="0.25">
      <c r="A20459" s="74">
        <v>25251</v>
      </c>
    </row>
    <row r="20460" spans="1:1" x14ac:dyDescent="0.25">
      <c r="A20460" s="74">
        <v>25252</v>
      </c>
    </row>
    <row r="20461" spans="1:1" x14ac:dyDescent="0.25">
      <c r="A20461" s="74">
        <v>25253</v>
      </c>
    </row>
    <row r="20462" spans="1:1" x14ac:dyDescent="0.25">
      <c r="A20462" s="74">
        <v>25254</v>
      </c>
    </row>
    <row r="20463" spans="1:1" x14ac:dyDescent="0.25">
      <c r="A20463" s="74">
        <v>25255</v>
      </c>
    </row>
    <row r="20464" spans="1:1" x14ac:dyDescent="0.25">
      <c r="A20464" s="74">
        <v>25256</v>
      </c>
    </row>
    <row r="20465" spans="1:1" x14ac:dyDescent="0.25">
      <c r="A20465" s="74">
        <v>25257</v>
      </c>
    </row>
    <row r="20466" spans="1:1" x14ac:dyDescent="0.25">
      <c r="A20466" s="74">
        <v>25258</v>
      </c>
    </row>
    <row r="20467" spans="1:1" x14ac:dyDescent="0.25">
      <c r="A20467" s="74">
        <v>25259</v>
      </c>
    </row>
    <row r="20468" spans="1:1" x14ac:dyDescent="0.25">
      <c r="A20468" s="74">
        <v>25260</v>
      </c>
    </row>
    <row r="20469" spans="1:1" x14ac:dyDescent="0.25">
      <c r="A20469" s="74">
        <v>25261</v>
      </c>
    </row>
    <row r="20470" spans="1:1" x14ac:dyDescent="0.25">
      <c r="A20470" s="74">
        <v>25262</v>
      </c>
    </row>
    <row r="20471" spans="1:1" x14ac:dyDescent="0.25">
      <c r="A20471" s="74">
        <v>25263</v>
      </c>
    </row>
    <row r="20472" spans="1:1" x14ac:dyDescent="0.25">
      <c r="A20472" s="74">
        <v>25264</v>
      </c>
    </row>
    <row r="20473" spans="1:1" x14ac:dyDescent="0.25">
      <c r="A20473" s="74">
        <v>25265</v>
      </c>
    </row>
    <row r="20474" spans="1:1" x14ac:dyDescent="0.25">
      <c r="A20474" s="74">
        <v>25266</v>
      </c>
    </row>
    <row r="20475" spans="1:1" x14ac:dyDescent="0.25">
      <c r="A20475" s="74">
        <v>25267</v>
      </c>
    </row>
    <row r="20476" spans="1:1" x14ac:dyDescent="0.25">
      <c r="A20476" s="74">
        <v>25268</v>
      </c>
    </row>
    <row r="20477" spans="1:1" x14ac:dyDescent="0.25">
      <c r="A20477" s="74">
        <v>25269</v>
      </c>
    </row>
    <row r="20478" spans="1:1" x14ac:dyDescent="0.25">
      <c r="A20478" s="74">
        <v>25270</v>
      </c>
    </row>
    <row r="20479" spans="1:1" x14ac:dyDescent="0.25">
      <c r="A20479" s="74">
        <v>25271</v>
      </c>
    </row>
    <row r="20480" spans="1:1" x14ac:dyDescent="0.25">
      <c r="A20480" s="74">
        <v>25272</v>
      </c>
    </row>
    <row r="20481" spans="1:1" x14ac:dyDescent="0.25">
      <c r="A20481" s="74">
        <v>25273</v>
      </c>
    </row>
    <row r="20482" spans="1:1" x14ac:dyDescent="0.25">
      <c r="A20482" s="74">
        <v>25274</v>
      </c>
    </row>
    <row r="20483" spans="1:1" x14ac:dyDescent="0.25">
      <c r="A20483" s="74">
        <v>25275</v>
      </c>
    </row>
    <row r="20484" spans="1:1" x14ac:dyDescent="0.25">
      <c r="A20484" s="74">
        <v>25276</v>
      </c>
    </row>
    <row r="20485" spans="1:1" x14ac:dyDescent="0.25">
      <c r="A20485" s="74">
        <v>25277</v>
      </c>
    </row>
    <row r="20486" spans="1:1" x14ac:dyDescent="0.25">
      <c r="A20486" s="74">
        <v>25278</v>
      </c>
    </row>
    <row r="20487" spans="1:1" x14ac:dyDescent="0.25">
      <c r="A20487" s="74">
        <v>25279</v>
      </c>
    </row>
    <row r="20488" spans="1:1" x14ac:dyDescent="0.25">
      <c r="A20488" s="74">
        <v>25280</v>
      </c>
    </row>
    <row r="20489" spans="1:1" x14ac:dyDescent="0.25">
      <c r="A20489" s="74">
        <v>25281</v>
      </c>
    </row>
    <row r="20490" spans="1:1" x14ac:dyDescent="0.25">
      <c r="A20490" s="74">
        <v>25282</v>
      </c>
    </row>
    <row r="20491" spans="1:1" x14ac:dyDescent="0.25">
      <c r="A20491" s="74">
        <v>25283</v>
      </c>
    </row>
    <row r="20492" spans="1:1" x14ac:dyDescent="0.25">
      <c r="A20492" s="74">
        <v>25284</v>
      </c>
    </row>
    <row r="20493" spans="1:1" x14ac:dyDescent="0.25">
      <c r="A20493" s="74">
        <v>25285</v>
      </c>
    </row>
    <row r="20494" spans="1:1" x14ac:dyDescent="0.25">
      <c r="A20494" s="74">
        <v>25286</v>
      </c>
    </row>
    <row r="20495" spans="1:1" x14ac:dyDescent="0.25">
      <c r="A20495" s="74">
        <v>25287</v>
      </c>
    </row>
    <row r="20496" spans="1:1" x14ac:dyDescent="0.25">
      <c r="A20496" s="74">
        <v>25288</v>
      </c>
    </row>
    <row r="20497" spans="1:1" x14ac:dyDescent="0.25">
      <c r="A20497" s="74">
        <v>25289</v>
      </c>
    </row>
    <row r="20498" spans="1:1" x14ac:dyDescent="0.25">
      <c r="A20498" s="74">
        <v>25290</v>
      </c>
    </row>
    <row r="20499" spans="1:1" x14ac:dyDescent="0.25">
      <c r="A20499" s="74">
        <v>25291</v>
      </c>
    </row>
    <row r="20500" spans="1:1" x14ac:dyDescent="0.25">
      <c r="A20500" s="74">
        <v>25292</v>
      </c>
    </row>
    <row r="20501" spans="1:1" x14ac:dyDescent="0.25">
      <c r="A20501" s="74">
        <v>25293</v>
      </c>
    </row>
    <row r="20502" spans="1:1" x14ac:dyDescent="0.25">
      <c r="A20502" s="74">
        <v>25294</v>
      </c>
    </row>
    <row r="20503" spans="1:1" x14ac:dyDescent="0.25">
      <c r="A20503" s="74">
        <v>25295</v>
      </c>
    </row>
    <row r="20504" spans="1:1" x14ac:dyDescent="0.25">
      <c r="A20504" s="74">
        <v>25296</v>
      </c>
    </row>
    <row r="20505" spans="1:1" x14ac:dyDescent="0.25">
      <c r="A20505" s="74">
        <v>25297</v>
      </c>
    </row>
    <row r="20506" spans="1:1" x14ac:dyDescent="0.25">
      <c r="A20506" s="74">
        <v>25298</v>
      </c>
    </row>
    <row r="20507" spans="1:1" x14ac:dyDescent="0.25">
      <c r="A20507" s="74">
        <v>25299</v>
      </c>
    </row>
    <row r="20508" spans="1:1" x14ac:dyDescent="0.25">
      <c r="A20508" s="74">
        <v>25300</v>
      </c>
    </row>
    <row r="20509" spans="1:1" x14ac:dyDescent="0.25">
      <c r="A20509" s="74">
        <v>25301</v>
      </c>
    </row>
    <row r="20510" spans="1:1" x14ac:dyDescent="0.25">
      <c r="A20510" s="74">
        <v>25302</v>
      </c>
    </row>
    <row r="20511" spans="1:1" x14ac:dyDescent="0.25">
      <c r="A20511" s="74">
        <v>25303</v>
      </c>
    </row>
    <row r="20512" spans="1:1" x14ac:dyDescent="0.25">
      <c r="A20512" s="74">
        <v>25304</v>
      </c>
    </row>
    <row r="20513" spans="1:1" x14ac:dyDescent="0.25">
      <c r="A20513" s="74">
        <v>25305</v>
      </c>
    </row>
    <row r="20514" spans="1:1" x14ac:dyDescent="0.25">
      <c r="A20514" s="74">
        <v>25306</v>
      </c>
    </row>
    <row r="20515" spans="1:1" x14ac:dyDescent="0.25">
      <c r="A20515" s="74">
        <v>25307</v>
      </c>
    </row>
    <row r="20516" spans="1:1" x14ac:dyDescent="0.25">
      <c r="A20516" s="74">
        <v>25308</v>
      </c>
    </row>
    <row r="20517" spans="1:1" x14ac:dyDescent="0.25">
      <c r="A20517" s="74">
        <v>25309</v>
      </c>
    </row>
    <row r="20518" spans="1:1" x14ac:dyDescent="0.25">
      <c r="A20518" s="74">
        <v>25310</v>
      </c>
    </row>
    <row r="20519" spans="1:1" x14ac:dyDescent="0.25">
      <c r="A20519" s="74">
        <v>25311</v>
      </c>
    </row>
    <row r="20520" spans="1:1" x14ac:dyDescent="0.25">
      <c r="A20520" s="74">
        <v>25312</v>
      </c>
    </row>
    <row r="20521" spans="1:1" x14ac:dyDescent="0.25">
      <c r="A20521" s="74">
        <v>25313</v>
      </c>
    </row>
    <row r="20522" spans="1:1" x14ac:dyDescent="0.25">
      <c r="A20522" s="74">
        <v>25314</v>
      </c>
    </row>
    <row r="20523" spans="1:1" x14ac:dyDescent="0.25">
      <c r="A20523" s="74">
        <v>25315</v>
      </c>
    </row>
    <row r="20524" spans="1:1" x14ac:dyDescent="0.25">
      <c r="A20524" s="74">
        <v>25316</v>
      </c>
    </row>
    <row r="20525" spans="1:1" x14ac:dyDescent="0.25">
      <c r="A20525" s="74">
        <v>25317</v>
      </c>
    </row>
    <row r="20526" spans="1:1" x14ac:dyDescent="0.25">
      <c r="A20526" s="74">
        <v>25318</v>
      </c>
    </row>
    <row r="20527" spans="1:1" x14ac:dyDescent="0.25">
      <c r="A20527" s="74">
        <v>25319</v>
      </c>
    </row>
    <row r="20528" spans="1:1" x14ac:dyDescent="0.25">
      <c r="A20528" s="74">
        <v>25320</v>
      </c>
    </row>
    <row r="20529" spans="1:1" x14ac:dyDescent="0.25">
      <c r="A20529" s="74">
        <v>25321</v>
      </c>
    </row>
    <row r="20530" spans="1:1" x14ac:dyDescent="0.25">
      <c r="A20530" s="74">
        <v>25322</v>
      </c>
    </row>
    <row r="20531" spans="1:1" x14ac:dyDescent="0.25">
      <c r="A20531" s="74">
        <v>25323</v>
      </c>
    </row>
    <row r="20532" spans="1:1" x14ac:dyDescent="0.25">
      <c r="A20532" s="74">
        <v>25324</v>
      </c>
    </row>
    <row r="20533" spans="1:1" x14ac:dyDescent="0.25">
      <c r="A20533" s="74">
        <v>25325</v>
      </c>
    </row>
    <row r="20534" spans="1:1" x14ac:dyDescent="0.25">
      <c r="A20534" s="74">
        <v>25326</v>
      </c>
    </row>
    <row r="20535" spans="1:1" x14ac:dyDescent="0.25">
      <c r="A20535" s="74">
        <v>25327</v>
      </c>
    </row>
    <row r="20536" spans="1:1" x14ac:dyDescent="0.25">
      <c r="A20536" s="74">
        <v>25328</v>
      </c>
    </row>
    <row r="20537" spans="1:1" x14ac:dyDescent="0.25">
      <c r="A20537" s="74">
        <v>25329</v>
      </c>
    </row>
    <row r="20538" spans="1:1" x14ac:dyDescent="0.25">
      <c r="A20538" s="74">
        <v>25330</v>
      </c>
    </row>
    <row r="20539" spans="1:1" x14ac:dyDescent="0.25">
      <c r="A20539" s="74">
        <v>25331</v>
      </c>
    </row>
    <row r="20540" spans="1:1" x14ac:dyDescent="0.25">
      <c r="A20540" s="74">
        <v>25332</v>
      </c>
    </row>
    <row r="20541" spans="1:1" x14ac:dyDescent="0.25">
      <c r="A20541" s="74">
        <v>25333</v>
      </c>
    </row>
    <row r="20542" spans="1:1" x14ac:dyDescent="0.25">
      <c r="A20542" s="74">
        <v>25334</v>
      </c>
    </row>
    <row r="20543" spans="1:1" x14ac:dyDescent="0.25">
      <c r="A20543" s="74">
        <v>25335</v>
      </c>
    </row>
    <row r="20544" spans="1:1" x14ac:dyDescent="0.25">
      <c r="A20544" s="74">
        <v>25336</v>
      </c>
    </row>
    <row r="20545" spans="1:1" x14ac:dyDescent="0.25">
      <c r="A20545" s="74">
        <v>25337</v>
      </c>
    </row>
    <row r="20546" spans="1:1" x14ac:dyDescent="0.25">
      <c r="A20546" s="74">
        <v>25338</v>
      </c>
    </row>
    <row r="20547" spans="1:1" x14ac:dyDescent="0.25">
      <c r="A20547" s="74">
        <v>25339</v>
      </c>
    </row>
    <row r="20548" spans="1:1" x14ac:dyDescent="0.25">
      <c r="A20548" s="74">
        <v>25340</v>
      </c>
    </row>
    <row r="20549" spans="1:1" x14ac:dyDescent="0.25">
      <c r="A20549" s="74">
        <v>25341</v>
      </c>
    </row>
    <row r="20550" spans="1:1" x14ac:dyDescent="0.25">
      <c r="A20550" s="74">
        <v>25342</v>
      </c>
    </row>
    <row r="20551" spans="1:1" x14ac:dyDescent="0.25">
      <c r="A20551" s="74">
        <v>25343</v>
      </c>
    </row>
    <row r="20552" spans="1:1" x14ac:dyDescent="0.25">
      <c r="A20552" s="74">
        <v>25344</v>
      </c>
    </row>
    <row r="20553" spans="1:1" x14ac:dyDescent="0.25">
      <c r="A20553" s="74">
        <v>25345</v>
      </c>
    </row>
    <row r="20554" spans="1:1" x14ac:dyDescent="0.25">
      <c r="A20554" s="74">
        <v>25346</v>
      </c>
    </row>
    <row r="20555" spans="1:1" x14ac:dyDescent="0.25">
      <c r="A20555" s="74">
        <v>25347</v>
      </c>
    </row>
    <row r="20556" spans="1:1" x14ac:dyDescent="0.25">
      <c r="A20556" s="74">
        <v>25348</v>
      </c>
    </row>
    <row r="20557" spans="1:1" x14ac:dyDescent="0.25">
      <c r="A20557" s="74">
        <v>25349</v>
      </c>
    </row>
    <row r="20558" spans="1:1" x14ac:dyDescent="0.25">
      <c r="A20558" s="74">
        <v>25350</v>
      </c>
    </row>
    <row r="20559" spans="1:1" x14ac:dyDescent="0.25">
      <c r="A20559" s="74">
        <v>25351</v>
      </c>
    </row>
    <row r="20560" spans="1:1" x14ac:dyDescent="0.25">
      <c r="A20560" s="74">
        <v>25352</v>
      </c>
    </row>
    <row r="20561" spans="1:1" x14ac:dyDescent="0.25">
      <c r="A20561" s="74">
        <v>25353</v>
      </c>
    </row>
    <row r="20562" spans="1:1" x14ac:dyDescent="0.25">
      <c r="A20562" s="74">
        <v>25354</v>
      </c>
    </row>
    <row r="20563" spans="1:1" x14ac:dyDescent="0.25">
      <c r="A20563" s="74">
        <v>25355</v>
      </c>
    </row>
    <row r="20564" spans="1:1" x14ac:dyDescent="0.25">
      <c r="A20564" s="74">
        <v>25356</v>
      </c>
    </row>
    <row r="20565" spans="1:1" x14ac:dyDescent="0.25">
      <c r="A20565" s="74">
        <v>25357</v>
      </c>
    </row>
    <row r="20566" spans="1:1" x14ac:dyDescent="0.25">
      <c r="A20566" s="74">
        <v>25358</v>
      </c>
    </row>
    <row r="20567" spans="1:1" x14ac:dyDescent="0.25">
      <c r="A20567" s="74">
        <v>25359</v>
      </c>
    </row>
    <row r="20568" spans="1:1" x14ac:dyDescent="0.25">
      <c r="A20568" s="74">
        <v>25360</v>
      </c>
    </row>
    <row r="20569" spans="1:1" x14ac:dyDescent="0.25">
      <c r="A20569" s="74">
        <v>25361</v>
      </c>
    </row>
    <row r="20570" spans="1:1" x14ac:dyDescent="0.25">
      <c r="A20570" s="74">
        <v>25362</v>
      </c>
    </row>
    <row r="20571" spans="1:1" x14ac:dyDescent="0.25">
      <c r="A20571" s="74">
        <v>25363</v>
      </c>
    </row>
    <row r="20572" spans="1:1" x14ac:dyDescent="0.25">
      <c r="A20572" s="74">
        <v>25364</v>
      </c>
    </row>
    <row r="20573" spans="1:1" x14ac:dyDescent="0.25">
      <c r="A20573" s="74">
        <v>25365</v>
      </c>
    </row>
    <row r="20574" spans="1:1" x14ac:dyDescent="0.25">
      <c r="A20574" s="74">
        <v>25366</v>
      </c>
    </row>
    <row r="20575" spans="1:1" x14ac:dyDescent="0.25">
      <c r="A20575" s="74">
        <v>25367</v>
      </c>
    </row>
    <row r="20576" spans="1:1" x14ac:dyDescent="0.25">
      <c r="A20576" s="74">
        <v>25368</v>
      </c>
    </row>
    <row r="20577" spans="1:1" x14ac:dyDescent="0.25">
      <c r="A20577" s="74">
        <v>25369</v>
      </c>
    </row>
    <row r="20578" spans="1:1" x14ac:dyDescent="0.25">
      <c r="A20578" s="74">
        <v>25370</v>
      </c>
    </row>
    <row r="20579" spans="1:1" x14ac:dyDescent="0.25">
      <c r="A20579" s="74">
        <v>25371</v>
      </c>
    </row>
    <row r="20580" spans="1:1" x14ac:dyDescent="0.25">
      <c r="A20580" s="74">
        <v>25372</v>
      </c>
    </row>
    <row r="20581" spans="1:1" x14ac:dyDescent="0.25">
      <c r="A20581" s="74">
        <v>25373</v>
      </c>
    </row>
    <row r="20582" spans="1:1" x14ac:dyDescent="0.25">
      <c r="A20582" s="74">
        <v>25374</v>
      </c>
    </row>
    <row r="20583" spans="1:1" x14ac:dyDescent="0.25">
      <c r="A20583" s="74">
        <v>25375</v>
      </c>
    </row>
    <row r="20584" spans="1:1" x14ac:dyDescent="0.25">
      <c r="A20584" s="74">
        <v>25376</v>
      </c>
    </row>
    <row r="20585" spans="1:1" x14ac:dyDescent="0.25">
      <c r="A20585" s="74">
        <v>25377</v>
      </c>
    </row>
    <row r="20586" spans="1:1" x14ac:dyDescent="0.25">
      <c r="A20586" s="74">
        <v>25378</v>
      </c>
    </row>
    <row r="20587" spans="1:1" x14ac:dyDescent="0.25">
      <c r="A20587" s="74">
        <v>25379</v>
      </c>
    </row>
    <row r="20588" spans="1:1" x14ac:dyDescent="0.25">
      <c r="A20588" s="74">
        <v>25380</v>
      </c>
    </row>
    <row r="20589" spans="1:1" x14ac:dyDescent="0.25">
      <c r="A20589" s="74">
        <v>25381</v>
      </c>
    </row>
    <row r="20590" spans="1:1" x14ac:dyDescent="0.25">
      <c r="A20590" s="74">
        <v>25382</v>
      </c>
    </row>
    <row r="20591" spans="1:1" x14ac:dyDescent="0.25">
      <c r="A20591" s="74">
        <v>25383</v>
      </c>
    </row>
    <row r="20592" spans="1:1" x14ac:dyDescent="0.25">
      <c r="A20592" s="74">
        <v>25384</v>
      </c>
    </row>
    <row r="20593" spans="1:1" x14ac:dyDescent="0.25">
      <c r="A20593" s="74">
        <v>25385</v>
      </c>
    </row>
    <row r="20594" spans="1:1" x14ac:dyDescent="0.25">
      <c r="A20594" s="74">
        <v>25386</v>
      </c>
    </row>
    <row r="20595" spans="1:1" x14ac:dyDescent="0.25">
      <c r="A20595" s="74">
        <v>25387</v>
      </c>
    </row>
    <row r="20596" spans="1:1" x14ac:dyDescent="0.25">
      <c r="A20596" s="74">
        <v>25388</v>
      </c>
    </row>
    <row r="20597" spans="1:1" x14ac:dyDescent="0.25">
      <c r="A20597" s="74">
        <v>25389</v>
      </c>
    </row>
    <row r="20598" spans="1:1" x14ac:dyDescent="0.25">
      <c r="A20598" s="74">
        <v>25390</v>
      </c>
    </row>
    <row r="20599" spans="1:1" x14ac:dyDescent="0.25">
      <c r="A20599" s="74">
        <v>25391</v>
      </c>
    </row>
    <row r="20600" spans="1:1" x14ac:dyDescent="0.25">
      <c r="A20600" s="74">
        <v>25392</v>
      </c>
    </row>
    <row r="20601" spans="1:1" x14ac:dyDescent="0.25">
      <c r="A20601" s="74">
        <v>25393</v>
      </c>
    </row>
    <row r="20602" spans="1:1" x14ac:dyDescent="0.25">
      <c r="A20602" s="74">
        <v>25394</v>
      </c>
    </row>
    <row r="20603" spans="1:1" x14ac:dyDescent="0.25">
      <c r="A20603" s="74">
        <v>25395</v>
      </c>
    </row>
    <row r="20604" spans="1:1" x14ac:dyDescent="0.25">
      <c r="A20604" s="74">
        <v>25396</v>
      </c>
    </row>
    <row r="20605" spans="1:1" x14ac:dyDescent="0.25">
      <c r="A20605" s="74">
        <v>25397</v>
      </c>
    </row>
    <row r="20606" spans="1:1" x14ac:dyDescent="0.25">
      <c r="A20606" s="74">
        <v>25398</v>
      </c>
    </row>
    <row r="20607" spans="1:1" x14ac:dyDescent="0.25">
      <c r="A20607" s="74">
        <v>25399</v>
      </c>
    </row>
    <row r="20608" spans="1:1" x14ac:dyDescent="0.25">
      <c r="A20608" s="74">
        <v>25400</v>
      </c>
    </row>
    <row r="20609" spans="1:1" x14ac:dyDescent="0.25">
      <c r="A20609" s="74">
        <v>25401</v>
      </c>
    </row>
    <row r="20610" spans="1:1" x14ac:dyDescent="0.25">
      <c r="A20610" s="74">
        <v>25402</v>
      </c>
    </row>
    <row r="20611" spans="1:1" x14ac:dyDescent="0.25">
      <c r="A20611" s="74">
        <v>25403</v>
      </c>
    </row>
    <row r="20612" spans="1:1" x14ac:dyDescent="0.25">
      <c r="A20612" s="74">
        <v>25404</v>
      </c>
    </row>
    <row r="20613" spans="1:1" x14ac:dyDescent="0.25">
      <c r="A20613" s="74">
        <v>25405</v>
      </c>
    </row>
    <row r="20614" spans="1:1" x14ac:dyDescent="0.25">
      <c r="A20614" s="74">
        <v>25406</v>
      </c>
    </row>
    <row r="20615" spans="1:1" x14ac:dyDescent="0.25">
      <c r="A20615" s="74">
        <v>25407</v>
      </c>
    </row>
    <row r="20616" spans="1:1" x14ac:dyDescent="0.25">
      <c r="A20616" s="74">
        <v>25408</v>
      </c>
    </row>
    <row r="20617" spans="1:1" x14ac:dyDescent="0.25">
      <c r="A20617" s="74">
        <v>25409</v>
      </c>
    </row>
    <row r="20618" spans="1:1" x14ac:dyDescent="0.25">
      <c r="A20618" s="74">
        <v>25410</v>
      </c>
    </row>
    <row r="20619" spans="1:1" x14ac:dyDescent="0.25">
      <c r="A20619" s="74">
        <v>25411</v>
      </c>
    </row>
    <row r="20620" spans="1:1" x14ac:dyDescent="0.25">
      <c r="A20620" s="74">
        <v>25412</v>
      </c>
    </row>
    <row r="20621" spans="1:1" x14ac:dyDescent="0.25">
      <c r="A20621" s="74">
        <v>25413</v>
      </c>
    </row>
    <row r="20622" spans="1:1" x14ac:dyDescent="0.25">
      <c r="A20622" s="74">
        <v>25414</v>
      </c>
    </row>
    <row r="20623" spans="1:1" x14ac:dyDescent="0.25">
      <c r="A20623" s="74">
        <v>25415</v>
      </c>
    </row>
    <row r="20624" spans="1:1" x14ac:dyDescent="0.25">
      <c r="A20624" s="74">
        <v>25416</v>
      </c>
    </row>
    <row r="20625" spans="1:1" x14ac:dyDescent="0.25">
      <c r="A20625" s="74">
        <v>25417</v>
      </c>
    </row>
    <row r="20626" spans="1:1" x14ac:dyDescent="0.25">
      <c r="A20626" s="74">
        <v>25418</v>
      </c>
    </row>
    <row r="20627" spans="1:1" x14ac:dyDescent="0.25">
      <c r="A20627" s="74">
        <v>25419</v>
      </c>
    </row>
    <row r="20628" spans="1:1" x14ac:dyDescent="0.25">
      <c r="A20628" s="74">
        <v>25420</v>
      </c>
    </row>
    <row r="20629" spans="1:1" x14ac:dyDescent="0.25">
      <c r="A20629" s="74">
        <v>25421</v>
      </c>
    </row>
    <row r="20630" spans="1:1" x14ac:dyDescent="0.25">
      <c r="A20630" s="74">
        <v>25422</v>
      </c>
    </row>
    <row r="20631" spans="1:1" x14ac:dyDescent="0.25">
      <c r="A20631" s="74">
        <v>25423</v>
      </c>
    </row>
    <row r="20632" spans="1:1" x14ac:dyDescent="0.25">
      <c r="A20632" s="74">
        <v>25424</v>
      </c>
    </row>
    <row r="20633" spans="1:1" x14ac:dyDescent="0.25">
      <c r="A20633" s="74">
        <v>25425</v>
      </c>
    </row>
    <row r="20634" spans="1:1" x14ac:dyDescent="0.25">
      <c r="A20634" s="74">
        <v>25426</v>
      </c>
    </row>
    <row r="20635" spans="1:1" x14ac:dyDescent="0.25">
      <c r="A20635" s="74">
        <v>25427</v>
      </c>
    </row>
    <row r="20636" spans="1:1" x14ac:dyDescent="0.25">
      <c r="A20636" s="74">
        <v>25428</v>
      </c>
    </row>
    <row r="20637" spans="1:1" x14ac:dyDescent="0.25">
      <c r="A20637" s="74">
        <v>25429</v>
      </c>
    </row>
    <row r="20638" spans="1:1" x14ac:dyDescent="0.25">
      <c r="A20638" s="74">
        <v>25430</v>
      </c>
    </row>
    <row r="20639" spans="1:1" x14ac:dyDescent="0.25">
      <c r="A20639" s="74">
        <v>25431</v>
      </c>
    </row>
    <row r="20640" spans="1:1" x14ac:dyDescent="0.25">
      <c r="A20640" s="74">
        <v>25432</v>
      </c>
    </row>
    <row r="20641" spans="1:1" x14ac:dyDescent="0.25">
      <c r="A20641" s="74">
        <v>25433</v>
      </c>
    </row>
    <row r="20642" spans="1:1" x14ac:dyDescent="0.25">
      <c r="A20642" s="74">
        <v>25434</v>
      </c>
    </row>
    <row r="20643" spans="1:1" x14ac:dyDescent="0.25">
      <c r="A20643" s="74">
        <v>25435</v>
      </c>
    </row>
    <row r="20644" spans="1:1" x14ac:dyDescent="0.25">
      <c r="A20644" s="74">
        <v>25436</v>
      </c>
    </row>
    <row r="20645" spans="1:1" x14ac:dyDescent="0.25">
      <c r="A20645" s="74">
        <v>25437</v>
      </c>
    </row>
    <row r="20646" spans="1:1" x14ac:dyDescent="0.25">
      <c r="A20646" s="74">
        <v>25438</v>
      </c>
    </row>
    <row r="20647" spans="1:1" x14ac:dyDescent="0.25">
      <c r="A20647" s="74">
        <v>25439</v>
      </c>
    </row>
    <row r="20648" spans="1:1" x14ac:dyDescent="0.25">
      <c r="A20648" s="74">
        <v>25440</v>
      </c>
    </row>
    <row r="20649" spans="1:1" x14ac:dyDescent="0.25">
      <c r="A20649" s="74">
        <v>25441</v>
      </c>
    </row>
    <row r="20650" spans="1:1" x14ac:dyDescent="0.25">
      <c r="A20650" s="74">
        <v>25442</v>
      </c>
    </row>
    <row r="20651" spans="1:1" x14ac:dyDescent="0.25">
      <c r="A20651" s="74">
        <v>25443</v>
      </c>
    </row>
    <row r="20652" spans="1:1" x14ac:dyDescent="0.25">
      <c r="A20652" s="74">
        <v>25444</v>
      </c>
    </row>
    <row r="20653" spans="1:1" x14ac:dyDescent="0.25">
      <c r="A20653" s="74">
        <v>25445</v>
      </c>
    </row>
    <row r="20654" spans="1:1" x14ac:dyDescent="0.25">
      <c r="A20654" s="74">
        <v>25446</v>
      </c>
    </row>
    <row r="20655" spans="1:1" x14ac:dyDescent="0.25">
      <c r="A20655" s="74">
        <v>25447</v>
      </c>
    </row>
    <row r="20656" spans="1:1" x14ac:dyDescent="0.25">
      <c r="A20656" s="74">
        <v>25448</v>
      </c>
    </row>
    <row r="20657" spans="1:1" x14ac:dyDescent="0.25">
      <c r="A20657" s="74">
        <v>25449</v>
      </c>
    </row>
    <row r="20658" spans="1:1" x14ac:dyDescent="0.25">
      <c r="A20658" s="74">
        <v>25450</v>
      </c>
    </row>
    <row r="20659" spans="1:1" x14ac:dyDescent="0.25">
      <c r="A20659" s="74">
        <v>25451</v>
      </c>
    </row>
    <row r="20660" spans="1:1" x14ac:dyDescent="0.25">
      <c r="A20660" s="74">
        <v>25452</v>
      </c>
    </row>
    <row r="20661" spans="1:1" x14ac:dyDescent="0.25">
      <c r="A20661" s="74">
        <v>25453</v>
      </c>
    </row>
    <row r="20662" spans="1:1" x14ac:dyDescent="0.25">
      <c r="A20662" s="74">
        <v>25454</v>
      </c>
    </row>
    <row r="20663" spans="1:1" x14ac:dyDescent="0.25">
      <c r="A20663" s="74">
        <v>25455</v>
      </c>
    </row>
    <row r="20664" spans="1:1" x14ac:dyDescent="0.25">
      <c r="A20664" s="74">
        <v>25456</v>
      </c>
    </row>
    <row r="20665" spans="1:1" x14ac:dyDescent="0.25">
      <c r="A20665" s="74">
        <v>25457</v>
      </c>
    </row>
    <row r="20666" spans="1:1" x14ac:dyDescent="0.25">
      <c r="A20666" s="74">
        <v>25458</v>
      </c>
    </row>
    <row r="20667" spans="1:1" x14ac:dyDescent="0.25">
      <c r="A20667" s="74">
        <v>25459</v>
      </c>
    </row>
    <row r="20668" spans="1:1" x14ac:dyDescent="0.25">
      <c r="A20668" s="74">
        <v>25460</v>
      </c>
    </row>
    <row r="20669" spans="1:1" x14ac:dyDescent="0.25">
      <c r="A20669" s="74">
        <v>25461</v>
      </c>
    </row>
    <row r="20670" spans="1:1" x14ac:dyDescent="0.25">
      <c r="A20670" s="74">
        <v>25462</v>
      </c>
    </row>
    <row r="20671" spans="1:1" x14ac:dyDescent="0.25">
      <c r="A20671" s="74">
        <v>25463</v>
      </c>
    </row>
    <row r="20672" spans="1:1" x14ac:dyDescent="0.25">
      <c r="A20672" s="74">
        <v>25464</v>
      </c>
    </row>
    <row r="20673" spans="1:1" x14ac:dyDescent="0.25">
      <c r="A20673" s="74">
        <v>25465</v>
      </c>
    </row>
    <row r="20674" spans="1:1" x14ac:dyDescent="0.25">
      <c r="A20674" s="74">
        <v>25466</v>
      </c>
    </row>
    <row r="20675" spans="1:1" x14ac:dyDescent="0.25">
      <c r="A20675" s="74">
        <v>25467</v>
      </c>
    </row>
    <row r="20676" spans="1:1" x14ac:dyDescent="0.25">
      <c r="A20676" s="74">
        <v>25468</v>
      </c>
    </row>
    <row r="20677" spans="1:1" x14ac:dyDescent="0.25">
      <c r="A20677" s="74">
        <v>25469</v>
      </c>
    </row>
    <row r="20678" spans="1:1" x14ac:dyDescent="0.25">
      <c r="A20678" s="74">
        <v>25470</v>
      </c>
    </row>
    <row r="20679" spans="1:1" x14ac:dyDescent="0.25">
      <c r="A20679" s="74">
        <v>25471</v>
      </c>
    </row>
    <row r="20680" spans="1:1" x14ac:dyDescent="0.25">
      <c r="A20680" s="74">
        <v>25472</v>
      </c>
    </row>
    <row r="20681" spans="1:1" x14ac:dyDescent="0.25">
      <c r="A20681" s="74">
        <v>25473</v>
      </c>
    </row>
    <row r="20682" spans="1:1" x14ac:dyDescent="0.25">
      <c r="A20682" s="74">
        <v>25474</v>
      </c>
    </row>
    <row r="20683" spans="1:1" x14ac:dyDescent="0.25">
      <c r="A20683" s="74">
        <v>25475</v>
      </c>
    </row>
    <row r="20684" spans="1:1" x14ac:dyDescent="0.25">
      <c r="A20684" s="74">
        <v>25476</v>
      </c>
    </row>
    <row r="20685" spans="1:1" x14ac:dyDescent="0.25">
      <c r="A20685" s="74">
        <v>25477</v>
      </c>
    </row>
    <row r="20686" spans="1:1" x14ac:dyDescent="0.25">
      <c r="A20686" s="74">
        <v>25478</v>
      </c>
    </row>
    <row r="20687" spans="1:1" x14ac:dyDescent="0.25">
      <c r="A20687" s="74">
        <v>25479</v>
      </c>
    </row>
    <row r="20688" spans="1:1" x14ac:dyDescent="0.25">
      <c r="A20688" s="74">
        <v>25480</v>
      </c>
    </row>
    <row r="20689" spans="1:1" x14ac:dyDescent="0.25">
      <c r="A20689" s="74">
        <v>25481</v>
      </c>
    </row>
    <row r="20690" spans="1:1" x14ac:dyDescent="0.25">
      <c r="A20690" s="74">
        <v>25482</v>
      </c>
    </row>
    <row r="20691" spans="1:1" x14ac:dyDescent="0.25">
      <c r="A20691" s="74">
        <v>25483</v>
      </c>
    </row>
    <row r="20692" spans="1:1" x14ac:dyDescent="0.25">
      <c r="A20692" s="74">
        <v>25484</v>
      </c>
    </row>
    <row r="20693" spans="1:1" x14ac:dyDescent="0.25">
      <c r="A20693" s="74">
        <v>25485</v>
      </c>
    </row>
    <row r="20694" spans="1:1" x14ac:dyDescent="0.25">
      <c r="A20694" s="74">
        <v>25486</v>
      </c>
    </row>
    <row r="20695" spans="1:1" x14ac:dyDescent="0.25">
      <c r="A20695" s="74">
        <v>25487</v>
      </c>
    </row>
    <row r="20696" spans="1:1" x14ac:dyDescent="0.25">
      <c r="A20696" s="74">
        <v>25488</v>
      </c>
    </row>
    <row r="20697" spans="1:1" x14ac:dyDescent="0.25">
      <c r="A20697" s="74">
        <v>25489</v>
      </c>
    </row>
    <row r="20698" spans="1:1" x14ac:dyDescent="0.25">
      <c r="A20698" s="74">
        <v>25490</v>
      </c>
    </row>
    <row r="20699" spans="1:1" x14ac:dyDescent="0.25">
      <c r="A20699" s="74">
        <v>25491</v>
      </c>
    </row>
    <row r="20700" spans="1:1" x14ac:dyDescent="0.25">
      <c r="A20700" s="74">
        <v>25492</v>
      </c>
    </row>
    <row r="20701" spans="1:1" x14ac:dyDescent="0.25">
      <c r="A20701" s="74">
        <v>25493</v>
      </c>
    </row>
    <row r="20702" spans="1:1" x14ac:dyDescent="0.25">
      <c r="A20702" s="74">
        <v>25494</v>
      </c>
    </row>
    <row r="20703" spans="1:1" x14ac:dyDescent="0.25">
      <c r="A20703" s="74">
        <v>25495</v>
      </c>
    </row>
    <row r="20704" spans="1:1" x14ac:dyDescent="0.25">
      <c r="A20704" s="74">
        <v>25496</v>
      </c>
    </row>
    <row r="20705" spans="1:1" x14ac:dyDescent="0.25">
      <c r="A20705" s="74">
        <v>25497</v>
      </c>
    </row>
    <row r="20706" spans="1:1" x14ac:dyDescent="0.25">
      <c r="A20706" s="74">
        <v>25498</v>
      </c>
    </row>
    <row r="20707" spans="1:1" x14ac:dyDescent="0.25">
      <c r="A20707" s="74">
        <v>25499</v>
      </c>
    </row>
    <row r="20708" spans="1:1" x14ac:dyDescent="0.25">
      <c r="A20708" s="74">
        <v>25500</v>
      </c>
    </row>
    <row r="20709" spans="1:1" x14ac:dyDescent="0.25">
      <c r="A20709" s="74">
        <v>25501</v>
      </c>
    </row>
    <row r="20710" spans="1:1" x14ac:dyDescent="0.25">
      <c r="A20710" s="74">
        <v>25502</v>
      </c>
    </row>
    <row r="20711" spans="1:1" x14ac:dyDescent="0.25">
      <c r="A20711" s="74">
        <v>25503</v>
      </c>
    </row>
    <row r="20712" spans="1:1" x14ac:dyDescent="0.25">
      <c r="A20712" s="74">
        <v>25504</v>
      </c>
    </row>
    <row r="20713" spans="1:1" x14ac:dyDescent="0.25">
      <c r="A20713" s="74">
        <v>25505</v>
      </c>
    </row>
    <row r="20714" spans="1:1" x14ac:dyDescent="0.25">
      <c r="A20714" s="74">
        <v>25506</v>
      </c>
    </row>
    <row r="20715" spans="1:1" x14ac:dyDescent="0.25">
      <c r="A20715" s="74">
        <v>25507</v>
      </c>
    </row>
    <row r="20716" spans="1:1" x14ac:dyDescent="0.25">
      <c r="A20716" s="74">
        <v>25508</v>
      </c>
    </row>
    <row r="20717" spans="1:1" x14ac:dyDescent="0.25">
      <c r="A20717" s="74">
        <v>25509</v>
      </c>
    </row>
    <row r="20718" spans="1:1" x14ac:dyDescent="0.25">
      <c r="A20718" s="74">
        <v>25510</v>
      </c>
    </row>
    <row r="20719" spans="1:1" x14ac:dyDescent="0.25">
      <c r="A20719" s="74">
        <v>25511</v>
      </c>
    </row>
    <row r="20720" spans="1:1" x14ac:dyDescent="0.25">
      <c r="A20720" s="74">
        <v>25512</v>
      </c>
    </row>
    <row r="20721" spans="1:1" x14ac:dyDescent="0.25">
      <c r="A20721" s="74">
        <v>25513</v>
      </c>
    </row>
    <row r="20722" spans="1:1" x14ac:dyDescent="0.25">
      <c r="A20722" s="74">
        <v>25514</v>
      </c>
    </row>
    <row r="20723" spans="1:1" x14ac:dyDescent="0.25">
      <c r="A20723" s="74">
        <v>25515</v>
      </c>
    </row>
    <row r="20724" spans="1:1" x14ac:dyDescent="0.25">
      <c r="A20724" s="74">
        <v>25516</v>
      </c>
    </row>
    <row r="20725" spans="1:1" x14ac:dyDescent="0.25">
      <c r="A20725" s="74">
        <v>25517</v>
      </c>
    </row>
    <row r="20726" spans="1:1" x14ac:dyDescent="0.25">
      <c r="A20726" s="74">
        <v>25518</v>
      </c>
    </row>
    <row r="20727" spans="1:1" x14ac:dyDescent="0.25">
      <c r="A20727" s="74">
        <v>25519</v>
      </c>
    </row>
    <row r="20728" spans="1:1" x14ac:dyDescent="0.25">
      <c r="A20728" s="74">
        <v>25520</v>
      </c>
    </row>
    <row r="20729" spans="1:1" x14ac:dyDescent="0.25">
      <c r="A20729" s="74">
        <v>25521</v>
      </c>
    </row>
    <row r="20730" spans="1:1" x14ac:dyDescent="0.25">
      <c r="A20730" s="74">
        <v>25522</v>
      </c>
    </row>
    <row r="20731" spans="1:1" x14ac:dyDescent="0.25">
      <c r="A20731" s="74">
        <v>25523</v>
      </c>
    </row>
    <row r="20732" spans="1:1" x14ac:dyDescent="0.25">
      <c r="A20732" s="74">
        <v>25524</v>
      </c>
    </row>
    <row r="20733" spans="1:1" x14ac:dyDescent="0.25">
      <c r="A20733" s="74">
        <v>25525</v>
      </c>
    </row>
    <row r="20734" spans="1:1" x14ac:dyDescent="0.25">
      <c r="A20734" s="74">
        <v>25526</v>
      </c>
    </row>
    <row r="20735" spans="1:1" x14ac:dyDescent="0.25">
      <c r="A20735" s="74">
        <v>25527</v>
      </c>
    </row>
    <row r="20736" spans="1:1" x14ac:dyDescent="0.25">
      <c r="A20736" s="74">
        <v>25528</v>
      </c>
    </row>
    <row r="20737" spans="1:1" x14ac:dyDescent="0.25">
      <c r="A20737" s="74">
        <v>25529</v>
      </c>
    </row>
    <row r="20738" spans="1:1" x14ac:dyDescent="0.25">
      <c r="A20738" s="74">
        <v>25530</v>
      </c>
    </row>
    <row r="20739" spans="1:1" x14ac:dyDescent="0.25">
      <c r="A20739" s="74">
        <v>25531</v>
      </c>
    </row>
    <row r="20740" spans="1:1" x14ac:dyDescent="0.25">
      <c r="A20740" s="74">
        <v>25532</v>
      </c>
    </row>
    <row r="20741" spans="1:1" x14ac:dyDescent="0.25">
      <c r="A20741" s="74">
        <v>25533</v>
      </c>
    </row>
    <row r="20742" spans="1:1" x14ac:dyDescent="0.25">
      <c r="A20742" s="74">
        <v>25534</v>
      </c>
    </row>
    <row r="20743" spans="1:1" x14ac:dyDescent="0.25">
      <c r="A20743" s="74">
        <v>25535</v>
      </c>
    </row>
    <row r="20744" spans="1:1" x14ac:dyDescent="0.25">
      <c r="A20744" s="74">
        <v>25536</v>
      </c>
    </row>
    <row r="20745" spans="1:1" x14ac:dyDescent="0.25">
      <c r="A20745" s="74">
        <v>25537</v>
      </c>
    </row>
    <row r="20746" spans="1:1" x14ac:dyDescent="0.25">
      <c r="A20746" s="74">
        <v>25538</v>
      </c>
    </row>
    <row r="20747" spans="1:1" x14ac:dyDescent="0.25">
      <c r="A20747" s="74">
        <v>25539</v>
      </c>
    </row>
    <row r="20748" spans="1:1" x14ac:dyDescent="0.25">
      <c r="A20748" s="74">
        <v>25540</v>
      </c>
    </row>
    <row r="20749" spans="1:1" x14ac:dyDescent="0.25">
      <c r="A20749" s="74">
        <v>25541</v>
      </c>
    </row>
    <row r="20750" spans="1:1" x14ac:dyDescent="0.25">
      <c r="A20750" s="74">
        <v>25542</v>
      </c>
    </row>
    <row r="20751" spans="1:1" x14ac:dyDescent="0.25">
      <c r="A20751" s="74">
        <v>25543</v>
      </c>
    </row>
    <row r="20752" spans="1:1" x14ac:dyDescent="0.25">
      <c r="A20752" s="74">
        <v>25544</v>
      </c>
    </row>
    <row r="20753" spans="1:1" x14ac:dyDescent="0.25">
      <c r="A20753" s="74">
        <v>25545</v>
      </c>
    </row>
    <row r="20754" spans="1:1" x14ac:dyDescent="0.25">
      <c r="A20754" s="74">
        <v>25546</v>
      </c>
    </row>
    <row r="20755" spans="1:1" x14ac:dyDescent="0.25">
      <c r="A20755" s="74">
        <v>25547</v>
      </c>
    </row>
    <row r="20756" spans="1:1" x14ac:dyDescent="0.25">
      <c r="A20756" s="74">
        <v>25548</v>
      </c>
    </row>
    <row r="20757" spans="1:1" x14ac:dyDescent="0.25">
      <c r="A20757" s="74">
        <v>25549</v>
      </c>
    </row>
    <row r="20758" spans="1:1" x14ac:dyDescent="0.25">
      <c r="A20758" s="74">
        <v>25550</v>
      </c>
    </row>
    <row r="20759" spans="1:1" x14ac:dyDescent="0.25">
      <c r="A20759" s="74">
        <v>25551</v>
      </c>
    </row>
    <row r="20760" spans="1:1" x14ac:dyDescent="0.25">
      <c r="A20760" s="74">
        <v>25552</v>
      </c>
    </row>
    <row r="20761" spans="1:1" x14ac:dyDescent="0.25">
      <c r="A20761" s="74">
        <v>25553</v>
      </c>
    </row>
    <row r="20762" spans="1:1" x14ac:dyDescent="0.25">
      <c r="A20762" s="74">
        <v>25554</v>
      </c>
    </row>
    <row r="20763" spans="1:1" x14ac:dyDescent="0.25">
      <c r="A20763" s="74">
        <v>25555</v>
      </c>
    </row>
    <row r="20764" spans="1:1" x14ac:dyDescent="0.25">
      <c r="A20764" s="74">
        <v>25556</v>
      </c>
    </row>
    <row r="20765" spans="1:1" x14ac:dyDescent="0.25">
      <c r="A20765" s="74">
        <v>25557</v>
      </c>
    </row>
    <row r="20766" spans="1:1" x14ac:dyDescent="0.25">
      <c r="A20766" s="74">
        <v>25558</v>
      </c>
    </row>
    <row r="20767" spans="1:1" x14ac:dyDescent="0.25">
      <c r="A20767" s="74">
        <v>25559</v>
      </c>
    </row>
    <row r="20768" spans="1:1" x14ac:dyDescent="0.25">
      <c r="A20768" s="74">
        <v>25560</v>
      </c>
    </row>
    <row r="20769" spans="1:1" x14ac:dyDescent="0.25">
      <c r="A20769" s="74">
        <v>25561</v>
      </c>
    </row>
    <row r="20770" spans="1:1" x14ac:dyDescent="0.25">
      <c r="A20770" s="74">
        <v>25562</v>
      </c>
    </row>
    <row r="20771" spans="1:1" x14ac:dyDescent="0.25">
      <c r="A20771" s="74">
        <v>25563</v>
      </c>
    </row>
    <row r="20772" spans="1:1" x14ac:dyDescent="0.25">
      <c r="A20772" s="74">
        <v>25564</v>
      </c>
    </row>
    <row r="20773" spans="1:1" x14ac:dyDescent="0.25">
      <c r="A20773" s="74">
        <v>25565</v>
      </c>
    </row>
    <row r="20774" spans="1:1" x14ac:dyDescent="0.25">
      <c r="A20774" s="74">
        <v>25566</v>
      </c>
    </row>
    <row r="20775" spans="1:1" x14ac:dyDescent="0.25">
      <c r="A20775" s="74">
        <v>25567</v>
      </c>
    </row>
    <row r="20776" spans="1:1" x14ac:dyDescent="0.25">
      <c r="A20776" s="74">
        <v>25568</v>
      </c>
    </row>
    <row r="20777" spans="1:1" x14ac:dyDescent="0.25">
      <c r="A20777" s="74">
        <v>25569</v>
      </c>
    </row>
    <row r="20778" spans="1:1" x14ac:dyDescent="0.25">
      <c r="A20778" s="74">
        <v>25570</v>
      </c>
    </row>
    <row r="20779" spans="1:1" x14ac:dyDescent="0.25">
      <c r="A20779" s="74">
        <v>25571</v>
      </c>
    </row>
    <row r="20780" spans="1:1" x14ac:dyDescent="0.25">
      <c r="A20780" s="74">
        <v>25572</v>
      </c>
    </row>
    <row r="20781" spans="1:1" x14ac:dyDescent="0.25">
      <c r="A20781" s="74">
        <v>25573</v>
      </c>
    </row>
    <row r="20782" spans="1:1" x14ac:dyDescent="0.25">
      <c r="A20782" s="74">
        <v>25574</v>
      </c>
    </row>
    <row r="20783" spans="1:1" x14ac:dyDescent="0.25">
      <c r="A20783" s="74">
        <v>25575</v>
      </c>
    </row>
    <row r="20784" spans="1:1" x14ac:dyDescent="0.25">
      <c r="A20784" s="74">
        <v>25576</v>
      </c>
    </row>
    <row r="20785" spans="1:1" x14ac:dyDescent="0.25">
      <c r="A20785" s="74">
        <v>25577</v>
      </c>
    </row>
    <row r="20786" spans="1:1" x14ac:dyDescent="0.25">
      <c r="A20786" s="74">
        <v>25578</v>
      </c>
    </row>
    <row r="20787" spans="1:1" x14ac:dyDescent="0.25">
      <c r="A20787" s="74">
        <v>25579</v>
      </c>
    </row>
    <row r="20788" spans="1:1" x14ac:dyDescent="0.25">
      <c r="A20788" s="74">
        <v>25580</v>
      </c>
    </row>
    <row r="20789" spans="1:1" x14ac:dyDescent="0.25">
      <c r="A20789" s="74">
        <v>25581</v>
      </c>
    </row>
    <row r="20790" spans="1:1" x14ac:dyDescent="0.25">
      <c r="A20790" s="74">
        <v>25582</v>
      </c>
    </row>
    <row r="20791" spans="1:1" x14ac:dyDescent="0.25">
      <c r="A20791" s="74">
        <v>25583</v>
      </c>
    </row>
    <row r="20792" spans="1:1" x14ac:dyDescent="0.25">
      <c r="A20792" s="74">
        <v>25584</v>
      </c>
    </row>
    <row r="20793" spans="1:1" x14ac:dyDescent="0.25">
      <c r="A20793" s="74">
        <v>25585</v>
      </c>
    </row>
    <row r="20794" spans="1:1" x14ac:dyDescent="0.25">
      <c r="A20794" s="74">
        <v>25586</v>
      </c>
    </row>
    <row r="20795" spans="1:1" x14ac:dyDescent="0.25">
      <c r="A20795" s="74">
        <v>25587</v>
      </c>
    </row>
    <row r="20796" spans="1:1" x14ac:dyDescent="0.25">
      <c r="A20796" s="74">
        <v>25588</v>
      </c>
    </row>
    <row r="20797" spans="1:1" x14ac:dyDescent="0.25">
      <c r="A20797" s="74">
        <v>25589</v>
      </c>
    </row>
    <row r="20798" spans="1:1" x14ac:dyDescent="0.25">
      <c r="A20798" s="74">
        <v>25590</v>
      </c>
    </row>
    <row r="20799" spans="1:1" x14ac:dyDescent="0.25">
      <c r="A20799" s="74">
        <v>25591</v>
      </c>
    </row>
    <row r="20800" spans="1:1" x14ac:dyDescent="0.25">
      <c r="A20800" s="74">
        <v>25592</v>
      </c>
    </row>
    <row r="20801" spans="1:1" x14ac:dyDescent="0.25">
      <c r="A20801" s="74">
        <v>25593</v>
      </c>
    </row>
    <row r="20802" spans="1:1" x14ac:dyDescent="0.25">
      <c r="A20802" s="74">
        <v>25594</v>
      </c>
    </row>
    <row r="20803" spans="1:1" x14ac:dyDescent="0.25">
      <c r="A20803" s="74">
        <v>25595</v>
      </c>
    </row>
    <row r="20804" spans="1:1" x14ac:dyDescent="0.25">
      <c r="A20804" s="74">
        <v>25596</v>
      </c>
    </row>
    <row r="20805" spans="1:1" x14ac:dyDescent="0.25">
      <c r="A20805" s="74">
        <v>25597</v>
      </c>
    </row>
    <row r="20806" spans="1:1" x14ac:dyDescent="0.25">
      <c r="A20806" s="74">
        <v>25598</v>
      </c>
    </row>
    <row r="20807" spans="1:1" x14ac:dyDescent="0.25">
      <c r="A20807" s="74">
        <v>25599</v>
      </c>
    </row>
    <row r="20808" spans="1:1" x14ac:dyDescent="0.25">
      <c r="A20808" s="74">
        <v>25600</v>
      </c>
    </row>
    <row r="20809" spans="1:1" x14ac:dyDescent="0.25">
      <c r="A20809" s="74">
        <v>25601</v>
      </c>
    </row>
    <row r="20810" spans="1:1" x14ac:dyDescent="0.25">
      <c r="A20810" s="74">
        <v>25602</v>
      </c>
    </row>
    <row r="20811" spans="1:1" x14ac:dyDescent="0.25">
      <c r="A20811" s="74">
        <v>25603</v>
      </c>
    </row>
    <row r="20812" spans="1:1" x14ac:dyDescent="0.25">
      <c r="A20812" s="74">
        <v>25604</v>
      </c>
    </row>
    <row r="20813" spans="1:1" x14ac:dyDescent="0.25">
      <c r="A20813" s="74">
        <v>25605</v>
      </c>
    </row>
    <row r="20814" spans="1:1" x14ac:dyDescent="0.25">
      <c r="A20814" s="74">
        <v>25606</v>
      </c>
    </row>
    <row r="20815" spans="1:1" x14ac:dyDescent="0.25">
      <c r="A20815" s="74">
        <v>25607</v>
      </c>
    </row>
    <row r="20816" spans="1:1" x14ac:dyDescent="0.25">
      <c r="A20816" s="74">
        <v>25608</v>
      </c>
    </row>
    <row r="20817" spans="1:1" x14ac:dyDescent="0.25">
      <c r="A20817" s="74">
        <v>25609</v>
      </c>
    </row>
    <row r="20818" spans="1:1" x14ac:dyDescent="0.25">
      <c r="A20818" s="74">
        <v>25610</v>
      </c>
    </row>
    <row r="20819" spans="1:1" x14ac:dyDescent="0.25">
      <c r="A20819" s="74">
        <v>25611</v>
      </c>
    </row>
    <row r="20820" spans="1:1" x14ac:dyDescent="0.25">
      <c r="A20820" s="74">
        <v>25612</v>
      </c>
    </row>
    <row r="20821" spans="1:1" x14ac:dyDescent="0.25">
      <c r="A20821" s="74">
        <v>25613</v>
      </c>
    </row>
    <row r="20822" spans="1:1" x14ac:dyDescent="0.25">
      <c r="A20822" s="74">
        <v>25614</v>
      </c>
    </row>
    <row r="20823" spans="1:1" x14ac:dyDescent="0.25">
      <c r="A20823" s="74">
        <v>25615</v>
      </c>
    </row>
    <row r="20824" spans="1:1" x14ac:dyDescent="0.25">
      <c r="A20824" s="74">
        <v>25616</v>
      </c>
    </row>
    <row r="20825" spans="1:1" x14ac:dyDescent="0.25">
      <c r="A20825" s="74">
        <v>25617</v>
      </c>
    </row>
    <row r="20826" spans="1:1" x14ac:dyDescent="0.25">
      <c r="A20826" s="74">
        <v>25618</v>
      </c>
    </row>
    <row r="20827" spans="1:1" x14ac:dyDescent="0.25">
      <c r="A20827" s="74">
        <v>25619</v>
      </c>
    </row>
    <row r="20828" spans="1:1" x14ac:dyDescent="0.25">
      <c r="A20828" s="74">
        <v>25620</v>
      </c>
    </row>
    <row r="20829" spans="1:1" x14ac:dyDescent="0.25">
      <c r="A20829" s="74">
        <v>25621</v>
      </c>
    </row>
    <row r="20830" spans="1:1" x14ac:dyDescent="0.25">
      <c r="A20830" s="74">
        <v>25622</v>
      </c>
    </row>
    <row r="20831" spans="1:1" x14ac:dyDescent="0.25">
      <c r="A20831" s="74">
        <v>25623</v>
      </c>
    </row>
    <row r="20832" spans="1:1" x14ac:dyDescent="0.25">
      <c r="A20832" s="74">
        <v>25624</v>
      </c>
    </row>
    <row r="20833" spans="1:1" x14ac:dyDescent="0.25">
      <c r="A20833" s="74">
        <v>25625</v>
      </c>
    </row>
    <row r="20834" spans="1:1" x14ac:dyDescent="0.25">
      <c r="A20834" s="74">
        <v>25626</v>
      </c>
    </row>
    <row r="20835" spans="1:1" x14ac:dyDescent="0.25">
      <c r="A20835" s="74">
        <v>25627</v>
      </c>
    </row>
    <row r="20836" spans="1:1" x14ac:dyDescent="0.25">
      <c r="A20836" s="74">
        <v>25628</v>
      </c>
    </row>
    <row r="20837" spans="1:1" x14ac:dyDescent="0.25">
      <c r="A20837" s="74">
        <v>25629</v>
      </c>
    </row>
    <row r="20838" spans="1:1" x14ac:dyDescent="0.25">
      <c r="A20838" s="74">
        <v>25630</v>
      </c>
    </row>
    <row r="20839" spans="1:1" x14ac:dyDescent="0.25">
      <c r="A20839" s="74">
        <v>25631</v>
      </c>
    </row>
    <row r="20840" spans="1:1" x14ac:dyDescent="0.25">
      <c r="A20840" s="74">
        <v>25632</v>
      </c>
    </row>
    <row r="20841" spans="1:1" x14ac:dyDescent="0.25">
      <c r="A20841" s="74">
        <v>25633</v>
      </c>
    </row>
    <row r="20842" spans="1:1" x14ac:dyDescent="0.25">
      <c r="A20842" s="74">
        <v>25634</v>
      </c>
    </row>
    <row r="20843" spans="1:1" x14ac:dyDescent="0.25">
      <c r="A20843" s="74">
        <v>25635</v>
      </c>
    </row>
    <row r="20844" spans="1:1" x14ac:dyDescent="0.25">
      <c r="A20844" s="74">
        <v>25636</v>
      </c>
    </row>
    <row r="20845" spans="1:1" x14ac:dyDescent="0.25">
      <c r="A20845" s="74">
        <v>25637</v>
      </c>
    </row>
    <row r="20846" spans="1:1" x14ac:dyDescent="0.25">
      <c r="A20846" s="74">
        <v>25638</v>
      </c>
    </row>
    <row r="20847" spans="1:1" x14ac:dyDescent="0.25">
      <c r="A20847" s="74">
        <v>25639</v>
      </c>
    </row>
    <row r="20848" spans="1:1" x14ac:dyDescent="0.25">
      <c r="A20848" s="74">
        <v>25640</v>
      </c>
    </row>
    <row r="20849" spans="1:1" x14ac:dyDescent="0.25">
      <c r="A20849" s="74">
        <v>25641</v>
      </c>
    </row>
    <row r="20850" spans="1:1" x14ac:dyDescent="0.25">
      <c r="A20850" s="74">
        <v>25642</v>
      </c>
    </row>
    <row r="20851" spans="1:1" x14ac:dyDescent="0.25">
      <c r="A20851" s="74">
        <v>25643</v>
      </c>
    </row>
    <row r="20852" spans="1:1" x14ac:dyDescent="0.25">
      <c r="A20852" s="74">
        <v>25644</v>
      </c>
    </row>
    <row r="20853" spans="1:1" x14ac:dyDescent="0.25">
      <c r="A20853" s="74">
        <v>25645</v>
      </c>
    </row>
    <row r="20854" spans="1:1" x14ac:dyDescent="0.25">
      <c r="A20854" s="74">
        <v>25646</v>
      </c>
    </row>
    <row r="20855" spans="1:1" x14ac:dyDescent="0.25">
      <c r="A20855" s="74">
        <v>25647</v>
      </c>
    </row>
    <row r="20856" spans="1:1" x14ac:dyDescent="0.25">
      <c r="A20856" s="74">
        <v>25648</v>
      </c>
    </row>
    <row r="20857" spans="1:1" x14ac:dyDescent="0.25">
      <c r="A20857" s="74">
        <v>25649</v>
      </c>
    </row>
    <row r="20858" spans="1:1" x14ac:dyDescent="0.25">
      <c r="A20858" s="74">
        <v>25650</v>
      </c>
    </row>
    <row r="20859" spans="1:1" x14ac:dyDescent="0.25">
      <c r="A20859" s="74">
        <v>25651</v>
      </c>
    </row>
    <row r="20860" spans="1:1" x14ac:dyDescent="0.25">
      <c r="A20860" s="74">
        <v>25652</v>
      </c>
    </row>
    <row r="20861" spans="1:1" x14ac:dyDescent="0.25">
      <c r="A20861" s="74">
        <v>25653</v>
      </c>
    </row>
    <row r="20862" spans="1:1" x14ac:dyDescent="0.25">
      <c r="A20862" s="74">
        <v>25654</v>
      </c>
    </row>
    <row r="20863" spans="1:1" x14ac:dyDescent="0.25">
      <c r="A20863" s="74">
        <v>25655</v>
      </c>
    </row>
    <row r="20864" spans="1:1" x14ac:dyDescent="0.25">
      <c r="A20864" s="74">
        <v>25656</v>
      </c>
    </row>
    <row r="20865" spans="1:3" x14ac:dyDescent="0.25">
      <c r="A20865" s="74">
        <v>25657</v>
      </c>
    </row>
    <row r="20866" spans="1:3" x14ac:dyDescent="0.25">
      <c r="A20866" s="74">
        <v>25658</v>
      </c>
    </row>
    <row r="20867" spans="1:3" x14ac:dyDescent="0.25">
      <c r="A20867" s="74">
        <v>25659</v>
      </c>
    </row>
    <row r="20868" spans="1:3" x14ac:dyDescent="0.25">
      <c r="A20868" s="74">
        <v>25660</v>
      </c>
    </row>
    <row r="20869" spans="1:3" x14ac:dyDescent="0.25">
      <c r="A20869" s="74">
        <v>25661</v>
      </c>
    </row>
    <row r="20870" spans="1:3" x14ac:dyDescent="0.25">
      <c r="A20870" s="74">
        <v>25662</v>
      </c>
    </row>
    <row r="20871" spans="1:3" x14ac:dyDescent="0.25">
      <c r="A20871" s="74">
        <v>25663</v>
      </c>
    </row>
    <row r="20872" spans="1:3" x14ac:dyDescent="0.25">
      <c r="A20872" s="74">
        <v>25664</v>
      </c>
    </row>
    <row r="20873" spans="1:3" x14ac:dyDescent="0.25">
      <c r="A20873" s="74">
        <v>25665</v>
      </c>
    </row>
    <row r="20874" spans="1:3" x14ac:dyDescent="0.25">
      <c r="A20874" s="74">
        <v>25666</v>
      </c>
    </row>
    <row r="20875" spans="1:3" x14ac:dyDescent="0.25">
      <c r="A20875" s="74">
        <v>25667</v>
      </c>
    </row>
    <row r="20876" spans="1:3" x14ac:dyDescent="0.25">
      <c r="A20876" s="74">
        <v>25668</v>
      </c>
      <c r="B20876">
        <v>80.099999999999994</v>
      </c>
      <c r="C20876" t="s">
        <v>141</v>
      </c>
    </row>
    <row r="20877" spans="1:3" x14ac:dyDescent="0.25">
      <c r="A20877" s="74">
        <v>25669</v>
      </c>
      <c r="B20877">
        <v>49.3</v>
      </c>
      <c r="C20877" t="s">
        <v>141</v>
      </c>
    </row>
    <row r="20878" spans="1:3" x14ac:dyDescent="0.25">
      <c r="A20878" s="74">
        <v>25670</v>
      </c>
      <c r="B20878">
        <v>33.4</v>
      </c>
      <c r="C20878" t="s">
        <v>141</v>
      </c>
    </row>
    <row r="20879" spans="1:3" x14ac:dyDescent="0.25">
      <c r="A20879" s="74">
        <v>25671</v>
      </c>
      <c r="B20879">
        <v>23.5</v>
      </c>
      <c r="C20879" t="s">
        <v>141</v>
      </c>
    </row>
    <row r="20880" spans="1:3" x14ac:dyDescent="0.25">
      <c r="A20880" s="74">
        <v>25672</v>
      </c>
      <c r="B20880">
        <v>17.5</v>
      </c>
      <c r="C20880" t="s">
        <v>141</v>
      </c>
    </row>
    <row r="20881" spans="1:3" x14ac:dyDescent="0.25">
      <c r="A20881" s="74">
        <v>25673</v>
      </c>
      <c r="B20881">
        <v>13</v>
      </c>
      <c r="C20881" t="s">
        <v>141</v>
      </c>
    </row>
    <row r="20882" spans="1:3" x14ac:dyDescent="0.25">
      <c r="A20882" s="74">
        <v>25674</v>
      </c>
      <c r="B20882">
        <v>13.7</v>
      </c>
      <c r="C20882" t="s">
        <v>141</v>
      </c>
    </row>
    <row r="20883" spans="1:3" x14ac:dyDescent="0.25">
      <c r="A20883" s="74">
        <v>25675</v>
      </c>
      <c r="B20883">
        <v>10.199999999999999</v>
      </c>
    </row>
    <row r="20884" spans="1:3" x14ac:dyDescent="0.25">
      <c r="A20884" s="74">
        <v>25676</v>
      </c>
      <c r="B20884">
        <v>9.0299999999999994</v>
      </c>
    </row>
    <row r="20885" spans="1:3" x14ac:dyDescent="0.25">
      <c r="A20885" s="74">
        <v>25677</v>
      </c>
      <c r="B20885">
        <v>9.7100000000000009</v>
      </c>
    </row>
    <row r="20886" spans="1:3" x14ac:dyDescent="0.25">
      <c r="A20886" s="74">
        <v>25678</v>
      </c>
      <c r="B20886">
        <v>11.3</v>
      </c>
    </row>
    <row r="20887" spans="1:3" x14ac:dyDescent="0.25">
      <c r="A20887" s="74">
        <v>25679</v>
      </c>
      <c r="B20887">
        <v>10.4</v>
      </c>
    </row>
    <row r="20888" spans="1:3" x14ac:dyDescent="0.25">
      <c r="A20888" s="74">
        <v>25680</v>
      </c>
      <c r="B20888">
        <v>9.0299999999999994</v>
      </c>
    </row>
    <row r="20889" spans="1:3" x14ac:dyDescent="0.25">
      <c r="A20889" s="74">
        <v>25681</v>
      </c>
      <c r="B20889">
        <v>8.4700000000000006</v>
      </c>
    </row>
    <row r="20890" spans="1:3" x14ac:dyDescent="0.25">
      <c r="A20890" s="74">
        <v>25682</v>
      </c>
      <c r="B20890">
        <v>12</v>
      </c>
      <c r="C20890" t="s">
        <v>141</v>
      </c>
    </row>
    <row r="20891" spans="1:3" x14ac:dyDescent="0.25">
      <c r="A20891" s="74">
        <v>25683</v>
      </c>
      <c r="B20891">
        <v>13</v>
      </c>
      <c r="C20891" t="s">
        <v>141</v>
      </c>
    </row>
    <row r="20892" spans="1:3" x14ac:dyDescent="0.25">
      <c r="A20892" s="74">
        <v>25684</v>
      </c>
      <c r="B20892">
        <v>11.6</v>
      </c>
      <c r="C20892" t="s">
        <v>141</v>
      </c>
    </row>
    <row r="20893" spans="1:3" x14ac:dyDescent="0.25">
      <c r="A20893" s="74">
        <v>25685</v>
      </c>
      <c r="B20893">
        <v>11.8</v>
      </c>
      <c r="C20893" t="s">
        <v>141</v>
      </c>
    </row>
    <row r="20894" spans="1:3" x14ac:dyDescent="0.25">
      <c r="A20894" s="74">
        <v>25686</v>
      </c>
      <c r="B20894">
        <v>10.199999999999999</v>
      </c>
    </row>
    <row r="20895" spans="1:3" x14ac:dyDescent="0.25">
      <c r="A20895" s="74">
        <v>25687</v>
      </c>
      <c r="B20895">
        <v>9.49</v>
      </c>
    </row>
    <row r="20896" spans="1:3" x14ac:dyDescent="0.25">
      <c r="A20896" s="74">
        <v>25688</v>
      </c>
      <c r="B20896">
        <v>9.26</v>
      </c>
    </row>
    <row r="20897" spans="1:3" x14ac:dyDescent="0.25">
      <c r="A20897" s="74">
        <v>25689</v>
      </c>
      <c r="B20897">
        <v>9.0299999999999994</v>
      </c>
    </row>
    <row r="20898" spans="1:3" x14ac:dyDescent="0.25">
      <c r="A20898" s="74">
        <v>25690</v>
      </c>
      <c r="B20898">
        <v>9.26</v>
      </c>
    </row>
    <row r="20899" spans="1:3" x14ac:dyDescent="0.25">
      <c r="A20899" s="74">
        <v>25691</v>
      </c>
      <c r="B20899">
        <v>10.4</v>
      </c>
    </row>
    <row r="20900" spans="1:3" x14ac:dyDescent="0.25">
      <c r="A20900" s="74">
        <v>25692</v>
      </c>
      <c r="B20900">
        <v>14.3</v>
      </c>
      <c r="C20900" t="s">
        <v>141</v>
      </c>
    </row>
    <row r="20901" spans="1:3" x14ac:dyDescent="0.25">
      <c r="A20901" s="74">
        <v>25693</v>
      </c>
      <c r="B20901">
        <v>16</v>
      </c>
      <c r="C20901" t="s">
        <v>141</v>
      </c>
    </row>
    <row r="20902" spans="1:3" x14ac:dyDescent="0.25">
      <c r="A20902" s="74">
        <v>25694</v>
      </c>
      <c r="B20902">
        <v>12</v>
      </c>
      <c r="C20902" t="s">
        <v>141</v>
      </c>
    </row>
    <row r="20903" spans="1:3" x14ac:dyDescent="0.25">
      <c r="A20903" s="74">
        <v>25695</v>
      </c>
      <c r="B20903">
        <v>9.94</v>
      </c>
    </row>
    <row r="20904" spans="1:3" x14ac:dyDescent="0.25">
      <c r="A20904" s="74">
        <v>25696</v>
      </c>
      <c r="B20904">
        <v>7.9</v>
      </c>
    </row>
    <row r="20905" spans="1:3" x14ac:dyDescent="0.25">
      <c r="A20905" s="74">
        <v>25697</v>
      </c>
      <c r="B20905">
        <v>12.3</v>
      </c>
      <c r="C20905" t="s">
        <v>141</v>
      </c>
    </row>
    <row r="20906" spans="1:3" x14ac:dyDescent="0.25">
      <c r="A20906" s="74">
        <v>25698</v>
      </c>
      <c r="B20906">
        <v>9.7100000000000009</v>
      </c>
    </row>
    <row r="20907" spans="1:3" x14ac:dyDescent="0.25">
      <c r="A20907" s="74">
        <v>25699</v>
      </c>
      <c r="B20907">
        <v>8.27</v>
      </c>
    </row>
    <row r="20908" spans="1:3" x14ac:dyDescent="0.25">
      <c r="A20908" s="74">
        <v>25700</v>
      </c>
      <c r="B20908">
        <v>7.14</v>
      </c>
    </row>
    <row r="20909" spans="1:3" x14ac:dyDescent="0.25">
      <c r="A20909" s="74">
        <v>25701</v>
      </c>
      <c r="B20909">
        <v>6.68</v>
      </c>
    </row>
    <row r="20910" spans="1:3" x14ac:dyDescent="0.25">
      <c r="A20910" s="74">
        <v>25702</v>
      </c>
      <c r="B20910">
        <v>6.09</v>
      </c>
    </row>
    <row r="20911" spans="1:3" x14ac:dyDescent="0.25">
      <c r="A20911" s="74">
        <v>25703</v>
      </c>
      <c r="B20911">
        <v>7.14</v>
      </c>
    </row>
    <row r="20912" spans="1:3" x14ac:dyDescent="0.25">
      <c r="A20912" s="74">
        <v>25704</v>
      </c>
      <c r="B20912">
        <v>19.100000000000001</v>
      </c>
      <c r="C20912" t="s">
        <v>141</v>
      </c>
    </row>
    <row r="20913" spans="1:3" x14ac:dyDescent="0.25">
      <c r="A20913" s="74">
        <v>25705</v>
      </c>
      <c r="B20913">
        <v>20.7</v>
      </c>
      <c r="C20913" t="s">
        <v>141</v>
      </c>
    </row>
    <row r="20914" spans="1:3" x14ac:dyDescent="0.25">
      <c r="A20914" s="74">
        <v>25706</v>
      </c>
      <c r="B20914">
        <v>12.8</v>
      </c>
      <c r="C20914" t="s">
        <v>141</v>
      </c>
    </row>
    <row r="20915" spans="1:3" x14ac:dyDescent="0.25">
      <c r="A20915" s="74">
        <v>25707</v>
      </c>
      <c r="B20915">
        <v>9.7100000000000009</v>
      </c>
    </row>
    <row r="20916" spans="1:3" x14ac:dyDescent="0.25">
      <c r="A20916" s="74">
        <v>25708</v>
      </c>
      <c r="B20916">
        <v>9.49</v>
      </c>
    </row>
    <row r="20917" spans="1:3" x14ac:dyDescent="0.25">
      <c r="A20917" s="74">
        <v>25709</v>
      </c>
      <c r="B20917">
        <v>9.26</v>
      </c>
    </row>
    <row r="20918" spans="1:3" x14ac:dyDescent="0.25">
      <c r="A20918" s="74">
        <v>25710</v>
      </c>
      <c r="B20918">
        <v>9.94</v>
      </c>
    </row>
    <row r="20919" spans="1:3" x14ac:dyDescent="0.25">
      <c r="A20919" s="74">
        <v>25711</v>
      </c>
      <c r="B20919">
        <v>11.3</v>
      </c>
    </row>
    <row r="20920" spans="1:3" x14ac:dyDescent="0.25">
      <c r="A20920" s="74">
        <v>25712</v>
      </c>
      <c r="B20920">
        <v>11.6</v>
      </c>
      <c r="C20920" t="s">
        <v>141</v>
      </c>
    </row>
    <row r="20921" spans="1:3" x14ac:dyDescent="0.25">
      <c r="A20921" s="74">
        <v>25713</v>
      </c>
      <c r="B20921">
        <v>14.6</v>
      </c>
      <c r="C20921" t="s">
        <v>141</v>
      </c>
    </row>
    <row r="20922" spans="1:3" x14ac:dyDescent="0.25">
      <c r="A20922" s="74">
        <v>25714</v>
      </c>
      <c r="B20922">
        <v>18.5</v>
      </c>
      <c r="C20922" t="s">
        <v>141</v>
      </c>
    </row>
    <row r="20923" spans="1:3" x14ac:dyDescent="0.25">
      <c r="A20923" s="74">
        <v>25715</v>
      </c>
      <c r="B20923">
        <v>10.4</v>
      </c>
    </row>
    <row r="20924" spans="1:3" x14ac:dyDescent="0.25">
      <c r="A20924" s="74">
        <v>25716</v>
      </c>
      <c r="B20924">
        <v>8.4700000000000006</v>
      </c>
    </row>
    <row r="20925" spans="1:3" x14ac:dyDescent="0.25">
      <c r="A20925" s="74">
        <v>25717</v>
      </c>
      <c r="B20925">
        <v>6.82</v>
      </c>
    </row>
    <row r="20926" spans="1:3" x14ac:dyDescent="0.25">
      <c r="A20926" s="74">
        <v>25718</v>
      </c>
      <c r="B20926">
        <v>8.83</v>
      </c>
    </row>
    <row r="20927" spans="1:3" x14ac:dyDescent="0.25">
      <c r="A20927" s="74">
        <v>25719</v>
      </c>
      <c r="B20927">
        <v>7.7</v>
      </c>
    </row>
    <row r="20928" spans="1:3" x14ac:dyDescent="0.25">
      <c r="A20928" s="74">
        <v>25720</v>
      </c>
      <c r="B20928">
        <v>12</v>
      </c>
      <c r="C20928" t="s">
        <v>141</v>
      </c>
    </row>
    <row r="20929" spans="1:3" x14ac:dyDescent="0.25">
      <c r="A20929" s="74">
        <v>25721</v>
      </c>
      <c r="B20929">
        <v>17.2</v>
      </c>
      <c r="C20929" t="s">
        <v>141</v>
      </c>
    </row>
    <row r="20930" spans="1:3" x14ac:dyDescent="0.25">
      <c r="A20930" s="74">
        <v>25722</v>
      </c>
      <c r="B20930">
        <v>18.5</v>
      </c>
      <c r="C20930" t="s">
        <v>141</v>
      </c>
    </row>
    <row r="20931" spans="1:3" x14ac:dyDescent="0.25">
      <c r="A20931" s="74">
        <v>25723</v>
      </c>
      <c r="B20931">
        <v>16</v>
      </c>
      <c r="C20931" t="s">
        <v>141</v>
      </c>
    </row>
    <row r="20932" spans="1:3" x14ac:dyDescent="0.25">
      <c r="A20932" s="74">
        <v>25724</v>
      </c>
      <c r="B20932">
        <v>10.6</v>
      </c>
    </row>
    <row r="20933" spans="1:3" x14ac:dyDescent="0.25">
      <c r="A20933" s="74">
        <v>25725</v>
      </c>
      <c r="B20933">
        <v>10.6</v>
      </c>
    </row>
    <row r="20934" spans="1:3" x14ac:dyDescent="0.25">
      <c r="A20934" s="74">
        <v>25726</v>
      </c>
      <c r="B20934">
        <v>10.199999999999999</v>
      </c>
    </row>
    <row r="20935" spans="1:3" x14ac:dyDescent="0.25">
      <c r="A20935" s="74">
        <v>25727</v>
      </c>
      <c r="B20935">
        <v>7.7</v>
      </c>
    </row>
    <row r="20936" spans="1:3" x14ac:dyDescent="0.25">
      <c r="A20936" s="74">
        <v>25728</v>
      </c>
      <c r="B20936">
        <v>5.64</v>
      </c>
    </row>
    <row r="20937" spans="1:3" x14ac:dyDescent="0.25">
      <c r="A20937" s="74">
        <v>25729</v>
      </c>
      <c r="B20937">
        <v>6.4</v>
      </c>
    </row>
    <row r="20938" spans="1:3" x14ac:dyDescent="0.25">
      <c r="A20938" s="74">
        <v>25730</v>
      </c>
      <c r="B20938">
        <v>4.8099999999999996</v>
      </c>
    </row>
    <row r="20939" spans="1:3" x14ac:dyDescent="0.25">
      <c r="A20939" s="74">
        <v>25731</v>
      </c>
      <c r="B20939">
        <v>4.53</v>
      </c>
    </row>
    <row r="20940" spans="1:3" x14ac:dyDescent="0.25">
      <c r="A20940" s="74">
        <v>25732</v>
      </c>
      <c r="B20940">
        <v>4.05</v>
      </c>
    </row>
    <row r="20941" spans="1:3" x14ac:dyDescent="0.25">
      <c r="A20941" s="74">
        <v>25733</v>
      </c>
      <c r="B20941">
        <v>4.96</v>
      </c>
    </row>
    <row r="20942" spans="1:3" x14ac:dyDescent="0.25">
      <c r="A20942" s="74">
        <v>25734</v>
      </c>
      <c r="B20942">
        <v>5.49</v>
      </c>
    </row>
    <row r="20943" spans="1:3" x14ac:dyDescent="0.25">
      <c r="A20943" s="74">
        <v>25735</v>
      </c>
      <c r="B20943">
        <v>4.67</v>
      </c>
    </row>
    <row r="20944" spans="1:3" x14ac:dyDescent="0.25">
      <c r="A20944" s="74">
        <v>25736</v>
      </c>
      <c r="B20944">
        <v>3.88</v>
      </c>
    </row>
    <row r="20945" spans="1:2" x14ac:dyDescent="0.25">
      <c r="A20945" s="74">
        <v>25737</v>
      </c>
      <c r="B20945">
        <v>3.74</v>
      </c>
    </row>
    <row r="20946" spans="1:2" x14ac:dyDescent="0.25">
      <c r="A20946" s="74">
        <v>25738</v>
      </c>
      <c r="B20946">
        <v>4.1900000000000004</v>
      </c>
    </row>
    <row r="20947" spans="1:2" x14ac:dyDescent="0.25">
      <c r="A20947" s="74">
        <v>25739</v>
      </c>
      <c r="B20947">
        <v>4.1900000000000004</v>
      </c>
    </row>
    <row r="20948" spans="1:2" x14ac:dyDescent="0.25">
      <c r="A20948" s="74">
        <v>25740</v>
      </c>
      <c r="B20948">
        <v>4.3899999999999997</v>
      </c>
    </row>
    <row r="20949" spans="1:2" x14ac:dyDescent="0.25">
      <c r="A20949" s="74">
        <v>25741</v>
      </c>
      <c r="B20949">
        <v>4.1900000000000004</v>
      </c>
    </row>
    <row r="20950" spans="1:2" x14ac:dyDescent="0.25">
      <c r="A20950" s="74">
        <v>25742</v>
      </c>
      <c r="B20950">
        <v>3.82</v>
      </c>
    </row>
    <row r="20951" spans="1:2" x14ac:dyDescent="0.25">
      <c r="A20951" s="74">
        <v>25743</v>
      </c>
      <c r="B20951">
        <v>3.34</v>
      </c>
    </row>
    <row r="20952" spans="1:2" x14ac:dyDescent="0.25">
      <c r="A20952" s="74">
        <v>25744</v>
      </c>
      <c r="B20952">
        <v>2.89</v>
      </c>
    </row>
    <row r="20953" spans="1:2" x14ac:dyDescent="0.25">
      <c r="A20953" s="74">
        <v>25745</v>
      </c>
      <c r="B20953">
        <v>2.89</v>
      </c>
    </row>
    <row r="20954" spans="1:2" x14ac:dyDescent="0.25">
      <c r="A20954" s="74">
        <v>25746</v>
      </c>
      <c r="B20954">
        <v>2.8</v>
      </c>
    </row>
    <row r="20955" spans="1:2" x14ac:dyDescent="0.25">
      <c r="A20955" s="74">
        <v>25747</v>
      </c>
      <c r="B20955">
        <v>2.74</v>
      </c>
    </row>
    <row r="20956" spans="1:2" x14ac:dyDescent="0.25">
      <c r="A20956" s="74">
        <v>25748</v>
      </c>
      <c r="B20956">
        <v>2.57</v>
      </c>
    </row>
    <row r="20957" spans="1:2" x14ac:dyDescent="0.25">
      <c r="A20957" s="74">
        <v>25749</v>
      </c>
      <c r="B20957">
        <v>2.52</v>
      </c>
    </row>
    <row r="20958" spans="1:2" x14ac:dyDescent="0.25">
      <c r="A20958" s="74">
        <v>25750</v>
      </c>
      <c r="B20958">
        <v>2.3199999999999998</v>
      </c>
    </row>
    <row r="20959" spans="1:2" x14ac:dyDescent="0.25">
      <c r="A20959" s="74">
        <v>25751</v>
      </c>
      <c r="B20959">
        <v>2.06</v>
      </c>
    </row>
    <row r="20960" spans="1:2" x14ac:dyDescent="0.25">
      <c r="A20960" s="74">
        <v>25752</v>
      </c>
      <c r="B20960">
        <v>2.11</v>
      </c>
    </row>
    <row r="20961" spans="1:2" x14ac:dyDescent="0.25">
      <c r="A20961" s="74">
        <v>25753</v>
      </c>
      <c r="B20961">
        <v>2.42</v>
      </c>
    </row>
    <row r="20962" spans="1:2" x14ac:dyDescent="0.25">
      <c r="A20962" s="74">
        <v>25754</v>
      </c>
      <c r="B20962">
        <v>2.27</v>
      </c>
    </row>
    <row r="20963" spans="1:2" x14ac:dyDescent="0.25">
      <c r="A20963" s="74">
        <v>25755</v>
      </c>
      <c r="B20963">
        <v>2.06</v>
      </c>
    </row>
    <row r="20964" spans="1:2" x14ac:dyDescent="0.25">
      <c r="A20964" s="74">
        <v>25756</v>
      </c>
      <c r="B20964">
        <v>1.82</v>
      </c>
    </row>
    <row r="20965" spans="1:2" x14ac:dyDescent="0.25">
      <c r="A20965" s="74">
        <v>25757</v>
      </c>
      <c r="B20965">
        <v>1.72</v>
      </c>
    </row>
    <row r="20966" spans="1:2" x14ac:dyDescent="0.25">
      <c r="A20966" s="74">
        <v>25758</v>
      </c>
      <c r="B20966">
        <v>1.87</v>
      </c>
    </row>
    <row r="20967" spans="1:2" x14ac:dyDescent="0.25">
      <c r="A20967" s="74">
        <v>25759</v>
      </c>
      <c r="B20967">
        <v>1.53</v>
      </c>
    </row>
    <row r="20968" spans="1:2" x14ac:dyDescent="0.25">
      <c r="A20968" s="74">
        <v>25760</v>
      </c>
      <c r="B20968">
        <v>1.82</v>
      </c>
    </row>
    <row r="20969" spans="1:2" x14ac:dyDescent="0.25">
      <c r="A20969" s="74">
        <v>25761</v>
      </c>
      <c r="B20969">
        <v>1.26</v>
      </c>
    </row>
    <row r="20970" spans="1:2" x14ac:dyDescent="0.25">
      <c r="A20970" s="74">
        <v>25762</v>
      </c>
      <c r="B20970">
        <v>1.3</v>
      </c>
    </row>
    <row r="20971" spans="1:2" x14ac:dyDescent="0.25">
      <c r="A20971" s="74">
        <v>25763</v>
      </c>
      <c r="B20971">
        <v>1</v>
      </c>
    </row>
    <row r="20972" spans="1:2" x14ac:dyDescent="0.25">
      <c r="A20972" s="74">
        <v>25764</v>
      </c>
      <c r="B20972">
        <v>0.96599999999999997</v>
      </c>
    </row>
    <row r="20973" spans="1:2" x14ac:dyDescent="0.25">
      <c r="A20973" s="74">
        <v>25765</v>
      </c>
      <c r="B20973">
        <v>0.96599999999999997</v>
      </c>
    </row>
    <row r="20974" spans="1:2" x14ac:dyDescent="0.25">
      <c r="A20974" s="74">
        <v>25766</v>
      </c>
      <c r="B20974">
        <v>0.92900000000000005</v>
      </c>
    </row>
    <row r="20975" spans="1:2" x14ac:dyDescent="0.25">
      <c r="A20975" s="74">
        <v>25767</v>
      </c>
      <c r="B20975">
        <v>0.92900000000000005</v>
      </c>
    </row>
    <row r="20976" spans="1:2" x14ac:dyDescent="0.25">
      <c r="A20976" s="74">
        <v>25768</v>
      </c>
      <c r="B20976">
        <v>0.89200000000000002</v>
      </c>
    </row>
    <row r="20977" spans="1:3" x14ac:dyDescent="0.25">
      <c r="A20977" s="74">
        <v>25769</v>
      </c>
      <c r="B20977">
        <v>0.85499999999999998</v>
      </c>
    </row>
    <row r="20978" spans="1:3" x14ac:dyDescent="0.25">
      <c r="A20978" s="74">
        <v>25770</v>
      </c>
      <c r="B20978">
        <v>0.85499999999999998</v>
      </c>
    </row>
    <row r="20979" spans="1:3" x14ac:dyDescent="0.25">
      <c r="A20979" s="74">
        <v>25771</v>
      </c>
      <c r="B20979">
        <v>0.89200000000000002</v>
      </c>
      <c r="C20979" t="s">
        <v>141</v>
      </c>
    </row>
    <row r="20980" spans="1:3" x14ac:dyDescent="0.25">
      <c r="A20980" s="74">
        <v>25772</v>
      </c>
      <c r="B20980">
        <v>0.92900000000000005</v>
      </c>
    </row>
    <row r="20981" spans="1:3" x14ac:dyDescent="0.25">
      <c r="A20981" s="74">
        <v>25773</v>
      </c>
      <c r="B20981">
        <v>0.89200000000000002</v>
      </c>
    </row>
    <row r="20982" spans="1:3" x14ac:dyDescent="0.25">
      <c r="A20982" s="74">
        <v>25774</v>
      </c>
      <c r="B20982">
        <v>0.89200000000000002</v>
      </c>
    </row>
    <row r="20983" spans="1:3" x14ac:dyDescent="0.25">
      <c r="A20983" s="74">
        <v>25775</v>
      </c>
      <c r="B20983">
        <v>1</v>
      </c>
    </row>
    <row r="20984" spans="1:3" x14ac:dyDescent="0.25">
      <c r="A20984" s="74">
        <v>25776</v>
      </c>
      <c r="B20984">
        <v>0.89200000000000002</v>
      </c>
    </row>
    <row r="20985" spans="1:3" x14ac:dyDescent="0.25">
      <c r="A20985" s="74">
        <v>25777</v>
      </c>
      <c r="B20985">
        <v>1.39</v>
      </c>
    </row>
    <row r="20986" spans="1:3" x14ac:dyDescent="0.25">
      <c r="A20986" s="74">
        <v>25778</v>
      </c>
      <c r="B20986">
        <v>1.44</v>
      </c>
    </row>
    <row r="20987" spans="1:3" x14ac:dyDescent="0.25">
      <c r="A20987" s="74">
        <v>25779</v>
      </c>
      <c r="B20987">
        <v>1.91</v>
      </c>
    </row>
    <row r="20988" spans="1:3" x14ac:dyDescent="0.25">
      <c r="A20988" s="74">
        <v>25780</v>
      </c>
      <c r="B20988">
        <v>2.27</v>
      </c>
    </row>
    <row r="20989" spans="1:3" x14ac:dyDescent="0.25">
      <c r="A20989" s="74">
        <v>25781</v>
      </c>
      <c r="B20989">
        <v>1.53</v>
      </c>
    </row>
    <row r="20990" spans="1:3" x14ac:dyDescent="0.25">
      <c r="A20990" s="74">
        <v>25782</v>
      </c>
      <c r="B20990">
        <v>1.26</v>
      </c>
    </row>
    <row r="20991" spans="1:3" x14ac:dyDescent="0.25">
      <c r="A20991" s="74">
        <v>25783</v>
      </c>
      <c r="B20991">
        <v>0.96599999999999997</v>
      </c>
    </row>
    <row r="20992" spans="1:3" x14ac:dyDescent="0.25">
      <c r="A20992" s="74">
        <v>25784</v>
      </c>
      <c r="B20992">
        <v>0.89200000000000002</v>
      </c>
    </row>
    <row r="20993" spans="1:2" x14ac:dyDescent="0.25">
      <c r="A20993" s="74">
        <v>25785</v>
      </c>
      <c r="B20993">
        <v>0.78200000000000003</v>
      </c>
    </row>
    <row r="20994" spans="1:2" x14ac:dyDescent="0.25">
      <c r="A20994" s="74">
        <v>25786</v>
      </c>
      <c r="B20994">
        <v>0.96599999999999997</v>
      </c>
    </row>
    <row r="20995" spans="1:2" x14ac:dyDescent="0.25">
      <c r="A20995" s="74">
        <v>25787</v>
      </c>
      <c r="B20995">
        <v>0.70799999999999996</v>
      </c>
    </row>
    <row r="20996" spans="1:2" x14ac:dyDescent="0.25">
      <c r="A20996" s="74">
        <v>25788</v>
      </c>
      <c r="B20996">
        <v>1.08</v>
      </c>
    </row>
    <row r="20997" spans="1:2" x14ac:dyDescent="0.25">
      <c r="A20997" s="74">
        <v>25789</v>
      </c>
      <c r="B20997">
        <v>1.1200000000000001</v>
      </c>
    </row>
    <row r="20998" spans="1:2" x14ac:dyDescent="0.25">
      <c r="A20998" s="74">
        <v>25790</v>
      </c>
      <c r="B20998">
        <v>0.81799999999999995</v>
      </c>
    </row>
    <row r="20999" spans="1:2" x14ac:dyDescent="0.25">
      <c r="A20999" s="74">
        <v>25791</v>
      </c>
      <c r="B20999">
        <v>0.89200000000000002</v>
      </c>
    </row>
    <row r="21000" spans="1:2" x14ac:dyDescent="0.25">
      <c r="A21000" s="74">
        <v>25792</v>
      </c>
      <c r="B21000">
        <v>0.68</v>
      </c>
    </row>
    <row r="21001" spans="1:2" x14ac:dyDescent="0.25">
      <c r="A21001" s="74">
        <v>25793</v>
      </c>
      <c r="B21001">
        <v>0.78200000000000003</v>
      </c>
    </row>
    <row r="21002" spans="1:2" x14ac:dyDescent="0.25">
      <c r="A21002" s="74">
        <v>25794</v>
      </c>
      <c r="B21002">
        <v>0.745</v>
      </c>
    </row>
    <row r="21003" spans="1:2" x14ac:dyDescent="0.25">
      <c r="A21003" s="74">
        <v>25795</v>
      </c>
      <c r="B21003">
        <v>0.68</v>
      </c>
    </row>
    <row r="21004" spans="1:2" x14ac:dyDescent="0.25">
      <c r="A21004" s="74">
        <v>25796</v>
      </c>
      <c r="B21004">
        <v>0.39900000000000002</v>
      </c>
    </row>
    <row r="21005" spans="1:2" x14ac:dyDescent="0.25">
      <c r="A21005" s="74">
        <v>25797</v>
      </c>
      <c r="B21005">
        <v>0.42499999999999999</v>
      </c>
    </row>
    <row r="21006" spans="1:2" x14ac:dyDescent="0.25">
      <c r="A21006" s="74">
        <v>25798</v>
      </c>
      <c r="B21006">
        <v>0.56599999999999995</v>
      </c>
    </row>
    <row r="21007" spans="1:2" x14ac:dyDescent="0.25">
      <c r="A21007" s="74">
        <v>25799</v>
      </c>
      <c r="B21007">
        <v>0.53800000000000003</v>
      </c>
    </row>
    <row r="21008" spans="1:2" x14ac:dyDescent="0.25">
      <c r="A21008" s="74">
        <v>25800</v>
      </c>
      <c r="B21008">
        <v>0.53800000000000003</v>
      </c>
    </row>
    <row r="21009" spans="1:2" x14ac:dyDescent="0.25">
      <c r="A21009" s="74">
        <v>25801</v>
      </c>
      <c r="B21009">
        <v>0.51</v>
      </c>
    </row>
    <row r="21010" spans="1:2" x14ac:dyDescent="0.25">
      <c r="A21010" s="74">
        <v>25802</v>
      </c>
      <c r="B21010">
        <v>0.27200000000000002</v>
      </c>
    </row>
    <row r="21011" spans="1:2" x14ac:dyDescent="0.25">
      <c r="A21011" s="74">
        <v>25803</v>
      </c>
      <c r="B21011">
        <v>0.34799999999999998</v>
      </c>
    </row>
    <row r="21012" spans="1:2" x14ac:dyDescent="0.25">
      <c r="A21012" s="74">
        <v>25804</v>
      </c>
      <c r="B21012">
        <v>0.39900000000000002</v>
      </c>
    </row>
    <row r="21013" spans="1:2" x14ac:dyDescent="0.25">
      <c r="A21013" s="74">
        <v>25805</v>
      </c>
      <c r="B21013">
        <v>0.29699999999999999</v>
      </c>
    </row>
    <row r="21014" spans="1:2" x14ac:dyDescent="0.25">
      <c r="A21014" s="74">
        <v>25806</v>
      </c>
      <c r="B21014">
        <v>0.39900000000000002</v>
      </c>
    </row>
    <row r="21015" spans="1:2" x14ac:dyDescent="0.25">
      <c r="A21015" s="74">
        <v>25807</v>
      </c>
      <c r="B21015">
        <v>0.29699999999999999</v>
      </c>
    </row>
    <row r="21016" spans="1:2" x14ac:dyDescent="0.25">
      <c r="A21016" s="74">
        <v>25808</v>
      </c>
      <c r="B21016">
        <v>0.34799999999999998</v>
      </c>
    </row>
    <row r="21017" spans="1:2" x14ac:dyDescent="0.25">
      <c r="A21017" s="74">
        <v>25809</v>
      </c>
      <c r="B21017">
        <v>0.34799999999999998</v>
      </c>
    </row>
    <row r="21018" spans="1:2" x14ac:dyDescent="0.25">
      <c r="A21018" s="74">
        <v>25810</v>
      </c>
      <c r="B21018">
        <v>0.34799999999999998</v>
      </c>
    </row>
    <row r="21019" spans="1:2" x14ac:dyDescent="0.25">
      <c r="A21019" s="74">
        <v>25811</v>
      </c>
      <c r="B21019">
        <v>0.246</v>
      </c>
    </row>
    <row r="21020" spans="1:2" x14ac:dyDescent="0.25">
      <c r="A21020" s="74">
        <v>25812</v>
      </c>
      <c r="B21020">
        <v>0.17</v>
      </c>
    </row>
    <row r="21021" spans="1:2" x14ac:dyDescent="0.25">
      <c r="A21021" s="74">
        <v>25813</v>
      </c>
      <c r="B21021">
        <v>0.17</v>
      </c>
    </row>
    <row r="21022" spans="1:2" x14ac:dyDescent="0.25">
      <c r="A21022" s="74">
        <v>25814</v>
      </c>
      <c r="B21022">
        <v>0.27200000000000002</v>
      </c>
    </row>
    <row r="21023" spans="1:2" x14ac:dyDescent="0.25">
      <c r="A21023" s="74">
        <v>25815</v>
      </c>
      <c r="B21023">
        <v>0.27200000000000002</v>
      </c>
    </row>
    <row r="21024" spans="1:2" x14ac:dyDescent="0.25">
      <c r="A21024" s="74">
        <v>25816</v>
      </c>
      <c r="B21024">
        <v>0.32300000000000001</v>
      </c>
    </row>
    <row r="21025" spans="1:2" x14ac:dyDescent="0.25">
      <c r="A21025" s="74">
        <v>25817</v>
      </c>
      <c r="B21025">
        <v>0.51</v>
      </c>
    </row>
    <row r="21026" spans="1:2" x14ac:dyDescent="0.25">
      <c r="A21026" s="74">
        <v>25818</v>
      </c>
      <c r="B21026">
        <v>0.59499999999999997</v>
      </c>
    </row>
    <row r="21027" spans="1:2" x14ac:dyDescent="0.25">
      <c r="A21027" s="74">
        <v>25819</v>
      </c>
      <c r="B21027">
        <v>0.53800000000000003</v>
      </c>
    </row>
    <row r="21028" spans="1:2" x14ac:dyDescent="0.25">
      <c r="A21028" s="74">
        <v>25820</v>
      </c>
      <c r="B21028">
        <v>0.59499999999999997</v>
      </c>
    </row>
    <row r="21029" spans="1:2" x14ac:dyDescent="0.25">
      <c r="A21029" s="74">
        <v>25821</v>
      </c>
      <c r="B21029">
        <v>0.53800000000000003</v>
      </c>
    </row>
    <row r="21030" spans="1:2" x14ac:dyDescent="0.25">
      <c r="A21030" s="74">
        <v>25822</v>
      </c>
      <c r="B21030">
        <v>0.48099999999999998</v>
      </c>
    </row>
    <row r="21031" spans="1:2" x14ac:dyDescent="0.25">
      <c r="A21031" s="74">
        <v>25823</v>
      </c>
      <c r="B21031">
        <v>0.374</v>
      </c>
    </row>
    <row r="21032" spans="1:2" x14ac:dyDescent="0.25">
      <c r="A21032" s="74">
        <v>25824</v>
      </c>
      <c r="B21032">
        <v>0.27200000000000002</v>
      </c>
    </row>
    <row r="21033" spans="1:2" x14ac:dyDescent="0.25">
      <c r="A21033" s="74">
        <v>25825</v>
      </c>
      <c r="B21033">
        <v>0.246</v>
      </c>
    </row>
    <row r="21034" spans="1:2" x14ac:dyDescent="0.25">
      <c r="A21034" s="74">
        <v>25826</v>
      </c>
      <c r="B21034">
        <v>0.19500000000000001</v>
      </c>
    </row>
    <row r="21035" spans="1:2" x14ac:dyDescent="0.25">
      <c r="A21035" s="74">
        <v>25827</v>
      </c>
      <c r="B21035">
        <v>0.27200000000000002</v>
      </c>
    </row>
    <row r="21036" spans="1:2" x14ac:dyDescent="0.25">
      <c r="A21036" s="74">
        <v>25828</v>
      </c>
      <c r="B21036">
        <v>0.42499999999999999</v>
      </c>
    </row>
    <row r="21037" spans="1:2" x14ac:dyDescent="0.25">
      <c r="A21037" s="74">
        <v>25829</v>
      </c>
      <c r="B21037">
        <v>0.42499999999999999</v>
      </c>
    </row>
    <row r="21038" spans="1:2" x14ac:dyDescent="0.25">
      <c r="A21038" s="74">
        <v>25830</v>
      </c>
      <c r="B21038">
        <v>1.39</v>
      </c>
    </row>
    <row r="21039" spans="1:2" x14ac:dyDescent="0.25">
      <c r="A21039" s="74">
        <v>25831</v>
      </c>
      <c r="B21039">
        <v>2.11</v>
      </c>
    </row>
    <row r="21040" spans="1:2" x14ac:dyDescent="0.25">
      <c r="A21040" s="74">
        <v>25832</v>
      </c>
      <c r="B21040">
        <v>1.48</v>
      </c>
    </row>
    <row r="21041" spans="1:2" x14ac:dyDescent="0.25">
      <c r="A21041" s="74">
        <v>25833</v>
      </c>
      <c r="B21041">
        <v>1.58</v>
      </c>
    </row>
    <row r="21042" spans="1:2" x14ac:dyDescent="0.25">
      <c r="A21042" s="74">
        <v>25834</v>
      </c>
      <c r="B21042">
        <v>3.06</v>
      </c>
    </row>
    <row r="21043" spans="1:2" x14ac:dyDescent="0.25">
      <c r="A21043" s="74">
        <v>25835</v>
      </c>
      <c r="B21043">
        <v>2.21</v>
      </c>
    </row>
    <row r="21044" spans="1:2" x14ac:dyDescent="0.25">
      <c r="A21044" s="74">
        <v>25836</v>
      </c>
      <c r="B21044">
        <v>1.87</v>
      </c>
    </row>
    <row r="21045" spans="1:2" x14ac:dyDescent="0.25">
      <c r="A21045" s="74">
        <v>25837</v>
      </c>
      <c r="B21045">
        <v>1.72</v>
      </c>
    </row>
    <row r="21046" spans="1:2" x14ac:dyDescent="0.25">
      <c r="A21046" s="74">
        <v>25838</v>
      </c>
      <c r="B21046">
        <v>1.3</v>
      </c>
    </row>
    <row r="21047" spans="1:2" x14ac:dyDescent="0.25">
      <c r="A21047" s="74">
        <v>25839</v>
      </c>
      <c r="B21047">
        <v>1.17</v>
      </c>
    </row>
    <row r="21048" spans="1:2" x14ac:dyDescent="0.25">
      <c r="A21048" s="74">
        <v>25840</v>
      </c>
      <c r="B21048">
        <v>1</v>
      </c>
    </row>
    <row r="21049" spans="1:2" x14ac:dyDescent="0.25">
      <c r="A21049" s="74">
        <v>25841</v>
      </c>
      <c r="B21049">
        <v>0.89200000000000002</v>
      </c>
    </row>
    <row r="21050" spans="1:2" x14ac:dyDescent="0.25">
      <c r="A21050" s="74">
        <v>25842</v>
      </c>
    </row>
    <row r="21051" spans="1:2" x14ac:dyDescent="0.25">
      <c r="A21051" s="74">
        <v>25843</v>
      </c>
    </row>
    <row r="21052" spans="1:2" x14ac:dyDescent="0.25">
      <c r="A21052" s="74">
        <v>25844</v>
      </c>
    </row>
    <row r="21053" spans="1:2" x14ac:dyDescent="0.25">
      <c r="A21053" s="74">
        <v>25845</v>
      </c>
    </row>
    <row r="21054" spans="1:2" x14ac:dyDescent="0.25">
      <c r="A21054" s="74">
        <v>25846</v>
      </c>
    </row>
    <row r="21055" spans="1:2" x14ac:dyDescent="0.25">
      <c r="A21055" s="74">
        <v>25847</v>
      </c>
    </row>
    <row r="21056" spans="1:2" x14ac:dyDescent="0.25">
      <c r="A21056" s="74">
        <v>25848</v>
      </c>
    </row>
    <row r="21057" spans="1:1" x14ac:dyDescent="0.25">
      <c r="A21057" s="74">
        <v>25849</v>
      </c>
    </row>
    <row r="21058" spans="1:1" x14ac:dyDescent="0.25">
      <c r="A21058" s="74">
        <v>25850</v>
      </c>
    </row>
    <row r="21059" spans="1:1" x14ac:dyDescent="0.25">
      <c r="A21059" s="74">
        <v>25851</v>
      </c>
    </row>
    <row r="21060" spans="1:1" x14ac:dyDescent="0.25">
      <c r="A21060" s="74">
        <v>25852</v>
      </c>
    </row>
    <row r="21061" spans="1:1" x14ac:dyDescent="0.25">
      <c r="A21061" s="74">
        <v>25853</v>
      </c>
    </row>
    <row r="21062" spans="1:1" x14ac:dyDescent="0.25">
      <c r="A21062" s="74">
        <v>25854</v>
      </c>
    </row>
    <row r="21063" spans="1:1" x14ac:dyDescent="0.25">
      <c r="A21063" s="74">
        <v>25855</v>
      </c>
    </row>
    <row r="21064" spans="1:1" x14ac:dyDescent="0.25">
      <c r="A21064" s="74">
        <v>25856</v>
      </c>
    </row>
    <row r="21065" spans="1:1" x14ac:dyDescent="0.25">
      <c r="A21065" s="74">
        <v>25857</v>
      </c>
    </row>
    <row r="21066" spans="1:1" x14ac:dyDescent="0.25">
      <c r="A21066" s="74">
        <v>25858</v>
      </c>
    </row>
    <row r="21067" spans="1:1" x14ac:dyDescent="0.25">
      <c r="A21067" s="74">
        <v>25859</v>
      </c>
    </row>
    <row r="21068" spans="1:1" x14ac:dyDescent="0.25">
      <c r="A21068" s="74">
        <v>25860</v>
      </c>
    </row>
    <row r="21069" spans="1:1" x14ac:dyDescent="0.25">
      <c r="A21069" s="74">
        <v>25861</v>
      </c>
    </row>
    <row r="21070" spans="1:1" x14ac:dyDescent="0.25">
      <c r="A21070" s="74">
        <v>25862</v>
      </c>
    </row>
    <row r="21071" spans="1:1" x14ac:dyDescent="0.25">
      <c r="A21071" s="74">
        <v>25863</v>
      </c>
    </row>
    <row r="21072" spans="1:1" x14ac:dyDescent="0.25">
      <c r="A21072" s="74">
        <v>25864</v>
      </c>
    </row>
    <row r="21073" spans="1:1" x14ac:dyDescent="0.25">
      <c r="A21073" s="74">
        <v>25865</v>
      </c>
    </row>
    <row r="21074" spans="1:1" x14ac:dyDescent="0.25">
      <c r="A21074" s="74">
        <v>25866</v>
      </c>
    </row>
    <row r="21075" spans="1:1" x14ac:dyDescent="0.25">
      <c r="A21075" s="74">
        <v>25867</v>
      </c>
    </row>
    <row r="21076" spans="1:1" x14ac:dyDescent="0.25">
      <c r="A21076" s="74">
        <v>25868</v>
      </c>
    </row>
    <row r="21077" spans="1:1" x14ac:dyDescent="0.25">
      <c r="A21077" s="74">
        <v>25869</v>
      </c>
    </row>
    <row r="21078" spans="1:1" x14ac:dyDescent="0.25">
      <c r="A21078" s="74">
        <v>25870</v>
      </c>
    </row>
    <row r="21079" spans="1:1" x14ac:dyDescent="0.25">
      <c r="A21079" s="74">
        <v>25871</v>
      </c>
    </row>
    <row r="21080" spans="1:1" x14ac:dyDescent="0.25">
      <c r="A21080" s="74">
        <v>25872</v>
      </c>
    </row>
    <row r="21081" spans="1:1" x14ac:dyDescent="0.25">
      <c r="A21081" s="74">
        <v>25873</v>
      </c>
    </row>
    <row r="21082" spans="1:1" x14ac:dyDescent="0.25">
      <c r="A21082" s="74">
        <v>25874</v>
      </c>
    </row>
    <row r="21083" spans="1:1" x14ac:dyDescent="0.25">
      <c r="A21083" s="74">
        <v>25875</v>
      </c>
    </row>
    <row r="21084" spans="1:1" x14ac:dyDescent="0.25">
      <c r="A21084" s="74">
        <v>25876</v>
      </c>
    </row>
    <row r="21085" spans="1:1" x14ac:dyDescent="0.25">
      <c r="A21085" s="74">
        <v>25877</v>
      </c>
    </row>
    <row r="21086" spans="1:1" x14ac:dyDescent="0.25">
      <c r="A21086" s="74">
        <v>25878</v>
      </c>
    </row>
    <row r="21087" spans="1:1" x14ac:dyDescent="0.25">
      <c r="A21087" s="74">
        <v>25879</v>
      </c>
    </row>
    <row r="21088" spans="1:1" x14ac:dyDescent="0.25">
      <c r="A21088" s="74">
        <v>25880</v>
      </c>
    </row>
    <row r="21089" spans="1:1" x14ac:dyDescent="0.25">
      <c r="A21089" s="74">
        <v>25881</v>
      </c>
    </row>
    <row r="21090" spans="1:1" x14ac:dyDescent="0.25">
      <c r="A21090" s="74">
        <v>25882</v>
      </c>
    </row>
    <row r="21091" spans="1:1" x14ac:dyDescent="0.25">
      <c r="A21091" s="74">
        <v>25883</v>
      </c>
    </row>
    <row r="21092" spans="1:1" x14ac:dyDescent="0.25">
      <c r="A21092" s="74">
        <v>25884</v>
      </c>
    </row>
    <row r="21093" spans="1:1" x14ac:dyDescent="0.25">
      <c r="A21093" s="74">
        <v>25885</v>
      </c>
    </row>
    <row r="21094" spans="1:1" x14ac:dyDescent="0.25">
      <c r="A21094" s="74">
        <v>25886</v>
      </c>
    </row>
    <row r="21095" spans="1:1" x14ac:dyDescent="0.25">
      <c r="A21095" s="74">
        <v>25887</v>
      </c>
    </row>
    <row r="21096" spans="1:1" x14ac:dyDescent="0.25">
      <c r="A21096" s="74">
        <v>25888</v>
      </c>
    </row>
    <row r="21097" spans="1:1" x14ac:dyDescent="0.25">
      <c r="A21097" s="74">
        <v>25889</v>
      </c>
    </row>
    <row r="21098" spans="1:1" x14ac:dyDescent="0.25">
      <c r="A21098" s="74">
        <v>25890</v>
      </c>
    </row>
    <row r="21099" spans="1:1" x14ac:dyDescent="0.25">
      <c r="A21099" s="74">
        <v>25891</v>
      </c>
    </row>
    <row r="21100" spans="1:1" x14ac:dyDescent="0.25">
      <c r="A21100" s="74">
        <v>25892</v>
      </c>
    </row>
    <row r="21101" spans="1:1" x14ac:dyDescent="0.25">
      <c r="A21101" s="74">
        <v>25893</v>
      </c>
    </row>
    <row r="21102" spans="1:1" x14ac:dyDescent="0.25">
      <c r="A21102" s="74">
        <v>25894</v>
      </c>
    </row>
    <row r="21103" spans="1:1" x14ac:dyDescent="0.25">
      <c r="A21103" s="74">
        <v>25895</v>
      </c>
    </row>
    <row r="21104" spans="1:1" x14ac:dyDescent="0.25">
      <c r="A21104" s="74">
        <v>25896</v>
      </c>
    </row>
    <row r="21105" spans="1:1" x14ac:dyDescent="0.25">
      <c r="A21105" s="74">
        <v>25897</v>
      </c>
    </row>
    <row r="21106" spans="1:1" x14ac:dyDescent="0.25">
      <c r="A21106" s="74">
        <v>25898</v>
      </c>
    </row>
    <row r="21107" spans="1:1" x14ac:dyDescent="0.25">
      <c r="A21107" s="74">
        <v>25899</v>
      </c>
    </row>
    <row r="21108" spans="1:1" x14ac:dyDescent="0.25">
      <c r="A21108" s="74">
        <v>25900</v>
      </c>
    </row>
    <row r="21109" spans="1:1" x14ac:dyDescent="0.25">
      <c r="A21109" s="74">
        <v>25901</v>
      </c>
    </row>
    <row r="21110" spans="1:1" x14ac:dyDescent="0.25">
      <c r="A21110" s="74">
        <v>25902</v>
      </c>
    </row>
    <row r="21111" spans="1:1" x14ac:dyDescent="0.25">
      <c r="A21111" s="74">
        <v>25903</v>
      </c>
    </row>
    <row r="21112" spans="1:1" x14ac:dyDescent="0.25">
      <c r="A21112" s="74">
        <v>25904</v>
      </c>
    </row>
    <row r="21113" spans="1:1" x14ac:dyDescent="0.25">
      <c r="A21113" s="74">
        <v>25905</v>
      </c>
    </row>
    <row r="21114" spans="1:1" x14ac:dyDescent="0.25">
      <c r="A21114" s="74">
        <v>25906</v>
      </c>
    </row>
    <row r="21115" spans="1:1" x14ac:dyDescent="0.25">
      <c r="A21115" s="74">
        <v>25907</v>
      </c>
    </row>
    <row r="21116" spans="1:1" x14ac:dyDescent="0.25">
      <c r="A21116" s="74">
        <v>25908</v>
      </c>
    </row>
    <row r="21117" spans="1:1" x14ac:dyDescent="0.25">
      <c r="A21117" s="74">
        <v>25909</v>
      </c>
    </row>
    <row r="21118" spans="1:1" x14ac:dyDescent="0.25">
      <c r="A21118" s="74">
        <v>25910</v>
      </c>
    </row>
    <row r="21119" spans="1:1" x14ac:dyDescent="0.25">
      <c r="A21119" s="74">
        <v>25911</v>
      </c>
    </row>
    <row r="21120" spans="1:1" x14ac:dyDescent="0.25">
      <c r="A21120" s="74">
        <v>25912</v>
      </c>
    </row>
    <row r="21121" spans="1:1" x14ac:dyDescent="0.25">
      <c r="A21121" s="74">
        <v>25913</v>
      </c>
    </row>
    <row r="21122" spans="1:1" x14ac:dyDescent="0.25">
      <c r="A21122" s="74">
        <v>25914</v>
      </c>
    </row>
    <row r="21123" spans="1:1" x14ac:dyDescent="0.25">
      <c r="A21123" s="74">
        <v>25915</v>
      </c>
    </row>
    <row r="21124" spans="1:1" x14ac:dyDescent="0.25">
      <c r="A21124" s="74">
        <v>25916</v>
      </c>
    </row>
    <row r="21125" spans="1:1" x14ac:dyDescent="0.25">
      <c r="A21125" s="74">
        <v>25917</v>
      </c>
    </row>
    <row r="21126" spans="1:1" x14ac:dyDescent="0.25">
      <c r="A21126" s="74">
        <v>25918</v>
      </c>
    </row>
    <row r="21127" spans="1:1" x14ac:dyDescent="0.25">
      <c r="A21127" s="74">
        <v>25919</v>
      </c>
    </row>
    <row r="21128" spans="1:1" x14ac:dyDescent="0.25">
      <c r="A21128" s="74">
        <v>25920</v>
      </c>
    </row>
    <row r="21129" spans="1:1" x14ac:dyDescent="0.25">
      <c r="A21129" s="74">
        <v>25921</v>
      </c>
    </row>
    <row r="21130" spans="1:1" x14ac:dyDescent="0.25">
      <c r="A21130" s="74">
        <v>25922</v>
      </c>
    </row>
    <row r="21131" spans="1:1" x14ac:dyDescent="0.25">
      <c r="A21131" s="74">
        <v>25923</v>
      </c>
    </row>
    <row r="21132" spans="1:1" x14ac:dyDescent="0.25">
      <c r="A21132" s="74">
        <v>25924</v>
      </c>
    </row>
    <row r="21133" spans="1:1" x14ac:dyDescent="0.25">
      <c r="A21133" s="74">
        <v>25925</v>
      </c>
    </row>
    <row r="21134" spans="1:1" x14ac:dyDescent="0.25">
      <c r="A21134" s="74">
        <v>25926</v>
      </c>
    </row>
    <row r="21135" spans="1:1" x14ac:dyDescent="0.25">
      <c r="A21135" s="74">
        <v>25927</v>
      </c>
    </row>
    <row r="21136" spans="1:1" x14ac:dyDescent="0.25">
      <c r="A21136" s="74">
        <v>25928</v>
      </c>
    </row>
    <row r="21137" spans="1:1" x14ac:dyDescent="0.25">
      <c r="A21137" s="74">
        <v>25929</v>
      </c>
    </row>
    <row r="21138" spans="1:1" x14ac:dyDescent="0.25">
      <c r="A21138" s="74">
        <v>25930</v>
      </c>
    </row>
    <row r="21139" spans="1:1" x14ac:dyDescent="0.25">
      <c r="A21139" s="74">
        <v>25931</v>
      </c>
    </row>
    <row r="21140" spans="1:1" x14ac:dyDescent="0.25">
      <c r="A21140" s="74">
        <v>25932</v>
      </c>
    </row>
    <row r="21141" spans="1:1" x14ac:dyDescent="0.25">
      <c r="A21141" s="74">
        <v>25933</v>
      </c>
    </row>
    <row r="21142" spans="1:1" x14ac:dyDescent="0.25">
      <c r="A21142" s="74">
        <v>25934</v>
      </c>
    </row>
    <row r="21143" spans="1:1" x14ac:dyDescent="0.25">
      <c r="A21143" s="74">
        <v>25935</v>
      </c>
    </row>
    <row r="21144" spans="1:1" x14ac:dyDescent="0.25">
      <c r="A21144" s="74">
        <v>25936</v>
      </c>
    </row>
    <row r="21145" spans="1:1" x14ac:dyDescent="0.25">
      <c r="A21145" s="74">
        <v>25937</v>
      </c>
    </row>
    <row r="21146" spans="1:1" x14ac:dyDescent="0.25">
      <c r="A21146" s="74">
        <v>25938</v>
      </c>
    </row>
    <row r="21147" spans="1:1" x14ac:dyDescent="0.25">
      <c r="A21147" s="74">
        <v>25939</v>
      </c>
    </row>
    <row r="21148" spans="1:1" x14ac:dyDescent="0.25">
      <c r="A21148" s="74">
        <v>25940</v>
      </c>
    </row>
    <row r="21149" spans="1:1" x14ac:dyDescent="0.25">
      <c r="A21149" s="74">
        <v>25941</v>
      </c>
    </row>
    <row r="21150" spans="1:1" x14ac:dyDescent="0.25">
      <c r="A21150" s="74">
        <v>25942</v>
      </c>
    </row>
    <row r="21151" spans="1:1" x14ac:dyDescent="0.25">
      <c r="A21151" s="74">
        <v>25943</v>
      </c>
    </row>
    <row r="21152" spans="1:1" x14ac:dyDescent="0.25">
      <c r="A21152" s="74">
        <v>25944</v>
      </c>
    </row>
    <row r="21153" spans="1:1" x14ac:dyDescent="0.25">
      <c r="A21153" s="74">
        <v>25945</v>
      </c>
    </row>
    <row r="21154" spans="1:1" x14ac:dyDescent="0.25">
      <c r="A21154" s="74">
        <v>25946</v>
      </c>
    </row>
    <row r="21155" spans="1:1" x14ac:dyDescent="0.25">
      <c r="A21155" s="74">
        <v>25947</v>
      </c>
    </row>
    <row r="21156" spans="1:1" x14ac:dyDescent="0.25">
      <c r="A21156" s="74">
        <v>25948</v>
      </c>
    </row>
    <row r="21157" spans="1:1" x14ac:dyDescent="0.25">
      <c r="A21157" s="74">
        <v>25949</v>
      </c>
    </row>
    <row r="21158" spans="1:1" x14ac:dyDescent="0.25">
      <c r="A21158" s="74">
        <v>25950</v>
      </c>
    </row>
    <row r="21159" spans="1:1" x14ac:dyDescent="0.25">
      <c r="A21159" s="74">
        <v>25951</v>
      </c>
    </row>
    <row r="21160" spans="1:1" x14ac:dyDescent="0.25">
      <c r="A21160" s="74">
        <v>25952</v>
      </c>
    </row>
    <row r="21161" spans="1:1" x14ac:dyDescent="0.25">
      <c r="A21161" s="74">
        <v>25953</v>
      </c>
    </row>
    <row r="21162" spans="1:1" x14ac:dyDescent="0.25">
      <c r="A21162" s="74">
        <v>25954</v>
      </c>
    </row>
    <row r="21163" spans="1:1" x14ac:dyDescent="0.25">
      <c r="A21163" s="74">
        <v>25955</v>
      </c>
    </row>
    <row r="21164" spans="1:1" x14ac:dyDescent="0.25">
      <c r="A21164" s="74">
        <v>25956</v>
      </c>
    </row>
    <row r="21165" spans="1:1" x14ac:dyDescent="0.25">
      <c r="A21165" s="74">
        <v>25957</v>
      </c>
    </row>
    <row r="21166" spans="1:1" x14ac:dyDescent="0.25">
      <c r="A21166" s="74">
        <v>25958</v>
      </c>
    </row>
    <row r="21167" spans="1:1" x14ac:dyDescent="0.25">
      <c r="A21167" s="74">
        <v>25959</v>
      </c>
    </row>
    <row r="21168" spans="1:1" x14ac:dyDescent="0.25">
      <c r="A21168" s="74">
        <v>25960</v>
      </c>
    </row>
    <row r="21169" spans="1:1" x14ac:dyDescent="0.25">
      <c r="A21169" s="74">
        <v>25961</v>
      </c>
    </row>
    <row r="21170" spans="1:1" x14ac:dyDescent="0.25">
      <c r="A21170" s="74">
        <v>25962</v>
      </c>
    </row>
    <row r="21171" spans="1:1" x14ac:dyDescent="0.25">
      <c r="A21171" s="74">
        <v>25963</v>
      </c>
    </row>
    <row r="21172" spans="1:1" x14ac:dyDescent="0.25">
      <c r="A21172" s="74">
        <v>25964</v>
      </c>
    </row>
    <row r="21173" spans="1:1" x14ac:dyDescent="0.25">
      <c r="A21173" s="74">
        <v>25965</v>
      </c>
    </row>
    <row r="21174" spans="1:1" x14ac:dyDescent="0.25">
      <c r="A21174" s="74">
        <v>25966</v>
      </c>
    </row>
    <row r="21175" spans="1:1" x14ac:dyDescent="0.25">
      <c r="A21175" s="74">
        <v>25967</v>
      </c>
    </row>
    <row r="21176" spans="1:1" x14ac:dyDescent="0.25">
      <c r="A21176" s="74">
        <v>25968</v>
      </c>
    </row>
    <row r="21177" spans="1:1" x14ac:dyDescent="0.25">
      <c r="A21177" s="74">
        <v>25969</v>
      </c>
    </row>
    <row r="21178" spans="1:1" x14ac:dyDescent="0.25">
      <c r="A21178" s="74">
        <v>25970</v>
      </c>
    </row>
    <row r="21179" spans="1:1" x14ac:dyDescent="0.25">
      <c r="A21179" s="74">
        <v>25971</v>
      </c>
    </row>
    <row r="21180" spans="1:1" x14ac:dyDescent="0.25">
      <c r="A21180" s="74">
        <v>25972</v>
      </c>
    </row>
    <row r="21181" spans="1:1" x14ac:dyDescent="0.25">
      <c r="A21181" s="74">
        <v>25973</v>
      </c>
    </row>
    <row r="21182" spans="1:1" x14ac:dyDescent="0.25">
      <c r="A21182" s="74">
        <v>25974</v>
      </c>
    </row>
    <row r="21183" spans="1:1" x14ac:dyDescent="0.25">
      <c r="A21183" s="74">
        <v>25975</v>
      </c>
    </row>
    <row r="21184" spans="1:1" x14ac:dyDescent="0.25">
      <c r="A21184" s="74">
        <v>25976</v>
      </c>
    </row>
    <row r="21185" spans="1:1" x14ac:dyDescent="0.25">
      <c r="A21185" s="74">
        <v>25977</v>
      </c>
    </row>
    <row r="21186" spans="1:1" x14ac:dyDescent="0.25">
      <c r="A21186" s="74">
        <v>25978</v>
      </c>
    </row>
    <row r="21187" spans="1:1" x14ac:dyDescent="0.25">
      <c r="A21187" s="74">
        <v>25979</v>
      </c>
    </row>
    <row r="21188" spans="1:1" x14ac:dyDescent="0.25">
      <c r="A21188" s="74">
        <v>25980</v>
      </c>
    </row>
    <row r="21189" spans="1:1" x14ac:dyDescent="0.25">
      <c r="A21189" s="74">
        <v>25981</v>
      </c>
    </row>
    <row r="21190" spans="1:1" x14ac:dyDescent="0.25">
      <c r="A21190" s="74">
        <v>25982</v>
      </c>
    </row>
    <row r="21191" spans="1:1" x14ac:dyDescent="0.25">
      <c r="A21191" s="74">
        <v>25983</v>
      </c>
    </row>
    <row r="21192" spans="1:1" x14ac:dyDescent="0.25">
      <c r="A21192" s="74">
        <v>25984</v>
      </c>
    </row>
    <row r="21193" spans="1:1" x14ac:dyDescent="0.25">
      <c r="A21193" s="74">
        <v>25985</v>
      </c>
    </row>
    <row r="21194" spans="1:1" x14ac:dyDescent="0.25">
      <c r="A21194" s="74">
        <v>25986</v>
      </c>
    </row>
    <row r="21195" spans="1:1" x14ac:dyDescent="0.25">
      <c r="A21195" s="74">
        <v>25987</v>
      </c>
    </row>
    <row r="21196" spans="1:1" x14ac:dyDescent="0.25">
      <c r="A21196" s="74">
        <v>25988</v>
      </c>
    </row>
    <row r="21197" spans="1:1" x14ac:dyDescent="0.25">
      <c r="A21197" s="74">
        <v>25989</v>
      </c>
    </row>
    <row r="21198" spans="1:1" x14ac:dyDescent="0.25">
      <c r="A21198" s="74">
        <v>25990</v>
      </c>
    </row>
    <row r="21199" spans="1:1" x14ac:dyDescent="0.25">
      <c r="A21199" s="74">
        <v>25991</v>
      </c>
    </row>
    <row r="21200" spans="1:1" x14ac:dyDescent="0.25">
      <c r="A21200" s="74">
        <v>25992</v>
      </c>
    </row>
    <row r="21201" spans="1:1" x14ac:dyDescent="0.25">
      <c r="A21201" s="74">
        <v>25993</v>
      </c>
    </row>
    <row r="21202" spans="1:1" x14ac:dyDescent="0.25">
      <c r="A21202" s="74">
        <v>25994</v>
      </c>
    </row>
    <row r="21203" spans="1:1" x14ac:dyDescent="0.25">
      <c r="A21203" s="74">
        <v>25995</v>
      </c>
    </row>
    <row r="21204" spans="1:1" x14ac:dyDescent="0.25">
      <c r="A21204" s="74">
        <v>25996</v>
      </c>
    </row>
    <row r="21205" spans="1:1" x14ac:dyDescent="0.25">
      <c r="A21205" s="74">
        <v>25997</v>
      </c>
    </row>
    <row r="21206" spans="1:1" x14ac:dyDescent="0.25">
      <c r="A21206" s="74">
        <v>25998</v>
      </c>
    </row>
    <row r="21207" spans="1:1" x14ac:dyDescent="0.25">
      <c r="A21207" s="74">
        <v>25999</v>
      </c>
    </row>
    <row r="21208" spans="1:1" x14ac:dyDescent="0.25">
      <c r="A21208" s="74">
        <v>26000</v>
      </c>
    </row>
    <row r="21209" spans="1:1" x14ac:dyDescent="0.25">
      <c r="A21209" s="74">
        <v>26001</v>
      </c>
    </row>
    <row r="21210" spans="1:1" x14ac:dyDescent="0.25">
      <c r="A21210" s="74">
        <v>26002</v>
      </c>
    </row>
    <row r="21211" spans="1:1" x14ac:dyDescent="0.25">
      <c r="A21211" s="74">
        <v>26003</v>
      </c>
    </row>
    <row r="21212" spans="1:1" x14ac:dyDescent="0.25">
      <c r="A21212" s="74">
        <v>26004</v>
      </c>
    </row>
    <row r="21213" spans="1:1" x14ac:dyDescent="0.25">
      <c r="A21213" s="74">
        <v>26005</v>
      </c>
    </row>
    <row r="21214" spans="1:1" x14ac:dyDescent="0.25">
      <c r="A21214" s="74">
        <v>26006</v>
      </c>
    </row>
    <row r="21215" spans="1:1" x14ac:dyDescent="0.25">
      <c r="A21215" s="74">
        <v>26007</v>
      </c>
    </row>
    <row r="21216" spans="1:1" x14ac:dyDescent="0.25">
      <c r="A21216" s="74">
        <v>26008</v>
      </c>
    </row>
    <row r="21217" spans="1:3" x14ac:dyDescent="0.25">
      <c r="A21217" s="74">
        <v>26009</v>
      </c>
    </row>
    <row r="21218" spans="1:3" x14ac:dyDescent="0.25">
      <c r="A21218" s="74">
        <v>26010</v>
      </c>
    </row>
    <row r="21219" spans="1:3" x14ac:dyDescent="0.25">
      <c r="A21219" s="74">
        <v>26011</v>
      </c>
    </row>
    <row r="21220" spans="1:3" x14ac:dyDescent="0.25">
      <c r="A21220" s="74">
        <v>26012</v>
      </c>
    </row>
    <row r="21221" spans="1:3" x14ac:dyDescent="0.25">
      <c r="A21221" s="74">
        <v>26013</v>
      </c>
    </row>
    <row r="21222" spans="1:3" x14ac:dyDescent="0.25">
      <c r="A21222" s="74">
        <v>26014</v>
      </c>
    </row>
    <row r="21223" spans="1:3" x14ac:dyDescent="0.25">
      <c r="A21223" s="74">
        <v>26015</v>
      </c>
    </row>
    <row r="21224" spans="1:3" x14ac:dyDescent="0.25">
      <c r="A21224" s="74">
        <v>26016</v>
      </c>
    </row>
    <row r="21225" spans="1:3" x14ac:dyDescent="0.25">
      <c r="A21225" s="74">
        <v>26017</v>
      </c>
    </row>
    <row r="21226" spans="1:3" x14ac:dyDescent="0.25">
      <c r="A21226" s="74">
        <v>26018</v>
      </c>
    </row>
    <row r="21227" spans="1:3" x14ac:dyDescent="0.25">
      <c r="A21227" s="74">
        <v>26019</v>
      </c>
    </row>
    <row r="21228" spans="1:3" x14ac:dyDescent="0.25">
      <c r="A21228" s="74">
        <v>26020</v>
      </c>
    </row>
    <row r="21229" spans="1:3" x14ac:dyDescent="0.25">
      <c r="A21229" s="74">
        <v>26021</v>
      </c>
      <c r="B21229">
        <v>12.9</v>
      </c>
    </row>
    <row r="21230" spans="1:3" x14ac:dyDescent="0.25">
      <c r="A21230" s="74">
        <v>26022</v>
      </c>
    </row>
    <row r="21231" spans="1:3" x14ac:dyDescent="0.25">
      <c r="A21231" s="74">
        <v>26023</v>
      </c>
    </row>
    <row r="21232" spans="1:3" x14ac:dyDescent="0.25">
      <c r="A21232" s="74">
        <v>26024</v>
      </c>
      <c r="B21232">
        <v>18.399999999999999</v>
      </c>
      <c r="C21232" t="s">
        <v>141</v>
      </c>
    </row>
    <row r="21233" spans="1:2" x14ac:dyDescent="0.25">
      <c r="A21233" s="74">
        <v>26025</v>
      </c>
      <c r="B21233">
        <v>17.2</v>
      </c>
    </row>
    <row r="21234" spans="1:2" x14ac:dyDescent="0.25">
      <c r="A21234" s="74">
        <v>26026</v>
      </c>
      <c r="B21234">
        <v>16.2</v>
      </c>
    </row>
    <row r="21235" spans="1:2" x14ac:dyDescent="0.25">
      <c r="A21235" s="74">
        <v>26027</v>
      </c>
      <c r="B21235">
        <v>14.8</v>
      </c>
    </row>
    <row r="21236" spans="1:2" x14ac:dyDescent="0.25">
      <c r="A21236" s="74">
        <v>26028</v>
      </c>
      <c r="B21236">
        <v>15.3</v>
      </c>
    </row>
    <row r="21237" spans="1:2" x14ac:dyDescent="0.25">
      <c r="A21237" s="74">
        <v>26029</v>
      </c>
      <c r="B21237">
        <v>19.3</v>
      </c>
    </row>
    <row r="21238" spans="1:2" x14ac:dyDescent="0.25">
      <c r="A21238" s="74">
        <v>26030</v>
      </c>
      <c r="B21238">
        <v>20.5</v>
      </c>
    </row>
    <row r="21239" spans="1:2" x14ac:dyDescent="0.25">
      <c r="A21239" s="74">
        <v>26031</v>
      </c>
      <c r="B21239">
        <v>21.2</v>
      </c>
    </row>
    <row r="21240" spans="1:2" x14ac:dyDescent="0.25">
      <c r="A21240" s="74">
        <v>26032</v>
      </c>
      <c r="B21240">
        <v>25.5</v>
      </c>
    </row>
    <row r="21241" spans="1:2" x14ac:dyDescent="0.25">
      <c r="A21241" s="74">
        <v>26033</v>
      </c>
      <c r="B21241">
        <v>21.6</v>
      </c>
    </row>
    <row r="21242" spans="1:2" x14ac:dyDescent="0.25">
      <c r="A21242" s="74">
        <v>26034</v>
      </c>
      <c r="B21242">
        <v>17.8</v>
      </c>
    </row>
    <row r="21243" spans="1:2" x14ac:dyDescent="0.25">
      <c r="A21243" s="74">
        <v>26035</v>
      </c>
      <c r="B21243">
        <v>15.3</v>
      </c>
    </row>
    <row r="21244" spans="1:2" x14ac:dyDescent="0.25">
      <c r="A21244" s="74">
        <v>26036</v>
      </c>
      <c r="B21244">
        <v>14.5</v>
      </c>
    </row>
    <row r="21245" spans="1:2" x14ac:dyDescent="0.25">
      <c r="A21245" s="74">
        <v>26037</v>
      </c>
      <c r="B21245">
        <v>15</v>
      </c>
    </row>
    <row r="21246" spans="1:2" x14ac:dyDescent="0.25">
      <c r="A21246" s="74">
        <v>26038</v>
      </c>
      <c r="B21246">
        <v>18.2</v>
      </c>
    </row>
    <row r="21247" spans="1:2" x14ac:dyDescent="0.25">
      <c r="A21247" s="74">
        <v>26039</v>
      </c>
      <c r="B21247">
        <v>15.3</v>
      </c>
    </row>
    <row r="21248" spans="1:2" x14ac:dyDescent="0.25">
      <c r="A21248" s="74">
        <v>26040</v>
      </c>
      <c r="B21248">
        <v>12.4</v>
      </c>
    </row>
    <row r="21249" spans="1:2" x14ac:dyDescent="0.25">
      <c r="A21249" s="74">
        <v>26041</v>
      </c>
      <c r="B21249">
        <v>12.4</v>
      </c>
    </row>
    <row r="21250" spans="1:2" x14ac:dyDescent="0.25">
      <c r="A21250" s="74">
        <v>26042</v>
      </c>
      <c r="B21250">
        <v>12.3</v>
      </c>
    </row>
    <row r="21251" spans="1:2" x14ac:dyDescent="0.25">
      <c r="A21251" s="74">
        <v>26043</v>
      </c>
      <c r="B21251">
        <v>12.4</v>
      </c>
    </row>
    <row r="21252" spans="1:2" x14ac:dyDescent="0.25">
      <c r="A21252" s="74">
        <v>26044</v>
      </c>
      <c r="B21252">
        <v>12.9</v>
      </c>
    </row>
    <row r="21253" spans="1:2" x14ac:dyDescent="0.25">
      <c r="A21253" s="74">
        <v>26045</v>
      </c>
      <c r="B21253">
        <v>12.6</v>
      </c>
    </row>
    <row r="21254" spans="1:2" x14ac:dyDescent="0.25">
      <c r="A21254" s="74">
        <v>26046</v>
      </c>
      <c r="B21254">
        <v>12.4</v>
      </c>
    </row>
    <row r="21255" spans="1:2" x14ac:dyDescent="0.25">
      <c r="A21255" s="74">
        <v>26047</v>
      </c>
      <c r="B21255">
        <v>10.7</v>
      </c>
    </row>
    <row r="21256" spans="1:2" x14ac:dyDescent="0.25">
      <c r="A21256" s="74">
        <v>26048</v>
      </c>
      <c r="B21256">
        <v>10.6</v>
      </c>
    </row>
    <row r="21257" spans="1:2" x14ac:dyDescent="0.25">
      <c r="A21257" s="74">
        <v>26049</v>
      </c>
      <c r="B21257">
        <v>22.7</v>
      </c>
    </row>
    <row r="21258" spans="1:2" x14ac:dyDescent="0.25">
      <c r="A21258" s="74">
        <v>26050</v>
      </c>
      <c r="B21258">
        <v>31.7</v>
      </c>
    </row>
    <row r="21259" spans="1:2" x14ac:dyDescent="0.25">
      <c r="A21259" s="74">
        <v>26051</v>
      </c>
      <c r="B21259">
        <v>30</v>
      </c>
    </row>
    <row r="21260" spans="1:2" x14ac:dyDescent="0.25">
      <c r="A21260" s="74">
        <v>26052</v>
      </c>
      <c r="B21260">
        <v>25.3</v>
      </c>
    </row>
    <row r="21261" spans="1:2" x14ac:dyDescent="0.25">
      <c r="A21261" s="74">
        <v>26053</v>
      </c>
      <c r="B21261">
        <v>24.2</v>
      </c>
    </row>
    <row r="21262" spans="1:2" x14ac:dyDescent="0.25">
      <c r="A21262" s="74">
        <v>26054</v>
      </c>
      <c r="B21262">
        <v>26.4</v>
      </c>
    </row>
    <row r="21263" spans="1:2" x14ac:dyDescent="0.25">
      <c r="A21263" s="74">
        <v>26055</v>
      </c>
      <c r="B21263">
        <v>31.1</v>
      </c>
    </row>
    <row r="21264" spans="1:2" x14ac:dyDescent="0.25">
      <c r="A21264" s="74">
        <v>26056</v>
      </c>
      <c r="B21264">
        <v>34.799999999999997</v>
      </c>
    </row>
    <row r="21265" spans="1:2" x14ac:dyDescent="0.25">
      <c r="A21265" s="74">
        <v>26057</v>
      </c>
      <c r="B21265">
        <v>37.1</v>
      </c>
    </row>
    <row r="21266" spans="1:2" x14ac:dyDescent="0.25">
      <c r="A21266" s="74">
        <v>26058</v>
      </c>
      <c r="B21266">
        <v>23.3</v>
      </c>
    </row>
    <row r="21267" spans="1:2" x14ac:dyDescent="0.25">
      <c r="A21267" s="74">
        <v>26059</v>
      </c>
      <c r="B21267">
        <v>23.1</v>
      </c>
    </row>
    <row r="21268" spans="1:2" x14ac:dyDescent="0.25">
      <c r="A21268" s="74">
        <v>26060</v>
      </c>
      <c r="B21268">
        <v>29.2</v>
      </c>
    </row>
    <row r="21269" spans="1:2" x14ac:dyDescent="0.25">
      <c r="A21269" s="74">
        <v>26061</v>
      </c>
      <c r="B21269">
        <v>26</v>
      </c>
    </row>
    <row r="21270" spans="1:2" x14ac:dyDescent="0.25">
      <c r="A21270" s="74">
        <v>26062</v>
      </c>
      <c r="B21270">
        <v>24.2</v>
      </c>
    </row>
    <row r="21271" spans="1:2" x14ac:dyDescent="0.25">
      <c r="A21271" s="74">
        <v>26063</v>
      </c>
      <c r="B21271">
        <v>21.2</v>
      </c>
    </row>
    <row r="21272" spans="1:2" x14ac:dyDescent="0.25">
      <c r="A21272" s="74">
        <v>26064</v>
      </c>
      <c r="B21272">
        <v>24.6</v>
      </c>
    </row>
    <row r="21273" spans="1:2" x14ac:dyDescent="0.25">
      <c r="A21273" s="74">
        <v>26065</v>
      </c>
      <c r="B21273">
        <v>31.7</v>
      </c>
    </row>
    <row r="21274" spans="1:2" x14ac:dyDescent="0.25">
      <c r="A21274" s="74">
        <v>26066</v>
      </c>
      <c r="B21274">
        <v>26.2</v>
      </c>
    </row>
    <row r="21275" spans="1:2" x14ac:dyDescent="0.25">
      <c r="A21275" s="74">
        <v>26067</v>
      </c>
      <c r="B21275">
        <v>21.2</v>
      </c>
    </row>
    <row r="21276" spans="1:2" x14ac:dyDescent="0.25">
      <c r="A21276" s="74">
        <v>26068</v>
      </c>
      <c r="B21276">
        <v>16.3</v>
      </c>
    </row>
    <row r="21277" spans="1:2" x14ac:dyDescent="0.25">
      <c r="A21277" s="74">
        <v>26069</v>
      </c>
      <c r="B21277">
        <v>17.399999999999999</v>
      </c>
    </row>
    <row r="21278" spans="1:2" x14ac:dyDescent="0.25">
      <c r="A21278" s="74">
        <v>26070</v>
      </c>
      <c r="B21278">
        <v>15.8</v>
      </c>
    </row>
    <row r="21279" spans="1:2" x14ac:dyDescent="0.25">
      <c r="A21279" s="74">
        <v>26071</v>
      </c>
      <c r="B21279">
        <v>13.3</v>
      </c>
    </row>
    <row r="21280" spans="1:2" x14ac:dyDescent="0.25">
      <c r="A21280" s="74">
        <v>26072</v>
      </c>
      <c r="B21280">
        <v>13.1</v>
      </c>
    </row>
    <row r="21281" spans="1:2" x14ac:dyDescent="0.25">
      <c r="A21281" s="74">
        <v>26073</v>
      </c>
      <c r="B21281">
        <v>12.6</v>
      </c>
    </row>
    <row r="21282" spans="1:2" x14ac:dyDescent="0.25">
      <c r="A21282" s="74">
        <v>26074</v>
      </c>
      <c r="B21282">
        <v>11.9</v>
      </c>
    </row>
    <row r="21283" spans="1:2" x14ac:dyDescent="0.25">
      <c r="A21283" s="74">
        <v>26075</v>
      </c>
      <c r="B21283">
        <v>14.8</v>
      </c>
    </row>
    <row r="21284" spans="1:2" x14ac:dyDescent="0.25">
      <c r="A21284" s="74">
        <v>26076</v>
      </c>
      <c r="B21284">
        <v>19.899999999999999</v>
      </c>
    </row>
    <row r="21285" spans="1:2" x14ac:dyDescent="0.25">
      <c r="A21285" s="74">
        <v>26077</v>
      </c>
      <c r="B21285">
        <v>22.7</v>
      </c>
    </row>
    <row r="21286" spans="1:2" x14ac:dyDescent="0.25">
      <c r="A21286" s="74">
        <v>26078</v>
      </c>
      <c r="B21286">
        <v>20.3</v>
      </c>
    </row>
    <row r="21287" spans="1:2" x14ac:dyDescent="0.25">
      <c r="A21287" s="74">
        <v>26079</v>
      </c>
      <c r="B21287">
        <v>18</v>
      </c>
    </row>
    <row r="21288" spans="1:2" x14ac:dyDescent="0.25">
      <c r="A21288" s="74">
        <v>26080</v>
      </c>
      <c r="B21288">
        <v>19.7</v>
      </c>
    </row>
    <row r="21289" spans="1:2" x14ac:dyDescent="0.25">
      <c r="A21289" s="74">
        <v>26081</v>
      </c>
      <c r="B21289">
        <v>19.899999999999999</v>
      </c>
    </row>
    <row r="21290" spans="1:2" x14ac:dyDescent="0.25">
      <c r="A21290" s="74">
        <v>26082</v>
      </c>
      <c r="B21290">
        <v>19.899999999999999</v>
      </c>
    </row>
    <row r="21291" spans="1:2" x14ac:dyDescent="0.25">
      <c r="A21291" s="74">
        <v>26083</v>
      </c>
      <c r="B21291">
        <v>16.3</v>
      </c>
    </row>
    <row r="21292" spans="1:2" x14ac:dyDescent="0.25">
      <c r="A21292" s="74">
        <v>26084</v>
      </c>
      <c r="B21292">
        <v>13.6</v>
      </c>
    </row>
    <row r="21293" spans="1:2" x14ac:dyDescent="0.25">
      <c r="A21293" s="74">
        <v>26085</v>
      </c>
      <c r="B21293">
        <v>15</v>
      </c>
    </row>
    <row r="21294" spans="1:2" x14ac:dyDescent="0.25">
      <c r="A21294" s="74">
        <v>26086</v>
      </c>
      <c r="B21294">
        <v>16</v>
      </c>
    </row>
    <row r="21295" spans="1:2" x14ac:dyDescent="0.25">
      <c r="A21295" s="74">
        <v>26087</v>
      </c>
      <c r="B21295">
        <v>16.8</v>
      </c>
    </row>
    <row r="21296" spans="1:2" x14ac:dyDescent="0.25">
      <c r="A21296" s="74">
        <v>26088</v>
      </c>
      <c r="B21296">
        <v>15.1</v>
      </c>
    </row>
    <row r="21297" spans="1:2" x14ac:dyDescent="0.25">
      <c r="A21297" s="74">
        <v>26089</v>
      </c>
      <c r="B21297">
        <v>14</v>
      </c>
    </row>
    <row r="21298" spans="1:2" x14ac:dyDescent="0.25">
      <c r="A21298" s="74">
        <v>26090</v>
      </c>
      <c r="B21298">
        <v>13.6</v>
      </c>
    </row>
    <row r="21299" spans="1:2" x14ac:dyDescent="0.25">
      <c r="A21299" s="74">
        <v>26091</v>
      </c>
      <c r="B21299">
        <v>16.2</v>
      </c>
    </row>
    <row r="21300" spans="1:2" x14ac:dyDescent="0.25">
      <c r="A21300" s="74">
        <v>26092</v>
      </c>
      <c r="B21300">
        <v>14.1</v>
      </c>
    </row>
    <row r="21301" spans="1:2" x14ac:dyDescent="0.25">
      <c r="A21301" s="74">
        <v>26093</v>
      </c>
      <c r="B21301">
        <v>11.9</v>
      </c>
    </row>
    <row r="21302" spans="1:2" x14ac:dyDescent="0.25">
      <c r="A21302" s="74">
        <v>26094</v>
      </c>
      <c r="B21302">
        <v>11.2</v>
      </c>
    </row>
    <row r="21303" spans="1:2" x14ac:dyDescent="0.25">
      <c r="A21303" s="74">
        <v>26095</v>
      </c>
      <c r="B21303">
        <v>13.6</v>
      </c>
    </row>
    <row r="21304" spans="1:2" x14ac:dyDescent="0.25">
      <c r="A21304" s="74">
        <v>26096</v>
      </c>
      <c r="B21304">
        <v>12.1</v>
      </c>
    </row>
    <row r="21305" spans="1:2" x14ac:dyDescent="0.25">
      <c r="A21305" s="74">
        <v>26097</v>
      </c>
      <c r="B21305">
        <v>10.6</v>
      </c>
    </row>
    <row r="21306" spans="1:2" x14ac:dyDescent="0.25">
      <c r="A21306" s="74">
        <v>26098</v>
      </c>
      <c r="B21306">
        <v>9.8000000000000007</v>
      </c>
    </row>
    <row r="21307" spans="1:2" x14ac:dyDescent="0.25">
      <c r="A21307" s="74">
        <v>26099</v>
      </c>
      <c r="B21307">
        <v>9.8000000000000007</v>
      </c>
    </row>
    <row r="21308" spans="1:2" x14ac:dyDescent="0.25">
      <c r="A21308" s="74">
        <v>26100</v>
      </c>
      <c r="B21308">
        <v>10.1</v>
      </c>
    </row>
    <row r="21309" spans="1:2" x14ac:dyDescent="0.25">
      <c r="A21309" s="74">
        <v>26101</v>
      </c>
      <c r="B21309">
        <v>9.0299999999999994</v>
      </c>
    </row>
    <row r="21310" spans="1:2" x14ac:dyDescent="0.25">
      <c r="A21310" s="74">
        <v>26102</v>
      </c>
      <c r="B21310">
        <v>10.6</v>
      </c>
    </row>
    <row r="21311" spans="1:2" x14ac:dyDescent="0.25">
      <c r="A21311" s="74">
        <v>26103</v>
      </c>
      <c r="B21311">
        <v>11.3</v>
      </c>
    </row>
    <row r="21312" spans="1:2" x14ac:dyDescent="0.25">
      <c r="A21312" s="74">
        <v>26104</v>
      </c>
      <c r="B21312">
        <v>12.6</v>
      </c>
    </row>
    <row r="21313" spans="1:2" x14ac:dyDescent="0.25">
      <c r="A21313" s="74">
        <v>26105</v>
      </c>
      <c r="B21313">
        <v>14</v>
      </c>
    </row>
    <row r="21314" spans="1:2" x14ac:dyDescent="0.25">
      <c r="A21314" s="74">
        <v>26106</v>
      </c>
      <c r="B21314">
        <v>16.3</v>
      </c>
    </row>
    <row r="21315" spans="1:2" x14ac:dyDescent="0.25">
      <c r="A21315" s="74">
        <v>26107</v>
      </c>
      <c r="B21315">
        <v>15.7</v>
      </c>
    </row>
    <row r="21316" spans="1:2" x14ac:dyDescent="0.25">
      <c r="A21316" s="74">
        <v>26108</v>
      </c>
      <c r="B21316">
        <v>12.4</v>
      </c>
    </row>
    <row r="21317" spans="1:2" x14ac:dyDescent="0.25">
      <c r="A21317" s="74">
        <v>26109</v>
      </c>
      <c r="B21317">
        <v>22.5</v>
      </c>
    </row>
    <row r="21318" spans="1:2" x14ac:dyDescent="0.25">
      <c r="A21318" s="74">
        <v>26110</v>
      </c>
      <c r="B21318">
        <v>21</v>
      </c>
    </row>
    <row r="21319" spans="1:2" x14ac:dyDescent="0.25">
      <c r="A21319" s="74">
        <v>26111</v>
      </c>
      <c r="B21319">
        <v>14.6</v>
      </c>
    </row>
    <row r="21320" spans="1:2" x14ac:dyDescent="0.25">
      <c r="A21320" s="74">
        <v>26112</v>
      </c>
      <c r="B21320">
        <v>11.3</v>
      </c>
    </row>
    <row r="21321" spans="1:2" x14ac:dyDescent="0.25">
      <c r="A21321" s="74">
        <v>26113</v>
      </c>
      <c r="B21321">
        <v>9.94</v>
      </c>
    </row>
    <row r="21322" spans="1:2" x14ac:dyDescent="0.25">
      <c r="A21322" s="74">
        <v>26114</v>
      </c>
      <c r="B21322">
        <v>9.0299999999999994</v>
      </c>
    </row>
    <row r="21323" spans="1:2" x14ac:dyDescent="0.25">
      <c r="A21323" s="74">
        <v>26115</v>
      </c>
      <c r="B21323">
        <v>8.89</v>
      </c>
    </row>
    <row r="21324" spans="1:2" x14ac:dyDescent="0.25">
      <c r="A21324" s="74">
        <v>26116</v>
      </c>
      <c r="B21324">
        <v>8.07</v>
      </c>
    </row>
    <row r="21325" spans="1:2" x14ac:dyDescent="0.25">
      <c r="A21325" s="74">
        <v>26117</v>
      </c>
      <c r="B21325">
        <v>8.35</v>
      </c>
    </row>
    <row r="21326" spans="1:2" x14ac:dyDescent="0.25">
      <c r="A21326" s="74">
        <v>26118</v>
      </c>
      <c r="B21326">
        <v>8.07</v>
      </c>
    </row>
    <row r="21327" spans="1:2" x14ac:dyDescent="0.25">
      <c r="A21327" s="74">
        <v>26119</v>
      </c>
      <c r="B21327">
        <v>7.79</v>
      </c>
    </row>
    <row r="21328" spans="1:2" x14ac:dyDescent="0.25">
      <c r="A21328" s="74">
        <v>26120</v>
      </c>
      <c r="B21328">
        <v>6.43</v>
      </c>
    </row>
    <row r="21329" spans="1:2" x14ac:dyDescent="0.25">
      <c r="A21329" s="74">
        <v>26121</v>
      </c>
      <c r="B21329">
        <v>6.43</v>
      </c>
    </row>
    <row r="21330" spans="1:2" x14ac:dyDescent="0.25">
      <c r="A21330" s="74">
        <v>26122</v>
      </c>
      <c r="B21330">
        <v>6.74</v>
      </c>
    </row>
    <row r="21331" spans="1:2" x14ac:dyDescent="0.25">
      <c r="A21331" s="74">
        <v>26123</v>
      </c>
      <c r="B21331">
        <v>7.08</v>
      </c>
    </row>
    <row r="21332" spans="1:2" x14ac:dyDescent="0.25">
      <c r="A21332" s="74">
        <v>26124</v>
      </c>
      <c r="B21332">
        <v>6.97</v>
      </c>
    </row>
    <row r="21333" spans="1:2" x14ac:dyDescent="0.25">
      <c r="A21333" s="74">
        <v>26125</v>
      </c>
      <c r="B21333">
        <v>8.4700000000000006</v>
      </c>
    </row>
    <row r="21334" spans="1:2" x14ac:dyDescent="0.25">
      <c r="A21334" s="74">
        <v>26126</v>
      </c>
      <c r="B21334">
        <v>8.07</v>
      </c>
    </row>
    <row r="21335" spans="1:2" x14ac:dyDescent="0.25">
      <c r="A21335" s="74">
        <v>26127</v>
      </c>
      <c r="B21335">
        <v>6.74</v>
      </c>
    </row>
    <row r="21336" spans="1:2" x14ac:dyDescent="0.25">
      <c r="A21336" s="74">
        <v>26128</v>
      </c>
      <c r="B21336">
        <v>7.65</v>
      </c>
    </row>
    <row r="21337" spans="1:2" x14ac:dyDescent="0.25">
      <c r="A21337" s="74">
        <v>26129</v>
      </c>
      <c r="B21337">
        <v>7.93</v>
      </c>
    </row>
    <row r="21338" spans="1:2" x14ac:dyDescent="0.25">
      <c r="A21338" s="74">
        <v>26130</v>
      </c>
      <c r="B21338">
        <v>8.2100000000000009</v>
      </c>
    </row>
    <row r="21339" spans="1:2" x14ac:dyDescent="0.25">
      <c r="A21339" s="74">
        <v>26131</v>
      </c>
      <c r="B21339">
        <v>7.31</v>
      </c>
    </row>
    <row r="21340" spans="1:2" x14ac:dyDescent="0.25">
      <c r="A21340" s="74">
        <v>26132</v>
      </c>
      <c r="B21340">
        <v>7.93</v>
      </c>
    </row>
    <row r="21341" spans="1:2" x14ac:dyDescent="0.25">
      <c r="A21341" s="74">
        <v>26133</v>
      </c>
      <c r="B21341">
        <v>9.34</v>
      </c>
    </row>
    <row r="21342" spans="1:2" x14ac:dyDescent="0.25">
      <c r="A21342" s="74">
        <v>26134</v>
      </c>
      <c r="B21342">
        <v>8.75</v>
      </c>
    </row>
    <row r="21343" spans="1:2" x14ac:dyDescent="0.25">
      <c r="A21343" s="74">
        <v>26135</v>
      </c>
      <c r="B21343">
        <v>8.2100000000000009</v>
      </c>
    </row>
    <row r="21344" spans="1:2" x14ac:dyDescent="0.25">
      <c r="A21344" s="74">
        <v>26136</v>
      </c>
      <c r="B21344">
        <v>7.53</v>
      </c>
    </row>
    <row r="21345" spans="1:2" x14ac:dyDescent="0.25">
      <c r="A21345" s="74">
        <v>26137</v>
      </c>
      <c r="B21345">
        <v>7.19</v>
      </c>
    </row>
    <row r="21346" spans="1:2" x14ac:dyDescent="0.25">
      <c r="A21346" s="74">
        <v>26138</v>
      </c>
      <c r="B21346">
        <v>6.23</v>
      </c>
    </row>
    <row r="21347" spans="1:2" x14ac:dyDescent="0.25">
      <c r="A21347" s="74">
        <v>26139</v>
      </c>
      <c r="B21347">
        <v>5.64</v>
      </c>
    </row>
    <row r="21348" spans="1:2" x14ac:dyDescent="0.25">
      <c r="A21348" s="74">
        <v>26140</v>
      </c>
      <c r="B21348">
        <v>5.72</v>
      </c>
    </row>
    <row r="21349" spans="1:2" x14ac:dyDescent="0.25">
      <c r="A21349" s="74">
        <v>26141</v>
      </c>
      <c r="B21349">
        <v>5.64</v>
      </c>
    </row>
    <row r="21350" spans="1:2" x14ac:dyDescent="0.25">
      <c r="A21350" s="74">
        <v>26142</v>
      </c>
      <c r="B21350">
        <v>5.04</v>
      </c>
    </row>
    <row r="21351" spans="1:2" x14ac:dyDescent="0.25">
      <c r="A21351" s="74">
        <v>26143</v>
      </c>
      <c r="B21351">
        <v>5.04</v>
      </c>
    </row>
    <row r="21352" spans="1:2" x14ac:dyDescent="0.25">
      <c r="A21352" s="74">
        <v>26144</v>
      </c>
      <c r="B21352">
        <v>4.53</v>
      </c>
    </row>
    <row r="21353" spans="1:2" x14ac:dyDescent="0.25">
      <c r="A21353" s="74">
        <v>26145</v>
      </c>
      <c r="B21353">
        <v>4.45</v>
      </c>
    </row>
    <row r="21354" spans="1:2" x14ac:dyDescent="0.25">
      <c r="A21354" s="74">
        <v>26146</v>
      </c>
      <c r="B21354">
        <v>4.53</v>
      </c>
    </row>
    <row r="21355" spans="1:2" x14ac:dyDescent="0.25">
      <c r="A21355" s="74">
        <v>26147</v>
      </c>
      <c r="B21355">
        <v>3.62</v>
      </c>
    </row>
    <row r="21356" spans="1:2" x14ac:dyDescent="0.25">
      <c r="A21356" s="74">
        <v>26148</v>
      </c>
      <c r="B21356">
        <v>3</v>
      </c>
    </row>
    <row r="21357" spans="1:2" x14ac:dyDescent="0.25">
      <c r="A21357" s="74">
        <v>26149</v>
      </c>
      <c r="B21357">
        <v>3</v>
      </c>
    </row>
    <row r="21358" spans="1:2" x14ac:dyDescent="0.25">
      <c r="A21358" s="74">
        <v>26150</v>
      </c>
      <c r="B21358">
        <v>2.94</v>
      </c>
    </row>
    <row r="21359" spans="1:2" x14ac:dyDescent="0.25">
      <c r="A21359" s="74">
        <v>26151</v>
      </c>
      <c r="B21359">
        <v>2.61</v>
      </c>
    </row>
    <row r="21360" spans="1:2" x14ac:dyDescent="0.25">
      <c r="A21360" s="74">
        <v>26152</v>
      </c>
      <c r="B21360">
        <v>2.3199999999999998</v>
      </c>
    </row>
    <row r="21361" spans="1:2" x14ac:dyDescent="0.25">
      <c r="A21361" s="74">
        <v>26153</v>
      </c>
      <c r="B21361">
        <v>1.93</v>
      </c>
    </row>
    <row r="21362" spans="1:2" x14ac:dyDescent="0.25">
      <c r="A21362" s="74">
        <v>26154</v>
      </c>
      <c r="B21362">
        <v>1.93</v>
      </c>
    </row>
    <row r="21363" spans="1:2" x14ac:dyDescent="0.25">
      <c r="A21363" s="74">
        <v>26155</v>
      </c>
      <c r="B21363">
        <v>1.93</v>
      </c>
    </row>
    <row r="21364" spans="1:2" x14ac:dyDescent="0.25">
      <c r="A21364" s="74">
        <v>26156</v>
      </c>
      <c r="B21364">
        <v>1.93</v>
      </c>
    </row>
    <row r="21365" spans="1:2" x14ac:dyDescent="0.25">
      <c r="A21365" s="74">
        <v>26157</v>
      </c>
      <c r="B21365">
        <v>1.87</v>
      </c>
    </row>
    <row r="21366" spans="1:2" x14ac:dyDescent="0.25">
      <c r="A21366" s="74">
        <v>26158</v>
      </c>
      <c r="B21366">
        <v>1.79</v>
      </c>
    </row>
    <row r="21367" spans="1:2" x14ac:dyDescent="0.25">
      <c r="A21367" s="74">
        <v>26159</v>
      </c>
      <c r="B21367">
        <v>1.79</v>
      </c>
    </row>
    <row r="21368" spans="1:2" x14ac:dyDescent="0.25">
      <c r="A21368" s="74">
        <v>26160</v>
      </c>
      <c r="B21368">
        <v>1.83</v>
      </c>
    </row>
    <row r="21369" spans="1:2" x14ac:dyDescent="0.25">
      <c r="A21369" s="74">
        <v>26161</v>
      </c>
      <c r="B21369">
        <v>1.63</v>
      </c>
    </row>
    <row r="21370" spans="1:2" x14ac:dyDescent="0.25">
      <c r="A21370" s="74">
        <v>26162</v>
      </c>
      <c r="B21370">
        <v>1.51</v>
      </c>
    </row>
    <row r="21371" spans="1:2" x14ac:dyDescent="0.25">
      <c r="A21371" s="74">
        <v>26163</v>
      </c>
      <c r="B21371">
        <v>1.43</v>
      </c>
    </row>
    <row r="21372" spans="1:2" x14ac:dyDescent="0.25">
      <c r="A21372" s="74">
        <v>26164</v>
      </c>
      <c r="B21372">
        <v>1.35</v>
      </c>
    </row>
    <row r="21373" spans="1:2" x14ac:dyDescent="0.25">
      <c r="A21373" s="74">
        <v>26165</v>
      </c>
      <c r="B21373">
        <v>1.35</v>
      </c>
    </row>
    <row r="21374" spans="1:2" x14ac:dyDescent="0.25">
      <c r="A21374" s="74">
        <v>26166</v>
      </c>
      <c r="B21374">
        <v>1.59</v>
      </c>
    </row>
    <row r="21375" spans="1:2" x14ac:dyDescent="0.25">
      <c r="A21375" s="74">
        <v>26167</v>
      </c>
      <c r="B21375">
        <v>3.68</v>
      </c>
    </row>
    <row r="21376" spans="1:2" x14ac:dyDescent="0.25">
      <c r="A21376" s="74">
        <v>26168</v>
      </c>
      <c r="B21376">
        <v>2.81</v>
      </c>
    </row>
    <row r="21377" spans="1:2" x14ac:dyDescent="0.25">
      <c r="A21377" s="74">
        <v>26169</v>
      </c>
      <c r="B21377">
        <v>2.04</v>
      </c>
    </row>
    <row r="21378" spans="1:2" x14ac:dyDescent="0.25">
      <c r="A21378" s="74">
        <v>26170</v>
      </c>
      <c r="B21378">
        <v>1.75</v>
      </c>
    </row>
    <row r="21379" spans="1:2" x14ac:dyDescent="0.25">
      <c r="A21379" s="74">
        <v>26171</v>
      </c>
      <c r="B21379">
        <v>1.59</v>
      </c>
    </row>
    <row r="21380" spans="1:2" x14ac:dyDescent="0.25">
      <c r="A21380" s="74">
        <v>26172</v>
      </c>
      <c r="B21380">
        <v>1.35</v>
      </c>
    </row>
    <row r="21381" spans="1:2" x14ac:dyDescent="0.25">
      <c r="A21381" s="74">
        <v>26173</v>
      </c>
      <c r="B21381">
        <v>1.23</v>
      </c>
    </row>
    <row r="21382" spans="1:2" x14ac:dyDescent="0.25">
      <c r="A21382" s="74">
        <v>26174</v>
      </c>
      <c r="B21382">
        <v>1.1599999999999999</v>
      </c>
    </row>
    <row r="21383" spans="1:2" x14ac:dyDescent="0.25">
      <c r="A21383" s="74">
        <v>26175</v>
      </c>
      <c r="B21383">
        <v>1.1599999999999999</v>
      </c>
    </row>
    <row r="21384" spans="1:2" x14ac:dyDescent="0.25">
      <c r="A21384" s="74">
        <v>26176</v>
      </c>
      <c r="B21384">
        <v>1.19</v>
      </c>
    </row>
    <row r="21385" spans="1:2" x14ac:dyDescent="0.25">
      <c r="A21385" s="74">
        <v>26177</v>
      </c>
      <c r="B21385">
        <v>1.23</v>
      </c>
    </row>
    <row r="21386" spans="1:2" x14ac:dyDescent="0.25">
      <c r="A21386" s="74">
        <v>26178</v>
      </c>
      <c r="B21386">
        <v>1.35</v>
      </c>
    </row>
    <row r="21387" spans="1:2" x14ac:dyDescent="0.25">
      <c r="A21387" s="74">
        <v>26179</v>
      </c>
      <c r="B21387">
        <v>1.35</v>
      </c>
    </row>
    <row r="21388" spans="1:2" x14ac:dyDescent="0.25">
      <c r="A21388" s="74">
        <v>26180</v>
      </c>
      <c r="B21388">
        <v>1.31</v>
      </c>
    </row>
    <row r="21389" spans="1:2" x14ac:dyDescent="0.25">
      <c r="A21389" s="74">
        <v>26181</v>
      </c>
      <c r="B21389">
        <v>1.83</v>
      </c>
    </row>
    <row r="21390" spans="1:2" x14ac:dyDescent="0.25">
      <c r="A21390" s="74">
        <v>26182</v>
      </c>
      <c r="B21390">
        <v>2.62</v>
      </c>
    </row>
    <row r="21391" spans="1:2" x14ac:dyDescent="0.25">
      <c r="A21391" s="74">
        <v>26183</v>
      </c>
      <c r="B21391">
        <v>2.04</v>
      </c>
    </row>
    <row r="21392" spans="1:2" x14ac:dyDescent="0.25">
      <c r="A21392" s="74">
        <v>26184</v>
      </c>
      <c r="B21392">
        <v>2.04</v>
      </c>
    </row>
    <row r="21393" spans="1:2" x14ac:dyDescent="0.25">
      <c r="A21393" s="74">
        <v>26185</v>
      </c>
      <c r="B21393">
        <v>2.04</v>
      </c>
    </row>
    <row r="21394" spans="1:2" x14ac:dyDescent="0.25">
      <c r="A21394" s="74">
        <v>26186</v>
      </c>
      <c r="B21394">
        <v>1.98</v>
      </c>
    </row>
    <row r="21395" spans="1:2" x14ac:dyDescent="0.25">
      <c r="A21395" s="74">
        <v>26187</v>
      </c>
      <c r="B21395">
        <v>5.32</v>
      </c>
    </row>
    <row r="21396" spans="1:2" x14ac:dyDescent="0.25">
      <c r="A21396" s="74">
        <v>26188</v>
      </c>
      <c r="B21396">
        <v>4.6399999999999997</v>
      </c>
    </row>
    <row r="21397" spans="1:2" x14ac:dyDescent="0.25">
      <c r="A21397" s="74">
        <v>26189</v>
      </c>
      <c r="B21397">
        <v>4.3600000000000003</v>
      </c>
    </row>
    <row r="21398" spans="1:2" x14ac:dyDescent="0.25">
      <c r="A21398" s="74">
        <v>26190</v>
      </c>
      <c r="B21398">
        <v>3.37</v>
      </c>
    </row>
    <row r="21399" spans="1:2" x14ac:dyDescent="0.25">
      <c r="A21399" s="74">
        <v>26191</v>
      </c>
      <c r="B21399">
        <v>2.81</v>
      </c>
    </row>
    <row r="21400" spans="1:2" x14ac:dyDescent="0.25">
      <c r="A21400" s="74">
        <v>26192</v>
      </c>
      <c r="B21400">
        <v>2.3199999999999998</v>
      </c>
    </row>
    <row r="21401" spans="1:2" x14ac:dyDescent="0.25">
      <c r="A21401" s="74">
        <v>26193</v>
      </c>
      <c r="B21401">
        <v>1.87</v>
      </c>
    </row>
    <row r="21402" spans="1:2" x14ac:dyDescent="0.25">
      <c r="A21402" s="74">
        <v>26194</v>
      </c>
      <c r="B21402">
        <v>1.67</v>
      </c>
    </row>
    <row r="21403" spans="1:2" x14ac:dyDescent="0.25">
      <c r="A21403" s="74">
        <v>26195</v>
      </c>
      <c r="B21403">
        <v>1.51</v>
      </c>
    </row>
    <row r="21404" spans="1:2" x14ac:dyDescent="0.25">
      <c r="A21404" s="74">
        <v>26196</v>
      </c>
      <c r="B21404">
        <v>1.39</v>
      </c>
    </row>
    <row r="21405" spans="1:2" x14ac:dyDescent="0.25">
      <c r="A21405" s="74">
        <v>26197</v>
      </c>
      <c r="B21405">
        <v>1.19</v>
      </c>
    </row>
    <row r="21406" spans="1:2" x14ac:dyDescent="0.25">
      <c r="A21406" s="74">
        <v>26198</v>
      </c>
      <c r="B21406">
        <v>1.19</v>
      </c>
    </row>
    <row r="21407" spans="1:2" x14ac:dyDescent="0.25">
      <c r="A21407" s="74">
        <v>26199</v>
      </c>
      <c r="B21407">
        <v>1.19</v>
      </c>
    </row>
    <row r="21408" spans="1:2" x14ac:dyDescent="0.25">
      <c r="A21408" s="74">
        <v>26200</v>
      </c>
      <c r="B21408">
        <v>1.1599999999999999</v>
      </c>
    </row>
    <row r="21409" spans="1:2" x14ac:dyDescent="0.25">
      <c r="A21409" s="74">
        <v>26201</v>
      </c>
      <c r="B21409">
        <v>1.27</v>
      </c>
    </row>
    <row r="21410" spans="1:2" x14ac:dyDescent="0.25">
      <c r="A21410" s="74">
        <v>26202</v>
      </c>
      <c r="B21410">
        <v>1.23</v>
      </c>
    </row>
    <row r="21411" spans="1:2" x14ac:dyDescent="0.25">
      <c r="A21411" s="74">
        <v>26203</v>
      </c>
      <c r="B21411">
        <v>1.23</v>
      </c>
    </row>
    <row r="21412" spans="1:2" x14ac:dyDescent="0.25">
      <c r="A21412" s="74">
        <v>26204</v>
      </c>
      <c r="B21412">
        <v>1.23</v>
      </c>
    </row>
    <row r="21413" spans="1:2" x14ac:dyDescent="0.25">
      <c r="A21413" s="74">
        <v>26205</v>
      </c>
      <c r="B21413">
        <v>2.1</v>
      </c>
    </row>
    <row r="21414" spans="1:2" x14ac:dyDescent="0.25">
      <c r="A21414" s="74">
        <v>26206</v>
      </c>
      <c r="B21414">
        <v>2.38</v>
      </c>
    </row>
    <row r="21415" spans="1:2" x14ac:dyDescent="0.25">
      <c r="A21415" s="74">
        <v>26207</v>
      </c>
    </row>
    <row r="21416" spans="1:2" x14ac:dyDescent="0.25">
      <c r="A21416" s="74">
        <v>26208</v>
      </c>
    </row>
    <row r="21417" spans="1:2" x14ac:dyDescent="0.25">
      <c r="A21417" s="74">
        <v>26209</v>
      </c>
    </row>
    <row r="21418" spans="1:2" x14ac:dyDescent="0.25">
      <c r="A21418" s="74">
        <v>26210</v>
      </c>
    </row>
    <row r="21419" spans="1:2" x14ac:dyDescent="0.25">
      <c r="A21419" s="74">
        <v>26211</v>
      </c>
    </row>
    <row r="21420" spans="1:2" x14ac:dyDescent="0.25">
      <c r="A21420" s="74">
        <v>26212</v>
      </c>
    </row>
    <row r="21421" spans="1:2" x14ac:dyDescent="0.25">
      <c r="A21421" s="74">
        <v>26213</v>
      </c>
    </row>
    <row r="21422" spans="1:2" x14ac:dyDescent="0.25">
      <c r="A21422" s="74">
        <v>26214</v>
      </c>
    </row>
    <row r="21423" spans="1:2" x14ac:dyDescent="0.25">
      <c r="A21423" s="74">
        <v>26215</v>
      </c>
    </row>
    <row r="21424" spans="1:2" x14ac:dyDescent="0.25">
      <c r="A21424" s="74">
        <v>26216</v>
      </c>
    </row>
    <row r="21425" spans="1:1" x14ac:dyDescent="0.25">
      <c r="A21425" s="74">
        <v>26217</v>
      </c>
    </row>
    <row r="21426" spans="1:1" x14ac:dyDescent="0.25">
      <c r="A21426" s="74">
        <v>26218</v>
      </c>
    </row>
    <row r="21427" spans="1:1" x14ac:dyDescent="0.25">
      <c r="A21427" s="74">
        <v>26219</v>
      </c>
    </row>
    <row r="21428" spans="1:1" x14ac:dyDescent="0.25">
      <c r="A21428" s="74">
        <v>26220</v>
      </c>
    </row>
    <row r="21429" spans="1:1" x14ac:dyDescent="0.25">
      <c r="A21429" s="74">
        <v>26221</v>
      </c>
    </row>
    <row r="21430" spans="1:1" x14ac:dyDescent="0.25">
      <c r="A21430" s="74">
        <v>26222</v>
      </c>
    </row>
    <row r="21431" spans="1:1" x14ac:dyDescent="0.25">
      <c r="A21431" s="74">
        <v>26223</v>
      </c>
    </row>
    <row r="21432" spans="1:1" x14ac:dyDescent="0.25">
      <c r="A21432" s="74">
        <v>26224</v>
      </c>
    </row>
    <row r="21433" spans="1:1" x14ac:dyDescent="0.25">
      <c r="A21433" s="74">
        <v>26225</v>
      </c>
    </row>
    <row r="21434" spans="1:1" x14ac:dyDescent="0.25">
      <c r="A21434" s="74">
        <v>26226</v>
      </c>
    </row>
    <row r="21435" spans="1:1" x14ac:dyDescent="0.25">
      <c r="A21435" s="74">
        <v>26227</v>
      </c>
    </row>
    <row r="21436" spans="1:1" x14ac:dyDescent="0.25">
      <c r="A21436" s="74">
        <v>26228</v>
      </c>
    </row>
    <row r="21437" spans="1:1" x14ac:dyDescent="0.25">
      <c r="A21437" s="74">
        <v>26229</v>
      </c>
    </row>
    <row r="21438" spans="1:1" x14ac:dyDescent="0.25">
      <c r="A21438" s="74">
        <v>26230</v>
      </c>
    </row>
    <row r="21439" spans="1:1" x14ac:dyDescent="0.25">
      <c r="A21439" s="74">
        <v>26231</v>
      </c>
    </row>
    <row r="21440" spans="1:1" x14ac:dyDescent="0.25">
      <c r="A21440" s="74">
        <v>26232</v>
      </c>
    </row>
    <row r="21441" spans="1:1" x14ac:dyDescent="0.25">
      <c r="A21441" s="74">
        <v>26233</v>
      </c>
    </row>
    <row r="21442" spans="1:1" x14ac:dyDescent="0.25">
      <c r="A21442" s="74">
        <v>26234</v>
      </c>
    </row>
    <row r="21443" spans="1:1" x14ac:dyDescent="0.25">
      <c r="A21443" s="74">
        <v>26235</v>
      </c>
    </row>
    <row r="21444" spans="1:1" x14ac:dyDescent="0.25">
      <c r="A21444" s="74">
        <v>26236</v>
      </c>
    </row>
    <row r="21445" spans="1:1" x14ac:dyDescent="0.25">
      <c r="A21445" s="74">
        <v>26237</v>
      </c>
    </row>
    <row r="21446" spans="1:1" x14ac:dyDescent="0.25">
      <c r="A21446" s="74">
        <v>26238</v>
      </c>
    </row>
    <row r="21447" spans="1:1" x14ac:dyDescent="0.25">
      <c r="A21447" s="74">
        <v>26239</v>
      </c>
    </row>
    <row r="21448" spans="1:1" x14ac:dyDescent="0.25">
      <c r="A21448" s="74">
        <v>26240</v>
      </c>
    </row>
    <row r="21449" spans="1:1" x14ac:dyDescent="0.25">
      <c r="A21449" s="74">
        <v>26241</v>
      </c>
    </row>
    <row r="21450" spans="1:1" x14ac:dyDescent="0.25">
      <c r="A21450" s="74">
        <v>26242</v>
      </c>
    </row>
    <row r="21451" spans="1:1" x14ac:dyDescent="0.25">
      <c r="A21451" s="74">
        <v>26243</v>
      </c>
    </row>
    <row r="21452" spans="1:1" x14ac:dyDescent="0.25">
      <c r="A21452" s="74">
        <v>26244</v>
      </c>
    </row>
    <row r="21453" spans="1:1" x14ac:dyDescent="0.25">
      <c r="A21453" s="74">
        <v>26245</v>
      </c>
    </row>
    <row r="21454" spans="1:1" x14ac:dyDescent="0.25">
      <c r="A21454" s="74">
        <v>26246</v>
      </c>
    </row>
    <row r="21455" spans="1:1" x14ac:dyDescent="0.25">
      <c r="A21455" s="74">
        <v>26247</v>
      </c>
    </row>
    <row r="21456" spans="1:1" x14ac:dyDescent="0.25">
      <c r="A21456" s="74">
        <v>26248</v>
      </c>
    </row>
    <row r="21457" spans="1:1" x14ac:dyDescent="0.25">
      <c r="A21457" s="74">
        <v>26249</v>
      </c>
    </row>
    <row r="21458" spans="1:1" x14ac:dyDescent="0.25">
      <c r="A21458" s="74">
        <v>26250</v>
      </c>
    </row>
    <row r="21459" spans="1:1" x14ac:dyDescent="0.25">
      <c r="A21459" s="74">
        <v>26251</v>
      </c>
    </row>
    <row r="21460" spans="1:1" x14ac:dyDescent="0.25">
      <c r="A21460" s="74">
        <v>26252</v>
      </c>
    </row>
    <row r="21461" spans="1:1" x14ac:dyDescent="0.25">
      <c r="A21461" s="74">
        <v>26253</v>
      </c>
    </row>
    <row r="21462" spans="1:1" x14ac:dyDescent="0.25">
      <c r="A21462" s="74">
        <v>26254</v>
      </c>
    </row>
    <row r="21463" spans="1:1" x14ac:dyDescent="0.25">
      <c r="A21463" s="74">
        <v>26255</v>
      </c>
    </row>
    <row r="21464" spans="1:1" x14ac:dyDescent="0.25">
      <c r="A21464" s="74">
        <v>26256</v>
      </c>
    </row>
    <row r="21465" spans="1:1" x14ac:dyDescent="0.25">
      <c r="A21465" s="74">
        <v>26257</v>
      </c>
    </row>
    <row r="21466" spans="1:1" x14ac:dyDescent="0.25">
      <c r="A21466" s="74">
        <v>26258</v>
      </c>
    </row>
    <row r="21467" spans="1:1" x14ac:dyDescent="0.25">
      <c r="A21467" s="74">
        <v>26259</v>
      </c>
    </row>
    <row r="21468" spans="1:1" x14ac:dyDescent="0.25">
      <c r="A21468" s="74">
        <v>26260</v>
      </c>
    </row>
    <row r="21469" spans="1:1" x14ac:dyDescent="0.25">
      <c r="A21469" s="74">
        <v>26261</v>
      </c>
    </row>
    <row r="21470" spans="1:1" x14ac:dyDescent="0.25">
      <c r="A21470" s="74">
        <v>26262</v>
      </c>
    </row>
    <row r="21471" spans="1:1" x14ac:dyDescent="0.25">
      <c r="A21471" s="74">
        <v>26263</v>
      </c>
    </row>
    <row r="21472" spans="1:1" x14ac:dyDescent="0.25">
      <c r="A21472" s="74">
        <v>26264</v>
      </c>
    </row>
    <row r="21473" spans="1:1" x14ac:dyDescent="0.25">
      <c r="A21473" s="74">
        <v>26265</v>
      </c>
    </row>
    <row r="21474" spans="1:1" x14ac:dyDescent="0.25">
      <c r="A21474" s="74">
        <v>26266</v>
      </c>
    </row>
    <row r="21475" spans="1:1" x14ac:dyDescent="0.25">
      <c r="A21475" s="74">
        <v>26267</v>
      </c>
    </row>
    <row r="21476" spans="1:1" x14ac:dyDescent="0.25">
      <c r="A21476" s="74">
        <v>26268</v>
      </c>
    </row>
    <row r="21477" spans="1:1" x14ac:dyDescent="0.25">
      <c r="A21477" s="74">
        <v>26269</v>
      </c>
    </row>
    <row r="21478" spans="1:1" x14ac:dyDescent="0.25">
      <c r="A21478" s="74">
        <v>26270</v>
      </c>
    </row>
    <row r="21479" spans="1:1" x14ac:dyDescent="0.25">
      <c r="A21479" s="74">
        <v>26271</v>
      </c>
    </row>
    <row r="21480" spans="1:1" x14ac:dyDescent="0.25">
      <c r="A21480" s="74">
        <v>26272</v>
      </c>
    </row>
    <row r="21481" spans="1:1" x14ac:dyDescent="0.25">
      <c r="A21481" s="74">
        <v>26273</v>
      </c>
    </row>
    <row r="21482" spans="1:1" x14ac:dyDescent="0.25">
      <c r="A21482" s="74">
        <v>26274</v>
      </c>
    </row>
    <row r="21483" spans="1:1" x14ac:dyDescent="0.25">
      <c r="A21483" s="74">
        <v>26275</v>
      </c>
    </row>
    <row r="21484" spans="1:1" x14ac:dyDescent="0.25">
      <c r="A21484" s="74">
        <v>26276</v>
      </c>
    </row>
    <row r="21485" spans="1:1" x14ac:dyDescent="0.25">
      <c r="A21485" s="74">
        <v>26277</v>
      </c>
    </row>
    <row r="21486" spans="1:1" x14ac:dyDescent="0.25">
      <c r="A21486" s="74">
        <v>26278</v>
      </c>
    </row>
    <row r="21487" spans="1:1" x14ac:dyDescent="0.25">
      <c r="A21487" s="74">
        <v>26279</v>
      </c>
    </row>
    <row r="21488" spans="1:1" x14ac:dyDescent="0.25">
      <c r="A21488" s="74">
        <v>26280</v>
      </c>
    </row>
    <row r="21489" spans="1:1" x14ac:dyDescent="0.25">
      <c r="A21489" s="74">
        <v>26281</v>
      </c>
    </row>
    <row r="21490" spans="1:1" x14ac:dyDescent="0.25">
      <c r="A21490" s="74">
        <v>26282</v>
      </c>
    </row>
    <row r="21491" spans="1:1" x14ac:dyDescent="0.25">
      <c r="A21491" s="74">
        <v>26283</v>
      </c>
    </row>
    <row r="21492" spans="1:1" x14ac:dyDescent="0.25">
      <c r="A21492" s="74">
        <v>26284</v>
      </c>
    </row>
    <row r="21493" spans="1:1" x14ac:dyDescent="0.25">
      <c r="A21493" s="74">
        <v>26285</v>
      </c>
    </row>
    <row r="21494" spans="1:1" x14ac:dyDescent="0.25">
      <c r="A21494" s="74">
        <v>26286</v>
      </c>
    </row>
    <row r="21495" spans="1:1" x14ac:dyDescent="0.25">
      <c r="A21495" s="74">
        <v>26287</v>
      </c>
    </row>
    <row r="21496" spans="1:1" x14ac:dyDescent="0.25">
      <c r="A21496" s="74">
        <v>26288</v>
      </c>
    </row>
    <row r="21497" spans="1:1" x14ac:dyDescent="0.25">
      <c r="A21497" s="74">
        <v>26289</v>
      </c>
    </row>
    <row r="21498" spans="1:1" x14ac:dyDescent="0.25">
      <c r="A21498" s="74">
        <v>26290</v>
      </c>
    </row>
    <row r="21499" spans="1:1" x14ac:dyDescent="0.25">
      <c r="A21499" s="74">
        <v>26291</v>
      </c>
    </row>
    <row r="21500" spans="1:1" x14ac:dyDescent="0.25">
      <c r="A21500" s="74">
        <v>26292</v>
      </c>
    </row>
    <row r="21501" spans="1:1" x14ac:dyDescent="0.25">
      <c r="A21501" s="74">
        <v>26293</v>
      </c>
    </row>
    <row r="21502" spans="1:1" x14ac:dyDescent="0.25">
      <c r="A21502" s="74">
        <v>26294</v>
      </c>
    </row>
    <row r="21503" spans="1:1" x14ac:dyDescent="0.25">
      <c r="A21503" s="74">
        <v>26295</v>
      </c>
    </row>
    <row r="21504" spans="1:1" x14ac:dyDescent="0.25">
      <c r="A21504" s="74">
        <v>26296</v>
      </c>
    </row>
    <row r="21505" spans="1:1" x14ac:dyDescent="0.25">
      <c r="A21505" s="74">
        <v>26297</v>
      </c>
    </row>
    <row r="21506" spans="1:1" x14ac:dyDescent="0.25">
      <c r="A21506" s="74">
        <v>26298</v>
      </c>
    </row>
    <row r="21507" spans="1:1" x14ac:dyDescent="0.25">
      <c r="A21507" s="74">
        <v>26299</v>
      </c>
    </row>
    <row r="21508" spans="1:1" x14ac:dyDescent="0.25">
      <c r="A21508" s="74">
        <v>26300</v>
      </c>
    </row>
    <row r="21509" spans="1:1" x14ac:dyDescent="0.25">
      <c r="A21509" s="74">
        <v>26301</v>
      </c>
    </row>
    <row r="21510" spans="1:1" x14ac:dyDescent="0.25">
      <c r="A21510" s="74">
        <v>26302</v>
      </c>
    </row>
    <row r="21511" spans="1:1" x14ac:dyDescent="0.25">
      <c r="A21511" s="74">
        <v>26303</v>
      </c>
    </row>
    <row r="21512" spans="1:1" x14ac:dyDescent="0.25">
      <c r="A21512" s="74">
        <v>26304</v>
      </c>
    </row>
    <row r="21513" spans="1:1" x14ac:dyDescent="0.25">
      <c r="A21513" s="74">
        <v>26305</v>
      </c>
    </row>
    <row r="21514" spans="1:1" x14ac:dyDescent="0.25">
      <c r="A21514" s="74">
        <v>26306</v>
      </c>
    </row>
    <row r="21515" spans="1:1" x14ac:dyDescent="0.25">
      <c r="A21515" s="74">
        <v>26307</v>
      </c>
    </row>
    <row r="21516" spans="1:1" x14ac:dyDescent="0.25">
      <c r="A21516" s="74">
        <v>26308</v>
      </c>
    </row>
    <row r="21517" spans="1:1" x14ac:dyDescent="0.25">
      <c r="A21517" s="74">
        <v>26309</v>
      </c>
    </row>
    <row r="21518" spans="1:1" x14ac:dyDescent="0.25">
      <c r="A21518" s="74">
        <v>26310</v>
      </c>
    </row>
    <row r="21519" spans="1:1" x14ac:dyDescent="0.25">
      <c r="A21519" s="74">
        <v>26311</v>
      </c>
    </row>
    <row r="21520" spans="1:1" x14ac:dyDescent="0.25">
      <c r="A21520" s="74">
        <v>26312</v>
      </c>
    </row>
    <row r="21521" spans="1:1" x14ac:dyDescent="0.25">
      <c r="A21521" s="74">
        <v>26313</v>
      </c>
    </row>
    <row r="21522" spans="1:1" x14ac:dyDescent="0.25">
      <c r="A21522" s="74">
        <v>26314</v>
      </c>
    </row>
    <row r="21523" spans="1:1" x14ac:dyDescent="0.25">
      <c r="A21523" s="74">
        <v>26315</v>
      </c>
    </row>
    <row r="21524" spans="1:1" x14ac:dyDescent="0.25">
      <c r="A21524" s="74">
        <v>26316</v>
      </c>
    </row>
    <row r="21525" spans="1:1" x14ac:dyDescent="0.25">
      <c r="A21525" s="74">
        <v>26317</v>
      </c>
    </row>
    <row r="21526" spans="1:1" x14ac:dyDescent="0.25">
      <c r="A21526" s="74">
        <v>26318</v>
      </c>
    </row>
    <row r="21527" spans="1:1" x14ac:dyDescent="0.25">
      <c r="A21527" s="74">
        <v>26319</v>
      </c>
    </row>
    <row r="21528" spans="1:1" x14ac:dyDescent="0.25">
      <c r="A21528" s="74">
        <v>26320</v>
      </c>
    </row>
    <row r="21529" spans="1:1" x14ac:dyDescent="0.25">
      <c r="A21529" s="74">
        <v>26321</v>
      </c>
    </row>
    <row r="21530" spans="1:1" x14ac:dyDescent="0.25">
      <c r="A21530" s="74">
        <v>26322</v>
      </c>
    </row>
    <row r="21531" spans="1:1" x14ac:dyDescent="0.25">
      <c r="A21531" s="74">
        <v>26323</v>
      </c>
    </row>
    <row r="21532" spans="1:1" x14ac:dyDescent="0.25">
      <c r="A21532" s="74">
        <v>26324</v>
      </c>
    </row>
    <row r="21533" spans="1:1" x14ac:dyDescent="0.25">
      <c r="A21533" s="74">
        <v>26325</v>
      </c>
    </row>
    <row r="21534" spans="1:1" x14ac:dyDescent="0.25">
      <c r="A21534" s="74">
        <v>26326</v>
      </c>
    </row>
    <row r="21535" spans="1:1" x14ac:dyDescent="0.25">
      <c r="A21535" s="74">
        <v>26327</v>
      </c>
    </row>
    <row r="21536" spans="1:1" x14ac:dyDescent="0.25">
      <c r="A21536" s="74">
        <v>26328</v>
      </c>
    </row>
    <row r="21537" spans="1:1" x14ac:dyDescent="0.25">
      <c r="A21537" s="74">
        <v>26329</v>
      </c>
    </row>
    <row r="21538" spans="1:1" x14ac:dyDescent="0.25">
      <c r="A21538" s="74">
        <v>26330</v>
      </c>
    </row>
    <row r="21539" spans="1:1" x14ac:dyDescent="0.25">
      <c r="A21539" s="74">
        <v>26331</v>
      </c>
    </row>
    <row r="21540" spans="1:1" x14ac:dyDescent="0.25">
      <c r="A21540" s="74">
        <v>26332</v>
      </c>
    </row>
    <row r="21541" spans="1:1" x14ac:dyDescent="0.25">
      <c r="A21541" s="74">
        <v>26333</v>
      </c>
    </row>
    <row r="21542" spans="1:1" x14ac:dyDescent="0.25">
      <c r="A21542" s="74">
        <v>26334</v>
      </c>
    </row>
    <row r="21543" spans="1:1" x14ac:dyDescent="0.25">
      <c r="A21543" s="74">
        <v>26335</v>
      </c>
    </row>
    <row r="21544" spans="1:1" x14ac:dyDescent="0.25">
      <c r="A21544" s="74">
        <v>26336</v>
      </c>
    </row>
    <row r="21545" spans="1:1" x14ac:dyDescent="0.25">
      <c r="A21545" s="74">
        <v>26337</v>
      </c>
    </row>
    <row r="21546" spans="1:1" x14ac:dyDescent="0.25">
      <c r="A21546" s="74">
        <v>26338</v>
      </c>
    </row>
    <row r="21547" spans="1:1" x14ac:dyDescent="0.25">
      <c r="A21547" s="74">
        <v>26339</v>
      </c>
    </row>
    <row r="21548" spans="1:1" x14ac:dyDescent="0.25">
      <c r="A21548" s="74">
        <v>26340</v>
      </c>
    </row>
    <row r="21549" spans="1:1" x14ac:dyDescent="0.25">
      <c r="A21549" s="74">
        <v>26341</v>
      </c>
    </row>
    <row r="21550" spans="1:1" x14ac:dyDescent="0.25">
      <c r="A21550" s="74">
        <v>26342</v>
      </c>
    </row>
    <row r="21551" spans="1:1" x14ac:dyDescent="0.25">
      <c r="A21551" s="74">
        <v>26343</v>
      </c>
    </row>
    <row r="21552" spans="1:1" x14ac:dyDescent="0.25">
      <c r="A21552" s="74">
        <v>26344</v>
      </c>
    </row>
    <row r="21553" spans="1:1" x14ac:dyDescent="0.25">
      <c r="A21553" s="74">
        <v>26345</v>
      </c>
    </row>
    <row r="21554" spans="1:1" x14ac:dyDescent="0.25">
      <c r="A21554" s="74">
        <v>26346</v>
      </c>
    </row>
    <row r="21555" spans="1:1" x14ac:dyDescent="0.25">
      <c r="A21555" s="74">
        <v>26347</v>
      </c>
    </row>
    <row r="21556" spans="1:1" x14ac:dyDescent="0.25">
      <c r="A21556" s="74">
        <v>26348</v>
      </c>
    </row>
    <row r="21557" spans="1:1" x14ac:dyDescent="0.25">
      <c r="A21557" s="74">
        <v>26349</v>
      </c>
    </row>
    <row r="21558" spans="1:1" x14ac:dyDescent="0.25">
      <c r="A21558" s="74">
        <v>26350</v>
      </c>
    </row>
    <row r="21559" spans="1:1" x14ac:dyDescent="0.25">
      <c r="A21559" s="74">
        <v>26351</v>
      </c>
    </row>
    <row r="21560" spans="1:1" x14ac:dyDescent="0.25">
      <c r="A21560" s="74">
        <v>26352</v>
      </c>
    </row>
    <row r="21561" spans="1:1" x14ac:dyDescent="0.25">
      <c r="A21561" s="74">
        <v>26353</v>
      </c>
    </row>
    <row r="21562" spans="1:1" x14ac:dyDescent="0.25">
      <c r="A21562" s="74">
        <v>26354</v>
      </c>
    </row>
    <row r="21563" spans="1:1" x14ac:dyDescent="0.25">
      <c r="A21563" s="74">
        <v>26355</v>
      </c>
    </row>
    <row r="21564" spans="1:1" x14ac:dyDescent="0.25">
      <c r="A21564" s="74">
        <v>26356</v>
      </c>
    </row>
    <row r="21565" spans="1:1" x14ac:dyDescent="0.25">
      <c r="A21565" s="74">
        <v>26357</v>
      </c>
    </row>
    <row r="21566" spans="1:1" x14ac:dyDescent="0.25">
      <c r="A21566" s="74">
        <v>26358</v>
      </c>
    </row>
    <row r="21567" spans="1:1" x14ac:dyDescent="0.25">
      <c r="A21567" s="74">
        <v>26359</v>
      </c>
    </row>
    <row r="21568" spans="1:1" x14ac:dyDescent="0.25">
      <c r="A21568" s="74">
        <v>26360</v>
      </c>
    </row>
    <row r="21569" spans="1:1" x14ac:dyDescent="0.25">
      <c r="A21569" s="74">
        <v>26361</v>
      </c>
    </row>
    <row r="21570" spans="1:1" x14ac:dyDescent="0.25">
      <c r="A21570" s="74">
        <v>26362</v>
      </c>
    </row>
    <row r="21571" spans="1:1" x14ac:dyDescent="0.25">
      <c r="A21571" s="74">
        <v>26363</v>
      </c>
    </row>
    <row r="21572" spans="1:1" x14ac:dyDescent="0.25">
      <c r="A21572" s="74">
        <v>26364</v>
      </c>
    </row>
    <row r="21573" spans="1:1" x14ac:dyDescent="0.25">
      <c r="A21573" s="74">
        <v>26365</v>
      </c>
    </row>
    <row r="21574" spans="1:1" x14ac:dyDescent="0.25">
      <c r="A21574" s="74">
        <v>26366</v>
      </c>
    </row>
    <row r="21575" spans="1:1" x14ac:dyDescent="0.25">
      <c r="A21575" s="74">
        <v>26367</v>
      </c>
    </row>
    <row r="21576" spans="1:1" x14ac:dyDescent="0.25">
      <c r="A21576" s="74">
        <v>26368</v>
      </c>
    </row>
    <row r="21577" spans="1:1" x14ac:dyDescent="0.25">
      <c r="A21577" s="74">
        <v>26369</v>
      </c>
    </row>
    <row r="21578" spans="1:1" x14ac:dyDescent="0.25">
      <c r="A21578" s="74">
        <v>26370</v>
      </c>
    </row>
    <row r="21579" spans="1:1" x14ac:dyDescent="0.25">
      <c r="A21579" s="74">
        <v>26371</v>
      </c>
    </row>
    <row r="21580" spans="1:1" x14ac:dyDescent="0.25">
      <c r="A21580" s="74">
        <v>26372</v>
      </c>
    </row>
    <row r="21581" spans="1:1" x14ac:dyDescent="0.25">
      <c r="A21581" s="74">
        <v>26373</v>
      </c>
    </row>
    <row r="21582" spans="1:1" x14ac:dyDescent="0.25">
      <c r="A21582" s="74">
        <v>26374</v>
      </c>
    </row>
    <row r="21583" spans="1:1" x14ac:dyDescent="0.25">
      <c r="A21583" s="74">
        <v>26375</v>
      </c>
    </row>
    <row r="21584" spans="1:1" x14ac:dyDescent="0.25">
      <c r="A21584" s="74">
        <v>26376</v>
      </c>
    </row>
    <row r="21585" spans="1:1" x14ac:dyDescent="0.25">
      <c r="A21585" s="74">
        <v>26377</v>
      </c>
    </row>
    <row r="21586" spans="1:1" x14ac:dyDescent="0.25">
      <c r="A21586" s="74">
        <v>26378</v>
      </c>
    </row>
    <row r="21587" spans="1:1" x14ac:dyDescent="0.25">
      <c r="A21587" s="74">
        <v>26379</v>
      </c>
    </row>
    <row r="21588" spans="1:1" x14ac:dyDescent="0.25">
      <c r="A21588" s="74">
        <v>26380</v>
      </c>
    </row>
    <row r="21589" spans="1:1" x14ac:dyDescent="0.25">
      <c r="A21589" s="74">
        <v>26381</v>
      </c>
    </row>
    <row r="21590" spans="1:1" x14ac:dyDescent="0.25">
      <c r="A21590" s="74">
        <v>26382</v>
      </c>
    </row>
    <row r="21591" spans="1:1" x14ac:dyDescent="0.25">
      <c r="A21591" s="74">
        <v>26383</v>
      </c>
    </row>
    <row r="21592" spans="1:1" x14ac:dyDescent="0.25">
      <c r="A21592" s="74">
        <v>26384</v>
      </c>
    </row>
    <row r="21593" spans="1:1" x14ac:dyDescent="0.25">
      <c r="A21593" s="74">
        <v>26385</v>
      </c>
    </row>
    <row r="21594" spans="1:1" x14ac:dyDescent="0.25">
      <c r="A21594" s="74">
        <v>26386</v>
      </c>
    </row>
    <row r="21595" spans="1:1" x14ac:dyDescent="0.25">
      <c r="A21595" s="74">
        <v>26387</v>
      </c>
    </row>
    <row r="21596" spans="1:1" x14ac:dyDescent="0.25">
      <c r="A21596" s="74">
        <v>26388</v>
      </c>
    </row>
    <row r="21597" spans="1:1" x14ac:dyDescent="0.25">
      <c r="A21597" s="74">
        <v>26389</v>
      </c>
    </row>
    <row r="21598" spans="1:1" x14ac:dyDescent="0.25">
      <c r="A21598" s="74">
        <v>26390</v>
      </c>
    </row>
    <row r="21599" spans="1:1" x14ac:dyDescent="0.25">
      <c r="A21599" s="74">
        <v>26391</v>
      </c>
    </row>
    <row r="21600" spans="1:1" x14ac:dyDescent="0.25">
      <c r="A21600" s="74">
        <v>26392</v>
      </c>
    </row>
    <row r="21601" spans="1:1" x14ac:dyDescent="0.25">
      <c r="A21601" s="74">
        <v>26393</v>
      </c>
    </row>
    <row r="21602" spans="1:1" x14ac:dyDescent="0.25">
      <c r="A21602" s="74">
        <v>26394</v>
      </c>
    </row>
    <row r="21603" spans="1:1" x14ac:dyDescent="0.25">
      <c r="A21603" s="74">
        <v>26395</v>
      </c>
    </row>
    <row r="21604" spans="1:1" x14ac:dyDescent="0.25">
      <c r="A21604" s="74">
        <v>26396</v>
      </c>
    </row>
    <row r="21605" spans="1:1" x14ac:dyDescent="0.25">
      <c r="A21605" s="74">
        <v>26397</v>
      </c>
    </row>
    <row r="21606" spans="1:1" x14ac:dyDescent="0.25">
      <c r="A21606" s="74">
        <v>26398</v>
      </c>
    </row>
    <row r="21607" spans="1:1" x14ac:dyDescent="0.25">
      <c r="A21607" s="74">
        <v>26399</v>
      </c>
    </row>
    <row r="21608" spans="1:1" x14ac:dyDescent="0.25">
      <c r="A21608" s="74">
        <v>26400</v>
      </c>
    </row>
    <row r="21609" spans="1:1" x14ac:dyDescent="0.25">
      <c r="A21609" s="74">
        <v>26401</v>
      </c>
    </row>
    <row r="21610" spans="1:1" x14ac:dyDescent="0.25">
      <c r="A21610" s="74">
        <v>26402</v>
      </c>
    </row>
    <row r="21611" spans="1:1" x14ac:dyDescent="0.25">
      <c r="A21611" s="74">
        <v>26403</v>
      </c>
    </row>
    <row r="21612" spans="1:1" x14ac:dyDescent="0.25">
      <c r="A21612" s="74">
        <v>26404</v>
      </c>
    </row>
    <row r="21613" spans="1:1" x14ac:dyDescent="0.25">
      <c r="A21613" s="74">
        <v>26405</v>
      </c>
    </row>
    <row r="21614" spans="1:1" x14ac:dyDescent="0.25">
      <c r="A21614" s="74">
        <v>26406</v>
      </c>
    </row>
    <row r="21615" spans="1:1" x14ac:dyDescent="0.25">
      <c r="A21615" s="74">
        <v>26407</v>
      </c>
    </row>
    <row r="21616" spans="1:1" x14ac:dyDescent="0.25">
      <c r="A21616" s="74">
        <v>26408</v>
      </c>
    </row>
    <row r="21617" spans="1:1" x14ac:dyDescent="0.25">
      <c r="A21617" s="74">
        <v>26409</v>
      </c>
    </row>
    <row r="21618" spans="1:1" x14ac:dyDescent="0.25">
      <c r="A21618" s="74">
        <v>26410</v>
      </c>
    </row>
    <row r="21619" spans="1:1" x14ac:dyDescent="0.25">
      <c r="A21619" s="74">
        <v>26411</v>
      </c>
    </row>
    <row r="21620" spans="1:1" x14ac:dyDescent="0.25">
      <c r="A21620" s="74">
        <v>26412</v>
      </c>
    </row>
    <row r="21621" spans="1:1" x14ac:dyDescent="0.25">
      <c r="A21621" s="74">
        <v>26413</v>
      </c>
    </row>
    <row r="21622" spans="1:1" x14ac:dyDescent="0.25">
      <c r="A21622" s="74">
        <v>26414</v>
      </c>
    </row>
    <row r="21623" spans="1:1" x14ac:dyDescent="0.25">
      <c r="A21623" s="74">
        <v>26415</v>
      </c>
    </row>
    <row r="21624" spans="1:1" x14ac:dyDescent="0.25">
      <c r="A21624" s="74">
        <v>26416</v>
      </c>
    </row>
    <row r="21625" spans="1:1" x14ac:dyDescent="0.25">
      <c r="A21625" s="74">
        <v>26417</v>
      </c>
    </row>
    <row r="21626" spans="1:1" x14ac:dyDescent="0.25">
      <c r="A21626" s="74">
        <v>26418</v>
      </c>
    </row>
    <row r="21627" spans="1:1" x14ac:dyDescent="0.25">
      <c r="A21627" s="74">
        <v>26419</v>
      </c>
    </row>
    <row r="21628" spans="1:1" x14ac:dyDescent="0.25">
      <c r="A21628" s="74">
        <v>26420</v>
      </c>
    </row>
    <row r="21629" spans="1:1" x14ac:dyDescent="0.25">
      <c r="A21629" s="74">
        <v>26421</v>
      </c>
    </row>
    <row r="21630" spans="1:1" x14ac:dyDescent="0.25">
      <c r="A21630" s="74">
        <v>26422</v>
      </c>
    </row>
    <row r="21631" spans="1:1" x14ac:dyDescent="0.25">
      <c r="A21631" s="74">
        <v>26423</v>
      </c>
    </row>
    <row r="21632" spans="1:1" x14ac:dyDescent="0.25">
      <c r="A21632" s="74">
        <v>26424</v>
      </c>
    </row>
    <row r="21633" spans="1:1" x14ac:dyDescent="0.25">
      <c r="A21633" s="74">
        <v>26425</v>
      </c>
    </row>
    <row r="21634" spans="1:1" x14ac:dyDescent="0.25">
      <c r="A21634" s="74">
        <v>26426</v>
      </c>
    </row>
    <row r="21635" spans="1:1" x14ac:dyDescent="0.25">
      <c r="A21635" s="74">
        <v>26427</v>
      </c>
    </row>
    <row r="21636" spans="1:1" x14ac:dyDescent="0.25">
      <c r="A21636" s="74">
        <v>26428</v>
      </c>
    </row>
    <row r="21637" spans="1:1" x14ac:dyDescent="0.25">
      <c r="A21637" s="74">
        <v>26429</v>
      </c>
    </row>
    <row r="21638" spans="1:1" x14ac:dyDescent="0.25">
      <c r="A21638" s="74">
        <v>26430</v>
      </c>
    </row>
    <row r="21639" spans="1:1" x14ac:dyDescent="0.25">
      <c r="A21639" s="74">
        <v>26431</v>
      </c>
    </row>
    <row r="21640" spans="1:1" x14ac:dyDescent="0.25">
      <c r="A21640" s="74">
        <v>26432</v>
      </c>
    </row>
    <row r="21641" spans="1:1" x14ac:dyDescent="0.25">
      <c r="A21641" s="74">
        <v>26433</v>
      </c>
    </row>
    <row r="21642" spans="1:1" x14ac:dyDescent="0.25">
      <c r="A21642" s="74">
        <v>26434</v>
      </c>
    </row>
    <row r="21643" spans="1:1" x14ac:dyDescent="0.25">
      <c r="A21643" s="74">
        <v>26435</v>
      </c>
    </row>
    <row r="21644" spans="1:1" x14ac:dyDescent="0.25">
      <c r="A21644" s="74">
        <v>26436</v>
      </c>
    </row>
    <row r="21645" spans="1:1" x14ac:dyDescent="0.25">
      <c r="A21645" s="74">
        <v>26437</v>
      </c>
    </row>
    <row r="21646" spans="1:1" x14ac:dyDescent="0.25">
      <c r="A21646" s="74">
        <v>26438</v>
      </c>
    </row>
    <row r="21647" spans="1:1" x14ac:dyDescent="0.25">
      <c r="A21647" s="74">
        <v>26439</v>
      </c>
    </row>
    <row r="21648" spans="1:1" x14ac:dyDescent="0.25">
      <c r="A21648" s="74">
        <v>26440</v>
      </c>
    </row>
    <row r="21649" spans="1:1" x14ac:dyDescent="0.25">
      <c r="A21649" s="74">
        <v>26441</v>
      </c>
    </row>
    <row r="21650" spans="1:1" x14ac:dyDescent="0.25">
      <c r="A21650" s="74">
        <v>26442</v>
      </c>
    </row>
    <row r="21651" spans="1:1" x14ac:dyDescent="0.25">
      <c r="A21651" s="74">
        <v>26443</v>
      </c>
    </row>
    <row r="21652" spans="1:1" x14ac:dyDescent="0.25">
      <c r="A21652" s="74">
        <v>26444</v>
      </c>
    </row>
    <row r="21653" spans="1:1" x14ac:dyDescent="0.25">
      <c r="A21653" s="74">
        <v>26445</v>
      </c>
    </row>
    <row r="21654" spans="1:1" x14ac:dyDescent="0.25">
      <c r="A21654" s="74">
        <v>26446</v>
      </c>
    </row>
    <row r="21655" spans="1:1" x14ac:dyDescent="0.25">
      <c r="A21655" s="74">
        <v>26447</v>
      </c>
    </row>
    <row r="21656" spans="1:1" x14ac:dyDescent="0.25">
      <c r="A21656" s="74">
        <v>26448</v>
      </c>
    </row>
    <row r="21657" spans="1:1" x14ac:dyDescent="0.25">
      <c r="A21657" s="74">
        <v>26449</v>
      </c>
    </row>
    <row r="21658" spans="1:1" x14ac:dyDescent="0.25">
      <c r="A21658" s="74">
        <v>26450</v>
      </c>
    </row>
    <row r="21659" spans="1:1" x14ac:dyDescent="0.25">
      <c r="A21659" s="74">
        <v>26451</v>
      </c>
    </row>
    <row r="21660" spans="1:1" x14ac:dyDescent="0.25">
      <c r="A21660" s="74">
        <v>26452</v>
      </c>
    </row>
    <row r="21661" spans="1:1" x14ac:dyDescent="0.25">
      <c r="A21661" s="74">
        <v>26453</v>
      </c>
    </row>
    <row r="21662" spans="1:1" x14ac:dyDescent="0.25">
      <c r="A21662" s="74">
        <v>26454</v>
      </c>
    </row>
    <row r="21663" spans="1:1" x14ac:dyDescent="0.25">
      <c r="A21663" s="74">
        <v>26455</v>
      </c>
    </row>
    <row r="21664" spans="1:1" x14ac:dyDescent="0.25">
      <c r="A21664" s="74">
        <v>26456</v>
      </c>
    </row>
    <row r="21665" spans="1:1" x14ac:dyDescent="0.25">
      <c r="A21665" s="74">
        <v>26457</v>
      </c>
    </row>
    <row r="21666" spans="1:1" x14ac:dyDescent="0.25">
      <c r="A21666" s="74">
        <v>26458</v>
      </c>
    </row>
    <row r="21667" spans="1:1" x14ac:dyDescent="0.25">
      <c r="A21667" s="74">
        <v>26459</v>
      </c>
    </row>
    <row r="21668" spans="1:1" x14ac:dyDescent="0.25">
      <c r="A21668" s="74">
        <v>26460</v>
      </c>
    </row>
    <row r="21669" spans="1:1" x14ac:dyDescent="0.25">
      <c r="A21669" s="74">
        <v>26461</v>
      </c>
    </row>
    <row r="21670" spans="1:1" x14ac:dyDescent="0.25">
      <c r="A21670" s="74">
        <v>26462</v>
      </c>
    </row>
    <row r="21671" spans="1:1" x14ac:dyDescent="0.25">
      <c r="A21671" s="74">
        <v>26463</v>
      </c>
    </row>
    <row r="21672" spans="1:1" x14ac:dyDescent="0.25">
      <c r="A21672" s="74">
        <v>26464</v>
      </c>
    </row>
    <row r="21673" spans="1:1" x14ac:dyDescent="0.25">
      <c r="A21673" s="74">
        <v>26465</v>
      </c>
    </row>
    <row r="21674" spans="1:1" x14ac:dyDescent="0.25">
      <c r="A21674" s="74">
        <v>26466</v>
      </c>
    </row>
    <row r="21675" spans="1:1" x14ac:dyDescent="0.25">
      <c r="A21675" s="74">
        <v>26467</v>
      </c>
    </row>
    <row r="21676" spans="1:1" x14ac:dyDescent="0.25">
      <c r="A21676" s="74">
        <v>26468</v>
      </c>
    </row>
    <row r="21677" spans="1:1" x14ac:dyDescent="0.25">
      <c r="A21677" s="74">
        <v>26469</v>
      </c>
    </row>
    <row r="21678" spans="1:1" x14ac:dyDescent="0.25">
      <c r="A21678" s="74">
        <v>26470</v>
      </c>
    </row>
    <row r="21679" spans="1:1" x14ac:dyDescent="0.25">
      <c r="A21679" s="74">
        <v>26471</v>
      </c>
    </row>
    <row r="21680" spans="1:1" x14ac:dyDescent="0.25">
      <c r="A21680" s="74">
        <v>26472</v>
      </c>
    </row>
    <row r="21681" spans="1:1" x14ac:dyDescent="0.25">
      <c r="A21681" s="74">
        <v>26473</v>
      </c>
    </row>
    <row r="21682" spans="1:1" x14ac:dyDescent="0.25">
      <c r="A21682" s="74">
        <v>26474</v>
      </c>
    </row>
    <row r="21683" spans="1:1" x14ac:dyDescent="0.25">
      <c r="A21683" s="74">
        <v>26475</v>
      </c>
    </row>
    <row r="21684" spans="1:1" x14ac:dyDescent="0.25">
      <c r="A21684" s="74">
        <v>26476</v>
      </c>
    </row>
    <row r="21685" spans="1:1" x14ac:dyDescent="0.25">
      <c r="A21685" s="74">
        <v>26477</v>
      </c>
    </row>
    <row r="21686" spans="1:1" x14ac:dyDescent="0.25">
      <c r="A21686" s="74">
        <v>26478</v>
      </c>
    </row>
    <row r="21687" spans="1:1" x14ac:dyDescent="0.25">
      <c r="A21687" s="74">
        <v>26479</v>
      </c>
    </row>
    <row r="21688" spans="1:1" x14ac:dyDescent="0.25">
      <c r="A21688" s="74">
        <v>26480</v>
      </c>
    </row>
    <row r="21689" spans="1:1" x14ac:dyDescent="0.25">
      <c r="A21689" s="74">
        <v>26481</v>
      </c>
    </row>
    <row r="21690" spans="1:1" x14ac:dyDescent="0.25">
      <c r="A21690" s="74">
        <v>26482</v>
      </c>
    </row>
    <row r="21691" spans="1:1" x14ac:dyDescent="0.25">
      <c r="A21691" s="74">
        <v>26483</v>
      </c>
    </row>
    <row r="21692" spans="1:1" x14ac:dyDescent="0.25">
      <c r="A21692" s="74">
        <v>26484</v>
      </c>
    </row>
    <row r="21693" spans="1:1" x14ac:dyDescent="0.25">
      <c r="A21693" s="74">
        <v>26485</v>
      </c>
    </row>
    <row r="21694" spans="1:1" x14ac:dyDescent="0.25">
      <c r="A21694" s="74">
        <v>26486</v>
      </c>
    </row>
    <row r="21695" spans="1:1" x14ac:dyDescent="0.25">
      <c r="A21695" s="74">
        <v>26487</v>
      </c>
    </row>
    <row r="21696" spans="1:1" x14ac:dyDescent="0.25">
      <c r="A21696" s="74">
        <v>26488</v>
      </c>
    </row>
    <row r="21697" spans="1:1" x14ac:dyDescent="0.25">
      <c r="A21697" s="74">
        <v>26489</v>
      </c>
    </row>
    <row r="21698" spans="1:1" x14ac:dyDescent="0.25">
      <c r="A21698" s="74">
        <v>26490</v>
      </c>
    </row>
    <row r="21699" spans="1:1" x14ac:dyDescent="0.25">
      <c r="A21699" s="74">
        <v>26491</v>
      </c>
    </row>
    <row r="21700" spans="1:1" x14ac:dyDescent="0.25">
      <c r="A21700" s="74">
        <v>26492</v>
      </c>
    </row>
    <row r="21701" spans="1:1" x14ac:dyDescent="0.25">
      <c r="A21701" s="74">
        <v>26493</v>
      </c>
    </row>
    <row r="21702" spans="1:1" x14ac:dyDescent="0.25">
      <c r="A21702" s="74">
        <v>26494</v>
      </c>
    </row>
    <row r="21703" spans="1:1" x14ac:dyDescent="0.25">
      <c r="A21703" s="74">
        <v>26495</v>
      </c>
    </row>
    <row r="21704" spans="1:1" x14ac:dyDescent="0.25">
      <c r="A21704" s="74">
        <v>26496</v>
      </c>
    </row>
    <row r="21705" spans="1:1" x14ac:dyDescent="0.25">
      <c r="A21705" s="74">
        <v>26497</v>
      </c>
    </row>
    <row r="21706" spans="1:1" x14ac:dyDescent="0.25">
      <c r="A21706" s="74">
        <v>26498</v>
      </c>
    </row>
    <row r="21707" spans="1:1" x14ac:dyDescent="0.25">
      <c r="A21707" s="74">
        <v>26499</v>
      </c>
    </row>
    <row r="21708" spans="1:1" x14ac:dyDescent="0.25">
      <c r="A21708" s="74">
        <v>26500</v>
      </c>
    </row>
    <row r="21709" spans="1:1" x14ac:dyDescent="0.25">
      <c r="A21709" s="74">
        <v>26501</v>
      </c>
    </row>
    <row r="21710" spans="1:1" x14ac:dyDescent="0.25">
      <c r="A21710" s="74">
        <v>26502</v>
      </c>
    </row>
    <row r="21711" spans="1:1" x14ac:dyDescent="0.25">
      <c r="A21711" s="74">
        <v>26503</v>
      </c>
    </row>
    <row r="21712" spans="1:1" x14ac:dyDescent="0.25">
      <c r="A21712" s="74">
        <v>26504</v>
      </c>
    </row>
    <row r="21713" spans="1:1" x14ac:dyDescent="0.25">
      <c r="A21713" s="74">
        <v>26505</v>
      </c>
    </row>
    <row r="21714" spans="1:1" x14ac:dyDescent="0.25">
      <c r="A21714" s="74">
        <v>26506</v>
      </c>
    </row>
    <row r="21715" spans="1:1" x14ac:dyDescent="0.25">
      <c r="A21715" s="74">
        <v>26507</v>
      </c>
    </row>
    <row r="21716" spans="1:1" x14ac:dyDescent="0.25">
      <c r="A21716" s="74">
        <v>26508</v>
      </c>
    </row>
    <row r="21717" spans="1:1" x14ac:dyDescent="0.25">
      <c r="A21717" s="74">
        <v>26509</v>
      </c>
    </row>
    <row r="21718" spans="1:1" x14ac:dyDescent="0.25">
      <c r="A21718" s="74">
        <v>26510</v>
      </c>
    </row>
    <row r="21719" spans="1:1" x14ac:dyDescent="0.25">
      <c r="A21719" s="74">
        <v>26511</v>
      </c>
    </row>
    <row r="21720" spans="1:1" x14ac:dyDescent="0.25">
      <c r="A21720" s="74">
        <v>26512</v>
      </c>
    </row>
    <row r="21721" spans="1:1" x14ac:dyDescent="0.25">
      <c r="A21721" s="74">
        <v>26513</v>
      </c>
    </row>
    <row r="21722" spans="1:1" x14ac:dyDescent="0.25">
      <c r="A21722" s="74">
        <v>26514</v>
      </c>
    </row>
    <row r="21723" spans="1:1" x14ac:dyDescent="0.25">
      <c r="A21723" s="74">
        <v>26515</v>
      </c>
    </row>
    <row r="21724" spans="1:1" x14ac:dyDescent="0.25">
      <c r="A21724" s="74">
        <v>26516</v>
      </c>
    </row>
    <row r="21725" spans="1:1" x14ac:dyDescent="0.25">
      <c r="A21725" s="74">
        <v>26517</v>
      </c>
    </row>
    <row r="21726" spans="1:1" x14ac:dyDescent="0.25">
      <c r="A21726" s="74">
        <v>26518</v>
      </c>
    </row>
    <row r="21727" spans="1:1" x14ac:dyDescent="0.25">
      <c r="A21727" s="74">
        <v>26519</v>
      </c>
    </row>
    <row r="21728" spans="1:1" x14ac:dyDescent="0.25">
      <c r="A21728" s="74">
        <v>26520</v>
      </c>
    </row>
    <row r="21729" spans="1:1" x14ac:dyDescent="0.25">
      <c r="A21729" s="74">
        <v>26521</v>
      </c>
    </row>
    <row r="21730" spans="1:1" x14ac:dyDescent="0.25">
      <c r="A21730" s="74">
        <v>26522</v>
      </c>
    </row>
    <row r="21731" spans="1:1" x14ac:dyDescent="0.25">
      <c r="A21731" s="74">
        <v>26523</v>
      </c>
    </row>
    <row r="21732" spans="1:1" x14ac:dyDescent="0.25">
      <c r="A21732" s="74">
        <v>26524</v>
      </c>
    </row>
    <row r="21733" spans="1:1" x14ac:dyDescent="0.25">
      <c r="A21733" s="74">
        <v>26525</v>
      </c>
    </row>
    <row r="21734" spans="1:1" x14ac:dyDescent="0.25">
      <c r="A21734" s="74">
        <v>26526</v>
      </c>
    </row>
    <row r="21735" spans="1:1" x14ac:dyDescent="0.25">
      <c r="A21735" s="74">
        <v>26527</v>
      </c>
    </row>
    <row r="21736" spans="1:1" x14ac:dyDescent="0.25">
      <c r="A21736" s="74">
        <v>26528</v>
      </c>
    </row>
    <row r="21737" spans="1:1" x14ac:dyDescent="0.25">
      <c r="A21737" s="74">
        <v>26529</v>
      </c>
    </row>
    <row r="21738" spans="1:1" x14ac:dyDescent="0.25">
      <c r="A21738" s="74">
        <v>26530</v>
      </c>
    </row>
    <row r="21739" spans="1:1" x14ac:dyDescent="0.25">
      <c r="A21739" s="74">
        <v>26531</v>
      </c>
    </row>
    <row r="21740" spans="1:1" x14ac:dyDescent="0.25">
      <c r="A21740" s="74">
        <v>26532</v>
      </c>
    </row>
    <row r="21741" spans="1:1" x14ac:dyDescent="0.25">
      <c r="A21741" s="74">
        <v>26533</v>
      </c>
    </row>
    <row r="21742" spans="1:1" x14ac:dyDescent="0.25">
      <c r="A21742" s="74">
        <v>26534</v>
      </c>
    </row>
    <row r="21743" spans="1:1" x14ac:dyDescent="0.25">
      <c r="A21743" s="74">
        <v>26535</v>
      </c>
    </row>
    <row r="21744" spans="1:1" x14ac:dyDescent="0.25">
      <c r="A21744" s="74">
        <v>26536</v>
      </c>
    </row>
    <row r="21745" spans="1:1" x14ac:dyDescent="0.25">
      <c r="A21745" s="74">
        <v>26537</v>
      </c>
    </row>
    <row r="21746" spans="1:1" x14ac:dyDescent="0.25">
      <c r="A21746" s="74">
        <v>26538</v>
      </c>
    </row>
    <row r="21747" spans="1:1" x14ac:dyDescent="0.25">
      <c r="A21747" s="74">
        <v>26539</v>
      </c>
    </row>
    <row r="21748" spans="1:1" x14ac:dyDescent="0.25">
      <c r="A21748" s="74">
        <v>26540</v>
      </c>
    </row>
    <row r="21749" spans="1:1" x14ac:dyDescent="0.25">
      <c r="A21749" s="74">
        <v>26541</v>
      </c>
    </row>
    <row r="21750" spans="1:1" x14ac:dyDescent="0.25">
      <c r="A21750" s="74">
        <v>26542</v>
      </c>
    </row>
    <row r="21751" spans="1:1" x14ac:dyDescent="0.25">
      <c r="A21751" s="74">
        <v>26543</v>
      </c>
    </row>
    <row r="21752" spans="1:1" x14ac:dyDescent="0.25">
      <c r="A21752" s="74">
        <v>26544</v>
      </c>
    </row>
    <row r="21753" spans="1:1" x14ac:dyDescent="0.25">
      <c r="A21753" s="74">
        <v>26545</v>
      </c>
    </row>
    <row r="21754" spans="1:1" x14ac:dyDescent="0.25">
      <c r="A21754" s="74">
        <v>26546</v>
      </c>
    </row>
    <row r="21755" spans="1:1" x14ac:dyDescent="0.25">
      <c r="A21755" s="74">
        <v>26547</v>
      </c>
    </row>
    <row r="21756" spans="1:1" x14ac:dyDescent="0.25">
      <c r="A21756" s="74">
        <v>26548</v>
      </c>
    </row>
    <row r="21757" spans="1:1" x14ac:dyDescent="0.25">
      <c r="A21757" s="74">
        <v>26549</v>
      </c>
    </row>
    <row r="21758" spans="1:1" x14ac:dyDescent="0.25">
      <c r="A21758" s="74">
        <v>26550</v>
      </c>
    </row>
    <row r="21759" spans="1:1" x14ac:dyDescent="0.25">
      <c r="A21759" s="74">
        <v>26551</v>
      </c>
    </row>
    <row r="21760" spans="1:1" x14ac:dyDescent="0.25">
      <c r="A21760" s="74">
        <v>26552</v>
      </c>
    </row>
    <row r="21761" spans="1:1" x14ac:dyDescent="0.25">
      <c r="A21761" s="74">
        <v>26553</v>
      </c>
    </row>
    <row r="21762" spans="1:1" x14ac:dyDescent="0.25">
      <c r="A21762" s="74">
        <v>26554</v>
      </c>
    </row>
    <row r="21763" spans="1:1" x14ac:dyDescent="0.25">
      <c r="A21763" s="74">
        <v>26555</v>
      </c>
    </row>
    <row r="21764" spans="1:1" x14ac:dyDescent="0.25">
      <c r="A21764" s="74">
        <v>26556</v>
      </c>
    </row>
    <row r="21765" spans="1:1" x14ac:dyDescent="0.25">
      <c r="A21765" s="74">
        <v>26557</v>
      </c>
    </row>
    <row r="21766" spans="1:1" x14ac:dyDescent="0.25">
      <c r="A21766" s="74">
        <v>26558</v>
      </c>
    </row>
    <row r="21767" spans="1:1" x14ac:dyDescent="0.25">
      <c r="A21767" s="74">
        <v>26559</v>
      </c>
    </row>
    <row r="21768" spans="1:1" x14ac:dyDescent="0.25">
      <c r="A21768" s="74">
        <v>26560</v>
      </c>
    </row>
    <row r="21769" spans="1:1" x14ac:dyDescent="0.25">
      <c r="A21769" s="74">
        <v>26561</v>
      </c>
    </row>
    <row r="21770" spans="1:1" x14ac:dyDescent="0.25">
      <c r="A21770" s="74">
        <v>26562</v>
      </c>
    </row>
    <row r="21771" spans="1:1" x14ac:dyDescent="0.25">
      <c r="A21771" s="74">
        <v>26563</v>
      </c>
    </row>
    <row r="21772" spans="1:1" x14ac:dyDescent="0.25">
      <c r="A21772" s="74">
        <v>26564</v>
      </c>
    </row>
    <row r="21773" spans="1:1" x14ac:dyDescent="0.25">
      <c r="A21773" s="74">
        <v>26565</v>
      </c>
    </row>
    <row r="21774" spans="1:1" x14ac:dyDescent="0.25">
      <c r="A21774" s="74">
        <v>26566</v>
      </c>
    </row>
    <row r="21775" spans="1:1" x14ac:dyDescent="0.25">
      <c r="A21775" s="74">
        <v>26567</v>
      </c>
    </row>
    <row r="21776" spans="1:1" x14ac:dyDescent="0.25">
      <c r="A21776" s="74">
        <v>26568</v>
      </c>
    </row>
    <row r="21777" spans="1:1" x14ac:dyDescent="0.25">
      <c r="A21777" s="74">
        <v>26569</v>
      </c>
    </row>
    <row r="21778" spans="1:1" x14ac:dyDescent="0.25">
      <c r="A21778" s="74">
        <v>26570</v>
      </c>
    </row>
    <row r="21779" spans="1:1" x14ac:dyDescent="0.25">
      <c r="A21779" s="74">
        <v>26571</v>
      </c>
    </row>
    <row r="21780" spans="1:1" x14ac:dyDescent="0.25">
      <c r="A21780" s="74">
        <v>26572</v>
      </c>
    </row>
    <row r="21781" spans="1:1" x14ac:dyDescent="0.25">
      <c r="A21781" s="74">
        <v>26573</v>
      </c>
    </row>
    <row r="21782" spans="1:1" x14ac:dyDescent="0.25">
      <c r="A21782" s="74">
        <v>26574</v>
      </c>
    </row>
    <row r="21783" spans="1:1" x14ac:dyDescent="0.25">
      <c r="A21783" s="74">
        <v>26575</v>
      </c>
    </row>
    <row r="21784" spans="1:1" x14ac:dyDescent="0.25">
      <c r="A21784" s="74">
        <v>26576</v>
      </c>
    </row>
    <row r="21785" spans="1:1" x14ac:dyDescent="0.25">
      <c r="A21785" s="74">
        <v>26577</v>
      </c>
    </row>
    <row r="21786" spans="1:1" x14ac:dyDescent="0.25">
      <c r="A21786" s="74">
        <v>26578</v>
      </c>
    </row>
    <row r="21787" spans="1:1" x14ac:dyDescent="0.25">
      <c r="A21787" s="74">
        <v>26579</v>
      </c>
    </row>
    <row r="21788" spans="1:1" x14ac:dyDescent="0.25">
      <c r="A21788" s="74">
        <v>26580</v>
      </c>
    </row>
    <row r="21789" spans="1:1" x14ac:dyDescent="0.25">
      <c r="A21789" s="74">
        <v>26581</v>
      </c>
    </row>
    <row r="21790" spans="1:1" x14ac:dyDescent="0.25">
      <c r="A21790" s="74">
        <v>26582</v>
      </c>
    </row>
    <row r="21791" spans="1:1" x14ac:dyDescent="0.25">
      <c r="A21791" s="74">
        <v>26583</v>
      </c>
    </row>
    <row r="21792" spans="1:1" x14ac:dyDescent="0.25">
      <c r="A21792" s="74">
        <v>26584</v>
      </c>
    </row>
    <row r="21793" spans="1:1" x14ac:dyDescent="0.25">
      <c r="A21793" s="74">
        <v>26585</v>
      </c>
    </row>
    <row r="21794" spans="1:1" x14ac:dyDescent="0.25">
      <c r="A21794" s="74">
        <v>26586</v>
      </c>
    </row>
    <row r="21795" spans="1:1" x14ac:dyDescent="0.25">
      <c r="A21795" s="74">
        <v>26587</v>
      </c>
    </row>
    <row r="21796" spans="1:1" x14ac:dyDescent="0.25">
      <c r="A21796" s="74">
        <v>26588</v>
      </c>
    </row>
    <row r="21797" spans="1:1" x14ac:dyDescent="0.25">
      <c r="A21797" s="74">
        <v>26589</v>
      </c>
    </row>
    <row r="21798" spans="1:1" x14ac:dyDescent="0.25">
      <c r="A21798" s="74">
        <v>26590</v>
      </c>
    </row>
    <row r="21799" spans="1:1" x14ac:dyDescent="0.25">
      <c r="A21799" s="74">
        <v>26591</v>
      </c>
    </row>
    <row r="21800" spans="1:1" x14ac:dyDescent="0.25">
      <c r="A21800" s="74">
        <v>26592</v>
      </c>
    </row>
    <row r="21801" spans="1:1" x14ac:dyDescent="0.25">
      <c r="A21801" s="74">
        <v>26593</v>
      </c>
    </row>
    <row r="21802" spans="1:1" x14ac:dyDescent="0.25">
      <c r="A21802" s="74">
        <v>26594</v>
      </c>
    </row>
    <row r="21803" spans="1:1" x14ac:dyDescent="0.25">
      <c r="A21803" s="74">
        <v>26595</v>
      </c>
    </row>
    <row r="21804" spans="1:1" x14ac:dyDescent="0.25">
      <c r="A21804" s="74">
        <v>26596</v>
      </c>
    </row>
    <row r="21805" spans="1:1" x14ac:dyDescent="0.25">
      <c r="A21805" s="74">
        <v>26597</v>
      </c>
    </row>
    <row r="21806" spans="1:1" x14ac:dyDescent="0.25">
      <c r="A21806" s="74">
        <v>26598</v>
      </c>
    </row>
    <row r="21807" spans="1:1" x14ac:dyDescent="0.25">
      <c r="A21807" s="74">
        <v>26599</v>
      </c>
    </row>
    <row r="21808" spans="1:1" x14ac:dyDescent="0.25">
      <c r="A21808" s="74">
        <v>26600</v>
      </c>
    </row>
    <row r="21809" spans="1:1" x14ac:dyDescent="0.25">
      <c r="A21809" s="74">
        <v>26601</v>
      </c>
    </row>
    <row r="21810" spans="1:1" x14ac:dyDescent="0.25">
      <c r="A21810" s="74">
        <v>26602</v>
      </c>
    </row>
    <row r="21811" spans="1:1" x14ac:dyDescent="0.25">
      <c r="A21811" s="74">
        <v>26603</v>
      </c>
    </row>
    <row r="21812" spans="1:1" x14ac:dyDescent="0.25">
      <c r="A21812" s="74">
        <v>26604</v>
      </c>
    </row>
    <row r="21813" spans="1:1" x14ac:dyDescent="0.25">
      <c r="A21813" s="74">
        <v>26605</v>
      </c>
    </row>
    <row r="21814" spans="1:1" x14ac:dyDescent="0.25">
      <c r="A21814" s="74">
        <v>26606</v>
      </c>
    </row>
    <row r="21815" spans="1:1" x14ac:dyDescent="0.25">
      <c r="A21815" s="74">
        <v>26607</v>
      </c>
    </row>
    <row r="21816" spans="1:1" x14ac:dyDescent="0.25">
      <c r="A21816" s="74">
        <v>26608</v>
      </c>
    </row>
    <row r="21817" spans="1:1" x14ac:dyDescent="0.25">
      <c r="A21817" s="74">
        <v>26609</v>
      </c>
    </row>
    <row r="21818" spans="1:1" x14ac:dyDescent="0.25">
      <c r="A21818" s="74">
        <v>26610</v>
      </c>
    </row>
    <row r="21819" spans="1:1" x14ac:dyDescent="0.25">
      <c r="A21819" s="74">
        <v>26611</v>
      </c>
    </row>
    <row r="21820" spans="1:1" x14ac:dyDescent="0.25">
      <c r="A21820" s="74">
        <v>26612</v>
      </c>
    </row>
    <row r="21821" spans="1:1" x14ac:dyDescent="0.25">
      <c r="A21821" s="74">
        <v>26613</v>
      </c>
    </row>
    <row r="21822" spans="1:1" x14ac:dyDescent="0.25">
      <c r="A21822" s="74">
        <v>26614</v>
      </c>
    </row>
    <row r="21823" spans="1:1" x14ac:dyDescent="0.25">
      <c r="A21823" s="74">
        <v>26615</v>
      </c>
    </row>
    <row r="21824" spans="1:1" x14ac:dyDescent="0.25">
      <c r="A21824" s="74">
        <v>26616</v>
      </c>
    </row>
    <row r="21825" spans="1:1" x14ac:dyDescent="0.25">
      <c r="A21825" s="74">
        <v>26617</v>
      </c>
    </row>
    <row r="21826" spans="1:1" x14ac:dyDescent="0.25">
      <c r="A21826" s="74">
        <v>26618</v>
      </c>
    </row>
    <row r="21827" spans="1:1" x14ac:dyDescent="0.25">
      <c r="A21827" s="74">
        <v>26619</v>
      </c>
    </row>
    <row r="21828" spans="1:1" x14ac:dyDescent="0.25">
      <c r="A21828" s="74">
        <v>26620</v>
      </c>
    </row>
    <row r="21829" spans="1:1" x14ac:dyDescent="0.25">
      <c r="A21829" s="74">
        <v>26621</v>
      </c>
    </row>
    <row r="21830" spans="1:1" x14ac:dyDescent="0.25">
      <c r="A21830" s="74">
        <v>26622</v>
      </c>
    </row>
    <row r="21831" spans="1:1" x14ac:dyDescent="0.25">
      <c r="A21831" s="74">
        <v>26623</v>
      </c>
    </row>
    <row r="21832" spans="1:1" x14ac:dyDescent="0.25">
      <c r="A21832" s="74">
        <v>26624</v>
      </c>
    </row>
    <row r="21833" spans="1:1" x14ac:dyDescent="0.25">
      <c r="A21833" s="74">
        <v>26625</v>
      </c>
    </row>
    <row r="21834" spans="1:1" x14ac:dyDescent="0.25">
      <c r="A21834" s="74">
        <v>26626</v>
      </c>
    </row>
    <row r="21835" spans="1:1" x14ac:dyDescent="0.25">
      <c r="A21835" s="74">
        <v>26627</v>
      </c>
    </row>
    <row r="21836" spans="1:1" x14ac:dyDescent="0.25">
      <c r="A21836" s="74">
        <v>26628</v>
      </c>
    </row>
    <row r="21837" spans="1:1" x14ac:dyDescent="0.25">
      <c r="A21837" s="74">
        <v>26629</v>
      </c>
    </row>
    <row r="21838" spans="1:1" x14ac:dyDescent="0.25">
      <c r="A21838" s="74">
        <v>26630</v>
      </c>
    </row>
    <row r="21839" spans="1:1" x14ac:dyDescent="0.25">
      <c r="A21839" s="74">
        <v>26631</v>
      </c>
    </row>
    <row r="21840" spans="1:1" x14ac:dyDescent="0.25">
      <c r="A21840" s="74">
        <v>26632</v>
      </c>
    </row>
    <row r="21841" spans="1:1" x14ac:dyDescent="0.25">
      <c r="A21841" s="74">
        <v>26633</v>
      </c>
    </row>
    <row r="21842" spans="1:1" x14ac:dyDescent="0.25">
      <c r="A21842" s="74">
        <v>26634</v>
      </c>
    </row>
    <row r="21843" spans="1:1" x14ac:dyDescent="0.25">
      <c r="A21843" s="74">
        <v>26635</v>
      </c>
    </row>
    <row r="21844" spans="1:1" x14ac:dyDescent="0.25">
      <c r="A21844" s="74">
        <v>26636</v>
      </c>
    </row>
    <row r="21845" spans="1:1" x14ac:dyDescent="0.25">
      <c r="A21845" s="74">
        <v>26637</v>
      </c>
    </row>
    <row r="21846" spans="1:1" x14ac:dyDescent="0.25">
      <c r="A21846" s="74">
        <v>26638</v>
      </c>
    </row>
    <row r="21847" spans="1:1" x14ac:dyDescent="0.25">
      <c r="A21847" s="74">
        <v>26639</v>
      </c>
    </row>
    <row r="21848" spans="1:1" x14ac:dyDescent="0.25">
      <c r="A21848" s="74">
        <v>26640</v>
      </c>
    </row>
    <row r="21849" spans="1:1" x14ac:dyDescent="0.25">
      <c r="A21849" s="74">
        <v>26641</v>
      </c>
    </row>
    <row r="21850" spans="1:1" x14ac:dyDescent="0.25">
      <c r="A21850" s="74">
        <v>26642</v>
      </c>
    </row>
    <row r="21851" spans="1:1" x14ac:dyDescent="0.25">
      <c r="A21851" s="74">
        <v>26643</v>
      </c>
    </row>
    <row r="21852" spans="1:1" x14ac:dyDescent="0.25">
      <c r="A21852" s="74">
        <v>26644</v>
      </c>
    </row>
    <row r="21853" spans="1:1" x14ac:dyDescent="0.25">
      <c r="A21853" s="74">
        <v>26645</v>
      </c>
    </row>
    <row r="21854" spans="1:1" x14ac:dyDescent="0.25">
      <c r="A21854" s="74">
        <v>26646</v>
      </c>
    </row>
    <row r="21855" spans="1:1" x14ac:dyDescent="0.25">
      <c r="A21855" s="74">
        <v>26647</v>
      </c>
    </row>
    <row r="21856" spans="1:1" x14ac:dyDescent="0.25">
      <c r="A21856" s="74">
        <v>26648</v>
      </c>
    </row>
    <row r="21857" spans="1:1" x14ac:dyDescent="0.25">
      <c r="A21857" s="74">
        <v>26649</v>
      </c>
    </row>
    <row r="21858" spans="1:1" x14ac:dyDescent="0.25">
      <c r="A21858" s="74">
        <v>26650</v>
      </c>
    </row>
    <row r="21859" spans="1:1" x14ac:dyDescent="0.25">
      <c r="A21859" s="74">
        <v>26651</v>
      </c>
    </row>
    <row r="21860" spans="1:1" x14ac:dyDescent="0.25">
      <c r="A21860" s="74">
        <v>26652</v>
      </c>
    </row>
    <row r="21861" spans="1:1" x14ac:dyDescent="0.25">
      <c r="A21861" s="74">
        <v>26653</v>
      </c>
    </row>
    <row r="21862" spans="1:1" x14ac:dyDescent="0.25">
      <c r="A21862" s="74">
        <v>26654</v>
      </c>
    </row>
    <row r="21863" spans="1:1" x14ac:dyDescent="0.25">
      <c r="A21863" s="74">
        <v>26655</v>
      </c>
    </row>
    <row r="21864" spans="1:1" x14ac:dyDescent="0.25">
      <c r="A21864" s="74">
        <v>26656</v>
      </c>
    </row>
    <row r="21865" spans="1:1" x14ac:dyDescent="0.25">
      <c r="A21865" s="74">
        <v>26657</v>
      </c>
    </row>
    <row r="21866" spans="1:1" x14ac:dyDescent="0.25">
      <c r="A21866" s="74">
        <v>26658</v>
      </c>
    </row>
    <row r="21867" spans="1:1" x14ac:dyDescent="0.25">
      <c r="A21867" s="74">
        <v>26659</v>
      </c>
    </row>
    <row r="21868" spans="1:1" x14ac:dyDescent="0.25">
      <c r="A21868" s="74">
        <v>26660</v>
      </c>
    </row>
    <row r="21869" spans="1:1" x14ac:dyDescent="0.25">
      <c r="A21869" s="74">
        <v>26661</v>
      </c>
    </row>
    <row r="21870" spans="1:1" x14ac:dyDescent="0.25">
      <c r="A21870" s="74">
        <v>26662</v>
      </c>
    </row>
    <row r="21871" spans="1:1" x14ac:dyDescent="0.25">
      <c r="A21871" s="74">
        <v>26663</v>
      </c>
    </row>
    <row r="21872" spans="1:1" x14ac:dyDescent="0.25">
      <c r="A21872" s="74">
        <v>26664</v>
      </c>
    </row>
    <row r="21873" spans="1:1" x14ac:dyDescent="0.25">
      <c r="A21873" s="74">
        <v>26665</v>
      </c>
    </row>
    <row r="21874" spans="1:1" x14ac:dyDescent="0.25">
      <c r="A21874" s="74">
        <v>26666</v>
      </c>
    </row>
    <row r="21875" spans="1:1" x14ac:dyDescent="0.25">
      <c r="A21875" s="74">
        <v>26667</v>
      </c>
    </row>
    <row r="21876" spans="1:1" x14ac:dyDescent="0.25">
      <c r="A21876" s="74">
        <v>26668</v>
      </c>
    </row>
    <row r="21877" spans="1:1" x14ac:dyDescent="0.25">
      <c r="A21877" s="74">
        <v>26669</v>
      </c>
    </row>
    <row r="21878" spans="1:1" x14ac:dyDescent="0.25">
      <c r="A21878" s="74">
        <v>26670</v>
      </c>
    </row>
    <row r="21879" spans="1:1" x14ac:dyDescent="0.25">
      <c r="A21879" s="74">
        <v>26671</v>
      </c>
    </row>
    <row r="21880" spans="1:1" x14ac:dyDescent="0.25">
      <c r="A21880" s="74">
        <v>26672</v>
      </c>
    </row>
    <row r="21881" spans="1:1" x14ac:dyDescent="0.25">
      <c r="A21881" s="74">
        <v>26673</v>
      </c>
    </row>
    <row r="21882" spans="1:1" x14ac:dyDescent="0.25">
      <c r="A21882" s="74">
        <v>26674</v>
      </c>
    </row>
    <row r="21883" spans="1:1" x14ac:dyDescent="0.25">
      <c r="A21883" s="74">
        <v>26675</v>
      </c>
    </row>
    <row r="21884" spans="1:1" x14ac:dyDescent="0.25">
      <c r="A21884" s="74">
        <v>26676</v>
      </c>
    </row>
    <row r="21885" spans="1:1" x14ac:dyDescent="0.25">
      <c r="A21885" s="74">
        <v>26677</v>
      </c>
    </row>
    <row r="21886" spans="1:1" x14ac:dyDescent="0.25">
      <c r="A21886" s="74">
        <v>26678</v>
      </c>
    </row>
    <row r="21887" spans="1:1" x14ac:dyDescent="0.25">
      <c r="A21887" s="74">
        <v>26679</v>
      </c>
    </row>
    <row r="21888" spans="1:1" x14ac:dyDescent="0.25">
      <c r="A21888" s="74">
        <v>26680</v>
      </c>
    </row>
    <row r="21889" spans="1:1" x14ac:dyDescent="0.25">
      <c r="A21889" s="74">
        <v>26681</v>
      </c>
    </row>
    <row r="21890" spans="1:1" x14ac:dyDescent="0.25">
      <c r="A21890" s="74">
        <v>26682</v>
      </c>
    </row>
    <row r="21891" spans="1:1" x14ac:dyDescent="0.25">
      <c r="A21891" s="74">
        <v>26683</v>
      </c>
    </row>
    <row r="21892" spans="1:1" x14ac:dyDescent="0.25">
      <c r="A21892" s="74">
        <v>26684</v>
      </c>
    </row>
    <row r="21893" spans="1:1" x14ac:dyDescent="0.25">
      <c r="A21893" s="74">
        <v>26685</v>
      </c>
    </row>
    <row r="21894" spans="1:1" x14ac:dyDescent="0.25">
      <c r="A21894" s="74">
        <v>26686</v>
      </c>
    </row>
    <row r="21895" spans="1:1" x14ac:dyDescent="0.25">
      <c r="A21895" s="74">
        <v>26687</v>
      </c>
    </row>
    <row r="21896" spans="1:1" x14ac:dyDescent="0.25">
      <c r="A21896" s="74">
        <v>26688</v>
      </c>
    </row>
    <row r="21897" spans="1:1" x14ac:dyDescent="0.25">
      <c r="A21897" s="74">
        <v>26689</v>
      </c>
    </row>
    <row r="21898" spans="1:1" x14ac:dyDescent="0.25">
      <c r="A21898" s="74">
        <v>26690</v>
      </c>
    </row>
    <row r="21899" spans="1:1" x14ac:dyDescent="0.25">
      <c r="A21899" s="74">
        <v>26691</v>
      </c>
    </row>
    <row r="21900" spans="1:1" x14ac:dyDescent="0.25">
      <c r="A21900" s="74">
        <v>26692</v>
      </c>
    </row>
    <row r="21901" spans="1:1" x14ac:dyDescent="0.25">
      <c r="A21901" s="74">
        <v>26693</v>
      </c>
    </row>
    <row r="21902" spans="1:1" x14ac:dyDescent="0.25">
      <c r="A21902" s="74">
        <v>26694</v>
      </c>
    </row>
    <row r="21903" spans="1:1" x14ac:dyDescent="0.25">
      <c r="A21903" s="74">
        <v>26695</v>
      </c>
    </row>
    <row r="21904" spans="1:1" x14ac:dyDescent="0.25">
      <c r="A21904" s="74">
        <v>26696</v>
      </c>
    </row>
    <row r="21905" spans="1:1" x14ac:dyDescent="0.25">
      <c r="A21905" s="74">
        <v>26697</v>
      </c>
    </row>
    <row r="21906" spans="1:1" x14ac:dyDescent="0.25">
      <c r="A21906" s="74">
        <v>26698</v>
      </c>
    </row>
    <row r="21907" spans="1:1" x14ac:dyDescent="0.25">
      <c r="A21907" s="74">
        <v>26699</v>
      </c>
    </row>
    <row r="21908" spans="1:1" x14ac:dyDescent="0.25">
      <c r="A21908" s="74">
        <v>26700</v>
      </c>
    </row>
    <row r="21909" spans="1:1" x14ac:dyDescent="0.25">
      <c r="A21909" s="74">
        <v>26701</v>
      </c>
    </row>
    <row r="21910" spans="1:1" x14ac:dyDescent="0.25">
      <c r="A21910" s="74">
        <v>26702</v>
      </c>
    </row>
    <row r="21911" spans="1:1" x14ac:dyDescent="0.25">
      <c r="A21911" s="74">
        <v>26703</v>
      </c>
    </row>
    <row r="21912" spans="1:1" x14ac:dyDescent="0.25">
      <c r="A21912" s="74">
        <v>26704</v>
      </c>
    </row>
    <row r="21913" spans="1:1" x14ac:dyDescent="0.25">
      <c r="A21913" s="74">
        <v>26705</v>
      </c>
    </row>
    <row r="21914" spans="1:1" x14ac:dyDescent="0.25">
      <c r="A21914" s="74">
        <v>26706</v>
      </c>
    </row>
    <row r="21915" spans="1:1" x14ac:dyDescent="0.25">
      <c r="A21915" s="74">
        <v>26707</v>
      </c>
    </row>
    <row r="21916" spans="1:1" x14ac:dyDescent="0.25">
      <c r="A21916" s="74">
        <v>26708</v>
      </c>
    </row>
    <row r="21917" spans="1:1" x14ac:dyDescent="0.25">
      <c r="A21917" s="74">
        <v>26709</v>
      </c>
    </row>
    <row r="21918" spans="1:1" x14ac:dyDescent="0.25">
      <c r="A21918" s="74">
        <v>26710</v>
      </c>
    </row>
    <row r="21919" spans="1:1" x14ac:dyDescent="0.25">
      <c r="A21919" s="74">
        <v>26711</v>
      </c>
    </row>
    <row r="21920" spans="1:1" x14ac:dyDescent="0.25">
      <c r="A21920" s="74">
        <v>26712</v>
      </c>
    </row>
    <row r="21921" spans="1:1" x14ac:dyDescent="0.25">
      <c r="A21921" s="74">
        <v>26713</v>
      </c>
    </row>
    <row r="21922" spans="1:1" x14ac:dyDescent="0.25">
      <c r="A21922" s="74">
        <v>26714</v>
      </c>
    </row>
    <row r="21923" spans="1:1" x14ac:dyDescent="0.25">
      <c r="A21923" s="74">
        <v>26715</v>
      </c>
    </row>
    <row r="21924" spans="1:1" x14ac:dyDescent="0.25">
      <c r="A21924" s="74">
        <v>26716</v>
      </c>
    </row>
    <row r="21925" spans="1:1" x14ac:dyDescent="0.25">
      <c r="A21925" s="74">
        <v>26717</v>
      </c>
    </row>
    <row r="21926" spans="1:1" x14ac:dyDescent="0.25">
      <c r="A21926" s="74">
        <v>26718</v>
      </c>
    </row>
    <row r="21927" spans="1:1" x14ac:dyDescent="0.25">
      <c r="A21927" s="74">
        <v>26719</v>
      </c>
    </row>
    <row r="21928" spans="1:1" x14ac:dyDescent="0.25">
      <c r="A21928" s="74">
        <v>26720</v>
      </c>
    </row>
    <row r="21929" spans="1:1" x14ac:dyDescent="0.25">
      <c r="A21929" s="74">
        <v>26721</v>
      </c>
    </row>
    <row r="21930" spans="1:1" x14ac:dyDescent="0.25">
      <c r="A21930" s="74">
        <v>26722</v>
      </c>
    </row>
    <row r="21931" spans="1:1" x14ac:dyDescent="0.25">
      <c r="A21931" s="74">
        <v>26723</v>
      </c>
    </row>
    <row r="21932" spans="1:1" x14ac:dyDescent="0.25">
      <c r="A21932" s="74">
        <v>26724</v>
      </c>
    </row>
    <row r="21933" spans="1:1" x14ac:dyDescent="0.25">
      <c r="A21933" s="74">
        <v>26725</v>
      </c>
    </row>
    <row r="21934" spans="1:1" x14ac:dyDescent="0.25">
      <c r="A21934" s="74">
        <v>26726</v>
      </c>
    </row>
    <row r="21935" spans="1:1" x14ac:dyDescent="0.25">
      <c r="A21935" s="74">
        <v>26727</v>
      </c>
    </row>
    <row r="21936" spans="1:1" x14ac:dyDescent="0.25">
      <c r="A21936" s="74">
        <v>26728</v>
      </c>
    </row>
    <row r="21937" spans="1:1" x14ac:dyDescent="0.25">
      <c r="A21937" s="74">
        <v>26729</v>
      </c>
    </row>
    <row r="21938" spans="1:1" x14ac:dyDescent="0.25">
      <c r="A21938" s="74">
        <v>26730</v>
      </c>
    </row>
    <row r="21939" spans="1:1" x14ac:dyDescent="0.25">
      <c r="A21939" s="74">
        <v>26731</v>
      </c>
    </row>
    <row r="21940" spans="1:1" x14ac:dyDescent="0.25">
      <c r="A21940" s="74">
        <v>26732</v>
      </c>
    </row>
    <row r="21941" spans="1:1" x14ac:dyDescent="0.25">
      <c r="A21941" s="74">
        <v>26733</v>
      </c>
    </row>
    <row r="21942" spans="1:1" x14ac:dyDescent="0.25">
      <c r="A21942" s="74">
        <v>26734</v>
      </c>
    </row>
    <row r="21943" spans="1:1" x14ac:dyDescent="0.25">
      <c r="A21943" s="74">
        <v>26735</v>
      </c>
    </row>
    <row r="21944" spans="1:1" x14ac:dyDescent="0.25">
      <c r="A21944" s="74">
        <v>26736</v>
      </c>
    </row>
    <row r="21945" spans="1:1" x14ac:dyDescent="0.25">
      <c r="A21945" s="74">
        <v>26737</v>
      </c>
    </row>
    <row r="21946" spans="1:1" x14ac:dyDescent="0.25">
      <c r="A21946" s="74">
        <v>26738</v>
      </c>
    </row>
    <row r="21947" spans="1:1" x14ac:dyDescent="0.25">
      <c r="A21947" s="74">
        <v>26739</v>
      </c>
    </row>
    <row r="21948" spans="1:1" x14ac:dyDescent="0.25">
      <c r="A21948" s="74">
        <v>26740</v>
      </c>
    </row>
    <row r="21949" spans="1:1" x14ac:dyDescent="0.25">
      <c r="A21949" s="74">
        <v>26741</v>
      </c>
    </row>
    <row r="21950" spans="1:1" x14ac:dyDescent="0.25">
      <c r="A21950" s="74">
        <v>26742</v>
      </c>
    </row>
    <row r="21951" spans="1:1" x14ac:dyDescent="0.25">
      <c r="A21951" s="74">
        <v>26743</v>
      </c>
    </row>
    <row r="21952" spans="1:1" x14ac:dyDescent="0.25">
      <c r="A21952" s="74">
        <v>26744</v>
      </c>
    </row>
    <row r="21953" spans="1:1" x14ac:dyDescent="0.25">
      <c r="A21953" s="74">
        <v>26745</v>
      </c>
    </row>
    <row r="21954" spans="1:1" x14ac:dyDescent="0.25">
      <c r="A21954" s="74">
        <v>26746</v>
      </c>
    </row>
    <row r="21955" spans="1:1" x14ac:dyDescent="0.25">
      <c r="A21955" s="74">
        <v>26747</v>
      </c>
    </row>
    <row r="21956" spans="1:1" x14ac:dyDescent="0.25">
      <c r="A21956" s="74">
        <v>26748</v>
      </c>
    </row>
    <row r="21957" spans="1:1" x14ac:dyDescent="0.25">
      <c r="A21957" s="74">
        <v>26749</v>
      </c>
    </row>
    <row r="21958" spans="1:1" x14ac:dyDescent="0.25">
      <c r="A21958" s="74">
        <v>26750</v>
      </c>
    </row>
    <row r="21959" spans="1:1" x14ac:dyDescent="0.25">
      <c r="A21959" s="74">
        <v>26751</v>
      </c>
    </row>
    <row r="21960" spans="1:1" x14ac:dyDescent="0.25">
      <c r="A21960" s="74">
        <v>26752</v>
      </c>
    </row>
    <row r="21961" spans="1:1" x14ac:dyDescent="0.25">
      <c r="A21961" s="74">
        <v>26753</v>
      </c>
    </row>
    <row r="21962" spans="1:1" x14ac:dyDescent="0.25">
      <c r="A21962" s="74">
        <v>26754</v>
      </c>
    </row>
    <row r="21963" spans="1:1" x14ac:dyDescent="0.25">
      <c r="A21963" s="74">
        <v>26755</v>
      </c>
    </row>
    <row r="21964" spans="1:1" x14ac:dyDescent="0.25">
      <c r="A21964" s="74">
        <v>26756</v>
      </c>
    </row>
    <row r="21965" spans="1:1" x14ac:dyDescent="0.25">
      <c r="A21965" s="74">
        <v>26757</v>
      </c>
    </row>
    <row r="21966" spans="1:1" x14ac:dyDescent="0.25">
      <c r="A21966" s="74">
        <v>26758</v>
      </c>
    </row>
    <row r="21967" spans="1:1" x14ac:dyDescent="0.25">
      <c r="A21967" s="74">
        <v>26759</v>
      </c>
    </row>
    <row r="21968" spans="1:1" x14ac:dyDescent="0.25">
      <c r="A21968" s="74">
        <v>26760</v>
      </c>
    </row>
    <row r="21969" spans="1:1" x14ac:dyDescent="0.25">
      <c r="A21969" s="74">
        <v>26761</v>
      </c>
    </row>
    <row r="21970" spans="1:1" x14ac:dyDescent="0.25">
      <c r="A21970" s="74">
        <v>26762</v>
      </c>
    </row>
    <row r="21971" spans="1:1" x14ac:dyDescent="0.25">
      <c r="A21971" s="74">
        <v>26763</v>
      </c>
    </row>
    <row r="21972" spans="1:1" x14ac:dyDescent="0.25">
      <c r="A21972" s="74">
        <v>26764</v>
      </c>
    </row>
    <row r="21973" spans="1:1" x14ac:dyDescent="0.25">
      <c r="A21973" s="74">
        <v>26765</v>
      </c>
    </row>
    <row r="21974" spans="1:1" x14ac:dyDescent="0.25">
      <c r="A21974" s="74">
        <v>26766</v>
      </c>
    </row>
    <row r="21975" spans="1:1" x14ac:dyDescent="0.25">
      <c r="A21975" s="74">
        <v>26767</v>
      </c>
    </row>
    <row r="21976" spans="1:1" x14ac:dyDescent="0.25">
      <c r="A21976" s="74">
        <v>26768</v>
      </c>
    </row>
    <row r="21977" spans="1:1" x14ac:dyDescent="0.25">
      <c r="A21977" s="74">
        <v>26769</v>
      </c>
    </row>
    <row r="21978" spans="1:1" x14ac:dyDescent="0.25">
      <c r="A21978" s="74">
        <v>26770</v>
      </c>
    </row>
    <row r="21979" spans="1:1" x14ac:dyDescent="0.25">
      <c r="A21979" s="74">
        <v>26771</v>
      </c>
    </row>
    <row r="21980" spans="1:1" x14ac:dyDescent="0.25">
      <c r="A21980" s="74">
        <v>26772</v>
      </c>
    </row>
    <row r="21981" spans="1:1" x14ac:dyDescent="0.25">
      <c r="A21981" s="74">
        <v>26773</v>
      </c>
    </row>
    <row r="21982" spans="1:1" x14ac:dyDescent="0.25">
      <c r="A21982" s="74">
        <v>26774</v>
      </c>
    </row>
    <row r="21983" spans="1:1" x14ac:dyDescent="0.25">
      <c r="A21983" s="74">
        <v>26775</v>
      </c>
    </row>
    <row r="21984" spans="1:1" x14ac:dyDescent="0.25">
      <c r="A21984" s="74">
        <v>26776</v>
      </c>
    </row>
    <row r="21985" spans="1:1" x14ac:dyDescent="0.25">
      <c r="A21985" s="74">
        <v>26777</v>
      </c>
    </row>
    <row r="21986" spans="1:1" x14ac:dyDescent="0.25">
      <c r="A21986" s="74">
        <v>26778</v>
      </c>
    </row>
    <row r="21987" spans="1:1" x14ac:dyDescent="0.25">
      <c r="A21987" s="74">
        <v>26779</v>
      </c>
    </row>
    <row r="21988" spans="1:1" x14ac:dyDescent="0.25">
      <c r="A21988" s="74">
        <v>26780</v>
      </c>
    </row>
    <row r="21989" spans="1:1" x14ac:dyDescent="0.25">
      <c r="A21989" s="74">
        <v>26781</v>
      </c>
    </row>
    <row r="21990" spans="1:1" x14ac:dyDescent="0.25">
      <c r="A21990" s="74">
        <v>26782</v>
      </c>
    </row>
    <row r="21991" spans="1:1" x14ac:dyDescent="0.25">
      <c r="A21991" s="74">
        <v>26783</v>
      </c>
    </row>
    <row r="21992" spans="1:1" x14ac:dyDescent="0.25">
      <c r="A21992" s="74">
        <v>26784</v>
      </c>
    </row>
    <row r="21993" spans="1:1" x14ac:dyDescent="0.25">
      <c r="A21993" s="74">
        <v>26785</v>
      </c>
    </row>
    <row r="21994" spans="1:1" x14ac:dyDescent="0.25">
      <c r="A21994" s="74">
        <v>26786</v>
      </c>
    </row>
    <row r="21995" spans="1:1" x14ac:dyDescent="0.25">
      <c r="A21995" s="74">
        <v>26787</v>
      </c>
    </row>
    <row r="21996" spans="1:1" x14ac:dyDescent="0.25">
      <c r="A21996" s="74">
        <v>26788</v>
      </c>
    </row>
    <row r="21997" spans="1:1" x14ac:dyDescent="0.25">
      <c r="A21997" s="74">
        <v>26789</v>
      </c>
    </row>
    <row r="21998" spans="1:1" x14ac:dyDescent="0.25">
      <c r="A21998" s="74">
        <v>26790</v>
      </c>
    </row>
    <row r="21999" spans="1:1" x14ac:dyDescent="0.25">
      <c r="A21999" s="74">
        <v>26791</v>
      </c>
    </row>
    <row r="22000" spans="1:1" x14ac:dyDescent="0.25">
      <c r="A22000" s="74">
        <v>26792</v>
      </c>
    </row>
    <row r="22001" spans="1:1" x14ac:dyDescent="0.25">
      <c r="A22001" s="74">
        <v>26793</v>
      </c>
    </row>
    <row r="22002" spans="1:1" x14ac:dyDescent="0.25">
      <c r="A22002" s="74">
        <v>26794</v>
      </c>
    </row>
    <row r="22003" spans="1:1" x14ac:dyDescent="0.25">
      <c r="A22003" s="74">
        <v>26795</v>
      </c>
    </row>
    <row r="22004" spans="1:1" x14ac:dyDescent="0.25">
      <c r="A22004" s="74">
        <v>26796</v>
      </c>
    </row>
    <row r="22005" spans="1:1" x14ac:dyDescent="0.25">
      <c r="A22005" s="74">
        <v>26797</v>
      </c>
    </row>
    <row r="22006" spans="1:1" x14ac:dyDescent="0.25">
      <c r="A22006" s="74">
        <v>26798</v>
      </c>
    </row>
    <row r="22007" spans="1:1" x14ac:dyDescent="0.25">
      <c r="A22007" s="74">
        <v>26799</v>
      </c>
    </row>
    <row r="22008" spans="1:1" x14ac:dyDescent="0.25">
      <c r="A22008" s="74">
        <v>26800</v>
      </c>
    </row>
    <row r="22009" spans="1:1" x14ac:dyDescent="0.25">
      <c r="A22009" s="74">
        <v>26801</v>
      </c>
    </row>
    <row r="22010" spans="1:1" x14ac:dyDescent="0.25">
      <c r="A22010" s="74">
        <v>26802</v>
      </c>
    </row>
    <row r="22011" spans="1:1" x14ac:dyDescent="0.25">
      <c r="A22011" s="74">
        <v>26803</v>
      </c>
    </row>
    <row r="22012" spans="1:1" x14ac:dyDescent="0.25">
      <c r="A22012" s="74">
        <v>26804</v>
      </c>
    </row>
    <row r="22013" spans="1:1" x14ac:dyDescent="0.25">
      <c r="A22013" s="74">
        <v>26805</v>
      </c>
    </row>
    <row r="22014" spans="1:1" x14ac:dyDescent="0.25">
      <c r="A22014" s="74">
        <v>26806</v>
      </c>
    </row>
    <row r="22015" spans="1:1" x14ac:dyDescent="0.25">
      <c r="A22015" s="74">
        <v>26807</v>
      </c>
    </row>
    <row r="22016" spans="1:1" x14ac:dyDescent="0.25">
      <c r="A22016" s="74">
        <v>26808</v>
      </c>
    </row>
    <row r="22017" spans="1:1" x14ac:dyDescent="0.25">
      <c r="A22017" s="74">
        <v>26809</v>
      </c>
    </row>
    <row r="22018" spans="1:1" x14ac:dyDescent="0.25">
      <c r="A22018" s="74">
        <v>26810</v>
      </c>
    </row>
    <row r="22019" spans="1:1" x14ac:dyDescent="0.25">
      <c r="A22019" s="74">
        <v>26811</v>
      </c>
    </row>
    <row r="22020" spans="1:1" x14ac:dyDescent="0.25">
      <c r="A22020" s="74">
        <v>26812</v>
      </c>
    </row>
    <row r="22021" spans="1:1" x14ac:dyDescent="0.25">
      <c r="A22021" s="74">
        <v>26813</v>
      </c>
    </row>
    <row r="22022" spans="1:1" x14ac:dyDescent="0.25">
      <c r="A22022" s="74">
        <v>26814</v>
      </c>
    </row>
    <row r="22023" spans="1:1" x14ac:dyDescent="0.25">
      <c r="A22023" s="74">
        <v>26815</v>
      </c>
    </row>
    <row r="22024" spans="1:1" x14ac:dyDescent="0.25">
      <c r="A22024" s="74">
        <v>26816</v>
      </c>
    </row>
    <row r="22025" spans="1:1" x14ac:dyDescent="0.25">
      <c r="A22025" s="74">
        <v>26817</v>
      </c>
    </row>
    <row r="22026" spans="1:1" x14ac:dyDescent="0.25">
      <c r="A22026" s="74">
        <v>26818</v>
      </c>
    </row>
    <row r="22027" spans="1:1" x14ac:dyDescent="0.25">
      <c r="A22027" s="74">
        <v>26819</v>
      </c>
    </row>
    <row r="22028" spans="1:1" x14ac:dyDescent="0.25">
      <c r="A22028" s="74">
        <v>26820</v>
      </c>
    </row>
    <row r="22029" spans="1:1" x14ac:dyDescent="0.25">
      <c r="A22029" s="74">
        <v>26821</v>
      </c>
    </row>
    <row r="22030" spans="1:1" x14ac:dyDescent="0.25">
      <c r="A22030" s="74">
        <v>26822</v>
      </c>
    </row>
    <row r="22031" spans="1:1" x14ac:dyDescent="0.25">
      <c r="A22031" s="74">
        <v>26823</v>
      </c>
    </row>
    <row r="22032" spans="1:1" x14ac:dyDescent="0.25">
      <c r="A22032" s="74">
        <v>26824</v>
      </c>
    </row>
    <row r="22033" spans="1:1" x14ac:dyDescent="0.25">
      <c r="A22033" s="74">
        <v>26825</v>
      </c>
    </row>
    <row r="22034" spans="1:1" x14ac:dyDescent="0.25">
      <c r="A22034" s="74">
        <v>26826</v>
      </c>
    </row>
    <row r="22035" spans="1:1" x14ac:dyDescent="0.25">
      <c r="A22035" s="74">
        <v>26827</v>
      </c>
    </row>
    <row r="22036" spans="1:1" x14ac:dyDescent="0.25">
      <c r="A22036" s="74">
        <v>26828</v>
      </c>
    </row>
    <row r="22037" spans="1:1" x14ac:dyDescent="0.25">
      <c r="A22037" s="74">
        <v>26829</v>
      </c>
    </row>
    <row r="22038" spans="1:1" x14ac:dyDescent="0.25">
      <c r="A22038" s="74">
        <v>26830</v>
      </c>
    </row>
    <row r="22039" spans="1:1" x14ac:dyDescent="0.25">
      <c r="A22039" s="74">
        <v>26831</v>
      </c>
    </row>
    <row r="22040" spans="1:1" x14ac:dyDescent="0.25">
      <c r="A22040" s="74">
        <v>26832</v>
      </c>
    </row>
    <row r="22041" spans="1:1" x14ac:dyDescent="0.25">
      <c r="A22041" s="74">
        <v>26833</v>
      </c>
    </row>
    <row r="22042" spans="1:1" x14ac:dyDescent="0.25">
      <c r="A22042" s="74">
        <v>26834</v>
      </c>
    </row>
    <row r="22043" spans="1:1" x14ac:dyDescent="0.25">
      <c r="A22043" s="74">
        <v>26835</v>
      </c>
    </row>
    <row r="22044" spans="1:1" x14ac:dyDescent="0.25">
      <c r="A22044" s="74">
        <v>26836</v>
      </c>
    </row>
    <row r="22045" spans="1:1" x14ac:dyDescent="0.25">
      <c r="A22045" s="74">
        <v>26837</v>
      </c>
    </row>
    <row r="22046" spans="1:1" x14ac:dyDescent="0.25">
      <c r="A22046" s="74">
        <v>26838</v>
      </c>
    </row>
    <row r="22047" spans="1:1" x14ac:dyDescent="0.25">
      <c r="A22047" s="74">
        <v>26839</v>
      </c>
    </row>
    <row r="22048" spans="1:1" x14ac:dyDescent="0.25">
      <c r="A22048" s="74">
        <v>26840</v>
      </c>
    </row>
    <row r="22049" spans="1:1" x14ac:dyDescent="0.25">
      <c r="A22049" s="74">
        <v>26841</v>
      </c>
    </row>
    <row r="22050" spans="1:1" x14ac:dyDescent="0.25">
      <c r="A22050" s="74">
        <v>26842</v>
      </c>
    </row>
    <row r="22051" spans="1:1" x14ac:dyDescent="0.25">
      <c r="A22051" s="74">
        <v>26843</v>
      </c>
    </row>
    <row r="22052" spans="1:1" x14ac:dyDescent="0.25">
      <c r="A22052" s="74">
        <v>26844</v>
      </c>
    </row>
    <row r="22053" spans="1:1" x14ac:dyDescent="0.25">
      <c r="A22053" s="74">
        <v>26845</v>
      </c>
    </row>
    <row r="22054" spans="1:1" x14ac:dyDescent="0.25">
      <c r="A22054" s="74">
        <v>26846</v>
      </c>
    </row>
    <row r="22055" spans="1:1" x14ac:dyDescent="0.25">
      <c r="A22055" s="74">
        <v>26847</v>
      </c>
    </row>
    <row r="22056" spans="1:1" x14ac:dyDescent="0.25">
      <c r="A22056" s="74">
        <v>26848</v>
      </c>
    </row>
    <row r="22057" spans="1:1" x14ac:dyDescent="0.25">
      <c r="A22057" s="74">
        <v>26849</v>
      </c>
    </row>
    <row r="22058" spans="1:1" x14ac:dyDescent="0.25">
      <c r="A22058" s="74">
        <v>26850</v>
      </c>
    </row>
    <row r="22059" spans="1:1" x14ac:dyDescent="0.25">
      <c r="A22059" s="74">
        <v>26851</v>
      </c>
    </row>
    <row r="22060" spans="1:1" x14ac:dyDescent="0.25">
      <c r="A22060" s="74">
        <v>26852</v>
      </c>
    </row>
    <row r="22061" spans="1:1" x14ac:dyDescent="0.25">
      <c r="A22061" s="74">
        <v>26853</v>
      </c>
    </row>
    <row r="22062" spans="1:1" x14ac:dyDescent="0.25">
      <c r="A22062" s="74">
        <v>26854</v>
      </c>
    </row>
    <row r="22063" spans="1:1" x14ac:dyDescent="0.25">
      <c r="A22063" s="74">
        <v>26855</v>
      </c>
    </row>
    <row r="22064" spans="1:1" x14ac:dyDescent="0.25">
      <c r="A22064" s="74">
        <v>26856</v>
      </c>
    </row>
    <row r="22065" spans="1:1" x14ac:dyDescent="0.25">
      <c r="A22065" s="74">
        <v>26857</v>
      </c>
    </row>
    <row r="22066" spans="1:1" x14ac:dyDescent="0.25">
      <c r="A22066" s="74">
        <v>26858</v>
      </c>
    </row>
    <row r="22067" spans="1:1" x14ac:dyDescent="0.25">
      <c r="A22067" s="74">
        <v>26859</v>
      </c>
    </row>
    <row r="22068" spans="1:1" x14ac:dyDescent="0.25">
      <c r="A22068" s="74">
        <v>26860</v>
      </c>
    </row>
    <row r="22069" spans="1:1" x14ac:dyDescent="0.25">
      <c r="A22069" s="74">
        <v>26861</v>
      </c>
    </row>
    <row r="22070" spans="1:1" x14ac:dyDescent="0.25">
      <c r="A22070" s="74">
        <v>26862</v>
      </c>
    </row>
    <row r="22071" spans="1:1" x14ac:dyDescent="0.25">
      <c r="A22071" s="74">
        <v>26863</v>
      </c>
    </row>
    <row r="22072" spans="1:1" x14ac:dyDescent="0.25">
      <c r="A22072" s="74">
        <v>26864</v>
      </c>
    </row>
    <row r="22073" spans="1:1" x14ac:dyDescent="0.25">
      <c r="A22073" s="74">
        <v>26865</v>
      </c>
    </row>
    <row r="22074" spans="1:1" x14ac:dyDescent="0.25">
      <c r="A22074" s="74">
        <v>26866</v>
      </c>
    </row>
    <row r="22075" spans="1:1" x14ac:dyDescent="0.25">
      <c r="A22075" s="74">
        <v>26867</v>
      </c>
    </row>
    <row r="22076" spans="1:1" x14ac:dyDescent="0.25">
      <c r="A22076" s="74">
        <v>26868</v>
      </c>
    </row>
    <row r="22077" spans="1:1" x14ac:dyDescent="0.25">
      <c r="A22077" s="74">
        <v>26869</v>
      </c>
    </row>
    <row r="22078" spans="1:1" x14ac:dyDescent="0.25">
      <c r="A22078" s="74">
        <v>26870</v>
      </c>
    </row>
    <row r="22079" spans="1:1" x14ac:dyDescent="0.25">
      <c r="A22079" s="74">
        <v>26871</v>
      </c>
    </row>
    <row r="22080" spans="1:1" x14ac:dyDescent="0.25">
      <c r="A22080" s="74">
        <v>26872</v>
      </c>
    </row>
    <row r="22081" spans="1:1" x14ac:dyDescent="0.25">
      <c r="A22081" s="74">
        <v>26873</v>
      </c>
    </row>
    <row r="22082" spans="1:1" x14ac:dyDescent="0.25">
      <c r="A22082" s="74">
        <v>26874</v>
      </c>
    </row>
    <row r="22083" spans="1:1" x14ac:dyDescent="0.25">
      <c r="A22083" s="74">
        <v>26875</v>
      </c>
    </row>
    <row r="22084" spans="1:1" x14ac:dyDescent="0.25">
      <c r="A22084" s="74">
        <v>26876</v>
      </c>
    </row>
    <row r="22085" spans="1:1" x14ac:dyDescent="0.25">
      <c r="A22085" s="74">
        <v>26877</v>
      </c>
    </row>
    <row r="22086" spans="1:1" x14ac:dyDescent="0.25">
      <c r="A22086" s="74">
        <v>26878</v>
      </c>
    </row>
    <row r="22087" spans="1:1" x14ac:dyDescent="0.25">
      <c r="A22087" s="74">
        <v>26879</v>
      </c>
    </row>
    <row r="22088" spans="1:1" x14ac:dyDescent="0.25">
      <c r="A22088" s="74">
        <v>26880</v>
      </c>
    </row>
    <row r="22089" spans="1:1" x14ac:dyDescent="0.25">
      <c r="A22089" s="74">
        <v>26881</v>
      </c>
    </row>
    <row r="22090" spans="1:1" x14ac:dyDescent="0.25">
      <c r="A22090" s="74">
        <v>26882</v>
      </c>
    </row>
    <row r="22091" spans="1:1" x14ac:dyDescent="0.25">
      <c r="A22091" s="74">
        <v>26883</v>
      </c>
    </row>
    <row r="22092" spans="1:1" x14ac:dyDescent="0.25">
      <c r="A22092" s="74">
        <v>26884</v>
      </c>
    </row>
    <row r="22093" spans="1:1" x14ac:dyDescent="0.25">
      <c r="A22093" s="74">
        <v>26885</v>
      </c>
    </row>
    <row r="22094" spans="1:1" x14ac:dyDescent="0.25">
      <c r="A22094" s="74">
        <v>26886</v>
      </c>
    </row>
    <row r="22095" spans="1:1" x14ac:dyDescent="0.25">
      <c r="A22095" s="74">
        <v>26887</v>
      </c>
    </row>
    <row r="22096" spans="1:1" x14ac:dyDescent="0.25">
      <c r="A22096" s="74">
        <v>26888</v>
      </c>
    </row>
    <row r="22097" spans="1:1" x14ac:dyDescent="0.25">
      <c r="A22097" s="74">
        <v>26889</v>
      </c>
    </row>
    <row r="22098" spans="1:1" x14ac:dyDescent="0.25">
      <c r="A22098" s="74">
        <v>26890</v>
      </c>
    </row>
    <row r="22099" spans="1:1" x14ac:dyDescent="0.25">
      <c r="A22099" s="74">
        <v>26891</v>
      </c>
    </row>
    <row r="22100" spans="1:1" x14ac:dyDescent="0.25">
      <c r="A22100" s="74">
        <v>26892</v>
      </c>
    </row>
    <row r="22101" spans="1:1" x14ac:dyDescent="0.25">
      <c r="A22101" s="74">
        <v>26893</v>
      </c>
    </row>
    <row r="22102" spans="1:1" x14ac:dyDescent="0.25">
      <c r="A22102" s="74">
        <v>26894</v>
      </c>
    </row>
    <row r="22103" spans="1:1" x14ac:dyDescent="0.25">
      <c r="A22103" s="74">
        <v>26895</v>
      </c>
    </row>
    <row r="22104" spans="1:1" x14ac:dyDescent="0.25">
      <c r="A22104" s="74">
        <v>26896</v>
      </c>
    </row>
    <row r="22105" spans="1:1" x14ac:dyDescent="0.25">
      <c r="A22105" s="74">
        <v>26897</v>
      </c>
    </row>
    <row r="22106" spans="1:1" x14ac:dyDescent="0.25">
      <c r="A22106" s="74">
        <v>26898</v>
      </c>
    </row>
    <row r="22107" spans="1:1" x14ac:dyDescent="0.25">
      <c r="A22107" s="74">
        <v>26899</v>
      </c>
    </row>
    <row r="22108" spans="1:1" x14ac:dyDescent="0.25">
      <c r="A22108" s="74">
        <v>26900</v>
      </c>
    </row>
    <row r="22109" spans="1:1" x14ac:dyDescent="0.25">
      <c r="A22109" s="74">
        <v>26901</v>
      </c>
    </row>
    <row r="22110" spans="1:1" x14ac:dyDescent="0.25">
      <c r="A22110" s="74">
        <v>26902</v>
      </c>
    </row>
    <row r="22111" spans="1:1" x14ac:dyDescent="0.25">
      <c r="A22111" s="74">
        <v>26903</v>
      </c>
    </row>
    <row r="22112" spans="1:1" x14ac:dyDescent="0.25">
      <c r="A22112" s="74">
        <v>26904</v>
      </c>
    </row>
    <row r="22113" spans="1:1" x14ac:dyDescent="0.25">
      <c r="A22113" s="74">
        <v>26905</v>
      </c>
    </row>
    <row r="22114" spans="1:1" x14ac:dyDescent="0.25">
      <c r="A22114" s="74">
        <v>26906</v>
      </c>
    </row>
    <row r="22115" spans="1:1" x14ac:dyDescent="0.25">
      <c r="A22115" s="74">
        <v>26907</v>
      </c>
    </row>
    <row r="22116" spans="1:1" x14ac:dyDescent="0.25">
      <c r="A22116" s="74">
        <v>26908</v>
      </c>
    </row>
    <row r="22117" spans="1:1" x14ac:dyDescent="0.25">
      <c r="A22117" s="74">
        <v>26909</v>
      </c>
    </row>
    <row r="22118" spans="1:1" x14ac:dyDescent="0.25">
      <c r="A22118" s="74">
        <v>26910</v>
      </c>
    </row>
    <row r="22119" spans="1:1" x14ac:dyDescent="0.25">
      <c r="A22119" s="74">
        <v>26911</v>
      </c>
    </row>
    <row r="22120" spans="1:1" x14ac:dyDescent="0.25">
      <c r="A22120" s="74">
        <v>26912</v>
      </c>
    </row>
    <row r="22121" spans="1:1" x14ac:dyDescent="0.25">
      <c r="A22121" s="74">
        <v>26913</v>
      </c>
    </row>
    <row r="22122" spans="1:1" x14ac:dyDescent="0.25">
      <c r="A22122" s="74">
        <v>26914</v>
      </c>
    </row>
    <row r="22123" spans="1:1" x14ac:dyDescent="0.25">
      <c r="A22123" s="74">
        <v>26915</v>
      </c>
    </row>
    <row r="22124" spans="1:1" x14ac:dyDescent="0.25">
      <c r="A22124" s="74">
        <v>26916</v>
      </c>
    </row>
    <row r="22125" spans="1:1" x14ac:dyDescent="0.25">
      <c r="A22125" s="74">
        <v>26917</v>
      </c>
    </row>
    <row r="22126" spans="1:1" x14ac:dyDescent="0.25">
      <c r="A22126" s="74">
        <v>26918</v>
      </c>
    </row>
    <row r="22127" spans="1:1" x14ac:dyDescent="0.25">
      <c r="A22127" s="74">
        <v>26919</v>
      </c>
    </row>
    <row r="22128" spans="1:1" x14ac:dyDescent="0.25">
      <c r="A22128" s="74">
        <v>26920</v>
      </c>
    </row>
    <row r="22129" spans="1:1" x14ac:dyDescent="0.25">
      <c r="A22129" s="74">
        <v>26921</v>
      </c>
    </row>
    <row r="22130" spans="1:1" x14ac:dyDescent="0.25">
      <c r="A22130" s="74">
        <v>26922</v>
      </c>
    </row>
    <row r="22131" spans="1:1" x14ac:dyDescent="0.25">
      <c r="A22131" s="74">
        <v>26923</v>
      </c>
    </row>
    <row r="22132" spans="1:1" x14ac:dyDescent="0.25">
      <c r="A22132" s="74">
        <v>26924</v>
      </c>
    </row>
    <row r="22133" spans="1:1" x14ac:dyDescent="0.25">
      <c r="A22133" s="74">
        <v>26925</v>
      </c>
    </row>
    <row r="22134" spans="1:1" x14ac:dyDescent="0.25">
      <c r="A22134" s="74">
        <v>26926</v>
      </c>
    </row>
    <row r="22135" spans="1:1" x14ac:dyDescent="0.25">
      <c r="A22135" s="74">
        <v>26927</v>
      </c>
    </row>
    <row r="22136" spans="1:1" x14ac:dyDescent="0.25">
      <c r="A22136" s="74">
        <v>26928</v>
      </c>
    </row>
    <row r="22137" spans="1:1" x14ac:dyDescent="0.25">
      <c r="A22137" s="74">
        <v>26929</v>
      </c>
    </row>
    <row r="22138" spans="1:1" x14ac:dyDescent="0.25">
      <c r="A22138" s="74">
        <v>26930</v>
      </c>
    </row>
    <row r="22139" spans="1:1" x14ac:dyDescent="0.25">
      <c r="A22139" s="74">
        <v>26931</v>
      </c>
    </row>
    <row r="22140" spans="1:1" x14ac:dyDescent="0.25">
      <c r="A22140" s="74">
        <v>26932</v>
      </c>
    </row>
    <row r="22141" spans="1:1" x14ac:dyDescent="0.25">
      <c r="A22141" s="74">
        <v>26933</v>
      </c>
    </row>
    <row r="22142" spans="1:1" x14ac:dyDescent="0.25">
      <c r="A22142" s="74">
        <v>26934</v>
      </c>
    </row>
    <row r="22143" spans="1:1" x14ac:dyDescent="0.25">
      <c r="A22143" s="74">
        <v>26935</v>
      </c>
    </row>
    <row r="22144" spans="1:1" x14ac:dyDescent="0.25">
      <c r="A22144" s="74">
        <v>26936</v>
      </c>
    </row>
    <row r="22145" spans="1:1" x14ac:dyDescent="0.25">
      <c r="A22145" s="74">
        <v>26937</v>
      </c>
    </row>
    <row r="22146" spans="1:1" x14ac:dyDescent="0.25">
      <c r="A22146" s="74">
        <v>26938</v>
      </c>
    </row>
    <row r="22147" spans="1:1" x14ac:dyDescent="0.25">
      <c r="A22147" s="74">
        <v>26939</v>
      </c>
    </row>
    <row r="22148" spans="1:1" x14ac:dyDescent="0.25">
      <c r="A22148" s="74">
        <v>26940</v>
      </c>
    </row>
    <row r="22149" spans="1:1" x14ac:dyDescent="0.25">
      <c r="A22149" s="74">
        <v>26941</v>
      </c>
    </row>
    <row r="22150" spans="1:1" x14ac:dyDescent="0.25">
      <c r="A22150" s="74">
        <v>26942</v>
      </c>
    </row>
    <row r="22151" spans="1:1" x14ac:dyDescent="0.25">
      <c r="A22151" s="74">
        <v>26943</v>
      </c>
    </row>
    <row r="22152" spans="1:1" x14ac:dyDescent="0.25">
      <c r="A22152" s="74">
        <v>26944</v>
      </c>
    </row>
    <row r="22153" spans="1:1" x14ac:dyDescent="0.25">
      <c r="A22153" s="74">
        <v>26945</v>
      </c>
    </row>
    <row r="22154" spans="1:1" x14ac:dyDescent="0.25">
      <c r="A22154" s="74">
        <v>26946</v>
      </c>
    </row>
    <row r="22155" spans="1:1" x14ac:dyDescent="0.25">
      <c r="A22155" s="74">
        <v>26947</v>
      </c>
    </row>
    <row r="22156" spans="1:1" x14ac:dyDescent="0.25">
      <c r="A22156" s="74">
        <v>26948</v>
      </c>
    </row>
    <row r="22157" spans="1:1" x14ac:dyDescent="0.25">
      <c r="A22157" s="74">
        <v>26949</v>
      </c>
    </row>
    <row r="22158" spans="1:1" x14ac:dyDescent="0.25">
      <c r="A22158" s="74">
        <v>26950</v>
      </c>
    </row>
    <row r="22159" spans="1:1" x14ac:dyDescent="0.25">
      <c r="A22159" s="74">
        <v>26951</v>
      </c>
    </row>
    <row r="22160" spans="1:1" x14ac:dyDescent="0.25">
      <c r="A22160" s="74">
        <v>26952</v>
      </c>
    </row>
    <row r="22161" spans="1:1" x14ac:dyDescent="0.25">
      <c r="A22161" s="74">
        <v>26953</v>
      </c>
    </row>
    <row r="22162" spans="1:1" x14ac:dyDescent="0.25">
      <c r="A22162" s="74">
        <v>26954</v>
      </c>
    </row>
    <row r="22163" spans="1:1" x14ac:dyDescent="0.25">
      <c r="A22163" s="74">
        <v>26955</v>
      </c>
    </row>
    <row r="22164" spans="1:1" x14ac:dyDescent="0.25">
      <c r="A22164" s="74">
        <v>26956</v>
      </c>
    </row>
    <row r="22165" spans="1:1" x14ac:dyDescent="0.25">
      <c r="A22165" s="74">
        <v>26957</v>
      </c>
    </row>
    <row r="22166" spans="1:1" x14ac:dyDescent="0.25">
      <c r="A22166" s="74">
        <v>26958</v>
      </c>
    </row>
    <row r="22167" spans="1:1" x14ac:dyDescent="0.25">
      <c r="A22167" s="74">
        <v>26959</v>
      </c>
    </row>
    <row r="22168" spans="1:1" x14ac:dyDescent="0.25">
      <c r="A22168" s="74">
        <v>26960</v>
      </c>
    </row>
    <row r="22169" spans="1:1" x14ac:dyDescent="0.25">
      <c r="A22169" s="74">
        <v>26961</v>
      </c>
    </row>
    <row r="22170" spans="1:1" x14ac:dyDescent="0.25">
      <c r="A22170" s="74">
        <v>26962</v>
      </c>
    </row>
    <row r="22171" spans="1:1" x14ac:dyDescent="0.25">
      <c r="A22171" s="74">
        <v>26963</v>
      </c>
    </row>
    <row r="22172" spans="1:1" x14ac:dyDescent="0.25">
      <c r="A22172" s="74">
        <v>26964</v>
      </c>
    </row>
    <row r="22173" spans="1:1" x14ac:dyDescent="0.25">
      <c r="A22173" s="74">
        <v>26965</v>
      </c>
    </row>
    <row r="22174" spans="1:1" x14ac:dyDescent="0.25">
      <c r="A22174" s="74">
        <v>26966</v>
      </c>
    </row>
    <row r="22175" spans="1:1" x14ac:dyDescent="0.25">
      <c r="A22175" s="74">
        <v>26967</v>
      </c>
    </row>
    <row r="22176" spans="1:1" x14ac:dyDescent="0.25">
      <c r="A22176" s="74">
        <v>26968</v>
      </c>
    </row>
    <row r="22177" spans="1:1" x14ac:dyDescent="0.25">
      <c r="A22177" s="74">
        <v>26969</v>
      </c>
    </row>
    <row r="22178" spans="1:1" x14ac:dyDescent="0.25">
      <c r="A22178" s="74">
        <v>26970</v>
      </c>
    </row>
    <row r="22179" spans="1:1" x14ac:dyDescent="0.25">
      <c r="A22179" s="74">
        <v>26971</v>
      </c>
    </row>
    <row r="22180" spans="1:1" x14ac:dyDescent="0.25">
      <c r="A22180" s="74">
        <v>26972</v>
      </c>
    </row>
    <row r="22181" spans="1:1" x14ac:dyDescent="0.25">
      <c r="A22181" s="74">
        <v>26973</v>
      </c>
    </row>
    <row r="22182" spans="1:1" x14ac:dyDescent="0.25">
      <c r="A22182" s="74">
        <v>26974</v>
      </c>
    </row>
    <row r="22183" spans="1:1" x14ac:dyDescent="0.25">
      <c r="A22183" s="74">
        <v>26975</v>
      </c>
    </row>
    <row r="22184" spans="1:1" x14ac:dyDescent="0.25">
      <c r="A22184" s="74">
        <v>26976</v>
      </c>
    </row>
    <row r="22185" spans="1:1" x14ac:dyDescent="0.25">
      <c r="A22185" s="74">
        <v>26977</v>
      </c>
    </row>
    <row r="22186" spans="1:1" x14ac:dyDescent="0.25">
      <c r="A22186" s="74">
        <v>26978</v>
      </c>
    </row>
    <row r="22187" spans="1:1" x14ac:dyDescent="0.25">
      <c r="A22187" s="74">
        <v>26979</v>
      </c>
    </row>
    <row r="22188" spans="1:1" x14ac:dyDescent="0.25">
      <c r="A22188" s="74">
        <v>26980</v>
      </c>
    </row>
    <row r="22189" spans="1:1" x14ac:dyDescent="0.25">
      <c r="A22189" s="74">
        <v>26981</v>
      </c>
    </row>
    <row r="22190" spans="1:1" x14ac:dyDescent="0.25">
      <c r="A22190" s="74">
        <v>26982</v>
      </c>
    </row>
    <row r="22191" spans="1:1" x14ac:dyDescent="0.25">
      <c r="A22191" s="74">
        <v>26983</v>
      </c>
    </row>
    <row r="22192" spans="1:1" x14ac:dyDescent="0.25">
      <c r="A22192" s="74">
        <v>26984</v>
      </c>
    </row>
    <row r="22193" spans="1:1" x14ac:dyDescent="0.25">
      <c r="A22193" s="74">
        <v>26985</v>
      </c>
    </row>
    <row r="22194" spans="1:1" x14ac:dyDescent="0.25">
      <c r="A22194" s="74">
        <v>26986</v>
      </c>
    </row>
    <row r="22195" spans="1:1" x14ac:dyDescent="0.25">
      <c r="A22195" s="74">
        <v>26987</v>
      </c>
    </row>
    <row r="22196" spans="1:1" x14ac:dyDescent="0.25">
      <c r="A22196" s="74">
        <v>26988</v>
      </c>
    </row>
    <row r="22197" spans="1:1" x14ac:dyDescent="0.25">
      <c r="A22197" s="74">
        <v>26989</v>
      </c>
    </row>
    <row r="22198" spans="1:1" x14ac:dyDescent="0.25">
      <c r="A22198" s="74">
        <v>26990</v>
      </c>
    </row>
    <row r="22199" spans="1:1" x14ac:dyDescent="0.25">
      <c r="A22199" s="74">
        <v>26991</v>
      </c>
    </row>
    <row r="22200" spans="1:1" x14ac:dyDescent="0.25">
      <c r="A22200" s="74">
        <v>26992</v>
      </c>
    </row>
    <row r="22201" spans="1:1" x14ac:dyDescent="0.25">
      <c r="A22201" s="74">
        <v>26993</v>
      </c>
    </row>
    <row r="22202" spans="1:1" x14ac:dyDescent="0.25">
      <c r="A22202" s="74">
        <v>26994</v>
      </c>
    </row>
    <row r="22203" spans="1:1" x14ac:dyDescent="0.25">
      <c r="A22203" s="74">
        <v>26995</v>
      </c>
    </row>
    <row r="22204" spans="1:1" x14ac:dyDescent="0.25">
      <c r="A22204" s="74">
        <v>26996</v>
      </c>
    </row>
    <row r="22205" spans="1:1" x14ac:dyDescent="0.25">
      <c r="A22205" s="74">
        <v>26997</v>
      </c>
    </row>
    <row r="22206" spans="1:1" x14ac:dyDescent="0.25">
      <c r="A22206" s="74">
        <v>26998</v>
      </c>
    </row>
    <row r="22207" spans="1:1" x14ac:dyDescent="0.25">
      <c r="A22207" s="74">
        <v>26999</v>
      </c>
    </row>
    <row r="22208" spans="1:1" x14ac:dyDescent="0.25">
      <c r="A22208" s="74">
        <v>27000</v>
      </c>
    </row>
    <row r="22209" spans="1:1" x14ac:dyDescent="0.25">
      <c r="A22209" s="74">
        <v>27001</v>
      </c>
    </row>
    <row r="22210" spans="1:1" x14ac:dyDescent="0.25">
      <c r="A22210" s="74">
        <v>27002</v>
      </c>
    </row>
    <row r="22211" spans="1:1" x14ac:dyDescent="0.25">
      <c r="A22211" s="74">
        <v>27003</v>
      </c>
    </row>
    <row r="22212" spans="1:1" x14ac:dyDescent="0.25">
      <c r="A22212" s="74">
        <v>27004</v>
      </c>
    </row>
    <row r="22213" spans="1:1" x14ac:dyDescent="0.25">
      <c r="A22213" s="74">
        <v>27005</v>
      </c>
    </row>
    <row r="22214" spans="1:1" x14ac:dyDescent="0.25">
      <c r="A22214" s="74">
        <v>27006</v>
      </c>
    </row>
    <row r="22215" spans="1:1" x14ac:dyDescent="0.25">
      <c r="A22215" s="74">
        <v>27007</v>
      </c>
    </row>
    <row r="22216" spans="1:1" x14ac:dyDescent="0.25">
      <c r="A22216" s="74">
        <v>27008</v>
      </c>
    </row>
    <row r="22217" spans="1:1" x14ac:dyDescent="0.25">
      <c r="A22217" s="74">
        <v>27009</v>
      </c>
    </row>
    <row r="22218" spans="1:1" x14ac:dyDescent="0.25">
      <c r="A22218" s="74">
        <v>27010</v>
      </c>
    </row>
    <row r="22219" spans="1:1" x14ac:dyDescent="0.25">
      <c r="A22219" s="74">
        <v>27011</v>
      </c>
    </row>
    <row r="22220" spans="1:1" x14ac:dyDescent="0.25">
      <c r="A22220" s="74">
        <v>27012</v>
      </c>
    </row>
    <row r="22221" spans="1:1" x14ac:dyDescent="0.25">
      <c r="A22221" s="74">
        <v>27013</v>
      </c>
    </row>
    <row r="22222" spans="1:1" x14ac:dyDescent="0.25">
      <c r="A22222" s="74">
        <v>27014</v>
      </c>
    </row>
    <row r="22223" spans="1:1" x14ac:dyDescent="0.25">
      <c r="A22223" s="74">
        <v>27015</v>
      </c>
    </row>
    <row r="22224" spans="1:1" x14ac:dyDescent="0.25">
      <c r="A22224" s="74">
        <v>27016</v>
      </c>
    </row>
    <row r="22225" spans="1:1" x14ac:dyDescent="0.25">
      <c r="A22225" s="74">
        <v>27017</v>
      </c>
    </row>
    <row r="22226" spans="1:1" x14ac:dyDescent="0.25">
      <c r="A22226" s="74">
        <v>27018</v>
      </c>
    </row>
    <row r="22227" spans="1:1" x14ac:dyDescent="0.25">
      <c r="A22227" s="74">
        <v>27019</v>
      </c>
    </row>
    <row r="22228" spans="1:1" x14ac:dyDescent="0.25">
      <c r="A22228" s="74">
        <v>27020</v>
      </c>
    </row>
    <row r="22229" spans="1:1" x14ac:dyDescent="0.25">
      <c r="A22229" s="74">
        <v>27021</v>
      </c>
    </row>
    <row r="22230" spans="1:1" x14ac:dyDescent="0.25">
      <c r="A22230" s="74">
        <v>27022</v>
      </c>
    </row>
    <row r="22231" spans="1:1" x14ac:dyDescent="0.25">
      <c r="A22231" s="74">
        <v>27023</v>
      </c>
    </row>
    <row r="22232" spans="1:1" x14ac:dyDescent="0.25">
      <c r="A22232" s="74">
        <v>27024</v>
      </c>
    </row>
    <row r="22233" spans="1:1" x14ac:dyDescent="0.25">
      <c r="A22233" s="74">
        <v>27025</v>
      </c>
    </row>
    <row r="22234" spans="1:1" x14ac:dyDescent="0.25">
      <c r="A22234" s="74">
        <v>27026</v>
      </c>
    </row>
    <row r="22235" spans="1:1" x14ac:dyDescent="0.25">
      <c r="A22235" s="74">
        <v>27027</v>
      </c>
    </row>
    <row r="22236" spans="1:1" x14ac:dyDescent="0.25">
      <c r="A22236" s="74">
        <v>27028</v>
      </c>
    </row>
    <row r="22237" spans="1:1" x14ac:dyDescent="0.25">
      <c r="A22237" s="74">
        <v>27029</v>
      </c>
    </row>
    <row r="22238" spans="1:1" x14ac:dyDescent="0.25">
      <c r="A22238" s="74">
        <v>27030</v>
      </c>
    </row>
    <row r="22239" spans="1:1" x14ac:dyDescent="0.25">
      <c r="A22239" s="74">
        <v>27031</v>
      </c>
    </row>
    <row r="22240" spans="1:1" x14ac:dyDescent="0.25">
      <c r="A22240" s="74">
        <v>27032</v>
      </c>
    </row>
    <row r="22241" spans="1:1" x14ac:dyDescent="0.25">
      <c r="A22241" s="74">
        <v>27033</v>
      </c>
    </row>
    <row r="22242" spans="1:1" x14ac:dyDescent="0.25">
      <c r="A22242" s="74">
        <v>27034</v>
      </c>
    </row>
    <row r="22243" spans="1:1" x14ac:dyDescent="0.25">
      <c r="A22243" s="74">
        <v>27035</v>
      </c>
    </row>
    <row r="22244" spans="1:1" x14ac:dyDescent="0.25">
      <c r="A22244" s="74">
        <v>27036</v>
      </c>
    </row>
    <row r="22245" spans="1:1" x14ac:dyDescent="0.25">
      <c r="A22245" s="74">
        <v>27037</v>
      </c>
    </row>
    <row r="22246" spans="1:1" x14ac:dyDescent="0.25">
      <c r="A22246" s="74">
        <v>27038</v>
      </c>
    </row>
    <row r="22247" spans="1:1" x14ac:dyDescent="0.25">
      <c r="A22247" s="74">
        <v>27039</v>
      </c>
    </row>
    <row r="22248" spans="1:1" x14ac:dyDescent="0.25">
      <c r="A22248" s="74">
        <v>27040</v>
      </c>
    </row>
    <row r="22249" spans="1:1" x14ac:dyDescent="0.25">
      <c r="A22249" s="74">
        <v>27041</v>
      </c>
    </row>
    <row r="22250" spans="1:1" x14ac:dyDescent="0.25">
      <c r="A22250" s="74">
        <v>27042</v>
      </c>
    </row>
    <row r="22251" spans="1:1" x14ac:dyDescent="0.25">
      <c r="A22251" s="74">
        <v>27043</v>
      </c>
    </row>
    <row r="22252" spans="1:1" x14ac:dyDescent="0.25">
      <c r="A22252" s="74">
        <v>27044</v>
      </c>
    </row>
    <row r="22253" spans="1:1" x14ac:dyDescent="0.25">
      <c r="A22253" s="74">
        <v>27045</v>
      </c>
    </row>
    <row r="22254" spans="1:1" x14ac:dyDescent="0.25">
      <c r="A22254" s="74">
        <v>27046</v>
      </c>
    </row>
    <row r="22255" spans="1:1" x14ac:dyDescent="0.25">
      <c r="A22255" s="74">
        <v>27047</v>
      </c>
    </row>
    <row r="22256" spans="1:1" x14ac:dyDescent="0.25">
      <c r="A22256" s="74">
        <v>27048</v>
      </c>
    </row>
    <row r="22257" spans="1:1" x14ac:dyDescent="0.25">
      <c r="A22257" s="74">
        <v>27049</v>
      </c>
    </row>
    <row r="22258" spans="1:1" x14ac:dyDescent="0.25">
      <c r="A22258" s="74">
        <v>27050</v>
      </c>
    </row>
    <row r="22259" spans="1:1" x14ac:dyDescent="0.25">
      <c r="A22259" s="74">
        <v>27051</v>
      </c>
    </row>
    <row r="22260" spans="1:1" x14ac:dyDescent="0.25">
      <c r="A22260" s="74">
        <v>27052</v>
      </c>
    </row>
    <row r="22261" spans="1:1" x14ac:dyDescent="0.25">
      <c r="A22261" s="74">
        <v>27053</v>
      </c>
    </row>
    <row r="22262" spans="1:1" x14ac:dyDescent="0.25">
      <c r="A22262" s="74">
        <v>27054</v>
      </c>
    </row>
    <row r="22263" spans="1:1" x14ac:dyDescent="0.25">
      <c r="A22263" s="74">
        <v>27055</v>
      </c>
    </row>
    <row r="22264" spans="1:1" x14ac:dyDescent="0.25">
      <c r="A22264" s="74">
        <v>27056</v>
      </c>
    </row>
    <row r="22265" spans="1:1" x14ac:dyDescent="0.25">
      <c r="A22265" s="74">
        <v>27057</v>
      </c>
    </row>
    <row r="22266" spans="1:1" x14ac:dyDescent="0.25">
      <c r="A22266" s="74">
        <v>27058</v>
      </c>
    </row>
    <row r="22267" spans="1:1" x14ac:dyDescent="0.25">
      <c r="A22267" s="74">
        <v>27059</v>
      </c>
    </row>
    <row r="22268" spans="1:1" x14ac:dyDescent="0.25">
      <c r="A22268" s="74">
        <v>27060</v>
      </c>
    </row>
    <row r="22269" spans="1:1" x14ac:dyDescent="0.25">
      <c r="A22269" s="74">
        <v>27061</v>
      </c>
    </row>
    <row r="22270" spans="1:1" x14ac:dyDescent="0.25">
      <c r="A22270" s="74">
        <v>27062</v>
      </c>
    </row>
    <row r="22271" spans="1:1" x14ac:dyDescent="0.25">
      <c r="A22271" s="74">
        <v>27063</v>
      </c>
    </row>
    <row r="22272" spans="1:1" x14ac:dyDescent="0.25">
      <c r="A22272" s="74">
        <v>27064</v>
      </c>
    </row>
    <row r="22273" spans="1:1" x14ac:dyDescent="0.25">
      <c r="A22273" s="74">
        <v>27065</v>
      </c>
    </row>
    <row r="22274" spans="1:1" x14ac:dyDescent="0.25">
      <c r="A22274" s="74">
        <v>27066</v>
      </c>
    </row>
    <row r="22275" spans="1:1" x14ac:dyDescent="0.25">
      <c r="A22275" s="74">
        <v>27067</v>
      </c>
    </row>
    <row r="22276" spans="1:1" x14ac:dyDescent="0.25">
      <c r="A22276" s="74">
        <v>27068</v>
      </c>
    </row>
    <row r="22277" spans="1:1" x14ac:dyDescent="0.25">
      <c r="A22277" s="74">
        <v>27069</v>
      </c>
    </row>
    <row r="22278" spans="1:1" x14ac:dyDescent="0.25">
      <c r="A22278" s="74">
        <v>27070</v>
      </c>
    </row>
    <row r="22279" spans="1:1" x14ac:dyDescent="0.25">
      <c r="A22279" s="74">
        <v>27071</v>
      </c>
    </row>
    <row r="22280" spans="1:1" x14ac:dyDescent="0.25">
      <c r="A22280" s="74">
        <v>27072</v>
      </c>
    </row>
    <row r="22281" spans="1:1" x14ac:dyDescent="0.25">
      <c r="A22281" s="74">
        <v>27073</v>
      </c>
    </row>
    <row r="22282" spans="1:1" x14ac:dyDescent="0.25">
      <c r="A22282" s="74">
        <v>27074</v>
      </c>
    </row>
    <row r="22283" spans="1:1" x14ac:dyDescent="0.25">
      <c r="A22283" s="74">
        <v>27075</v>
      </c>
    </row>
    <row r="22284" spans="1:1" x14ac:dyDescent="0.25">
      <c r="A22284" s="74">
        <v>27076</v>
      </c>
    </row>
    <row r="22285" spans="1:1" x14ac:dyDescent="0.25">
      <c r="A22285" s="74">
        <v>27077</v>
      </c>
    </row>
    <row r="22286" spans="1:1" x14ac:dyDescent="0.25">
      <c r="A22286" s="74">
        <v>27078</v>
      </c>
    </row>
    <row r="22287" spans="1:1" x14ac:dyDescent="0.25">
      <c r="A22287" s="74">
        <v>27079</v>
      </c>
    </row>
    <row r="22288" spans="1:1" x14ac:dyDescent="0.25">
      <c r="A22288" s="74">
        <v>27080</v>
      </c>
    </row>
    <row r="22289" spans="1:1" x14ac:dyDescent="0.25">
      <c r="A22289" s="74">
        <v>27081</v>
      </c>
    </row>
    <row r="22290" spans="1:1" x14ac:dyDescent="0.25">
      <c r="A22290" s="74">
        <v>27082</v>
      </c>
    </row>
    <row r="22291" spans="1:1" x14ac:dyDescent="0.25">
      <c r="A22291" s="74">
        <v>27083</v>
      </c>
    </row>
    <row r="22292" spans="1:1" x14ac:dyDescent="0.25">
      <c r="A22292" s="74">
        <v>27084</v>
      </c>
    </row>
    <row r="22293" spans="1:1" x14ac:dyDescent="0.25">
      <c r="A22293" s="74">
        <v>27085</v>
      </c>
    </row>
    <row r="22294" spans="1:1" x14ac:dyDescent="0.25">
      <c r="A22294" s="74">
        <v>27086</v>
      </c>
    </row>
    <row r="22295" spans="1:1" x14ac:dyDescent="0.25">
      <c r="A22295" s="74">
        <v>27087</v>
      </c>
    </row>
    <row r="22296" spans="1:1" x14ac:dyDescent="0.25">
      <c r="A22296" s="74">
        <v>27088</v>
      </c>
    </row>
    <row r="22297" spans="1:1" x14ac:dyDescent="0.25">
      <c r="A22297" s="74">
        <v>27089</v>
      </c>
    </row>
    <row r="22298" spans="1:1" x14ac:dyDescent="0.25">
      <c r="A22298" s="74">
        <v>27090</v>
      </c>
    </row>
    <row r="22299" spans="1:1" x14ac:dyDescent="0.25">
      <c r="A22299" s="74">
        <v>27091</v>
      </c>
    </row>
    <row r="22300" spans="1:1" x14ac:dyDescent="0.25">
      <c r="A22300" s="74">
        <v>27092</v>
      </c>
    </row>
    <row r="22301" spans="1:1" x14ac:dyDescent="0.25">
      <c r="A22301" s="74">
        <v>27093</v>
      </c>
    </row>
    <row r="22302" spans="1:1" x14ac:dyDescent="0.25">
      <c r="A22302" s="74">
        <v>27094</v>
      </c>
    </row>
    <row r="22303" spans="1:1" x14ac:dyDescent="0.25">
      <c r="A22303" s="74">
        <v>27095</v>
      </c>
    </row>
    <row r="22304" spans="1:1" x14ac:dyDescent="0.25">
      <c r="A22304" s="74">
        <v>27096</v>
      </c>
    </row>
    <row r="22305" spans="1:1" x14ac:dyDescent="0.25">
      <c r="A22305" s="74">
        <v>27097</v>
      </c>
    </row>
    <row r="22306" spans="1:1" x14ac:dyDescent="0.25">
      <c r="A22306" s="74">
        <v>27098</v>
      </c>
    </row>
    <row r="22307" spans="1:1" x14ac:dyDescent="0.25">
      <c r="A22307" s="74">
        <v>27099</v>
      </c>
    </row>
    <row r="22308" spans="1:1" x14ac:dyDescent="0.25">
      <c r="A22308" s="74">
        <v>27100</v>
      </c>
    </row>
    <row r="22309" spans="1:1" x14ac:dyDescent="0.25">
      <c r="A22309" s="74">
        <v>27101</v>
      </c>
    </row>
    <row r="22310" spans="1:1" x14ac:dyDescent="0.25">
      <c r="A22310" s="74">
        <v>27102</v>
      </c>
    </row>
    <row r="22311" spans="1:1" x14ac:dyDescent="0.25">
      <c r="A22311" s="74">
        <v>27103</v>
      </c>
    </row>
    <row r="22312" spans="1:1" x14ac:dyDescent="0.25">
      <c r="A22312" s="74">
        <v>27104</v>
      </c>
    </row>
    <row r="22313" spans="1:1" x14ac:dyDescent="0.25">
      <c r="A22313" s="74">
        <v>27105</v>
      </c>
    </row>
    <row r="22314" spans="1:1" x14ac:dyDescent="0.25">
      <c r="A22314" s="74">
        <v>27106</v>
      </c>
    </row>
    <row r="22315" spans="1:1" x14ac:dyDescent="0.25">
      <c r="A22315" s="74">
        <v>27107</v>
      </c>
    </row>
    <row r="22316" spans="1:1" x14ac:dyDescent="0.25">
      <c r="A22316" s="74">
        <v>27108</v>
      </c>
    </row>
    <row r="22317" spans="1:1" x14ac:dyDescent="0.25">
      <c r="A22317" s="74">
        <v>27109</v>
      </c>
    </row>
    <row r="22318" spans="1:1" x14ac:dyDescent="0.25">
      <c r="A22318" s="74">
        <v>27110</v>
      </c>
    </row>
    <row r="22319" spans="1:1" x14ac:dyDescent="0.25">
      <c r="A22319" s="74">
        <v>27111</v>
      </c>
    </row>
    <row r="22320" spans="1:1" x14ac:dyDescent="0.25">
      <c r="A22320" s="74">
        <v>27112</v>
      </c>
    </row>
    <row r="22321" spans="1:1" x14ac:dyDescent="0.25">
      <c r="A22321" s="74">
        <v>27113</v>
      </c>
    </row>
    <row r="22322" spans="1:1" x14ac:dyDescent="0.25">
      <c r="A22322" s="74">
        <v>27114</v>
      </c>
    </row>
    <row r="22323" spans="1:1" x14ac:dyDescent="0.25">
      <c r="A22323" s="74">
        <v>27115</v>
      </c>
    </row>
    <row r="22324" spans="1:1" x14ac:dyDescent="0.25">
      <c r="A22324" s="74">
        <v>27116</v>
      </c>
    </row>
    <row r="22325" spans="1:1" x14ac:dyDescent="0.25">
      <c r="A22325" s="74">
        <v>27117</v>
      </c>
    </row>
    <row r="22326" spans="1:1" x14ac:dyDescent="0.25">
      <c r="A22326" s="74">
        <v>27118</v>
      </c>
    </row>
    <row r="22327" spans="1:1" x14ac:dyDescent="0.25">
      <c r="A22327" s="74">
        <v>27119</v>
      </c>
    </row>
    <row r="22328" spans="1:1" x14ac:dyDescent="0.25">
      <c r="A22328" s="74">
        <v>27120</v>
      </c>
    </row>
    <row r="22329" spans="1:1" x14ac:dyDescent="0.25">
      <c r="A22329" s="74">
        <v>27121</v>
      </c>
    </row>
    <row r="22330" spans="1:1" x14ac:dyDescent="0.25">
      <c r="A22330" s="74">
        <v>27122</v>
      </c>
    </row>
    <row r="22331" spans="1:1" x14ac:dyDescent="0.25">
      <c r="A22331" s="74">
        <v>27123</v>
      </c>
    </row>
    <row r="22332" spans="1:1" x14ac:dyDescent="0.25">
      <c r="A22332" s="74">
        <v>27124</v>
      </c>
    </row>
    <row r="22333" spans="1:1" x14ac:dyDescent="0.25">
      <c r="A22333" s="74">
        <v>27125</v>
      </c>
    </row>
    <row r="22334" spans="1:1" x14ac:dyDescent="0.25">
      <c r="A22334" s="74">
        <v>27126</v>
      </c>
    </row>
    <row r="22335" spans="1:1" x14ac:dyDescent="0.25">
      <c r="A22335" s="74">
        <v>27127</v>
      </c>
    </row>
    <row r="22336" spans="1:1" x14ac:dyDescent="0.25">
      <c r="A22336" s="74">
        <v>27128</v>
      </c>
    </row>
    <row r="22337" spans="1:1" x14ac:dyDescent="0.25">
      <c r="A22337" s="74">
        <v>27129</v>
      </c>
    </row>
    <row r="22338" spans="1:1" x14ac:dyDescent="0.25">
      <c r="A22338" s="74">
        <v>27130</v>
      </c>
    </row>
    <row r="22339" spans="1:1" x14ac:dyDescent="0.25">
      <c r="A22339" s="74">
        <v>27131</v>
      </c>
    </row>
    <row r="22340" spans="1:1" x14ac:dyDescent="0.25">
      <c r="A22340" s="74">
        <v>27132</v>
      </c>
    </row>
    <row r="22341" spans="1:1" x14ac:dyDescent="0.25">
      <c r="A22341" s="74">
        <v>27133</v>
      </c>
    </row>
    <row r="22342" spans="1:1" x14ac:dyDescent="0.25">
      <c r="A22342" s="74">
        <v>27134</v>
      </c>
    </row>
    <row r="22343" spans="1:1" x14ac:dyDescent="0.25">
      <c r="A22343" s="74">
        <v>27135</v>
      </c>
    </row>
    <row r="22344" spans="1:1" x14ac:dyDescent="0.25">
      <c r="A22344" s="74">
        <v>27136</v>
      </c>
    </row>
    <row r="22345" spans="1:1" x14ac:dyDescent="0.25">
      <c r="A22345" s="74">
        <v>27137</v>
      </c>
    </row>
    <row r="22346" spans="1:1" x14ac:dyDescent="0.25">
      <c r="A22346" s="74">
        <v>27138</v>
      </c>
    </row>
    <row r="22347" spans="1:1" x14ac:dyDescent="0.25">
      <c r="A22347" s="74">
        <v>27139</v>
      </c>
    </row>
    <row r="22348" spans="1:1" x14ac:dyDescent="0.25">
      <c r="A22348" s="74">
        <v>27140</v>
      </c>
    </row>
    <row r="22349" spans="1:1" x14ac:dyDescent="0.25">
      <c r="A22349" s="74">
        <v>27141</v>
      </c>
    </row>
    <row r="22350" spans="1:1" x14ac:dyDescent="0.25">
      <c r="A22350" s="74">
        <v>27142</v>
      </c>
    </row>
    <row r="22351" spans="1:1" x14ac:dyDescent="0.25">
      <c r="A22351" s="74">
        <v>27143</v>
      </c>
    </row>
    <row r="22352" spans="1:1" x14ac:dyDescent="0.25">
      <c r="A22352" s="74">
        <v>27144</v>
      </c>
    </row>
    <row r="22353" spans="1:1" x14ac:dyDescent="0.25">
      <c r="A22353" s="74">
        <v>27145</v>
      </c>
    </row>
    <row r="22354" spans="1:1" x14ac:dyDescent="0.25">
      <c r="A22354" s="74">
        <v>27146</v>
      </c>
    </row>
    <row r="22355" spans="1:1" x14ac:dyDescent="0.25">
      <c r="A22355" s="74">
        <v>27147</v>
      </c>
    </row>
    <row r="22356" spans="1:1" x14ac:dyDescent="0.25">
      <c r="A22356" s="74">
        <v>27148</v>
      </c>
    </row>
    <row r="22357" spans="1:1" x14ac:dyDescent="0.25">
      <c r="A22357" s="74">
        <v>27149</v>
      </c>
    </row>
    <row r="22358" spans="1:1" x14ac:dyDescent="0.25">
      <c r="A22358" s="74">
        <v>27150</v>
      </c>
    </row>
    <row r="22359" spans="1:1" x14ac:dyDescent="0.25">
      <c r="A22359" s="74">
        <v>27151</v>
      </c>
    </row>
    <row r="22360" spans="1:1" x14ac:dyDescent="0.25">
      <c r="A22360" s="74">
        <v>27152</v>
      </c>
    </row>
    <row r="22361" spans="1:1" x14ac:dyDescent="0.25">
      <c r="A22361" s="74">
        <v>27153</v>
      </c>
    </row>
    <row r="22362" spans="1:1" x14ac:dyDescent="0.25">
      <c r="A22362" s="74">
        <v>27154</v>
      </c>
    </row>
    <row r="22363" spans="1:1" x14ac:dyDescent="0.25">
      <c r="A22363" s="74">
        <v>27155</v>
      </c>
    </row>
    <row r="22364" spans="1:1" x14ac:dyDescent="0.25">
      <c r="A22364" s="74">
        <v>27156</v>
      </c>
    </row>
    <row r="22365" spans="1:1" x14ac:dyDescent="0.25">
      <c r="A22365" s="74">
        <v>27157</v>
      </c>
    </row>
    <row r="22366" spans="1:1" x14ac:dyDescent="0.25">
      <c r="A22366" s="74">
        <v>27158</v>
      </c>
    </row>
    <row r="22367" spans="1:1" x14ac:dyDescent="0.25">
      <c r="A22367" s="74">
        <v>27159</v>
      </c>
    </row>
    <row r="22368" spans="1:1" x14ac:dyDescent="0.25">
      <c r="A22368" s="74">
        <v>27160</v>
      </c>
    </row>
    <row r="22369" spans="1:1" x14ac:dyDescent="0.25">
      <c r="A22369" s="74">
        <v>27161</v>
      </c>
    </row>
    <row r="22370" spans="1:1" x14ac:dyDescent="0.25">
      <c r="A22370" s="74">
        <v>27162</v>
      </c>
    </row>
    <row r="22371" spans="1:1" x14ac:dyDescent="0.25">
      <c r="A22371" s="74">
        <v>27163</v>
      </c>
    </row>
    <row r="22372" spans="1:1" x14ac:dyDescent="0.25">
      <c r="A22372" s="74">
        <v>27164</v>
      </c>
    </row>
    <row r="22373" spans="1:1" x14ac:dyDescent="0.25">
      <c r="A22373" s="74">
        <v>27165</v>
      </c>
    </row>
    <row r="22374" spans="1:1" x14ac:dyDescent="0.25">
      <c r="A22374" s="74">
        <v>27166</v>
      </c>
    </row>
    <row r="22375" spans="1:1" x14ac:dyDescent="0.25">
      <c r="A22375" s="74">
        <v>27167</v>
      </c>
    </row>
    <row r="22376" spans="1:1" x14ac:dyDescent="0.25">
      <c r="A22376" s="74">
        <v>27168</v>
      </c>
    </row>
    <row r="22377" spans="1:1" x14ac:dyDescent="0.25">
      <c r="A22377" s="74">
        <v>27169</v>
      </c>
    </row>
    <row r="22378" spans="1:1" x14ac:dyDescent="0.25">
      <c r="A22378" s="74">
        <v>27170</v>
      </c>
    </row>
    <row r="22379" spans="1:1" x14ac:dyDescent="0.25">
      <c r="A22379" s="74">
        <v>27171</v>
      </c>
    </row>
    <row r="22380" spans="1:1" x14ac:dyDescent="0.25">
      <c r="A22380" s="74">
        <v>27172</v>
      </c>
    </row>
    <row r="22381" spans="1:1" x14ac:dyDescent="0.25">
      <c r="A22381" s="74">
        <v>27173</v>
      </c>
    </row>
    <row r="22382" spans="1:1" x14ac:dyDescent="0.25">
      <c r="A22382" s="74">
        <v>27174</v>
      </c>
    </row>
    <row r="22383" spans="1:1" x14ac:dyDescent="0.25">
      <c r="A22383" s="74">
        <v>27175</v>
      </c>
    </row>
    <row r="22384" spans="1:1" x14ac:dyDescent="0.25">
      <c r="A22384" s="74">
        <v>27176</v>
      </c>
    </row>
    <row r="22385" spans="1:1" x14ac:dyDescent="0.25">
      <c r="A22385" s="74">
        <v>27177</v>
      </c>
    </row>
    <row r="22386" spans="1:1" x14ac:dyDescent="0.25">
      <c r="A22386" s="74">
        <v>27178</v>
      </c>
    </row>
    <row r="22387" spans="1:1" x14ac:dyDescent="0.25">
      <c r="A22387" s="74">
        <v>27179</v>
      </c>
    </row>
    <row r="22388" spans="1:1" x14ac:dyDescent="0.25">
      <c r="A22388" s="74">
        <v>27180</v>
      </c>
    </row>
    <row r="22389" spans="1:1" x14ac:dyDescent="0.25">
      <c r="A22389" s="74">
        <v>27181</v>
      </c>
    </row>
    <row r="22390" spans="1:1" x14ac:dyDescent="0.25">
      <c r="A22390" s="74">
        <v>27182</v>
      </c>
    </row>
    <row r="22391" spans="1:1" x14ac:dyDescent="0.25">
      <c r="A22391" s="74">
        <v>27183</v>
      </c>
    </row>
    <row r="22392" spans="1:1" x14ac:dyDescent="0.25">
      <c r="A22392" s="74">
        <v>27184</v>
      </c>
    </row>
    <row r="22393" spans="1:1" x14ac:dyDescent="0.25">
      <c r="A22393" s="74">
        <v>27185</v>
      </c>
    </row>
    <row r="22394" spans="1:1" x14ac:dyDescent="0.25">
      <c r="A22394" s="74">
        <v>27186</v>
      </c>
    </row>
    <row r="22395" spans="1:1" x14ac:dyDescent="0.25">
      <c r="A22395" s="74">
        <v>27187</v>
      </c>
    </row>
    <row r="22396" spans="1:1" x14ac:dyDescent="0.25">
      <c r="A22396" s="74">
        <v>27188</v>
      </c>
    </row>
    <row r="22397" spans="1:1" x14ac:dyDescent="0.25">
      <c r="A22397" s="74">
        <v>27189</v>
      </c>
    </row>
    <row r="22398" spans="1:1" x14ac:dyDescent="0.25">
      <c r="A22398" s="74">
        <v>27190</v>
      </c>
    </row>
    <row r="22399" spans="1:1" x14ac:dyDescent="0.25">
      <c r="A22399" s="74">
        <v>27191</v>
      </c>
    </row>
    <row r="22400" spans="1:1" x14ac:dyDescent="0.25">
      <c r="A22400" s="74">
        <v>27192</v>
      </c>
    </row>
    <row r="22401" spans="1:1" x14ac:dyDescent="0.25">
      <c r="A22401" s="74">
        <v>27193</v>
      </c>
    </row>
    <row r="22402" spans="1:1" x14ac:dyDescent="0.25">
      <c r="A22402" s="74">
        <v>27194</v>
      </c>
    </row>
    <row r="22403" spans="1:1" x14ac:dyDescent="0.25">
      <c r="A22403" s="74">
        <v>27195</v>
      </c>
    </row>
    <row r="22404" spans="1:1" x14ac:dyDescent="0.25">
      <c r="A22404" s="74">
        <v>27196</v>
      </c>
    </row>
    <row r="22405" spans="1:1" x14ac:dyDescent="0.25">
      <c r="A22405" s="74">
        <v>27197</v>
      </c>
    </row>
    <row r="22406" spans="1:1" x14ac:dyDescent="0.25">
      <c r="A22406" s="74">
        <v>27198</v>
      </c>
    </row>
    <row r="22407" spans="1:1" x14ac:dyDescent="0.25">
      <c r="A22407" s="74">
        <v>27199</v>
      </c>
    </row>
    <row r="22408" spans="1:1" x14ac:dyDescent="0.25">
      <c r="A22408" s="74">
        <v>27200</v>
      </c>
    </row>
    <row r="22409" spans="1:1" x14ac:dyDescent="0.25">
      <c r="A22409" s="74">
        <v>27201</v>
      </c>
    </row>
    <row r="22410" spans="1:1" x14ac:dyDescent="0.25">
      <c r="A22410" s="74">
        <v>27202</v>
      </c>
    </row>
    <row r="22411" spans="1:1" x14ac:dyDescent="0.25">
      <c r="A22411" s="74">
        <v>27203</v>
      </c>
    </row>
    <row r="22412" spans="1:1" x14ac:dyDescent="0.25">
      <c r="A22412" s="74">
        <v>27204</v>
      </c>
    </row>
    <row r="22413" spans="1:1" x14ac:dyDescent="0.25">
      <c r="A22413" s="74">
        <v>27205</v>
      </c>
    </row>
    <row r="22414" spans="1:1" x14ac:dyDescent="0.25">
      <c r="A22414" s="74">
        <v>27206</v>
      </c>
    </row>
    <row r="22415" spans="1:1" x14ac:dyDescent="0.25">
      <c r="A22415" s="74">
        <v>27207</v>
      </c>
    </row>
    <row r="22416" spans="1:1" x14ac:dyDescent="0.25">
      <c r="A22416" s="74">
        <v>27208</v>
      </c>
    </row>
    <row r="22417" spans="1:1" x14ac:dyDescent="0.25">
      <c r="A22417" s="74">
        <v>27209</v>
      </c>
    </row>
    <row r="22418" spans="1:1" x14ac:dyDescent="0.25">
      <c r="A22418" s="74">
        <v>27210</v>
      </c>
    </row>
    <row r="22419" spans="1:1" x14ac:dyDescent="0.25">
      <c r="A22419" s="74">
        <v>27211</v>
      </c>
    </row>
    <row r="22420" spans="1:1" x14ac:dyDescent="0.25">
      <c r="A22420" s="74">
        <v>27212</v>
      </c>
    </row>
    <row r="22421" spans="1:1" x14ac:dyDescent="0.25">
      <c r="A22421" s="74">
        <v>27213</v>
      </c>
    </row>
    <row r="22422" spans="1:1" x14ac:dyDescent="0.25">
      <c r="A22422" s="74">
        <v>27214</v>
      </c>
    </row>
    <row r="22423" spans="1:1" x14ac:dyDescent="0.25">
      <c r="A22423" s="74">
        <v>27215</v>
      </c>
    </row>
    <row r="22424" spans="1:1" x14ac:dyDescent="0.25">
      <c r="A22424" s="74">
        <v>27216</v>
      </c>
    </row>
    <row r="22425" spans="1:1" x14ac:dyDescent="0.25">
      <c r="A22425" s="74">
        <v>27217</v>
      </c>
    </row>
    <row r="22426" spans="1:1" x14ac:dyDescent="0.25">
      <c r="A22426" s="74">
        <v>27218</v>
      </c>
    </row>
    <row r="22427" spans="1:1" x14ac:dyDescent="0.25">
      <c r="A22427" s="74">
        <v>27219</v>
      </c>
    </row>
    <row r="22428" spans="1:1" x14ac:dyDescent="0.25">
      <c r="A22428" s="74">
        <v>27220</v>
      </c>
    </row>
    <row r="22429" spans="1:1" x14ac:dyDescent="0.25">
      <c r="A22429" s="74">
        <v>27221</v>
      </c>
    </row>
    <row r="22430" spans="1:1" x14ac:dyDescent="0.25">
      <c r="A22430" s="74">
        <v>27222</v>
      </c>
    </row>
    <row r="22431" spans="1:1" x14ac:dyDescent="0.25">
      <c r="A22431" s="74">
        <v>27223</v>
      </c>
    </row>
    <row r="22432" spans="1:1" x14ac:dyDescent="0.25">
      <c r="A22432" s="74">
        <v>27224</v>
      </c>
    </row>
    <row r="22433" spans="1:1" x14ac:dyDescent="0.25">
      <c r="A22433" s="74">
        <v>27225</v>
      </c>
    </row>
    <row r="22434" spans="1:1" x14ac:dyDescent="0.25">
      <c r="A22434" s="74">
        <v>27226</v>
      </c>
    </row>
    <row r="22435" spans="1:1" x14ac:dyDescent="0.25">
      <c r="A22435" s="74">
        <v>27227</v>
      </c>
    </row>
    <row r="22436" spans="1:1" x14ac:dyDescent="0.25">
      <c r="A22436" s="74">
        <v>27228</v>
      </c>
    </row>
    <row r="22437" spans="1:1" x14ac:dyDescent="0.25">
      <c r="A22437" s="74">
        <v>27229</v>
      </c>
    </row>
    <row r="22438" spans="1:1" x14ac:dyDescent="0.25">
      <c r="A22438" s="74">
        <v>27230</v>
      </c>
    </row>
    <row r="22439" spans="1:1" x14ac:dyDescent="0.25">
      <c r="A22439" s="74">
        <v>27231</v>
      </c>
    </row>
    <row r="22440" spans="1:1" x14ac:dyDescent="0.25">
      <c r="A22440" s="74">
        <v>27232</v>
      </c>
    </row>
    <row r="22441" spans="1:1" x14ac:dyDescent="0.25">
      <c r="A22441" s="74">
        <v>27233</v>
      </c>
    </row>
    <row r="22442" spans="1:1" x14ac:dyDescent="0.25">
      <c r="A22442" s="74">
        <v>27234</v>
      </c>
    </row>
    <row r="22443" spans="1:1" x14ac:dyDescent="0.25">
      <c r="A22443" s="74">
        <v>27235</v>
      </c>
    </row>
    <row r="22444" spans="1:1" x14ac:dyDescent="0.25">
      <c r="A22444" s="74">
        <v>27236</v>
      </c>
    </row>
    <row r="22445" spans="1:1" x14ac:dyDescent="0.25">
      <c r="A22445" s="74">
        <v>27237</v>
      </c>
    </row>
    <row r="22446" spans="1:1" x14ac:dyDescent="0.25">
      <c r="A22446" s="74">
        <v>27238</v>
      </c>
    </row>
    <row r="22447" spans="1:1" x14ac:dyDescent="0.25">
      <c r="A22447" s="74">
        <v>27239</v>
      </c>
    </row>
    <row r="22448" spans="1:1" x14ac:dyDescent="0.25">
      <c r="A22448" s="74">
        <v>27240</v>
      </c>
    </row>
    <row r="22449" spans="1:1" x14ac:dyDescent="0.25">
      <c r="A22449" s="74">
        <v>27241</v>
      </c>
    </row>
    <row r="22450" spans="1:1" x14ac:dyDescent="0.25">
      <c r="A22450" s="74">
        <v>27242</v>
      </c>
    </row>
    <row r="22451" spans="1:1" x14ac:dyDescent="0.25">
      <c r="A22451" s="74">
        <v>27243</v>
      </c>
    </row>
    <row r="22452" spans="1:1" x14ac:dyDescent="0.25">
      <c r="A22452" s="74">
        <v>27244</v>
      </c>
    </row>
    <row r="22453" spans="1:1" x14ac:dyDescent="0.25">
      <c r="A22453" s="74">
        <v>27245</v>
      </c>
    </row>
    <row r="22454" spans="1:1" x14ac:dyDescent="0.25">
      <c r="A22454" s="74">
        <v>27246</v>
      </c>
    </row>
    <row r="22455" spans="1:1" x14ac:dyDescent="0.25">
      <c r="A22455" s="74">
        <v>27247</v>
      </c>
    </row>
    <row r="22456" spans="1:1" x14ac:dyDescent="0.25">
      <c r="A22456" s="74">
        <v>27248</v>
      </c>
    </row>
    <row r="22457" spans="1:1" x14ac:dyDescent="0.25">
      <c r="A22457" s="74">
        <v>27249</v>
      </c>
    </row>
    <row r="22458" spans="1:1" x14ac:dyDescent="0.25">
      <c r="A22458" s="74">
        <v>27250</v>
      </c>
    </row>
    <row r="22459" spans="1:1" x14ac:dyDescent="0.25">
      <c r="A22459" s="74">
        <v>27251</v>
      </c>
    </row>
    <row r="22460" spans="1:1" x14ac:dyDescent="0.25">
      <c r="A22460" s="74">
        <v>27252</v>
      </c>
    </row>
    <row r="22461" spans="1:1" x14ac:dyDescent="0.25">
      <c r="A22461" s="74">
        <v>27253</v>
      </c>
    </row>
    <row r="22462" spans="1:1" x14ac:dyDescent="0.25">
      <c r="A22462" s="74">
        <v>27254</v>
      </c>
    </row>
    <row r="22463" spans="1:1" x14ac:dyDescent="0.25">
      <c r="A22463" s="74">
        <v>27255</v>
      </c>
    </row>
    <row r="22464" spans="1:1" x14ac:dyDescent="0.25">
      <c r="A22464" s="74">
        <v>27256</v>
      </c>
    </row>
    <row r="22465" spans="1:1" x14ac:dyDescent="0.25">
      <c r="A22465" s="74">
        <v>27257</v>
      </c>
    </row>
    <row r="22466" spans="1:1" x14ac:dyDescent="0.25">
      <c r="A22466" s="74">
        <v>27258</v>
      </c>
    </row>
    <row r="22467" spans="1:1" x14ac:dyDescent="0.25">
      <c r="A22467" s="74">
        <v>27259</v>
      </c>
    </row>
    <row r="22468" spans="1:1" x14ac:dyDescent="0.25">
      <c r="A22468" s="74">
        <v>27260</v>
      </c>
    </row>
    <row r="22469" spans="1:1" x14ac:dyDescent="0.25">
      <c r="A22469" s="74">
        <v>27261</v>
      </c>
    </row>
    <row r="22470" spans="1:1" x14ac:dyDescent="0.25">
      <c r="A22470" s="74">
        <v>27262</v>
      </c>
    </row>
    <row r="22471" spans="1:1" x14ac:dyDescent="0.25">
      <c r="A22471" s="74">
        <v>27263</v>
      </c>
    </row>
    <row r="22472" spans="1:1" x14ac:dyDescent="0.25">
      <c r="A22472" s="74">
        <v>27264</v>
      </c>
    </row>
    <row r="22473" spans="1:1" x14ac:dyDescent="0.25">
      <c r="A22473" s="74">
        <v>27265</v>
      </c>
    </row>
    <row r="22474" spans="1:1" x14ac:dyDescent="0.25">
      <c r="A22474" s="74">
        <v>27266</v>
      </c>
    </row>
    <row r="22475" spans="1:1" x14ac:dyDescent="0.25">
      <c r="A22475" s="74">
        <v>27267</v>
      </c>
    </row>
    <row r="22476" spans="1:1" x14ac:dyDescent="0.25">
      <c r="A22476" s="74">
        <v>27268</v>
      </c>
    </row>
    <row r="22477" spans="1:1" x14ac:dyDescent="0.25">
      <c r="A22477" s="74">
        <v>27269</v>
      </c>
    </row>
    <row r="22478" spans="1:1" x14ac:dyDescent="0.25">
      <c r="A22478" s="74">
        <v>27270</v>
      </c>
    </row>
    <row r="22479" spans="1:1" x14ac:dyDescent="0.25">
      <c r="A22479" s="74">
        <v>27271</v>
      </c>
    </row>
    <row r="22480" spans="1:1" x14ac:dyDescent="0.25">
      <c r="A22480" s="74">
        <v>27272</v>
      </c>
    </row>
    <row r="22481" spans="1:1" x14ac:dyDescent="0.25">
      <c r="A22481" s="74">
        <v>27273</v>
      </c>
    </row>
    <row r="22482" spans="1:1" x14ac:dyDescent="0.25">
      <c r="A22482" s="74">
        <v>27274</v>
      </c>
    </row>
    <row r="22483" spans="1:1" x14ac:dyDescent="0.25">
      <c r="A22483" s="74">
        <v>27275</v>
      </c>
    </row>
    <row r="22484" spans="1:1" x14ac:dyDescent="0.25">
      <c r="A22484" s="74">
        <v>27276</v>
      </c>
    </row>
    <row r="22485" spans="1:1" x14ac:dyDescent="0.25">
      <c r="A22485" s="74">
        <v>27277</v>
      </c>
    </row>
    <row r="22486" spans="1:1" x14ac:dyDescent="0.25">
      <c r="A22486" s="74">
        <v>27278</v>
      </c>
    </row>
    <row r="22487" spans="1:1" x14ac:dyDescent="0.25">
      <c r="A22487" s="74">
        <v>27279</v>
      </c>
    </row>
    <row r="22488" spans="1:1" x14ac:dyDescent="0.25">
      <c r="A22488" s="74">
        <v>27280</v>
      </c>
    </row>
    <row r="22489" spans="1:1" x14ac:dyDescent="0.25">
      <c r="A22489" s="74">
        <v>27281</v>
      </c>
    </row>
    <row r="22490" spans="1:1" x14ac:dyDescent="0.25">
      <c r="A22490" s="74">
        <v>27282</v>
      </c>
    </row>
    <row r="22491" spans="1:1" x14ac:dyDescent="0.25">
      <c r="A22491" s="74">
        <v>27283</v>
      </c>
    </row>
    <row r="22492" spans="1:1" x14ac:dyDescent="0.25">
      <c r="A22492" s="74">
        <v>27284</v>
      </c>
    </row>
    <row r="22493" spans="1:1" x14ac:dyDescent="0.25">
      <c r="A22493" s="74">
        <v>27285</v>
      </c>
    </row>
    <row r="22494" spans="1:1" x14ac:dyDescent="0.25">
      <c r="A22494" s="74">
        <v>27286</v>
      </c>
    </row>
    <row r="22495" spans="1:1" x14ac:dyDescent="0.25">
      <c r="A22495" s="74">
        <v>27287</v>
      </c>
    </row>
    <row r="22496" spans="1:1" x14ac:dyDescent="0.25">
      <c r="A22496" s="74">
        <v>27288</v>
      </c>
    </row>
    <row r="22497" spans="1:1" x14ac:dyDescent="0.25">
      <c r="A22497" s="74">
        <v>27289</v>
      </c>
    </row>
    <row r="22498" spans="1:1" x14ac:dyDescent="0.25">
      <c r="A22498" s="74">
        <v>27290</v>
      </c>
    </row>
    <row r="22499" spans="1:1" x14ac:dyDescent="0.25">
      <c r="A22499" s="74">
        <v>27291</v>
      </c>
    </row>
    <row r="22500" spans="1:1" x14ac:dyDescent="0.25">
      <c r="A22500" s="74">
        <v>27292</v>
      </c>
    </row>
    <row r="22501" spans="1:1" x14ac:dyDescent="0.25">
      <c r="A22501" s="74">
        <v>27293</v>
      </c>
    </row>
    <row r="22502" spans="1:1" x14ac:dyDescent="0.25">
      <c r="A22502" s="74">
        <v>27294</v>
      </c>
    </row>
    <row r="22503" spans="1:1" x14ac:dyDescent="0.25">
      <c r="A22503" s="74">
        <v>27295</v>
      </c>
    </row>
    <row r="22504" spans="1:1" x14ac:dyDescent="0.25">
      <c r="A22504" s="74">
        <v>27296</v>
      </c>
    </row>
    <row r="22505" spans="1:1" x14ac:dyDescent="0.25">
      <c r="A22505" s="74">
        <v>27297</v>
      </c>
    </row>
    <row r="22506" spans="1:1" x14ac:dyDescent="0.25">
      <c r="A22506" s="74">
        <v>27298</v>
      </c>
    </row>
    <row r="22507" spans="1:1" x14ac:dyDescent="0.25">
      <c r="A22507" s="74">
        <v>27299</v>
      </c>
    </row>
    <row r="22508" spans="1:1" x14ac:dyDescent="0.25">
      <c r="A22508" s="74">
        <v>27300</v>
      </c>
    </row>
    <row r="22509" spans="1:1" x14ac:dyDescent="0.25">
      <c r="A22509" s="74">
        <v>27301</v>
      </c>
    </row>
    <row r="22510" spans="1:1" x14ac:dyDescent="0.25">
      <c r="A22510" s="74">
        <v>27302</v>
      </c>
    </row>
    <row r="22511" spans="1:1" x14ac:dyDescent="0.25">
      <c r="A22511" s="74">
        <v>27303</v>
      </c>
    </row>
    <row r="22512" spans="1:1" x14ac:dyDescent="0.25">
      <c r="A22512" s="74">
        <v>27304</v>
      </c>
    </row>
    <row r="22513" spans="1:1" x14ac:dyDescent="0.25">
      <c r="A22513" s="74">
        <v>27305</v>
      </c>
    </row>
    <row r="22514" spans="1:1" x14ac:dyDescent="0.25">
      <c r="A22514" s="74">
        <v>27306</v>
      </c>
    </row>
    <row r="22515" spans="1:1" x14ac:dyDescent="0.25">
      <c r="A22515" s="74">
        <v>27307</v>
      </c>
    </row>
    <row r="22516" spans="1:1" x14ac:dyDescent="0.25">
      <c r="A22516" s="74">
        <v>27308</v>
      </c>
    </row>
    <row r="22517" spans="1:1" x14ac:dyDescent="0.25">
      <c r="A22517" s="74">
        <v>27309</v>
      </c>
    </row>
    <row r="22518" spans="1:1" x14ac:dyDescent="0.25">
      <c r="A22518" s="74">
        <v>27310</v>
      </c>
    </row>
    <row r="22519" spans="1:1" x14ac:dyDescent="0.25">
      <c r="A22519" s="74">
        <v>27311</v>
      </c>
    </row>
    <row r="22520" spans="1:1" x14ac:dyDescent="0.25">
      <c r="A22520" s="74">
        <v>27312</v>
      </c>
    </row>
    <row r="22521" spans="1:1" x14ac:dyDescent="0.25">
      <c r="A22521" s="74">
        <v>27313</v>
      </c>
    </row>
    <row r="22522" spans="1:1" x14ac:dyDescent="0.25">
      <c r="A22522" s="74">
        <v>27314</v>
      </c>
    </row>
    <row r="22523" spans="1:1" x14ac:dyDescent="0.25">
      <c r="A22523" s="74">
        <v>27315</v>
      </c>
    </row>
    <row r="22524" spans="1:1" x14ac:dyDescent="0.25">
      <c r="A22524" s="74">
        <v>27316</v>
      </c>
    </row>
    <row r="22525" spans="1:1" x14ac:dyDescent="0.25">
      <c r="A22525" s="74">
        <v>27317</v>
      </c>
    </row>
    <row r="22526" spans="1:1" x14ac:dyDescent="0.25">
      <c r="A22526" s="74">
        <v>27318</v>
      </c>
    </row>
    <row r="22527" spans="1:1" x14ac:dyDescent="0.25">
      <c r="A22527" s="74">
        <v>27319</v>
      </c>
    </row>
    <row r="22528" spans="1:1" x14ac:dyDescent="0.25">
      <c r="A22528" s="74">
        <v>27320</v>
      </c>
    </row>
    <row r="22529" spans="1:1" x14ac:dyDescent="0.25">
      <c r="A22529" s="74">
        <v>27321</v>
      </c>
    </row>
    <row r="22530" spans="1:1" x14ac:dyDescent="0.25">
      <c r="A22530" s="74">
        <v>27322</v>
      </c>
    </row>
    <row r="22531" spans="1:1" x14ac:dyDescent="0.25">
      <c r="A22531" s="74">
        <v>27323</v>
      </c>
    </row>
    <row r="22532" spans="1:1" x14ac:dyDescent="0.25">
      <c r="A22532" s="74">
        <v>27324</v>
      </c>
    </row>
    <row r="22533" spans="1:1" x14ac:dyDescent="0.25">
      <c r="A22533" s="74">
        <v>27325</v>
      </c>
    </row>
    <row r="22534" spans="1:1" x14ac:dyDescent="0.25">
      <c r="A22534" s="74">
        <v>27326</v>
      </c>
    </row>
    <row r="22535" spans="1:1" x14ac:dyDescent="0.25">
      <c r="A22535" s="74">
        <v>27327</v>
      </c>
    </row>
    <row r="22536" spans="1:1" x14ac:dyDescent="0.25">
      <c r="A22536" s="74">
        <v>27328</v>
      </c>
    </row>
    <row r="22537" spans="1:1" x14ac:dyDescent="0.25">
      <c r="A22537" s="74">
        <v>27329</v>
      </c>
    </row>
    <row r="22538" spans="1:1" x14ac:dyDescent="0.25">
      <c r="A22538" s="74">
        <v>27330</v>
      </c>
    </row>
    <row r="22539" spans="1:1" x14ac:dyDescent="0.25">
      <c r="A22539" s="74">
        <v>27331</v>
      </c>
    </row>
    <row r="22540" spans="1:1" x14ac:dyDescent="0.25">
      <c r="A22540" s="74">
        <v>27332</v>
      </c>
    </row>
    <row r="22541" spans="1:1" x14ac:dyDescent="0.25">
      <c r="A22541" s="74">
        <v>27333</v>
      </c>
    </row>
    <row r="22542" spans="1:1" x14ac:dyDescent="0.25">
      <c r="A22542" s="74">
        <v>27334</v>
      </c>
    </row>
    <row r="22543" spans="1:1" x14ac:dyDescent="0.25">
      <c r="A22543" s="74">
        <v>27335</v>
      </c>
    </row>
    <row r="22544" spans="1:1" x14ac:dyDescent="0.25">
      <c r="A22544" s="74">
        <v>27336</v>
      </c>
    </row>
    <row r="22545" spans="1:1" x14ac:dyDescent="0.25">
      <c r="A22545" s="74">
        <v>27337</v>
      </c>
    </row>
    <row r="22546" spans="1:1" x14ac:dyDescent="0.25">
      <c r="A22546" s="74">
        <v>27338</v>
      </c>
    </row>
    <row r="22547" spans="1:1" x14ac:dyDescent="0.25">
      <c r="A22547" s="74">
        <v>27339</v>
      </c>
    </row>
    <row r="22548" spans="1:1" x14ac:dyDescent="0.25">
      <c r="A22548" s="74">
        <v>27340</v>
      </c>
    </row>
    <row r="22549" spans="1:1" x14ac:dyDescent="0.25">
      <c r="A22549" s="74">
        <v>27341</v>
      </c>
    </row>
    <row r="22550" spans="1:1" x14ac:dyDescent="0.25">
      <c r="A22550" s="74">
        <v>27342</v>
      </c>
    </row>
    <row r="22551" spans="1:1" x14ac:dyDescent="0.25">
      <c r="A22551" s="74">
        <v>27343</v>
      </c>
    </row>
    <row r="22552" spans="1:1" x14ac:dyDescent="0.25">
      <c r="A22552" s="74">
        <v>27344</v>
      </c>
    </row>
    <row r="22553" spans="1:1" x14ac:dyDescent="0.25">
      <c r="A22553" s="74">
        <v>27345</v>
      </c>
    </row>
    <row r="22554" spans="1:1" x14ac:dyDescent="0.25">
      <c r="A22554" s="74">
        <v>27346</v>
      </c>
    </row>
    <row r="22555" spans="1:1" x14ac:dyDescent="0.25">
      <c r="A22555" s="74">
        <v>27347</v>
      </c>
    </row>
    <row r="22556" spans="1:1" x14ac:dyDescent="0.25">
      <c r="A22556" s="74">
        <v>27348</v>
      </c>
    </row>
    <row r="22557" spans="1:1" x14ac:dyDescent="0.25">
      <c r="A22557" s="74">
        <v>27349</v>
      </c>
    </row>
    <row r="22558" spans="1:1" x14ac:dyDescent="0.25">
      <c r="A22558" s="74">
        <v>27350</v>
      </c>
    </row>
    <row r="22559" spans="1:1" x14ac:dyDescent="0.25">
      <c r="A22559" s="74">
        <v>27351</v>
      </c>
    </row>
    <row r="22560" spans="1:1" x14ac:dyDescent="0.25">
      <c r="A22560" s="74">
        <v>27352</v>
      </c>
    </row>
    <row r="22561" spans="1:1" x14ac:dyDescent="0.25">
      <c r="A22561" s="74">
        <v>27353</v>
      </c>
    </row>
    <row r="22562" spans="1:1" x14ac:dyDescent="0.25">
      <c r="A22562" s="74">
        <v>27354</v>
      </c>
    </row>
    <row r="22563" spans="1:1" x14ac:dyDescent="0.25">
      <c r="A22563" s="74">
        <v>27355</v>
      </c>
    </row>
    <row r="22564" spans="1:1" x14ac:dyDescent="0.25">
      <c r="A22564" s="74">
        <v>27356</v>
      </c>
    </row>
    <row r="22565" spans="1:1" x14ac:dyDescent="0.25">
      <c r="A22565" s="74">
        <v>27357</v>
      </c>
    </row>
    <row r="22566" spans="1:1" x14ac:dyDescent="0.25">
      <c r="A22566" s="74">
        <v>27358</v>
      </c>
    </row>
    <row r="22567" spans="1:1" x14ac:dyDescent="0.25">
      <c r="A22567" s="74">
        <v>27359</v>
      </c>
    </row>
    <row r="22568" spans="1:1" x14ac:dyDescent="0.25">
      <c r="A22568" s="74">
        <v>27360</v>
      </c>
    </row>
    <row r="22569" spans="1:1" x14ac:dyDescent="0.25">
      <c r="A22569" s="74">
        <v>27361</v>
      </c>
    </row>
    <row r="22570" spans="1:1" x14ac:dyDescent="0.25">
      <c r="A22570" s="74">
        <v>27362</v>
      </c>
    </row>
    <row r="22571" spans="1:1" x14ac:dyDescent="0.25">
      <c r="A22571" s="74">
        <v>27363</v>
      </c>
    </row>
    <row r="22572" spans="1:1" x14ac:dyDescent="0.25">
      <c r="A22572" s="74">
        <v>27364</v>
      </c>
    </row>
    <row r="22573" spans="1:1" x14ac:dyDescent="0.25">
      <c r="A22573" s="74">
        <v>27365</v>
      </c>
    </row>
    <row r="22574" spans="1:1" x14ac:dyDescent="0.25">
      <c r="A22574" s="74">
        <v>27366</v>
      </c>
    </row>
    <row r="22575" spans="1:1" x14ac:dyDescent="0.25">
      <c r="A22575" s="74">
        <v>27367</v>
      </c>
    </row>
    <row r="22576" spans="1:1" x14ac:dyDescent="0.25">
      <c r="A22576" s="74">
        <v>27368</v>
      </c>
    </row>
    <row r="22577" spans="1:1" x14ac:dyDescent="0.25">
      <c r="A22577" s="74">
        <v>27369</v>
      </c>
    </row>
    <row r="22578" spans="1:1" x14ac:dyDescent="0.25">
      <c r="A22578" s="74">
        <v>27370</v>
      </c>
    </row>
    <row r="22579" spans="1:1" x14ac:dyDescent="0.25">
      <c r="A22579" s="74">
        <v>27371</v>
      </c>
    </row>
    <row r="22580" spans="1:1" x14ac:dyDescent="0.25">
      <c r="A22580" s="74">
        <v>27372</v>
      </c>
    </row>
    <row r="22581" spans="1:1" x14ac:dyDescent="0.25">
      <c r="A22581" s="74">
        <v>27373</v>
      </c>
    </row>
    <row r="22582" spans="1:1" x14ac:dyDescent="0.25">
      <c r="A22582" s="74">
        <v>27374</v>
      </c>
    </row>
    <row r="22583" spans="1:1" x14ac:dyDescent="0.25">
      <c r="A22583" s="74">
        <v>27375</v>
      </c>
    </row>
    <row r="22584" spans="1:1" x14ac:dyDescent="0.25">
      <c r="A22584" s="74">
        <v>27376</v>
      </c>
    </row>
    <row r="22585" spans="1:1" x14ac:dyDescent="0.25">
      <c r="A22585" s="74">
        <v>27377</v>
      </c>
    </row>
    <row r="22586" spans="1:1" x14ac:dyDescent="0.25">
      <c r="A22586" s="74">
        <v>27378</v>
      </c>
    </row>
    <row r="22587" spans="1:1" x14ac:dyDescent="0.25">
      <c r="A22587" s="74">
        <v>27379</v>
      </c>
    </row>
    <row r="22588" spans="1:1" x14ac:dyDescent="0.25">
      <c r="A22588" s="74">
        <v>27380</v>
      </c>
    </row>
    <row r="22589" spans="1:1" x14ac:dyDescent="0.25">
      <c r="A22589" s="74">
        <v>27381</v>
      </c>
    </row>
    <row r="22590" spans="1:1" x14ac:dyDescent="0.25">
      <c r="A22590" s="74">
        <v>27382</v>
      </c>
    </row>
    <row r="22591" spans="1:1" x14ac:dyDescent="0.25">
      <c r="A22591" s="74">
        <v>27383</v>
      </c>
    </row>
    <row r="22592" spans="1:1" x14ac:dyDescent="0.25">
      <c r="A22592" s="74">
        <v>27384</v>
      </c>
    </row>
    <row r="22593" spans="1:1" x14ac:dyDescent="0.25">
      <c r="A22593" s="74">
        <v>27385</v>
      </c>
    </row>
    <row r="22594" spans="1:1" x14ac:dyDescent="0.25">
      <c r="A22594" s="74">
        <v>27386</v>
      </c>
    </row>
    <row r="22595" spans="1:1" x14ac:dyDescent="0.25">
      <c r="A22595" s="74">
        <v>27387</v>
      </c>
    </row>
    <row r="22596" spans="1:1" x14ac:dyDescent="0.25">
      <c r="A22596" s="74">
        <v>27388</v>
      </c>
    </row>
    <row r="22597" spans="1:1" x14ac:dyDescent="0.25">
      <c r="A22597" s="74">
        <v>27389</v>
      </c>
    </row>
    <row r="22598" spans="1:1" x14ac:dyDescent="0.25">
      <c r="A22598" s="74">
        <v>27390</v>
      </c>
    </row>
    <row r="22599" spans="1:1" x14ac:dyDescent="0.25">
      <c r="A22599" s="74">
        <v>27391</v>
      </c>
    </row>
    <row r="22600" spans="1:1" x14ac:dyDescent="0.25">
      <c r="A22600" s="74">
        <v>27392</v>
      </c>
    </row>
    <row r="22601" spans="1:1" x14ac:dyDescent="0.25">
      <c r="A22601" s="74">
        <v>27393</v>
      </c>
    </row>
    <row r="22602" spans="1:1" x14ac:dyDescent="0.25">
      <c r="A22602" s="74">
        <v>27394</v>
      </c>
    </row>
    <row r="22603" spans="1:1" x14ac:dyDescent="0.25">
      <c r="A22603" s="74">
        <v>27395</v>
      </c>
    </row>
    <row r="22604" spans="1:1" x14ac:dyDescent="0.25">
      <c r="A22604" s="74">
        <v>27396</v>
      </c>
    </row>
    <row r="22605" spans="1:1" x14ac:dyDescent="0.25">
      <c r="A22605" s="74">
        <v>27397</v>
      </c>
    </row>
    <row r="22606" spans="1:1" x14ac:dyDescent="0.25">
      <c r="A22606" s="74">
        <v>27398</v>
      </c>
    </row>
    <row r="22607" spans="1:1" x14ac:dyDescent="0.25">
      <c r="A22607" s="74">
        <v>27399</v>
      </c>
    </row>
    <row r="22608" spans="1:1" x14ac:dyDescent="0.25">
      <c r="A22608" s="74">
        <v>27400</v>
      </c>
    </row>
    <row r="22609" spans="1:1" x14ac:dyDescent="0.25">
      <c r="A22609" s="74">
        <v>27401</v>
      </c>
    </row>
    <row r="22610" spans="1:1" x14ac:dyDescent="0.25">
      <c r="A22610" s="74">
        <v>27402</v>
      </c>
    </row>
    <row r="22611" spans="1:1" x14ac:dyDescent="0.25">
      <c r="A22611" s="74">
        <v>27403</v>
      </c>
    </row>
    <row r="22612" spans="1:1" x14ac:dyDescent="0.25">
      <c r="A22612" s="74">
        <v>27404</v>
      </c>
    </row>
    <row r="22613" spans="1:1" x14ac:dyDescent="0.25">
      <c r="A22613" s="74">
        <v>27405</v>
      </c>
    </row>
    <row r="22614" spans="1:1" x14ac:dyDescent="0.25">
      <c r="A22614" s="74">
        <v>27406</v>
      </c>
    </row>
    <row r="22615" spans="1:1" x14ac:dyDescent="0.25">
      <c r="A22615" s="74">
        <v>27407</v>
      </c>
    </row>
    <row r="22616" spans="1:1" x14ac:dyDescent="0.25">
      <c r="A22616" s="74">
        <v>27408</v>
      </c>
    </row>
    <row r="22617" spans="1:1" x14ac:dyDescent="0.25">
      <c r="A22617" s="74">
        <v>27409</v>
      </c>
    </row>
    <row r="22618" spans="1:1" x14ac:dyDescent="0.25">
      <c r="A22618" s="74">
        <v>27410</v>
      </c>
    </row>
    <row r="22619" spans="1:1" x14ac:dyDescent="0.25">
      <c r="A22619" s="74">
        <v>27411</v>
      </c>
    </row>
    <row r="22620" spans="1:1" x14ac:dyDescent="0.25">
      <c r="A22620" s="74">
        <v>27412</v>
      </c>
    </row>
    <row r="22621" spans="1:1" x14ac:dyDescent="0.25">
      <c r="A22621" s="74">
        <v>27413</v>
      </c>
    </row>
    <row r="22622" spans="1:1" x14ac:dyDescent="0.25">
      <c r="A22622" s="74">
        <v>27414</v>
      </c>
    </row>
    <row r="22623" spans="1:1" x14ac:dyDescent="0.25">
      <c r="A22623" s="74">
        <v>27415</v>
      </c>
    </row>
    <row r="22624" spans="1:1" x14ac:dyDescent="0.25">
      <c r="A22624" s="74">
        <v>27416</v>
      </c>
    </row>
    <row r="22625" spans="1:1" x14ac:dyDescent="0.25">
      <c r="A22625" s="74">
        <v>27417</v>
      </c>
    </row>
    <row r="22626" spans="1:1" x14ac:dyDescent="0.25">
      <c r="A22626" s="74">
        <v>27418</v>
      </c>
    </row>
    <row r="22627" spans="1:1" x14ac:dyDescent="0.25">
      <c r="A22627" s="74">
        <v>27419</v>
      </c>
    </row>
    <row r="22628" spans="1:1" x14ac:dyDescent="0.25">
      <c r="A22628" s="74">
        <v>27420</v>
      </c>
    </row>
    <row r="22629" spans="1:1" x14ac:dyDescent="0.25">
      <c r="A22629" s="74">
        <v>27421</v>
      </c>
    </row>
    <row r="22630" spans="1:1" x14ac:dyDescent="0.25">
      <c r="A22630" s="74">
        <v>27422</v>
      </c>
    </row>
    <row r="22631" spans="1:1" x14ac:dyDescent="0.25">
      <c r="A22631" s="74">
        <v>27423</v>
      </c>
    </row>
    <row r="22632" spans="1:1" x14ac:dyDescent="0.25">
      <c r="A22632" s="74">
        <v>27424</v>
      </c>
    </row>
    <row r="22633" spans="1:1" x14ac:dyDescent="0.25">
      <c r="A22633" s="74">
        <v>27425</v>
      </c>
    </row>
    <row r="22634" spans="1:1" x14ac:dyDescent="0.25">
      <c r="A22634" s="74">
        <v>27426</v>
      </c>
    </row>
    <row r="22635" spans="1:1" x14ac:dyDescent="0.25">
      <c r="A22635" s="74">
        <v>27427</v>
      </c>
    </row>
    <row r="22636" spans="1:1" x14ac:dyDescent="0.25">
      <c r="A22636" s="74">
        <v>27428</v>
      </c>
    </row>
    <row r="22637" spans="1:1" x14ac:dyDescent="0.25">
      <c r="A22637" s="74">
        <v>27429</v>
      </c>
    </row>
    <row r="22638" spans="1:1" x14ac:dyDescent="0.25">
      <c r="A22638" s="74">
        <v>27430</v>
      </c>
    </row>
    <row r="22639" spans="1:1" x14ac:dyDescent="0.25">
      <c r="A22639" s="74">
        <v>27431</v>
      </c>
    </row>
    <row r="22640" spans="1:1" x14ac:dyDescent="0.25">
      <c r="A22640" s="74">
        <v>27432</v>
      </c>
    </row>
    <row r="22641" spans="1:1" x14ac:dyDescent="0.25">
      <c r="A22641" s="74">
        <v>27433</v>
      </c>
    </row>
    <row r="22642" spans="1:1" x14ac:dyDescent="0.25">
      <c r="A22642" s="74">
        <v>27434</v>
      </c>
    </row>
    <row r="22643" spans="1:1" x14ac:dyDescent="0.25">
      <c r="A22643" s="74">
        <v>27435</v>
      </c>
    </row>
    <row r="22644" spans="1:1" x14ac:dyDescent="0.25">
      <c r="A22644" s="74">
        <v>27436</v>
      </c>
    </row>
    <row r="22645" spans="1:1" x14ac:dyDescent="0.25">
      <c r="A22645" s="74">
        <v>27437</v>
      </c>
    </row>
    <row r="22646" spans="1:1" x14ac:dyDescent="0.25">
      <c r="A22646" s="74">
        <v>27438</v>
      </c>
    </row>
    <row r="22647" spans="1:1" x14ac:dyDescent="0.25">
      <c r="A22647" s="74">
        <v>27439</v>
      </c>
    </row>
    <row r="22648" spans="1:1" x14ac:dyDescent="0.25">
      <c r="A22648" s="74">
        <v>27440</v>
      </c>
    </row>
    <row r="22649" spans="1:1" x14ac:dyDescent="0.25">
      <c r="A22649" s="74">
        <v>27441</v>
      </c>
    </row>
    <row r="22650" spans="1:1" x14ac:dyDescent="0.25">
      <c r="A22650" s="74">
        <v>27442</v>
      </c>
    </row>
    <row r="22651" spans="1:1" x14ac:dyDescent="0.25">
      <c r="A22651" s="74">
        <v>27443</v>
      </c>
    </row>
    <row r="22652" spans="1:1" x14ac:dyDescent="0.25">
      <c r="A22652" s="74">
        <v>27444</v>
      </c>
    </row>
    <row r="22653" spans="1:1" x14ac:dyDescent="0.25">
      <c r="A22653" s="74">
        <v>27445</v>
      </c>
    </row>
    <row r="22654" spans="1:1" x14ac:dyDescent="0.25">
      <c r="A22654" s="74">
        <v>27446</v>
      </c>
    </row>
    <row r="22655" spans="1:1" x14ac:dyDescent="0.25">
      <c r="A22655" s="74">
        <v>27447</v>
      </c>
    </row>
    <row r="22656" spans="1:1" x14ac:dyDescent="0.25">
      <c r="A22656" s="74">
        <v>27448</v>
      </c>
    </row>
    <row r="22657" spans="1:1" x14ac:dyDescent="0.25">
      <c r="A22657" s="74">
        <v>27449</v>
      </c>
    </row>
    <row r="22658" spans="1:1" x14ac:dyDescent="0.25">
      <c r="A22658" s="74">
        <v>27450</v>
      </c>
    </row>
    <row r="22659" spans="1:1" x14ac:dyDescent="0.25">
      <c r="A22659" s="74">
        <v>27451</v>
      </c>
    </row>
    <row r="22660" spans="1:1" x14ac:dyDescent="0.25">
      <c r="A22660" s="74">
        <v>27452</v>
      </c>
    </row>
    <row r="22661" spans="1:1" x14ac:dyDescent="0.25">
      <c r="A22661" s="74">
        <v>27453</v>
      </c>
    </row>
    <row r="22662" spans="1:1" x14ac:dyDescent="0.25">
      <c r="A22662" s="74">
        <v>27454</v>
      </c>
    </row>
    <row r="22663" spans="1:1" x14ac:dyDescent="0.25">
      <c r="A22663" s="74">
        <v>27455</v>
      </c>
    </row>
    <row r="22664" spans="1:1" x14ac:dyDescent="0.25">
      <c r="A22664" s="74">
        <v>27456</v>
      </c>
    </row>
    <row r="22665" spans="1:1" x14ac:dyDescent="0.25">
      <c r="A22665" s="74">
        <v>27457</v>
      </c>
    </row>
    <row r="22666" spans="1:1" x14ac:dyDescent="0.25">
      <c r="A22666" s="74">
        <v>27458</v>
      </c>
    </row>
    <row r="22667" spans="1:1" x14ac:dyDescent="0.25">
      <c r="A22667" s="74">
        <v>27459</v>
      </c>
    </row>
    <row r="22668" spans="1:1" x14ac:dyDescent="0.25">
      <c r="A22668" s="74">
        <v>27460</v>
      </c>
    </row>
    <row r="22669" spans="1:1" x14ac:dyDescent="0.25">
      <c r="A22669" s="74">
        <v>27461</v>
      </c>
    </row>
    <row r="22670" spans="1:1" x14ac:dyDescent="0.25">
      <c r="A22670" s="74">
        <v>27462</v>
      </c>
    </row>
    <row r="22671" spans="1:1" x14ac:dyDescent="0.25">
      <c r="A22671" s="74">
        <v>27463</v>
      </c>
    </row>
    <row r="22672" spans="1:1" x14ac:dyDescent="0.25">
      <c r="A22672" s="74">
        <v>27464</v>
      </c>
    </row>
    <row r="22673" spans="1:1" x14ac:dyDescent="0.25">
      <c r="A22673" s="74">
        <v>27465</v>
      </c>
    </row>
    <row r="22674" spans="1:1" x14ac:dyDescent="0.25">
      <c r="A22674" s="74">
        <v>27466</v>
      </c>
    </row>
    <row r="22675" spans="1:1" x14ac:dyDescent="0.25">
      <c r="A22675" s="74">
        <v>27467</v>
      </c>
    </row>
    <row r="22676" spans="1:1" x14ac:dyDescent="0.25">
      <c r="A22676" s="74">
        <v>27468</v>
      </c>
    </row>
    <row r="22677" spans="1:1" x14ac:dyDescent="0.25">
      <c r="A22677" s="74">
        <v>27469</v>
      </c>
    </row>
    <row r="22678" spans="1:1" x14ac:dyDescent="0.25">
      <c r="A22678" s="74">
        <v>27470</v>
      </c>
    </row>
    <row r="22679" spans="1:1" x14ac:dyDescent="0.25">
      <c r="A22679" s="74">
        <v>27471</v>
      </c>
    </row>
    <row r="22680" spans="1:1" x14ac:dyDescent="0.25">
      <c r="A22680" s="74">
        <v>27472</v>
      </c>
    </row>
    <row r="22681" spans="1:1" x14ac:dyDescent="0.25">
      <c r="A22681" s="74">
        <v>27473</v>
      </c>
    </row>
    <row r="22682" spans="1:1" x14ac:dyDescent="0.25">
      <c r="A22682" s="74">
        <v>27474</v>
      </c>
    </row>
    <row r="22683" spans="1:1" x14ac:dyDescent="0.25">
      <c r="A22683" s="74">
        <v>27475</v>
      </c>
    </row>
    <row r="22684" spans="1:1" x14ac:dyDescent="0.25">
      <c r="A22684" s="74">
        <v>27476</v>
      </c>
    </row>
    <row r="22685" spans="1:1" x14ac:dyDescent="0.25">
      <c r="A22685" s="74">
        <v>27477</v>
      </c>
    </row>
    <row r="22686" spans="1:1" x14ac:dyDescent="0.25">
      <c r="A22686" s="74">
        <v>27478</v>
      </c>
    </row>
    <row r="22687" spans="1:1" x14ac:dyDescent="0.25">
      <c r="A22687" s="74">
        <v>27479</v>
      </c>
    </row>
    <row r="22688" spans="1:1" x14ac:dyDescent="0.25">
      <c r="A22688" s="74">
        <v>27480</v>
      </c>
    </row>
    <row r="22689" spans="1:1" x14ac:dyDescent="0.25">
      <c r="A22689" s="74">
        <v>27481</v>
      </c>
    </row>
    <row r="22690" spans="1:1" x14ac:dyDescent="0.25">
      <c r="A22690" s="74">
        <v>27482</v>
      </c>
    </row>
    <row r="22691" spans="1:1" x14ac:dyDescent="0.25">
      <c r="A22691" s="74">
        <v>27483</v>
      </c>
    </row>
    <row r="22692" spans="1:1" x14ac:dyDescent="0.25">
      <c r="A22692" s="74">
        <v>27484</v>
      </c>
    </row>
    <row r="22693" spans="1:1" x14ac:dyDescent="0.25">
      <c r="A22693" s="74">
        <v>27485</v>
      </c>
    </row>
    <row r="22694" spans="1:1" x14ac:dyDescent="0.25">
      <c r="A22694" s="74">
        <v>27486</v>
      </c>
    </row>
    <row r="22695" spans="1:1" x14ac:dyDescent="0.25">
      <c r="A22695" s="74">
        <v>27487</v>
      </c>
    </row>
    <row r="22696" spans="1:1" x14ac:dyDescent="0.25">
      <c r="A22696" s="74">
        <v>27488</v>
      </c>
    </row>
    <row r="22697" spans="1:1" x14ac:dyDescent="0.25">
      <c r="A22697" s="74">
        <v>27489</v>
      </c>
    </row>
    <row r="22698" spans="1:1" x14ac:dyDescent="0.25">
      <c r="A22698" s="74">
        <v>27490</v>
      </c>
    </row>
    <row r="22699" spans="1:1" x14ac:dyDescent="0.25">
      <c r="A22699" s="74">
        <v>27491</v>
      </c>
    </row>
    <row r="22700" spans="1:1" x14ac:dyDescent="0.25">
      <c r="A22700" s="74">
        <v>27492</v>
      </c>
    </row>
    <row r="22701" spans="1:1" x14ac:dyDescent="0.25">
      <c r="A22701" s="74">
        <v>27493</v>
      </c>
    </row>
    <row r="22702" spans="1:1" x14ac:dyDescent="0.25">
      <c r="A22702" s="74">
        <v>27494</v>
      </c>
    </row>
    <row r="22703" spans="1:1" x14ac:dyDescent="0.25">
      <c r="A22703" s="74">
        <v>27495</v>
      </c>
    </row>
    <row r="22704" spans="1:1" x14ac:dyDescent="0.25">
      <c r="A22704" s="74">
        <v>27496</v>
      </c>
    </row>
    <row r="22705" spans="1:1" x14ac:dyDescent="0.25">
      <c r="A22705" s="74">
        <v>27497</v>
      </c>
    </row>
    <row r="22706" spans="1:1" x14ac:dyDescent="0.25">
      <c r="A22706" s="74">
        <v>27498</v>
      </c>
    </row>
    <row r="22707" spans="1:1" x14ac:dyDescent="0.25">
      <c r="A22707" s="74">
        <v>27499</v>
      </c>
    </row>
    <row r="22708" spans="1:1" x14ac:dyDescent="0.25">
      <c r="A22708" s="74">
        <v>27500</v>
      </c>
    </row>
    <row r="22709" spans="1:1" x14ac:dyDescent="0.25">
      <c r="A22709" s="74">
        <v>27501</v>
      </c>
    </row>
    <row r="22710" spans="1:1" x14ac:dyDescent="0.25">
      <c r="A22710" s="74">
        <v>27502</v>
      </c>
    </row>
    <row r="22711" spans="1:1" x14ac:dyDescent="0.25">
      <c r="A22711" s="74">
        <v>27503</v>
      </c>
    </row>
    <row r="22712" spans="1:1" x14ac:dyDescent="0.25">
      <c r="A22712" s="74">
        <v>27504</v>
      </c>
    </row>
    <row r="22713" spans="1:1" x14ac:dyDescent="0.25">
      <c r="A22713" s="74">
        <v>27505</v>
      </c>
    </row>
    <row r="22714" spans="1:1" x14ac:dyDescent="0.25">
      <c r="A22714" s="74">
        <v>27506</v>
      </c>
    </row>
    <row r="22715" spans="1:1" x14ac:dyDescent="0.25">
      <c r="A22715" s="74">
        <v>27507</v>
      </c>
    </row>
    <row r="22716" spans="1:1" x14ac:dyDescent="0.25">
      <c r="A22716" s="74">
        <v>27508</v>
      </c>
    </row>
    <row r="22717" spans="1:1" x14ac:dyDescent="0.25">
      <c r="A22717" s="74">
        <v>27509</v>
      </c>
    </row>
    <row r="22718" spans="1:1" x14ac:dyDescent="0.25">
      <c r="A22718" s="74">
        <v>27510</v>
      </c>
    </row>
    <row r="22719" spans="1:1" x14ac:dyDescent="0.25">
      <c r="A22719" s="74">
        <v>27511</v>
      </c>
    </row>
    <row r="22720" spans="1:1" x14ac:dyDescent="0.25">
      <c r="A22720" s="74">
        <v>27512</v>
      </c>
    </row>
    <row r="22721" spans="1:1" x14ac:dyDescent="0.25">
      <c r="A22721" s="74">
        <v>27513</v>
      </c>
    </row>
    <row r="22722" spans="1:1" x14ac:dyDescent="0.25">
      <c r="A22722" s="74">
        <v>27514</v>
      </c>
    </row>
    <row r="22723" spans="1:1" x14ac:dyDescent="0.25">
      <c r="A22723" s="74">
        <v>27515</v>
      </c>
    </row>
    <row r="22724" spans="1:1" x14ac:dyDescent="0.25">
      <c r="A22724" s="74">
        <v>27516</v>
      </c>
    </row>
    <row r="22725" spans="1:1" x14ac:dyDescent="0.25">
      <c r="A22725" s="74">
        <v>27517</v>
      </c>
    </row>
    <row r="22726" spans="1:1" x14ac:dyDescent="0.25">
      <c r="A22726" s="74">
        <v>27518</v>
      </c>
    </row>
    <row r="22727" spans="1:1" x14ac:dyDescent="0.25">
      <c r="A22727" s="74">
        <v>27519</v>
      </c>
    </row>
    <row r="22728" spans="1:1" x14ac:dyDescent="0.25">
      <c r="A22728" s="74">
        <v>27520</v>
      </c>
    </row>
    <row r="22729" spans="1:1" x14ac:dyDescent="0.25">
      <c r="A22729" s="74">
        <v>27521</v>
      </c>
    </row>
    <row r="22730" spans="1:1" x14ac:dyDescent="0.25">
      <c r="A22730" s="74">
        <v>27522</v>
      </c>
    </row>
    <row r="22731" spans="1:1" x14ac:dyDescent="0.25">
      <c r="A22731" s="74">
        <v>27523</v>
      </c>
    </row>
    <row r="22732" spans="1:1" x14ac:dyDescent="0.25">
      <c r="A22732" s="74">
        <v>27524</v>
      </c>
    </row>
    <row r="22733" spans="1:1" x14ac:dyDescent="0.25">
      <c r="A22733" s="74">
        <v>27525</v>
      </c>
    </row>
    <row r="22734" spans="1:1" x14ac:dyDescent="0.25">
      <c r="A22734" s="74">
        <v>27526</v>
      </c>
    </row>
    <row r="22735" spans="1:1" x14ac:dyDescent="0.25">
      <c r="A22735" s="74">
        <v>27527</v>
      </c>
    </row>
    <row r="22736" spans="1:1" x14ac:dyDescent="0.25">
      <c r="A22736" s="74">
        <v>27528</v>
      </c>
    </row>
    <row r="22737" spans="1:1" x14ac:dyDescent="0.25">
      <c r="A22737" s="74">
        <v>27529</v>
      </c>
    </row>
    <row r="22738" spans="1:1" x14ac:dyDescent="0.25">
      <c r="A22738" s="74">
        <v>27530</v>
      </c>
    </row>
    <row r="22739" spans="1:1" x14ac:dyDescent="0.25">
      <c r="A22739" s="74">
        <v>27531</v>
      </c>
    </row>
    <row r="22740" spans="1:1" x14ac:dyDescent="0.25">
      <c r="A22740" s="74">
        <v>27532</v>
      </c>
    </row>
    <row r="22741" spans="1:1" x14ac:dyDescent="0.25">
      <c r="A22741" s="74">
        <v>27533</v>
      </c>
    </row>
    <row r="22742" spans="1:1" x14ac:dyDescent="0.25">
      <c r="A22742" s="74">
        <v>27534</v>
      </c>
    </row>
    <row r="22743" spans="1:1" x14ac:dyDescent="0.25">
      <c r="A22743" s="74">
        <v>27535</v>
      </c>
    </row>
    <row r="22744" spans="1:1" x14ac:dyDescent="0.25">
      <c r="A22744" s="74">
        <v>27536</v>
      </c>
    </row>
    <row r="22745" spans="1:1" x14ac:dyDescent="0.25">
      <c r="A22745" s="74">
        <v>27537</v>
      </c>
    </row>
    <row r="22746" spans="1:1" x14ac:dyDescent="0.25">
      <c r="A22746" s="74">
        <v>27538</v>
      </c>
    </row>
    <row r="22747" spans="1:1" x14ac:dyDescent="0.25">
      <c r="A22747" s="74">
        <v>27539</v>
      </c>
    </row>
    <row r="22748" spans="1:1" x14ac:dyDescent="0.25">
      <c r="A22748" s="74">
        <v>27540</v>
      </c>
    </row>
    <row r="22749" spans="1:1" x14ac:dyDescent="0.25">
      <c r="A22749" s="74">
        <v>27541</v>
      </c>
    </row>
    <row r="22750" spans="1:1" x14ac:dyDescent="0.25">
      <c r="A22750" s="74">
        <v>27542</v>
      </c>
    </row>
    <row r="22751" spans="1:1" x14ac:dyDescent="0.25">
      <c r="A22751" s="74">
        <v>27543</v>
      </c>
    </row>
    <row r="22752" spans="1:1" x14ac:dyDescent="0.25">
      <c r="A22752" s="74">
        <v>27544</v>
      </c>
    </row>
    <row r="22753" spans="1:1" x14ac:dyDescent="0.25">
      <c r="A22753" s="74">
        <v>27545</v>
      </c>
    </row>
    <row r="22754" spans="1:1" x14ac:dyDescent="0.25">
      <c r="A22754" s="74">
        <v>27546</v>
      </c>
    </row>
    <row r="22755" spans="1:1" x14ac:dyDescent="0.25">
      <c r="A22755" s="74">
        <v>27547</v>
      </c>
    </row>
    <row r="22756" spans="1:1" x14ac:dyDescent="0.25">
      <c r="A22756" s="74">
        <v>27548</v>
      </c>
    </row>
    <row r="22757" spans="1:1" x14ac:dyDescent="0.25">
      <c r="A22757" s="74">
        <v>27549</v>
      </c>
    </row>
    <row r="22758" spans="1:1" x14ac:dyDescent="0.25">
      <c r="A22758" s="74">
        <v>27550</v>
      </c>
    </row>
    <row r="22759" spans="1:1" x14ac:dyDescent="0.25">
      <c r="A22759" s="74">
        <v>27551</v>
      </c>
    </row>
    <row r="22760" spans="1:1" x14ac:dyDescent="0.25">
      <c r="A22760" s="74">
        <v>27552</v>
      </c>
    </row>
    <row r="22761" spans="1:1" x14ac:dyDescent="0.25">
      <c r="A22761" s="74">
        <v>27553</v>
      </c>
    </row>
    <row r="22762" spans="1:1" x14ac:dyDescent="0.25">
      <c r="A22762" s="74">
        <v>27554</v>
      </c>
    </row>
    <row r="22763" spans="1:1" x14ac:dyDescent="0.25">
      <c r="A22763" s="74">
        <v>27555</v>
      </c>
    </row>
    <row r="22764" spans="1:1" x14ac:dyDescent="0.25">
      <c r="A22764" s="74">
        <v>27556</v>
      </c>
    </row>
    <row r="22765" spans="1:1" x14ac:dyDescent="0.25">
      <c r="A22765" s="74">
        <v>27557</v>
      </c>
    </row>
    <row r="22766" spans="1:1" x14ac:dyDescent="0.25">
      <c r="A22766" s="74">
        <v>27558</v>
      </c>
    </row>
    <row r="22767" spans="1:1" x14ac:dyDescent="0.25">
      <c r="A22767" s="74">
        <v>27559</v>
      </c>
    </row>
    <row r="22768" spans="1:1" x14ac:dyDescent="0.25">
      <c r="A22768" s="74">
        <v>27560</v>
      </c>
    </row>
    <row r="22769" spans="1:1" x14ac:dyDescent="0.25">
      <c r="A22769" s="74">
        <v>27561</v>
      </c>
    </row>
    <row r="22770" spans="1:1" x14ac:dyDescent="0.25">
      <c r="A22770" s="74">
        <v>27562</v>
      </c>
    </row>
    <row r="22771" spans="1:1" x14ac:dyDescent="0.25">
      <c r="A22771" s="74">
        <v>27563</v>
      </c>
    </row>
    <row r="22772" spans="1:1" x14ac:dyDescent="0.25">
      <c r="A22772" s="74">
        <v>27564</v>
      </c>
    </row>
    <row r="22773" spans="1:1" x14ac:dyDescent="0.25">
      <c r="A22773" s="74">
        <v>27565</v>
      </c>
    </row>
    <row r="22774" spans="1:1" x14ac:dyDescent="0.25">
      <c r="A22774" s="74">
        <v>27566</v>
      </c>
    </row>
    <row r="22775" spans="1:1" x14ac:dyDescent="0.25">
      <c r="A22775" s="74">
        <v>27567</v>
      </c>
    </row>
    <row r="22776" spans="1:1" x14ac:dyDescent="0.25">
      <c r="A22776" s="74">
        <v>27568</v>
      </c>
    </row>
    <row r="22777" spans="1:1" x14ac:dyDescent="0.25">
      <c r="A22777" s="74">
        <v>27569</v>
      </c>
    </row>
    <row r="22778" spans="1:1" x14ac:dyDescent="0.25">
      <c r="A22778" s="74">
        <v>27570</v>
      </c>
    </row>
    <row r="22779" spans="1:1" x14ac:dyDescent="0.25">
      <c r="A22779" s="74">
        <v>27571</v>
      </c>
    </row>
    <row r="22780" spans="1:1" x14ac:dyDescent="0.25">
      <c r="A22780" s="74">
        <v>27572</v>
      </c>
    </row>
    <row r="22781" spans="1:1" x14ac:dyDescent="0.25">
      <c r="A22781" s="74">
        <v>27573</v>
      </c>
    </row>
    <row r="22782" spans="1:1" x14ac:dyDescent="0.25">
      <c r="A22782" s="74">
        <v>27574</v>
      </c>
    </row>
    <row r="22783" spans="1:1" x14ac:dyDescent="0.25">
      <c r="A22783" s="74">
        <v>27575</v>
      </c>
    </row>
    <row r="22784" spans="1:1" x14ac:dyDescent="0.25">
      <c r="A22784" s="74">
        <v>27576</v>
      </c>
    </row>
    <row r="22785" spans="1:1" x14ac:dyDescent="0.25">
      <c r="A22785" s="74">
        <v>27577</v>
      </c>
    </row>
    <row r="22786" spans="1:1" x14ac:dyDescent="0.25">
      <c r="A22786" s="74">
        <v>27578</v>
      </c>
    </row>
    <row r="22787" spans="1:1" x14ac:dyDescent="0.25">
      <c r="A22787" s="74">
        <v>27579</v>
      </c>
    </row>
    <row r="22788" spans="1:1" x14ac:dyDescent="0.25">
      <c r="A22788" s="74">
        <v>27580</v>
      </c>
    </row>
    <row r="22789" spans="1:1" x14ac:dyDescent="0.25">
      <c r="A22789" s="74">
        <v>27581</v>
      </c>
    </row>
    <row r="22790" spans="1:1" x14ac:dyDescent="0.25">
      <c r="A22790" s="74">
        <v>27582</v>
      </c>
    </row>
    <row r="22791" spans="1:1" x14ac:dyDescent="0.25">
      <c r="A22791" s="74">
        <v>27583</v>
      </c>
    </row>
    <row r="22792" spans="1:1" x14ac:dyDescent="0.25">
      <c r="A22792" s="74">
        <v>27584</v>
      </c>
    </row>
    <row r="22793" spans="1:1" x14ac:dyDescent="0.25">
      <c r="A22793" s="74">
        <v>27585</v>
      </c>
    </row>
    <row r="22794" spans="1:1" x14ac:dyDescent="0.25">
      <c r="A22794" s="74">
        <v>27586</v>
      </c>
    </row>
    <row r="22795" spans="1:1" x14ac:dyDescent="0.25">
      <c r="A22795" s="74">
        <v>27587</v>
      </c>
    </row>
    <row r="22796" spans="1:1" x14ac:dyDescent="0.25">
      <c r="A22796" s="74">
        <v>27588</v>
      </c>
    </row>
    <row r="22797" spans="1:1" x14ac:dyDescent="0.25">
      <c r="A22797" s="74">
        <v>27589</v>
      </c>
    </row>
    <row r="22798" spans="1:1" x14ac:dyDescent="0.25">
      <c r="A22798" s="74">
        <v>27590</v>
      </c>
    </row>
    <row r="22799" spans="1:1" x14ac:dyDescent="0.25">
      <c r="A22799" s="74">
        <v>27591</v>
      </c>
    </row>
    <row r="22800" spans="1:1" x14ac:dyDescent="0.25">
      <c r="A22800" s="74">
        <v>27592</v>
      </c>
    </row>
    <row r="22801" spans="1:1" x14ac:dyDescent="0.25">
      <c r="A22801" s="74">
        <v>27593</v>
      </c>
    </row>
    <row r="22802" spans="1:1" x14ac:dyDescent="0.25">
      <c r="A22802" s="74">
        <v>27594</v>
      </c>
    </row>
    <row r="22803" spans="1:1" x14ac:dyDescent="0.25">
      <c r="A22803" s="74">
        <v>27595</v>
      </c>
    </row>
    <row r="22804" spans="1:1" x14ac:dyDescent="0.25">
      <c r="A22804" s="74">
        <v>27596</v>
      </c>
    </row>
    <row r="22805" spans="1:1" x14ac:dyDescent="0.25">
      <c r="A22805" s="74">
        <v>27597</v>
      </c>
    </row>
    <row r="22806" spans="1:1" x14ac:dyDescent="0.25">
      <c r="A22806" s="74">
        <v>27598</v>
      </c>
    </row>
    <row r="22807" spans="1:1" x14ac:dyDescent="0.25">
      <c r="A22807" s="74">
        <v>27599</v>
      </c>
    </row>
    <row r="22808" spans="1:1" x14ac:dyDescent="0.25">
      <c r="A22808" s="74">
        <v>27600</v>
      </c>
    </row>
    <row r="22809" spans="1:1" x14ac:dyDescent="0.25">
      <c r="A22809" s="74">
        <v>27601</v>
      </c>
    </row>
    <row r="22810" spans="1:1" x14ac:dyDescent="0.25">
      <c r="A22810" s="74">
        <v>27602</v>
      </c>
    </row>
    <row r="22811" spans="1:1" x14ac:dyDescent="0.25">
      <c r="A22811" s="74">
        <v>27603</v>
      </c>
    </row>
    <row r="22812" spans="1:1" x14ac:dyDescent="0.25">
      <c r="A22812" s="74">
        <v>27604</v>
      </c>
    </row>
    <row r="22813" spans="1:1" x14ac:dyDescent="0.25">
      <c r="A22813" s="74">
        <v>27605</v>
      </c>
    </row>
    <row r="22814" spans="1:1" x14ac:dyDescent="0.25">
      <c r="A22814" s="74">
        <v>27606</v>
      </c>
    </row>
    <row r="22815" spans="1:1" x14ac:dyDescent="0.25">
      <c r="A22815" s="74">
        <v>27607</v>
      </c>
    </row>
    <row r="22816" spans="1:1" x14ac:dyDescent="0.25">
      <c r="A22816" s="74">
        <v>27608</v>
      </c>
    </row>
    <row r="22817" spans="1:1" x14ac:dyDescent="0.25">
      <c r="A22817" s="74">
        <v>27609</v>
      </c>
    </row>
    <row r="22818" spans="1:1" x14ac:dyDescent="0.25">
      <c r="A22818" s="74">
        <v>27610</v>
      </c>
    </row>
    <row r="22819" spans="1:1" x14ac:dyDescent="0.25">
      <c r="A22819" s="74">
        <v>27611</v>
      </c>
    </row>
    <row r="22820" spans="1:1" x14ac:dyDescent="0.25">
      <c r="A22820" s="74">
        <v>27612</v>
      </c>
    </row>
    <row r="22821" spans="1:1" x14ac:dyDescent="0.25">
      <c r="A22821" s="74">
        <v>27613</v>
      </c>
    </row>
    <row r="22822" spans="1:1" x14ac:dyDescent="0.25">
      <c r="A22822" s="74">
        <v>27614</v>
      </c>
    </row>
    <row r="22823" spans="1:1" x14ac:dyDescent="0.25">
      <c r="A22823" s="74">
        <v>27615</v>
      </c>
    </row>
    <row r="22824" spans="1:1" x14ac:dyDescent="0.25">
      <c r="A22824" s="74">
        <v>27616</v>
      </c>
    </row>
    <row r="22825" spans="1:1" x14ac:dyDescent="0.25">
      <c r="A22825" s="74">
        <v>27617</v>
      </c>
    </row>
    <row r="22826" spans="1:1" x14ac:dyDescent="0.25">
      <c r="A22826" s="74">
        <v>27618</v>
      </c>
    </row>
    <row r="22827" spans="1:1" x14ac:dyDescent="0.25">
      <c r="A22827" s="74">
        <v>27619</v>
      </c>
    </row>
    <row r="22828" spans="1:1" x14ac:dyDescent="0.25">
      <c r="A22828" s="74">
        <v>27620</v>
      </c>
    </row>
    <row r="22829" spans="1:1" x14ac:dyDescent="0.25">
      <c r="A22829" s="74">
        <v>27621</v>
      </c>
    </row>
    <row r="22830" spans="1:1" x14ac:dyDescent="0.25">
      <c r="A22830" s="74">
        <v>27622</v>
      </c>
    </row>
    <row r="22831" spans="1:1" x14ac:dyDescent="0.25">
      <c r="A22831" s="74">
        <v>27623</v>
      </c>
    </row>
    <row r="22832" spans="1:1" x14ac:dyDescent="0.25">
      <c r="A22832" s="74">
        <v>27624</v>
      </c>
    </row>
    <row r="22833" spans="1:1" x14ac:dyDescent="0.25">
      <c r="A22833" s="74">
        <v>27625</v>
      </c>
    </row>
    <row r="22834" spans="1:1" x14ac:dyDescent="0.25">
      <c r="A22834" s="74">
        <v>27626</v>
      </c>
    </row>
    <row r="22835" spans="1:1" x14ac:dyDescent="0.25">
      <c r="A22835" s="74">
        <v>27627</v>
      </c>
    </row>
    <row r="22836" spans="1:1" x14ac:dyDescent="0.25">
      <c r="A22836" s="74">
        <v>27628</v>
      </c>
    </row>
    <row r="22837" spans="1:1" x14ac:dyDescent="0.25">
      <c r="A22837" s="74">
        <v>27629</v>
      </c>
    </row>
    <row r="22838" spans="1:1" x14ac:dyDescent="0.25">
      <c r="A22838" s="74">
        <v>27630</v>
      </c>
    </row>
    <row r="22839" spans="1:1" x14ac:dyDescent="0.25">
      <c r="A22839" s="74">
        <v>27631</v>
      </c>
    </row>
    <row r="22840" spans="1:1" x14ac:dyDescent="0.25">
      <c r="A22840" s="74">
        <v>27632</v>
      </c>
    </row>
    <row r="22841" spans="1:1" x14ac:dyDescent="0.25">
      <c r="A22841" s="74">
        <v>27633</v>
      </c>
    </row>
    <row r="22842" spans="1:1" x14ac:dyDescent="0.25">
      <c r="A22842" s="74">
        <v>27634</v>
      </c>
    </row>
    <row r="22843" spans="1:1" x14ac:dyDescent="0.25">
      <c r="A22843" s="74">
        <v>27635</v>
      </c>
    </row>
    <row r="22844" spans="1:1" x14ac:dyDescent="0.25">
      <c r="A22844" s="74">
        <v>27636</v>
      </c>
    </row>
    <row r="22845" spans="1:1" x14ac:dyDescent="0.25">
      <c r="A22845" s="74">
        <v>27637</v>
      </c>
    </row>
    <row r="22846" spans="1:1" x14ac:dyDescent="0.25">
      <c r="A22846" s="74">
        <v>27638</v>
      </c>
    </row>
    <row r="22847" spans="1:1" x14ac:dyDescent="0.25">
      <c r="A22847" s="74">
        <v>27639</v>
      </c>
    </row>
    <row r="22848" spans="1:1" x14ac:dyDescent="0.25">
      <c r="A22848" s="74">
        <v>27640</v>
      </c>
    </row>
    <row r="22849" spans="1:1" x14ac:dyDescent="0.25">
      <c r="A22849" s="74">
        <v>27641</v>
      </c>
    </row>
    <row r="22850" spans="1:1" x14ac:dyDescent="0.25">
      <c r="A22850" s="74">
        <v>27642</v>
      </c>
    </row>
    <row r="22851" spans="1:1" x14ac:dyDescent="0.25">
      <c r="A22851" s="74">
        <v>27643</v>
      </c>
    </row>
    <row r="22852" spans="1:1" x14ac:dyDescent="0.25">
      <c r="A22852" s="74">
        <v>27644</v>
      </c>
    </row>
    <row r="22853" spans="1:1" x14ac:dyDescent="0.25">
      <c r="A22853" s="74">
        <v>27645</v>
      </c>
    </row>
    <row r="22854" spans="1:1" x14ac:dyDescent="0.25">
      <c r="A22854" s="74">
        <v>27646</v>
      </c>
    </row>
    <row r="22855" spans="1:1" x14ac:dyDescent="0.25">
      <c r="A22855" s="74">
        <v>27647</v>
      </c>
    </row>
    <row r="22856" spans="1:1" x14ac:dyDescent="0.25">
      <c r="A22856" s="74">
        <v>27648</v>
      </c>
    </row>
    <row r="22857" spans="1:1" x14ac:dyDescent="0.25">
      <c r="A22857" s="74">
        <v>27649</v>
      </c>
    </row>
    <row r="22858" spans="1:1" x14ac:dyDescent="0.25">
      <c r="A22858" s="74">
        <v>27650</v>
      </c>
    </row>
    <row r="22859" spans="1:1" x14ac:dyDescent="0.25">
      <c r="A22859" s="74">
        <v>27651</v>
      </c>
    </row>
    <row r="22860" spans="1:1" x14ac:dyDescent="0.25">
      <c r="A22860" s="74">
        <v>27652</v>
      </c>
    </row>
    <row r="22861" spans="1:1" x14ac:dyDescent="0.25">
      <c r="A22861" s="74">
        <v>27653</v>
      </c>
    </row>
    <row r="22862" spans="1:1" x14ac:dyDescent="0.25">
      <c r="A22862" s="74">
        <v>27654</v>
      </c>
    </row>
    <row r="22863" spans="1:1" x14ac:dyDescent="0.25">
      <c r="A22863" s="74">
        <v>27655</v>
      </c>
    </row>
    <row r="22864" spans="1:1" x14ac:dyDescent="0.25">
      <c r="A22864" s="74">
        <v>27656</v>
      </c>
    </row>
    <row r="22865" spans="1:1" x14ac:dyDescent="0.25">
      <c r="A22865" s="74">
        <v>27657</v>
      </c>
    </row>
    <row r="22866" spans="1:1" x14ac:dyDescent="0.25">
      <c r="A22866" s="74">
        <v>27658</v>
      </c>
    </row>
    <row r="22867" spans="1:1" x14ac:dyDescent="0.25">
      <c r="A22867" s="74">
        <v>27659</v>
      </c>
    </row>
    <row r="22868" spans="1:1" x14ac:dyDescent="0.25">
      <c r="A22868" s="74">
        <v>27660</v>
      </c>
    </row>
    <row r="22869" spans="1:1" x14ac:dyDescent="0.25">
      <c r="A22869" s="74">
        <v>27661</v>
      </c>
    </row>
    <row r="22870" spans="1:1" x14ac:dyDescent="0.25">
      <c r="A22870" s="74">
        <v>27662</v>
      </c>
    </row>
    <row r="22871" spans="1:1" x14ac:dyDescent="0.25">
      <c r="A22871" s="74">
        <v>27663</v>
      </c>
    </row>
    <row r="22872" spans="1:1" x14ac:dyDescent="0.25">
      <c r="A22872" s="74">
        <v>27664</v>
      </c>
    </row>
    <row r="22873" spans="1:1" x14ac:dyDescent="0.25">
      <c r="A22873" s="74">
        <v>27665</v>
      </c>
    </row>
    <row r="22874" spans="1:1" x14ac:dyDescent="0.25">
      <c r="A22874" s="74">
        <v>27666</v>
      </c>
    </row>
    <row r="22875" spans="1:1" x14ac:dyDescent="0.25">
      <c r="A22875" s="74">
        <v>27667</v>
      </c>
    </row>
    <row r="22876" spans="1:1" x14ac:dyDescent="0.25">
      <c r="A22876" s="74">
        <v>27668</v>
      </c>
    </row>
    <row r="22877" spans="1:1" x14ac:dyDescent="0.25">
      <c r="A22877" s="74">
        <v>27669</v>
      </c>
    </row>
    <row r="22878" spans="1:1" x14ac:dyDescent="0.25">
      <c r="A22878" s="74">
        <v>27670</v>
      </c>
    </row>
    <row r="22879" spans="1:1" x14ac:dyDescent="0.25">
      <c r="A22879" s="74">
        <v>27671</v>
      </c>
    </row>
    <row r="22880" spans="1:1" x14ac:dyDescent="0.25">
      <c r="A22880" s="74">
        <v>27672</v>
      </c>
    </row>
    <row r="22881" spans="1:1" x14ac:dyDescent="0.25">
      <c r="A22881" s="74">
        <v>27673</v>
      </c>
    </row>
    <row r="22882" spans="1:1" x14ac:dyDescent="0.25">
      <c r="A22882" s="74">
        <v>27674</v>
      </c>
    </row>
    <row r="22883" spans="1:1" x14ac:dyDescent="0.25">
      <c r="A22883" s="74">
        <v>27675</v>
      </c>
    </row>
    <row r="22884" spans="1:1" x14ac:dyDescent="0.25">
      <c r="A22884" s="74">
        <v>27676</v>
      </c>
    </row>
    <row r="22885" spans="1:1" x14ac:dyDescent="0.25">
      <c r="A22885" s="74">
        <v>27677</v>
      </c>
    </row>
    <row r="22886" spans="1:1" x14ac:dyDescent="0.25">
      <c r="A22886" s="74">
        <v>27678</v>
      </c>
    </row>
    <row r="22887" spans="1:1" x14ac:dyDescent="0.25">
      <c r="A22887" s="74">
        <v>27679</v>
      </c>
    </row>
    <row r="22888" spans="1:1" x14ac:dyDescent="0.25">
      <c r="A22888" s="74">
        <v>27680</v>
      </c>
    </row>
    <row r="22889" spans="1:1" x14ac:dyDescent="0.25">
      <c r="A22889" s="74">
        <v>27681</v>
      </c>
    </row>
    <row r="22890" spans="1:1" x14ac:dyDescent="0.25">
      <c r="A22890" s="74">
        <v>27682</v>
      </c>
    </row>
    <row r="22891" spans="1:1" x14ac:dyDescent="0.25">
      <c r="A22891" s="74">
        <v>27683</v>
      </c>
    </row>
    <row r="22892" spans="1:1" x14ac:dyDescent="0.25">
      <c r="A22892" s="74">
        <v>27684</v>
      </c>
    </row>
    <row r="22893" spans="1:1" x14ac:dyDescent="0.25">
      <c r="A22893" s="74">
        <v>27685</v>
      </c>
    </row>
    <row r="22894" spans="1:1" x14ac:dyDescent="0.25">
      <c r="A22894" s="74">
        <v>27686</v>
      </c>
    </row>
    <row r="22895" spans="1:1" x14ac:dyDescent="0.25">
      <c r="A22895" s="74">
        <v>27687</v>
      </c>
    </row>
    <row r="22896" spans="1:1" x14ac:dyDescent="0.25">
      <c r="A22896" s="74">
        <v>27688</v>
      </c>
    </row>
    <row r="22897" spans="1:1" x14ac:dyDescent="0.25">
      <c r="A22897" s="74">
        <v>27689</v>
      </c>
    </row>
    <row r="22898" spans="1:1" x14ac:dyDescent="0.25">
      <c r="A22898" s="74">
        <v>27690</v>
      </c>
    </row>
    <row r="22899" spans="1:1" x14ac:dyDescent="0.25">
      <c r="A22899" s="74">
        <v>27691</v>
      </c>
    </row>
    <row r="22900" spans="1:1" x14ac:dyDescent="0.25">
      <c r="A22900" s="74">
        <v>27692</v>
      </c>
    </row>
    <row r="22901" spans="1:1" x14ac:dyDescent="0.25">
      <c r="A22901" s="74">
        <v>27693</v>
      </c>
    </row>
    <row r="22902" spans="1:1" x14ac:dyDescent="0.25">
      <c r="A22902" s="74">
        <v>27694</v>
      </c>
    </row>
    <row r="22903" spans="1:1" x14ac:dyDescent="0.25">
      <c r="A22903" s="74">
        <v>27695</v>
      </c>
    </row>
    <row r="22904" spans="1:1" x14ac:dyDescent="0.25">
      <c r="A22904" s="74">
        <v>27696</v>
      </c>
    </row>
    <row r="22905" spans="1:1" x14ac:dyDescent="0.25">
      <c r="A22905" s="74">
        <v>27697</v>
      </c>
    </row>
    <row r="22906" spans="1:1" x14ac:dyDescent="0.25">
      <c r="A22906" s="74">
        <v>27698</v>
      </c>
    </row>
    <row r="22907" spans="1:1" x14ac:dyDescent="0.25">
      <c r="A22907" s="74">
        <v>27699</v>
      </c>
    </row>
    <row r="22908" spans="1:1" x14ac:dyDescent="0.25">
      <c r="A22908" s="74">
        <v>27700</v>
      </c>
    </row>
    <row r="22909" spans="1:1" x14ac:dyDescent="0.25">
      <c r="A22909" s="74">
        <v>27701</v>
      </c>
    </row>
    <row r="22910" spans="1:1" x14ac:dyDescent="0.25">
      <c r="A22910" s="74">
        <v>27702</v>
      </c>
    </row>
    <row r="22911" spans="1:1" x14ac:dyDescent="0.25">
      <c r="A22911" s="74">
        <v>27703</v>
      </c>
    </row>
    <row r="22912" spans="1:1" x14ac:dyDescent="0.25">
      <c r="A22912" s="74">
        <v>27704</v>
      </c>
    </row>
    <row r="22913" spans="1:1" x14ac:dyDescent="0.25">
      <c r="A22913" s="74">
        <v>27705</v>
      </c>
    </row>
    <row r="22914" spans="1:1" x14ac:dyDescent="0.25">
      <c r="A22914" s="74">
        <v>27706</v>
      </c>
    </row>
    <row r="22915" spans="1:1" x14ac:dyDescent="0.25">
      <c r="A22915" s="74">
        <v>27707</v>
      </c>
    </row>
    <row r="22916" spans="1:1" x14ac:dyDescent="0.25">
      <c r="A22916" s="74">
        <v>27708</v>
      </c>
    </row>
    <row r="22917" spans="1:1" x14ac:dyDescent="0.25">
      <c r="A22917" s="74">
        <v>27709</v>
      </c>
    </row>
    <row r="22918" spans="1:1" x14ac:dyDescent="0.25">
      <c r="A22918" s="74">
        <v>27710</v>
      </c>
    </row>
    <row r="22919" spans="1:1" x14ac:dyDescent="0.25">
      <c r="A22919" s="74">
        <v>27711</v>
      </c>
    </row>
    <row r="22920" spans="1:1" x14ac:dyDescent="0.25">
      <c r="A22920" s="74">
        <v>27712</v>
      </c>
    </row>
    <row r="22921" spans="1:1" x14ac:dyDescent="0.25">
      <c r="A22921" s="74">
        <v>27713</v>
      </c>
    </row>
    <row r="22922" spans="1:1" x14ac:dyDescent="0.25">
      <c r="A22922" s="74">
        <v>27714</v>
      </c>
    </row>
    <row r="22923" spans="1:1" x14ac:dyDescent="0.25">
      <c r="A22923" s="74">
        <v>27715</v>
      </c>
    </row>
    <row r="22924" spans="1:1" x14ac:dyDescent="0.25">
      <c r="A22924" s="74">
        <v>27716</v>
      </c>
    </row>
    <row r="22925" spans="1:1" x14ac:dyDescent="0.25">
      <c r="A22925" s="74">
        <v>27717</v>
      </c>
    </row>
    <row r="22926" spans="1:1" x14ac:dyDescent="0.25">
      <c r="A22926" s="74">
        <v>27718</v>
      </c>
    </row>
    <row r="22927" spans="1:1" x14ac:dyDescent="0.25">
      <c r="A22927" s="74">
        <v>27719</v>
      </c>
    </row>
    <row r="22928" spans="1:1" x14ac:dyDescent="0.25">
      <c r="A22928" s="74">
        <v>27720</v>
      </c>
    </row>
    <row r="22929" spans="1:1" x14ac:dyDescent="0.25">
      <c r="A22929" s="74">
        <v>27721</v>
      </c>
    </row>
    <row r="22930" spans="1:1" x14ac:dyDescent="0.25">
      <c r="A22930" s="74">
        <v>27722</v>
      </c>
    </row>
    <row r="22931" spans="1:1" x14ac:dyDescent="0.25">
      <c r="A22931" s="74">
        <v>27723</v>
      </c>
    </row>
    <row r="22932" spans="1:1" x14ac:dyDescent="0.25">
      <c r="A22932" s="74">
        <v>27724</v>
      </c>
    </row>
    <row r="22933" spans="1:1" x14ac:dyDescent="0.25">
      <c r="A22933" s="74">
        <v>27725</v>
      </c>
    </row>
    <row r="22934" spans="1:1" x14ac:dyDescent="0.25">
      <c r="A22934" s="74">
        <v>27726</v>
      </c>
    </row>
    <row r="22935" spans="1:1" x14ac:dyDescent="0.25">
      <c r="A22935" s="74">
        <v>27727</v>
      </c>
    </row>
    <row r="22936" spans="1:1" x14ac:dyDescent="0.25">
      <c r="A22936" s="74">
        <v>27728</v>
      </c>
    </row>
    <row r="22937" spans="1:1" x14ac:dyDescent="0.25">
      <c r="A22937" s="74">
        <v>27729</v>
      </c>
    </row>
    <row r="22938" spans="1:1" x14ac:dyDescent="0.25">
      <c r="A22938" s="74">
        <v>27730</v>
      </c>
    </row>
    <row r="22939" spans="1:1" x14ac:dyDescent="0.25">
      <c r="A22939" s="74">
        <v>27731</v>
      </c>
    </row>
    <row r="22940" spans="1:1" x14ac:dyDescent="0.25">
      <c r="A22940" s="74">
        <v>27732</v>
      </c>
    </row>
    <row r="22941" spans="1:1" x14ac:dyDescent="0.25">
      <c r="A22941" s="74">
        <v>27733</v>
      </c>
    </row>
    <row r="22942" spans="1:1" x14ac:dyDescent="0.25">
      <c r="A22942" s="74">
        <v>27734</v>
      </c>
    </row>
    <row r="22943" spans="1:1" x14ac:dyDescent="0.25">
      <c r="A22943" s="74">
        <v>27735</v>
      </c>
    </row>
    <row r="22944" spans="1:1" x14ac:dyDescent="0.25">
      <c r="A22944" s="74">
        <v>27736</v>
      </c>
    </row>
    <row r="22945" spans="1:1" x14ac:dyDescent="0.25">
      <c r="A22945" s="74">
        <v>27737</v>
      </c>
    </row>
    <row r="22946" spans="1:1" x14ac:dyDescent="0.25">
      <c r="A22946" s="74">
        <v>27738</v>
      </c>
    </row>
    <row r="22947" spans="1:1" x14ac:dyDescent="0.25">
      <c r="A22947" s="74">
        <v>27739</v>
      </c>
    </row>
    <row r="22948" spans="1:1" x14ac:dyDescent="0.25">
      <c r="A22948" s="74">
        <v>27740</v>
      </c>
    </row>
    <row r="22949" spans="1:1" x14ac:dyDescent="0.25">
      <c r="A22949" s="74">
        <v>27741</v>
      </c>
    </row>
    <row r="22950" spans="1:1" x14ac:dyDescent="0.25">
      <c r="A22950" s="74">
        <v>27742</v>
      </c>
    </row>
    <row r="22951" spans="1:1" x14ac:dyDescent="0.25">
      <c r="A22951" s="74">
        <v>27743</v>
      </c>
    </row>
    <row r="22952" spans="1:1" x14ac:dyDescent="0.25">
      <c r="A22952" s="74">
        <v>27744</v>
      </c>
    </row>
    <row r="22953" spans="1:1" x14ac:dyDescent="0.25">
      <c r="A22953" s="74">
        <v>27745</v>
      </c>
    </row>
    <row r="22954" spans="1:1" x14ac:dyDescent="0.25">
      <c r="A22954" s="74">
        <v>27746</v>
      </c>
    </row>
    <row r="22955" spans="1:1" x14ac:dyDescent="0.25">
      <c r="A22955" s="74">
        <v>27747</v>
      </c>
    </row>
    <row r="22956" spans="1:1" x14ac:dyDescent="0.25">
      <c r="A22956" s="74">
        <v>27748</v>
      </c>
    </row>
    <row r="22957" spans="1:1" x14ac:dyDescent="0.25">
      <c r="A22957" s="74">
        <v>27749</v>
      </c>
    </row>
    <row r="22958" spans="1:1" x14ac:dyDescent="0.25">
      <c r="A22958" s="74">
        <v>27750</v>
      </c>
    </row>
    <row r="22959" spans="1:1" x14ac:dyDescent="0.25">
      <c r="A22959" s="74">
        <v>27751</v>
      </c>
    </row>
    <row r="22960" spans="1:1" x14ac:dyDescent="0.25">
      <c r="A22960" s="74">
        <v>27752</v>
      </c>
    </row>
    <row r="22961" spans="1:1" x14ac:dyDescent="0.25">
      <c r="A22961" s="74">
        <v>27753</v>
      </c>
    </row>
    <row r="22962" spans="1:1" x14ac:dyDescent="0.25">
      <c r="A22962" s="74">
        <v>27754</v>
      </c>
    </row>
    <row r="22963" spans="1:1" x14ac:dyDescent="0.25">
      <c r="A22963" s="74">
        <v>27755</v>
      </c>
    </row>
    <row r="22964" spans="1:1" x14ac:dyDescent="0.25">
      <c r="A22964" s="74">
        <v>27756</v>
      </c>
    </row>
    <row r="22965" spans="1:1" x14ac:dyDescent="0.25">
      <c r="A22965" s="74">
        <v>27757</v>
      </c>
    </row>
    <row r="22966" spans="1:1" x14ac:dyDescent="0.25">
      <c r="A22966" s="74">
        <v>27758</v>
      </c>
    </row>
    <row r="22967" spans="1:1" x14ac:dyDescent="0.25">
      <c r="A22967" s="74">
        <v>27759</v>
      </c>
    </row>
    <row r="22968" spans="1:1" x14ac:dyDescent="0.25">
      <c r="A22968" s="74">
        <v>27760</v>
      </c>
    </row>
    <row r="22969" spans="1:1" x14ac:dyDescent="0.25">
      <c r="A22969" s="74">
        <v>27761</v>
      </c>
    </row>
    <row r="22970" spans="1:1" x14ac:dyDescent="0.25">
      <c r="A22970" s="74">
        <v>27762</v>
      </c>
    </row>
    <row r="22971" spans="1:1" x14ac:dyDescent="0.25">
      <c r="A22971" s="74">
        <v>27763</v>
      </c>
    </row>
    <row r="22972" spans="1:1" x14ac:dyDescent="0.25">
      <c r="A22972" s="74">
        <v>27764</v>
      </c>
    </row>
    <row r="22973" spans="1:1" x14ac:dyDescent="0.25">
      <c r="A22973" s="74">
        <v>27765</v>
      </c>
    </row>
    <row r="22974" spans="1:1" x14ac:dyDescent="0.25">
      <c r="A22974" s="74">
        <v>27766</v>
      </c>
    </row>
    <row r="22975" spans="1:1" x14ac:dyDescent="0.25">
      <c r="A22975" s="74">
        <v>27767</v>
      </c>
    </row>
    <row r="22976" spans="1:1" x14ac:dyDescent="0.25">
      <c r="A22976" s="74">
        <v>27768</v>
      </c>
    </row>
    <row r="22977" spans="1:1" x14ac:dyDescent="0.25">
      <c r="A22977" s="74">
        <v>27769</v>
      </c>
    </row>
    <row r="22978" spans="1:1" x14ac:dyDescent="0.25">
      <c r="A22978" s="74">
        <v>27770</v>
      </c>
    </row>
    <row r="22979" spans="1:1" x14ac:dyDescent="0.25">
      <c r="A22979" s="74">
        <v>27771</v>
      </c>
    </row>
    <row r="22980" spans="1:1" x14ac:dyDescent="0.25">
      <c r="A22980" s="74">
        <v>27772</v>
      </c>
    </row>
    <row r="22981" spans="1:1" x14ac:dyDescent="0.25">
      <c r="A22981" s="74">
        <v>27773</v>
      </c>
    </row>
    <row r="22982" spans="1:1" x14ac:dyDescent="0.25">
      <c r="A22982" s="74">
        <v>27774</v>
      </c>
    </row>
    <row r="22983" spans="1:1" x14ac:dyDescent="0.25">
      <c r="A22983" s="74">
        <v>27775</v>
      </c>
    </row>
    <row r="22984" spans="1:1" x14ac:dyDescent="0.25">
      <c r="A22984" s="74">
        <v>27776</v>
      </c>
    </row>
    <row r="22985" spans="1:1" x14ac:dyDescent="0.25">
      <c r="A22985" s="74">
        <v>27777</v>
      </c>
    </row>
    <row r="22986" spans="1:1" x14ac:dyDescent="0.25">
      <c r="A22986" s="74">
        <v>27778</v>
      </c>
    </row>
    <row r="22987" spans="1:1" x14ac:dyDescent="0.25">
      <c r="A22987" s="74">
        <v>27779</v>
      </c>
    </row>
    <row r="22988" spans="1:1" x14ac:dyDescent="0.25">
      <c r="A22988" s="74">
        <v>27780</v>
      </c>
    </row>
    <row r="22989" spans="1:1" x14ac:dyDescent="0.25">
      <c r="A22989" s="74">
        <v>27781</v>
      </c>
    </row>
    <row r="22990" spans="1:1" x14ac:dyDescent="0.25">
      <c r="A22990" s="74">
        <v>27782</v>
      </c>
    </row>
    <row r="22991" spans="1:1" x14ac:dyDescent="0.25">
      <c r="A22991" s="74">
        <v>27783</v>
      </c>
    </row>
    <row r="22992" spans="1:1" x14ac:dyDescent="0.25">
      <c r="A22992" s="74">
        <v>27784</v>
      </c>
    </row>
    <row r="22993" spans="1:1" x14ac:dyDescent="0.25">
      <c r="A22993" s="74">
        <v>27785</v>
      </c>
    </row>
    <row r="22994" spans="1:1" x14ac:dyDescent="0.25">
      <c r="A22994" s="74">
        <v>27786</v>
      </c>
    </row>
    <row r="22995" spans="1:1" x14ac:dyDescent="0.25">
      <c r="A22995" s="74">
        <v>27787</v>
      </c>
    </row>
    <row r="22996" spans="1:1" x14ac:dyDescent="0.25">
      <c r="A22996" s="74">
        <v>27788</v>
      </c>
    </row>
    <row r="22997" spans="1:1" x14ac:dyDescent="0.25">
      <c r="A22997" s="74">
        <v>27789</v>
      </c>
    </row>
    <row r="22998" spans="1:1" x14ac:dyDescent="0.25">
      <c r="A22998" s="74">
        <v>27790</v>
      </c>
    </row>
    <row r="22999" spans="1:1" x14ac:dyDescent="0.25">
      <c r="A22999" s="74">
        <v>27791</v>
      </c>
    </row>
    <row r="23000" spans="1:1" x14ac:dyDescent="0.25">
      <c r="A23000" s="74">
        <v>27792</v>
      </c>
    </row>
    <row r="23001" spans="1:1" x14ac:dyDescent="0.25">
      <c r="A23001" s="74">
        <v>27793</v>
      </c>
    </row>
    <row r="23002" spans="1:1" x14ac:dyDescent="0.25">
      <c r="A23002" s="74">
        <v>27794</v>
      </c>
    </row>
    <row r="23003" spans="1:1" x14ac:dyDescent="0.25">
      <c r="A23003" s="74">
        <v>27795</v>
      </c>
    </row>
    <row r="23004" spans="1:1" x14ac:dyDescent="0.25">
      <c r="A23004" s="74">
        <v>27796</v>
      </c>
    </row>
    <row r="23005" spans="1:1" x14ac:dyDescent="0.25">
      <c r="A23005" s="74">
        <v>27797</v>
      </c>
    </row>
    <row r="23006" spans="1:1" x14ac:dyDescent="0.25">
      <c r="A23006" s="74">
        <v>27798</v>
      </c>
    </row>
    <row r="23007" spans="1:1" x14ac:dyDescent="0.25">
      <c r="A23007" s="74">
        <v>27799</v>
      </c>
    </row>
    <row r="23008" spans="1:1" x14ac:dyDescent="0.25">
      <c r="A23008" s="74">
        <v>27800</v>
      </c>
    </row>
    <row r="23009" spans="1:1" x14ac:dyDescent="0.25">
      <c r="A23009" s="74">
        <v>27801</v>
      </c>
    </row>
    <row r="23010" spans="1:1" x14ac:dyDescent="0.25">
      <c r="A23010" s="74">
        <v>27802</v>
      </c>
    </row>
    <row r="23011" spans="1:1" x14ac:dyDescent="0.25">
      <c r="A23011" s="74">
        <v>27803</v>
      </c>
    </row>
    <row r="23012" spans="1:1" x14ac:dyDescent="0.25">
      <c r="A23012" s="74">
        <v>27804</v>
      </c>
    </row>
    <row r="23013" spans="1:1" x14ac:dyDescent="0.25">
      <c r="A23013" s="74">
        <v>27805</v>
      </c>
    </row>
    <row r="23014" spans="1:1" x14ac:dyDescent="0.25">
      <c r="A23014" s="74">
        <v>27806</v>
      </c>
    </row>
    <row r="23015" spans="1:1" x14ac:dyDescent="0.25">
      <c r="A23015" s="74">
        <v>27807</v>
      </c>
    </row>
    <row r="23016" spans="1:1" x14ac:dyDescent="0.25">
      <c r="A23016" s="74">
        <v>27808</v>
      </c>
    </row>
    <row r="23017" spans="1:1" x14ac:dyDescent="0.25">
      <c r="A23017" s="74">
        <v>27809</v>
      </c>
    </row>
    <row r="23018" spans="1:1" x14ac:dyDescent="0.25">
      <c r="A23018" s="74">
        <v>27810</v>
      </c>
    </row>
    <row r="23019" spans="1:1" x14ac:dyDescent="0.25">
      <c r="A23019" s="74">
        <v>27811</v>
      </c>
    </row>
    <row r="23020" spans="1:1" x14ac:dyDescent="0.25">
      <c r="A23020" s="74">
        <v>27812</v>
      </c>
    </row>
    <row r="23021" spans="1:1" x14ac:dyDescent="0.25">
      <c r="A23021" s="74">
        <v>27813</v>
      </c>
    </row>
    <row r="23022" spans="1:1" x14ac:dyDescent="0.25">
      <c r="A23022" s="74">
        <v>27814</v>
      </c>
    </row>
    <row r="23023" spans="1:1" x14ac:dyDescent="0.25">
      <c r="A23023" s="74">
        <v>27815</v>
      </c>
    </row>
    <row r="23024" spans="1:1" x14ac:dyDescent="0.25">
      <c r="A23024" s="74">
        <v>27816</v>
      </c>
    </row>
    <row r="23025" spans="1:1" x14ac:dyDescent="0.25">
      <c r="A23025" s="74">
        <v>27817</v>
      </c>
    </row>
    <row r="23026" spans="1:1" x14ac:dyDescent="0.25">
      <c r="A23026" s="74">
        <v>27818</v>
      </c>
    </row>
    <row r="23027" spans="1:1" x14ac:dyDescent="0.25">
      <c r="A23027" s="74">
        <v>27819</v>
      </c>
    </row>
    <row r="23028" spans="1:1" x14ac:dyDescent="0.25">
      <c r="A23028" s="74">
        <v>27820</v>
      </c>
    </row>
    <row r="23029" spans="1:1" x14ac:dyDescent="0.25">
      <c r="A23029" s="74">
        <v>27821</v>
      </c>
    </row>
    <row r="23030" spans="1:1" x14ac:dyDescent="0.25">
      <c r="A23030" s="74">
        <v>27822</v>
      </c>
    </row>
    <row r="23031" spans="1:1" x14ac:dyDescent="0.25">
      <c r="A23031" s="74">
        <v>27823</v>
      </c>
    </row>
    <row r="23032" spans="1:1" x14ac:dyDescent="0.25">
      <c r="A23032" s="74">
        <v>27824</v>
      </c>
    </row>
    <row r="23033" spans="1:1" x14ac:dyDescent="0.25">
      <c r="A23033" s="74">
        <v>27825</v>
      </c>
    </row>
    <row r="23034" spans="1:1" x14ac:dyDescent="0.25">
      <c r="A23034" s="74">
        <v>27826</v>
      </c>
    </row>
    <row r="23035" spans="1:1" x14ac:dyDescent="0.25">
      <c r="A23035" s="74">
        <v>27827</v>
      </c>
    </row>
    <row r="23036" spans="1:1" x14ac:dyDescent="0.25">
      <c r="A23036" s="74">
        <v>27828</v>
      </c>
    </row>
    <row r="23037" spans="1:1" x14ac:dyDescent="0.25">
      <c r="A23037" s="74">
        <v>27829</v>
      </c>
    </row>
    <row r="23038" spans="1:1" x14ac:dyDescent="0.25">
      <c r="A23038" s="74">
        <v>27830</v>
      </c>
    </row>
    <row r="23039" spans="1:1" x14ac:dyDescent="0.25">
      <c r="A23039" s="74">
        <v>27831</v>
      </c>
    </row>
    <row r="23040" spans="1:1" x14ac:dyDescent="0.25">
      <c r="A23040" s="74">
        <v>27832</v>
      </c>
    </row>
    <row r="23041" spans="1:1" x14ac:dyDescent="0.25">
      <c r="A23041" s="74">
        <v>27833</v>
      </c>
    </row>
    <row r="23042" spans="1:1" x14ac:dyDescent="0.25">
      <c r="A23042" s="74">
        <v>27834</v>
      </c>
    </row>
    <row r="23043" spans="1:1" x14ac:dyDescent="0.25">
      <c r="A23043" s="74">
        <v>27835</v>
      </c>
    </row>
    <row r="23044" spans="1:1" x14ac:dyDescent="0.25">
      <c r="A23044" s="74">
        <v>27836</v>
      </c>
    </row>
    <row r="23045" spans="1:1" x14ac:dyDescent="0.25">
      <c r="A23045" s="74">
        <v>27837</v>
      </c>
    </row>
    <row r="23046" spans="1:1" x14ac:dyDescent="0.25">
      <c r="A23046" s="74">
        <v>27838</v>
      </c>
    </row>
    <row r="23047" spans="1:1" x14ac:dyDescent="0.25">
      <c r="A23047" s="74">
        <v>27839</v>
      </c>
    </row>
    <row r="23048" spans="1:1" x14ac:dyDescent="0.25">
      <c r="A23048" s="74">
        <v>27840</v>
      </c>
    </row>
    <row r="23049" spans="1:1" x14ac:dyDescent="0.25">
      <c r="A23049" s="74">
        <v>27841</v>
      </c>
    </row>
    <row r="23050" spans="1:1" x14ac:dyDescent="0.25">
      <c r="A23050" s="74">
        <v>27842</v>
      </c>
    </row>
    <row r="23051" spans="1:1" x14ac:dyDescent="0.25">
      <c r="A23051" s="74">
        <v>27843</v>
      </c>
    </row>
    <row r="23052" spans="1:1" x14ac:dyDescent="0.25">
      <c r="A23052" s="74">
        <v>27844</v>
      </c>
    </row>
    <row r="23053" spans="1:1" x14ac:dyDescent="0.25">
      <c r="A23053" s="74">
        <v>27845</v>
      </c>
    </row>
    <row r="23054" spans="1:1" x14ac:dyDescent="0.25">
      <c r="A23054" s="74">
        <v>27846</v>
      </c>
    </row>
    <row r="23055" spans="1:1" x14ac:dyDescent="0.25">
      <c r="A23055" s="74">
        <v>27847</v>
      </c>
    </row>
    <row r="23056" spans="1:1" x14ac:dyDescent="0.25">
      <c r="A23056" s="74">
        <v>27848</v>
      </c>
    </row>
    <row r="23057" spans="1:1" x14ac:dyDescent="0.25">
      <c r="A23057" s="74">
        <v>27849</v>
      </c>
    </row>
    <row r="23058" spans="1:1" x14ac:dyDescent="0.25">
      <c r="A23058" s="74">
        <v>27850</v>
      </c>
    </row>
    <row r="23059" spans="1:1" x14ac:dyDescent="0.25">
      <c r="A23059" s="74">
        <v>27851</v>
      </c>
    </row>
    <row r="23060" spans="1:1" x14ac:dyDescent="0.25">
      <c r="A23060" s="74">
        <v>27852</v>
      </c>
    </row>
    <row r="23061" spans="1:1" x14ac:dyDescent="0.25">
      <c r="A23061" s="74">
        <v>27853</v>
      </c>
    </row>
    <row r="23062" spans="1:1" x14ac:dyDescent="0.25">
      <c r="A23062" s="74">
        <v>27854</v>
      </c>
    </row>
    <row r="23063" spans="1:1" x14ac:dyDescent="0.25">
      <c r="A23063" s="74">
        <v>27855</v>
      </c>
    </row>
    <row r="23064" spans="1:1" x14ac:dyDescent="0.25">
      <c r="A23064" s="74">
        <v>27856</v>
      </c>
    </row>
    <row r="23065" spans="1:1" x14ac:dyDescent="0.25">
      <c r="A23065" s="74">
        <v>27857</v>
      </c>
    </row>
    <row r="23066" spans="1:1" x14ac:dyDescent="0.25">
      <c r="A23066" s="74">
        <v>27858</v>
      </c>
    </row>
    <row r="23067" spans="1:1" x14ac:dyDescent="0.25">
      <c r="A23067" s="74">
        <v>27859</v>
      </c>
    </row>
    <row r="23068" spans="1:1" x14ac:dyDescent="0.25">
      <c r="A23068" s="74">
        <v>27860</v>
      </c>
    </row>
    <row r="23069" spans="1:1" x14ac:dyDescent="0.25">
      <c r="A23069" s="74">
        <v>27861</v>
      </c>
    </row>
    <row r="23070" spans="1:1" x14ac:dyDescent="0.25">
      <c r="A23070" s="74">
        <v>27862</v>
      </c>
    </row>
    <row r="23071" spans="1:1" x14ac:dyDescent="0.25">
      <c r="A23071" s="74">
        <v>27863</v>
      </c>
    </row>
    <row r="23072" spans="1:1" x14ac:dyDescent="0.25">
      <c r="A23072" s="74">
        <v>27864</v>
      </c>
    </row>
    <row r="23073" spans="1:1" x14ac:dyDescent="0.25">
      <c r="A23073" s="74">
        <v>27865</v>
      </c>
    </row>
    <row r="23074" spans="1:1" x14ac:dyDescent="0.25">
      <c r="A23074" s="74">
        <v>27866</v>
      </c>
    </row>
    <row r="23075" spans="1:1" x14ac:dyDescent="0.25">
      <c r="A23075" s="74">
        <v>27867</v>
      </c>
    </row>
    <row r="23076" spans="1:1" x14ac:dyDescent="0.25">
      <c r="A23076" s="74">
        <v>27868</v>
      </c>
    </row>
    <row r="23077" spans="1:1" x14ac:dyDescent="0.25">
      <c r="A23077" s="74">
        <v>27869</v>
      </c>
    </row>
    <row r="23078" spans="1:1" x14ac:dyDescent="0.25">
      <c r="A23078" s="74">
        <v>27870</v>
      </c>
    </row>
    <row r="23079" spans="1:1" x14ac:dyDescent="0.25">
      <c r="A23079" s="74">
        <v>27871</v>
      </c>
    </row>
    <row r="23080" spans="1:1" x14ac:dyDescent="0.25">
      <c r="A23080" s="74">
        <v>27872</v>
      </c>
    </row>
    <row r="23081" spans="1:1" x14ac:dyDescent="0.25">
      <c r="A23081" s="74">
        <v>27873</v>
      </c>
    </row>
    <row r="23082" spans="1:1" x14ac:dyDescent="0.25">
      <c r="A23082" s="74">
        <v>27874</v>
      </c>
    </row>
    <row r="23083" spans="1:1" x14ac:dyDescent="0.25">
      <c r="A23083" s="74">
        <v>27875</v>
      </c>
    </row>
    <row r="23084" spans="1:1" x14ac:dyDescent="0.25">
      <c r="A23084" s="74">
        <v>27876</v>
      </c>
    </row>
    <row r="23085" spans="1:1" x14ac:dyDescent="0.25">
      <c r="A23085" s="74">
        <v>27877</v>
      </c>
    </row>
    <row r="23086" spans="1:1" x14ac:dyDescent="0.25">
      <c r="A23086" s="74">
        <v>27878</v>
      </c>
    </row>
    <row r="23087" spans="1:1" x14ac:dyDescent="0.25">
      <c r="A23087" s="74">
        <v>27879</v>
      </c>
    </row>
    <row r="23088" spans="1:1" x14ac:dyDescent="0.25">
      <c r="A23088" s="74">
        <v>27880</v>
      </c>
    </row>
    <row r="23089" spans="1:1" x14ac:dyDescent="0.25">
      <c r="A23089" s="74">
        <v>27881</v>
      </c>
    </row>
    <row r="23090" spans="1:1" x14ac:dyDescent="0.25">
      <c r="A23090" s="74">
        <v>27882</v>
      </c>
    </row>
    <row r="23091" spans="1:1" x14ac:dyDescent="0.25">
      <c r="A23091" s="74">
        <v>27883</v>
      </c>
    </row>
    <row r="23092" spans="1:1" x14ac:dyDescent="0.25">
      <c r="A23092" s="74">
        <v>27884</v>
      </c>
    </row>
    <row r="23093" spans="1:1" x14ac:dyDescent="0.25">
      <c r="A23093" s="74">
        <v>27885</v>
      </c>
    </row>
    <row r="23094" spans="1:1" x14ac:dyDescent="0.25">
      <c r="A23094" s="74">
        <v>27886</v>
      </c>
    </row>
    <row r="23095" spans="1:1" x14ac:dyDescent="0.25">
      <c r="A23095" s="74">
        <v>27887</v>
      </c>
    </row>
    <row r="23096" spans="1:1" x14ac:dyDescent="0.25">
      <c r="A23096" s="74">
        <v>27888</v>
      </c>
    </row>
    <row r="23097" spans="1:1" x14ac:dyDescent="0.25">
      <c r="A23097" s="74">
        <v>27889</v>
      </c>
    </row>
    <row r="23098" spans="1:1" x14ac:dyDescent="0.25">
      <c r="A23098" s="74">
        <v>27890</v>
      </c>
    </row>
    <row r="23099" spans="1:1" x14ac:dyDescent="0.25">
      <c r="A23099" s="74">
        <v>27891</v>
      </c>
    </row>
    <row r="23100" spans="1:1" x14ac:dyDescent="0.25">
      <c r="A23100" s="74">
        <v>27892</v>
      </c>
    </row>
    <row r="23101" spans="1:1" x14ac:dyDescent="0.25">
      <c r="A23101" s="74">
        <v>27893</v>
      </c>
    </row>
    <row r="23102" spans="1:1" x14ac:dyDescent="0.25">
      <c r="A23102" s="74">
        <v>27894</v>
      </c>
    </row>
    <row r="23103" spans="1:1" x14ac:dyDescent="0.25">
      <c r="A23103" s="74">
        <v>27895</v>
      </c>
    </row>
    <row r="23104" spans="1:1" x14ac:dyDescent="0.25">
      <c r="A23104" s="74">
        <v>27896</v>
      </c>
    </row>
    <row r="23105" spans="1:1" x14ac:dyDescent="0.25">
      <c r="A23105" s="74">
        <v>27897</v>
      </c>
    </row>
    <row r="23106" spans="1:1" x14ac:dyDescent="0.25">
      <c r="A23106" s="74">
        <v>27898</v>
      </c>
    </row>
    <row r="23107" spans="1:1" x14ac:dyDescent="0.25">
      <c r="A23107" s="74">
        <v>27899</v>
      </c>
    </row>
    <row r="23108" spans="1:1" x14ac:dyDescent="0.25">
      <c r="A23108" s="74">
        <v>27900</v>
      </c>
    </row>
    <row r="23109" spans="1:1" x14ac:dyDescent="0.25">
      <c r="A23109" s="74">
        <v>27901</v>
      </c>
    </row>
    <row r="23110" spans="1:1" x14ac:dyDescent="0.25">
      <c r="A23110" s="74">
        <v>27902</v>
      </c>
    </row>
    <row r="23111" spans="1:1" x14ac:dyDescent="0.25">
      <c r="A23111" s="74">
        <v>27903</v>
      </c>
    </row>
    <row r="23112" spans="1:1" x14ac:dyDescent="0.25">
      <c r="A23112" s="74">
        <v>27904</v>
      </c>
    </row>
    <row r="23113" spans="1:1" x14ac:dyDescent="0.25">
      <c r="A23113" s="74">
        <v>27905</v>
      </c>
    </row>
    <row r="23114" spans="1:1" x14ac:dyDescent="0.25">
      <c r="A23114" s="74">
        <v>27906</v>
      </c>
    </row>
    <row r="23115" spans="1:1" x14ac:dyDescent="0.25">
      <c r="A23115" s="74">
        <v>27907</v>
      </c>
    </row>
    <row r="23116" spans="1:1" x14ac:dyDescent="0.25">
      <c r="A23116" s="74">
        <v>27908</v>
      </c>
    </row>
    <row r="23117" spans="1:1" x14ac:dyDescent="0.25">
      <c r="A23117" s="74">
        <v>27909</v>
      </c>
    </row>
    <row r="23118" spans="1:1" x14ac:dyDescent="0.25">
      <c r="A23118" s="74">
        <v>27910</v>
      </c>
    </row>
    <row r="23119" spans="1:1" x14ac:dyDescent="0.25">
      <c r="A23119" s="74">
        <v>27911</v>
      </c>
    </row>
    <row r="23120" spans="1:1" x14ac:dyDescent="0.25">
      <c r="A23120" s="74">
        <v>27912</v>
      </c>
    </row>
    <row r="23121" spans="1:1" x14ac:dyDescent="0.25">
      <c r="A23121" s="74">
        <v>27913</v>
      </c>
    </row>
    <row r="23122" spans="1:1" x14ac:dyDescent="0.25">
      <c r="A23122" s="74">
        <v>27914</v>
      </c>
    </row>
    <row r="23123" spans="1:1" x14ac:dyDescent="0.25">
      <c r="A23123" s="74">
        <v>27915</v>
      </c>
    </row>
    <row r="23124" spans="1:1" x14ac:dyDescent="0.25">
      <c r="A23124" s="74">
        <v>27916</v>
      </c>
    </row>
    <row r="23125" spans="1:1" x14ac:dyDescent="0.25">
      <c r="A23125" s="74">
        <v>27917</v>
      </c>
    </row>
    <row r="23126" spans="1:1" x14ac:dyDescent="0.25">
      <c r="A23126" s="74">
        <v>27918</v>
      </c>
    </row>
    <row r="23127" spans="1:1" x14ac:dyDescent="0.25">
      <c r="A23127" s="74">
        <v>27919</v>
      </c>
    </row>
    <row r="23128" spans="1:1" x14ac:dyDescent="0.25">
      <c r="A23128" s="74">
        <v>27920</v>
      </c>
    </row>
    <row r="23129" spans="1:1" x14ac:dyDescent="0.25">
      <c r="A23129" s="74">
        <v>27921</v>
      </c>
    </row>
    <row r="23130" spans="1:1" x14ac:dyDescent="0.25">
      <c r="A23130" s="74">
        <v>27922</v>
      </c>
    </row>
    <row r="23131" spans="1:1" x14ac:dyDescent="0.25">
      <c r="A23131" s="74">
        <v>27923</v>
      </c>
    </row>
    <row r="23132" spans="1:1" x14ac:dyDescent="0.25">
      <c r="A23132" s="74">
        <v>27924</v>
      </c>
    </row>
    <row r="23133" spans="1:1" x14ac:dyDescent="0.25">
      <c r="A23133" s="74">
        <v>27925</v>
      </c>
    </row>
    <row r="23134" spans="1:1" x14ac:dyDescent="0.25">
      <c r="A23134" s="74">
        <v>27926</v>
      </c>
    </row>
    <row r="23135" spans="1:1" x14ac:dyDescent="0.25">
      <c r="A23135" s="74">
        <v>27927</v>
      </c>
    </row>
    <row r="23136" spans="1:1" x14ac:dyDescent="0.25">
      <c r="A23136" s="74">
        <v>27928</v>
      </c>
    </row>
    <row r="23137" spans="1:1" x14ac:dyDescent="0.25">
      <c r="A23137" s="74">
        <v>27929</v>
      </c>
    </row>
    <row r="23138" spans="1:1" x14ac:dyDescent="0.25">
      <c r="A23138" s="74">
        <v>27930</v>
      </c>
    </row>
    <row r="23139" spans="1:1" x14ac:dyDescent="0.25">
      <c r="A23139" s="74">
        <v>27931</v>
      </c>
    </row>
    <row r="23140" spans="1:1" x14ac:dyDescent="0.25">
      <c r="A23140" s="74">
        <v>27932</v>
      </c>
    </row>
    <row r="23141" spans="1:1" x14ac:dyDescent="0.25">
      <c r="A23141" s="74">
        <v>27933</v>
      </c>
    </row>
    <row r="23142" spans="1:1" x14ac:dyDescent="0.25">
      <c r="A23142" s="74">
        <v>27934</v>
      </c>
    </row>
    <row r="23143" spans="1:1" x14ac:dyDescent="0.25">
      <c r="A23143" s="74">
        <v>27935</v>
      </c>
    </row>
    <row r="23144" spans="1:1" x14ac:dyDescent="0.25">
      <c r="A23144" s="74">
        <v>27936</v>
      </c>
    </row>
    <row r="23145" spans="1:1" x14ac:dyDescent="0.25">
      <c r="A23145" s="74">
        <v>27937</v>
      </c>
    </row>
    <row r="23146" spans="1:1" x14ac:dyDescent="0.25">
      <c r="A23146" s="74">
        <v>27938</v>
      </c>
    </row>
    <row r="23147" spans="1:1" x14ac:dyDescent="0.25">
      <c r="A23147" s="74">
        <v>27939</v>
      </c>
    </row>
    <row r="23148" spans="1:1" x14ac:dyDescent="0.25">
      <c r="A23148" s="74">
        <v>27940</v>
      </c>
    </row>
    <row r="23149" spans="1:1" x14ac:dyDescent="0.25">
      <c r="A23149" s="74">
        <v>27941</v>
      </c>
    </row>
    <row r="23150" spans="1:1" x14ac:dyDescent="0.25">
      <c r="A23150" s="74">
        <v>27942</v>
      </c>
    </row>
    <row r="23151" spans="1:1" x14ac:dyDescent="0.25">
      <c r="A23151" s="74">
        <v>27943</v>
      </c>
    </row>
    <row r="23152" spans="1:1" x14ac:dyDescent="0.25">
      <c r="A23152" s="74">
        <v>27944</v>
      </c>
    </row>
    <row r="23153" spans="1:1" x14ac:dyDescent="0.25">
      <c r="A23153" s="74">
        <v>27945</v>
      </c>
    </row>
    <row r="23154" spans="1:1" x14ac:dyDescent="0.25">
      <c r="A23154" s="74">
        <v>27946</v>
      </c>
    </row>
    <row r="23155" spans="1:1" x14ac:dyDescent="0.25">
      <c r="A23155" s="74">
        <v>27947</v>
      </c>
    </row>
    <row r="23156" spans="1:1" x14ac:dyDescent="0.25">
      <c r="A23156" s="74">
        <v>27948</v>
      </c>
    </row>
    <row r="23157" spans="1:1" x14ac:dyDescent="0.25">
      <c r="A23157" s="74">
        <v>27949</v>
      </c>
    </row>
    <row r="23158" spans="1:1" x14ac:dyDescent="0.25">
      <c r="A23158" s="74">
        <v>27950</v>
      </c>
    </row>
    <row r="23159" spans="1:1" x14ac:dyDescent="0.25">
      <c r="A23159" s="74">
        <v>27951</v>
      </c>
    </row>
    <row r="23160" spans="1:1" x14ac:dyDescent="0.25">
      <c r="A23160" s="74">
        <v>27952</v>
      </c>
    </row>
    <row r="23161" spans="1:1" x14ac:dyDescent="0.25">
      <c r="A23161" s="74">
        <v>27953</v>
      </c>
    </row>
    <row r="23162" spans="1:1" x14ac:dyDescent="0.25">
      <c r="A23162" s="74">
        <v>27954</v>
      </c>
    </row>
    <row r="23163" spans="1:1" x14ac:dyDescent="0.25">
      <c r="A23163" s="74">
        <v>27955</v>
      </c>
    </row>
    <row r="23164" spans="1:1" x14ac:dyDescent="0.25">
      <c r="A23164" s="74">
        <v>27956</v>
      </c>
    </row>
    <row r="23165" spans="1:1" x14ac:dyDescent="0.25">
      <c r="A23165" s="74">
        <v>27957</v>
      </c>
    </row>
    <row r="23166" spans="1:1" x14ac:dyDescent="0.25">
      <c r="A23166" s="74">
        <v>27958</v>
      </c>
    </row>
    <row r="23167" spans="1:1" x14ac:dyDescent="0.25">
      <c r="A23167" s="74">
        <v>27959</v>
      </c>
    </row>
    <row r="23168" spans="1:1" x14ac:dyDescent="0.25">
      <c r="A23168" s="74">
        <v>27960</v>
      </c>
    </row>
    <row r="23169" spans="1:1" x14ac:dyDescent="0.25">
      <c r="A23169" s="74">
        <v>27961</v>
      </c>
    </row>
    <row r="23170" spans="1:1" x14ac:dyDescent="0.25">
      <c r="A23170" s="74">
        <v>27962</v>
      </c>
    </row>
    <row r="23171" spans="1:1" x14ac:dyDescent="0.25">
      <c r="A23171" s="74">
        <v>27963</v>
      </c>
    </row>
    <row r="23172" spans="1:1" x14ac:dyDescent="0.25">
      <c r="A23172" s="74">
        <v>27964</v>
      </c>
    </row>
    <row r="23173" spans="1:1" x14ac:dyDescent="0.25">
      <c r="A23173" s="74">
        <v>27965</v>
      </c>
    </row>
    <row r="23174" spans="1:1" x14ac:dyDescent="0.25">
      <c r="A23174" s="74">
        <v>27966</v>
      </c>
    </row>
    <row r="23175" spans="1:1" x14ac:dyDescent="0.25">
      <c r="A23175" s="74">
        <v>27967</v>
      </c>
    </row>
    <row r="23176" spans="1:1" x14ac:dyDescent="0.25">
      <c r="A23176" s="74">
        <v>27968</v>
      </c>
    </row>
    <row r="23177" spans="1:1" x14ac:dyDescent="0.25">
      <c r="A23177" s="74">
        <v>27969</v>
      </c>
    </row>
    <row r="23178" spans="1:1" x14ac:dyDescent="0.25">
      <c r="A23178" s="74">
        <v>27970</v>
      </c>
    </row>
    <row r="23179" spans="1:1" x14ac:dyDescent="0.25">
      <c r="A23179" s="74">
        <v>27971</v>
      </c>
    </row>
    <row r="23180" spans="1:1" x14ac:dyDescent="0.25">
      <c r="A23180" s="74">
        <v>27972</v>
      </c>
    </row>
    <row r="23181" spans="1:1" x14ac:dyDescent="0.25">
      <c r="A23181" s="74">
        <v>27973</v>
      </c>
    </row>
    <row r="23182" spans="1:1" x14ac:dyDescent="0.25">
      <c r="A23182" s="74">
        <v>27974</v>
      </c>
    </row>
    <row r="23183" spans="1:1" x14ac:dyDescent="0.25">
      <c r="A23183" s="74">
        <v>27975</v>
      </c>
    </row>
    <row r="23184" spans="1:1" x14ac:dyDescent="0.25">
      <c r="A23184" s="74">
        <v>27976</v>
      </c>
    </row>
    <row r="23185" spans="1:1" x14ac:dyDescent="0.25">
      <c r="A23185" s="74">
        <v>27977</v>
      </c>
    </row>
    <row r="23186" spans="1:1" x14ac:dyDescent="0.25">
      <c r="A23186" s="74">
        <v>27978</v>
      </c>
    </row>
    <row r="23187" spans="1:1" x14ac:dyDescent="0.25">
      <c r="A23187" s="74">
        <v>27979</v>
      </c>
    </row>
    <row r="23188" spans="1:1" x14ac:dyDescent="0.25">
      <c r="A23188" s="74">
        <v>27980</v>
      </c>
    </row>
    <row r="23189" spans="1:1" x14ac:dyDescent="0.25">
      <c r="A23189" s="74">
        <v>27981</v>
      </c>
    </row>
    <row r="23190" spans="1:1" x14ac:dyDescent="0.25">
      <c r="A23190" s="74">
        <v>27982</v>
      </c>
    </row>
    <row r="23191" spans="1:1" x14ac:dyDescent="0.25">
      <c r="A23191" s="74">
        <v>27983</v>
      </c>
    </row>
    <row r="23192" spans="1:1" x14ac:dyDescent="0.25">
      <c r="A23192" s="74">
        <v>27984</v>
      </c>
    </row>
    <row r="23193" spans="1:1" x14ac:dyDescent="0.25">
      <c r="A23193" s="74">
        <v>27985</v>
      </c>
    </row>
    <row r="23194" spans="1:1" x14ac:dyDescent="0.25">
      <c r="A23194" s="74">
        <v>27986</v>
      </c>
    </row>
    <row r="23195" spans="1:1" x14ac:dyDescent="0.25">
      <c r="A23195" s="74">
        <v>27987</v>
      </c>
    </row>
    <row r="23196" spans="1:1" x14ac:dyDescent="0.25">
      <c r="A23196" s="74">
        <v>27988</v>
      </c>
    </row>
    <row r="23197" spans="1:1" x14ac:dyDescent="0.25">
      <c r="A23197" s="74">
        <v>27989</v>
      </c>
    </row>
    <row r="23198" spans="1:1" x14ac:dyDescent="0.25">
      <c r="A23198" s="74">
        <v>27990</v>
      </c>
    </row>
    <row r="23199" spans="1:1" x14ac:dyDescent="0.25">
      <c r="A23199" s="74">
        <v>27991</v>
      </c>
    </row>
    <row r="23200" spans="1:1" x14ac:dyDescent="0.25">
      <c r="A23200" s="74">
        <v>27992</v>
      </c>
    </row>
    <row r="23201" spans="1:1" x14ac:dyDescent="0.25">
      <c r="A23201" s="74">
        <v>27993</v>
      </c>
    </row>
    <row r="23202" spans="1:1" x14ac:dyDescent="0.25">
      <c r="A23202" s="74">
        <v>27994</v>
      </c>
    </row>
    <row r="23203" spans="1:1" x14ac:dyDescent="0.25">
      <c r="A23203" s="74">
        <v>27995</v>
      </c>
    </row>
    <row r="23204" spans="1:1" x14ac:dyDescent="0.25">
      <c r="A23204" s="74">
        <v>27996</v>
      </c>
    </row>
    <row r="23205" spans="1:1" x14ac:dyDescent="0.25">
      <c r="A23205" s="74">
        <v>27997</v>
      </c>
    </row>
    <row r="23206" spans="1:1" x14ac:dyDescent="0.25">
      <c r="A23206" s="74">
        <v>27998</v>
      </c>
    </row>
    <row r="23207" spans="1:1" x14ac:dyDescent="0.25">
      <c r="A23207" s="74">
        <v>27999</v>
      </c>
    </row>
    <row r="23208" spans="1:1" x14ac:dyDescent="0.25">
      <c r="A23208" s="74">
        <v>28000</v>
      </c>
    </row>
    <row r="23209" spans="1:1" x14ac:dyDescent="0.25">
      <c r="A23209" s="74">
        <v>28001</v>
      </c>
    </row>
    <row r="23210" spans="1:1" x14ac:dyDescent="0.25">
      <c r="A23210" s="74">
        <v>28002</v>
      </c>
    </row>
    <row r="23211" spans="1:1" x14ac:dyDescent="0.25">
      <c r="A23211" s="74">
        <v>28003</v>
      </c>
    </row>
    <row r="23212" spans="1:1" x14ac:dyDescent="0.25">
      <c r="A23212" s="74">
        <v>28004</v>
      </c>
    </row>
    <row r="23213" spans="1:1" x14ac:dyDescent="0.25">
      <c r="A23213" s="74">
        <v>28005</v>
      </c>
    </row>
    <row r="23214" spans="1:1" x14ac:dyDescent="0.25">
      <c r="A23214" s="74">
        <v>28006</v>
      </c>
    </row>
    <row r="23215" spans="1:1" x14ac:dyDescent="0.25">
      <c r="A23215" s="74">
        <v>28007</v>
      </c>
    </row>
    <row r="23216" spans="1:1" x14ac:dyDescent="0.25">
      <c r="A23216" s="74">
        <v>28008</v>
      </c>
    </row>
    <row r="23217" spans="1:1" x14ac:dyDescent="0.25">
      <c r="A23217" s="74">
        <v>28009</v>
      </c>
    </row>
    <row r="23218" spans="1:1" x14ac:dyDescent="0.25">
      <c r="A23218" s="74">
        <v>28010</v>
      </c>
    </row>
    <row r="23219" spans="1:1" x14ac:dyDescent="0.25">
      <c r="A23219" s="74">
        <v>28011</v>
      </c>
    </row>
    <row r="23220" spans="1:1" x14ac:dyDescent="0.25">
      <c r="A23220" s="74">
        <v>28012</v>
      </c>
    </row>
    <row r="23221" spans="1:1" x14ac:dyDescent="0.25">
      <c r="A23221" s="74">
        <v>28013</v>
      </c>
    </row>
    <row r="23222" spans="1:1" x14ac:dyDescent="0.25">
      <c r="A23222" s="74">
        <v>28014</v>
      </c>
    </row>
    <row r="23223" spans="1:1" x14ac:dyDescent="0.25">
      <c r="A23223" s="74">
        <v>28015</v>
      </c>
    </row>
    <row r="23224" spans="1:1" x14ac:dyDescent="0.25">
      <c r="A23224" s="74">
        <v>28016</v>
      </c>
    </row>
    <row r="23225" spans="1:1" x14ac:dyDescent="0.25">
      <c r="A23225" s="74">
        <v>28017</v>
      </c>
    </row>
    <row r="23226" spans="1:1" x14ac:dyDescent="0.25">
      <c r="A23226" s="74">
        <v>28018</v>
      </c>
    </row>
    <row r="23227" spans="1:1" x14ac:dyDescent="0.25">
      <c r="A23227" s="74">
        <v>28019</v>
      </c>
    </row>
    <row r="23228" spans="1:1" x14ac:dyDescent="0.25">
      <c r="A23228" s="74">
        <v>28020</v>
      </c>
    </row>
    <row r="23229" spans="1:1" x14ac:dyDescent="0.25">
      <c r="A23229" s="74">
        <v>28021</v>
      </c>
    </row>
    <row r="23230" spans="1:1" x14ac:dyDescent="0.25">
      <c r="A23230" s="74">
        <v>28022</v>
      </c>
    </row>
    <row r="23231" spans="1:1" x14ac:dyDescent="0.25">
      <c r="A23231" s="74">
        <v>28023</v>
      </c>
    </row>
    <row r="23232" spans="1:1" x14ac:dyDescent="0.25">
      <c r="A23232" s="74">
        <v>28024</v>
      </c>
    </row>
    <row r="23233" spans="1:1" x14ac:dyDescent="0.25">
      <c r="A23233" s="74">
        <v>28025</v>
      </c>
    </row>
    <row r="23234" spans="1:1" x14ac:dyDescent="0.25">
      <c r="A23234" s="74">
        <v>28026</v>
      </c>
    </row>
    <row r="23235" spans="1:1" x14ac:dyDescent="0.25">
      <c r="A23235" s="74">
        <v>28027</v>
      </c>
    </row>
    <row r="23236" spans="1:1" x14ac:dyDescent="0.25">
      <c r="A23236" s="74">
        <v>28028</v>
      </c>
    </row>
    <row r="23237" spans="1:1" x14ac:dyDescent="0.25">
      <c r="A23237" s="74">
        <v>28029</v>
      </c>
    </row>
    <row r="23238" spans="1:1" x14ac:dyDescent="0.25">
      <c r="A23238" s="74">
        <v>28030</v>
      </c>
    </row>
    <row r="23239" spans="1:1" x14ac:dyDescent="0.25">
      <c r="A23239" s="74">
        <v>28031</v>
      </c>
    </row>
    <row r="23240" spans="1:1" x14ac:dyDescent="0.25">
      <c r="A23240" s="74">
        <v>28032</v>
      </c>
    </row>
    <row r="23241" spans="1:1" x14ac:dyDescent="0.25">
      <c r="A23241" s="74">
        <v>28033</v>
      </c>
    </row>
    <row r="23242" spans="1:1" x14ac:dyDescent="0.25">
      <c r="A23242" s="74">
        <v>28034</v>
      </c>
    </row>
    <row r="23243" spans="1:1" x14ac:dyDescent="0.25">
      <c r="A23243" s="74">
        <v>28035</v>
      </c>
    </row>
    <row r="23244" spans="1:1" x14ac:dyDescent="0.25">
      <c r="A23244" s="74">
        <v>28036</v>
      </c>
    </row>
    <row r="23245" spans="1:1" x14ac:dyDescent="0.25">
      <c r="A23245" s="74">
        <v>28037</v>
      </c>
    </row>
    <row r="23246" spans="1:1" x14ac:dyDescent="0.25">
      <c r="A23246" s="74">
        <v>28038</v>
      </c>
    </row>
    <row r="23247" spans="1:1" x14ac:dyDescent="0.25">
      <c r="A23247" s="74">
        <v>28039</v>
      </c>
    </row>
    <row r="23248" spans="1:1" x14ac:dyDescent="0.25">
      <c r="A23248" s="74">
        <v>28040</v>
      </c>
    </row>
    <row r="23249" spans="1:1" x14ac:dyDescent="0.25">
      <c r="A23249" s="74">
        <v>28041</v>
      </c>
    </row>
    <row r="23250" spans="1:1" x14ac:dyDescent="0.25">
      <c r="A23250" s="74">
        <v>28042</v>
      </c>
    </row>
    <row r="23251" spans="1:1" x14ac:dyDescent="0.25">
      <c r="A23251" s="74">
        <v>28043</v>
      </c>
    </row>
    <row r="23252" spans="1:1" x14ac:dyDescent="0.25">
      <c r="A23252" s="74">
        <v>28044</v>
      </c>
    </row>
    <row r="23253" spans="1:1" x14ac:dyDescent="0.25">
      <c r="A23253" s="74">
        <v>28045</v>
      </c>
    </row>
    <row r="23254" spans="1:1" x14ac:dyDescent="0.25">
      <c r="A23254" s="74">
        <v>28046</v>
      </c>
    </row>
    <row r="23255" spans="1:1" x14ac:dyDescent="0.25">
      <c r="A23255" s="74">
        <v>28047</v>
      </c>
    </row>
    <row r="23256" spans="1:1" x14ac:dyDescent="0.25">
      <c r="A23256" s="74">
        <v>28048</v>
      </c>
    </row>
    <row r="23257" spans="1:1" x14ac:dyDescent="0.25">
      <c r="A23257" s="74">
        <v>28049</v>
      </c>
    </row>
    <row r="23258" spans="1:1" x14ac:dyDescent="0.25">
      <c r="A23258" s="74">
        <v>28050</v>
      </c>
    </row>
    <row r="23259" spans="1:1" x14ac:dyDescent="0.25">
      <c r="A23259" s="74">
        <v>28051</v>
      </c>
    </row>
    <row r="23260" spans="1:1" x14ac:dyDescent="0.25">
      <c r="A23260" s="74">
        <v>28052</v>
      </c>
    </row>
    <row r="23261" spans="1:1" x14ac:dyDescent="0.25">
      <c r="A23261" s="74">
        <v>28053</v>
      </c>
    </row>
    <row r="23262" spans="1:1" x14ac:dyDescent="0.25">
      <c r="A23262" s="74">
        <v>28054</v>
      </c>
    </row>
    <row r="23263" spans="1:1" x14ac:dyDescent="0.25">
      <c r="A23263" s="74">
        <v>28055</v>
      </c>
    </row>
    <row r="23264" spans="1:1" x14ac:dyDescent="0.25">
      <c r="A23264" s="74">
        <v>28056</v>
      </c>
    </row>
    <row r="23265" spans="1:1" x14ac:dyDescent="0.25">
      <c r="A23265" s="74">
        <v>28057</v>
      </c>
    </row>
    <row r="23266" spans="1:1" x14ac:dyDescent="0.25">
      <c r="A23266" s="74">
        <v>28058</v>
      </c>
    </row>
    <row r="23267" spans="1:1" x14ac:dyDescent="0.25">
      <c r="A23267" s="74">
        <v>28059</v>
      </c>
    </row>
    <row r="23268" spans="1:1" x14ac:dyDescent="0.25">
      <c r="A23268" s="74">
        <v>28060</v>
      </c>
    </row>
    <row r="23269" spans="1:1" x14ac:dyDescent="0.25">
      <c r="A23269" s="74">
        <v>28061</v>
      </c>
    </row>
    <row r="23270" spans="1:1" x14ac:dyDescent="0.25">
      <c r="A23270" s="74">
        <v>28062</v>
      </c>
    </row>
    <row r="23271" spans="1:1" x14ac:dyDescent="0.25">
      <c r="A23271" s="74">
        <v>28063</v>
      </c>
    </row>
    <row r="23272" spans="1:1" x14ac:dyDescent="0.25">
      <c r="A23272" s="74">
        <v>28064</v>
      </c>
    </row>
    <row r="23273" spans="1:1" x14ac:dyDescent="0.25">
      <c r="A23273" s="74">
        <v>28065</v>
      </c>
    </row>
    <row r="23274" spans="1:1" x14ac:dyDescent="0.25">
      <c r="A23274" s="74">
        <v>28066</v>
      </c>
    </row>
    <row r="23275" spans="1:1" x14ac:dyDescent="0.25">
      <c r="A23275" s="74">
        <v>28067</v>
      </c>
    </row>
    <row r="23276" spans="1:1" x14ac:dyDescent="0.25">
      <c r="A23276" s="74">
        <v>28068</v>
      </c>
    </row>
    <row r="23277" spans="1:1" x14ac:dyDescent="0.25">
      <c r="A23277" s="74">
        <v>28069</v>
      </c>
    </row>
    <row r="23278" spans="1:1" x14ac:dyDescent="0.25">
      <c r="A23278" s="74">
        <v>28070</v>
      </c>
    </row>
    <row r="23279" spans="1:1" x14ac:dyDescent="0.25">
      <c r="A23279" s="74">
        <v>28071</v>
      </c>
    </row>
    <row r="23280" spans="1:1" x14ac:dyDescent="0.25">
      <c r="A23280" s="74">
        <v>28072</v>
      </c>
    </row>
    <row r="23281" spans="1:1" x14ac:dyDescent="0.25">
      <c r="A23281" s="74">
        <v>28073</v>
      </c>
    </row>
    <row r="23282" spans="1:1" x14ac:dyDescent="0.25">
      <c r="A23282" s="74">
        <v>28074</v>
      </c>
    </row>
    <row r="23283" spans="1:1" x14ac:dyDescent="0.25">
      <c r="A23283" s="74">
        <v>28075</v>
      </c>
    </row>
    <row r="23284" spans="1:1" x14ac:dyDescent="0.25">
      <c r="A23284" s="74">
        <v>28076</v>
      </c>
    </row>
    <row r="23285" spans="1:1" x14ac:dyDescent="0.25">
      <c r="A23285" s="74">
        <v>28077</v>
      </c>
    </row>
    <row r="23286" spans="1:1" x14ac:dyDescent="0.25">
      <c r="A23286" s="74">
        <v>28078</v>
      </c>
    </row>
    <row r="23287" spans="1:1" x14ac:dyDescent="0.25">
      <c r="A23287" s="74">
        <v>28079</v>
      </c>
    </row>
    <row r="23288" spans="1:1" x14ac:dyDescent="0.25">
      <c r="A23288" s="74">
        <v>28080</v>
      </c>
    </row>
    <row r="23289" spans="1:1" x14ac:dyDescent="0.25">
      <c r="A23289" s="74">
        <v>28081</v>
      </c>
    </row>
    <row r="23290" spans="1:1" x14ac:dyDescent="0.25">
      <c r="A23290" s="74">
        <v>28082</v>
      </c>
    </row>
    <row r="23291" spans="1:1" x14ac:dyDescent="0.25">
      <c r="A23291" s="74">
        <v>28083</v>
      </c>
    </row>
    <row r="23292" spans="1:1" x14ac:dyDescent="0.25">
      <c r="A23292" s="74">
        <v>28084</v>
      </c>
    </row>
    <row r="23293" spans="1:1" x14ac:dyDescent="0.25">
      <c r="A23293" s="74">
        <v>28085</v>
      </c>
    </row>
    <row r="23294" spans="1:1" x14ac:dyDescent="0.25">
      <c r="A23294" s="74">
        <v>28086</v>
      </c>
    </row>
    <row r="23295" spans="1:1" x14ac:dyDescent="0.25">
      <c r="A23295" s="74">
        <v>28087</v>
      </c>
    </row>
    <row r="23296" spans="1:1" x14ac:dyDescent="0.25">
      <c r="A23296" s="74">
        <v>28088</v>
      </c>
    </row>
    <row r="23297" spans="1:1" x14ac:dyDescent="0.25">
      <c r="A23297" s="74">
        <v>28089</v>
      </c>
    </row>
    <row r="23298" spans="1:1" x14ac:dyDescent="0.25">
      <c r="A23298" s="74">
        <v>28090</v>
      </c>
    </row>
    <row r="23299" spans="1:1" x14ac:dyDescent="0.25">
      <c r="A23299" s="74">
        <v>28091</v>
      </c>
    </row>
    <row r="23300" spans="1:1" x14ac:dyDescent="0.25">
      <c r="A23300" s="74">
        <v>28092</v>
      </c>
    </row>
    <row r="23301" spans="1:1" x14ac:dyDescent="0.25">
      <c r="A23301" s="74">
        <v>28093</v>
      </c>
    </row>
    <row r="23302" spans="1:1" x14ac:dyDescent="0.25">
      <c r="A23302" s="74">
        <v>28094</v>
      </c>
    </row>
    <row r="23303" spans="1:1" x14ac:dyDescent="0.25">
      <c r="A23303" s="74">
        <v>28095</v>
      </c>
    </row>
    <row r="23304" spans="1:1" x14ac:dyDescent="0.25">
      <c r="A23304" s="74">
        <v>28096</v>
      </c>
    </row>
    <row r="23305" spans="1:1" x14ac:dyDescent="0.25">
      <c r="A23305" s="74">
        <v>28097</v>
      </c>
    </row>
    <row r="23306" spans="1:1" x14ac:dyDescent="0.25">
      <c r="A23306" s="74">
        <v>28098</v>
      </c>
    </row>
    <row r="23307" spans="1:1" x14ac:dyDescent="0.25">
      <c r="A23307" s="74">
        <v>28099</v>
      </c>
    </row>
    <row r="23308" spans="1:1" x14ac:dyDescent="0.25">
      <c r="A23308" s="74">
        <v>28100</v>
      </c>
    </row>
    <row r="23309" spans="1:1" x14ac:dyDescent="0.25">
      <c r="A23309" s="74">
        <v>28101</v>
      </c>
    </row>
    <row r="23310" spans="1:1" x14ac:dyDescent="0.25">
      <c r="A23310" s="74">
        <v>28102</v>
      </c>
    </row>
    <row r="23311" spans="1:1" x14ac:dyDescent="0.25">
      <c r="A23311" s="74">
        <v>28103</v>
      </c>
    </row>
    <row r="23312" spans="1:1" x14ac:dyDescent="0.25">
      <c r="A23312" s="74">
        <v>28104</v>
      </c>
    </row>
    <row r="23313" spans="1:1" x14ac:dyDescent="0.25">
      <c r="A23313" s="74">
        <v>28105</v>
      </c>
    </row>
    <row r="23314" spans="1:1" x14ac:dyDescent="0.25">
      <c r="A23314" s="74">
        <v>28106</v>
      </c>
    </row>
    <row r="23315" spans="1:1" x14ac:dyDescent="0.25">
      <c r="A23315" s="74">
        <v>28107</v>
      </c>
    </row>
    <row r="23316" spans="1:1" x14ac:dyDescent="0.25">
      <c r="A23316" s="74">
        <v>28108</v>
      </c>
    </row>
    <row r="23317" spans="1:1" x14ac:dyDescent="0.25">
      <c r="A23317" s="74">
        <v>28109</v>
      </c>
    </row>
    <row r="23318" spans="1:1" x14ac:dyDescent="0.25">
      <c r="A23318" s="74">
        <v>28110</v>
      </c>
    </row>
    <row r="23319" spans="1:1" x14ac:dyDescent="0.25">
      <c r="A23319" s="74">
        <v>28111</v>
      </c>
    </row>
    <row r="23320" spans="1:1" x14ac:dyDescent="0.25">
      <c r="A23320" s="74">
        <v>28112</v>
      </c>
    </row>
    <row r="23321" spans="1:1" x14ac:dyDescent="0.25">
      <c r="A23321" s="74">
        <v>28113</v>
      </c>
    </row>
    <row r="23322" spans="1:1" x14ac:dyDescent="0.25">
      <c r="A23322" s="74">
        <v>28114</v>
      </c>
    </row>
    <row r="23323" spans="1:1" x14ac:dyDescent="0.25">
      <c r="A23323" s="74">
        <v>28115</v>
      </c>
    </row>
    <row r="23324" spans="1:1" x14ac:dyDescent="0.25">
      <c r="A23324" s="74">
        <v>28116</v>
      </c>
    </row>
    <row r="23325" spans="1:1" x14ac:dyDescent="0.25">
      <c r="A23325" s="74">
        <v>28117</v>
      </c>
    </row>
    <row r="23326" spans="1:1" x14ac:dyDescent="0.25">
      <c r="A23326" s="74">
        <v>28118</v>
      </c>
    </row>
    <row r="23327" spans="1:1" x14ac:dyDescent="0.25">
      <c r="A23327" s="74">
        <v>28119</v>
      </c>
    </row>
    <row r="23328" spans="1:1" x14ac:dyDescent="0.25">
      <c r="A23328" s="74">
        <v>28120</v>
      </c>
    </row>
    <row r="23329" spans="1:1" x14ac:dyDescent="0.25">
      <c r="A23329" s="74">
        <v>28121</v>
      </c>
    </row>
    <row r="23330" spans="1:1" x14ac:dyDescent="0.25">
      <c r="A23330" s="74">
        <v>28122</v>
      </c>
    </row>
    <row r="23331" spans="1:1" x14ac:dyDescent="0.25">
      <c r="A23331" s="74">
        <v>28123</v>
      </c>
    </row>
    <row r="23332" spans="1:1" x14ac:dyDescent="0.25">
      <c r="A23332" s="74">
        <v>28124</v>
      </c>
    </row>
    <row r="23333" spans="1:1" x14ac:dyDescent="0.25">
      <c r="A23333" s="74">
        <v>28125</v>
      </c>
    </row>
    <row r="23334" spans="1:1" x14ac:dyDescent="0.25">
      <c r="A23334" s="74">
        <v>28126</v>
      </c>
    </row>
    <row r="23335" spans="1:1" x14ac:dyDescent="0.25">
      <c r="A23335" s="74">
        <v>28127</v>
      </c>
    </row>
    <row r="23336" spans="1:1" x14ac:dyDescent="0.25">
      <c r="A23336" s="74">
        <v>28128</v>
      </c>
    </row>
    <row r="23337" spans="1:1" x14ac:dyDescent="0.25">
      <c r="A23337" s="74">
        <v>28129</v>
      </c>
    </row>
    <row r="23338" spans="1:1" x14ac:dyDescent="0.25">
      <c r="A23338" s="74">
        <v>28130</v>
      </c>
    </row>
    <row r="23339" spans="1:1" x14ac:dyDescent="0.25">
      <c r="A23339" s="74">
        <v>28131</v>
      </c>
    </row>
    <row r="23340" spans="1:1" x14ac:dyDescent="0.25">
      <c r="A23340" s="74">
        <v>28132</v>
      </c>
    </row>
    <row r="23341" spans="1:1" x14ac:dyDescent="0.25">
      <c r="A23341" s="74">
        <v>28133</v>
      </c>
    </row>
    <row r="23342" spans="1:1" x14ac:dyDescent="0.25">
      <c r="A23342" s="74">
        <v>28134</v>
      </c>
    </row>
    <row r="23343" spans="1:1" x14ac:dyDescent="0.25">
      <c r="A23343" s="74">
        <v>28135</v>
      </c>
    </row>
    <row r="23344" spans="1:1" x14ac:dyDescent="0.25">
      <c r="A23344" s="74">
        <v>28136</v>
      </c>
    </row>
    <row r="23345" spans="1:1" x14ac:dyDescent="0.25">
      <c r="A23345" s="74">
        <v>28137</v>
      </c>
    </row>
    <row r="23346" spans="1:1" x14ac:dyDescent="0.25">
      <c r="A23346" s="74">
        <v>28138</v>
      </c>
    </row>
    <row r="23347" spans="1:1" x14ac:dyDescent="0.25">
      <c r="A23347" s="74">
        <v>28139</v>
      </c>
    </row>
    <row r="23348" spans="1:1" x14ac:dyDescent="0.25">
      <c r="A23348" s="74">
        <v>28140</v>
      </c>
    </row>
    <row r="23349" spans="1:1" x14ac:dyDescent="0.25">
      <c r="A23349" s="74">
        <v>28141</v>
      </c>
    </row>
    <row r="23350" spans="1:1" x14ac:dyDescent="0.25">
      <c r="A23350" s="74">
        <v>28142</v>
      </c>
    </row>
    <row r="23351" spans="1:1" x14ac:dyDescent="0.25">
      <c r="A23351" s="74">
        <v>28143</v>
      </c>
    </row>
    <row r="23352" spans="1:1" x14ac:dyDescent="0.25">
      <c r="A23352" s="74">
        <v>28144</v>
      </c>
    </row>
    <row r="23353" spans="1:1" x14ac:dyDescent="0.25">
      <c r="A23353" s="74">
        <v>28145</v>
      </c>
    </row>
    <row r="23354" spans="1:1" x14ac:dyDescent="0.25">
      <c r="A23354" s="74">
        <v>28146</v>
      </c>
    </row>
    <row r="23355" spans="1:1" x14ac:dyDescent="0.25">
      <c r="A23355" s="74">
        <v>28147</v>
      </c>
    </row>
    <row r="23356" spans="1:1" x14ac:dyDescent="0.25">
      <c r="A23356" s="74">
        <v>28148</v>
      </c>
    </row>
    <row r="23357" spans="1:1" x14ac:dyDescent="0.25">
      <c r="A23357" s="74">
        <v>28149</v>
      </c>
    </row>
    <row r="23358" spans="1:1" x14ac:dyDescent="0.25">
      <c r="A23358" s="74">
        <v>28150</v>
      </c>
    </row>
    <row r="23359" spans="1:1" x14ac:dyDescent="0.25">
      <c r="A23359" s="74">
        <v>28151</v>
      </c>
    </row>
    <row r="23360" spans="1:1" x14ac:dyDescent="0.25">
      <c r="A23360" s="74">
        <v>28152</v>
      </c>
    </row>
    <row r="23361" spans="1:1" x14ac:dyDescent="0.25">
      <c r="A23361" s="74">
        <v>28153</v>
      </c>
    </row>
    <row r="23362" spans="1:1" x14ac:dyDescent="0.25">
      <c r="A23362" s="74">
        <v>28154</v>
      </c>
    </row>
    <row r="23363" spans="1:1" x14ac:dyDescent="0.25">
      <c r="A23363" s="74">
        <v>28155</v>
      </c>
    </row>
    <row r="23364" spans="1:1" x14ac:dyDescent="0.25">
      <c r="A23364" s="74">
        <v>28156</v>
      </c>
    </row>
    <row r="23365" spans="1:1" x14ac:dyDescent="0.25">
      <c r="A23365" s="74">
        <v>28157</v>
      </c>
    </row>
    <row r="23366" spans="1:1" x14ac:dyDescent="0.25">
      <c r="A23366" s="74">
        <v>28158</v>
      </c>
    </row>
    <row r="23367" spans="1:1" x14ac:dyDescent="0.25">
      <c r="A23367" s="74">
        <v>28159</v>
      </c>
    </row>
    <row r="23368" spans="1:1" x14ac:dyDescent="0.25">
      <c r="A23368" s="74">
        <v>28160</v>
      </c>
    </row>
    <row r="23369" spans="1:1" x14ac:dyDescent="0.25">
      <c r="A23369" s="74">
        <v>28161</v>
      </c>
    </row>
    <row r="23370" spans="1:1" x14ac:dyDescent="0.25">
      <c r="A23370" s="74">
        <v>28162</v>
      </c>
    </row>
    <row r="23371" spans="1:1" x14ac:dyDescent="0.25">
      <c r="A23371" s="74">
        <v>28163</v>
      </c>
    </row>
    <row r="23372" spans="1:1" x14ac:dyDescent="0.25">
      <c r="A23372" s="74">
        <v>28164</v>
      </c>
    </row>
    <row r="23373" spans="1:1" x14ac:dyDescent="0.25">
      <c r="A23373" s="74">
        <v>28165</v>
      </c>
    </row>
    <row r="23374" spans="1:1" x14ac:dyDescent="0.25">
      <c r="A23374" s="74">
        <v>28166</v>
      </c>
    </row>
    <row r="23375" spans="1:1" x14ac:dyDescent="0.25">
      <c r="A23375" s="74">
        <v>28167</v>
      </c>
    </row>
    <row r="23376" spans="1:1" x14ac:dyDescent="0.25">
      <c r="A23376" s="74">
        <v>28168</v>
      </c>
    </row>
    <row r="23377" spans="1:1" x14ac:dyDescent="0.25">
      <c r="A23377" s="74">
        <v>28169</v>
      </c>
    </row>
    <row r="23378" spans="1:1" x14ac:dyDescent="0.25">
      <c r="A23378" s="74">
        <v>28170</v>
      </c>
    </row>
    <row r="23379" spans="1:1" x14ac:dyDescent="0.25">
      <c r="A23379" s="74">
        <v>28171</v>
      </c>
    </row>
    <row r="23380" spans="1:1" x14ac:dyDescent="0.25">
      <c r="A23380" s="74">
        <v>28172</v>
      </c>
    </row>
    <row r="23381" spans="1:1" x14ac:dyDescent="0.25">
      <c r="A23381" s="74">
        <v>28173</v>
      </c>
    </row>
    <row r="23382" spans="1:1" x14ac:dyDescent="0.25">
      <c r="A23382" s="74">
        <v>28174</v>
      </c>
    </row>
    <row r="23383" spans="1:1" x14ac:dyDescent="0.25">
      <c r="A23383" s="74">
        <v>28175</v>
      </c>
    </row>
    <row r="23384" spans="1:1" x14ac:dyDescent="0.25">
      <c r="A23384" s="74">
        <v>28176</v>
      </c>
    </row>
    <row r="23385" spans="1:1" x14ac:dyDescent="0.25">
      <c r="A23385" s="74">
        <v>28177</v>
      </c>
    </row>
    <row r="23386" spans="1:1" x14ac:dyDescent="0.25">
      <c r="A23386" s="74">
        <v>28178</v>
      </c>
    </row>
    <row r="23387" spans="1:1" x14ac:dyDescent="0.25">
      <c r="A23387" s="74">
        <v>28179</v>
      </c>
    </row>
    <row r="23388" spans="1:1" x14ac:dyDescent="0.25">
      <c r="A23388" s="74">
        <v>28180</v>
      </c>
    </row>
    <row r="23389" spans="1:1" x14ac:dyDescent="0.25">
      <c r="A23389" s="74">
        <v>28181</v>
      </c>
    </row>
    <row r="23390" spans="1:1" x14ac:dyDescent="0.25">
      <c r="A23390" s="74">
        <v>28182</v>
      </c>
    </row>
    <row r="23391" spans="1:1" x14ac:dyDescent="0.25">
      <c r="A23391" s="74">
        <v>28183</v>
      </c>
    </row>
    <row r="23392" spans="1:1" x14ac:dyDescent="0.25">
      <c r="A23392" s="74">
        <v>28184</v>
      </c>
    </row>
    <row r="23393" spans="1:1" x14ac:dyDescent="0.25">
      <c r="A23393" s="74">
        <v>28185</v>
      </c>
    </row>
    <row r="23394" spans="1:1" x14ac:dyDescent="0.25">
      <c r="A23394" s="74">
        <v>28186</v>
      </c>
    </row>
    <row r="23395" spans="1:1" x14ac:dyDescent="0.25">
      <c r="A23395" s="74">
        <v>28187</v>
      </c>
    </row>
    <row r="23396" spans="1:1" x14ac:dyDescent="0.25">
      <c r="A23396" s="74">
        <v>28188</v>
      </c>
    </row>
    <row r="23397" spans="1:1" x14ac:dyDescent="0.25">
      <c r="A23397" s="74">
        <v>28189</v>
      </c>
    </row>
    <row r="23398" spans="1:1" x14ac:dyDescent="0.25">
      <c r="A23398" s="74">
        <v>28190</v>
      </c>
    </row>
    <row r="23399" spans="1:1" x14ac:dyDescent="0.25">
      <c r="A23399" s="74">
        <v>28191</v>
      </c>
    </row>
    <row r="23400" spans="1:1" x14ac:dyDescent="0.25">
      <c r="A23400" s="74">
        <v>28192</v>
      </c>
    </row>
    <row r="23401" spans="1:1" x14ac:dyDescent="0.25">
      <c r="A23401" s="74">
        <v>28193</v>
      </c>
    </row>
    <row r="23402" spans="1:1" x14ac:dyDescent="0.25">
      <c r="A23402" s="74">
        <v>28194</v>
      </c>
    </row>
    <row r="23403" spans="1:1" x14ac:dyDescent="0.25">
      <c r="A23403" s="74">
        <v>28195</v>
      </c>
    </row>
    <row r="23404" spans="1:1" x14ac:dyDescent="0.25">
      <c r="A23404" s="74">
        <v>28196</v>
      </c>
    </row>
    <row r="23405" spans="1:1" x14ac:dyDescent="0.25">
      <c r="A23405" s="74">
        <v>28197</v>
      </c>
    </row>
    <row r="23406" spans="1:1" x14ac:dyDescent="0.25">
      <c r="A23406" s="74">
        <v>28198</v>
      </c>
    </row>
    <row r="23407" spans="1:1" x14ac:dyDescent="0.25">
      <c r="A23407" s="74">
        <v>28199</v>
      </c>
    </row>
    <row r="23408" spans="1:1" x14ac:dyDescent="0.25">
      <c r="A23408" s="74">
        <v>28200</v>
      </c>
    </row>
    <row r="23409" spans="1:1" x14ac:dyDescent="0.25">
      <c r="A23409" s="74">
        <v>28201</v>
      </c>
    </row>
    <row r="23410" spans="1:1" x14ac:dyDescent="0.25">
      <c r="A23410" s="74">
        <v>28202</v>
      </c>
    </row>
    <row r="23411" spans="1:1" x14ac:dyDescent="0.25">
      <c r="A23411" s="74">
        <v>28203</v>
      </c>
    </row>
    <row r="23412" spans="1:1" x14ac:dyDescent="0.25">
      <c r="A23412" s="74">
        <v>28204</v>
      </c>
    </row>
    <row r="23413" spans="1:1" x14ac:dyDescent="0.25">
      <c r="A23413" s="74">
        <v>28205</v>
      </c>
    </row>
    <row r="23414" spans="1:1" x14ac:dyDescent="0.25">
      <c r="A23414" s="74">
        <v>28206</v>
      </c>
    </row>
    <row r="23415" spans="1:1" x14ac:dyDescent="0.25">
      <c r="A23415" s="74">
        <v>28207</v>
      </c>
    </row>
    <row r="23416" spans="1:1" x14ac:dyDescent="0.25">
      <c r="A23416" s="74">
        <v>28208</v>
      </c>
    </row>
    <row r="23417" spans="1:1" x14ac:dyDescent="0.25">
      <c r="A23417" s="74">
        <v>28209</v>
      </c>
    </row>
    <row r="23418" spans="1:1" x14ac:dyDescent="0.25">
      <c r="A23418" s="74">
        <v>28210</v>
      </c>
    </row>
    <row r="23419" spans="1:1" x14ac:dyDescent="0.25">
      <c r="A23419" s="74">
        <v>28211</v>
      </c>
    </row>
    <row r="23420" spans="1:1" x14ac:dyDescent="0.25">
      <c r="A23420" s="74">
        <v>28212</v>
      </c>
    </row>
    <row r="23421" spans="1:1" x14ac:dyDescent="0.25">
      <c r="A23421" s="74">
        <v>28213</v>
      </c>
    </row>
    <row r="23422" spans="1:1" x14ac:dyDescent="0.25">
      <c r="A23422" s="74">
        <v>28214</v>
      </c>
    </row>
    <row r="23423" spans="1:1" x14ac:dyDescent="0.25">
      <c r="A23423" s="74">
        <v>28215</v>
      </c>
    </row>
    <row r="23424" spans="1:1" x14ac:dyDescent="0.25">
      <c r="A23424" s="74">
        <v>28216</v>
      </c>
    </row>
    <row r="23425" spans="1:1" x14ac:dyDescent="0.25">
      <c r="A23425" s="74">
        <v>28217</v>
      </c>
    </row>
    <row r="23426" spans="1:1" x14ac:dyDescent="0.25">
      <c r="A23426" s="74">
        <v>28218</v>
      </c>
    </row>
    <row r="23427" spans="1:1" x14ac:dyDescent="0.25">
      <c r="A23427" s="74">
        <v>28219</v>
      </c>
    </row>
    <row r="23428" spans="1:1" x14ac:dyDescent="0.25">
      <c r="A23428" s="74">
        <v>28220</v>
      </c>
    </row>
    <row r="23429" spans="1:1" x14ac:dyDescent="0.25">
      <c r="A23429" s="74">
        <v>28221</v>
      </c>
    </row>
    <row r="23430" spans="1:1" x14ac:dyDescent="0.25">
      <c r="A23430" s="74">
        <v>28222</v>
      </c>
    </row>
    <row r="23431" spans="1:1" x14ac:dyDescent="0.25">
      <c r="A23431" s="74">
        <v>28223</v>
      </c>
    </row>
    <row r="23432" spans="1:1" x14ac:dyDescent="0.25">
      <c r="A23432" s="74">
        <v>28224</v>
      </c>
    </row>
    <row r="23433" spans="1:1" x14ac:dyDescent="0.25">
      <c r="A23433" s="74">
        <v>28225</v>
      </c>
    </row>
    <row r="23434" spans="1:1" x14ac:dyDescent="0.25">
      <c r="A23434" s="74">
        <v>28226</v>
      </c>
    </row>
    <row r="23435" spans="1:1" x14ac:dyDescent="0.25">
      <c r="A23435" s="74">
        <v>28227</v>
      </c>
    </row>
    <row r="23436" spans="1:1" x14ac:dyDescent="0.25">
      <c r="A23436" s="74">
        <v>28228</v>
      </c>
    </row>
    <row r="23437" spans="1:1" x14ac:dyDescent="0.25">
      <c r="A23437" s="74">
        <v>28229</v>
      </c>
    </row>
    <row r="23438" spans="1:1" x14ac:dyDescent="0.25">
      <c r="A23438" s="74">
        <v>28230</v>
      </c>
    </row>
    <row r="23439" spans="1:1" x14ac:dyDescent="0.25">
      <c r="A23439" s="74">
        <v>28231</v>
      </c>
    </row>
    <row r="23440" spans="1:1" x14ac:dyDescent="0.25">
      <c r="A23440" s="74">
        <v>28232</v>
      </c>
    </row>
    <row r="23441" spans="1:1" x14ac:dyDescent="0.25">
      <c r="A23441" s="74">
        <v>28233</v>
      </c>
    </row>
    <row r="23442" spans="1:1" x14ac:dyDescent="0.25">
      <c r="A23442" s="74">
        <v>28234</v>
      </c>
    </row>
    <row r="23443" spans="1:1" x14ac:dyDescent="0.25">
      <c r="A23443" s="74">
        <v>28235</v>
      </c>
    </row>
    <row r="23444" spans="1:1" x14ac:dyDescent="0.25">
      <c r="A23444" s="74">
        <v>28236</v>
      </c>
    </row>
    <row r="23445" spans="1:1" x14ac:dyDescent="0.25">
      <c r="A23445" s="74">
        <v>28237</v>
      </c>
    </row>
    <row r="23446" spans="1:1" x14ac:dyDescent="0.25">
      <c r="A23446" s="74">
        <v>28238</v>
      </c>
    </row>
    <row r="23447" spans="1:1" x14ac:dyDescent="0.25">
      <c r="A23447" s="74">
        <v>28239</v>
      </c>
    </row>
    <row r="23448" spans="1:1" x14ac:dyDescent="0.25">
      <c r="A23448" s="74">
        <v>28240</v>
      </c>
    </row>
    <row r="23449" spans="1:1" x14ac:dyDescent="0.25">
      <c r="A23449" s="74">
        <v>28241</v>
      </c>
    </row>
    <row r="23450" spans="1:1" x14ac:dyDescent="0.25">
      <c r="A23450" s="74">
        <v>28242</v>
      </c>
    </row>
    <row r="23451" spans="1:1" x14ac:dyDescent="0.25">
      <c r="A23451" s="74">
        <v>28243</v>
      </c>
    </row>
    <row r="23452" spans="1:1" x14ac:dyDescent="0.25">
      <c r="A23452" s="74">
        <v>28244</v>
      </c>
    </row>
    <row r="23453" spans="1:1" x14ac:dyDescent="0.25">
      <c r="A23453" s="74">
        <v>28245</v>
      </c>
    </row>
    <row r="23454" spans="1:1" x14ac:dyDescent="0.25">
      <c r="A23454" s="74">
        <v>28246</v>
      </c>
    </row>
    <row r="23455" spans="1:1" x14ac:dyDescent="0.25">
      <c r="A23455" s="74">
        <v>28247</v>
      </c>
    </row>
    <row r="23456" spans="1:1" x14ac:dyDescent="0.25">
      <c r="A23456" s="74">
        <v>28248</v>
      </c>
    </row>
    <row r="23457" spans="1:1" x14ac:dyDescent="0.25">
      <c r="A23457" s="74">
        <v>28249</v>
      </c>
    </row>
    <row r="23458" spans="1:1" x14ac:dyDescent="0.25">
      <c r="A23458" s="74">
        <v>28250</v>
      </c>
    </row>
    <row r="23459" spans="1:1" x14ac:dyDescent="0.25">
      <c r="A23459" s="74">
        <v>28251</v>
      </c>
    </row>
    <row r="23460" spans="1:1" x14ac:dyDescent="0.25">
      <c r="A23460" s="74">
        <v>28252</v>
      </c>
    </row>
    <row r="23461" spans="1:1" x14ac:dyDescent="0.25">
      <c r="A23461" s="74">
        <v>28253</v>
      </c>
    </row>
    <row r="23462" spans="1:1" x14ac:dyDescent="0.25">
      <c r="A23462" s="74">
        <v>28254</v>
      </c>
    </row>
    <row r="23463" spans="1:1" x14ac:dyDescent="0.25">
      <c r="A23463" s="74">
        <v>28255</v>
      </c>
    </row>
    <row r="23464" spans="1:1" x14ac:dyDescent="0.25">
      <c r="A23464" s="74">
        <v>28256</v>
      </c>
    </row>
    <row r="23465" spans="1:1" x14ac:dyDescent="0.25">
      <c r="A23465" s="74">
        <v>28257</v>
      </c>
    </row>
    <row r="23466" spans="1:1" x14ac:dyDescent="0.25">
      <c r="A23466" s="74">
        <v>28258</v>
      </c>
    </row>
    <row r="23467" spans="1:1" x14ac:dyDescent="0.25">
      <c r="A23467" s="74">
        <v>28259</v>
      </c>
    </row>
    <row r="23468" spans="1:1" x14ac:dyDescent="0.25">
      <c r="A23468" s="74">
        <v>28260</v>
      </c>
    </row>
    <row r="23469" spans="1:1" x14ac:dyDescent="0.25">
      <c r="A23469" s="74">
        <v>28261</v>
      </c>
    </row>
    <row r="23470" spans="1:1" x14ac:dyDescent="0.25">
      <c r="A23470" s="74">
        <v>28262</v>
      </c>
    </row>
    <row r="23471" spans="1:1" x14ac:dyDescent="0.25">
      <c r="A23471" s="74">
        <v>28263</v>
      </c>
    </row>
    <row r="23472" spans="1:1" x14ac:dyDescent="0.25">
      <c r="A23472" s="74">
        <v>28264</v>
      </c>
    </row>
    <row r="23473" spans="1:1" x14ac:dyDescent="0.25">
      <c r="A23473" s="74">
        <v>28265</v>
      </c>
    </row>
    <row r="23474" spans="1:1" x14ac:dyDescent="0.25">
      <c r="A23474" s="74">
        <v>28266</v>
      </c>
    </row>
    <row r="23475" spans="1:1" x14ac:dyDescent="0.25">
      <c r="A23475" s="74">
        <v>28267</v>
      </c>
    </row>
    <row r="23476" spans="1:1" x14ac:dyDescent="0.25">
      <c r="A23476" s="74">
        <v>28268</v>
      </c>
    </row>
    <row r="23477" spans="1:1" x14ac:dyDescent="0.25">
      <c r="A23477" s="74">
        <v>28269</v>
      </c>
    </row>
    <row r="23478" spans="1:1" x14ac:dyDescent="0.25">
      <c r="A23478" s="74">
        <v>28270</v>
      </c>
    </row>
    <row r="23479" spans="1:1" x14ac:dyDescent="0.25">
      <c r="A23479" s="74">
        <v>28271</v>
      </c>
    </row>
    <row r="23480" spans="1:1" x14ac:dyDescent="0.25">
      <c r="A23480" s="74">
        <v>28272</v>
      </c>
    </row>
    <row r="23481" spans="1:1" x14ac:dyDescent="0.25">
      <c r="A23481" s="74">
        <v>28273</v>
      </c>
    </row>
    <row r="23482" spans="1:1" x14ac:dyDescent="0.25">
      <c r="A23482" s="74">
        <v>28274</v>
      </c>
    </row>
    <row r="23483" spans="1:1" x14ac:dyDescent="0.25">
      <c r="A23483" s="74">
        <v>28275</v>
      </c>
    </row>
    <row r="23484" spans="1:1" x14ac:dyDescent="0.25">
      <c r="A23484" s="74">
        <v>28276</v>
      </c>
    </row>
    <row r="23485" spans="1:1" x14ac:dyDescent="0.25">
      <c r="A23485" s="74">
        <v>28277</v>
      </c>
    </row>
    <row r="23486" spans="1:1" x14ac:dyDescent="0.25">
      <c r="A23486" s="74">
        <v>28278</v>
      </c>
    </row>
    <row r="23487" spans="1:1" x14ac:dyDescent="0.25">
      <c r="A23487" s="74">
        <v>28279</v>
      </c>
    </row>
    <row r="23488" spans="1:1" x14ac:dyDescent="0.25">
      <c r="A23488" s="74">
        <v>28280</v>
      </c>
    </row>
    <row r="23489" spans="1:1" x14ac:dyDescent="0.25">
      <c r="A23489" s="74">
        <v>28281</v>
      </c>
    </row>
    <row r="23490" spans="1:1" x14ac:dyDescent="0.25">
      <c r="A23490" s="74">
        <v>28282</v>
      </c>
    </row>
    <row r="23491" spans="1:1" x14ac:dyDescent="0.25">
      <c r="A23491" s="74">
        <v>28283</v>
      </c>
    </row>
    <row r="23492" spans="1:1" x14ac:dyDescent="0.25">
      <c r="A23492" s="74">
        <v>28284</v>
      </c>
    </row>
    <row r="23493" spans="1:1" x14ac:dyDescent="0.25">
      <c r="A23493" s="74">
        <v>28285</v>
      </c>
    </row>
    <row r="23494" spans="1:1" x14ac:dyDescent="0.25">
      <c r="A23494" s="74">
        <v>28286</v>
      </c>
    </row>
    <row r="23495" spans="1:1" x14ac:dyDescent="0.25">
      <c r="A23495" s="74">
        <v>28287</v>
      </c>
    </row>
    <row r="23496" spans="1:1" x14ac:dyDescent="0.25">
      <c r="A23496" s="74">
        <v>28288</v>
      </c>
    </row>
    <row r="23497" spans="1:1" x14ac:dyDescent="0.25">
      <c r="A23497" s="74">
        <v>28289</v>
      </c>
    </row>
    <row r="23498" spans="1:1" x14ac:dyDescent="0.25">
      <c r="A23498" s="74">
        <v>28290</v>
      </c>
    </row>
    <row r="23499" spans="1:1" x14ac:dyDescent="0.25">
      <c r="A23499" s="74">
        <v>28291</v>
      </c>
    </row>
    <row r="23500" spans="1:1" x14ac:dyDescent="0.25">
      <c r="A23500" s="74">
        <v>28292</v>
      </c>
    </row>
    <row r="23501" spans="1:1" x14ac:dyDescent="0.25">
      <c r="A23501" s="74">
        <v>28293</v>
      </c>
    </row>
    <row r="23502" spans="1:1" x14ac:dyDescent="0.25">
      <c r="A23502" s="74">
        <v>28294</v>
      </c>
    </row>
    <row r="23503" spans="1:1" x14ac:dyDescent="0.25">
      <c r="A23503" s="74">
        <v>28295</v>
      </c>
    </row>
    <row r="23504" spans="1:1" x14ac:dyDescent="0.25">
      <c r="A23504" s="74">
        <v>28296</v>
      </c>
    </row>
    <row r="23505" spans="1:1" x14ac:dyDescent="0.25">
      <c r="A23505" s="74">
        <v>28297</v>
      </c>
    </row>
    <row r="23506" spans="1:1" x14ac:dyDescent="0.25">
      <c r="A23506" s="74">
        <v>28298</v>
      </c>
    </row>
    <row r="23507" spans="1:1" x14ac:dyDescent="0.25">
      <c r="A23507" s="74">
        <v>28299</v>
      </c>
    </row>
    <row r="23508" spans="1:1" x14ac:dyDescent="0.25">
      <c r="A23508" s="74">
        <v>28300</v>
      </c>
    </row>
    <row r="23509" spans="1:1" x14ac:dyDescent="0.25">
      <c r="A23509" s="74">
        <v>28301</v>
      </c>
    </row>
    <row r="23510" spans="1:1" x14ac:dyDescent="0.25">
      <c r="A23510" s="74">
        <v>28302</v>
      </c>
    </row>
    <row r="23511" spans="1:1" x14ac:dyDescent="0.25">
      <c r="A23511" s="74">
        <v>28303</v>
      </c>
    </row>
    <row r="23512" spans="1:1" x14ac:dyDescent="0.25">
      <c r="A23512" s="74">
        <v>28304</v>
      </c>
    </row>
    <row r="23513" spans="1:1" x14ac:dyDescent="0.25">
      <c r="A23513" s="74">
        <v>28305</v>
      </c>
    </row>
    <row r="23514" spans="1:1" x14ac:dyDescent="0.25">
      <c r="A23514" s="74">
        <v>28306</v>
      </c>
    </row>
    <row r="23515" spans="1:1" x14ac:dyDescent="0.25">
      <c r="A23515" s="74">
        <v>28307</v>
      </c>
    </row>
    <row r="23516" spans="1:1" x14ac:dyDescent="0.25">
      <c r="A23516" s="74">
        <v>28308</v>
      </c>
    </row>
    <row r="23517" spans="1:1" x14ac:dyDescent="0.25">
      <c r="A23517" s="74">
        <v>28309</v>
      </c>
    </row>
    <row r="23518" spans="1:1" x14ac:dyDescent="0.25">
      <c r="A23518" s="74">
        <v>28310</v>
      </c>
    </row>
    <row r="23519" spans="1:1" x14ac:dyDescent="0.25">
      <c r="A23519" s="74">
        <v>28311</v>
      </c>
    </row>
    <row r="23520" spans="1:1" x14ac:dyDescent="0.25">
      <c r="A23520" s="74">
        <v>28312</v>
      </c>
    </row>
    <row r="23521" spans="1:1" x14ac:dyDescent="0.25">
      <c r="A23521" s="74">
        <v>28313</v>
      </c>
    </row>
    <row r="23522" spans="1:1" x14ac:dyDescent="0.25">
      <c r="A23522" s="74">
        <v>28314</v>
      </c>
    </row>
    <row r="23523" spans="1:1" x14ac:dyDescent="0.25">
      <c r="A23523" s="74">
        <v>28315</v>
      </c>
    </row>
    <row r="23524" spans="1:1" x14ac:dyDescent="0.25">
      <c r="A23524" s="74">
        <v>28316</v>
      </c>
    </row>
    <row r="23525" spans="1:1" x14ac:dyDescent="0.25">
      <c r="A23525" s="74">
        <v>28317</v>
      </c>
    </row>
    <row r="23526" spans="1:1" x14ac:dyDescent="0.25">
      <c r="A23526" s="74">
        <v>28318</v>
      </c>
    </row>
    <row r="23527" spans="1:1" x14ac:dyDescent="0.25">
      <c r="A23527" s="74">
        <v>28319</v>
      </c>
    </row>
    <row r="23528" spans="1:1" x14ac:dyDescent="0.25">
      <c r="A23528" s="74">
        <v>28320</v>
      </c>
    </row>
    <row r="23529" spans="1:1" x14ac:dyDescent="0.25">
      <c r="A23529" s="74">
        <v>28321</v>
      </c>
    </row>
    <row r="23530" spans="1:1" x14ac:dyDescent="0.25">
      <c r="A23530" s="74">
        <v>28322</v>
      </c>
    </row>
    <row r="23531" spans="1:1" x14ac:dyDescent="0.25">
      <c r="A23531" s="74">
        <v>28323</v>
      </c>
    </row>
    <row r="23532" spans="1:1" x14ac:dyDescent="0.25">
      <c r="A23532" s="74">
        <v>28324</v>
      </c>
    </row>
    <row r="23533" spans="1:1" x14ac:dyDescent="0.25">
      <c r="A23533" s="74">
        <v>28325</v>
      </c>
    </row>
    <row r="23534" spans="1:1" x14ac:dyDescent="0.25">
      <c r="A23534" s="74">
        <v>28326</v>
      </c>
    </row>
    <row r="23535" spans="1:1" x14ac:dyDescent="0.25">
      <c r="A23535" s="74">
        <v>28327</v>
      </c>
    </row>
    <row r="23536" spans="1:1" x14ac:dyDescent="0.25">
      <c r="A23536" s="74">
        <v>28328</v>
      </c>
    </row>
    <row r="23537" spans="1:1" x14ac:dyDescent="0.25">
      <c r="A23537" s="74">
        <v>28329</v>
      </c>
    </row>
    <row r="23538" spans="1:1" x14ac:dyDescent="0.25">
      <c r="A23538" s="74">
        <v>28330</v>
      </c>
    </row>
    <row r="23539" spans="1:1" x14ac:dyDescent="0.25">
      <c r="A23539" s="74">
        <v>28331</v>
      </c>
    </row>
    <row r="23540" spans="1:1" x14ac:dyDescent="0.25">
      <c r="A23540" s="74">
        <v>28332</v>
      </c>
    </row>
    <row r="23541" spans="1:1" x14ac:dyDescent="0.25">
      <c r="A23541" s="74">
        <v>28333</v>
      </c>
    </row>
    <row r="23542" spans="1:1" x14ac:dyDescent="0.25">
      <c r="A23542" s="74">
        <v>28334</v>
      </c>
    </row>
    <row r="23543" spans="1:1" x14ac:dyDescent="0.25">
      <c r="A23543" s="74">
        <v>28335</v>
      </c>
    </row>
    <row r="23544" spans="1:1" x14ac:dyDescent="0.25">
      <c r="A23544" s="74">
        <v>28336</v>
      </c>
    </row>
    <row r="23545" spans="1:1" x14ac:dyDescent="0.25">
      <c r="A23545" s="74">
        <v>28337</v>
      </c>
    </row>
    <row r="23546" spans="1:1" x14ac:dyDescent="0.25">
      <c r="A23546" s="74">
        <v>28338</v>
      </c>
    </row>
    <row r="23547" spans="1:1" x14ac:dyDescent="0.25">
      <c r="A23547" s="74">
        <v>28339</v>
      </c>
    </row>
    <row r="23548" spans="1:1" x14ac:dyDescent="0.25">
      <c r="A23548" s="74">
        <v>28340</v>
      </c>
    </row>
    <row r="23549" spans="1:1" x14ac:dyDescent="0.25">
      <c r="A23549" s="74">
        <v>28341</v>
      </c>
    </row>
    <row r="23550" spans="1:1" x14ac:dyDescent="0.25">
      <c r="A23550" s="74">
        <v>28342</v>
      </c>
    </row>
    <row r="23551" spans="1:1" x14ac:dyDescent="0.25">
      <c r="A23551" s="74">
        <v>28343</v>
      </c>
    </row>
    <row r="23552" spans="1:1" x14ac:dyDescent="0.25">
      <c r="A23552" s="74">
        <v>28344</v>
      </c>
    </row>
    <row r="23553" spans="1:1" x14ac:dyDescent="0.25">
      <c r="A23553" s="74">
        <v>28345</v>
      </c>
    </row>
    <row r="23554" spans="1:1" x14ac:dyDescent="0.25">
      <c r="A23554" s="74">
        <v>28346</v>
      </c>
    </row>
    <row r="23555" spans="1:1" x14ac:dyDescent="0.25">
      <c r="A23555" s="74">
        <v>28347</v>
      </c>
    </row>
    <row r="23556" spans="1:1" x14ac:dyDescent="0.25">
      <c r="A23556" s="74">
        <v>28348</v>
      </c>
    </row>
    <row r="23557" spans="1:1" x14ac:dyDescent="0.25">
      <c r="A23557" s="74">
        <v>28349</v>
      </c>
    </row>
    <row r="23558" spans="1:1" x14ac:dyDescent="0.25">
      <c r="A23558" s="74">
        <v>28350</v>
      </c>
    </row>
    <row r="23559" spans="1:1" x14ac:dyDescent="0.25">
      <c r="A23559" s="74">
        <v>28351</v>
      </c>
    </row>
    <row r="23560" spans="1:1" x14ac:dyDescent="0.25">
      <c r="A23560" s="74">
        <v>28352</v>
      </c>
    </row>
    <row r="23561" spans="1:1" x14ac:dyDescent="0.25">
      <c r="A23561" s="74">
        <v>28353</v>
      </c>
    </row>
    <row r="23562" spans="1:1" x14ac:dyDescent="0.25">
      <c r="A23562" s="74">
        <v>28354</v>
      </c>
    </row>
    <row r="23563" spans="1:1" x14ac:dyDescent="0.25">
      <c r="A23563" s="74">
        <v>28355</v>
      </c>
    </row>
    <row r="23564" spans="1:1" x14ac:dyDescent="0.25">
      <c r="A23564" s="74">
        <v>28356</v>
      </c>
    </row>
    <row r="23565" spans="1:1" x14ac:dyDescent="0.25">
      <c r="A23565" s="74">
        <v>28357</v>
      </c>
    </row>
    <row r="23566" spans="1:1" x14ac:dyDescent="0.25">
      <c r="A23566" s="74">
        <v>28358</v>
      </c>
    </row>
    <row r="23567" spans="1:1" x14ac:dyDescent="0.25">
      <c r="A23567" s="74">
        <v>28359</v>
      </c>
    </row>
    <row r="23568" spans="1:1" x14ac:dyDescent="0.25">
      <c r="A23568" s="74">
        <v>28360</v>
      </c>
    </row>
    <row r="23569" spans="1:1" x14ac:dyDescent="0.25">
      <c r="A23569" s="74">
        <v>28361</v>
      </c>
    </row>
    <row r="23570" spans="1:1" x14ac:dyDescent="0.25">
      <c r="A23570" s="74">
        <v>28362</v>
      </c>
    </row>
    <row r="23571" spans="1:1" x14ac:dyDescent="0.25">
      <c r="A23571" s="74">
        <v>28363</v>
      </c>
    </row>
    <row r="23572" spans="1:1" x14ac:dyDescent="0.25">
      <c r="A23572" s="74">
        <v>28364</v>
      </c>
    </row>
    <row r="23573" spans="1:1" x14ac:dyDescent="0.25">
      <c r="A23573" s="74">
        <v>28365</v>
      </c>
    </row>
    <row r="23574" spans="1:1" x14ac:dyDescent="0.25">
      <c r="A23574" s="74">
        <v>28366</v>
      </c>
    </row>
    <row r="23575" spans="1:1" x14ac:dyDescent="0.25">
      <c r="A23575" s="74">
        <v>28367</v>
      </c>
    </row>
    <row r="23576" spans="1:1" x14ac:dyDescent="0.25">
      <c r="A23576" s="74">
        <v>28368</v>
      </c>
    </row>
    <row r="23577" spans="1:1" x14ac:dyDescent="0.25">
      <c r="A23577" s="74">
        <v>28369</v>
      </c>
    </row>
    <row r="23578" spans="1:1" x14ac:dyDescent="0.25">
      <c r="A23578" s="74">
        <v>28370</v>
      </c>
    </row>
    <row r="23579" spans="1:1" x14ac:dyDescent="0.25">
      <c r="A23579" s="74">
        <v>28371</v>
      </c>
    </row>
    <row r="23580" spans="1:1" x14ac:dyDescent="0.25">
      <c r="A23580" s="74">
        <v>28372</v>
      </c>
    </row>
    <row r="23581" spans="1:1" x14ac:dyDescent="0.25">
      <c r="A23581" s="74">
        <v>28373</v>
      </c>
    </row>
    <row r="23582" spans="1:1" x14ac:dyDescent="0.25">
      <c r="A23582" s="74">
        <v>28374</v>
      </c>
    </row>
    <row r="23583" spans="1:1" x14ac:dyDescent="0.25">
      <c r="A23583" s="74">
        <v>28375</v>
      </c>
    </row>
    <row r="23584" spans="1:1" x14ac:dyDescent="0.25">
      <c r="A23584" s="74">
        <v>28376</v>
      </c>
    </row>
    <row r="23585" spans="1:1" x14ac:dyDescent="0.25">
      <c r="A23585" s="74">
        <v>28377</v>
      </c>
    </row>
    <row r="23586" spans="1:1" x14ac:dyDescent="0.25">
      <c r="A23586" s="74">
        <v>28378</v>
      </c>
    </row>
    <row r="23587" spans="1:1" x14ac:dyDescent="0.25">
      <c r="A23587" s="74">
        <v>28379</v>
      </c>
    </row>
    <row r="23588" spans="1:1" x14ac:dyDescent="0.25">
      <c r="A23588" s="74">
        <v>28380</v>
      </c>
    </row>
    <row r="23589" spans="1:1" x14ac:dyDescent="0.25">
      <c r="A23589" s="74">
        <v>28381</v>
      </c>
    </row>
    <row r="23590" spans="1:1" x14ac:dyDescent="0.25">
      <c r="A23590" s="74">
        <v>28382</v>
      </c>
    </row>
    <row r="23591" spans="1:1" x14ac:dyDescent="0.25">
      <c r="A23591" s="74">
        <v>28383</v>
      </c>
    </row>
    <row r="23592" spans="1:1" x14ac:dyDescent="0.25">
      <c r="A23592" s="74">
        <v>28384</v>
      </c>
    </row>
    <row r="23593" spans="1:1" x14ac:dyDescent="0.25">
      <c r="A23593" s="74">
        <v>28385</v>
      </c>
    </row>
    <row r="23594" spans="1:1" x14ac:dyDescent="0.25">
      <c r="A23594" s="74">
        <v>28386</v>
      </c>
    </row>
    <row r="23595" spans="1:1" x14ac:dyDescent="0.25">
      <c r="A23595" s="74">
        <v>28387</v>
      </c>
    </row>
    <row r="23596" spans="1:1" x14ac:dyDescent="0.25">
      <c r="A23596" s="74">
        <v>28388</v>
      </c>
    </row>
    <row r="23597" spans="1:1" x14ac:dyDescent="0.25">
      <c r="A23597" s="74">
        <v>28389</v>
      </c>
    </row>
    <row r="23598" spans="1:1" x14ac:dyDescent="0.25">
      <c r="A23598" s="74">
        <v>28390</v>
      </c>
    </row>
    <row r="23599" spans="1:1" x14ac:dyDescent="0.25">
      <c r="A23599" s="74">
        <v>28391</v>
      </c>
    </row>
    <row r="23600" spans="1:1" x14ac:dyDescent="0.25">
      <c r="A23600" s="74">
        <v>28392</v>
      </c>
    </row>
    <row r="23601" spans="1:1" x14ac:dyDescent="0.25">
      <c r="A23601" s="74">
        <v>28393</v>
      </c>
    </row>
    <row r="23602" spans="1:1" x14ac:dyDescent="0.25">
      <c r="A23602" s="74">
        <v>28394</v>
      </c>
    </row>
    <row r="23603" spans="1:1" x14ac:dyDescent="0.25">
      <c r="A23603" s="74">
        <v>28395</v>
      </c>
    </row>
    <row r="23604" spans="1:1" x14ac:dyDescent="0.25">
      <c r="A23604" s="74">
        <v>28396</v>
      </c>
    </row>
    <row r="23605" spans="1:1" x14ac:dyDescent="0.25">
      <c r="A23605" s="74">
        <v>28397</v>
      </c>
    </row>
    <row r="23606" spans="1:1" x14ac:dyDescent="0.25">
      <c r="A23606" s="74">
        <v>28398</v>
      </c>
    </row>
    <row r="23607" spans="1:1" x14ac:dyDescent="0.25">
      <c r="A23607" s="74">
        <v>28399</v>
      </c>
    </row>
    <row r="23608" spans="1:1" x14ac:dyDescent="0.25">
      <c r="A23608" s="74">
        <v>28400</v>
      </c>
    </row>
    <row r="23609" spans="1:1" x14ac:dyDescent="0.25">
      <c r="A23609" s="74">
        <v>28401</v>
      </c>
    </row>
    <row r="23610" spans="1:1" x14ac:dyDescent="0.25">
      <c r="A23610" s="74">
        <v>28402</v>
      </c>
    </row>
    <row r="23611" spans="1:1" x14ac:dyDescent="0.25">
      <c r="A23611" s="74">
        <v>28403</v>
      </c>
    </row>
    <row r="23612" spans="1:1" x14ac:dyDescent="0.25">
      <c r="A23612" s="74">
        <v>28404</v>
      </c>
    </row>
    <row r="23613" spans="1:1" x14ac:dyDescent="0.25">
      <c r="A23613" s="74">
        <v>28405</v>
      </c>
    </row>
    <row r="23614" spans="1:1" x14ac:dyDescent="0.25">
      <c r="A23614" s="74">
        <v>28406</v>
      </c>
    </row>
    <row r="23615" spans="1:1" x14ac:dyDescent="0.25">
      <c r="A23615" s="74">
        <v>28407</v>
      </c>
    </row>
    <row r="23616" spans="1:1" x14ac:dyDescent="0.25">
      <c r="A23616" s="74">
        <v>28408</v>
      </c>
    </row>
    <row r="23617" spans="1:1" x14ac:dyDescent="0.25">
      <c r="A23617" s="74">
        <v>28409</v>
      </c>
    </row>
    <row r="23618" spans="1:1" x14ac:dyDescent="0.25">
      <c r="A23618" s="74">
        <v>28410</v>
      </c>
    </row>
    <row r="23619" spans="1:1" x14ac:dyDescent="0.25">
      <c r="A23619" s="74">
        <v>28411</v>
      </c>
    </row>
    <row r="23620" spans="1:1" x14ac:dyDescent="0.25">
      <c r="A23620" s="74">
        <v>28412</v>
      </c>
    </row>
    <row r="23621" spans="1:1" x14ac:dyDescent="0.25">
      <c r="A23621" s="74">
        <v>28413</v>
      </c>
    </row>
    <row r="23622" spans="1:1" x14ac:dyDescent="0.25">
      <c r="A23622" s="74">
        <v>28414</v>
      </c>
    </row>
    <row r="23623" spans="1:1" x14ac:dyDescent="0.25">
      <c r="A23623" s="74">
        <v>28415</v>
      </c>
    </row>
    <row r="23624" spans="1:1" x14ac:dyDescent="0.25">
      <c r="A23624" s="74">
        <v>28416</v>
      </c>
    </row>
    <row r="23625" spans="1:1" x14ac:dyDescent="0.25">
      <c r="A23625" s="74">
        <v>28417</v>
      </c>
    </row>
    <row r="23626" spans="1:1" x14ac:dyDescent="0.25">
      <c r="A23626" s="74">
        <v>28418</v>
      </c>
    </row>
    <row r="23627" spans="1:1" x14ac:dyDescent="0.25">
      <c r="A23627" s="74">
        <v>28419</v>
      </c>
    </row>
    <row r="23628" spans="1:1" x14ac:dyDescent="0.25">
      <c r="A23628" s="74">
        <v>28420</v>
      </c>
    </row>
    <row r="23629" spans="1:1" x14ac:dyDescent="0.25">
      <c r="A23629" s="74">
        <v>28421</v>
      </c>
    </row>
    <row r="23630" spans="1:1" x14ac:dyDescent="0.25">
      <c r="A23630" s="74">
        <v>28422</v>
      </c>
    </row>
    <row r="23631" spans="1:1" x14ac:dyDescent="0.25">
      <c r="A23631" s="74">
        <v>28423</v>
      </c>
    </row>
    <row r="23632" spans="1:1" x14ac:dyDescent="0.25">
      <c r="A23632" s="74">
        <v>28424</v>
      </c>
    </row>
    <row r="23633" spans="1:1" x14ac:dyDescent="0.25">
      <c r="A23633" s="74">
        <v>28425</v>
      </c>
    </row>
    <row r="23634" spans="1:1" x14ac:dyDescent="0.25">
      <c r="A23634" s="74">
        <v>28426</v>
      </c>
    </row>
    <row r="23635" spans="1:1" x14ac:dyDescent="0.25">
      <c r="A23635" s="74">
        <v>28427</v>
      </c>
    </row>
    <row r="23636" spans="1:1" x14ac:dyDescent="0.25">
      <c r="A23636" s="74">
        <v>28428</v>
      </c>
    </row>
    <row r="23637" spans="1:1" x14ac:dyDescent="0.25">
      <c r="A23637" s="74">
        <v>28429</v>
      </c>
    </row>
    <row r="23638" spans="1:1" x14ac:dyDescent="0.25">
      <c r="A23638" s="74">
        <v>28430</v>
      </c>
    </row>
    <row r="23639" spans="1:1" x14ac:dyDescent="0.25">
      <c r="A23639" s="74">
        <v>28431</v>
      </c>
    </row>
    <row r="23640" spans="1:1" x14ac:dyDescent="0.25">
      <c r="A23640" s="74">
        <v>28432</v>
      </c>
    </row>
    <row r="23641" spans="1:1" x14ac:dyDescent="0.25">
      <c r="A23641" s="74">
        <v>28433</v>
      </c>
    </row>
    <row r="23642" spans="1:1" x14ac:dyDescent="0.25">
      <c r="A23642" s="74">
        <v>28434</v>
      </c>
    </row>
    <row r="23643" spans="1:1" x14ac:dyDescent="0.25">
      <c r="A23643" s="74">
        <v>28435</v>
      </c>
    </row>
    <row r="23644" spans="1:1" x14ac:dyDescent="0.25">
      <c r="A23644" s="74">
        <v>28436</v>
      </c>
    </row>
    <row r="23645" spans="1:1" x14ac:dyDescent="0.25">
      <c r="A23645" s="74">
        <v>28437</v>
      </c>
    </row>
    <row r="23646" spans="1:1" x14ac:dyDescent="0.25">
      <c r="A23646" s="74">
        <v>28438</v>
      </c>
    </row>
    <row r="23647" spans="1:1" x14ac:dyDescent="0.25">
      <c r="A23647" s="74">
        <v>28439</v>
      </c>
    </row>
    <row r="23648" spans="1:1" x14ac:dyDescent="0.25">
      <c r="A23648" s="74">
        <v>28440</v>
      </c>
    </row>
    <row r="23649" spans="1:1" x14ac:dyDescent="0.25">
      <c r="A23649" s="74">
        <v>28441</v>
      </c>
    </row>
    <row r="23650" spans="1:1" x14ac:dyDescent="0.25">
      <c r="A23650" s="74">
        <v>28442</v>
      </c>
    </row>
    <row r="23651" spans="1:1" x14ac:dyDescent="0.25">
      <c r="A23651" s="74">
        <v>28443</v>
      </c>
    </row>
    <row r="23652" spans="1:1" x14ac:dyDescent="0.25">
      <c r="A23652" s="74">
        <v>28444</v>
      </c>
    </row>
    <row r="23653" spans="1:1" x14ac:dyDescent="0.25">
      <c r="A23653" s="74">
        <v>28445</v>
      </c>
    </row>
    <row r="23654" spans="1:1" x14ac:dyDescent="0.25">
      <c r="A23654" s="74">
        <v>28446</v>
      </c>
    </row>
    <row r="23655" spans="1:1" x14ac:dyDescent="0.25">
      <c r="A23655" s="74">
        <v>28447</v>
      </c>
    </row>
    <row r="23656" spans="1:1" x14ac:dyDescent="0.25">
      <c r="A23656" s="74">
        <v>28448</v>
      </c>
    </row>
    <row r="23657" spans="1:1" x14ac:dyDescent="0.25">
      <c r="A23657" s="74">
        <v>28449</v>
      </c>
    </row>
    <row r="23658" spans="1:1" x14ac:dyDescent="0.25">
      <c r="A23658" s="74">
        <v>28450</v>
      </c>
    </row>
    <row r="23659" spans="1:1" x14ac:dyDescent="0.25">
      <c r="A23659" s="74">
        <v>28451</v>
      </c>
    </row>
    <row r="23660" spans="1:1" x14ac:dyDescent="0.25">
      <c r="A23660" s="74">
        <v>28452</v>
      </c>
    </row>
    <row r="23661" spans="1:1" x14ac:dyDescent="0.25">
      <c r="A23661" s="74">
        <v>28453</v>
      </c>
    </row>
    <row r="23662" spans="1:1" x14ac:dyDescent="0.25">
      <c r="A23662" s="74">
        <v>28454</v>
      </c>
    </row>
    <row r="23663" spans="1:1" x14ac:dyDescent="0.25">
      <c r="A23663" s="74">
        <v>28455</v>
      </c>
    </row>
    <row r="23664" spans="1:1" x14ac:dyDescent="0.25">
      <c r="A23664" s="74">
        <v>28456</v>
      </c>
    </row>
    <row r="23665" spans="1:1" x14ac:dyDescent="0.25">
      <c r="A23665" s="74">
        <v>28457</v>
      </c>
    </row>
    <row r="23666" spans="1:1" x14ac:dyDescent="0.25">
      <c r="A23666" s="74">
        <v>28458</v>
      </c>
    </row>
    <row r="23667" spans="1:1" x14ac:dyDescent="0.25">
      <c r="A23667" s="74">
        <v>28459</v>
      </c>
    </row>
    <row r="23668" spans="1:1" x14ac:dyDescent="0.25">
      <c r="A23668" s="74">
        <v>28460</v>
      </c>
    </row>
    <row r="23669" spans="1:1" x14ac:dyDescent="0.25">
      <c r="A23669" s="74">
        <v>28461</v>
      </c>
    </row>
    <row r="23670" spans="1:1" x14ac:dyDescent="0.25">
      <c r="A23670" s="74">
        <v>28462</v>
      </c>
    </row>
    <row r="23671" spans="1:1" x14ac:dyDescent="0.25">
      <c r="A23671" s="74">
        <v>28463</v>
      </c>
    </row>
    <row r="23672" spans="1:1" x14ac:dyDescent="0.25">
      <c r="A23672" s="74">
        <v>28464</v>
      </c>
    </row>
    <row r="23673" spans="1:1" x14ac:dyDescent="0.25">
      <c r="A23673" s="74">
        <v>28465</v>
      </c>
    </row>
    <row r="23674" spans="1:1" x14ac:dyDescent="0.25">
      <c r="A23674" s="74">
        <v>28466</v>
      </c>
    </row>
    <row r="23675" spans="1:1" x14ac:dyDescent="0.25">
      <c r="A23675" s="74">
        <v>28467</v>
      </c>
    </row>
    <row r="23676" spans="1:1" x14ac:dyDescent="0.25">
      <c r="A23676" s="74">
        <v>28468</v>
      </c>
    </row>
    <row r="23677" spans="1:1" x14ac:dyDescent="0.25">
      <c r="A23677" s="74">
        <v>28469</v>
      </c>
    </row>
    <row r="23678" spans="1:1" x14ac:dyDescent="0.25">
      <c r="A23678" s="74">
        <v>28470</v>
      </c>
    </row>
    <row r="23679" spans="1:1" x14ac:dyDescent="0.25">
      <c r="A23679" s="74">
        <v>28471</v>
      </c>
    </row>
    <row r="23680" spans="1:1" x14ac:dyDescent="0.25">
      <c r="A23680" s="74">
        <v>28472</v>
      </c>
    </row>
    <row r="23681" spans="1:1" x14ac:dyDescent="0.25">
      <c r="A23681" s="74">
        <v>28473</v>
      </c>
    </row>
    <row r="23682" spans="1:1" x14ac:dyDescent="0.25">
      <c r="A23682" s="74">
        <v>28474</v>
      </c>
    </row>
    <row r="23683" spans="1:1" x14ac:dyDescent="0.25">
      <c r="A23683" s="74">
        <v>28475</v>
      </c>
    </row>
    <row r="23684" spans="1:1" x14ac:dyDescent="0.25">
      <c r="A23684" s="74">
        <v>28476</v>
      </c>
    </row>
    <row r="23685" spans="1:1" x14ac:dyDescent="0.25">
      <c r="A23685" s="74">
        <v>28477</v>
      </c>
    </row>
    <row r="23686" spans="1:1" x14ac:dyDescent="0.25">
      <c r="A23686" s="74">
        <v>28478</v>
      </c>
    </row>
    <row r="23687" spans="1:1" x14ac:dyDescent="0.25">
      <c r="A23687" s="74">
        <v>28479</v>
      </c>
    </row>
    <row r="23688" spans="1:1" x14ac:dyDescent="0.25">
      <c r="A23688" s="74">
        <v>28480</v>
      </c>
    </row>
    <row r="23689" spans="1:1" x14ac:dyDescent="0.25">
      <c r="A23689" s="74">
        <v>28481</v>
      </c>
    </row>
    <row r="23690" spans="1:1" x14ac:dyDescent="0.25">
      <c r="A23690" s="74">
        <v>28482</v>
      </c>
    </row>
    <row r="23691" spans="1:1" x14ac:dyDescent="0.25">
      <c r="A23691" s="74">
        <v>28483</v>
      </c>
    </row>
    <row r="23692" spans="1:1" x14ac:dyDescent="0.25">
      <c r="A23692" s="74">
        <v>28484</v>
      </c>
    </row>
    <row r="23693" spans="1:1" x14ac:dyDescent="0.25">
      <c r="A23693" s="74">
        <v>28485</v>
      </c>
    </row>
    <row r="23694" spans="1:1" x14ac:dyDescent="0.25">
      <c r="A23694" s="74">
        <v>28486</v>
      </c>
    </row>
    <row r="23695" spans="1:1" x14ac:dyDescent="0.25">
      <c r="A23695" s="74">
        <v>28487</v>
      </c>
    </row>
    <row r="23696" spans="1:1" x14ac:dyDescent="0.25">
      <c r="A23696" s="74">
        <v>28488</v>
      </c>
    </row>
    <row r="23697" spans="1:1" x14ac:dyDescent="0.25">
      <c r="A23697" s="74">
        <v>28489</v>
      </c>
    </row>
    <row r="23698" spans="1:1" x14ac:dyDescent="0.25">
      <c r="A23698" s="74">
        <v>28490</v>
      </c>
    </row>
    <row r="23699" spans="1:1" x14ac:dyDescent="0.25">
      <c r="A23699" s="74">
        <v>28491</v>
      </c>
    </row>
    <row r="23700" spans="1:1" x14ac:dyDescent="0.25">
      <c r="A23700" s="74">
        <v>28492</v>
      </c>
    </row>
    <row r="23701" spans="1:1" x14ac:dyDescent="0.25">
      <c r="A23701" s="74">
        <v>28493</v>
      </c>
    </row>
    <row r="23702" spans="1:1" x14ac:dyDescent="0.25">
      <c r="A23702" s="74">
        <v>28494</v>
      </c>
    </row>
    <row r="23703" spans="1:1" x14ac:dyDescent="0.25">
      <c r="A23703" s="74">
        <v>28495</v>
      </c>
    </row>
    <row r="23704" spans="1:1" x14ac:dyDescent="0.25">
      <c r="A23704" s="74">
        <v>28496</v>
      </c>
    </row>
    <row r="23705" spans="1:1" x14ac:dyDescent="0.25">
      <c r="A23705" s="74">
        <v>28497</v>
      </c>
    </row>
    <row r="23706" spans="1:1" x14ac:dyDescent="0.25">
      <c r="A23706" s="74">
        <v>28498</v>
      </c>
    </row>
    <row r="23707" spans="1:1" x14ac:dyDescent="0.25">
      <c r="A23707" s="74">
        <v>28499</v>
      </c>
    </row>
    <row r="23708" spans="1:1" x14ac:dyDescent="0.25">
      <c r="A23708" s="74">
        <v>28500</v>
      </c>
    </row>
    <row r="23709" spans="1:1" x14ac:dyDescent="0.25">
      <c r="A23709" s="74">
        <v>28501</v>
      </c>
    </row>
    <row r="23710" spans="1:1" x14ac:dyDescent="0.25">
      <c r="A23710" s="74">
        <v>28502</v>
      </c>
    </row>
    <row r="23711" spans="1:1" x14ac:dyDescent="0.25">
      <c r="A23711" s="74">
        <v>28503</v>
      </c>
    </row>
    <row r="23712" spans="1:1" x14ac:dyDescent="0.25">
      <c r="A23712" s="74">
        <v>28504</v>
      </c>
    </row>
    <row r="23713" spans="1:1" x14ac:dyDescent="0.25">
      <c r="A23713" s="74">
        <v>28505</v>
      </c>
    </row>
    <row r="23714" spans="1:1" x14ac:dyDescent="0.25">
      <c r="A23714" s="74">
        <v>28506</v>
      </c>
    </row>
    <row r="23715" spans="1:1" x14ac:dyDescent="0.25">
      <c r="A23715" s="74">
        <v>28507</v>
      </c>
    </row>
    <row r="23716" spans="1:1" x14ac:dyDescent="0.25">
      <c r="A23716" s="74">
        <v>28508</v>
      </c>
    </row>
    <row r="23717" spans="1:1" x14ac:dyDescent="0.25">
      <c r="A23717" s="74">
        <v>28509</v>
      </c>
    </row>
    <row r="23718" spans="1:1" x14ac:dyDescent="0.25">
      <c r="A23718" s="74">
        <v>28510</v>
      </c>
    </row>
    <row r="23719" spans="1:1" x14ac:dyDescent="0.25">
      <c r="A23719" s="74">
        <v>28511</v>
      </c>
    </row>
    <row r="23720" spans="1:1" x14ac:dyDescent="0.25">
      <c r="A23720" s="74">
        <v>28512</v>
      </c>
    </row>
    <row r="23721" spans="1:1" x14ac:dyDescent="0.25">
      <c r="A23721" s="74">
        <v>28513</v>
      </c>
    </row>
    <row r="23722" spans="1:1" x14ac:dyDescent="0.25">
      <c r="A23722" s="74">
        <v>28514</v>
      </c>
    </row>
    <row r="23723" spans="1:1" x14ac:dyDescent="0.25">
      <c r="A23723" s="74">
        <v>28515</v>
      </c>
    </row>
    <row r="23724" spans="1:1" x14ac:dyDescent="0.25">
      <c r="A23724" s="74">
        <v>28516</v>
      </c>
    </row>
    <row r="23725" spans="1:1" x14ac:dyDescent="0.25">
      <c r="A23725" s="74">
        <v>28517</v>
      </c>
    </row>
    <row r="23726" spans="1:1" x14ac:dyDescent="0.25">
      <c r="A23726" s="74">
        <v>28518</v>
      </c>
    </row>
    <row r="23727" spans="1:1" x14ac:dyDescent="0.25">
      <c r="A23727" s="74">
        <v>28519</v>
      </c>
    </row>
    <row r="23728" spans="1:1" x14ac:dyDescent="0.25">
      <c r="A23728" s="74">
        <v>28520</v>
      </c>
    </row>
    <row r="23729" spans="1:1" x14ac:dyDescent="0.25">
      <c r="A23729" s="74">
        <v>28521</v>
      </c>
    </row>
    <row r="23730" spans="1:1" x14ac:dyDescent="0.25">
      <c r="A23730" s="74">
        <v>28522</v>
      </c>
    </row>
    <row r="23731" spans="1:1" x14ac:dyDescent="0.25">
      <c r="A23731" s="74">
        <v>28523</v>
      </c>
    </row>
    <row r="23732" spans="1:1" x14ac:dyDescent="0.25">
      <c r="A23732" s="74">
        <v>28524</v>
      </c>
    </row>
    <row r="23733" spans="1:1" x14ac:dyDescent="0.25">
      <c r="A23733" s="74">
        <v>28525</v>
      </c>
    </row>
    <row r="23734" spans="1:1" x14ac:dyDescent="0.25">
      <c r="A23734" s="74">
        <v>28526</v>
      </c>
    </row>
    <row r="23735" spans="1:1" x14ac:dyDescent="0.25">
      <c r="A23735" s="74">
        <v>28527</v>
      </c>
    </row>
    <row r="23736" spans="1:1" x14ac:dyDescent="0.25">
      <c r="A23736" s="74">
        <v>28528</v>
      </c>
    </row>
    <row r="23737" spans="1:1" x14ac:dyDescent="0.25">
      <c r="A23737" s="74">
        <v>28529</v>
      </c>
    </row>
    <row r="23738" spans="1:1" x14ac:dyDescent="0.25">
      <c r="A23738" s="74">
        <v>28530</v>
      </c>
    </row>
    <row r="23739" spans="1:1" x14ac:dyDescent="0.25">
      <c r="A23739" s="74">
        <v>28531</v>
      </c>
    </row>
    <row r="23740" spans="1:1" x14ac:dyDescent="0.25">
      <c r="A23740" s="74">
        <v>28532</v>
      </c>
    </row>
    <row r="23741" spans="1:1" x14ac:dyDescent="0.25">
      <c r="A23741" s="74">
        <v>28533</v>
      </c>
    </row>
    <row r="23742" spans="1:1" x14ac:dyDescent="0.25">
      <c r="A23742" s="74">
        <v>28534</v>
      </c>
    </row>
    <row r="23743" spans="1:1" x14ac:dyDescent="0.25">
      <c r="A23743" s="74">
        <v>28535</v>
      </c>
    </row>
    <row r="23744" spans="1:1" x14ac:dyDescent="0.25">
      <c r="A23744" s="74">
        <v>28536</v>
      </c>
    </row>
    <row r="23745" spans="1:1" x14ac:dyDescent="0.25">
      <c r="A23745" s="74">
        <v>28537</v>
      </c>
    </row>
    <row r="23746" spans="1:1" x14ac:dyDescent="0.25">
      <c r="A23746" s="74">
        <v>28538</v>
      </c>
    </row>
    <row r="23747" spans="1:1" x14ac:dyDescent="0.25">
      <c r="A23747" s="74">
        <v>28539</v>
      </c>
    </row>
    <row r="23748" spans="1:1" x14ac:dyDescent="0.25">
      <c r="A23748" s="74">
        <v>28540</v>
      </c>
    </row>
    <row r="23749" spans="1:1" x14ac:dyDescent="0.25">
      <c r="A23749" s="74">
        <v>28541</v>
      </c>
    </row>
    <row r="23750" spans="1:1" x14ac:dyDescent="0.25">
      <c r="A23750" s="74">
        <v>28542</v>
      </c>
    </row>
    <row r="23751" spans="1:1" x14ac:dyDescent="0.25">
      <c r="A23751" s="74">
        <v>28543</v>
      </c>
    </row>
    <row r="23752" spans="1:1" x14ac:dyDescent="0.25">
      <c r="A23752" s="74">
        <v>28544</v>
      </c>
    </row>
    <row r="23753" spans="1:1" x14ac:dyDescent="0.25">
      <c r="A23753" s="74">
        <v>28545</v>
      </c>
    </row>
    <row r="23754" spans="1:1" x14ac:dyDescent="0.25">
      <c r="A23754" s="74">
        <v>28546</v>
      </c>
    </row>
    <row r="23755" spans="1:1" x14ac:dyDescent="0.25">
      <c r="A23755" s="74">
        <v>28547</v>
      </c>
    </row>
    <row r="23756" spans="1:1" x14ac:dyDescent="0.25">
      <c r="A23756" s="74">
        <v>28548</v>
      </c>
    </row>
    <row r="23757" spans="1:1" x14ac:dyDescent="0.25">
      <c r="A23757" s="74">
        <v>28549</v>
      </c>
    </row>
    <row r="23758" spans="1:1" x14ac:dyDescent="0.25">
      <c r="A23758" s="74">
        <v>28550</v>
      </c>
    </row>
    <row r="23759" spans="1:1" x14ac:dyDescent="0.25">
      <c r="A23759" s="74">
        <v>28551</v>
      </c>
    </row>
    <row r="23760" spans="1:1" x14ac:dyDescent="0.25">
      <c r="A23760" s="74">
        <v>28552</v>
      </c>
    </row>
    <row r="23761" spans="1:1" x14ac:dyDescent="0.25">
      <c r="A23761" s="74">
        <v>28553</v>
      </c>
    </row>
    <row r="23762" spans="1:1" x14ac:dyDescent="0.25">
      <c r="A23762" s="74">
        <v>28554</v>
      </c>
    </row>
    <row r="23763" spans="1:1" x14ac:dyDescent="0.25">
      <c r="A23763" s="74">
        <v>28555</v>
      </c>
    </row>
    <row r="23764" spans="1:1" x14ac:dyDescent="0.25">
      <c r="A23764" s="74">
        <v>28556</v>
      </c>
    </row>
    <row r="23765" spans="1:1" x14ac:dyDescent="0.25">
      <c r="A23765" s="74">
        <v>28557</v>
      </c>
    </row>
    <row r="23766" spans="1:1" x14ac:dyDescent="0.25">
      <c r="A23766" s="74">
        <v>28558</v>
      </c>
    </row>
    <row r="23767" spans="1:1" x14ac:dyDescent="0.25">
      <c r="A23767" s="74">
        <v>28559</v>
      </c>
    </row>
    <row r="23768" spans="1:1" x14ac:dyDescent="0.25">
      <c r="A23768" s="74">
        <v>28560</v>
      </c>
    </row>
    <row r="23769" spans="1:1" x14ac:dyDescent="0.25">
      <c r="A23769" s="74">
        <v>28561</v>
      </c>
    </row>
    <row r="23770" spans="1:1" x14ac:dyDescent="0.25">
      <c r="A23770" s="74">
        <v>28562</v>
      </c>
    </row>
    <row r="23771" spans="1:1" x14ac:dyDescent="0.25">
      <c r="A23771" s="74">
        <v>28563</v>
      </c>
    </row>
    <row r="23772" spans="1:1" x14ac:dyDescent="0.25">
      <c r="A23772" s="74">
        <v>28564</v>
      </c>
    </row>
    <row r="23773" spans="1:1" x14ac:dyDescent="0.25">
      <c r="A23773" s="74">
        <v>28565</v>
      </c>
    </row>
    <row r="23774" spans="1:1" x14ac:dyDescent="0.25">
      <c r="A23774" s="74">
        <v>28566</v>
      </c>
    </row>
    <row r="23775" spans="1:1" x14ac:dyDescent="0.25">
      <c r="A23775" s="74">
        <v>28567</v>
      </c>
    </row>
    <row r="23776" spans="1:1" x14ac:dyDescent="0.25">
      <c r="A23776" s="74">
        <v>28568</v>
      </c>
    </row>
    <row r="23777" spans="1:1" x14ac:dyDescent="0.25">
      <c r="A23777" s="74">
        <v>28569</v>
      </c>
    </row>
    <row r="23778" spans="1:1" x14ac:dyDescent="0.25">
      <c r="A23778" s="74">
        <v>28570</v>
      </c>
    </row>
    <row r="23779" spans="1:1" x14ac:dyDescent="0.25">
      <c r="A23779" s="74">
        <v>28571</v>
      </c>
    </row>
    <row r="23780" spans="1:1" x14ac:dyDescent="0.25">
      <c r="A23780" s="74">
        <v>28572</v>
      </c>
    </row>
    <row r="23781" spans="1:1" x14ac:dyDescent="0.25">
      <c r="A23781" s="74">
        <v>28573</v>
      </c>
    </row>
    <row r="23782" spans="1:1" x14ac:dyDescent="0.25">
      <c r="A23782" s="74">
        <v>28574</v>
      </c>
    </row>
    <row r="23783" spans="1:1" x14ac:dyDescent="0.25">
      <c r="A23783" s="74">
        <v>28575</v>
      </c>
    </row>
    <row r="23784" spans="1:1" x14ac:dyDescent="0.25">
      <c r="A23784" s="74">
        <v>28576</v>
      </c>
    </row>
    <row r="23785" spans="1:1" x14ac:dyDescent="0.25">
      <c r="A23785" s="74">
        <v>28577</v>
      </c>
    </row>
    <row r="23786" spans="1:1" x14ac:dyDescent="0.25">
      <c r="A23786" s="74">
        <v>28578</v>
      </c>
    </row>
    <row r="23787" spans="1:1" x14ac:dyDescent="0.25">
      <c r="A23787" s="74">
        <v>28579</v>
      </c>
    </row>
    <row r="23788" spans="1:1" x14ac:dyDescent="0.25">
      <c r="A23788" s="74">
        <v>28580</v>
      </c>
    </row>
    <row r="23789" spans="1:1" x14ac:dyDescent="0.25">
      <c r="A23789" s="74">
        <v>28581</v>
      </c>
    </row>
    <row r="23790" spans="1:1" x14ac:dyDescent="0.25">
      <c r="A23790" s="74">
        <v>28582</v>
      </c>
    </row>
    <row r="23791" spans="1:1" x14ac:dyDescent="0.25">
      <c r="A23791" s="74">
        <v>28583</v>
      </c>
    </row>
    <row r="23792" spans="1:1" x14ac:dyDescent="0.25">
      <c r="A23792" s="74">
        <v>28584</v>
      </c>
    </row>
    <row r="23793" spans="1:1" x14ac:dyDescent="0.25">
      <c r="A23793" s="74">
        <v>28585</v>
      </c>
    </row>
    <row r="23794" spans="1:1" x14ac:dyDescent="0.25">
      <c r="A23794" s="74">
        <v>28586</v>
      </c>
    </row>
    <row r="23795" spans="1:1" x14ac:dyDescent="0.25">
      <c r="A23795" s="74">
        <v>28587</v>
      </c>
    </row>
    <row r="23796" spans="1:1" x14ac:dyDescent="0.25">
      <c r="A23796" s="74">
        <v>28588</v>
      </c>
    </row>
    <row r="23797" spans="1:1" x14ac:dyDescent="0.25">
      <c r="A23797" s="74">
        <v>28589</v>
      </c>
    </row>
    <row r="23798" spans="1:1" x14ac:dyDescent="0.25">
      <c r="A23798" s="74">
        <v>28590</v>
      </c>
    </row>
    <row r="23799" spans="1:1" x14ac:dyDescent="0.25">
      <c r="A23799" s="74">
        <v>28591</v>
      </c>
    </row>
    <row r="23800" spans="1:1" x14ac:dyDescent="0.25">
      <c r="A23800" s="74">
        <v>28592</v>
      </c>
    </row>
    <row r="23801" spans="1:1" x14ac:dyDescent="0.25">
      <c r="A23801" s="74">
        <v>28593</v>
      </c>
    </row>
    <row r="23802" spans="1:1" x14ac:dyDescent="0.25">
      <c r="A23802" s="74">
        <v>28594</v>
      </c>
    </row>
    <row r="23803" spans="1:1" x14ac:dyDescent="0.25">
      <c r="A23803" s="74">
        <v>28595</v>
      </c>
    </row>
    <row r="23804" spans="1:1" x14ac:dyDescent="0.25">
      <c r="A23804" s="74">
        <v>28596</v>
      </c>
    </row>
    <row r="23805" spans="1:1" x14ac:dyDescent="0.25">
      <c r="A23805" s="74">
        <v>28597</v>
      </c>
    </row>
    <row r="23806" spans="1:1" x14ac:dyDescent="0.25">
      <c r="A23806" s="74">
        <v>28598</v>
      </c>
    </row>
    <row r="23807" spans="1:1" x14ac:dyDescent="0.25">
      <c r="A23807" s="74">
        <v>28599</v>
      </c>
    </row>
    <row r="23808" spans="1:1" x14ac:dyDescent="0.25">
      <c r="A23808" s="74">
        <v>28600</v>
      </c>
    </row>
    <row r="23809" spans="1:1" x14ac:dyDescent="0.25">
      <c r="A23809" s="74">
        <v>28601</v>
      </c>
    </row>
    <row r="23810" spans="1:1" x14ac:dyDescent="0.25">
      <c r="A23810" s="74">
        <v>28602</v>
      </c>
    </row>
    <row r="23811" spans="1:1" x14ac:dyDescent="0.25">
      <c r="A23811" s="74">
        <v>28603</v>
      </c>
    </row>
    <row r="23812" spans="1:1" x14ac:dyDescent="0.25">
      <c r="A23812" s="74">
        <v>28604</v>
      </c>
    </row>
    <row r="23813" spans="1:1" x14ac:dyDescent="0.25">
      <c r="A23813" s="74">
        <v>28605</v>
      </c>
    </row>
    <row r="23814" spans="1:1" x14ac:dyDescent="0.25">
      <c r="A23814" s="74">
        <v>28606</v>
      </c>
    </row>
    <row r="23815" spans="1:1" x14ac:dyDescent="0.25">
      <c r="A23815" s="74">
        <v>28607</v>
      </c>
    </row>
    <row r="23816" spans="1:1" x14ac:dyDescent="0.25">
      <c r="A23816" s="74">
        <v>28608</v>
      </c>
    </row>
    <row r="23817" spans="1:1" x14ac:dyDescent="0.25">
      <c r="A23817" s="74">
        <v>28609</v>
      </c>
    </row>
    <row r="23818" spans="1:1" x14ac:dyDescent="0.25">
      <c r="A23818" s="74">
        <v>28610</v>
      </c>
    </row>
    <row r="23819" spans="1:1" x14ac:dyDescent="0.25">
      <c r="A23819" s="74">
        <v>28611</v>
      </c>
    </row>
    <row r="23820" spans="1:1" x14ac:dyDescent="0.25">
      <c r="A23820" s="74">
        <v>28612</v>
      </c>
    </row>
    <row r="23821" spans="1:1" x14ac:dyDescent="0.25">
      <c r="A23821" s="74">
        <v>28613</v>
      </c>
    </row>
    <row r="23822" spans="1:1" x14ac:dyDescent="0.25">
      <c r="A23822" s="74">
        <v>28614</v>
      </c>
    </row>
    <row r="23823" spans="1:1" x14ac:dyDescent="0.25">
      <c r="A23823" s="74">
        <v>28615</v>
      </c>
    </row>
    <row r="23824" spans="1:1" x14ac:dyDescent="0.25">
      <c r="A23824" s="74">
        <v>28616</v>
      </c>
    </row>
    <row r="23825" spans="1:1" x14ac:dyDescent="0.25">
      <c r="A23825" s="74">
        <v>28617</v>
      </c>
    </row>
    <row r="23826" spans="1:1" x14ac:dyDescent="0.25">
      <c r="A23826" s="74">
        <v>28618</v>
      </c>
    </row>
    <row r="23827" spans="1:1" x14ac:dyDescent="0.25">
      <c r="A23827" s="74">
        <v>28619</v>
      </c>
    </row>
    <row r="23828" spans="1:1" x14ac:dyDescent="0.25">
      <c r="A23828" s="74">
        <v>28620</v>
      </c>
    </row>
    <row r="23829" spans="1:1" x14ac:dyDescent="0.25">
      <c r="A23829" s="74">
        <v>28621</v>
      </c>
    </row>
    <row r="23830" spans="1:1" x14ac:dyDescent="0.25">
      <c r="A23830" s="74">
        <v>28622</v>
      </c>
    </row>
    <row r="23831" spans="1:1" x14ac:dyDescent="0.25">
      <c r="A23831" s="74">
        <v>28623</v>
      </c>
    </row>
    <row r="23832" spans="1:1" x14ac:dyDescent="0.25">
      <c r="A23832" s="74">
        <v>28624</v>
      </c>
    </row>
    <row r="23833" spans="1:1" x14ac:dyDescent="0.25">
      <c r="A23833" s="74">
        <v>28625</v>
      </c>
    </row>
    <row r="23834" spans="1:1" x14ac:dyDescent="0.25">
      <c r="A23834" s="74">
        <v>28626</v>
      </c>
    </row>
    <row r="23835" spans="1:1" x14ac:dyDescent="0.25">
      <c r="A23835" s="74">
        <v>28627</v>
      </c>
    </row>
    <row r="23836" spans="1:1" x14ac:dyDescent="0.25">
      <c r="A23836" s="74">
        <v>28628</v>
      </c>
    </row>
    <row r="23837" spans="1:1" x14ac:dyDescent="0.25">
      <c r="A23837" s="74">
        <v>28629</v>
      </c>
    </row>
    <row r="23838" spans="1:1" x14ac:dyDescent="0.25">
      <c r="A23838" s="74">
        <v>28630</v>
      </c>
    </row>
    <row r="23839" spans="1:1" x14ac:dyDescent="0.25">
      <c r="A23839" s="74">
        <v>28631</v>
      </c>
    </row>
    <row r="23840" spans="1:1" x14ac:dyDescent="0.25">
      <c r="A23840" s="74">
        <v>28632</v>
      </c>
    </row>
    <row r="23841" spans="1:1" x14ac:dyDescent="0.25">
      <c r="A23841" s="74">
        <v>28633</v>
      </c>
    </row>
    <row r="23842" spans="1:1" x14ac:dyDescent="0.25">
      <c r="A23842" s="74">
        <v>28634</v>
      </c>
    </row>
    <row r="23843" spans="1:1" x14ac:dyDescent="0.25">
      <c r="A23843" s="74">
        <v>28635</v>
      </c>
    </row>
    <row r="23844" spans="1:1" x14ac:dyDescent="0.25">
      <c r="A23844" s="74">
        <v>28636</v>
      </c>
    </row>
    <row r="23845" spans="1:1" x14ac:dyDescent="0.25">
      <c r="A23845" s="74">
        <v>28637</v>
      </c>
    </row>
    <row r="23846" spans="1:1" x14ac:dyDescent="0.25">
      <c r="A23846" s="74">
        <v>28638</v>
      </c>
    </row>
    <row r="23847" spans="1:1" x14ac:dyDescent="0.25">
      <c r="A23847" s="74">
        <v>28639</v>
      </c>
    </row>
    <row r="23848" spans="1:1" x14ac:dyDescent="0.25">
      <c r="A23848" s="74">
        <v>28640</v>
      </c>
    </row>
    <row r="23849" spans="1:1" x14ac:dyDescent="0.25">
      <c r="A23849" s="74">
        <v>28641</v>
      </c>
    </row>
    <row r="23850" spans="1:1" x14ac:dyDescent="0.25">
      <c r="A23850" s="74">
        <v>28642</v>
      </c>
    </row>
    <row r="23851" spans="1:1" x14ac:dyDescent="0.25">
      <c r="A23851" s="74">
        <v>28643</v>
      </c>
    </row>
    <row r="23852" spans="1:1" x14ac:dyDescent="0.25">
      <c r="A23852" s="74">
        <v>28644</v>
      </c>
    </row>
    <row r="23853" spans="1:1" x14ac:dyDescent="0.25">
      <c r="A23853" s="74">
        <v>28645</v>
      </c>
    </row>
    <row r="23854" spans="1:1" x14ac:dyDescent="0.25">
      <c r="A23854" s="74">
        <v>28646</v>
      </c>
    </row>
    <row r="23855" spans="1:1" x14ac:dyDescent="0.25">
      <c r="A23855" s="74">
        <v>28647</v>
      </c>
    </row>
    <row r="23856" spans="1:1" x14ac:dyDescent="0.25">
      <c r="A23856" s="74">
        <v>28648</v>
      </c>
    </row>
    <row r="23857" spans="1:1" x14ac:dyDescent="0.25">
      <c r="A23857" s="74">
        <v>28649</v>
      </c>
    </row>
    <row r="23858" spans="1:1" x14ac:dyDescent="0.25">
      <c r="A23858" s="74">
        <v>28650</v>
      </c>
    </row>
    <row r="23859" spans="1:1" x14ac:dyDescent="0.25">
      <c r="A23859" s="74">
        <v>28651</v>
      </c>
    </row>
    <row r="23860" spans="1:1" x14ac:dyDescent="0.25">
      <c r="A23860" s="74">
        <v>28652</v>
      </c>
    </row>
    <row r="23861" spans="1:1" x14ac:dyDescent="0.25">
      <c r="A23861" s="74">
        <v>28653</v>
      </c>
    </row>
    <row r="23862" spans="1:1" x14ac:dyDescent="0.25">
      <c r="A23862" s="74">
        <v>28654</v>
      </c>
    </row>
    <row r="23863" spans="1:1" x14ac:dyDescent="0.25">
      <c r="A23863" s="74">
        <v>28655</v>
      </c>
    </row>
    <row r="23864" spans="1:1" x14ac:dyDescent="0.25">
      <c r="A23864" s="74">
        <v>28656</v>
      </c>
    </row>
    <row r="23865" spans="1:1" x14ac:dyDescent="0.25">
      <c r="A23865" s="74">
        <v>28657</v>
      </c>
    </row>
    <row r="23866" spans="1:1" x14ac:dyDescent="0.25">
      <c r="A23866" s="74">
        <v>28658</v>
      </c>
    </row>
    <row r="23867" spans="1:1" x14ac:dyDescent="0.25">
      <c r="A23867" s="74">
        <v>28659</v>
      </c>
    </row>
    <row r="23868" spans="1:1" x14ac:dyDescent="0.25">
      <c r="A23868" s="74">
        <v>28660</v>
      </c>
    </row>
    <row r="23869" spans="1:1" x14ac:dyDescent="0.25">
      <c r="A23869" s="74">
        <v>28661</v>
      </c>
    </row>
    <row r="23870" spans="1:1" x14ac:dyDescent="0.25">
      <c r="A23870" s="74">
        <v>28662</v>
      </c>
    </row>
    <row r="23871" spans="1:1" x14ac:dyDescent="0.25">
      <c r="A23871" s="74">
        <v>28663</v>
      </c>
    </row>
    <row r="23872" spans="1:1" x14ac:dyDescent="0.25">
      <c r="A23872" s="74">
        <v>28664</v>
      </c>
    </row>
    <row r="23873" spans="1:1" x14ac:dyDescent="0.25">
      <c r="A23873" s="74">
        <v>28665</v>
      </c>
    </row>
    <row r="23874" spans="1:1" x14ac:dyDescent="0.25">
      <c r="A23874" s="74">
        <v>28666</v>
      </c>
    </row>
    <row r="23875" spans="1:1" x14ac:dyDescent="0.25">
      <c r="A23875" s="74">
        <v>28667</v>
      </c>
    </row>
    <row r="23876" spans="1:1" x14ac:dyDescent="0.25">
      <c r="A23876" s="74">
        <v>28668</v>
      </c>
    </row>
    <row r="23877" spans="1:1" x14ac:dyDescent="0.25">
      <c r="A23877" s="74">
        <v>28669</v>
      </c>
    </row>
    <row r="23878" spans="1:1" x14ac:dyDescent="0.25">
      <c r="A23878" s="74">
        <v>28670</v>
      </c>
    </row>
    <row r="23879" spans="1:1" x14ac:dyDescent="0.25">
      <c r="A23879" s="74">
        <v>28671</v>
      </c>
    </row>
    <row r="23880" spans="1:1" x14ac:dyDescent="0.25">
      <c r="A23880" s="74">
        <v>28672</v>
      </c>
    </row>
    <row r="23881" spans="1:1" x14ac:dyDescent="0.25">
      <c r="A23881" s="74">
        <v>28673</v>
      </c>
    </row>
    <row r="23882" spans="1:1" x14ac:dyDescent="0.25">
      <c r="A23882" s="74">
        <v>28674</v>
      </c>
    </row>
    <row r="23883" spans="1:1" x14ac:dyDescent="0.25">
      <c r="A23883" s="74">
        <v>28675</v>
      </c>
    </row>
    <row r="23884" spans="1:1" x14ac:dyDescent="0.25">
      <c r="A23884" s="74">
        <v>28676</v>
      </c>
    </row>
    <row r="23885" spans="1:1" x14ac:dyDescent="0.25">
      <c r="A23885" s="74">
        <v>28677</v>
      </c>
    </row>
    <row r="23886" spans="1:1" x14ac:dyDescent="0.25">
      <c r="A23886" s="74">
        <v>28678</v>
      </c>
    </row>
    <row r="23887" spans="1:1" x14ac:dyDescent="0.25">
      <c r="A23887" s="74">
        <v>28679</v>
      </c>
    </row>
    <row r="23888" spans="1:1" x14ac:dyDescent="0.25">
      <c r="A23888" s="74">
        <v>28680</v>
      </c>
    </row>
    <row r="23889" spans="1:1" x14ac:dyDescent="0.25">
      <c r="A23889" s="74">
        <v>28681</v>
      </c>
    </row>
    <row r="23890" spans="1:1" x14ac:dyDescent="0.25">
      <c r="A23890" s="74">
        <v>28682</v>
      </c>
    </row>
    <row r="23891" spans="1:1" x14ac:dyDescent="0.25">
      <c r="A23891" s="74">
        <v>28683</v>
      </c>
    </row>
    <row r="23892" spans="1:1" x14ac:dyDescent="0.25">
      <c r="A23892" s="74">
        <v>28684</v>
      </c>
    </row>
    <row r="23893" spans="1:1" x14ac:dyDescent="0.25">
      <c r="A23893" s="74">
        <v>28685</v>
      </c>
    </row>
    <row r="23894" spans="1:1" x14ac:dyDescent="0.25">
      <c r="A23894" s="74">
        <v>28686</v>
      </c>
    </row>
    <row r="23895" spans="1:1" x14ac:dyDescent="0.25">
      <c r="A23895" s="74">
        <v>28687</v>
      </c>
    </row>
    <row r="23896" spans="1:1" x14ac:dyDescent="0.25">
      <c r="A23896" s="74">
        <v>28688</v>
      </c>
    </row>
    <row r="23897" spans="1:1" x14ac:dyDescent="0.25">
      <c r="A23897" s="74">
        <v>28689</v>
      </c>
    </row>
    <row r="23898" spans="1:1" x14ac:dyDescent="0.25">
      <c r="A23898" s="74">
        <v>28690</v>
      </c>
    </row>
    <row r="23899" spans="1:1" x14ac:dyDescent="0.25">
      <c r="A23899" s="74">
        <v>28691</v>
      </c>
    </row>
    <row r="23900" spans="1:1" x14ac:dyDescent="0.25">
      <c r="A23900" s="74">
        <v>28692</v>
      </c>
    </row>
    <row r="23901" spans="1:1" x14ac:dyDescent="0.25">
      <c r="A23901" s="74">
        <v>28693</v>
      </c>
    </row>
    <row r="23902" spans="1:1" x14ac:dyDescent="0.25">
      <c r="A23902" s="74">
        <v>28694</v>
      </c>
    </row>
    <row r="23903" spans="1:1" x14ac:dyDescent="0.25">
      <c r="A23903" s="74">
        <v>28695</v>
      </c>
    </row>
    <row r="23904" spans="1:1" x14ac:dyDescent="0.25">
      <c r="A23904" s="74">
        <v>28696</v>
      </c>
    </row>
    <row r="23905" spans="1:1" x14ac:dyDescent="0.25">
      <c r="A23905" s="74">
        <v>28697</v>
      </c>
    </row>
    <row r="23906" spans="1:1" x14ac:dyDescent="0.25">
      <c r="A23906" s="74">
        <v>28698</v>
      </c>
    </row>
    <row r="23907" spans="1:1" x14ac:dyDescent="0.25">
      <c r="A23907" s="74">
        <v>28699</v>
      </c>
    </row>
    <row r="23908" spans="1:1" x14ac:dyDescent="0.25">
      <c r="A23908" s="74">
        <v>28700</v>
      </c>
    </row>
    <row r="23909" spans="1:1" x14ac:dyDescent="0.25">
      <c r="A23909" s="74">
        <v>28701</v>
      </c>
    </row>
    <row r="23910" spans="1:1" x14ac:dyDescent="0.25">
      <c r="A23910" s="74">
        <v>28702</v>
      </c>
    </row>
    <row r="23911" spans="1:1" x14ac:dyDescent="0.25">
      <c r="A23911" s="74">
        <v>28703</v>
      </c>
    </row>
    <row r="23912" spans="1:1" x14ac:dyDescent="0.25">
      <c r="A23912" s="74">
        <v>28704</v>
      </c>
    </row>
    <row r="23913" spans="1:1" x14ac:dyDescent="0.25">
      <c r="A23913" s="74">
        <v>28705</v>
      </c>
    </row>
    <row r="23914" spans="1:1" x14ac:dyDescent="0.25">
      <c r="A23914" s="74">
        <v>28706</v>
      </c>
    </row>
    <row r="23915" spans="1:1" x14ac:dyDescent="0.25">
      <c r="A23915" s="74">
        <v>28707</v>
      </c>
    </row>
    <row r="23916" spans="1:1" x14ac:dyDescent="0.25">
      <c r="A23916" s="74">
        <v>28708</v>
      </c>
    </row>
    <row r="23917" spans="1:1" x14ac:dyDescent="0.25">
      <c r="A23917" s="74">
        <v>28709</v>
      </c>
    </row>
    <row r="23918" spans="1:1" x14ac:dyDescent="0.25">
      <c r="A23918" s="74">
        <v>28710</v>
      </c>
    </row>
    <row r="23919" spans="1:1" x14ac:dyDescent="0.25">
      <c r="A23919" s="74">
        <v>28711</v>
      </c>
    </row>
    <row r="23920" spans="1:1" x14ac:dyDescent="0.25">
      <c r="A23920" s="74">
        <v>28712</v>
      </c>
    </row>
    <row r="23921" spans="1:1" x14ac:dyDescent="0.25">
      <c r="A23921" s="74">
        <v>28713</v>
      </c>
    </row>
    <row r="23922" spans="1:1" x14ac:dyDescent="0.25">
      <c r="A23922" s="74">
        <v>28714</v>
      </c>
    </row>
    <row r="23923" spans="1:1" x14ac:dyDescent="0.25">
      <c r="A23923" s="74">
        <v>28715</v>
      </c>
    </row>
    <row r="23924" spans="1:1" x14ac:dyDescent="0.25">
      <c r="A23924" s="74">
        <v>28716</v>
      </c>
    </row>
    <row r="23925" spans="1:1" x14ac:dyDescent="0.25">
      <c r="A23925" s="74">
        <v>28717</v>
      </c>
    </row>
    <row r="23926" spans="1:1" x14ac:dyDescent="0.25">
      <c r="A23926" s="74">
        <v>28718</v>
      </c>
    </row>
    <row r="23927" spans="1:1" x14ac:dyDescent="0.25">
      <c r="A23927" s="74">
        <v>28719</v>
      </c>
    </row>
    <row r="23928" spans="1:1" x14ac:dyDescent="0.25">
      <c r="A23928" s="74">
        <v>28720</v>
      </c>
    </row>
    <row r="23929" spans="1:1" x14ac:dyDescent="0.25">
      <c r="A23929" s="74">
        <v>28721</v>
      </c>
    </row>
    <row r="23930" spans="1:1" x14ac:dyDescent="0.25">
      <c r="A23930" s="74">
        <v>28722</v>
      </c>
    </row>
    <row r="23931" spans="1:1" x14ac:dyDescent="0.25">
      <c r="A23931" s="74">
        <v>28723</v>
      </c>
    </row>
    <row r="23932" spans="1:1" x14ac:dyDescent="0.25">
      <c r="A23932" s="74">
        <v>28724</v>
      </c>
    </row>
    <row r="23933" spans="1:1" x14ac:dyDescent="0.25">
      <c r="A23933" s="74">
        <v>28725</v>
      </c>
    </row>
    <row r="23934" spans="1:1" x14ac:dyDescent="0.25">
      <c r="A23934" s="74">
        <v>28726</v>
      </c>
    </row>
    <row r="23935" spans="1:1" x14ac:dyDescent="0.25">
      <c r="A23935" s="74">
        <v>28727</v>
      </c>
    </row>
    <row r="23936" spans="1:1" x14ac:dyDescent="0.25">
      <c r="A23936" s="74">
        <v>28728</v>
      </c>
    </row>
    <row r="23937" spans="1:1" x14ac:dyDescent="0.25">
      <c r="A23937" s="74">
        <v>28729</v>
      </c>
    </row>
    <row r="23938" spans="1:1" x14ac:dyDescent="0.25">
      <c r="A23938" s="74">
        <v>28730</v>
      </c>
    </row>
    <row r="23939" spans="1:1" x14ac:dyDescent="0.25">
      <c r="A23939" s="74">
        <v>28731</v>
      </c>
    </row>
    <row r="23940" spans="1:1" x14ac:dyDescent="0.25">
      <c r="A23940" s="74">
        <v>28732</v>
      </c>
    </row>
    <row r="23941" spans="1:1" x14ac:dyDescent="0.25">
      <c r="A23941" s="74">
        <v>28733</v>
      </c>
    </row>
    <row r="23942" spans="1:1" x14ac:dyDescent="0.25">
      <c r="A23942" s="74">
        <v>28734</v>
      </c>
    </row>
    <row r="23943" spans="1:1" x14ac:dyDescent="0.25">
      <c r="A23943" s="74">
        <v>28735</v>
      </c>
    </row>
    <row r="23944" spans="1:1" x14ac:dyDescent="0.25">
      <c r="A23944" s="74">
        <v>28736</v>
      </c>
    </row>
    <row r="23945" spans="1:1" x14ac:dyDescent="0.25">
      <c r="A23945" s="74">
        <v>28737</v>
      </c>
    </row>
    <row r="23946" spans="1:1" x14ac:dyDescent="0.25">
      <c r="A23946" s="74">
        <v>28738</v>
      </c>
    </row>
    <row r="23947" spans="1:1" x14ac:dyDescent="0.25">
      <c r="A23947" s="74">
        <v>28739</v>
      </c>
    </row>
    <row r="23948" spans="1:1" x14ac:dyDescent="0.25">
      <c r="A23948" s="74">
        <v>28740</v>
      </c>
    </row>
    <row r="23949" spans="1:1" x14ac:dyDescent="0.25">
      <c r="A23949" s="74">
        <v>28741</v>
      </c>
    </row>
    <row r="23950" spans="1:1" x14ac:dyDescent="0.25">
      <c r="A23950" s="74">
        <v>28742</v>
      </c>
    </row>
    <row r="23951" spans="1:1" x14ac:dyDescent="0.25">
      <c r="A23951" s="74">
        <v>28743</v>
      </c>
    </row>
    <row r="23952" spans="1:1" x14ac:dyDescent="0.25">
      <c r="A23952" s="74">
        <v>28744</v>
      </c>
    </row>
    <row r="23953" spans="1:1" x14ac:dyDescent="0.25">
      <c r="A23953" s="74">
        <v>28745</v>
      </c>
    </row>
    <row r="23954" spans="1:1" x14ac:dyDescent="0.25">
      <c r="A23954" s="74">
        <v>28746</v>
      </c>
    </row>
    <row r="23955" spans="1:1" x14ac:dyDescent="0.25">
      <c r="A23955" s="74">
        <v>28747</v>
      </c>
    </row>
    <row r="23956" spans="1:1" x14ac:dyDescent="0.25">
      <c r="A23956" s="74">
        <v>28748</v>
      </c>
    </row>
    <row r="23957" spans="1:1" x14ac:dyDescent="0.25">
      <c r="A23957" s="74">
        <v>28749</v>
      </c>
    </row>
    <row r="23958" spans="1:1" x14ac:dyDescent="0.25">
      <c r="A23958" s="74">
        <v>28750</v>
      </c>
    </row>
    <row r="23959" spans="1:1" x14ac:dyDescent="0.25">
      <c r="A23959" s="74">
        <v>28751</v>
      </c>
    </row>
    <row r="23960" spans="1:1" x14ac:dyDescent="0.25">
      <c r="A23960" s="74">
        <v>28752</v>
      </c>
    </row>
    <row r="23961" spans="1:1" x14ac:dyDescent="0.25">
      <c r="A23961" s="74">
        <v>28753</v>
      </c>
    </row>
    <row r="23962" spans="1:1" x14ac:dyDescent="0.25">
      <c r="A23962" s="74">
        <v>28754</v>
      </c>
    </row>
    <row r="23963" spans="1:1" x14ac:dyDescent="0.25">
      <c r="A23963" s="74">
        <v>28755</v>
      </c>
    </row>
    <row r="23964" spans="1:1" x14ac:dyDescent="0.25">
      <c r="A23964" s="74">
        <v>28756</v>
      </c>
    </row>
    <row r="23965" spans="1:1" x14ac:dyDescent="0.25">
      <c r="A23965" s="74">
        <v>28757</v>
      </c>
    </row>
    <row r="23966" spans="1:1" x14ac:dyDescent="0.25">
      <c r="A23966" s="74">
        <v>28758</v>
      </c>
    </row>
    <row r="23967" spans="1:1" x14ac:dyDescent="0.25">
      <c r="A23967" s="74">
        <v>28759</v>
      </c>
    </row>
    <row r="23968" spans="1:1" x14ac:dyDescent="0.25">
      <c r="A23968" s="74">
        <v>28760</v>
      </c>
    </row>
    <row r="23969" spans="1:1" x14ac:dyDescent="0.25">
      <c r="A23969" s="74">
        <v>28761</v>
      </c>
    </row>
    <row r="23970" spans="1:1" x14ac:dyDescent="0.25">
      <c r="A23970" s="74">
        <v>28762</v>
      </c>
    </row>
    <row r="23971" spans="1:1" x14ac:dyDescent="0.25">
      <c r="A23971" s="74">
        <v>28763</v>
      </c>
    </row>
    <row r="23972" spans="1:1" x14ac:dyDescent="0.25">
      <c r="A23972" s="74">
        <v>28764</v>
      </c>
    </row>
    <row r="23973" spans="1:1" x14ac:dyDescent="0.25">
      <c r="A23973" s="74">
        <v>28765</v>
      </c>
    </row>
    <row r="23974" spans="1:1" x14ac:dyDescent="0.25">
      <c r="A23974" s="74">
        <v>28766</v>
      </c>
    </row>
    <row r="23975" spans="1:1" x14ac:dyDescent="0.25">
      <c r="A23975" s="74">
        <v>28767</v>
      </c>
    </row>
    <row r="23976" spans="1:1" x14ac:dyDescent="0.25">
      <c r="A23976" s="74">
        <v>28768</v>
      </c>
    </row>
    <row r="23977" spans="1:1" x14ac:dyDescent="0.25">
      <c r="A23977" s="74">
        <v>28769</v>
      </c>
    </row>
    <row r="23978" spans="1:1" x14ac:dyDescent="0.25">
      <c r="A23978" s="74">
        <v>28770</v>
      </c>
    </row>
    <row r="23979" spans="1:1" x14ac:dyDescent="0.25">
      <c r="A23979" s="74">
        <v>28771</v>
      </c>
    </row>
    <row r="23980" spans="1:1" x14ac:dyDescent="0.25">
      <c r="A23980" s="74">
        <v>28772</v>
      </c>
    </row>
    <row r="23981" spans="1:1" x14ac:dyDescent="0.25">
      <c r="A23981" s="74">
        <v>28773</v>
      </c>
    </row>
    <row r="23982" spans="1:1" x14ac:dyDescent="0.25">
      <c r="A23982" s="74">
        <v>28774</v>
      </c>
    </row>
    <row r="23983" spans="1:1" x14ac:dyDescent="0.25">
      <c r="A23983" s="74">
        <v>28775</v>
      </c>
    </row>
    <row r="23984" spans="1:1" x14ac:dyDescent="0.25">
      <c r="A23984" s="74">
        <v>28776</v>
      </c>
    </row>
    <row r="23985" spans="1:1" x14ac:dyDescent="0.25">
      <c r="A23985" s="74">
        <v>28777</v>
      </c>
    </row>
    <row r="23986" spans="1:1" x14ac:dyDescent="0.25">
      <c r="A23986" s="74">
        <v>28778</v>
      </c>
    </row>
    <row r="23987" spans="1:1" x14ac:dyDescent="0.25">
      <c r="A23987" s="74">
        <v>28779</v>
      </c>
    </row>
    <row r="23988" spans="1:1" x14ac:dyDescent="0.25">
      <c r="A23988" s="74">
        <v>28780</v>
      </c>
    </row>
    <row r="23989" spans="1:1" x14ac:dyDescent="0.25">
      <c r="A23989" s="74">
        <v>28781</v>
      </c>
    </row>
    <row r="23990" spans="1:1" x14ac:dyDescent="0.25">
      <c r="A23990" s="74">
        <v>28782</v>
      </c>
    </row>
    <row r="23991" spans="1:1" x14ac:dyDescent="0.25">
      <c r="A23991" s="74">
        <v>28783</v>
      </c>
    </row>
    <row r="23992" spans="1:1" x14ac:dyDescent="0.25">
      <c r="A23992" s="74">
        <v>28784</v>
      </c>
    </row>
    <row r="23993" spans="1:1" x14ac:dyDescent="0.25">
      <c r="A23993" s="74">
        <v>28785</v>
      </c>
    </row>
    <row r="23994" spans="1:1" x14ac:dyDescent="0.25">
      <c r="A23994" s="74">
        <v>28786</v>
      </c>
    </row>
    <row r="23995" spans="1:1" x14ac:dyDescent="0.25">
      <c r="A23995" s="74">
        <v>28787</v>
      </c>
    </row>
    <row r="23996" spans="1:1" x14ac:dyDescent="0.25">
      <c r="A23996" s="74">
        <v>28788</v>
      </c>
    </row>
    <row r="23997" spans="1:1" x14ac:dyDescent="0.25">
      <c r="A23997" s="74">
        <v>28789</v>
      </c>
    </row>
    <row r="23998" spans="1:1" x14ac:dyDescent="0.25">
      <c r="A23998" s="74">
        <v>28790</v>
      </c>
    </row>
    <row r="23999" spans="1:1" x14ac:dyDescent="0.25">
      <c r="A23999" s="74">
        <v>28791</v>
      </c>
    </row>
    <row r="24000" spans="1:1" x14ac:dyDescent="0.25">
      <c r="A24000" s="74">
        <v>28792</v>
      </c>
    </row>
    <row r="24001" spans="1:1" x14ac:dyDescent="0.25">
      <c r="A24001" s="74">
        <v>28793</v>
      </c>
    </row>
    <row r="24002" spans="1:1" x14ac:dyDescent="0.25">
      <c r="A24002" s="74">
        <v>28794</v>
      </c>
    </row>
    <row r="24003" spans="1:1" x14ac:dyDescent="0.25">
      <c r="A24003" s="74">
        <v>28795</v>
      </c>
    </row>
    <row r="24004" spans="1:1" x14ac:dyDescent="0.25">
      <c r="A24004" s="74">
        <v>28796</v>
      </c>
    </row>
    <row r="24005" spans="1:1" x14ac:dyDescent="0.25">
      <c r="A24005" s="74">
        <v>28797</v>
      </c>
    </row>
    <row r="24006" spans="1:1" x14ac:dyDescent="0.25">
      <c r="A24006" s="74">
        <v>28798</v>
      </c>
    </row>
    <row r="24007" spans="1:1" x14ac:dyDescent="0.25">
      <c r="A24007" s="74">
        <v>28799</v>
      </c>
    </row>
    <row r="24008" spans="1:1" x14ac:dyDescent="0.25">
      <c r="A24008" s="74">
        <v>28800</v>
      </c>
    </row>
    <row r="24009" spans="1:1" x14ac:dyDescent="0.25">
      <c r="A24009" s="74">
        <v>28801</v>
      </c>
    </row>
    <row r="24010" spans="1:1" x14ac:dyDescent="0.25">
      <c r="A24010" s="74">
        <v>28802</v>
      </c>
    </row>
    <row r="24011" spans="1:1" x14ac:dyDescent="0.25">
      <c r="A24011" s="74">
        <v>28803</v>
      </c>
    </row>
    <row r="24012" spans="1:1" x14ac:dyDescent="0.25">
      <c r="A24012" s="74">
        <v>28804</v>
      </c>
    </row>
    <row r="24013" spans="1:1" x14ac:dyDescent="0.25">
      <c r="A24013" s="74">
        <v>28805</v>
      </c>
    </row>
    <row r="24014" spans="1:1" x14ac:dyDescent="0.25">
      <c r="A24014" s="74">
        <v>28806</v>
      </c>
    </row>
    <row r="24015" spans="1:1" x14ac:dyDescent="0.25">
      <c r="A24015" s="74">
        <v>28807</v>
      </c>
    </row>
    <row r="24016" spans="1:1" x14ac:dyDescent="0.25">
      <c r="A24016" s="74">
        <v>28808</v>
      </c>
    </row>
    <row r="24017" spans="1:1" x14ac:dyDescent="0.25">
      <c r="A24017" s="74">
        <v>28809</v>
      </c>
    </row>
    <row r="24018" spans="1:1" x14ac:dyDescent="0.25">
      <c r="A24018" s="74">
        <v>28810</v>
      </c>
    </row>
    <row r="24019" spans="1:1" x14ac:dyDescent="0.25">
      <c r="A24019" s="74">
        <v>28811</v>
      </c>
    </row>
    <row r="24020" spans="1:1" x14ac:dyDescent="0.25">
      <c r="A24020" s="74">
        <v>28812</v>
      </c>
    </row>
    <row r="24021" spans="1:1" x14ac:dyDescent="0.25">
      <c r="A24021" s="74">
        <v>28813</v>
      </c>
    </row>
    <row r="24022" spans="1:1" x14ac:dyDescent="0.25">
      <c r="A24022" s="74">
        <v>28814</v>
      </c>
    </row>
    <row r="24023" spans="1:1" x14ac:dyDescent="0.25">
      <c r="A24023" s="74">
        <v>28815</v>
      </c>
    </row>
    <row r="24024" spans="1:1" x14ac:dyDescent="0.25">
      <c r="A24024" s="74">
        <v>28816</v>
      </c>
    </row>
    <row r="24025" spans="1:1" x14ac:dyDescent="0.25">
      <c r="A24025" s="74">
        <v>28817</v>
      </c>
    </row>
    <row r="24026" spans="1:1" x14ac:dyDescent="0.25">
      <c r="A24026" s="74">
        <v>28818</v>
      </c>
    </row>
    <row r="24027" spans="1:1" x14ac:dyDescent="0.25">
      <c r="A24027" s="74">
        <v>28819</v>
      </c>
    </row>
    <row r="24028" spans="1:1" x14ac:dyDescent="0.25">
      <c r="A24028" s="74">
        <v>28820</v>
      </c>
    </row>
    <row r="24029" spans="1:1" x14ac:dyDescent="0.25">
      <c r="A24029" s="74">
        <v>28821</v>
      </c>
    </row>
    <row r="24030" spans="1:1" x14ac:dyDescent="0.25">
      <c r="A24030" s="74">
        <v>28822</v>
      </c>
    </row>
    <row r="24031" spans="1:1" x14ac:dyDescent="0.25">
      <c r="A24031" s="74">
        <v>28823</v>
      </c>
    </row>
    <row r="24032" spans="1:1" x14ac:dyDescent="0.25">
      <c r="A24032" s="74">
        <v>28824</v>
      </c>
    </row>
    <row r="24033" spans="1:1" x14ac:dyDescent="0.25">
      <c r="A24033" s="74">
        <v>28825</v>
      </c>
    </row>
    <row r="24034" spans="1:1" x14ac:dyDescent="0.25">
      <c r="A24034" s="74">
        <v>28826</v>
      </c>
    </row>
    <row r="24035" spans="1:1" x14ac:dyDescent="0.25">
      <c r="A24035" s="74">
        <v>28827</v>
      </c>
    </row>
    <row r="24036" spans="1:1" x14ac:dyDescent="0.25">
      <c r="A24036" s="74">
        <v>28828</v>
      </c>
    </row>
    <row r="24037" spans="1:1" x14ac:dyDescent="0.25">
      <c r="A24037" s="74">
        <v>28829</v>
      </c>
    </row>
    <row r="24038" spans="1:1" x14ac:dyDescent="0.25">
      <c r="A24038" s="74">
        <v>28830</v>
      </c>
    </row>
    <row r="24039" spans="1:1" x14ac:dyDescent="0.25">
      <c r="A24039" s="74">
        <v>28831</v>
      </c>
    </row>
    <row r="24040" spans="1:1" x14ac:dyDescent="0.25">
      <c r="A24040" s="74">
        <v>28832</v>
      </c>
    </row>
    <row r="24041" spans="1:1" x14ac:dyDescent="0.25">
      <c r="A24041" s="74">
        <v>28833</v>
      </c>
    </row>
    <row r="24042" spans="1:1" x14ac:dyDescent="0.25">
      <c r="A24042" s="74">
        <v>28834</v>
      </c>
    </row>
    <row r="24043" spans="1:1" x14ac:dyDescent="0.25">
      <c r="A24043" s="74">
        <v>28835</v>
      </c>
    </row>
    <row r="24044" spans="1:1" x14ac:dyDescent="0.25">
      <c r="A24044" s="74">
        <v>28836</v>
      </c>
    </row>
    <row r="24045" spans="1:1" x14ac:dyDescent="0.25">
      <c r="A24045" s="74">
        <v>28837</v>
      </c>
    </row>
    <row r="24046" spans="1:1" x14ac:dyDescent="0.25">
      <c r="A24046" s="74">
        <v>28838</v>
      </c>
    </row>
    <row r="24047" spans="1:1" x14ac:dyDescent="0.25">
      <c r="A24047" s="74">
        <v>28839</v>
      </c>
    </row>
    <row r="24048" spans="1:1" x14ac:dyDescent="0.25">
      <c r="A24048" s="74">
        <v>28840</v>
      </c>
    </row>
    <row r="24049" spans="1:1" x14ac:dyDescent="0.25">
      <c r="A24049" s="74">
        <v>28841</v>
      </c>
    </row>
    <row r="24050" spans="1:1" x14ac:dyDescent="0.25">
      <c r="A24050" s="74">
        <v>28842</v>
      </c>
    </row>
    <row r="24051" spans="1:1" x14ac:dyDescent="0.25">
      <c r="A24051" s="74">
        <v>28843</v>
      </c>
    </row>
    <row r="24052" spans="1:1" x14ac:dyDescent="0.25">
      <c r="A24052" s="74">
        <v>28844</v>
      </c>
    </row>
    <row r="24053" spans="1:1" x14ac:dyDescent="0.25">
      <c r="A24053" s="74">
        <v>28845</v>
      </c>
    </row>
    <row r="24054" spans="1:1" x14ac:dyDescent="0.25">
      <c r="A24054" s="74">
        <v>28846</v>
      </c>
    </row>
    <row r="24055" spans="1:1" x14ac:dyDescent="0.25">
      <c r="A24055" s="74">
        <v>28847</v>
      </c>
    </row>
    <row r="24056" spans="1:1" x14ac:dyDescent="0.25">
      <c r="A24056" s="74">
        <v>28848</v>
      </c>
    </row>
    <row r="24057" spans="1:1" x14ac:dyDescent="0.25">
      <c r="A24057" s="74">
        <v>28849</v>
      </c>
    </row>
    <row r="24058" spans="1:1" x14ac:dyDescent="0.25">
      <c r="A24058" s="74">
        <v>28850</v>
      </c>
    </row>
    <row r="24059" spans="1:1" x14ac:dyDescent="0.25">
      <c r="A24059" s="74">
        <v>28851</v>
      </c>
    </row>
    <row r="24060" spans="1:1" x14ac:dyDescent="0.25">
      <c r="A24060" s="74">
        <v>28852</v>
      </c>
    </row>
    <row r="24061" spans="1:1" x14ac:dyDescent="0.25">
      <c r="A24061" s="74">
        <v>28853</v>
      </c>
    </row>
    <row r="24062" spans="1:1" x14ac:dyDescent="0.25">
      <c r="A24062" s="74">
        <v>28854</v>
      </c>
    </row>
    <row r="24063" spans="1:1" x14ac:dyDescent="0.25">
      <c r="A24063" s="74">
        <v>28855</v>
      </c>
    </row>
    <row r="24064" spans="1:1" x14ac:dyDescent="0.25">
      <c r="A24064" s="74">
        <v>28856</v>
      </c>
    </row>
    <row r="24065" spans="1:1" x14ac:dyDescent="0.25">
      <c r="A24065" s="74">
        <v>28857</v>
      </c>
    </row>
    <row r="24066" spans="1:1" x14ac:dyDescent="0.25">
      <c r="A24066" s="74">
        <v>28858</v>
      </c>
    </row>
    <row r="24067" spans="1:1" x14ac:dyDescent="0.25">
      <c r="A24067" s="74">
        <v>28859</v>
      </c>
    </row>
    <row r="24068" spans="1:1" x14ac:dyDescent="0.25">
      <c r="A24068" s="74">
        <v>28860</v>
      </c>
    </row>
    <row r="24069" spans="1:1" x14ac:dyDescent="0.25">
      <c r="A24069" s="74">
        <v>28861</v>
      </c>
    </row>
    <row r="24070" spans="1:1" x14ac:dyDescent="0.25">
      <c r="A24070" s="74">
        <v>28862</v>
      </c>
    </row>
    <row r="24071" spans="1:1" x14ac:dyDescent="0.25">
      <c r="A24071" s="74">
        <v>28863</v>
      </c>
    </row>
    <row r="24072" spans="1:1" x14ac:dyDescent="0.25">
      <c r="A24072" s="74">
        <v>28864</v>
      </c>
    </row>
    <row r="24073" spans="1:1" x14ac:dyDescent="0.25">
      <c r="A24073" s="74">
        <v>28865</v>
      </c>
    </row>
    <row r="24074" spans="1:1" x14ac:dyDescent="0.25">
      <c r="A24074" s="74">
        <v>28866</v>
      </c>
    </row>
    <row r="24075" spans="1:1" x14ac:dyDescent="0.25">
      <c r="A24075" s="74">
        <v>28867</v>
      </c>
    </row>
    <row r="24076" spans="1:1" x14ac:dyDescent="0.25">
      <c r="A24076" s="74">
        <v>28868</v>
      </c>
    </row>
    <row r="24077" spans="1:1" x14ac:dyDescent="0.25">
      <c r="A24077" s="74">
        <v>28869</v>
      </c>
    </row>
    <row r="24078" spans="1:1" x14ac:dyDescent="0.25">
      <c r="A24078" s="74">
        <v>28870</v>
      </c>
    </row>
    <row r="24079" spans="1:1" x14ac:dyDescent="0.25">
      <c r="A24079" s="74">
        <v>28871</v>
      </c>
    </row>
    <row r="24080" spans="1:1" x14ac:dyDescent="0.25">
      <c r="A24080" s="74">
        <v>28872</v>
      </c>
    </row>
    <row r="24081" spans="1:1" x14ac:dyDescent="0.25">
      <c r="A24081" s="74">
        <v>28873</v>
      </c>
    </row>
    <row r="24082" spans="1:1" x14ac:dyDescent="0.25">
      <c r="A24082" s="74">
        <v>28874</v>
      </c>
    </row>
    <row r="24083" spans="1:1" x14ac:dyDescent="0.25">
      <c r="A24083" s="74">
        <v>28875</v>
      </c>
    </row>
    <row r="24084" spans="1:1" x14ac:dyDescent="0.25">
      <c r="A24084" s="74">
        <v>28876</v>
      </c>
    </row>
    <row r="24085" spans="1:1" x14ac:dyDescent="0.25">
      <c r="A24085" s="74">
        <v>28877</v>
      </c>
    </row>
    <row r="24086" spans="1:1" x14ac:dyDescent="0.25">
      <c r="A24086" s="74">
        <v>28878</v>
      </c>
    </row>
    <row r="24087" spans="1:1" x14ac:dyDescent="0.25">
      <c r="A24087" s="74">
        <v>28879</v>
      </c>
    </row>
    <row r="24088" spans="1:1" x14ac:dyDescent="0.25">
      <c r="A24088" s="74">
        <v>28880</v>
      </c>
    </row>
    <row r="24089" spans="1:1" x14ac:dyDescent="0.25">
      <c r="A24089" s="74">
        <v>28881</v>
      </c>
    </row>
    <row r="24090" spans="1:1" x14ac:dyDescent="0.25">
      <c r="A24090" s="74">
        <v>28882</v>
      </c>
    </row>
    <row r="24091" spans="1:1" x14ac:dyDescent="0.25">
      <c r="A24091" s="74">
        <v>28883</v>
      </c>
    </row>
    <row r="24092" spans="1:1" x14ac:dyDescent="0.25">
      <c r="A24092" s="74">
        <v>28884</v>
      </c>
    </row>
    <row r="24093" spans="1:1" x14ac:dyDescent="0.25">
      <c r="A24093" s="74">
        <v>28885</v>
      </c>
    </row>
    <row r="24094" spans="1:1" x14ac:dyDescent="0.25">
      <c r="A24094" s="74">
        <v>28886</v>
      </c>
    </row>
    <row r="24095" spans="1:1" x14ac:dyDescent="0.25">
      <c r="A24095" s="74">
        <v>28887</v>
      </c>
    </row>
    <row r="24096" spans="1:1" x14ac:dyDescent="0.25">
      <c r="A24096" s="74">
        <v>28888</v>
      </c>
    </row>
    <row r="24097" spans="1:1" x14ac:dyDescent="0.25">
      <c r="A24097" s="74">
        <v>28889</v>
      </c>
    </row>
    <row r="24098" spans="1:1" x14ac:dyDescent="0.25">
      <c r="A24098" s="74">
        <v>28890</v>
      </c>
    </row>
    <row r="24099" spans="1:1" x14ac:dyDescent="0.25">
      <c r="A24099" s="74">
        <v>28891</v>
      </c>
    </row>
    <row r="24100" spans="1:1" x14ac:dyDescent="0.25">
      <c r="A24100" s="74">
        <v>28892</v>
      </c>
    </row>
    <row r="24101" spans="1:1" x14ac:dyDescent="0.25">
      <c r="A24101" s="74">
        <v>28893</v>
      </c>
    </row>
    <row r="24102" spans="1:1" x14ac:dyDescent="0.25">
      <c r="A24102" s="74">
        <v>28894</v>
      </c>
    </row>
    <row r="24103" spans="1:1" x14ac:dyDescent="0.25">
      <c r="A24103" s="74">
        <v>28895</v>
      </c>
    </row>
    <row r="24104" spans="1:1" x14ac:dyDescent="0.25">
      <c r="A24104" s="74">
        <v>28896</v>
      </c>
    </row>
    <row r="24105" spans="1:1" x14ac:dyDescent="0.25">
      <c r="A24105" s="74">
        <v>28897</v>
      </c>
    </row>
    <row r="24106" spans="1:1" x14ac:dyDescent="0.25">
      <c r="A24106" s="74">
        <v>28898</v>
      </c>
    </row>
    <row r="24107" spans="1:1" x14ac:dyDescent="0.25">
      <c r="A24107" s="74">
        <v>28899</v>
      </c>
    </row>
    <row r="24108" spans="1:1" x14ac:dyDescent="0.25">
      <c r="A24108" s="74">
        <v>28900</v>
      </c>
    </row>
    <row r="24109" spans="1:1" x14ac:dyDescent="0.25">
      <c r="A24109" s="74">
        <v>28901</v>
      </c>
    </row>
    <row r="24110" spans="1:1" x14ac:dyDescent="0.25">
      <c r="A24110" s="74">
        <v>28902</v>
      </c>
    </row>
    <row r="24111" spans="1:1" x14ac:dyDescent="0.25">
      <c r="A24111" s="74">
        <v>28903</v>
      </c>
    </row>
    <row r="24112" spans="1:1" x14ac:dyDescent="0.25">
      <c r="A24112" s="74">
        <v>28904</v>
      </c>
    </row>
    <row r="24113" spans="1:1" x14ac:dyDescent="0.25">
      <c r="A24113" s="74">
        <v>28905</v>
      </c>
    </row>
    <row r="24114" spans="1:1" x14ac:dyDescent="0.25">
      <c r="A24114" s="74">
        <v>28906</v>
      </c>
    </row>
    <row r="24115" spans="1:1" x14ac:dyDescent="0.25">
      <c r="A24115" s="74">
        <v>28907</v>
      </c>
    </row>
    <row r="24116" spans="1:1" x14ac:dyDescent="0.25">
      <c r="A24116" s="74">
        <v>28908</v>
      </c>
    </row>
    <row r="24117" spans="1:1" x14ac:dyDescent="0.25">
      <c r="A24117" s="74">
        <v>28909</v>
      </c>
    </row>
    <row r="24118" spans="1:1" x14ac:dyDescent="0.25">
      <c r="A24118" s="74">
        <v>28910</v>
      </c>
    </row>
    <row r="24119" spans="1:1" x14ac:dyDescent="0.25">
      <c r="A24119" s="74">
        <v>28911</v>
      </c>
    </row>
    <row r="24120" spans="1:1" x14ac:dyDescent="0.25">
      <c r="A24120" s="74">
        <v>28912</v>
      </c>
    </row>
    <row r="24121" spans="1:1" x14ac:dyDescent="0.25">
      <c r="A24121" s="74">
        <v>28913</v>
      </c>
    </row>
    <row r="24122" spans="1:1" x14ac:dyDescent="0.25">
      <c r="A24122" s="74">
        <v>28914</v>
      </c>
    </row>
    <row r="24123" spans="1:1" x14ac:dyDescent="0.25">
      <c r="A24123" s="74">
        <v>28915</v>
      </c>
    </row>
    <row r="24124" spans="1:1" x14ac:dyDescent="0.25">
      <c r="A24124" s="74">
        <v>28916</v>
      </c>
    </row>
    <row r="24125" spans="1:1" x14ac:dyDescent="0.25">
      <c r="A24125" s="74">
        <v>28917</v>
      </c>
    </row>
    <row r="24126" spans="1:1" x14ac:dyDescent="0.25">
      <c r="A24126" s="74">
        <v>28918</v>
      </c>
    </row>
    <row r="24127" spans="1:1" x14ac:dyDescent="0.25">
      <c r="A24127" s="74">
        <v>28919</v>
      </c>
    </row>
    <row r="24128" spans="1:1" x14ac:dyDescent="0.25">
      <c r="A24128" s="74">
        <v>28920</v>
      </c>
    </row>
    <row r="24129" spans="1:1" x14ac:dyDescent="0.25">
      <c r="A24129" s="74">
        <v>28921</v>
      </c>
    </row>
    <row r="24130" spans="1:1" x14ac:dyDescent="0.25">
      <c r="A24130" s="74">
        <v>28922</v>
      </c>
    </row>
    <row r="24131" spans="1:1" x14ac:dyDescent="0.25">
      <c r="A24131" s="74">
        <v>28923</v>
      </c>
    </row>
    <row r="24132" spans="1:1" x14ac:dyDescent="0.25">
      <c r="A24132" s="74">
        <v>28924</v>
      </c>
    </row>
    <row r="24133" spans="1:1" x14ac:dyDescent="0.25">
      <c r="A24133" s="74">
        <v>28925</v>
      </c>
    </row>
    <row r="24134" spans="1:1" x14ac:dyDescent="0.25">
      <c r="A24134" s="74">
        <v>28926</v>
      </c>
    </row>
    <row r="24135" spans="1:1" x14ac:dyDescent="0.25">
      <c r="A24135" s="74">
        <v>28927</v>
      </c>
    </row>
    <row r="24136" spans="1:1" x14ac:dyDescent="0.25">
      <c r="A24136" s="74">
        <v>28928</v>
      </c>
    </row>
    <row r="24137" spans="1:1" x14ac:dyDescent="0.25">
      <c r="A24137" s="74">
        <v>28929</v>
      </c>
    </row>
    <row r="24138" spans="1:1" x14ac:dyDescent="0.25">
      <c r="A24138" s="74">
        <v>28930</v>
      </c>
    </row>
    <row r="24139" spans="1:1" x14ac:dyDescent="0.25">
      <c r="A24139" s="74">
        <v>28931</v>
      </c>
    </row>
    <row r="24140" spans="1:1" x14ac:dyDescent="0.25">
      <c r="A24140" s="74">
        <v>28932</v>
      </c>
    </row>
    <row r="24141" spans="1:1" x14ac:dyDescent="0.25">
      <c r="A24141" s="74">
        <v>28933</v>
      </c>
    </row>
    <row r="24142" spans="1:1" x14ac:dyDescent="0.25">
      <c r="A24142" s="74">
        <v>28934</v>
      </c>
    </row>
    <row r="24143" spans="1:1" x14ac:dyDescent="0.25">
      <c r="A24143" s="74">
        <v>28935</v>
      </c>
    </row>
    <row r="24144" spans="1:1" x14ac:dyDescent="0.25">
      <c r="A24144" s="74">
        <v>28936</v>
      </c>
    </row>
    <row r="24145" spans="1:3" x14ac:dyDescent="0.25">
      <c r="A24145" s="74">
        <v>28937</v>
      </c>
    </row>
    <row r="24146" spans="1:3" x14ac:dyDescent="0.25">
      <c r="A24146" s="74">
        <v>28938</v>
      </c>
    </row>
    <row r="24147" spans="1:3" x14ac:dyDescent="0.25">
      <c r="A24147" s="74">
        <v>28939</v>
      </c>
    </row>
    <row r="24148" spans="1:3" x14ac:dyDescent="0.25">
      <c r="A24148" s="74">
        <v>28940</v>
      </c>
    </row>
    <row r="24149" spans="1:3" x14ac:dyDescent="0.25">
      <c r="A24149" s="74">
        <v>28941</v>
      </c>
    </row>
    <row r="24150" spans="1:3" x14ac:dyDescent="0.25">
      <c r="A24150" s="74">
        <v>28942</v>
      </c>
    </row>
    <row r="24151" spans="1:3" x14ac:dyDescent="0.25">
      <c r="A24151" s="74">
        <v>28943</v>
      </c>
    </row>
    <row r="24152" spans="1:3" x14ac:dyDescent="0.25">
      <c r="A24152" s="74">
        <v>28944</v>
      </c>
    </row>
    <row r="24153" spans="1:3" x14ac:dyDescent="0.25">
      <c r="A24153" s="74">
        <v>28945</v>
      </c>
    </row>
    <row r="24154" spans="1:3" x14ac:dyDescent="0.25">
      <c r="A24154" s="74">
        <v>28946</v>
      </c>
      <c r="B24154">
        <v>4.93</v>
      </c>
      <c r="C24154" t="s">
        <v>141</v>
      </c>
    </row>
    <row r="24155" spans="1:3" x14ac:dyDescent="0.25">
      <c r="A24155" s="74">
        <v>28947</v>
      </c>
      <c r="B24155">
        <v>4.59</v>
      </c>
    </row>
    <row r="24156" spans="1:3" x14ac:dyDescent="0.25">
      <c r="A24156" s="74">
        <v>28948</v>
      </c>
      <c r="B24156">
        <v>4.6399999999999997</v>
      </c>
      <c r="C24156" t="s">
        <v>141</v>
      </c>
    </row>
    <row r="24157" spans="1:3" x14ac:dyDescent="0.25">
      <c r="A24157" s="74">
        <v>28949</v>
      </c>
      <c r="B24157">
        <v>4.59</v>
      </c>
      <c r="C24157" t="s">
        <v>141</v>
      </c>
    </row>
    <row r="24158" spans="1:3" x14ac:dyDescent="0.25">
      <c r="A24158" s="74">
        <v>28950</v>
      </c>
      <c r="B24158">
        <v>4.6399999999999997</v>
      </c>
      <c r="C24158" t="s">
        <v>141</v>
      </c>
    </row>
    <row r="24159" spans="1:3" x14ac:dyDescent="0.25">
      <c r="A24159" s="74">
        <v>28951</v>
      </c>
      <c r="B24159">
        <v>4.7</v>
      </c>
      <c r="C24159" t="s">
        <v>141</v>
      </c>
    </row>
    <row r="24160" spans="1:3" x14ac:dyDescent="0.25">
      <c r="A24160" s="74">
        <v>28952</v>
      </c>
      <c r="B24160">
        <v>4.8099999999999996</v>
      </c>
      <c r="C24160" t="s">
        <v>141</v>
      </c>
    </row>
    <row r="24161" spans="1:3" x14ac:dyDescent="0.25">
      <c r="A24161" s="74">
        <v>28953</v>
      </c>
      <c r="B24161">
        <v>5.13</v>
      </c>
      <c r="C24161" t="s">
        <v>141</v>
      </c>
    </row>
    <row r="24162" spans="1:3" x14ac:dyDescent="0.25">
      <c r="A24162" s="74">
        <v>28954</v>
      </c>
      <c r="B24162">
        <v>5.95</v>
      </c>
      <c r="C24162" t="s">
        <v>141</v>
      </c>
    </row>
    <row r="24163" spans="1:3" x14ac:dyDescent="0.25">
      <c r="A24163" s="74">
        <v>28955</v>
      </c>
      <c r="B24163">
        <v>6.85</v>
      </c>
      <c r="C24163" t="s">
        <v>141</v>
      </c>
    </row>
    <row r="24164" spans="1:3" x14ac:dyDescent="0.25">
      <c r="A24164" s="74">
        <v>28956</v>
      </c>
      <c r="B24164">
        <v>6.74</v>
      </c>
      <c r="C24164" t="s">
        <v>141</v>
      </c>
    </row>
    <row r="24165" spans="1:3" x14ac:dyDescent="0.25">
      <c r="A24165" s="74">
        <v>28957</v>
      </c>
      <c r="B24165">
        <v>6.43</v>
      </c>
      <c r="C24165" t="s">
        <v>141</v>
      </c>
    </row>
    <row r="24166" spans="1:3" x14ac:dyDescent="0.25">
      <c r="A24166" s="74">
        <v>28958</v>
      </c>
      <c r="B24166">
        <v>6.97</v>
      </c>
      <c r="C24166" t="s">
        <v>141</v>
      </c>
    </row>
    <row r="24167" spans="1:3" x14ac:dyDescent="0.25">
      <c r="A24167" s="74">
        <v>28959</v>
      </c>
      <c r="B24167">
        <v>8.52</v>
      </c>
      <c r="C24167" t="s">
        <v>141</v>
      </c>
    </row>
    <row r="24168" spans="1:3" x14ac:dyDescent="0.25">
      <c r="A24168" s="74">
        <v>28960</v>
      </c>
      <c r="B24168">
        <v>7.08</v>
      </c>
      <c r="C24168" t="s">
        <v>141</v>
      </c>
    </row>
    <row r="24169" spans="1:3" x14ac:dyDescent="0.25">
      <c r="A24169" s="74">
        <v>28961</v>
      </c>
      <c r="B24169">
        <v>6.09</v>
      </c>
      <c r="C24169" t="s">
        <v>141</v>
      </c>
    </row>
    <row r="24170" spans="1:3" x14ac:dyDescent="0.25">
      <c r="A24170" s="74">
        <v>28962</v>
      </c>
      <c r="B24170">
        <v>5.64</v>
      </c>
      <c r="C24170" t="s">
        <v>141</v>
      </c>
    </row>
    <row r="24171" spans="1:3" x14ac:dyDescent="0.25">
      <c r="A24171" s="74">
        <v>28963</v>
      </c>
      <c r="B24171">
        <v>5.0999999999999996</v>
      </c>
      <c r="C24171" t="s">
        <v>141</v>
      </c>
    </row>
    <row r="24172" spans="1:3" x14ac:dyDescent="0.25">
      <c r="A24172" s="74">
        <v>28964</v>
      </c>
      <c r="B24172">
        <v>4.87</v>
      </c>
      <c r="C24172" t="s">
        <v>141</v>
      </c>
    </row>
    <row r="24173" spans="1:3" x14ac:dyDescent="0.25">
      <c r="A24173" s="74">
        <v>28965</v>
      </c>
      <c r="B24173">
        <v>4.62</v>
      </c>
      <c r="C24173" t="s">
        <v>141</v>
      </c>
    </row>
    <row r="24174" spans="1:3" x14ac:dyDescent="0.25">
      <c r="A24174" s="74">
        <v>28966</v>
      </c>
      <c r="B24174">
        <v>4.47</v>
      </c>
      <c r="C24174" t="s">
        <v>141</v>
      </c>
    </row>
    <row r="24175" spans="1:3" x14ac:dyDescent="0.25">
      <c r="A24175" s="74">
        <v>28967</v>
      </c>
      <c r="B24175">
        <v>4.3600000000000003</v>
      </c>
      <c r="C24175" t="s">
        <v>141</v>
      </c>
    </row>
    <row r="24176" spans="1:3" x14ac:dyDescent="0.25">
      <c r="A24176" s="74">
        <v>28968</v>
      </c>
      <c r="B24176">
        <v>4.5599999999999996</v>
      </c>
      <c r="C24176" t="s">
        <v>141</v>
      </c>
    </row>
    <row r="24177" spans="1:3" x14ac:dyDescent="0.25">
      <c r="A24177" s="74">
        <v>28969</v>
      </c>
      <c r="B24177">
        <v>4.93</v>
      </c>
      <c r="C24177" t="s">
        <v>141</v>
      </c>
    </row>
    <row r="24178" spans="1:3" x14ac:dyDescent="0.25">
      <c r="A24178" s="74">
        <v>28970</v>
      </c>
      <c r="B24178">
        <v>5.44</v>
      </c>
      <c r="C24178" t="s">
        <v>141</v>
      </c>
    </row>
    <row r="24179" spans="1:3" x14ac:dyDescent="0.25">
      <c r="A24179" s="74">
        <v>28971</v>
      </c>
      <c r="B24179">
        <v>6.51</v>
      </c>
      <c r="C24179" t="s">
        <v>141</v>
      </c>
    </row>
    <row r="24180" spans="1:3" x14ac:dyDescent="0.25">
      <c r="A24180" s="74">
        <v>28972</v>
      </c>
      <c r="B24180">
        <v>8.2100000000000009</v>
      </c>
      <c r="C24180" t="s">
        <v>141</v>
      </c>
    </row>
    <row r="24181" spans="1:3" x14ac:dyDescent="0.25">
      <c r="A24181" s="74">
        <v>28973</v>
      </c>
      <c r="B24181">
        <v>9.91</v>
      </c>
      <c r="C24181" t="s">
        <v>141</v>
      </c>
    </row>
    <row r="24182" spans="1:3" x14ac:dyDescent="0.25">
      <c r="A24182" s="74">
        <v>28974</v>
      </c>
      <c r="B24182">
        <v>14.9</v>
      </c>
    </row>
    <row r="24183" spans="1:3" x14ac:dyDescent="0.25">
      <c r="A24183" s="74">
        <v>28975</v>
      </c>
      <c r="B24183">
        <v>15</v>
      </c>
    </row>
    <row r="24184" spans="1:3" x14ac:dyDescent="0.25">
      <c r="A24184" s="74">
        <v>28976</v>
      </c>
      <c r="B24184">
        <v>17.100000000000001</v>
      </c>
    </row>
    <row r="24185" spans="1:3" x14ac:dyDescent="0.25">
      <c r="A24185" s="74">
        <v>28977</v>
      </c>
      <c r="B24185">
        <v>15</v>
      </c>
    </row>
    <row r="24186" spans="1:3" x14ac:dyDescent="0.25">
      <c r="A24186" s="74">
        <v>28978</v>
      </c>
      <c r="B24186">
        <v>14.8</v>
      </c>
    </row>
    <row r="24187" spans="1:3" x14ac:dyDescent="0.25">
      <c r="A24187" s="74">
        <v>28979</v>
      </c>
      <c r="B24187">
        <v>22.8</v>
      </c>
    </row>
    <row r="24188" spans="1:3" x14ac:dyDescent="0.25">
      <c r="A24188" s="74">
        <v>28980</v>
      </c>
      <c r="B24188">
        <v>27.2</v>
      </c>
    </row>
    <row r="24189" spans="1:3" x14ac:dyDescent="0.25">
      <c r="A24189" s="74">
        <v>28981</v>
      </c>
      <c r="B24189">
        <v>21.1</v>
      </c>
    </row>
    <row r="24190" spans="1:3" x14ac:dyDescent="0.25">
      <c r="A24190" s="74">
        <v>28982</v>
      </c>
      <c r="B24190">
        <v>14.8</v>
      </c>
    </row>
    <row r="24191" spans="1:3" x14ac:dyDescent="0.25">
      <c r="A24191" s="74">
        <v>28983</v>
      </c>
      <c r="B24191">
        <v>9.2899999999999991</v>
      </c>
    </row>
    <row r="24192" spans="1:3" x14ac:dyDescent="0.25">
      <c r="A24192" s="74">
        <v>28984</v>
      </c>
      <c r="B24192">
        <v>9.73</v>
      </c>
    </row>
    <row r="24193" spans="1:2" x14ac:dyDescent="0.25">
      <c r="A24193" s="74">
        <v>28985</v>
      </c>
      <c r="B24193">
        <v>8.9499999999999993</v>
      </c>
    </row>
    <row r="24194" spans="1:2" x14ac:dyDescent="0.25">
      <c r="A24194" s="74">
        <v>28986</v>
      </c>
      <c r="B24194">
        <v>8.06</v>
      </c>
    </row>
    <row r="24195" spans="1:2" x14ac:dyDescent="0.25">
      <c r="A24195" s="74">
        <v>28987</v>
      </c>
      <c r="B24195">
        <v>7.73</v>
      </c>
    </row>
    <row r="24196" spans="1:2" x14ac:dyDescent="0.25">
      <c r="A24196" s="74">
        <v>28988</v>
      </c>
      <c r="B24196">
        <v>6.4</v>
      </c>
    </row>
    <row r="24197" spans="1:2" x14ac:dyDescent="0.25">
      <c r="A24197" s="74">
        <v>28989</v>
      </c>
      <c r="B24197">
        <v>7.42</v>
      </c>
    </row>
    <row r="24198" spans="1:2" x14ac:dyDescent="0.25">
      <c r="A24198" s="74">
        <v>28990</v>
      </c>
      <c r="B24198">
        <v>5.79</v>
      </c>
    </row>
    <row r="24199" spans="1:2" x14ac:dyDescent="0.25">
      <c r="A24199" s="74">
        <v>28991</v>
      </c>
      <c r="B24199">
        <v>9.6199999999999992</v>
      </c>
    </row>
    <row r="24200" spans="1:2" x14ac:dyDescent="0.25">
      <c r="A24200" s="74">
        <v>28992</v>
      </c>
      <c r="B24200">
        <v>8.4</v>
      </c>
    </row>
    <row r="24201" spans="1:2" x14ac:dyDescent="0.25">
      <c r="A24201" s="74">
        <v>28993</v>
      </c>
      <c r="B24201">
        <v>6.99</v>
      </c>
    </row>
    <row r="24202" spans="1:2" x14ac:dyDescent="0.25">
      <c r="A24202" s="74">
        <v>28994</v>
      </c>
      <c r="B24202">
        <v>5.91</v>
      </c>
    </row>
    <row r="24203" spans="1:2" x14ac:dyDescent="0.25">
      <c r="A24203" s="74">
        <v>28995</v>
      </c>
      <c r="B24203">
        <v>5.99</v>
      </c>
    </row>
    <row r="24204" spans="1:2" x14ac:dyDescent="0.25">
      <c r="A24204" s="74">
        <v>28996</v>
      </c>
      <c r="B24204">
        <v>5.87</v>
      </c>
    </row>
    <row r="24205" spans="1:2" x14ac:dyDescent="0.25">
      <c r="A24205" s="74">
        <v>28997</v>
      </c>
      <c r="B24205">
        <v>7.84</v>
      </c>
    </row>
    <row r="24206" spans="1:2" x14ac:dyDescent="0.25">
      <c r="A24206" s="74">
        <v>28998</v>
      </c>
      <c r="B24206">
        <v>9.4499999999999993</v>
      </c>
    </row>
    <row r="24207" spans="1:2" x14ac:dyDescent="0.25">
      <c r="A24207" s="74">
        <v>28999</v>
      </c>
      <c r="B24207">
        <v>9.4</v>
      </c>
    </row>
    <row r="24208" spans="1:2" x14ac:dyDescent="0.25">
      <c r="A24208" s="74">
        <v>29000</v>
      </c>
      <c r="B24208">
        <v>8.34</v>
      </c>
    </row>
    <row r="24209" spans="1:3" x14ac:dyDescent="0.25">
      <c r="A24209" s="74">
        <v>29001</v>
      </c>
      <c r="B24209">
        <v>8.51</v>
      </c>
    </row>
    <row r="24210" spans="1:3" x14ac:dyDescent="0.25">
      <c r="A24210" s="74">
        <v>29002</v>
      </c>
      <c r="B24210">
        <v>6.4</v>
      </c>
    </row>
    <row r="24211" spans="1:3" x14ac:dyDescent="0.25">
      <c r="A24211" s="74">
        <v>29003</v>
      </c>
      <c r="B24211">
        <v>5.18</v>
      </c>
    </row>
    <row r="24212" spans="1:3" x14ac:dyDescent="0.25">
      <c r="A24212" s="74">
        <v>29004</v>
      </c>
      <c r="B24212">
        <v>3.6</v>
      </c>
    </row>
    <row r="24213" spans="1:3" x14ac:dyDescent="0.25">
      <c r="A24213" s="74">
        <v>29005</v>
      </c>
      <c r="B24213">
        <v>3.45</v>
      </c>
    </row>
    <row r="24214" spans="1:3" x14ac:dyDescent="0.25">
      <c r="A24214" s="74">
        <v>29006</v>
      </c>
      <c r="B24214">
        <v>3.31</v>
      </c>
    </row>
    <row r="24215" spans="1:3" x14ac:dyDescent="0.25">
      <c r="A24215" s="74">
        <v>29007</v>
      </c>
      <c r="B24215">
        <v>4.12</v>
      </c>
    </row>
    <row r="24216" spans="1:3" x14ac:dyDescent="0.25">
      <c r="A24216" s="74">
        <v>29008</v>
      </c>
      <c r="B24216">
        <v>4.53</v>
      </c>
      <c r="C24216" t="s">
        <v>141</v>
      </c>
    </row>
    <row r="24217" spans="1:3" x14ac:dyDescent="0.25">
      <c r="A24217" s="74">
        <v>29009</v>
      </c>
      <c r="B24217">
        <v>4.59</v>
      </c>
      <c r="C24217" t="s">
        <v>141</v>
      </c>
    </row>
    <row r="24218" spans="1:3" x14ac:dyDescent="0.25">
      <c r="A24218" s="74">
        <v>29010</v>
      </c>
      <c r="B24218">
        <v>4.8099999999999996</v>
      </c>
      <c r="C24218" t="s">
        <v>141</v>
      </c>
    </row>
    <row r="24219" spans="1:3" x14ac:dyDescent="0.25">
      <c r="A24219" s="74">
        <v>29011</v>
      </c>
      <c r="B24219">
        <v>3.43</v>
      </c>
      <c r="C24219" t="s">
        <v>141</v>
      </c>
    </row>
    <row r="24220" spans="1:3" x14ac:dyDescent="0.25">
      <c r="A24220" s="74">
        <v>29012</v>
      </c>
      <c r="B24220">
        <v>3.57</v>
      </c>
      <c r="C24220" t="s">
        <v>141</v>
      </c>
    </row>
    <row r="24221" spans="1:3" x14ac:dyDescent="0.25">
      <c r="A24221" s="74">
        <v>29013</v>
      </c>
      <c r="B24221">
        <v>3.45</v>
      </c>
      <c r="C24221" t="s">
        <v>141</v>
      </c>
    </row>
    <row r="24222" spans="1:3" x14ac:dyDescent="0.25">
      <c r="A24222" s="74">
        <v>29014</v>
      </c>
      <c r="B24222">
        <v>3.06</v>
      </c>
      <c r="C24222" t="s">
        <v>141</v>
      </c>
    </row>
    <row r="24223" spans="1:3" x14ac:dyDescent="0.25">
      <c r="A24223" s="74">
        <v>29015</v>
      </c>
      <c r="B24223">
        <v>2.66</v>
      </c>
      <c r="C24223" t="s">
        <v>141</v>
      </c>
    </row>
    <row r="24224" spans="1:3" x14ac:dyDescent="0.25">
      <c r="A24224" s="74">
        <v>29016</v>
      </c>
      <c r="B24224">
        <v>2.72</v>
      </c>
      <c r="C24224" t="s">
        <v>141</v>
      </c>
    </row>
    <row r="24225" spans="1:3" x14ac:dyDescent="0.25">
      <c r="A24225" s="74">
        <v>29017</v>
      </c>
      <c r="B24225">
        <v>2.3199999999999998</v>
      </c>
      <c r="C24225" t="s">
        <v>141</v>
      </c>
    </row>
    <row r="24226" spans="1:3" x14ac:dyDescent="0.25">
      <c r="A24226" s="74">
        <v>29018</v>
      </c>
      <c r="B24226">
        <v>2.27</v>
      </c>
      <c r="C24226" t="s">
        <v>141</v>
      </c>
    </row>
    <row r="24227" spans="1:3" x14ac:dyDescent="0.25">
      <c r="A24227" s="74">
        <v>29019</v>
      </c>
      <c r="B24227">
        <v>2.15</v>
      </c>
      <c r="C24227" t="s">
        <v>141</v>
      </c>
    </row>
    <row r="24228" spans="1:3" x14ac:dyDescent="0.25">
      <c r="A24228" s="74">
        <v>29020</v>
      </c>
      <c r="B24228">
        <v>2.0699999999999998</v>
      </c>
      <c r="C24228" t="s">
        <v>141</v>
      </c>
    </row>
    <row r="24229" spans="1:3" x14ac:dyDescent="0.25">
      <c r="A24229" s="74">
        <v>29021</v>
      </c>
      <c r="B24229">
        <v>2.4900000000000002</v>
      </c>
      <c r="C24229" t="s">
        <v>141</v>
      </c>
    </row>
    <row r="24230" spans="1:3" x14ac:dyDescent="0.25">
      <c r="A24230" s="74">
        <v>29022</v>
      </c>
      <c r="B24230">
        <v>2.86</v>
      </c>
      <c r="C24230" t="s">
        <v>141</v>
      </c>
    </row>
    <row r="24231" spans="1:3" x14ac:dyDescent="0.25">
      <c r="A24231" s="74">
        <v>29023</v>
      </c>
      <c r="B24231">
        <v>2.78</v>
      </c>
      <c r="C24231" t="s">
        <v>141</v>
      </c>
    </row>
    <row r="24232" spans="1:3" x14ac:dyDescent="0.25">
      <c r="A24232" s="74">
        <v>29024</v>
      </c>
      <c r="B24232">
        <v>2.8</v>
      </c>
      <c r="C24232" t="s">
        <v>141</v>
      </c>
    </row>
    <row r="24233" spans="1:3" x14ac:dyDescent="0.25">
      <c r="A24233" s="74">
        <v>29025</v>
      </c>
      <c r="B24233">
        <v>2.92</v>
      </c>
      <c r="C24233" t="s">
        <v>141</v>
      </c>
    </row>
    <row r="24234" spans="1:3" x14ac:dyDescent="0.25">
      <c r="A24234" s="74">
        <v>29026</v>
      </c>
      <c r="B24234">
        <v>2.94</v>
      </c>
      <c r="C24234" t="s">
        <v>141</v>
      </c>
    </row>
    <row r="24235" spans="1:3" x14ac:dyDescent="0.25">
      <c r="A24235" s="74">
        <v>29027</v>
      </c>
      <c r="B24235">
        <v>2.4900000000000002</v>
      </c>
      <c r="C24235" t="s">
        <v>141</v>
      </c>
    </row>
    <row r="24236" spans="1:3" x14ac:dyDescent="0.25">
      <c r="A24236" s="74">
        <v>29028</v>
      </c>
      <c r="B24236">
        <v>2.35</v>
      </c>
      <c r="C24236" t="s">
        <v>141</v>
      </c>
    </row>
    <row r="24237" spans="1:3" x14ac:dyDescent="0.25">
      <c r="A24237" s="74">
        <v>29029</v>
      </c>
      <c r="B24237">
        <v>2.35</v>
      </c>
      <c r="C24237" t="s">
        <v>141</v>
      </c>
    </row>
    <row r="24238" spans="1:3" x14ac:dyDescent="0.25">
      <c r="A24238" s="74">
        <v>29030</v>
      </c>
      <c r="B24238">
        <v>2.21</v>
      </c>
      <c r="C24238" t="s">
        <v>141</v>
      </c>
    </row>
    <row r="24239" spans="1:3" x14ac:dyDescent="0.25">
      <c r="A24239" s="74">
        <v>29031</v>
      </c>
      <c r="B24239">
        <v>2.15</v>
      </c>
      <c r="C24239" t="s">
        <v>141</v>
      </c>
    </row>
    <row r="24240" spans="1:3" x14ac:dyDescent="0.25">
      <c r="A24240" s="74">
        <v>29032</v>
      </c>
      <c r="B24240">
        <v>2.14</v>
      </c>
      <c r="C24240" t="s">
        <v>141</v>
      </c>
    </row>
    <row r="24241" spans="1:3" x14ac:dyDescent="0.25">
      <c r="A24241" s="74">
        <v>29033</v>
      </c>
      <c r="B24241">
        <v>2.1800000000000002</v>
      </c>
      <c r="C24241" t="s">
        <v>141</v>
      </c>
    </row>
    <row r="24242" spans="1:3" x14ac:dyDescent="0.25">
      <c r="A24242" s="74">
        <v>29034</v>
      </c>
      <c r="B24242">
        <v>2.21</v>
      </c>
      <c r="C24242" t="s">
        <v>141</v>
      </c>
    </row>
    <row r="24243" spans="1:3" x14ac:dyDescent="0.25">
      <c r="A24243" s="74">
        <v>29035</v>
      </c>
      <c r="B24243">
        <v>1.98</v>
      </c>
      <c r="C24243" t="s">
        <v>141</v>
      </c>
    </row>
    <row r="24244" spans="1:3" x14ac:dyDescent="0.25">
      <c r="A24244" s="74">
        <v>29036</v>
      </c>
      <c r="B24244">
        <v>2.83</v>
      </c>
      <c r="C24244" t="s">
        <v>141</v>
      </c>
    </row>
    <row r="24245" spans="1:3" x14ac:dyDescent="0.25">
      <c r="A24245" s="74">
        <v>29037</v>
      </c>
      <c r="B24245">
        <v>3.43</v>
      </c>
      <c r="C24245" t="s">
        <v>141</v>
      </c>
    </row>
    <row r="24246" spans="1:3" x14ac:dyDescent="0.25">
      <c r="A24246" s="74">
        <v>29038</v>
      </c>
      <c r="B24246">
        <v>3.23</v>
      </c>
      <c r="C24246" t="s">
        <v>141</v>
      </c>
    </row>
    <row r="24247" spans="1:3" x14ac:dyDescent="0.25">
      <c r="A24247" s="74">
        <v>29039</v>
      </c>
      <c r="B24247">
        <v>2.8</v>
      </c>
      <c r="C24247" t="s">
        <v>141</v>
      </c>
    </row>
    <row r="24248" spans="1:3" x14ac:dyDescent="0.25">
      <c r="A24248" s="74">
        <v>29040</v>
      </c>
      <c r="B24248">
        <v>2.27</v>
      </c>
      <c r="C24248" t="s">
        <v>141</v>
      </c>
    </row>
    <row r="24249" spans="1:3" x14ac:dyDescent="0.25">
      <c r="A24249" s="74">
        <v>29041</v>
      </c>
      <c r="B24249">
        <v>2.0499999999999998</v>
      </c>
      <c r="C24249" t="s">
        <v>141</v>
      </c>
    </row>
    <row r="24250" spans="1:3" x14ac:dyDescent="0.25">
      <c r="A24250" s="74">
        <v>29042</v>
      </c>
      <c r="B24250">
        <v>1.98</v>
      </c>
      <c r="C24250" t="s">
        <v>141</v>
      </c>
    </row>
    <row r="24251" spans="1:3" x14ac:dyDescent="0.25">
      <c r="A24251" s="74">
        <v>29043</v>
      </c>
      <c r="B24251">
        <v>2.69</v>
      </c>
      <c r="C24251" t="s">
        <v>141</v>
      </c>
    </row>
    <row r="24252" spans="1:3" x14ac:dyDescent="0.25">
      <c r="A24252" s="74">
        <v>29044</v>
      </c>
      <c r="B24252">
        <v>2.83</v>
      </c>
      <c r="C24252" t="s">
        <v>141</v>
      </c>
    </row>
    <row r="24253" spans="1:3" x14ac:dyDescent="0.25">
      <c r="A24253" s="74">
        <v>29045</v>
      </c>
      <c r="B24253">
        <v>6.23</v>
      </c>
      <c r="C24253" t="s">
        <v>141</v>
      </c>
    </row>
    <row r="24254" spans="1:3" x14ac:dyDescent="0.25">
      <c r="A24254" s="74">
        <v>29046</v>
      </c>
      <c r="B24254">
        <v>5.0999999999999996</v>
      </c>
      <c r="C24254" t="s">
        <v>141</v>
      </c>
    </row>
    <row r="24255" spans="1:3" x14ac:dyDescent="0.25">
      <c r="A24255" s="74">
        <v>29047</v>
      </c>
      <c r="B24255">
        <v>5.8</v>
      </c>
      <c r="C24255" t="s">
        <v>141</v>
      </c>
    </row>
    <row r="24256" spans="1:3" x14ac:dyDescent="0.25">
      <c r="A24256" s="74">
        <v>29048</v>
      </c>
      <c r="B24256">
        <v>6.26</v>
      </c>
      <c r="C24256" t="s">
        <v>141</v>
      </c>
    </row>
    <row r="24257" spans="1:3" x14ac:dyDescent="0.25">
      <c r="A24257" s="74">
        <v>29049</v>
      </c>
      <c r="B24257">
        <v>3.51</v>
      </c>
      <c r="C24257" t="s">
        <v>141</v>
      </c>
    </row>
    <row r="24258" spans="1:3" x14ac:dyDescent="0.25">
      <c r="A24258" s="74">
        <v>29050</v>
      </c>
      <c r="B24258">
        <v>2.86</v>
      </c>
      <c r="C24258" t="s">
        <v>141</v>
      </c>
    </row>
    <row r="24259" spans="1:3" x14ac:dyDescent="0.25">
      <c r="A24259" s="74">
        <v>29051</v>
      </c>
      <c r="B24259">
        <v>2.69</v>
      </c>
      <c r="C24259" t="s">
        <v>141</v>
      </c>
    </row>
    <row r="24260" spans="1:3" x14ac:dyDescent="0.25">
      <c r="A24260" s="74">
        <v>29052</v>
      </c>
      <c r="B24260">
        <v>2.61</v>
      </c>
      <c r="C24260" t="s">
        <v>141</v>
      </c>
    </row>
    <row r="24261" spans="1:3" x14ac:dyDescent="0.25">
      <c r="A24261" s="74">
        <v>29053</v>
      </c>
      <c r="B24261">
        <v>2.27</v>
      </c>
      <c r="C24261" t="s">
        <v>141</v>
      </c>
    </row>
    <row r="24262" spans="1:3" x14ac:dyDescent="0.25">
      <c r="A24262" s="74">
        <v>29054</v>
      </c>
      <c r="B24262">
        <v>1.53</v>
      </c>
      <c r="C24262" t="s">
        <v>141</v>
      </c>
    </row>
    <row r="24263" spans="1:3" x14ac:dyDescent="0.25">
      <c r="A24263" s="74">
        <v>29055</v>
      </c>
      <c r="B24263">
        <v>1.25</v>
      </c>
      <c r="C24263" t="s">
        <v>141</v>
      </c>
    </row>
    <row r="24264" spans="1:3" x14ac:dyDescent="0.25">
      <c r="A24264" s="74">
        <v>29056</v>
      </c>
      <c r="B24264">
        <v>1.1399999999999999</v>
      </c>
      <c r="C24264" t="s">
        <v>141</v>
      </c>
    </row>
    <row r="24265" spans="1:3" x14ac:dyDescent="0.25">
      <c r="A24265" s="74">
        <v>29057</v>
      </c>
      <c r="B24265">
        <v>1.23</v>
      </c>
      <c r="C24265" t="s">
        <v>141</v>
      </c>
    </row>
    <row r="24266" spans="1:3" x14ac:dyDescent="0.25">
      <c r="A24266" s="74">
        <v>29058</v>
      </c>
      <c r="B24266">
        <v>1.25</v>
      </c>
      <c r="C24266" t="s">
        <v>141</v>
      </c>
    </row>
    <row r="24267" spans="1:3" x14ac:dyDescent="0.25">
      <c r="A24267" s="74">
        <v>29059</v>
      </c>
      <c r="B24267">
        <v>1.27</v>
      </c>
    </row>
    <row r="24268" spans="1:3" x14ac:dyDescent="0.25">
      <c r="A24268" s="74">
        <v>29060</v>
      </c>
      <c r="B24268">
        <v>1.1399999999999999</v>
      </c>
      <c r="C24268" t="s">
        <v>141</v>
      </c>
    </row>
    <row r="24269" spans="1:3" x14ac:dyDescent="0.25">
      <c r="A24269" s="74">
        <v>29061</v>
      </c>
      <c r="B24269">
        <v>1.1000000000000001</v>
      </c>
    </row>
    <row r="24270" spans="1:3" x14ac:dyDescent="0.25">
      <c r="A24270" s="74">
        <v>29062</v>
      </c>
      <c r="B24270">
        <v>1.1000000000000001</v>
      </c>
      <c r="C24270" t="s">
        <v>141</v>
      </c>
    </row>
    <row r="24271" spans="1:3" x14ac:dyDescent="0.25">
      <c r="A24271" s="74">
        <v>29063</v>
      </c>
      <c r="B24271">
        <v>1.03</v>
      </c>
      <c r="C24271" t="s">
        <v>141</v>
      </c>
    </row>
    <row r="24272" spans="1:3" x14ac:dyDescent="0.25">
      <c r="A24272" s="74">
        <v>29064</v>
      </c>
      <c r="B24272">
        <v>1.05</v>
      </c>
      <c r="C24272" t="s">
        <v>141</v>
      </c>
    </row>
    <row r="24273" spans="1:3" x14ac:dyDescent="0.25">
      <c r="A24273" s="74">
        <v>29065</v>
      </c>
      <c r="B24273">
        <v>0.99099999999999999</v>
      </c>
      <c r="C24273" t="s">
        <v>141</v>
      </c>
    </row>
    <row r="24274" spans="1:3" x14ac:dyDescent="0.25">
      <c r="A24274" s="74">
        <v>29066</v>
      </c>
      <c r="B24274">
        <v>0.90600000000000003</v>
      </c>
    </row>
    <row r="24275" spans="1:3" x14ac:dyDescent="0.25">
      <c r="A24275" s="74">
        <v>29067</v>
      </c>
      <c r="B24275">
        <v>0.85499999999999998</v>
      </c>
      <c r="C24275" t="s">
        <v>141</v>
      </c>
    </row>
    <row r="24276" spans="1:3" x14ac:dyDescent="0.25">
      <c r="A24276" s="74">
        <v>29068</v>
      </c>
      <c r="B24276">
        <v>0.77900000000000003</v>
      </c>
      <c r="C24276" t="s">
        <v>141</v>
      </c>
    </row>
    <row r="24277" spans="1:3" x14ac:dyDescent="0.25">
      <c r="A24277" s="74">
        <v>29069</v>
      </c>
      <c r="B24277">
        <v>0.73599999999999999</v>
      </c>
      <c r="C24277" t="s">
        <v>141</v>
      </c>
    </row>
    <row r="24278" spans="1:3" x14ac:dyDescent="0.25">
      <c r="A24278" s="74">
        <v>29070</v>
      </c>
      <c r="B24278">
        <v>0.745</v>
      </c>
      <c r="C24278" t="s">
        <v>141</v>
      </c>
    </row>
    <row r="24279" spans="1:3" x14ac:dyDescent="0.25">
      <c r="A24279" s="74">
        <v>29071</v>
      </c>
      <c r="B24279">
        <v>0.74199999999999999</v>
      </c>
      <c r="C24279" t="s">
        <v>141</v>
      </c>
    </row>
    <row r="24280" spans="1:3" x14ac:dyDescent="0.25">
      <c r="A24280" s="74">
        <v>29072</v>
      </c>
      <c r="B24280">
        <v>0.70499999999999996</v>
      </c>
      <c r="C24280" t="s">
        <v>141</v>
      </c>
    </row>
    <row r="24281" spans="1:3" x14ac:dyDescent="0.25">
      <c r="A24281" s="74">
        <v>29073</v>
      </c>
      <c r="B24281">
        <v>0.626</v>
      </c>
      <c r="C24281" t="s">
        <v>141</v>
      </c>
    </row>
    <row r="24282" spans="1:3" x14ac:dyDescent="0.25">
      <c r="A24282" s="74">
        <v>29074</v>
      </c>
      <c r="B24282">
        <v>0.69899999999999995</v>
      </c>
    </row>
    <row r="24283" spans="1:3" x14ac:dyDescent="0.25">
      <c r="A24283" s="74">
        <v>29075</v>
      </c>
      <c r="B24283">
        <v>0.623</v>
      </c>
    </row>
    <row r="24284" spans="1:3" x14ac:dyDescent="0.25">
      <c r="A24284" s="74">
        <v>29076</v>
      </c>
      <c r="B24284">
        <v>0.63100000000000001</v>
      </c>
    </row>
    <row r="24285" spans="1:3" x14ac:dyDescent="0.25">
      <c r="A24285" s="74">
        <v>29077</v>
      </c>
      <c r="B24285">
        <v>0.63100000000000001</v>
      </c>
    </row>
    <row r="24286" spans="1:3" x14ac:dyDescent="0.25">
      <c r="A24286" s="74">
        <v>29078</v>
      </c>
      <c r="B24286">
        <v>0.63100000000000001</v>
      </c>
    </row>
    <row r="24287" spans="1:3" x14ac:dyDescent="0.25">
      <c r="A24287" s="74">
        <v>29079</v>
      </c>
      <c r="B24287">
        <v>0.61699999999999999</v>
      </c>
    </row>
    <row r="24288" spans="1:3" x14ac:dyDescent="0.25">
      <c r="A24288" s="74">
        <v>29080</v>
      </c>
      <c r="B24288">
        <v>0.59499999999999997</v>
      </c>
    </row>
    <row r="24289" spans="1:3" x14ac:dyDescent="0.25">
      <c r="A24289" s="74">
        <v>29081</v>
      </c>
      <c r="B24289">
        <v>0.56699999999999995</v>
      </c>
      <c r="C24289" t="s">
        <v>141</v>
      </c>
    </row>
    <row r="24290" spans="1:3" x14ac:dyDescent="0.25">
      <c r="A24290" s="74">
        <v>29082</v>
      </c>
      <c r="B24290">
        <v>0.53800000000000003</v>
      </c>
      <c r="C24290" t="s">
        <v>141</v>
      </c>
    </row>
    <row r="24291" spans="1:3" x14ac:dyDescent="0.25">
      <c r="A24291" s="74">
        <v>29083</v>
      </c>
      <c r="B24291">
        <v>0.53800000000000003</v>
      </c>
    </row>
    <row r="24292" spans="1:3" x14ac:dyDescent="0.25">
      <c r="A24292" s="74">
        <v>29084</v>
      </c>
      <c r="B24292">
        <v>0.44800000000000001</v>
      </c>
    </row>
    <row r="24293" spans="1:3" x14ac:dyDescent="0.25">
      <c r="A24293" s="74">
        <v>29085</v>
      </c>
      <c r="B24293">
        <v>0.56599999999999995</v>
      </c>
    </row>
    <row r="24294" spans="1:3" x14ac:dyDescent="0.25">
      <c r="A24294" s="74">
        <v>29086</v>
      </c>
      <c r="B24294">
        <v>0.623</v>
      </c>
    </row>
    <row r="24295" spans="1:3" x14ac:dyDescent="0.25">
      <c r="A24295" s="74">
        <v>29087</v>
      </c>
      <c r="B24295">
        <v>0.70499999999999996</v>
      </c>
    </row>
    <row r="24296" spans="1:3" x14ac:dyDescent="0.25">
      <c r="A24296" s="74">
        <v>29088</v>
      </c>
      <c r="B24296">
        <v>0.71299999999999997</v>
      </c>
    </row>
    <row r="24297" spans="1:3" x14ac:dyDescent="0.25">
      <c r="A24297" s="74">
        <v>29089</v>
      </c>
      <c r="B24297">
        <v>0.77100000000000002</v>
      </c>
    </row>
    <row r="24298" spans="1:3" x14ac:dyDescent="0.25">
      <c r="A24298" s="74">
        <v>29090</v>
      </c>
      <c r="B24298">
        <v>0.70499999999999996</v>
      </c>
    </row>
    <row r="24299" spans="1:3" x14ac:dyDescent="0.25">
      <c r="A24299" s="74">
        <v>29091</v>
      </c>
      <c r="B24299">
        <v>0.77100000000000002</v>
      </c>
    </row>
    <row r="24300" spans="1:3" x14ac:dyDescent="0.25">
      <c r="A24300" s="74">
        <v>29092</v>
      </c>
      <c r="B24300">
        <v>0.76300000000000001</v>
      </c>
    </row>
    <row r="24301" spans="1:3" x14ac:dyDescent="0.25">
      <c r="A24301" s="74">
        <v>29093</v>
      </c>
      <c r="B24301">
        <v>0.69699999999999995</v>
      </c>
    </row>
    <row r="24302" spans="1:3" x14ac:dyDescent="0.25">
      <c r="A24302" s="74">
        <v>29094</v>
      </c>
      <c r="B24302">
        <v>0.623</v>
      </c>
    </row>
    <row r="24303" spans="1:3" x14ac:dyDescent="0.25">
      <c r="A24303" s="74">
        <v>29095</v>
      </c>
      <c r="B24303">
        <v>0.61199999999999999</v>
      </c>
      <c r="C24303" t="s">
        <v>141</v>
      </c>
    </row>
    <row r="24304" spans="1:3" x14ac:dyDescent="0.25">
      <c r="A24304" s="74">
        <v>29096</v>
      </c>
      <c r="B24304">
        <v>0.6</v>
      </c>
      <c r="C24304" t="s">
        <v>141</v>
      </c>
    </row>
    <row r="24305" spans="1:2" x14ac:dyDescent="0.25">
      <c r="A24305" s="74">
        <v>29097</v>
      </c>
      <c r="B24305">
        <v>0.60599999999999998</v>
      </c>
    </row>
    <row r="24306" spans="1:2" x14ac:dyDescent="0.25">
      <c r="A24306" s="74">
        <v>29098</v>
      </c>
      <c r="B24306">
        <v>0.6</v>
      </c>
    </row>
    <row r="24307" spans="1:2" x14ac:dyDescent="0.25">
      <c r="A24307" s="74">
        <v>29099</v>
      </c>
      <c r="B24307">
        <v>0.58299999999999996</v>
      </c>
    </row>
    <row r="24308" spans="1:2" x14ac:dyDescent="0.25">
      <c r="A24308" s="74">
        <v>29100</v>
      </c>
      <c r="B24308">
        <v>0.58299999999999996</v>
      </c>
    </row>
    <row r="24309" spans="1:2" x14ac:dyDescent="0.25">
      <c r="A24309" s="74">
        <v>29101</v>
      </c>
      <c r="B24309">
        <v>2.82</v>
      </c>
    </row>
    <row r="24310" spans="1:2" x14ac:dyDescent="0.25">
      <c r="A24310" s="74">
        <v>29102</v>
      </c>
      <c r="B24310">
        <v>6.7</v>
      </c>
    </row>
    <row r="24311" spans="1:2" x14ac:dyDescent="0.25">
      <c r="A24311" s="74">
        <v>29103</v>
      </c>
      <c r="B24311">
        <v>15.1</v>
      </c>
    </row>
    <row r="24312" spans="1:2" x14ac:dyDescent="0.25">
      <c r="A24312" s="74">
        <v>29104</v>
      </c>
      <c r="B24312">
        <v>11.7</v>
      </c>
    </row>
    <row r="24313" spans="1:2" x14ac:dyDescent="0.25">
      <c r="A24313" s="74">
        <v>29105</v>
      </c>
      <c r="B24313">
        <v>10.199999999999999</v>
      </c>
    </row>
    <row r="24314" spans="1:2" x14ac:dyDescent="0.25">
      <c r="A24314" s="74">
        <v>29106</v>
      </c>
      <c r="B24314">
        <v>32.4</v>
      </c>
    </row>
    <row r="24315" spans="1:2" x14ac:dyDescent="0.25">
      <c r="A24315" s="74">
        <v>29107</v>
      </c>
      <c r="B24315">
        <v>30.2</v>
      </c>
    </row>
    <row r="24316" spans="1:2" x14ac:dyDescent="0.25">
      <c r="A24316" s="74">
        <v>29108</v>
      </c>
      <c r="B24316">
        <v>16.100000000000001</v>
      </c>
    </row>
    <row r="24317" spans="1:2" x14ac:dyDescent="0.25">
      <c r="A24317" s="74">
        <v>29109</v>
      </c>
      <c r="B24317">
        <v>10.1</v>
      </c>
    </row>
    <row r="24318" spans="1:2" x14ac:dyDescent="0.25">
      <c r="A24318" s="74">
        <v>29110</v>
      </c>
      <c r="B24318">
        <v>6.61</v>
      </c>
    </row>
    <row r="24319" spans="1:2" x14ac:dyDescent="0.25">
      <c r="A24319" s="74">
        <v>29111</v>
      </c>
      <c r="B24319">
        <v>4.9800000000000004</v>
      </c>
    </row>
    <row r="24320" spans="1:2" x14ac:dyDescent="0.25">
      <c r="A24320" s="74">
        <v>29112</v>
      </c>
      <c r="B24320">
        <v>3.9</v>
      </c>
    </row>
    <row r="24321" spans="1:2" x14ac:dyDescent="0.25">
      <c r="A24321" s="74">
        <v>29113</v>
      </c>
      <c r="B24321">
        <v>3.26</v>
      </c>
    </row>
    <row r="24322" spans="1:2" x14ac:dyDescent="0.25">
      <c r="A24322" s="74">
        <v>29114</v>
      </c>
      <c r="B24322">
        <v>2.8</v>
      </c>
    </row>
    <row r="24323" spans="1:2" x14ac:dyDescent="0.25">
      <c r="A24323" s="74">
        <v>29115</v>
      </c>
      <c r="B24323">
        <v>2.5299999999999998</v>
      </c>
    </row>
    <row r="24324" spans="1:2" x14ac:dyDescent="0.25">
      <c r="A24324" s="74">
        <v>29116</v>
      </c>
      <c r="B24324">
        <v>2.2200000000000002</v>
      </c>
    </row>
    <row r="24325" spans="1:2" x14ac:dyDescent="0.25">
      <c r="A24325" s="74">
        <v>29117</v>
      </c>
      <c r="B24325">
        <v>1.96</v>
      </c>
    </row>
    <row r="24326" spans="1:2" x14ac:dyDescent="0.25">
      <c r="A24326" s="74">
        <v>29118</v>
      </c>
      <c r="B24326">
        <v>1.88</v>
      </c>
    </row>
    <row r="24327" spans="1:2" x14ac:dyDescent="0.25">
      <c r="A24327" s="74">
        <v>29119</v>
      </c>
      <c r="B24327">
        <v>1.75</v>
      </c>
    </row>
    <row r="24328" spans="1:2" x14ac:dyDescent="0.25">
      <c r="A24328" s="74">
        <v>29120</v>
      </c>
      <c r="B24328">
        <v>1.61</v>
      </c>
    </row>
    <row r="24329" spans="1:2" x14ac:dyDescent="0.25">
      <c r="A24329" s="74">
        <v>29121</v>
      </c>
      <c r="B24329">
        <v>1.46</v>
      </c>
    </row>
    <row r="24330" spans="1:2" x14ac:dyDescent="0.25">
      <c r="A24330" s="74">
        <v>29122</v>
      </c>
      <c r="B24330">
        <v>1.41</v>
      </c>
    </row>
    <row r="24331" spans="1:2" x14ac:dyDescent="0.25">
      <c r="A24331" s="74">
        <v>29123</v>
      </c>
      <c r="B24331">
        <v>1.37</v>
      </c>
    </row>
    <row r="24332" spans="1:2" x14ac:dyDescent="0.25">
      <c r="A24332" s="74">
        <v>29124</v>
      </c>
      <c r="B24332">
        <v>1.26</v>
      </c>
    </row>
    <row r="24333" spans="1:2" x14ac:dyDescent="0.25">
      <c r="A24333" s="74">
        <v>29125</v>
      </c>
      <c r="B24333">
        <v>1.24</v>
      </c>
    </row>
    <row r="24334" spans="1:2" x14ac:dyDescent="0.25">
      <c r="A24334" s="74">
        <v>29126</v>
      </c>
      <c r="B24334">
        <v>1.87</v>
      </c>
    </row>
    <row r="24335" spans="1:2" x14ac:dyDescent="0.25">
      <c r="A24335" s="74">
        <v>29127</v>
      </c>
      <c r="B24335">
        <v>1.66</v>
      </c>
    </row>
    <row r="24336" spans="1:2" x14ac:dyDescent="0.25">
      <c r="A24336" s="74">
        <v>29128</v>
      </c>
      <c r="B24336">
        <v>1.69</v>
      </c>
    </row>
    <row r="24337" spans="1:3" x14ac:dyDescent="0.25">
      <c r="A24337" s="74">
        <v>29129</v>
      </c>
      <c r="B24337">
        <v>1.76</v>
      </c>
      <c r="C24337" t="s">
        <v>141</v>
      </c>
    </row>
    <row r="24338" spans="1:3" x14ac:dyDescent="0.25">
      <c r="A24338" s="74">
        <v>29130</v>
      </c>
      <c r="B24338">
        <v>1.67</v>
      </c>
      <c r="C24338" t="s">
        <v>141</v>
      </c>
    </row>
    <row r="24339" spans="1:3" x14ac:dyDescent="0.25">
      <c r="A24339" s="74">
        <v>29131</v>
      </c>
      <c r="B24339">
        <v>1.53</v>
      </c>
      <c r="C24339" t="s">
        <v>141</v>
      </c>
    </row>
    <row r="24340" spans="1:3" x14ac:dyDescent="0.25">
      <c r="A24340" s="74">
        <v>29132</v>
      </c>
      <c r="B24340">
        <v>1.46</v>
      </c>
      <c r="C24340" t="s">
        <v>141</v>
      </c>
    </row>
    <row r="24341" spans="1:3" x14ac:dyDescent="0.25">
      <c r="A24341" s="74">
        <v>29133</v>
      </c>
      <c r="B24341">
        <v>1.38</v>
      </c>
      <c r="C24341" t="s">
        <v>141</v>
      </c>
    </row>
    <row r="24342" spans="1:3" x14ac:dyDescent="0.25">
      <c r="A24342" s="74">
        <v>29134</v>
      </c>
      <c r="B24342">
        <v>1.35</v>
      </c>
      <c r="C24342" t="s">
        <v>141</v>
      </c>
    </row>
    <row r="24343" spans="1:3" x14ac:dyDescent="0.25">
      <c r="A24343" s="74">
        <v>29135</v>
      </c>
      <c r="B24343">
        <v>1.31</v>
      </c>
      <c r="C24343" t="s">
        <v>141</v>
      </c>
    </row>
    <row r="24344" spans="1:3" x14ac:dyDescent="0.25">
      <c r="A24344" s="74">
        <v>29136</v>
      </c>
      <c r="B24344">
        <v>1.27</v>
      </c>
      <c r="C24344" t="s">
        <v>141</v>
      </c>
    </row>
    <row r="24345" spans="1:3" x14ac:dyDescent="0.25">
      <c r="A24345" s="74">
        <v>29137</v>
      </c>
      <c r="B24345">
        <v>1.25</v>
      </c>
      <c r="C24345" t="s">
        <v>141</v>
      </c>
    </row>
    <row r="24346" spans="1:3" x14ac:dyDescent="0.25">
      <c r="A24346" s="74">
        <v>29138</v>
      </c>
      <c r="B24346">
        <v>1.24</v>
      </c>
      <c r="C24346" t="s">
        <v>141</v>
      </c>
    </row>
    <row r="24347" spans="1:3" x14ac:dyDescent="0.25">
      <c r="A24347" s="74">
        <v>29139</v>
      </c>
      <c r="B24347">
        <v>1.23</v>
      </c>
      <c r="C24347" t="s">
        <v>141</v>
      </c>
    </row>
    <row r="24348" spans="1:3" x14ac:dyDescent="0.25">
      <c r="A24348" s="74">
        <v>29140</v>
      </c>
      <c r="B24348">
        <v>1.19</v>
      </c>
      <c r="C24348" t="s">
        <v>141</v>
      </c>
    </row>
    <row r="24349" spans="1:3" x14ac:dyDescent="0.25">
      <c r="A24349" s="74">
        <v>29141</v>
      </c>
      <c r="B24349">
        <v>1.1399999999999999</v>
      </c>
      <c r="C24349" t="s">
        <v>141</v>
      </c>
    </row>
    <row r="24350" spans="1:3" x14ac:dyDescent="0.25">
      <c r="A24350" s="74">
        <v>29142</v>
      </c>
      <c r="B24350">
        <v>1.19</v>
      </c>
      <c r="C24350" t="s">
        <v>141</v>
      </c>
    </row>
    <row r="24351" spans="1:3" x14ac:dyDescent="0.25">
      <c r="A24351" s="74">
        <v>29143</v>
      </c>
      <c r="B24351">
        <v>1.21</v>
      </c>
      <c r="C24351" t="s">
        <v>141</v>
      </c>
    </row>
    <row r="24352" spans="1:3" x14ac:dyDescent="0.25">
      <c r="A24352" s="74">
        <v>29144</v>
      </c>
      <c r="B24352">
        <v>1.25</v>
      </c>
      <c r="C24352" t="s">
        <v>141</v>
      </c>
    </row>
    <row r="24353" spans="1:3" x14ac:dyDescent="0.25">
      <c r="A24353" s="74">
        <v>29145</v>
      </c>
      <c r="B24353">
        <v>1.36</v>
      </c>
      <c r="C24353" t="s">
        <v>141</v>
      </c>
    </row>
    <row r="24354" spans="1:3" x14ac:dyDescent="0.25">
      <c r="A24354" s="74">
        <v>29146</v>
      </c>
      <c r="B24354">
        <v>1.61</v>
      </c>
      <c r="C24354" t="s">
        <v>141</v>
      </c>
    </row>
    <row r="24355" spans="1:3" x14ac:dyDescent="0.25">
      <c r="A24355" s="74">
        <v>29147</v>
      </c>
      <c r="B24355">
        <v>2.3199999999999998</v>
      </c>
      <c r="C24355" t="s">
        <v>141</v>
      </c>
    </row>
    <row r="24356" spans="1:3" x14ac:dyDescent="0.25">
      <c r="A24356" s="74">
        <v>29148</v>
      </c>
      <c r="B24356">
        <v>3.37</v>
      </c>
      <c r="C24356" t="s">
        <v>141</v>
      </c>
    </row>
    <row r="24357" spans="1:3" x14ac:dyDescent="0.25">
      <c r="A24357" s="74">
        <v>29149</v>
      </c>
      <c r="B24357">
        <v>3.34</v>
      </c>
      <c r="C24357" t="s">
        <v>141</v>
      </c>
    </row>
    <row r="24358" spans="1:3" x14ac:dyDescent="0.25">
      <c r="A24358" s="74">
        <v>29150</v>
      </c>
      <c r="B24358">
        <v>3.17</v>
      </c>
    </row>
    <row r="24359" spans="1:3" x14ac:dyDescent="0.25">
      <c r="A24359" s="74">
        <v>29151</v>
      </c>
      <c r="B24359">
        <v>30.4</v>
      </c>
    </row>
    <row r="24360" spans="1:3" x14ac:dyDescent="0.25">
      <c r="A24360" s="74">
        <v>29152</v>
      </c>
      <c r="B24360">
        <v>18.2</v>
      </c>
    </row>
    <row r="24361" spans="1:3" x14ac:dyDescent="0.25">
      <c r="A24361" s="74">
        <v>29153</v>
      </c>
      <c r="B24361">
        <v>66.5</v>
      </c>
    </row>
    <row r="24362" spans="1:3" x14ac:dyDescent="0.25">
      <c r="A24362" s="74">
        <v>29154</v>
      </c>
      <c r="B24362">
        <v>104</v>
      </c>
    </row>
    <row r="24363" spans="1:3" x14ac:dyDescent="0.25">
      <c r="A24363" s="74">
        <v>29155</v>
      </c>
      <c r="B24363">
        <v>51.8</v>
      </c>
    </row>
    <row r="24364" spans="1:3" x14ac:dyDescent="0.25">
      <c r="A24364" s="74">
        <v>29156</v>
      </c>
      <c r="B24364">
        <v>37.1</v>
      </c>
    </row>
    <row r="24365" spans="1:3" x14ac:dyDescent="0.25">
      <c r="A24365" s="74">
        <v>29157</v>
      </c>
      <c r="B24365">
        <v>24.2</v>
      </c>
    </row>
    <row r="24366" spans="1:3" x14ac:dyDescent="0.25">
      <c r="A24366" s="74">
        <v>29158</v>
      </c>
      <c r="B24366">
        <v>17.3</v>
      </c>
    </row>
    <row r="24367" spans="1:3" x14ac:dyDescent="0.25">
      <c r="A24367" s="74">
        <v>29159</v>
      </c>
      <c r="B24367">
        <v>13.5</v>
      </c>
    </row>
    <row r="24368" spans="1:3" x14ac:dyDescent="0.25">
      <c r="A24368" s="74">
        <v>29160</v>
      </c>
      <c r="B24368">
        <v>10.3</v>
      </c>
    </row>
    <row r="24369" spans="1:2" x14ac:dyDescent="0.25">
      <c r="A24369" s="74">
        <v>29161</v>
      </c>
      <c r="B24369">
        <v>8.2799999999999994</v>
      </c>
    </row>
    <row r="24370" spans="1:2" x14ac:dyDescent="0.25">
      <c r="A24370" s="74">
        <v>29162</v>
      </c>
      <c r="B24370">
        <v>7.38</v>
      </c>
    </row>
    <row r="24371" spans="1:2" x14ac:dyDescent="0.25">
      <c r="A24371" s="74">
        <v>29163</v>
      </c>
      <c r="B24371">
        <v>6.44</v>
      </c>
    </row>
    <row r="24372" spans="1:2" x14ac:dyDescent="0.25">
      <c r="A24372" s="74">
        <v>29164</v>
      </c>
      <c r="B24372">
        <v>6.4</v>
      </c>
    </row>
    <row r="24373" spans="1:2" x14ac:dyDescent="0.25">
      <c r="A24373" s="74">
        <v>29165</v>
      </c>
      <c r="B24373">
        <v>5.67</v>
      </c>
    </row>
    <row r="24374" spans="1:2" x14ac:dyDescent="0.25">
      <c r="A24374" s="74">
        <v>29166</v>
      </c>
      <c r="B24374">
        <v>4.9800000000000004</v>
      </c>
    </row>
    <row r="24375" spans="1:2" x14ac:dyDescent="0.25">
      <c r="A24375" s="74">
        <v>29167</v>
      </c>
      <c r="B24375">
        <v>4.5</v>
      </c>
    </row>
    <row r="24376" spans="1:2" x14ac:dyDescent="0.25">
      <c r="A24376" s="74">
        <v>29168</v>
      </c>
      <c r="B24376">
        <v>4.25</v>
      </c>
    </row>
    <row r="24377" spans="1:2" x14ac:dyDescent="0.25">
      <c r="A24377" s="74">
        <v>29169</v>
      </c>
      <c r="B24377">
        <v>3.68</v>
      </c>
    </row>
    <row r="24378" spans="1:2" x14ac:dyDescent="0.25">
      <c r="A24378" s="74">
        <v>29170</v>
      </c>
      <c r="B24378">
        <v>3.4</v>
      </c>
    </row>
    <row r="24379" spans="1:2" x14ac:dyDescent="0.25">
      <c r="A24379" s="74">
        <v>29171</v>
      </c>
      <c r="B24379">
        <v>3.15</v>
      </c>
    </row>
    <row r="24380" spans="1:2" x14ac:dyDescent="0.25">
      <c r="A24380" s="74">
        <v>29172</v>
      </c>
      <c r="B24380">
        <v>2.95</v>
      </c>
    </row>
    <row r="24381" spans="1:2" x14ac:dyDescent="0.25">
      <c r="A24381" s="74">
        <v>29173</v>
      </c>
      <c r="B24381">
        <v>2.82</v>
      </c>
    </row>
    <row r="24382" spans="1:2" x14ac:dyDescent="0.25">
      <c r="A24382" s="74">
        <v>29174</v>
      </c>
      <c r="B24382">
        <v>2.61</v>
      </c>
    </row>
    <row r="24383" spans="1:2" x14ac:dyDescent="0.25">
      <c r="A24383" s="74">
        <v>29175</v>
      </c>
      <c r="B24383">
        <v>2.82</v>
      </c>
    </row>
    <row r="24384" spans="1:2" x14ac:dyDescent="0.25">
      <c r="A24384" s="74">
        <v>29176</v>
      </c>
      <c r="B24384">
        <v>9.9600000000000009</v>
      </c>
    </row>
    <row r="24385" spans="1:2" x14ac:dyDescent="0.25">
      <c r="A24385" s="74">
        <v>29177</v>
      </c>
      <c r="B24385">
        <v>10.5</v>
      </c>
    </row>
    <row r="24386" spans="1:2" x14ac:dyDescent="0.25">
      <c r="A24386" s="74">
        <v>29178</v>
      </c>
      <c r="B24386">
        <v>7.89</v>
      </c>
    </row>
    <row r="24387" spans="1:2" x14ac:dyDescent="0.25">
      <c r="A24387" s="74">
        <v>29179</v>
      </c>
      <c r="B24387">
        <v>6.31</v>
      </c>
    </row>
    <row r="24388" spans="1:2" x14ac:dyDescent="0.25">
      <c r="A24388" s="74">
        <v>29180</v>
      </c>
      <c r="B24388">
        <v>5.59</v>
      </c>
    </row>
    <row r="24389" spans="1:2" x14ac:dyDescent="0.25">
      <c r="A24389" s="74">
        <v>29181</v>
      </c>
      <c r="B24389">
        <v>32.200000000000003</v>
      </c>
    </row>
    <row r="24390" spans="1:2" x14ac:dyDescent="0.25">
      <c r="A24390" s="74">
        <v>29182</v>
      </c>
      <c r="B24390">
        <v>23</v>
      </c>
    </row>
    <row r="24391" spans="1:2" x14ac:dyDescent="0.25">
      <c r="A24391" s="74">
        <v>29183</v>
      </c>
      <c r="B24391">
        <v>17.3</v>
      </c>
    </row>
    <row r="24392" spans="1:2" x14ac:dyDescent="0.25">
      <c r="A24392" s="74">
        <v>29184</v>
      </c>
      <c r="B24392">
        <v>13.1</v>
      </c>
    </row>
    <row r="24393" spans="1:2" x14ac:dyDescent="0.25">
      <c r="A24393" s="74">
        <v>29185</v>
      </c>
      <c r="B24393">
        <v>10.1</v>
      </c>
    </row>
    <row r="24394" spans="1:2" x14ac:dyDescent="0.25">
      <c r="A24394" s="74">
        <v>29186</v>
      </c>
      <c r="B24394">
        <v>7.67</v>
      </c>
    </row>
    <row r="24395" spans="1:2" x14ac:dyDescent="0.25">
      <c r="A24395" s="74">
        <v>29187</v>
      </c>
      <c r="B24395">
        <v>6.48</v>
      </c>
    </row>
    <row r="24396" spans="1:2" x14ac:dyDescent="0.25">
      <c r="A24396" s="74">
        <v>29188</v>
      </c>
      <c r="B24396">
        <v>5.91</v>
      </c>
    </row>
    <row r="24397" spans="1:2" x14ac:dyDescent="0.25">
      <c r="A24397" s="74">
        <v>29189</v>
      </c>
      <c r="B24397">
        <v>5.91</v>
      </c>
    </row>
    <row r="24398" spans="1:2" x14ac:dyDescent="0.25">
      <c r="A24398" s="74">
        <v>29190</v>
      </c>
      <c r="B24398">
        <v>5.63</v>
      </c>
    </row>
    <row r="24399" spans="1:2" x14ac:dyDescent="0.25">
      <c r="A24399" s="74">
        <v>29191</v>
      </c>
      <c r="B24399">
        <v>6.57</v>
      </c>
    </row>
    <row r="24400" spans="1:2" x14ac:dyDescent="0.25">
      <c r="A24400" s="74">
        <v>29192</v>
      </c>
      <c r="B24400">
        <v>6.57</v>
      </c>
    </row>
    <row r="24401" spans="1:2" x14ac:dyDescent="0.25">
      <c r="A24401" s="74">
        <v>29193</v>
      </c>
      <c r="B24401">
        <v>58.7</v>
      </c>
    </row>
    <row r="24402" spans="1:2" x14ac:dyDescent="0.25">
      <c r="A24402" s="74">
        <v>29194</v>
      </c>
      <c r="B24402">
        <v>30.1</v>
      </c>
    </row>
    <row r="24403" spans="1:2" x14ac:dyDescent="0.25">
      <c r="A24403" s="74">
        <v>29195</v>
      </c>
      <c r="B24403">
        <v>22.3</v>
      </c>
    </row>
    <row r="24404" spans="1:2" x14ac:dyDescent="0.25">
      <c r="A24404" s="74">
        <v>29196</v>
      </c>
      <c r="B24404">
        <v>17.8</v>
      </c>
    </row>
    <row r="24405" spans="1:2" x14ac:dyDescent="0.25">
      <c r="A24405" s="74">
        <v>29197</v>
      </c>
      <c r="B24405">
        <v>15</v>
      </c>
    </row>
    <row r="24406" spans="1:2" x14ac:dyDescent="0.25">
      <c r="A24406" s="74">
        <v>29198</v>
      </c>
      <c r="B24406">
        <v>14.3</v>
      </c>
    </row>
    <row r="24407" spans="1:2" x14ac:dyDescent="0.25">
      <c r="A24407" s="74">
        <v>29199</v>
      </c>
      <c r="B24407">
        <v>16.600000000000001</v>
      </c>
    </row>
    <row r="24408" spans="1:2" x14ac:dyDescent="0.25">
      <c r="A24408" s="74">
        <v>29200</v>
      </c>
      <c r="B24408">
        <v>12.6</v>
      </c>
    </row>
    <row r="24409" spans="1:2" x14ac:dyDescent="0.25">
      <c r="A24409" s="74">
        <v>29201</v>
      </c>
      <c r="B24409">
        <v>11.3</v>
      </c>
    </row>
    <row r="24410" spans="1:2" x14ac:dyDescent="0.25">
      <c r="A24410" s="74">
        <v>29202</v>
      </c>
      <c r="B24410">
        <v>38.299999999999997</v>
      </c>
    </row>
    <row r="24411" spans="1:2" x14ac:dyDescent="0.25">
      <c r="A24411" s="74">
        <v>29203</v>
      </c>
      <c r="B24411">
        <v>261</v>
      </c>
    </row>
    <row r="24412" spans="1:2" x14ac:dyDescent="0.25">
      <c r="A24412" s="74">
        <v>29204</v>
      </c>
      <c r="B24412">
        <v>61.3</v>
      </c>
    </row>
    <row r="24413" spans="1:2" x14ac:dyDescent="0.25">
      <c r="A24413" s="74">
        <v>29205</v>
      </c>
      <c r="B24413">
        <v>33.299999999999997</v>
      </c>
    </row>
    <row r="24414" spans="1:2" x14ac:dyDescent="0.25">
      <c r="A24414" s="74">
        <v>29206</v>
      </c>
      <c r="B24414">
        <v>387</v>
      </c>
    </row>
    <row r="24415" spans="1:2" x14ac:dyDescent="0.25">
      <c r="A24415" s="74">
        <v>29207</v>
      </c>
      <c r="B24415">
        <v>124</v>
      </c>
    </row>
    <row r="24416" spans="1:2" x14ac:dyDescent="0.25">
      <c r="A24416" s="74">
        <v>29208</v>
      </c>
      <c r="B24416">
        <v>105</v>
      </c>
    </row>
    <row r="24417" spans="1:2" x14ac:dyDescent="0.25">
      <c r="A24417" s="74">
        <v>29209</v>
      </c>
      <c r="B24417">
        <v>52.4</v>
      </c>
    </row>
    <row r="24418" spans="1:2" x14ac:dyDescent="0.25">
      <c r="A24418" s="74">
        <v>29210</v>
      </c>
      <c r="B24418">
        <v>57.2</v>
      </c>
    </row>
    <row r="24419" spans="1:2" x14ac:dyDescent="0.25">
      <c r="A24419" s="74">
        <v>29211</v>
      </c>
      <c r="B24419">
        <v>44</v>
      </c>
    </row>
    <row r="24420" spans="1:2" x14ac:dyDescent="0.25">
      <c r="A24420" s="74">
        <v>29212</v>
      </c>
      <c r="B24420">
        <v>33</v>
      </c>
    </row>
    <row r="24421" spans="1:2" x14ac:dyDescent="0.25">
      <c r="A24421" s="74">
        <v>29213</v>
      </c>
      <c r="B24421">
        <v>28.6</v>
      </c>
    </row>
    <row r="24422" spans="1:2" x14ac:dyDescent="0.25">
      <c r="A24422" s="74">
        <v>29214</v>
      </c>
      <c r="B24422">
        <v>38.1</v>
      </c>
    </row>
    <row r="24423" spans="1:2" x14ac:dyDescent="0.25">
      <c r="A24423" s="74">
        <v>29215</v>
      </c>
      <c r="B24423">
        <v>39.6</v>
      </c>
    </row>
    <row r="24424" spans="1:2" x14ac:dyDescent="0.25">
      <c r="A24424" s="74">
        <v>29216</v>
      </c>
      <c r="B24424">
        <v>53.3</v>
      </c>
    </row>
    <row r="24425" spans="1:2" x14ac:dyDescent="0.25">
      <c r="A24425" s="74">
        <v>29217</v>
      </c>
      <c r="B24425">
        <v>36.9</v>
      </c>
    </row>
    <row r="24426" spans="1:2" x14ac:dyDescent="0.25">
      <c r="A24426" s="74">
        <v>29218</v>
      </c>
      <c r="B24426">
        <v>30.5</v>
      </c>
    </row>
    <row r="24427" spans="1:2" x14ac:dyDescent="0.25">
      <c r="A24427" s="74">
        <v>29219</v>
      </c>
      <c r="B24427">
        <v>25.4</v>
      </c>
    </row>
    <row r="24428" spans="1:2" x14ac:dyDescent="0.25">
      <c r="A24428" s="74">
        <v>29220</v>
      </c>
      <c r="B24428">
        <v>24.3</v>
      </c>
    </row>
    <row r="24429" spans="1:2" x14ac:dyDescent="0.25">
      <c r="A24429" s="74">
        <v>29221</v>
      </c>
      <c r="B24429">
        <v>68.5</v>
      </c>
    </row>
    <row r="24430" spans="1:2" x14ac:dyDescent="0.25">
      <c r="A24430" s="74">
        <v>29222</v>
      </c>
      <c r="B24430">
        <v>44.4</v>
      </c>
    </row>
    <row r="24431" spans="1:2" x14ac:dyDescent="0.25">
      <c r="A24431" s="74">
        <v>29223</v>
      </c>
      <c r="B24431">
        <v>40.4</v>
      </c>
    </row>
    <row r="24432" spans="1:2" x14ac:dyDescent="0.25">
      <c r="A24432" s="74">
        <v>29224</v>
      </c>
      <c r="B24432">
        <v>31.3</v>
      </c>
    </row>
    <row r="24433" spans="1:2" x14ac:dyDescent="0.25">
      <c r="A24433" s="74">
        <v>29225</v>
      </c>
      <c r="B24433">
        <v>19.5</v>
      </c>
    </row>
    <row r="24434" spans="1:2" x14ac:dyDescent="0.25">
      <c r="A24434" s="74">
        <v>29226</v>
      </c>
      <c r="B24434">
        <v>14.5</v>
      </c>
    </row>
    <row r="24435" spans="1:2" x14ac:dyDescent="0.25">
      <c r="A24435" s="74">
        <v>29227</v>
      </c>
      <c r="B24435">
        <v>12.1</v>
      </c>
    </row>
    <row r="24436" spans="1:2" x14ac:dyDescent="0.25">
      <c r="A24436" s="74">
        <v>29228</v>
      </c>
      <c r="B24436">
        <v>10.6</v>
      </c>
    </row>
    <row r="24437" spans="1:2" x14ac:dyDescent="0.25">
      <c r="A24437" s="74">
        <v>29229</v>
      </c>
      <c r="B24437">
        <v>9.15</v>
      </c>
    </row>
    <row r="24438" spans="1:2" x14ac:dyDescent="0.25">
      <c r="A24438" s="74">
        <v>29230</v>
      </c>
      <c r="B24438">
        <v>8.35</v>
      </c>
    </row>
    <row r="24439" spans="1:2" x14ac:dyDescent="0.25">
      <c r="A24439" s="74">
        <v>29231</v>
      </c>
      <c r="B24439">
        <v>7.45</v>
      </c>
    </row>
    <row r="24440" spans="1:2" x14ac:dyDescent="0.25">
      <c r="A24440" s="74">
        <v>29232</v>
      </c>
      <c r="B24440">
        <v>29.9</v>
      </c>
    </row>
    <row r="24441" spans="1:2" x14ac:dyDescent="0.25">
      <c r="A24441" s="74">
        <v>29233</v>
      </c>
      <c r="B24441">
        <v>44.4</v>
      </c>
    </row>
    <row r="24442" spans="1:2" x14ac:dyDescent="0.25">
      <c r="A24442" s="74">
        <v>29234</v>
      </c>
      <c r="B24442">
        <v>31.3</v>
      </c>
    </row>
    <row r="24443" spans="1:2" x14ac:dyDescent="0.25">
      <c r="A24443" s="74">
        <v>29235</v>
      </c>
      <c r="B24443">
        <v>29.9</v>
      </c>
    </row>
    <row r="24444" spans="1:2" x14ac:dyDescent="0.25">
      <c r="A24444" s="74">
        <v>29236</v>
      </c>
      <c r="B24444">
        <v>44.6</v>
      </c>
    </row>
    <row r="24445" spans="1:2" x14ac:dyDescent="0.25">
      <c r="A24445" s="74">
        <v>29237</v>
      </c>
      <c r="B24445">
        <v>32</v>
      </c>
    </row>
    <row r="24446" spans="1:2" x14ac:dyDescent="0.25">
      <c r="A24446" s="74">
        <v>29238</v>
      </c>
      <c r="B24446">
        <v>18.8</v>
      </c>
    </row>
    <row r="24447" spans="1:2" x14ac:dyDescent="0.25">
      <c r="A24447" s="74">
        <v>29239</v>
      </c>
      <c r="B24447">
        <v>14.1</v>
      </c>
    </row>
    <row r="24448" spans="1:2" x14ac:dyDescent="0.25">
      <c r="A24448" s="74">
        <v>29240</v>
      </c>
      <c r="B24448">
        <v>21.6</v>
      </c>
    </row>
    <row r="24449" spans="1:2" x14ac:dyDescent="0.25">
      <c r="A24449" s="74">
        <v>29241</v>
      </c>
      <c r="B24449">
        <v>10.199999999999999</v>
      </c>
    </row>
    <row r="24450" spans="1:2" x14ac:dyDescent="0.25">
      <c r="A24450" s="74">
        <v>29242</v>
      </c>
      <c r="B24450">
        <v>9.0500000000000007</v>
      </c>
    </row>
    <row r="24451" spans="1:2" x14ac:dyDescent="0.25">
      <c r="A24451" s="74">
        <v>29243</v>
      </c>
      <c r="B24451">
        <v>8.6</v>
      </c>
    </row>
    <row r="24452" spans="1:2" x14ac:dyDescent="0.25">
      <c r="A24452" s="74">
        <v>29244</v>
      </c>
      <c r="B24452">
        <v>9.9499999999999993</v>
      </c>
    </row>
    <row r="24453" spans="1:2" x14ac:dyDescent="0.25">
      <c r="A24453" s="74">
        <v>29245</v>
      </c>
      <c r="B24453">
        <v>9.6</v>
      </c>
    </row>
    <row r="24454" spans="1:2" x14ac:dyDescent="0.25">
      <c r="A24454" s="74">
        <v>29246</v>
      </c>
      <c r="B24454">
        <v>7.6</v>
      </c>
    </row>
    <row r="24455" spans="1:2" x14ac:dyDescent="0.25">
      <c r="A24455" s="74">
        <v>29247</v>
      </c>
      <c r="B24455">
        <v>5.8</v>
      </c>
    </row>
    <row r="24456" spans="1:2" x14ac:dyDescent="0.25">
      <c r="A24456" s="74">
        <v>29248</v>
      </c>
      <c r="B24456">
        <v>4.95</v>
      </c>
    </row>
    <row r="24457" spans="1:2" x14ac:dyDescent="0.25">
      <c r="A24457" s="74">
        <v>29249</v>
      </c>
      <c r="B24457">
        <v>4.74</v>
      </c>
    </row>
    <row r="24458" spans="1:2" x14ac:dyDescent="0.25">
      <c r="A24458" s="74">
        <v>29250</v>
      </c>
      <c r="B24458">
        <v>4.8</v>
      </c>
    </row>
    <row r="24459" spans="1:2" x14ac:dyDescent="0.25">
      <c r="A24459" s="74">
        <v>29251</v>
      </c>
      <c r="B24459">
        <v>5.72</v>
      </c>
    </row>
    <row r="24460" spans="1:2" x14ac:dyDescent="0.25">
      <c r="A24460" s="74">
        <v>29252</v>
      </c>
      <c r="B24460">
        <v>5.72</v>
      </c>
    </row>
    <row r="24461" spans="1:2" x14ac:dyDescent="0.25">
      <c r="A24461" s="74">
        <v>29253</v>
      </c>
      <c r="B24461">
        <v>33.799999999999997</v>
      </c>
    </row>
    <row r="24462" spans="1:2" x14ac:dyDescent="0.25">
      <c r="A24462" s="74">
        <v>29254</v>
      </c>
      <c r="B24462">
        <v>87.4</v>
      </c>
    </row>
    <row r="24463" spans="1:2" x14ac:dyDescent="0.25">
      <c r="A24463" s="74">
        <v>29255</v>
      </c>
      <c r="B24463">
        <v>56.1</v>
      </c>
    </row>
    <row r="24464" spans="1:2" x14ac:dyDescent="0.25">
      <c r="A24464" s="74">
        <v>29256</v>
      </c>
      <c r="B24464">
        <v>36.299999999999997</v>
      </c>
    </row>
    <row r="24465" spans="1:2" x14ac:dyDescent="0.25">
      <c r="A24465" s="74">
        <v>29257</v>
      </c>
      <c r="B24465">
        <v>35.5</v>
      </c>
    </row>
    <row r="24466" spans="1:2" x14ac:dyDescent="0.25">
      <c r="A24466" s="74">
        <v>29258</v>
      </c>
      <c r="B24466">
        <v>39.5</v>
      </c>
    </row>
    <row r="24467" spans="1:2" x14ac:dyDescent="0.25">
      <c r="A24467" s="74">
        <v>29259</v>
      </c>
      <c r="B24467">
        <v>31.2</v>
      </c>
    </row>
    <row r="24468" spans="1:2" x14ac:dyDescent="0.25">
      <c r="A24468" s="74">
        <v>29260</v>
      </c>
      <c r="B24468">
        <v>22.5</v>
      </c>
    </row>
    <row r="24469" spans="1:2" x14ac:dyDescent="0.25">
      <c r="A24469" s="74">
        <v>29261</v>
      </c>
      <c r="B24469">
        <v>17.600000000000001</v>
      </c>
    </row>
    <row r="24470" spans="1:2" x14ac:dyDescent="0.25">
      <c r="A24470" s="74">
        <v>29262</v>
      </c>
      <c r="B24470">
        <v>14.9</v>
      </c>
    </row>
    <row r="24471" spans="1:2" x14ac:dyDescent="0.25">
      <c r="A24471" s="74">
        <v>29263</v>
      </c>
      <c r="B24471">
        <v>12.8</v>
      </c>
    </row>
    <row r="24472" spans="1:2" x14ac:dyDescent="0.25">
      <c r="A24472" s="74">
        <v>29264</v>
      </c>
      <c r="B24472">
        <v>11.1</v>
      </c>
    </row>
    <row r="24473" spans="1:2" x14ac:dyDescent="0.25">
      <c r="A24473" s="74">
        <v>29265</v>
      </c>
      <c r="B24473">
        <v>9.6</v>
      </c>
    </row>
    <row r="24474" spans="1:2" x14ac:dyDescent="0.25">
      <c r="A24474" s="74">
        <v>29266</v>
      </c>
      <c r="B24474">
        <v>8.4</v>
      </c>
    </row>
    <row r="24475" spans="1:2" x14ac:dyDescent="0.25">
      <c r="A24475" s="74">
        <v>29267</v>
      </c>
      <c r="B24475">
        <v>7.55</v>
      </c>
    </row>
    <row r="24476" spans="1:2" x14ac:dyDescent="0.25">
      <c r="A24476" s="74">
        <v>29268</v>
      </c>
      <c r="B24476">
        <v>6.95</v>
      </c>
    </row>
    <row r="24477" spans="1:2" x14ac:dyDescent="0.25">
      <c r="A24477" s="74">
        <v>29269</v>
      </c>
      <c r="B24477">
        <v>9.4499999999999993</v>
      </c>
    </row>
    <row r="24478" spans="1:2" x14ac:dyDescent="0.25">
      <c r="A24478" s="74">
        <v>29270</v>
      </c>
      <c r="B24478">
        <v>43</v>
      </c>
    </row>
    <row r="24479" spans="1:2" x14ac:dyDescent="0.25">
      <c r="A24479" s="74">
        <v>29271</v>
      </c>
      <c r="B24479">
        <v>30.6</v>
      </c>
    </row>
    <row r="24480" spans="1:2" x14ac:dyDescent="0.25">
      <c r="A24480" s="74">
        <v>29272</v>
      </c>
      <c r="B24480">
        <v>17.7</v>
      </c>
    </row>
    <row r="24481" spans="1:2" x14ac:dyDescent="0.25">
      <c r="A24481" s="74">
        <v>29273</v>
      </c>
      <c r="B24481">
        <v>13.3</v>
      </c>
    </row>
    <row r="24482" spans="1:2" x14ac:dyDescent="0.25">
      <c r="A24482" s="74">
        <v>29274</v>
      </c>
      <c r="B24482">
        <v>11.2</v>
      </c>
    </row>
    <row r="24483" spans="1:2" x14ac:dyDescent="0.25">
      <c r="A24483" s="74">
        <v>29275</v>
      </c>
      <c r="B24483">
        <v>9.75</v>
      </c>
    </row>
    <row r="24484" spans="1:2" x14ac:dyDescent="0.25">
      <c r="A24484" s="74">
        <v>29276</v>
      </c>
      <c r="B24484">
        <v>11.2</v>
      </c>
    </row>
    <row r="24485" spans="1:2" x14ac:dyDescent="0.25">
      <c r="A24485" s="74">
        <v>29277</v>
      </c>
      <c r="B24485">
        <v>67.2</v>
      </c>
    </row>
    <row r="24486" spans="1:2" x14ac:dyDescent="0.25">
      <c r="A24486" s="74">
        <v>29278</v>
      </c>
      <c r="B24486">
        <v>73.599999999999994</v>
      </c>
    </row>
    <row r="24487" spans="1:2" x14ac:dyDescent="0.25">
      <c r="A24487" s="74">
        <v>29279</v>
      </c>
      <c r="B24487">
        <v>79.099999999999994</v>
      </c>
    </row>
    <row r="24488" spans="1:2" x14ac:dyDescent="0.25">
      <c r="A24488" s="74">
        <v>29280</v>
      </c>
      <c r="B24488">
        <v>52.4</v>
      </c>
    </row>
    <row r="24489" spans="1:2" x14ac:dyDescent="0.25">
      <c r="A24489" s="74">
        <v>29281</v>
      </c>
      <c r="B24489">
        <v>36.6</v>
      </c>
    </row>
    <row r="24490" spans="1:2" x14ac:dyDescent="0.25">
      <c r="A24490" s="74">
        <v>29282</v>
      </c>
      <c r="B24490">
        <v>28.7</v>
      </c>
    </row>
    <row r="24491" spans="1:2" x14ac:dyDescent="0.25">
      <c r="A24491" s="74">
        <v>29283</v>
      </c>
      <c r="B24491">
        <v>19</v>
      </c>
    </row>
    <row r="24492" spans="1:2" x14ac:dyDescent="0.25">
      <c r="A24492" s="74">
        <v>29284</v>
      </c>
      <c r="B24492">
        <v>15.8</v>
      </c>
    </row>
    <row r="24493" spans="1:2" x14ac:dyDescent="0.25">
      <c r="A24493" s="74">
        <v>29285</v>
      </c>
      <c r="B24493">
        <v>13.2</v>
      </c>
    </row>
    <row r="24494" spans="1:2" x14ac:dyDescent="0.25">
      <c r="A24494" s="74">
        <v>29286</v>
      </c>
      <c r="B24494">
        <v>10.6</v>
      </c>
    </row>
    <row r="24495" spans="1:2" x14ac:dyDescent="0.25">
      <c r="A24495" s="74">
        <v>29287</v>
      </c>
      <c r="B24495">
        <v>9.4</v>
      </c>
    </row>
    <row r="24496" spans="1:2" x14ac:dyDescent="0.25">
      <c r="A24496" s="74">
        <v>29288</v>
      </c>
      <c r="B24496">
        <v>8.35</v>
      </c>
    </row>
    <row r="24497" spans="1:2" x14ac:dyDescent="0.25">
      <c r="A24497" s="74">
        <v>29289</v>
      </c>
      <c r="B24497">
        <v>7.25</v>
      </c>
    </row>
    <row r="24498" spans="1:2" x14ac:dyDescent="0.25">
      <c r="A24498" s="74">
        <v>29290</v>
      </c>
      <c r="B24498">
        <v>6.9</v>
      </c>
    </row>
    <row r="24499" spans="1:2" x14ac:dyDescent="0.25">
      <c r="A24499" s="74">
        <v>29291</v>
      </c>
      <c r="B24499">
        <v>9.4499999999999993</v>
      </c>
    </row>
    <row r="24500" spans="1:2" x14ac:dyDescent="0.25">
      <c r="A24500" s="74">
        <v>29292</v>
      </c>
      <c r="B24500">
        <v>8.15</v>
      </c>
    </row>
    <row r="24501" spans="1:2" x14ac:dyDescent="0.25">
      <c r="A24501" s="74">
        <v>29293</v>
      </c>
      <c r="B24501">
        <v>10.7</v>
      </c>
    </row>
    <row r="24502" spans="1:2" x14ac:dyDescent="0.25">
      <c r="A24502" s="74">
        <v>29294</v>
      </c>
      <c r="B24502">
        <v>11.7</v>
      </c>
    </row>
    <row r="24503" spans="1:2" x14ac:dyDescent="0.25">
      <c r="A24503" s="74">
        <v>29295</v>
      </c>
      <c r="B24503">
        <v>11.1</v>
      </c>
    </row>
    <row r="24504" spans="1:2" x14ac:dyDescent="0.25">
      <c r="A24504" s="74">
        <v>29296</v>
      </c>
      <c r="B24504">
        <v>10.199999999999999</v>
      </c>
    </row>
    <row r="24505" spans="1:2" x14ac:dyDescent="0.25">
      <c r="A24505" s="74">
        <v>29297</v>
      </c>
      <c r="B24505">
        <v>11.4</v>
      </c>
    </row>
    <row r="24506" spans="1:2" x14ac:dyDescent="0.25">
      <c r="A24506" s="74">
        <v>29298</v>
      </c>
      <c r="B24506">
        <v>27.8</v>
      </c>
    </row>
    <row r="24507" spans="1:2" x14ac:dyDescent="0.25">
      <c r="A24507" s="74">
        <v>29299</v>
      </c>
      <c r="B24507">
        <v>16.600000000000001</v>
      </c>
    </row>
    <row r="24508" spans="1:2" x14ac:dyDescent="0.25">
      <c r="A24508" s="74">
        <v>29300</v>
      </c>
      <c r="B24508">
        <v>15.5</v>
      </c>
    </row>
    <row r="24509" spans="1:2" x14ac:dyDescent="0.25">
      <c r="A24509" s="74">
        <v>29301</v>
      </c>
      <c r="B24509">
        <v>15.9</v>
      </c>
    </row>
    <row r="24510" spans="1:2" x14ac:dyDescent="0.25">
      <c r="A24510" s="74">
        <v>29302</v>
      </c>
      <c r="B24510">
        <v>15.4</v>
      </c>
    </row>
    <row r="24511" spans="1:2" x14ac:dyDescent="0.25">
      <c r="A24511" s="74">
        <v>29303</v>
      </c>
      <c r="B24511">
        <v>14.1</v>
      </c>
    </row>
    <row r="24512" spans="1:2" x14ac:dyDescent="0.25">
      <c r="A24512" s="74">
        <v>29304</v>
      </c>
      <c r="B24512">
        <v>11.9</v>
      </c>
    </row>
    <row r="24513" spans="1:2" x14ac:dyDescent="0.25">
      <c r="A24513" s="74">
        <v>29305</v>
      </c>
      <c r="B24513">
        <v>10.1</v>
      </c>
    </row>
    <row r="24514" spans="1:2" x14ac:dyDescent="0.25">
      <c r="A24514" s="74">
        <v>29306</v>
      </c>
      <c r="B24514">
        <v>8.85</v>
      </c>
    </row>
    <row r="24515" spans="1:2" x14ac:dyDescent="0.25">
      <c r="A24515" s="74">
        <v>29307</v>
      </c>
      <c r="B24515">
        <v>7.85</v>
      </c>
    </row>
    <row r="24516" spans="1:2" x14ac:dyDescent="0.25">
      <c r="A24516" s="74">
        <v>29308</v>
      </c>
      <c r="B24516">
        <v>7.15</v>
      </c>
    </row>
    <row r="24517" spans="1:2" x14ac:dyDescent="0.25">
      <c r="A24517" s="74">
        <v>29309</v>
      </c>
      <c r="B24517">
        <v>10.5</v>
      </c>
    </row>
    <row r="24518" spans="1:2" x14ac:dyDescent="0.25">
      <c r="A24518" s="74">
        <v>29310</v>
      </c>
      <c r="B24518">
        <v>8.4499999999999993</v>
      </c>
    </row>
    <row r="24519" spans="1:2" x14ac:dyDescent="0.25">
      <c r="A24519" s="74">
        <v>29311</v>
      </c>
      <c r="B24519">
        <v>7.55</v>
      </c>
    </row>
    <row r="24520" spans="1:2" x14ac:dyDescent="0.25">
      <c r="A24520" s="74">
        <v>29312</v>
      </c>
      <c r="B24520">
        <v>6.9</v>
      </c>
    </row>
    <row r="24521" spans="1:2" x14ac:dyDescent="0.25">
      <c r="A24521" s="74">
        <v>29313</v>
      </c>
      <c r="B24521">
        <v>6</v>
      </c>
    </row>
    <row r="24522" spans="1:2" x14ac:dyDescent="0.25">
      <c r="A24522" s="74">
        <v>29314</v>
      </c>
      <c r="B24522">
        <v>5.68</v>
      </c>
    </row>
    <row r="24523" spans="1:2" x14ac:dyDescent="0.25">
      <c r="A24523" s="74">
        <v>29315</v>
      </c>
      <c r="B24523">
        <v>5.52</v>
      </c>
    </row>
    <row r="24524" spans="1:2" x14ac:dyDescent="0.25">
      <c r="A24524" s="74">
        <v>29316</v>
      </c>
      <c r="B24524">
        <v>5.92</v>
      </c>
    </row>
    <row r="24525" spans="1:2" x14ac:dyDescent="0.25">
      <c r="A24525" s="74">
        <v>29317</v>
      </c>
      <c r="B24525">
        <v>11.4</v>
      </c>
    </row>
    <row r="24526" spans="1:2" x14ac:dyDescent="0.25">
      <c r="A24526" s="74">
        <v>29318</v>
      </c>
      <c r="B24526">
        <v>9.85</v>
      </c>
    </row>
    <row r="24527" spans="1:2" x14ac:dyDescent="0.25">
      <c r="A24527" s="74">
        <v>29319</v>
      </c>
      <c r="B24527">
        <v>9.15</v>
      </c>
    </row>
    <row r="24528" spans="1:2" x14ac:dyDescent="0.25">
      <c r="A24528" s="74">
        <v>29320</v>
      </c>
      <c r="B24528">
        <v>19.5</v>
      </c>
    </row>
    <row r="24529" spans="1:2" x14ac:dyDescent="0.25">
      <c r="A24529" s="74">
        <v>29321</v>
      </c>
      <c r="B24529">
        <v>30.6</v>
      </c>
    </row>
    <row r="24530" spans="1:2" x14ac:dyDescent="0.25">
      <c r="A24530" s="74">
        <v>29322</v>
      </c>
      <c r="B24530">
        <v>17.100000000000001</v>
      </c>
    </row>
    <row r="24531" spans="1:2" x14ac:dyDescent="0.25">
      <c r="A24531" s="74">
        <v>29323</v>
      </c>
      <c r="B24531">
        <v>12.9</v>
      </c>
    </row>
    <row r="24532" spans="1:2" x14ac:dyDescent="0.25">
      <c r="A24532" s="74">
        <v>29324</v>
      </c>
      <c r="B24532">
        <v>12.4</v>
      </c>
    </row>
    <row r="24533" spans="1:2" x14ac:dyDescent="0.25">
      <c r="A24533" s="74">
        <v>29325</v>
      </c>
      <c r="B24533">
        <v>13.9</v>
      </c>
    </row>
    <row r="24534" spans="1:2" x14ac:dyDescent="0.25">
      <c r="A24534" s="74">
        <v>29326</v>
      </c>
      <c r="B24534">
        <v>29.1</v>
      </c>
    </row>
    <row r="24535" spans="1:2" x14ac:dyDescent="0.25">
      <c r="A24535" s="74">
        <v>29327</v>
      </c>
      <c r="B24535">
        <v>18.8</v>
      </c>
    </row>
    <row r="24536" spans="1:2" x14ac:dyDescent="0.25">
      <c r="A24536" s="74">
        <v>29328</v>
      </c>
      <c r="B24536">
        <v>14.6</v>
      </c>
    </row>
    <row r="24537" spans="1:2" x14ac:dyDescent="0.25">
      <c r="A24537" s="74">
        <v>29329</v>
      </c>
      <c r="B24537">
        <v>27.6</v>
      </c>
    </row>
    <row r="24538" spans="1:2" x14ac:dyDescent="0.25">
      <c r="A24538" s="74">
        <v>29330</v>
      </c>
      <c r="B24538">
        <v>88</v>
      </c>
    </row>
    <row r="24539" spans="1:2" x14ac:dyDescent="0.25">
      <c r="A24539" s="74">
        <v>29331</v>
      </c>
      <c r="B24539">
        <v>40.9</v>
      </c>
    </row>
    <row r="24540" spans="1:2" x14ac:dyDescent="0.25">
      <c r="A24540" s="74">
        <v>29332</v>
      </c>
      <c r="B24540">
        <v>27.6</v>
      </c>
    </row>
    <row r="24541" spans="1:2" x14ac:dyDescent="0.25">
      <c r="A24541" s="74">
        <v>29333</v>
      </c>
      <c r="B24541">
        <v>17.3</v>
      </c>
    </row>
    <row r="24542" spans="1:2" x14ac:dyDescent="0.25">
      <c r="A24542" s="74">
        <v>29334</v>
      </c>
      <c r="B24542">
        <v>13.5</v>
      </c>
    </row>
    <row r="24543" spans="1:2" x14ac:dyDescent="0.25">
      <c r="A24543" s="74">
        <v>29335</v>
      </c>
      <c r="B24543">
        <v>12.7</v>
      </c>
    </row>
    <row r="24544" spans="1:2" x14ac:dyDescent="0.25">
      <c r="A24544" s="74">
        <v>29336</v>
      </c>
      <c r="B24544">
        <v>11</v>
      </c>
    </row>
    <row r="24545" spans="1:2" x14ac:dyDescent="0.25">
      <c r="A24545" s="74">
        <v>29337</v>
      </c>
      <c r="B24545">
        <v>10.1</v>
      </c>
    </row>
    <row r="24546" spans="1:2" x14ac:dyDescent="0.25">
      <c r="A24546" s="74">
        <v>29338</v>
      </c>
      <c r="B24546">
        <v>9.99</v>
      </c>
    </row>
    <row r="24547" spans="1:2" x14ac:dyDescent="0.25">
      <c r="A24547" s="74">
        <v>29339</v>
      </c>
      <c r="B24547">
        <v>12.3</v>
      </c>
    </row>
    <row r="24548" spans="1:2" x14ac:dyDescent="0.25">
      <c r="A24548" s="74">
        <v>29340</v>
      </c>
      <c r="B24548">
        <v>11</v>
      </c>
    </row>
    <row r="24549" spans="1:2" x14ac:dyDescent="0.25">
      <c r="A24549" s="74">
        <v>29341</v>
      </c>
      <c r="B24549">
        <v>9.5299999999999994</v>
      </c>
    </row>
    <row r="24550" spans="1:2" x14ac:dyDescent="0.25">
      <c r="A24550" s="74">
        <v>29342</v>
      </c>
      <c r="B24550">
        <v>9.69</v>
      </c>
    </row>
    <row r="24551" spans="1:2" x14ac:dyDescent="0.25">
      <c r="A24551" s="74">
        <v>29343</v>
      </c>
      <c r="B24551">
        <v>12</v>
      </c>
    </row>
    <row r="24552" spans="1:2" x14ac:dyDescent="0.25">
      <c r="A24552" s="74">
        <v>29344</v>
      </c>
      <c r="B24552">
        <v>9.84</v>
      </c>
    </row>
    <row r="24553" spans="1:2" x14ac:dyDescent="0.25">
      <c r="A24553" s="74">
        <v>29345</v>
      </c>
      <c r="B24553">
        <v>8.17</v>
      </c>
    </row>
    <row r="24554" spans="1:2" x14ac:dyDescent="0.25">
      <c r="A24554" s="74">
        <v>29346</v>
      </c>
      <c r="B24554">
        <v>10.3</v>
      </c>
    </row>
    <row r="24555" spans="1:2" x14ac:dyDescent="0.25">
      <c r="A24555" s="74">
        <v>29347</v>
      </c>
      <c r="B24555">
        <v>12.7</v>
      </c>
    </row>
    <row r="24556" spans="1:2" x14ac:dyDescent="0.25">
      <c r="A24556" s="74">
        <v>29348</v>
      </c>
      <c r="B24556">
        <v>9.84</v>
      </c>
    </row>
    <row r="24557" spans="1:2" x14ac:dyDescent="0.25">
      <c r="A24557" s="74">
        <v>29349</v>
      </c>
      <c r="B24557">
        <v>7.87</v>
      </c>
    </row>
    <row r="24558" spans="1:2" x14ac:dyDescent="0.25">
      <c r="A24558" s="74">
        <v>29350</v>
      </c>
      <c r="B24558">
        <v>7.56</v>
      </c>
    </row>
    <row r="24559" spans="1:2" x14ac:dyDescent="0.25">
      <c r="A24559" s="74">
        <v>29351</v>
      </c>
      <c r="B24559">
        <v>6.66</v>
      </c>
    </row>
    <row r="24560" spans="1:2" x14ac:dyDescent="0.25">
      <c r="A24560" s="74">
        <v>29352</v>
      </c>
      <c r="B24560">
        <v>8.02</v>
      </c>
    </row>
    <row r="24561" spans="1:2" x14ac:dyDescent="0.25">
      <c r="A24561" s="74">
        <v>29353</v>
      </c>
      <c r="B24561">
        <v>9.84</v>
      </c>
    </row>
    <row r="24562" spans="1:2" x14ac:dyDescent="0.25">
      <c r="A24562" s="74">
        <v>29354</v>
      </c>
      <c r="B24562">
        <v>8.4700000000000006</v>
      </c>
    </row>
    <row r="24563" spans="1:2" x14ac:dyDescent="0.25">
      <c r="A24563" s="74">
        <v>29355</v>
      </c>
      <c r="B24563">
        <v>7.11</v>
      </c>
    </row>
    <row r="24564" spans="1:2" x14ac:dyDescent="0.25">
      <c r="A24564" s="74">
        <v>29356</v>
      </c>
      <c r="B24564">
        <v>6.2</v>
      </c>
    </row>
    <row r="24565" spans="1:2" x14ac:dyDescent="0.25">
      <c r="A24565" s="74">
        <v>29357</v>
      </c>
      <c r="B24565">
        <v>5.31</v>
      </c>
    </row>
    <row r="24566" spans="1:2" x14ac:dyDescent="0.25">
      <c r="A24566" s="74">
        <v>29358</v>
      </c>
      <c r="B24566">
        <v>4.9400000000000004</v>
      </c>
    </row>
    <row r="24567" spans="1:2" x14ac:dyDescent="0.25">
      <c r="A24567" s="74">
        <v>29359</v>
      </c>
      <c r="B24567">
        <v>5.13</v>
      </c>
    </row>
    <row r="24568" spans="1:2" x14ac:dyDescent="0.25">
      <c r="A24568" s="74">
        <v>29360</v>
      </c>
      <c r="B24568">
        <v>5.74</v>
      </c>
    </row>
    <row r="24569" spans="1:2" x14ac:dyDescent="0.25">
      <c r="A24569" s="74">
        <v>29361</v>
      </c>
      <c r="B24569">
        <v>6.2</v>
      </c>
    </row>
    <row r="24570" spans="1:2" x14ac:dyDescent="0.25">
      <c r="A24570" s="74">
        <v>29362</v>
      </c>
      <c r="B24570">
        <v>8.7799999999999994</v>
      </c>
    </row>
    <row r="24571" spans="1:2" x14ac:dyDescent="0.25">
      <c r="A24571" s="74">
        <v>29363</v>
      </c>
      <c r="B24571">
        <v>5.97</v>
      </c>
    </row>
    <row r="24572" spans="1:2" x14ac:dyDescent="0.25">
      <c r="A24572" s="74">
        <v>29364</v>
      </c>
      <c r="B24572">
        <v>4.8499999999999996</v>
      </c>
    </row>
    <row r="24573" spans="1:2" x14ac:dyDescent="0.25">
      <c r="A24573" s="74">
        <v>29365</v>
      </c>
      <c r="B24573">
        <v>4.4000000000000004</v>
      </c>
    </row>
    <row r="24574" spans="1:2" x14ac:dyDescent="0.25">
      <c r="A24574" s="74">
        <v>29366</v>
      </c>
      <c r="B24574">
        <v>3.94</v>
      </c>
    </row>
    <row r="24575" spans="1:2" x14ac:dyDescent="0.25">
      <c r="A24575" s="74">
        <v>29367</v>
      </c>
      <c r="B24575">
        <v>3.85</v>
      </c>
    </row>
    <row r="24576" spans="1:2" x14ac:dyDescent="0.25">
      <c r="A24576" s="74">
        <v>29368</v>
      </c>
      <c r="B24576">
        <v>4.9400000000000004</v>
      </c>
    </row>
    <row r="24577" spans="1:2" x14ac:dyDescent="0.25">
      <c r="A24577" s="74">
        <v>29369</v>
      </c>
      <c r="B24577">
        <v>7.72</v>
      </c>
    </row>
    <row r="24578" spans="1:2" x14ac:dyDescent="0.25">
      <c r="A24578" s="74">
        <v>29370</v>
      </c>
      <c r="B24578">
        <v>5.74</v>
      </c>
    </row>
    <row r="24579" spans="1:2" x14ac:dyDescent="0.25">
      <c r="A24579" s="74">
        <v>29371</v>
      </c>
      <c r="B24579">
        <v>5.63</v>
      </c>
    </row>
    <row r="24580" spans="1:2" x14ac:dyDescent="0.25">
      <c r="A24580" s="74">
        <v>29372</v>
      </c>
      <c r="B24580">
        <v>5.51</v>
      </c>
    </row>
    <row r="24581" spans="1:2" x14ac:dyDescent="0.25">
      <c r="A24581" s="74">
        <v>29373</v>
      </c>
      <c r="B24581">
        <v>5.51</v>
      </c>
    </row>
    <row r="24582" spans="1:2" x14ac:dyDescent="0.25">
      <c r="A24582" s="74">
        <v>29374</v>
      </c>
      <c r="B24582">
        <v>4.76</v>
      </c>
    </row>
    <row r="24583" spans="1:2" x14ac:dyDescent="0.25">
      <c r="A24583" s="74">
        <v>29375</v>
      </c>
      <c r="B24583">
        <v>4.03</v>
      </c>
    </row>
    <row r="24584" spans="1:2" x14ac:dyDescent="0.25">
      <c r="A24584" s="74">
        <v>29376</v>
      </c>
      <c r="B24584">
        <v>4.49</v>
      </c>
    </row>
    <row r="24585" spans="1:2" x14ac:dyDescent="0.25">
      <c r="A24585" s="74">
        <v>29377</v>
      </c>
      <c r="B24585">
        <v>4.4000000000000004</v>
      </c>
    </row>
    <row r="24586" spans="1:2" x14ac:dyDescent="0.25">
      <c r="A24586" s="74">
        <v>29378</v>
      </c>
      <c r="B24586">
        <v>4.4000000000000004</v>
      </c>
    </row>
    <row r="24587" spans="1:2" x14ac:dyDescent="0.25">
      <c r="A24587" s="74">
        <v>29379</v>
      </c>
      <c r="B24587">
        <v>4.21</v>
      </c>
    </row>
    <row r="24588" spans="1:2" x14ac:dyDescent="0.25">
      <c r="A24588" s="74">
        <v>29380</v>
      </c>
      <c r="B24588">
        <v>5.31</v>
      </c>
    </row>
    <row r="24589" spans="1:2" x14ac:dyDescent="0.25">
      <c r="A24589" s="74">
        <v>29381</v>
      </c>
      <c r="B24589">
        <v>11.6</v>
      </c>
    </row>
    <row r="24590" spans="1:2" x14ac:dyDescent="0.25">
      <c r="A24590" s="74">
        <v>29382</v>
      </c>
      <c r="B24590">
        <v>8.6199999999999992</v>
      </c>
    </row>
    <row r="24591" spans="1:2" x14ac:dyDescent="0.25">
      <c r="A24591" s="74">
        <v>29383</v>
      </c>
      <c r="B24591">
        <v>10.4</v>
      </c>
    </row>
    <row r="24592" spans="1:2" x14ac:dyDescent="0.25">
      <c r="A24592" s="74">
        <v>29384</v>
      </c>
      <c r="B24592">
        <v>9.08</v>
      </c>
    </row>
    <row r="24593" spans="1:2" x14ac:dyDescent="0.25">
      <c r="A24593" s="74">
        <v>29385</v>
      </c>
      <c r="B24593">
        <v>8.02</v>
      </c>
    </row>
    <row r="24594" spans="1:2" x14ac:dyDescent="0.25">
      <c r="A24594" s="74">
        <v>29386</v>
      </c>
      <c r="B24594">
        <v>6.5</v>
      </c>
    </row>
    <row r="24595" spans="1:2" x14ac:dyDescent="0.25">
      <c r="A24595" s="74">
        <v>29387</v>
      </c>
      <c r="B24595">
        <v>5.86</v>
      </c>
    </row>
    <row r="24596" spans="1:2" x14ac:dyDescent="0.25">
      <c r="A24596" s="74">
        <v>29388</v>
      </c>
      <c r="B24596">
        <v>5.4</v>
      </c>
    </row>
    <row r="24597" spans="1:2" x14ac:dyDescent="0.25">
      <c r="A24597" s="74">
        <v>29389</v>
      </c>
      <c r="B24597">
        <v>4.9400000000000004</v>
      </c>
    </row>
    <row r="24598" spans="1:2" x14ac:dyDescent="0.25">
      <c r="A24598" s="74">
        <v>29390</v>
      </c>
      <c r="B24598">
        <v>4.58</v>
      </c>
    </row>
    <row r="24599" spans="1:2" x14ac:dyDescent="0.25">
      <c r="A24599" s="74">
        <v>29391</v>
      </c>
      <c r="B24599">
        <v>4.03</v>
      </c>
    </row>
    <row r="24600" spans="1:2" x14ac:dyDescent="0.25">
      <c r="A24600" s="74">
        <v>29392</v>
      </c>
      <c r="B24600">
        <v>3.67</v>
      </c>
    </row>
    <row r="24601" spans="1:2" x14ac:dyDescent="0.25">
      <c r="A24601" s="74">
        <v>29393</v>
      </c>
      <c r="B24601">
        <v>3.57</v>
      </c>
    </row>
    <row r="24602" spans="1:2" x14ac:dyDescent="0.25">
      <c r="A24602" s="74">
        <v>29394</v>
      </c>
      <c r="B24602">
        <v>3.48</v>
      </c>
    </row>
    <row r="24603" spans="1:2" x14ac:dyDescent="0.25">
      <c r="A24603" s="74">
        <v>29395</v>
      </c>
      <c r="B24603">
        <v>3.24</v>
      </c>
    </row>
    <row r="24604" spans="1:2" x14ac:dyDescent="0.25">
      <c r="A24604" s="74">
        <v>29396</v>
      </c>
      <c r="B24604">
        <v>3.1</v>
      </c>
    </row>
    <row r="24605" spans="1:2" x14ac:dyDescent="0.25">
      <c r="A24605" s="74">
        <v>29397</v>
      </c>
      <c r="B24605">
        <v>3.3</v>
      </c>
    </row>
    <row r="24606" spans="1:2" x14ac:dyDescent="0.25">
      <c r="A24606" s="74">
        <v>29398</v>
      </c>
      <c r="B24606">
        <v>10.6</v>
      </c>
    </row>
    <row r="24607" spans="1:2" x14ac:dyDescent="0.25">
      <c r="A24607" s="74">
        <v>29399</v>
      </c>
      <c r="B24607">
        <v>10.9</v>
      </c>
    </row>
    <row r="24608" spans="1:2" x14ac:dyDescent="0.25">
      <c r="A24608" s="74">
        <v>29400</v>
      </c>
      <c r="B24608">
        <v>8.32</v>
      </c>
    </row>
    <row r="24609" spans="1:2" x14ac:dyDescent="0.25">
      <c r="A24609" s="74">
        <v>29401</v>
      </c>
      <c r="B24609">
        <v>6.5</v>
      </c>
    </row>
    <row r="24610" spans="1:2" x14ac:dyDescent="0.25">
      <c r="A24610" s="74">
        <v>29402</v>
      </c>
      <c r="B24610">
        <v>5.31</v>
      </c>
    </row>
    <row r="24611" spans="1:2" x14ac:dyDescent="0.25">
      <c r="A24611" s="74">
        <v>29403</v>
      </c>
      <c r="B24611">
        <v>4.58</v>
      </c>
    </row>
    <row r="24612" spans="1:2" x14ac:dyDescent="0.25">
      <c r="A24612" s="74">
        <v>29404</v>
      </c>
      <c r="B24612">
        <v>4.03</v>
      </c>
    </row>
    <row r="24613" spans="1:2" x14ac:dyDescent="0.25">
      <c r="A24613" s="74">
        <v>29405</v>
      </c>
      <c r="B24613">
        <v>3.67</v>
      </c>
    </row>
    <row r="24614" spans="1:2" x14ac:dyDescent="0.25">
      <c r="A24614" s="74">
        <v>29406</v>
      </c>
      <c r="B24614">
        <v>10.9</v>
      </c>
    </row>
    <row r="24615" spans="1:2" x14ac:dyDescent="0.25">
      <c r="A24615" s="74">
        <v>29407</v>
      </c>
      <c r="B24615">
        <v>7.26</v>
      </c>
    </row>
    <row r="24616" spans="1:2" x14ac:dyDescent="0.25">
      <c r="A24616" s="74">
        <v>29408</v>
      </c>
      <c r="B24616">
        <v>6.96</v>
      </c>
    </row>
    <row r="24617" spans="1:2" x14ac:dyDescent="0.25">
      <c r="A24617" s="74">
        <v>29409</v>
      </c>
      <c r="B24617">
        <v>5.86</v>
      </c>
    </row>
    <row r="24618" spans="1:2" x14ac:dyDescent="0.25">
      <c r="A24618" s="74">
        <v>29410</v>
      </c>
      <c r="B24618">
        <v>4.9400000000000004</v>
      </c>
    </row>
    <row r="24619" spans="1:2" x14ac:dyDescent="0.25">
      <c r="A24619" s="74">
        <v>29411</v>
      </c>
      <c r="B24619">
        <v>4.4000000000000004</v>
      </c>
    </row>
    <row r="24620" spans="1:2" x14ac:dyDescent="0.25">
      <c r="A24620" s="74">
        <v>29412</v>
      </c>
      <c r="B24620">
        <v>3.94</v>
      </c>
    </row>
    <row r="24621" spans="1:2" x14ac:dyDescent="0.25">
      <c r="A24621" s="74">
        <v>29413</v>
      </c>
      <c r="B24621">
        <v>3.85</v>
      </c>
    </row>
    <row r="24622" spans="1:2" x14ac:dyDescent="0.25">
      <c r="A24622" s="74">
        <v>29414</v>
      </c>
      <c r="B24622">
        <v>3.85</v>
      </c>
    </row>
    <row r="24623" spans="1:2" x14ac:dyDescent="0.25">
      <c r="A24623" s="74">
        <v>29415</v>
      </c>
      <c r="B24623">
        <v>3.48</v>
      </c>
    </row>
    <row r="24624" spans="1:2" x14ac:dyDescent="0.25">
      <c r="A24624" s="74">
        <v>29416</v>
      </c>
      <c r="B24624">
        <v>3.3</v>
      </c>
    </row>
    <row r="24625" spans="1:2" x14ac:dyDescent="0.25">
      <c r="A24625" s="74">
        <v>29417</v>
      </c>
      <c r="B24625">
        <v>3.04</v>
      </c>
    </row>
    <row r="24626" spans="1:2" x14ac:dyDescent="0.25">
      <c r="A24626" s="74">
        <v>29418</v>
      </c>
      <c r="B24626">
        <v>3.04</v>
      </c>
    </row>
    <row r="24627" spans="1:2" x14ac:dyDescent="0.25">
      <c r="A24627" s="74">
        <v>29419</v>
      </c>
      <c r="B24627">
        <v>2.78</v>
      </c>
    </row>
    <row r="24628" spans="1:2" x14ac:dyDescent="0.25">
      <c r="A24628" s="74">
        <v>29420</v>
      </c>
      <c r="B24628">
        <v>2.52</v>
      </c>
    </row>
    <row r="24629" spans="1:2" x14ac:dyDescent="0.25">
      <c r="A24629" s="74">
        <v>29421</v>
      </c>
      <c r="B24629">
        <v>2.39</v>
      </c>
    </row>
    <row r="24630" spans="1:2" x14ac:dyDescent="0.25">
      <c r="A24630" s="74">
        <v>29422</v>
      </c>
      <c r="B24630">
        <v>2.4500000000000002</v>
      </c>
    </row>
    <row r="24631" spans="1:2" x14ac:dyDescent="0.25">
      <c r="A24631" s="74">
        <v>29423</v>
      </c>
      <c r="B24631">
        <v>2.3199999999999998</v>
      </c>
    </row>
    <row r="24632" spans="1:2" x14ac:dyDescent="0.25">
      <c r="A24632" s="74">
        <v>29424</v>
      </c>
      <c r="B24632">
        <v>2.12</v>
      </c>
    </row>
    <row r="24633" spans="1:2" x14ac:dyDescent="0.25">
      <c r="A24633" s="74">
        <v>29425</v>
      </c>
      <c r="B24633">
        <v>1.86</v>
      </c>
    </row>
    <row r="24634" spans="1:2" x14ac:dyDescent="0.25">
      <c r="A24634" s="74">
        <v>29426</v>
      </c>
      <c r="B24634">
        <v>1.73</v>
      </c>
    </row>
    <row r="24635" spans="1:2" x14ac:dyDescent="0.25">
      <c r="A24635" s="74">
        <v>29427</v>
      </c>
      <c r="B24635">
        <v>1.6</v>
      </c>
    </row>
    <row r="24636" spans="1:2" x14ac:dyDescent="0.25">
      <c r="A24636" s="74">
        <v>29428</v>
      </c>
      <c r="B24636">
        <v>1.54</v>
      </c>
    </row>
    <row r="24637" spans="1:2" x14ac:dyDescent="0.25">
      <c r="A24637" s="74">
        <v>29429</v>
      </c>
      <c r="B24637">
        <v>1.45</v>
      </c>
    </row>
    <row r="24638" spans="1:2" x14ac:dyDescent="0.25">
      <c r="A24638" s="74">
        <v>29430</v>
      </c>
      <c r="B24638">
        <v>1.39</v>
      </c>
    </row>
    <row r="24639" spans="1:2" x14ac:dyDescent="0.25">
      <c r="A24639" s="74">
        <v>29431</v>
      </c>
      <c r="B24639">
        <v>1.35</v>
      </c>
    </row>
    <row r="24640" spans="1:2" x14ac:dyDescent="0.25">
      <c r="A24640" s="74">
        <v>29432</v>
      </c>
      <c r="B24640">
        <v>1.26</v>
      </c>
    </row>
    <row r="24641" spans="1:2" x14ac:dyDescent="0.25">
      <c r="A24641" s="74">
        <v>29433</v>
      </c>
      <c r="B24641">
        <v>1.2</v>
      </c>
    </row>
    <row r="24642" spans="1:2" x14ac:dyDescent="0.25">
      <c r="A24642" s="74">
        <v>29434</v>
      </c>
      <c r="B24642">
        <v>1.1399999999999999</v>
      </c>
    </row>
    <row r="24643" spans="1:2" x14ac:dyDescent="0.25">
      <c r="A24643" s="74">
        <v>29435</v>
      </c>
      <c r="B24643">
        <v>1.1100000000000001</v>
      </c>
    </row>
    <row r="24644" spans="1:2" x14ac:dyDescent="0.25">
      <c r="A24644" s="74">
        <v>29436</v>
      </c>
      <c r="B24644">
        <v>1.08</v>
      </c>
    </row>
    <row r="24645" spans="1:2" x14ac:dyDescent="0.25">
      <c r="A24645" s="74">
        <v>29437</v>
      </c>
      <c r="B24645">
        <v>1.02</v>
      </c>
    </row>
    <row r="24646" spans="1:2" x14ac:dyDescent="0.25">
      <c r="A24646" s="74">
        <v>29438</v>
      </c>
      <c r="B24646">
        <v>1.02</v>
      </c>
    </row>
    <row r="24647" spans="1:2" x14ac:dyDescent="0.25">
      <c r="A24647" s="74">
        <v>29439</v>
      </c>
      <c r="B24647">
        <v>1.02</v>
      </c>
    </row>
    <row r="24648" spans="1:2" x14ac:dyDescent="0.25">
      <c r="A24648" s="74">
        <v>29440</v>
      </c>
      <c r="B24648">
        <v>0.98499999999999999</v>
      </c>
    </row>
    <row r="24649" spans="1:2" x14ac:dyDescent="0.25">
      <c r="A24649" s="74">
        <v>29441</v>
      </c>
      <c r="B24649">
        <v>0.89200000000000002</v>
      </c>
    </row>
    <row r="24650" spans="1:2" x14ac:dyDescent="0.25">
      <c r="A24650" s="74">
        <v>29442</v>
      </c>
      <c r="B24650">
        <v>0.86099999999999999</v>
      </c>
    </row>
    <row r="24651" spans="1:2" x14ac:dyDescent="0.25">
      <c r="A24651" s="74">
        <v>29443</v>
      </c>
      <c r="B24651">
        <v>0.83099999999999996</v>
      </c>
    </row>
    <row r="24652" spans="1:2" x14ac:dyDescent="0.25">
      <c r="A24652" s="74">
        <v>29444</v>
      </c>
      <c r="B24652">
        <v>0.8</v>
      </c>
    </row>
    <row r="24653" spans="1:2" x14ac:dyDescent="0.25">
      <c r="A24653" s="74">
        <v>29445</v>
      </c>
      <c r="B24653">
        <v>0.76700000000000002</v>
      </c>
    </row>
    <row r="24654" spans="1:2" x14ac:dyDescent="0.25">
      <c r="A24654" s="74">
        <v>29446</v>
      </c>
      <c r="B24654">
        <v>0.76700000000000002</v>
      </c>
    </row>
    <row r="24655" spans="1:2" x14ac:dyDescent="0.25">
      <c r="A24655" s="74">
        <v>29447</v>
      </c>
      <c r="B24655">
        <v>0.76700000000000002</v>
      </c>
    </row>
    <row r="24656" spans="1:2" x14ac:dyDescent="0.25">
      <c r="A24656" s="74">
        <v>29448</v>
      </c>
      <c r="B24656">
        <v>0.75</v>
      </c>
    </row>
    <row r="24657" spans="1:2" x14ac:dyDescent="0.25">
      <c r="A24657" s="74">
        <v>29449</v>
      </c>
      <c r="B24657">
        <v>0.75</v>
      </c>
    </row>
    <row r="24658" spans="1:2" x14ac:dyDescent="0.25">
      <c r="A24658" s="74">
        <v>29450</v>
      </c>
      <c r="B24658">
        <v>0.73799999999999999</v>
      </c>
    </row>
    <row r="24659" spans="1:2" x14ac:dyDescent="0.25">
      <c r="A24659" s="74">
        <v>29451</v>
      </c>
      <c r="B24659">
        <v>0.98499999999999999</v>
      </c>
    </row>
    <row r="24660" spans="1:2" x14ac:dyDescent="0.25">
      <c r="A24660" s="74">
        <v>29452</v>
      </c>
      <c r="B24660">
        <v>0.78300000000000003</v>
      </c>
    </row>
    <row r="24661" spans="1:2" x14ac:dyDescent="0.25">
      <c r="A24661" s="74">
        <v>29453</v>
      </c>
      <c r="B24661">
        <v>0.75</v>
      </c>
    </row>
    <row r="24662" spans="1:2" x14ac:dyDescent="0.25">
      <c r="A24662" s="74">
        <v>29454</v>
      </c>
      <c r="B24662">
        <v>0.73799999999999999</v>
      </c>
    </row>
    <row r="24663" spans="1:2" x14ac:dyDescent="0.25">
      <c r="A24663" s="74">
        <v>29455</v>
      </c>
      <c r="B24663">
        <v>0.71299999999999997</v>
      </c>
    </row>
    <row r="24664" spans="1:2" x14ac:dyDescent="0.25">
      <c r="A24664" s="74">
        <v>29456</v>
      </c>
      <c r="B24664">
        <v>0.71299999999999997</v>
      </c>
    </row>
    <row r="24665" spans="1:2" x14ac:dyDescent="0.25">
      <c r="A24665" s="74">
        <v>29457</v>
      </c>
      <c r="B24665">
        <v>0.71299999999999997</v>
      </c>
    </row>
    <row r="24666" spans="1:2" x14ac:dyDescent="0.25">
      <c r="A24666" s="74">
        <v>29458</v>
      </c>
      <c r="B24666">
        <v>0.68300000000000005</v>
      </c>
    </row>
    <row r="24667" spans="1:2" x14ac:dyDescent="0.25">
      <c r="A24667" s="74">
        <v>29459</v>
      </c>
      <c r="B24667">
        <v>0.68300000000000005</v>
      </c>
    </row>
    <row r="24668" spans="1:2" x14ac:dyDescent="0.25">
      <c r="A24668" s="74">
        <v>29460</v>
      </c>
      <c r="B24668">
        <v>1.08</v>
      </c>
    </row>
    <row r="24669" spans="1:2" x14ac:dyDescent="0.25">
      <c r="A24669" s="74">
        <v>29461</v>
      </c>
      <c r="B24669">
        <v>0.8</v>
      </c>
    </row>
    <row r="24670" spans="1:2" x14ac:dyDescent="0.25">
      <c r="A24670" s="74">
        <v>29462</v>
      </c>
      <c r="B24670">
        <v>0.75</v>
      </c>
    </row>
    <row r="24671" spans="1:2" x14ac:dyDescent="0.25">
      <c r="A24671" s="74">
        <v>29463</v>
      </c>
      <c r="B24671">
        <v>0.73799999999999999</v>
      </c>
    </row>
    <row r="24672" spans="1:2" x14ac:dyDescent="0.25">
      <c r="A24672" s="74">
        <v>29464</v>
      </c>
      <c r="B24672">
        <v>0.71299999999999997</v>
      </c>
    </row>
    <row r="24673" spans="1:2" x14ac:dyDescent="0.25">
      <c r="A24673" s="74">
        <v>29465</v>
      </c>
      <c r="B24673">
        <v>0.73799999999999999</v>
      </c>
    </row>
    <row r="24674" spans="1:2" x14ac:dyDescent="0.25">
      <c r="A24674" s="74">
        <v>29466</v>
      </c>
      <c r="B24674">
        <v>0.76700000000000002</v>
      </c>
    </row>
    <row r="24675" spans="1:2" x14ac:dyDescent="0.25">
      <c r="A24675" s="74">
        <v>29467</v>
      </c>
      <c r="B24675">
        <v>0.75</v>
      </c>
    </row>
    <row r="24676" spans="1:2" x14ac:dyDescent="0.25">
      <c r="A24676" s="74">
        <v>29468</v>
      </c>
      <c r="B24676">
        <v>0.76700000000000002</v>
      </c>
    </row>
    <row r="24677" spans="1:2" x14ac:dyDescent="0.25">
      <c r="A24677" s="74">
        <v>29469</v>
      </c>
      <c r="B24677">
        <v>0.75</v>
      </c>
    </row>
    <row r="24678" spans="1:2" x14ac:dyDescent="0.25">
      <c r="A24678" s="74">
        <v>29470</v>
      </c>
      <c r="B24678">
        <v>0.75</v>
      </c>
    </row>
    <row r="24679" spans="1:2" x14ac:dyDescent="0.25">
      <c r="A24679" s="74">
        <v>29471</v>
      </c>
      <c r="B24679">
        <v>0.78300000000000003</v>
      </c>
    </row>
    <row r="24680" spans="1:2" x14ac:dyDescent="0.25">
      <c r="A24680" s="74">
        <v>29472</v>
      </c>
      <c r="B24680">
        <v>0.98499999999999999</v>
      </c>
    </row>
    <row r="24681" spans="1:2" x14ac:dyDescent="0.25">
      <c r="A24681" s="74">
        <v>29473</v>
      </c>
      <c r="B24681">
        <v>0.86099999999999999</v>
      </c>
    </row>
    <row r="24682" spans="1:2" x14ac:dyDescent="0.25">
      <c r="A24682" s="74">
        <v>29474</v>
      </c>
      <c r="B24682">
        <v>0.8</v>
      </c>
    </row>
    <row r="24683" spans="1:2" x14ac:dyDescent="0.25">
      <c r="A24683" s="74">
        <v>29475</v>
      </c>
      <c r="B24683">
        <v>0.75</v>
      </c>
    </row>
    <row r="24684" spans="1:2" x14ac:dyDescent="0.25">
      <c r="A24684" s="74">
        <v>29476</v>
      </c>
      <c r="B24684">
        <v>0.73799999999999999</v>
      </c>
    </row>
    <row r="24685" spans="1:2" x14ac:dyDescent="0.25">
      <c r="A24685" s="74">
        <v>29477</v>
      </c>
      <c r="B24685">
        <v>0.72499999999999998</v>
      </c>
    </row>
    <row r="24686" spans="1:2" x14ac:dyDescent="0.25">
      <c r="A24686" s="74">
        <v>29478</v>
      </c>
      <c r="B24686">
        <v>0.7</v>
      </c>
    </row>
    <row r="24687" spans="1:2" x14ac:dyDescent="0.25">
      <c r="A24687" s="74">
        <v>29479</v>
      </c>
      <c r="B24687">
        <v>0.68300000000000005</v>
      </c>
    </row>
    <row r="24688" spans="1:2" x14ac:dyDescent="0.25">
      <c r="A24688" s="74">
        <v>29480</v>
      </c>
      <c r="B24688">
        <v>0.66700000000000004</v>
      </c>
    </row>
    <row r="24689" spans="1:2" x14ac:dyDescent="0.25">
      <c r="A24689" s="74">
        <v>29481</v>
      </c>
      <c r="B24689">
        <v>0.65</v>
      </c>
    </row>
    <row r="24690" spans="1:2" x14ac:dyDescent="0.25">
      <c r="A24690" s="74">
        <v>29482</v>
      </c>
      <c r="B24690">
        <v>0.65</v>
      </c>
    </row>
    <row r="24691" spans="1:2" x14ac:dyDescent="0.25">
      <c r="A24691" s="74">
        <v>29483</v>
      </c>
      <c r="B24691">
        <v>0.63300000000000001</v>
      </c>
    </row>
    <row r="24692" spans="1:2" x14ac:dyDescent="0.25">
      <c r="A24692" s="74">
        <v>29484</v>
      </c>
      <c r="B24692">
        <v>1.2</v>
      </c>
    </row>
    <row r="24693" spans="1:2" x14ac:dyDescent="0.25">
      <c r="A24693" s="74">
        <v>29485</v>
      </c>
      <c r="B24693">
        <v>1.23</v>
      </c>
    </row>
    <row r="24694" spans="1:2" x14ac:dyDescent="0.25">
      <c r="A24694" s="74">
        <v>29486</v>
      </c>
      <c r="B24694">
        <v>1.1100000000000001</v>
      </c>
    </row>
    <row r="24695" spans="1:2" x14ac:dyDescent="0.25">
      <c r="A24695" s="74">
        <v>29487</v>
      </c>
      <c r="B24695">
        <v>0.98499999999999999</v>
      </c>
    </row>
    <row r="24696" spans="1:2" x14ac:dyDescent="0.25">
      <c r="A24696" s="74">
        <v>29488</v>
      </c>
      <c r="B24696">
        <v>0.95399999999999996</v>
      </c>
    </row>
    <row r="24697" spans="1:2" x14ac:dyDescent="0.25">
      <c r="A24697" s="74">
        <v>29489</v>
      </c>
      <c r="B24697">
        <v>0.92300000000000004</v>
      </c>
    </row>
    <row r="24698" spans="1:2" x14ac:dyDescent="0.25">
      <c r="A24698" s="74">
        <v>29490</v>
      </c>
      <c r="B24698">
        <v>0.83099999999999996</v>
      </c>
    </row>
    <row r="24699" spans="1:2" x14ac:dyDescent="0.25">
      <c r="A24699" s="74">
        <v>29491</v>
      </c>
      <c r="B24699">
        <v>0.83099999999999996</v>
      </c>
    </row>
    <row r="24700" spans="1:2" x14ac:dyDescent="0.25">
      <c r="A24700" s="74">
        <v>29492</v>
      </c>
      <c r="B24700">
        <v>0.8</v>
      </c>
    </row>
    <row r="24701" spans="1:2" x14ac:dyDescent="0.25">
      <c r="A24701" s="74">
        <v>29493</v>
      </c>
      <c r="B24701">
        <v>5.04</v>
      </c>
    </row>
    <row r="24702" spans="1:2" x14ac:dyDescent="0.25">
      <c r="A24702" s="74">
        <v>29494</v>
      </c>
      <c r="B24702">
        <v>8.17</v>
      </c>
    </row>
    <row r="24703" spans="1:2" x14ac:dyDescent="0.25">
      <c r="A24703" s="74">
        <v>29495</v>
      </c>
      <c r="B24703">
        <v>4.58</v>
      </c>
    </row>
    <row r="24704" spans="1:2" x14ac:dyDescent="0.25">
      <c r="A24704" s="74">
        <v>29496</v>
      </c>
      <c r="B24704">
        <v>3.1</v>
      </c>
    </row>
    <row r="24705" spans="1:2" x14ac:dyDescent="0.25">
      <c r="A24705" s="74">
        <v>29497</v>
      </c>
      <c r="B24705">
        <v>2.4500000000000002</v>
      </c>
    </row>
    <row r="24706" spans="1:2" x14ac:dyDescent="0.25">
      <c r="A24706" s="74">
        <v>29498</v>
      </c>
      <c r="B24706">
        <v>1.93</v>
      </c>
    </row>
    <row r="24707" spans="1:2" x14ac:dyDescent="0.25">
      <c r="A24707" s="74">
        <v>29499</v>
      </c>
      <c r="B24707">
        <v>1.57</v>
      </c>
    </row>
    <row r="24708" spans="1:2" x14ac:dyDescent="0.25">
      <c r="A24708" s="74">
        <v>29500</v>
      </c>
      <c r="B24708">
        <v>1.48</v>
      </c>
    </row>
    <row r="24709" spans="1:2" x14ac:dyDescent="0.25">
      <c r="A24709" s="74">
        <v>29501</v>
      </c>
      <c r="B24709">
        <v>1.32</v>
      </c>
    </row>
    <row r="24710" spans="1:2" x14ac:dyDescent="0.25">
      <c r="A24710" s="74">
        <v>29502</v>
      </c>
      <c r="B24710">
        <v>1.26</v>
      </c>
    </row>
    <row r="24711" spans="1:2" x14ac:dyDescent="0.25">
      <c r="A24711" s="74">
        <v>29503</v>
      </c>
      <c r="B24711">
        <v>1.2</v>
      </c>
    </row>
    <row r="24712" spans="1:2" x14ac:dyDescent="0.25">
      <c r="A24712" s="74">
        <v>29504</v>
      </c>
      <c r="B24712">
        <v>1.17</v>
      </c>
    </row>
    <row r="24713" spans="1:2" x14ac:dyDescent="0.25">
      <c r="A24713" s="74">
        <v>29505</v>
      </c>
      <c r="B24713">
        <v>1.1399999999999999</v>
      </c>
    </row>
    <row r="24714" spans="1:2" x14ac:dyDescent="0.25">
      <c r="A24714" s="74">
        <v>29506</v>
      </c>
      <c r="B24714">
        <v>1.2</v>
      </c>
    </row>
    <row r="24715" spans="1:2" x14ac:dyDescent="0.25">
      <c r="A24715" s="74">
        <v>29507</v>
      </c>
      <c r="B24715">
        <v>1.26</v>
      </c>
    </row>
    <row r="24716" spans="1:2" x14ac:dyDescent="0.25">
      <c r="A24716" s="74">
        <v>29508</v>
      </c>
      <c r="B24716">
        <v>1.42</v>
      </c>
    </row>
    <row r="24717" spans="1:2" x14ac:dyDescent="0.25">
      <c r="A24717" s="74">
        <v>29509</v>
      </c>
      <c r="B24717">
        <v>1.39</v>
      </c>
    </row>
    <row r="24718" spans="1:2" x14ac:dyDescent="0.25">
      <c r="A24718" s="74">
        <v>29510</v>
      </c>
      <c r="B24718">
        <v>1.29</v>
      </c>
    </row>
    <row r="24719" spans="1:2" x14ac:dyDescent="0.25">
      <c r="A24719" s="74">
        <v>29511</v>
      </c>
      <c r="B24719">
        <v>1.17</v>
      </c>
    </row>
    <row r="24720" spans="1:2" x14ac:dyDescent="0.25">
      <c r="A24720" s="74">
        <v>29512</v>
      </c>
      <c r="B24720">
        <v>1.1100000000000001</v>
      </c>
    </row>
    <row r="24721" spans="1:2" x14ac:dyDescent="0.25">
      <c r="A24721" s="74">
        <v>29513</v>
      </c>
      <c r="B24721">
        <v>1.1100000000000001</v>
      </c>
    </row>
    <row r="24722" spans="1:2" x14ac:dyDescent="0.25">
      <c r="A24722" s="74">
        <v>29514</v>
      </c>
      <c r="B24722">
        <v>1.1100000000000001</v>
      </c>
    </row>
    <row r="24723" spans="1:2" x14ac:dyDescent="0.25">
      <c r="A24723" s="74">
        <v>29515</v>
      </c>
      <c r="B24723">
        <v>1.2</v>
      </c>
    </row>
    <row r="24724" spans="1:2" x14ac:dyDescent="0.25">
      <c r="A24724" s="74">
        <v>29516</v>
      </c>
      <c r="B24724">
        <v>1.26</v>
      </c>
    </row>
    <row r="24725" spans="1:2" x14ac:dyDescent="0.25">
      <c r="A24725" s="74">
        <v>29517</v>
      </c>
      <c r="B24725">
        <v>1.23</v>
      </c>
    </row>
    <row r="24726" spans="1:2" x14ac:dyDescent="0.25">
      <c r="A24726" s="74">
        <v>29518</v>
      </c>
      <c r="B24726">
        <v>1.17</v>
      </c>
    </row>
    <row r="24727" spans="1:2" x14ac:dyDescent="0.25">
      <c r="A24727" s="74">
        <v>29519</v>
      </c>
      <c r="B24727">
        <v>1.48</v>
      </c>
    </row>
    <row r="24728" spans="1:2" x14ac:dyDescent="0.25">
      <c r="A24728" s="74">
        <v>29520</v>
      </c>
      <c r="B24728">
        <v>2.52</v>
      </c>
    </row>
    <row r="24729" spans="1:2" x14ac:dyDescent="0.25">
      <c r="A24729" s="74">
        <v>29521</v>
      </c>
      <c r="B24729">
        <v>2.06</v>
      </c>
    </row>
    <row r="24730" spans="1:2" x14ac:dyDescent="0.25">
      <c r="A24730" s="74">
        <v>29522</v>
      </c>
      <c r="B24730">
        <v>1.8</v>
      </c>
    </row>
    <row r="24731" spans="1:2" x14ac:dyDescent="0.25">
      <c r="A24731" s="74">
        <v>29523</v>
      </c>
      <c r="B24731">
        <v>1.67</v>
      </c>
    </row>
    <row r="24732" spans="1:2" x14ac:dyDescent="0.25">
      <c r="A24732" s="74">
        <v>29524</v>
      </c>
      <c r="B24732">
        <v>1.54</v>
      </c>
    </row>
    <row r="24733" spans="1:2" x14ac:dyDescent="0.25">
      <c r="A24733" s="74">
        <v>29525</v>
      </c>
      <c r="B24733">
        <v>1.6</v>
      </c>
    </row>
    <row r="24734" spans="1:2" x14ac:dyDescent="0.25">
      <c r="A24734" s="74">
        <v>29526</v>
      </c>
      <c r="B24734">
        <v>70.900000000000006</v>
      </c>
    </row>
    <row r="24735" spans="1:2" x14ac:dyDescent="0.25">
      <c r="A24735" s="74">
        <v>29527</v>
      </c>
      <c r="B24735">
        <v>45.6</v>
      </c>
    </row>
    <row r="24736" spans="1:2" x14ac:dyDescent="0.25">
      <c r="A24736" s="74">
        <v>29528</v>
      </c>
      <c r="B24736">
        <v>19.7</v>
      </c>
    </row>
    <row r="24737" spans="1:2" x14ac:dyDescent="0.25">
      <c r="A24737" s="74">
        <v>29529</v>
      </c>
      <c r="B24737">
        <v>33.200000000000003</v>
      </c>
    </row>
    <row r="24738" spans="1:2" x14ac:dyDescent="0.25">
      <c r="A24738" s="74">
        <v>29530</v>
      </c>
      <c r="B24738">
        <v>18.399999999999999</v>
      </c>
    </row>
    <row r="24739" spans="1:2" x14ac:dyDescent="0.25">
      <c r="A24739" s="74">
        <v>29531</v>
      </c>
      <c r="B24739">
        <v>177</v>
      </c>
    </row>
    <row r="24740" spans="1:2" x14ac:dyDescent="0.25">
      <c r="A24740" s="74">
        <v>29532</v>
      </c>
      <c r="B24740">
        <v>118</v>
      </c>
    </row>
    <row r="24741" spans="1:2" x14ac:dyDescent="0.25">
      <c r="A24741" s="74">
        <v>29533</v>
      </c>
      <c r="B24741">
        <v>78.2</v>
      </c>
    </row>
    <row r="24742" spans="1:2" x14ac:dyDescent="0.25">
      <c r="A24742" s="74">
        <v>29534</v>
      </c>
      <c r="B24742">
        <v>58.5</v>
      </c>
    </row>
    <row r="24743" spans="1:2" x14ac:dyDescent="0.25">
      <c r="A24743" s="74">
        <v>29535</v>
      </c>
      <c r="B24743">
        <v>37</v>
      </c>
    </row>
    <row r="24744" spans="1:2" x14ac:dyDescent="0.25">
      <c r="A24744" s="74">
        <v>29536</v>
      </c>
      <c r="B24744">
        <v>24</v>
      </c>
    </row>
    <row r="24745" spans="1:2" x14ac:dyDescent="0.25">
      <c r="A24745" s="74">
        <v>29537</v>
      </c>
      <c r="B24745">
        <v>16.600000000000001</v>
      </c>
    </row>
    <row r="24746" spans="1:2" x14ac:dyDescent="0.25">
      <c r="A24746" s="74">
        <v>29538</v>
      </c>
      <c r="B24746">
        <v>13.2</v>
      </c>
    </row>
    <row r="24747" spans="1:2" x14ac:dyDescent="0.25">
      <c r="A24747" s="74">
        <v>29539</v>
      </c>
      <c r="B24747">
        <v>10.3</v>
      </c>
    </row>
    <row r="24748" spans="1:2" x14ac:dyDescent="0.25">
      <c r="A24748" s="74">
        <v>29540</v>
      </c>
      <c r="B24748">
        <v>9.09</v>
      </c>
    </row>
    <row r="24749" spans="1:2" x14ac:dyDescent="0.25">
      <c r="A24749" s="74">
        <v>29541</v>
      </c>
      <c r="B24749">
        <v>7.78</v>
      </c>
    </row>
    <row r="24750" spans="1:2" x14ac:dyDescent="0.25">
      <c r="A24750" s="74">
        <v>29542</v>
      </c>
      <c r="B24750">
        <v>8.83</v>
      </c>
    </row>
    <row r="24751" spans="1:2" x14ac:dyDescent="0.25">
      <c r="A24751" s="74">
        <v>29543</v>
      </c>
      <c r="B24751">
        <v>9.75</v>
      </c>
    </row>
    <row r="24752" spans="1:2" x14ac:dyDescent="0.25">
      <c r="A24752" s="74">
        <v>29544</v>
      </c>
      <c r="B24752">
        <v>25</v>
      </c>
    </row>
    <row r="24753" spans="1:2" x14ac:dyDescent="0.25">
      <c r="A24753" s="74">
        <v>29545</v>
      </c>
      <c r="B24753">
        <v>17.7</v>
      </c>
    </row>
    <row r="24754" spans="1:2" x14ac:dyDescent="0.25">
      <c r="A24754" s="74">
        <v>29546</v>
      </c>
      <c r="B24754">
        <v>84.1</v>
      </c>
    </row>
    <row r="24755" spans="1:2" x14ac:dyDescent="0.25">
      <c r="A24755" s="74">
        <v>29547</v>
      </c>
      <c r="B24755">
        <v>37.5</v>
      </c>
    </row>
    <row r="24756" spans="1:2" x14ac:dyDescent="0.25">
      <c r="A24756" s="74">
        <v>29548</v>
      </c>
      <c r="B24756">
        <v>22.9</v>
      </c>
    </row>
    <row r="24757" spans="1:2" x14ac:dyDescent="0.25">
      <c r="A24757" s="74">
        <v>29549</v>
      </c>
      <c r="B24757">
        <v>15.9</v>
      </c>
    </row>
    <row r="24758" spans="1:2" x14ac:dyDescent="0.25">
      <c r="A24758" s="74">
        <v>29550</v>
      </c>
      <c r="B24758">
        <v>12.9</v>
      </c>
    </row>
    <row r="24759" spans="1:2" x14ac:dyDescent="0.25">
      <c r="A24759" s="74">
        <v>29551</v>
      </c>
      <c r="B24759">
        <v>10.4</v>
      </c>
    </row>
    <row r="24760" spans="1:2" x14ac:dyDescent="0.25">
      <c r="A24760" s="74">
        <v>29552</v>
      </c>
      <c r="B24760">
        <v>138</v>
      </c>
    </row>
    <row r="24761" spans="1:2" x14ac:dyDescent="0.25">
      <c r="A24761" s="74">
        <v>29553</v>
      </c>
      <c r="B24761">
        <v>47.7</v>
      </c>
    </row>
    <row r="24762" spans="1:2" x14ac:dyDescent="0.25">
      <c r="A24762" s="74">
        <v>29554</v>
      </c>
      <c r="B24762">
        <v>42.7</v>
      </c>
    </row>
    <row r="24763" spans="1:2" x14ac:dyDescent="0.25">
      <c r="A24763" s="74">
        <v>29555</v>
      </c>
      <c r="B24763">
        <v>39.1</v>
      </c>
    </row>
    <row r="24764" spans="1:2" x14ac:dyDescent="0.25">
      <c r="A24764" s="74">
        <v>29556</v>
      </c>
      <c r="B24764">
        <v>26</v>
      </c>
    </row>
    <row r="24765" spans="1:2" x14ac:dyDescent="0.25">
      <c r="A24765" s="74">
        <v>29557</v>
      </c>
      <c r="B24765">
        <v>19.7</v>
      </c>
    </row>
    <row r="24766" spans="1:2" x14ac:dyDescent="0.25">
      <c r="A24766" s="74">
        <v>29558</v>
      </c>
      <c r="B24766">
        <v>15.3</v>
      </c>
    </row>
    <row r="24767" spans="1:2" x14ac:dyDescent="0.25">
      <c r="A24767" s="74">
        <v>29559</v>
      </c>
      <c r="B24767">
        <v>12.5</v>
      </c>
    </row>
    <row r="24768" spans="1:2" x14ac:dyDescent="0.25">
      <c r="A24768" s="74">
        <v>29560</v>
      </c>
      <c r="B24768">
        <v>10.1</v>
      </c>
    </row>
    <row r="24769" spans="1:2" x14ac:dyDescent="0.25">
      <c r="A24769" s="74">
        <v>29561</v>
      </c>
      <c r="B24769">
        <v>8.9600000000000009</v>
      </c>
    </row>
    <row r="24770" spans="1:2" x14ac:dyDescent="0.25">
      <c r="A24770" s="74">
        <v>29562</v>
      </c>
      <c r="B24770">
        <v>7.26</v>
      </c>
    </row>
    <row r="24771" spans="1:2" x14ac:dyDescent="0.25">
      <c r="A24771" s="74">
        <v>29563</v>
      </c>
      <c r="B24771">
        <v>6.86</v>
      </c>
    </row>
    <row r="24772" spans="1:2" x14ac:dyDescent="0.25">
      <c r="A24772" s="74">
        <v>29564</v>
      </c>
      <c r="B24772">
        <v>6.42</v>
      </c>
    </row>
    <row r="24773" spans="1:2" x14ac:dyDescent="0.25">
      <c r="A24773" s="74">
        <v>29565</v>
      </c>
      <c r="B24773">
        <v>100</v>
      </c>
    </row>
    <row r="24774" spans="1:2" x14ac:dyDescent="0.25">
      <c r="A24774" s="74">
        <v>29566</v>
      </c>
      <c r="B24774">
        <v>193</v>
      </c>
    </row>
    <row r="24775" spans="1:2" x14ac:dyDescent="0.25">
      <c r="A24775" s="74">
        <v>29567</v>
      </c>
      <c r="B24775">
        <v>70.5</v>
      </c>
    </row>
    <row r="24776" spans="1:2" x14ac:dyDescent="0.25">
      <c r="A24776" s="74">
        <v>29568</v>
      </c>
      <c r="B24776">
        <v>33.700000000000003</v>
      </c>
    </row>
    <row r="24777" spans="1:2" x14ac:dyDescent="0.25">
      <c r="A24777" s="74">
        <v>29569</v>
      </c>
      <c r="B24777">
        <v>37.200000000000003</v>
      </c>
    </row>
    <row r="24778" spans="1:2" x14ac:dyDescent="0.25">
      <c r="A24778" s="74">
        <v>29570</v>
      </c>
      <c r="B24778">
        <v>44.8</v>
      </c>
    </row>
    <row r="24779" spans="1:2" x14ac:dyDescent="0.25">
      <c r="A24779" s="74">
        <v>29571</v>
      </c>
      <c r="B24779">
        <v>30.6</v>
      </c>
    </row>
    <row r="24780" spans="1:2" x14ac:dyDescent="0.25">
      <c r="A24780" s="74">
        <v>29572</v>
      </c>
      <c r="B24780">
        <v>20.6</v>
      </c>
    </row>
    <row r="24781" spans="1:2" x14ac:dyDescent="0.25">
      <c r="A24781" s="74">
        <v>29573</v>
      </c>
      <c r="B24781">
        <v>14.9</v>
      </c>
    </row>
    <row r="24782" spans="1:2" x14ac:dyDescent="0.25">
      <c r="A24782" s="74">
        <v>29574</v>
      </c>
      <c r="B24782">
        <v>11.7</v>
      </c>
    </row>
    <row r="24783" spans="1:2" x14ac:dyDescent="0.25">
      <c r="A24783" s="74">
        <v>29575</v>
      </c>
      <c r="B24783">
        <v>9.6199999999999992</v>
      </c>
    </row>
    <row r="24784" spans="1:2" x14ac:dyDescent="0.25">
      <c r="A24784" s="74">
        <v>29576</v>
      </c>
      <c r="B24784">
        <v>11.7</v>
      </c>
    </row>
    <row r="24785" spans="1:2" x14ac:dyDescent="0.25">
      <c r="A24785" s="74">
        <v>29577</v>
      </c>
      <c r="B24785">
        <v>32.1</v>
      </c>
    </row>
    <row r="24786" spans="1:2" x14ac:dyDescent="0.25">
      <c r="A24786" s="74">
        <v>29578</v>
      </c>
      <c r="B24786">
        <v>25.2</v>
      </c>
    </row>
    <row r="24787" spans="1:2" x14ac:dyDescent="0.25">
      <c r="A24787" s="74">
        <v>29579</v>
      </c>
      <c r="B24787">
        <v>25.2</v>
      </c>
    </row>
    <row r="24788" spans="1:2" x14ac:dyDescent="0.25">
      <c r="A24788" s="74">
        <v>29580</v>
      </c>
      <c r="B24788">
        <v>41.1</v>
      </c>
    </row>
    <row r="24789" spans="1:2" x14ac:dyDescent="0.25">
      <c r="A24789" s="74">
        <v>29581</v>
      </c>
      <c r="B24789">
        <v>393</v>
      </c>
    </row>
    <row r="24790" spans="1:2" x14ac:dyDescent="0.25">
      <c r="A24790" s="74">
        <v>29582</v>
      </c>
      <c r="B24790">
        <v>262</v>
      </c>
    </row>
    <row r="24791" spans="1:2" x14ac:dyDescent="0.25">
      <c r="A24791" s="74">
        <v>29583</v>
      </c>
      <c r="B24791">
        <v>77.400000000000006</v>
      </c>
    </row>
    <row r="24792" spans="1:2" x14ac:dyDescent="0.25">
      <c r="A24792" s="74">
        <v>29584</v>
      </c>
      <c r="B24792">
        <v>40</v>
      </c>
    </row>
    <row r="24793" spans="1:2" x14ac:dyDescent="0.25">
      <c r="A24793" s="74">
        <v>29585</v>
      </c>
      <c r="B24793">
        <v>29.9</v>
      </c>
    </row>
    <row r="24794" spans="1:2" x14ac:dyDescent="0.25">
      <c r="A24794" s="74">
        <v>29586</v>
      </c>
      <c r="B24794">
        <v>35.299999999999997</v>
      </c>
    </row>
    <row r="24795" spans="1:2" x14ac:dyDescent="0.25">
      <c r="A24795" s="74">
        <v>29587</v>
      </c>
      <c r="B24795">
        <v>26.5</v>
      </c>
    </row>
    <row r="24796" spans="1:2" x14ac:dyDescent="0.25">
      <c r="A24796" s="74">
        <v>29588</v>
      </c>
      <c r="B24796">
        <v>20.399999999999999</v>
      </c>
    </row>
    <row r="24797" spans="1:2" x14ac:dyDescent="0.25">
      <c r="A24797" s="74">
        <v>29589</v>
      </c>
      <c r="B24797">
        <v>15.9</v>
      </c>
    </row>
    <row r="24798" spans="1:2" x14ac:dyDescent="0.25">
      <c r="A24798" s="74">
        <v>29590</v>
      </c>
      <c r="B24798">
        <v>12.7</v>
      </c>
    </row>
    <row r="24799" spans="1:2" x14ac:dyDescent="0.25">
      <c r="A24799" s="74">
        <v>29591</v>
      </c>
      <c r="B24799">
        <v>10.8</v>
      </c>
    </row>
    <row r="24800" spans="1:2" x14ac:dyDescent="0.25">
      <c r="A24800" s="74">
        <v>29592</v>
      </c>
      <c r="B24800">
        <v>9.6199999999999992</v>
      </c>
    </row>
    <row r="24801" spans="1:2" x14ac:dyDescent="0.25">
      <c r="A24801" s="74">
        <v>29593</v>
      </c>
      <c r="B24801">
        <v>8.6999999999999993</v>
      </c>
    </row>
    <row r="24802" spans="1:2" x14ac:dyDescent="0.25">
      <c r="A24802" s="74">
        <v>29594</v>
      </c>
      <c r="B24802">
        <v>7.91</v>
      </c>
    </row>
    <row r="24803" spans="1:2" x14ac:dyDescent="0.25">
      <c r="A24803" s="74">
        <v>29595</v>
      </c>
      <c r="B24803">
        <v>9.6199999999999992</v>
      </c>
    </row>
    <row r="24804" spans="1:2" x14ac:dyDescent="0.25">
      <c r="A24804" s="74">
        <v>29596</v>
      </c>
      <c r="B24804">
        <v>13.4</v>
      </c>
    </row>
    <row r="24805" spans="1:2" x14ac:dyDescent="0.25">
      <c r="A24805" s="74">
        <v>29597</v>
      </c>
      <c r="B24805">
        <v>10.7</v>
      </c>
    </row>
    <row r="24806" spans="1:2" x14ac:dyDescent="0.25">
      <c r="A24806" s="74">
        <v>29598</v>
      </c>
      <c r="B24806">
        <v>9.23</v>
      </c>
    </row>
    <row r="24807" spans="1:2" x14ac:dyDescent="0.25">
      <c r="A24807" s="74">
        <v>29599</v>
      </c>
      <c r="B24807">
        <v>8.44</v>
      </c>
    </row>
    <row r="24808" spans="1:2" x14ac:dyDescent="0.25">
      <c r="A24808" s="74">
        <v>29600</v>
      </c>
      <c r="B24808">
        <v>7.52</v>
      </c>
    </row>
    <row r="24809" spans="1:2" x14ac:dyDescent="0.25">
      <c r="A24809" s="74">
        <v>29601</v>
      </c>
      <c r="B24809">
        <v>6.86</v>
      </c>
    </row>
    <row r="24810" spans="1:2" x14ac:dyDescent="0.25">
      <c r="A24810" s="74">
        <v>29602</v>
      </c>
      <c r="B24810">
        <v>6.25</v>
      </c>
    </row>
    <row r="24811" spans="1:2" x14ac:dyDescent="0.25">
      <c r="A24811" s="74">
        <v>29603</v>
      </c>
      <c r="B24811">
        <v>5.9</v>
      </c>
    </row>
    <row r="24812" spans="1:2" x14ac:dyDescent="0.25">
      <c r="A24812" s="74">
        <v>29604</v>
      </c>
      <c r="B24812">
        <v>24</v>
      </c>
    </row>
    <row r="24813" spans="1:2" x14ac:dyDescent="0.25">
      <c r="A24813" s="74">
        <v>29605</v>
      </c>
      <c r="B24813">
        <v>45.9</v>
      </c>
    </row>
    <row r="24814" spans="1:2" x14ac:dyDescent="0.25">
      <c r="A24814" s="74">
        <v>29606</v>
      </c>
      <c r="B24814">
        <v>29.9</v>
      </c>
    </row>
    <row r="24815" spans="1:2" x14ac:dyDescent="0.25">
      <c r="A24815" s="74">
        <v>29607</v>
      </c>
      <c r="B24815">
        <v>97.7</v>
      </c>
    </row>
    <row r="24816" spans="1:2" x14ac:dyDescent="0.25">
      <c r="A24816" s="74">
        <v>29608</v>
      </c>
      <c r="B24816">
        <v>61.9</v>
      </c>
    </row>
    <row r="24817" spans="1:2" x14ac:dyDescent="0.25">
      <c r="A24817" s="74">
        <v>29609</v>
      </c>
      <c r="B24817">
        <v>35.9</v>
      </c>
    </row>
    <row r="24818" spans="1:2" x14ac:dyDescent="0.25">
      <c r="A24818" s="74">
        <v>29610</v>
      </c>
      <c r="B24818">
        <v>23.6</v>
      </c>
    </row>
    <row r="24819" spans="1:2" x14ac:dyDescent="0.25">
      <c r="A24819" s="74">
        <v>29611</v>
      </c>
      <c r="B24819">
        <v>16.8</v>
      </c>
    </row>
    <row r="24820" spans="1:2" x14ac:dyDescent="0.25">
      <c r="A24820" s="74">
        <v>29612</v>
      </c>
      <c r="B24820">
        <v>14.7</v>
      </c>
    </row>
    <row r="24821" spans="1:2" x14ac:dyDescent="0.25">
      <c r="A24821" s="74">
        <v>29613</v>
      </c>
      <c r="B24821">
        <v>12.7</v>
      </c>
    </row>
    <row r="24822" spans="1:2" x14ac:dyDescent="0.25">
      <c r="A24822" s="74">
        <v>29614</v>
      </c>
      <c r="B24822">
        <v>12.1</v>
      </c>
    </row>
    <row r="24823" spans="1:2" x14ac:dyDescent="0.25">
      <c r="A24823" s="74">
        <v>29615</v>
      </c>
      <c r="B24823">
        <v>11</v>
      </c>
    </row>
    <row r="24824" spans="1:2" x14ac:dyDescent="0.25">
      <c r="A24824" s="74">
        <v>29616</v>
      </c>
      <c r="B24824">
        <v>9.75</v>
      </c>
    </row>
    <row r="24825" spans="1:2" x14ac:dyDescent="0.25">
      <c r="A24825" s="74">
        <v>29617</v>
      </c>
      <c r="B24825">
        <v>8.6999999999999993</v>
      </c>
    </row>
    <row r="24826" spans="1:2" x14ac:dyDescent="0.25">
      <c r="A24826" s="74">
        <v>29618</v>
      </c>
      <c r="B24826">
        <v>8.0399999999999991</v>
      </c>
    </row>
    <row r="24827" spans="1:2" x14ac:dyDescent="0.25">
      <c r="A24827" s="74">
        <v>29619</v>
      </c>
      <c r="B24827">
        <v>7.52</v>
      </c>
    </row>
    <row r="24828" spans="1:2" x14ac:dyDescent="0.25">
      <c r="A24828" s="74">
        <v>29620</v>
      </c>
      <c r="B24828">
        <v>6.86</v>
      </c>
    </row>
    <row r="24829" spans="1:2" x14ac:dyDescent="0.25">
      <c r="A24829" s="74">
        <v>29621</v>
      </c>
      <c r="B24829">
        <v>6.51</v>
      </c>
    </row>
    <row r="24830" spans="1:2" x14ac:dyDescent="0.25">
      <c r="A24830" s="74">
        <v>29622</v>
      </c>
      <c r="B24830">
        <v>6.16</v>
      </c>
    </row>
    <row r="24831" spans="1:2" x14ac:dyDescent="0.25">
      <c r="A24831" s="74">
        <v>29623</v>
      </c>
      <c r="B24831">
        <v>5.81</v>
      </c>
    </row>
    <row r="24832" spans="1:2" x14ac:dyDescent="0.25">
      <c r="A24832" s="74">
        <v>29624</v>
      </c>
      <c r="B24832">
        <v>5.55</v>
      </c>
    </row>
    <row r="24833" spans="1:2" x14ac:dyDescent="0.25">
      <c r="A24833" s="74">
        <v>29625</v>
      </c>
      <c r="B24833">
        <v>5.28</v>
      </c>
    </row>
    <row r="24834" spans="1:2" x14ac:dyDescent="0.25">
      <c r="A24834" s="74">
        <v>29626</v>
      </c>
      <c r="B24834">
        <v>5.1100000000000003</v>
      </c>
    </row>
    <row r="24835" spans="1:2" x14ac:dyDescent="0.25">
      <c r="A24835" s="74">
        <v>29627</v>
      </c>
      <c r="B24835">
        <v>4.67</v>
      </c>
    </row>
    <row r="24836" spans="1:2" x14ac:dyDescent="0.25">
      <c r="A24836" s="74">
        <v>29628</v>
      </c>
      <c r="B24836">
        <v>3.79</v>
      </c>
    </row>
    <row r="24837" spans="1:2" x14ac:dyDescent="0.25">
      <c r="A24837" s="74">
        <v>29629</v>
      </c>
      <c r="B24837">
        <v>4.43</v>
      </c>
    </row>
    <row r="24838" spans="1:2" x14ac:dyDescent="0.25">
      <c r="A24838" s="74">
        <v>29630</v>
      </c>
      <c r="B24838">
        <v>4.93</v>
      </c>
    </row>
    <row r="24839" spans="1:2" x14ac:dyDescent="0.25">
      <c r="A24839" s="74">
        <v>29631</v>
      </c>
      <c r="B24839">
        <v>38.1</v>
      </c>
    </row>
    <row r="24840" spans="1:2" x14ac:dyDescent="0.25">
      <c r="A24840" s="74">
        <v>29632</v>
      </c>
      <c r="B24840">
        <v>90.5</v>
      </c>
    </row>
    <row r="24841" spans="1:2" x14ac:dyDescent="0.25">
      <c r="A24841" s="74">
        <v>29633</v>
      </c>
      <c r="B24841">
        <v>118</v>
      </c>
    </row>
    <row r="24842" spans="1:2" x14ac:dyDescent="0.25">
      <c r="A24842" s="74">
        <v>29634</v>
      </c>
      <c r="B24842">
        <v>80.900000000000006</v>
      </c>
    </row>
    <row r="24843" spans="1:2" x14ac:dyDescent="0.25">
      <c r="A24843" s="74">
        <v>29635</v>
      </c>
      <c r="B24843">
        <v>99.1</v>
      </c>
    </row>
    <row r="24844" spans="1:2" x14ac:dyDescent="0.25">
      <c r="A24844" s="74">
        <v>29636</v>
      </c>
      <c r="B24844">
        <v>191</v>
      </c>
    </row>
    <row r="24845" spans="1:2" x14ac:dyDescent="0.25">
      <c r="A24845" s="74">
        <v>29637</v>
      </c>
      <c r="B24845">
        <v>77</v>
      </c>
    </row>
    <row r="24846" spans="1:2" x14ac:dyDescent="0.25">
      <c r="A24846" s="74">
        <v>29638</v>
      </c>
      <c r="B24846">
        <v>44.2</v>
      </c>
    </row>
    <row r="24847" spans="1:2" x14ac:dyDescent="0.25">
      <c r="A24847" s="74">
        <v>29639</v>
      </c>
      <c r="B24847">
        <v>32.4</v>
      </c>
    </row>
    <row r="24848" spans="1:2" x14ac:dyDescent="0.25">
      <c r="A24848" s="74">
        <v>29640</v>
      </c>
      <c r="B24848">
        <v>24.5</v>
      </c>
    </row>
    <row r="24849" spans="1:2" x14ac:dyDescent="0.25">
      <c r="A24849" s="74">
        <v>29641</v>
      </c>
      <c r="B24849">
        <v>23.5</v>
      </c>
    </row>
    <row r="24850" spans="1:2" x14ac:dyDescent="0.25">
      <c r="A24850" s="74">
        <v>29642</v>
      </c>
      <c r="B24850">
        <v>19.600000000000001</v>
      </c>
    </row>
    <row r="24851" spans="1:2" x14ac:dyDescent="0.25">
      <c r="A24851" s="74">
        <v>29643</v>
      </c>
      <c r="B24851">
        <v>20.100000000000001</v>
      </c>
    </row>
    <row r="24852" spans="1:2" x14ac:dyDescent="0.25">
      <c r="A24852" s="74">
        <v>29644</v>
      </c>
      <c r="B24852">
        <v>18.399999999999999</v>
      </c>
    </row>
    <row r="24853" spans="1:2" x14ac:dyDescent="0.25">
      <c r="A24853" s="74">
        <v>29645</v>
      </c>
      <c r="B24853">
        <v>17.399999999999999</v>
      </c>
    </row>
    <row r="24854" spans="1:2" x14ac:dyDescent="0.25">
      <c r="A24854" s="74">
        <v>29646</v>
      </c>
      <c r="B24854">
        <v>15.2</v>
      </c>
    </row>
    <row r="24855" spans="1:2" x14ac:dyDescent="0.25">
      <c r="A24855" s="74">
        <v>29647</v>
      </c>
      <c r="B24855">
        <v>13.3</v>
      </c>
    </row>
    <row r="24856" spans="1:2" x14ac:dyDescent="0.25">
      <c r="A24856" s="74">
        <v>29648</v>
      </c>
      <c r="B24856">
        <v>12</v>
      </c>
    </row>
    <row r="24857" spans="1:2" x14ac:dyDescent="0.25">
      <c r="A24857" s="74">
        <v>29649</v>
      </c>
      <c r="B24857">
        <v>11.2</v>
      </c>
    </row>
    <row r="24858" spans="1:2" x14ac:dyDescent="0.25">
      <c r="A24858" s="74">
        <v>29650</v>
      </c>
      <c r="B24858">
        <v>9.7200000000000006</v>
      </c>
    </row>
    <row r="24859" spans="1:2" x14ac:dyDescent="0.25">
      <c r="A24859" s="74">
        <v>29651</v>
      </c>
      <c r="B24859">
        <v>8.6199999999999992</v>
      </c>
    </row>
    <row r="24860" spans="1:2" x14ac:dyDescent="0.25">
      <c r="A24860" s="74">
        <v>29652</v>
      </c>
      <c r="B24860">
        <v>7.69</v>
      </c>
    </row>
    <row r="24861" spans="1:2" x14ac:dyDescent="0.25">
      <c r="A24861" s="74">
        <v>29653</v>
      </c>
      <c r="B24861">
        <v>8.06</v>
      </c>
    </row>
    <row r="24862" spans="1:2" x14ac:dyDescent="0.25">
      <c r="A24862" s="74">
        <v>29654</v>
      </c>
      <c r="B24862">
        <v>7.14</v>
      </c>
    </row>
    <row r="24863" spans="1:2" x14ac:dyDescent="0.25">
      <c r="A24863" s="74">
        <v>29655</v>
      </c>
      <c r="B24863">
        <v>6.26</v>
      </c>
    </row>
    <row r="24864" spans="1:2" x14ac:dyDescent="0.25">
      <c r="A24864" s="74">
        <v>29656</v>
      </c>
      <c r="B24864">
        <v>5.97</v>
      </c>
    </row>
    <row r="24865" spans="1:2" x14ac:dyDescent="0.25">
      <c r="A24865" s="74">
        <v>29657</v>
      </c>
      <c r="B24865">
        <v>5.69</v>
      </c>
    </row>
    <row r="24866" spans="1:2" x14ac:dyDescent="0.25">
      <c r="A24866" s="74">
        <v>29658</v>
      </c>
      <c r="B24866">
        <v>5.21</v>
      </c>
    </row>
    <row r="24867" spans="1:2" x14ac:dyDescent="0.25">
      <c r="A24867" s="74">
        <v>29659</v>
      </c>
      <c r="B24867">
        <v>5.12</v>
      </c>
    </row>
    <row r="24868" spans="1:2" x14ac:dyDescent="0.25">
      <c r="A24868" s="74">
        <v>29660</v>
      </c>
      <c r="B24868">
        <v>4.93</v>
      </c>
    </row>
    <row r="24869" spans="1:2" x14ac:dyDescent="0.25">
      <c r="A24869" s="74">
        <v>29661</v>
      </c>
      <c r="B24869">
        <v>5.54</v>
      </c>
    </row>
    <row r="24870" spans="1:2" x14ac:dyDescent="0.25">
      <c r="A24870" s="74">
        <v>29662</v>
      </c>
      <c r="B24870">
        <v>5.12</v>
      </c>
    </row>
    <row r="24871" spans="1:2" x14ac:dyDescent="0.25">
      <c r="A24871" s="74">
        <v>29663</v>
      </c>
      <c r="B24871">
        <v>4.75</v>
      </c>
    </row>
    <row r="24872" spans="1:2" x14ac:dyDescent="0.25">
      <c r="A24872" s="74">
        <v>29664</v>
      </c>
      <c r="B24872">
        <v>4.5599999999999996</v>
      </c>
    </row>
    <row r="24873" spans="1:2" x14ac:dyDescent="0.25">
      <c r="A24873" s="74">
        <v>29665</v>
      </c>
      <c r="B24873">
        <v>4.1900000000000004</v>
      </c>
    </row>
    <row r="24874" spans="1:2" x14ac:dyDescent="0.25">
      <c r="A24874" s="74">
        <v>29666</v>
      </c>
      <c r="B24874">
        <v>4.0999999999999996</v>
      </c>
    </row>
    <row r="24875" spans="1:2" x14ac:dyDescent="0.25">
      <c r="A24875" s="74">
        <v>29667</v>
      </c>
      <c r="B24875">
        <v>4.38</v>
      </c>
    </row>
    <row r="24876" spans="1:2" x14ac:dyDescent="0.25">
      <c r="A24876" s="74">
        <v>29668</v>
      </c>
      <c r="B24876">
        <v>5.31</v>
      </c>
    </row>
    <row r="24877" spans="1:2" x14ac:dyDescent="0.25">
      <c r="A24877" s="74">
        <v>29669</v>
      </c>
      <c r="B24877">
        <v>6.58</v>
      </c>
    </row>
    <row r="24878" spans="1:2" x14ac:dyDescent="0.25">
      <c r="A24878" s="74">
        <v>29670</v>
      </c>
      <c r="B24878">
        <v>7.69</v>
      </c>
    </row>
    <row r="24879" spans="1:2" x14ac:dyDescent="0.25">
      <c r="A24879" s="74">
        <v>29671</v>
      </c>
      <c r="B24879">
        <v>10.1</v>
      </c>
    </row>
    <row r="24880" spans="1:2" x14ac:dyDescent="0.25">
      <c r="A24880" s="74">
        <v>29672</v>
      </c>
      <c r="B24880">
        <v>7.88</v>
      </c>
    </row>
    <row r="24881" spans="1:2" x14ac:dyDescent="0.25">
      <c r="A24881" s="74">
        <v>29673</v>
      </c>
      <c r="B24881">
        <v>6.77</v>
      </c>
    </row>
    <row r="24882" spans="1:2" x14ac:dyDescent="0.25">
      <c r="A24882" s="74">
        <v>29674</v>
      </c>
      <c r="B24882">
        <v>9.17</v>
      </c>
    </row>
    <row r="24883" spans="1:2" x14ac:dyDescent="0.25">
      <c r="A24883" s="74">
        <v>29675</v>
      </c>
      <c r="B24883">
        <v>12.9</v>
      </c>
    </row>
    <row r="24884" spans="1:2" x14ac:dyDescent="0.25">
      <c r="A24884" s="74">
        <v>29676</v>
      </c>
      <c r="B24884">
        <v>18.100000000000001</v>
      </c>
    </row>
    <row r="24885" spans="1:2" x14ac:dyDescent="0.25">
      <c r="A24885" s="74">
        <v>29677</v>
      </c>
      <c r="B24885">
        <v>21.8</v>
      </c>
    </row>
    <row r="24886" spans="1:2" x14ac:dyDescent="0.25">
      <c r="A24886" s="74">
        <v>29678</v>
      </c>
      <c r="B24886">
        <v>16.100000000000001</v>
      </c>
    </row>
    <row r="24887" spans="1:2" x14ac:dyDescent="0.25">
      <c r="A24887" s="74">
        <v>29679</v>
      </c>
      <c r="B24887">
        <v>14.1</v>
      </c>
    </row>
    <row r="24888" spans="1:2" x14ac:dyDescent="0.25">
      <c r="A24888" s="74">
        <v>29680</v>
      </c>
      <c r="B24888">
        <v>11.6</v>
      </c>
    </row>
    <row r="24889" spans="1:2" x14ac:dyDescent="0.25">
      <c r="A24889" s="74">
        <v>29681</v>
      </c>
      <c r="B24889">
        <v>31.3</v>
      </c>
    </row>
    <row r="24890" spans="1:2" x14ac:dyDescent="0.25">
      <c r="A24890" s="74">
        <v>29682</v>
      </c>
      <c r="B24890">
        <v>27.2</v>
      </c>
    </row>
    <row r="24891" spans="1:2" x14ac:dyDescent="0.25">
      <c r="A24891" s="74">
        <v>29683</v>
      </c>
      <c r="B24891">
        <v>19.600000000000001</v>
      </c>
    </row>
    <row r="24892" spans="1:2" x14ac:dyDescent="0.25">
      <c r="A24892" s="74">
        <v>29684</v>
      </c>
      <c r="B24892">
        <v>15.4</v>
      </c>
    </row>
    <row r="24893" spans="1:2" x14ac:dyDescent="0.25">
      <c r="A24893" s="74">
        <v>29685</v>
      </c>
      <c r="B24893">
        <v>13.1</v>
      </c>
    </row>
    <row r="24894" spans="1:2" x14ac:dyDescent="0.25">
      <c r="A24894" s="74">
        <v>29686</v>
      </c>
      <c r="B24894">
        <v>11.6</v>
      </c>
    </row>
    <row r="24895" spans="1:2" x14ac:dyDescent="0.25">
      <c r="A24895" s="74">
        <v>29687</v>
      </c>
      <c r="B24895">
        <v>12.9</v>
      </c>
    </row>
    <row r="24896" spans="1:2" x14ac:dyDescent="0.25">
      <c r="A24896" s="74">
        <v>29688</v>
      </c>
      <c r="B24896">
        <v>12.7</v>
      </c>
    </row>
    <row r="24897" spans="1:2" x14ac:dyDescent="0.25">
      <c r="A24897" s="74">
        <v>29689</v>
      </c>
      <c r="B24897">
        <v>11.8</v>
      </c>
    </row>
    <row r="24898" spans="1:2" x14ac:dyDescent="0.25">
      <c r="A24898" s="74">
        <v>29690</v>
      </c>
      <c r="B24898">
        <v>11.6</v>
      </c>
    </row>
    <row r="24899" spans="1:2" x14ac:dyDescent="0.25">
      <c r="A24899" s="74">
        <v>29691</v>
      </c>
      <c r="B24899">
        <v>12.2</v>
      </c>
    </row>
    <row r="24900" spans="1:2" x14ac:dyDescent="0.25">
      <c r="A24900" s="74">
        <v>29692</v>
      </c>
      <c r="B24900">
        <v>29.9</v>
      </c>
    </row>
    <row r="24901" spans="1:2" x14ac:dyDescent="0.25">
      <c r="A24901" s="74">
        <v>29693</v>
      </c>
      <c r="B24901">
        <v>21.8</v>
      </c>
    </row>
    <row r="24902" spans="1:2" x14ac:dyDescent="0.25">
      <c r="A24902" s="74">
        <v>29694</v>
      </c>
      <c r="B24902">
        <v>16.899999999999999</v>
      </c>
    </row>
    <row r="24903" spans="1:2" x14ac:dyDescent="0.25">
      <c r="A24903" s="74">
        <v>29695</v>
      </c>
      <c r="B24903">
        <v>14.6</v>
      </c>
    </row>
    <row r="24904" spans="1:2" x14ac:dyDescent="0.25">
      <c r="A24904" s="74">
        <v>29696</v>
      </c>
      <c r="B24904">
        <v>13.7</v>
      </c>
    </row>
    <row r="24905" spans="1:2" x14ac:dyDescent="0.25">
      <c r="A24905" s="74">
        <v>29697</v>
      </c>
      <c r="B24905">
        <v>12.2</v>
      </c>
    </row>
    <row r="24906" spans="1:2" x14ac:dyDescent="0.25">
      <c r="A24906" s="74">
        <v>29698</v>
      </c>
      <c r="B24906">
        <v>13.7</v>
      </c>
    </row>
    <row r="24907" spans="1:2" x14ac:dyDescent="0.25">
      <c r="A24907" s="74">
        <v>29699</v>
      </c>
      <c r="B24907">
        <v>27.2</v>
      </c>
    </row>
    <row r="24908" spans="1:2" x14ac:dyDescent="0.25">
      <c r="A24908" s="74">
        <v>29700</v>
      </c>
      <c r="B24908">
        <v>32.6</v>
      </c>
    </row>
    <row r="24909" spans="1:2" x14ac:dyDescent="0.25">
      <c r="A24909" s="74">
        <v>29701</v>
      </c>
      <c r="B24909">
        <v>19.100000000000001</v>
      </c>
    </row>
    <row r="24910" spans="1:2" x14ac:dyDescent="0.25">
      <c r="A24910" s="74">
        <v>29702</v>
      </c>
      <c r="B24910">
        <v>13.9</v>
      </c>
    </row>
    <row r="24911" spans="1:2" x14ac:dyDescent="0.25">
      <c r="A24911" s="74">
        <v>29703</v>
      </c>
      <c r="B24911">
        <v>10.8</v>
      </c>
    </row>
    <row r="24912" spans="1:2" x14ac:dyDescent="0.25">
      <c r="A24912" s="74">
        <v>29704</v>
      </c>
      <c r="B24912">
        <v>16.899999999999999</v>
      </c>
    </row>
    <row r="24913" spans="1:2" x14ac:dyDescent="0.25">
      <c r="A24913" s="74">
        <v>29705</v>
      </c>
      <c r="B24913">
        <v>15.6</v>
      </c>
    </row>
    <row r="24914" spans="1:2" x14ac:dyDescent="0.25">
      <c r="A24914" s="74">
        <v>29706</v>
      </c>
      <c r="B24914">
        <v>15.9</v>
      </c>
    </row>
    <row r="24915" spans="1:2" x14ac:dyDescent="0.25">
      <c r="A24915" s="74">
        <v>29707</v>
      </c>
      <c r="B24915">
        <v>15.9</v>
      </c>
    </row>
    <row r="24916" spans="1:2" x14ac:dyDescent="0.25">
      <c r="A24916" s="74">
        <v>29708</v>
      </c>
      <c r="B24916">
        <v>15.9</v>
      </c>
    </row>
    <row r="24917" spans="1:2" x14ac:dyDescent="0.25">
      <c r="A24917" s="74">
        <v>29709</v>
      </c>
      <c r="B24917">
        <v>15.2</v>
      </c>
    </row>
    <row r="24918" spans="1:2" x14ac:dyDescent="0.25">
      <c r="A24918" s="74">
        <v>29710</v>
      </c>
      <c r="B24918">
        <v>13.5</v>
      </c>
    </row>
    <row r="24919" spans="1:2" x14ac:dyDescent="0.25">
      <c r="A24919" s="74">
        <v>29711</v>
      </c>
      <c r="B24919">
        <v>11.6</v>
      </c>
    </row>
    <row r="24920" spans="1:2" x14ac:dyDescent="0.25">
      <c r="A24920" s="74">
        <v>29712</v>
      </c>
      <c r="B24920">
        <v>10.6</v>
      </c>
    </row>
    <row r="24921" spans="1:2" x14ac:dyDescent="0.25">
      <c r="A24921" s="74">
        <v>29713</v>
      </c>
      <c r="B24921">
        <v>12</v>
      </c>
    </row>
    <row r="24922" spans="1:2" x14ac:dyDescent="0.25">
      <c r="A24922" s="74">
        <v>29714</v>
      </c>
      <c r="B24922">
        <v>14.6</v>
      </c>
    </row>
    <row r="24923" spans="1:2" x14ac:dyDescent="0.25">
      <c r="A24923" s="74">
        <v>29715</v>
      </c>
      <c r="B24923">
        <v>12.9</v>
      </c>
    </row>
    <row r="24924" spans="1:2" x14ac:dyDescent="0.25">
      <c r="A24924" s="74">
        <v>29716</v>
      </c>
      <c r="B24924">
        <v>11.4</v>
      </c>
    </row>
    <row r="24925" spans="1:2" x14ac:dyDescent="0.25">
      <c r="A24925" s="74">
        <v>29717</v>
      </c>
      <c r="B24925">
        <v>10.5</v>
      </c>
    </row>
    <row r="24926" spans="1:2" x14ac:dyDescent="0.25">
      <c r="A24926" s="74">
        <v>29718</v>
      </c>
      <c r="B24926">
        <v>9.35</v>
      </c>
    </row>
    <row r="24927" spans="1:2" x14ac:dyDescent="0.25">
      <c r="A24927" s="74">
        <v>29719</v>
      </c>
      <c r="B24927">
        <v>8.25</v>
      </c>
    </row>
    <row r="24928" spans="1:2" x14ac:dyDescent="0.25">
      <c r="A24928" s="74">
        <v>29720</v>
      </c>
      <c r="B24928">
        <v>8.25</v>
      </c>
    </row>
    <row r="24929" spans="1:2" x14ac:dyDescent="0.25">
      <c r="A24929" s="74">
        <v>29721</v>
      </c>
      <c r="B24929">
        <v>8.06</v>
      </c>
    </row>
    <row r="24930" spans="1:2" x14ac:dyDescent="0.25">
      <c r="A24930" s="74">
        <v>29722</v>
      </c>
      <c r="B24930">
        <v>6.95</v>
      </c>
    </row>
    <row r="24931" spans="1:2" x14ac:dyDescent="0.25">
      <c r="A24931" s="74">
        <v>29723</v>
      </c>
      <c r="B24931">
        <v>5.97</v>
      </c>
    </row>
    <row r="24932" spans="1:2" x14ac:dyDescent="0.25">
      <c r="A24932" s="74">
        <v>29724</v>
      </c>
      <c r="B24932">
        <v>5.69</v>
      </c>
    </row>
    <row r="24933" spans="1:2" x14ac:dyDescent="0.25">
      <c r="A24933" s="74">
        <v>29725</v>
      </c>
      <c r="B24933">
        <v>6.58</v>
      </c>
    </row>
    <row r="24934" spans="1:2" x14ac:dyDescent="0.25">
      <c r="A24934" s="74">
        <v>29726</v>
      </c>
      <c r="B24934">
        <v>7.32</v>
      </c>
    </row>
    <row r="24935" spans="1:2" x14ac:dyDescent="0.25">
      <c r="A24935" s="74">
        <v>29727</v>
      </c>
      <c r="B24935">
        <v>7.14</v>
      </c>
    </row>
    <row r="24936" spans="1:2" x14ac:dyDescent="0.25">
      <c r="A24936" s="74">
        <v>29728</v>
      </c>
      <c r="B24936">
        <v>6.11</v>
      </c>
    </row>
    <row r="24937" spans="1:2" x14ac:dyDescent="0.25">
      <c r="A24937" s="74">
        <v>29729</v>
      </c>
      <c r="B24937">
        <v>5.4</v>
      </c>
    </row>
    <row r="24938" spans="1:2" x14ac:dyDescent="0.25">
      <c r="A24938" s="74">
        <v>29730</v>
      </c>
      <c r="B24938">
        <v>5.97</v>
      </c>
    </row>
    <row r="24939" spans="1:2" x14ac:dyDescent="0.25">
      <c r="A24939" s="74">
        <v>29731</v>
      </c>
      <c r="B24939">
        <v>16.899999999999999</v>
      </c>
    </row>
    <row r="24940" spans="1:2" x14ac:dyDescent="0.25">
      <c r="A24940" s="74">
        <v>29732</v>
      </c>
      <c r="B24940">
        <v>11.4</v>
      </c>
    </row>
    <row r="24941" spans="1:2" x14ac:dyDescent="0.25">
      <c r="A24941" s="74">
        <v>29733</v>
      </c>
      <c r="B24941">
        <v>8.6199999999999992</v>
      </c>
    </row>
    <row r="24942" spans="1:2" x14ac:dyDescent="0.25">
      <c r="A24942" s="74">
        <v>29734</v>
      </c>
      <c r="B24942">
        <v>6.64</v>
      </c>
    </row>
    <row r="24943" spans="1:2" x14ac:dyDescent="0.25">
      <c r="A24943" s="74">
        <v>29735</v>
      </c>
      <c r="B24943">
        <v>5.97</v>
      </c>
    </row>
    <row r="24944" spans="1:2" x14ac:dyDescent="0.25">
      <c r="A24944" s="74">
        <v>29736</v>
      </c>
      <c r="B24944">
        <v>6.26</v>
      </c>
    </row>
    <row r="24945" spans="1:2" x14ac:dyDescent="0.25">
      <c r="A24945" s="74">
        <v>29737</v>
      </c>
      <c r="B24945">
        <v>5.54</v>
      </c>
    </row>
    <row r="24946" spans="1:2" x14ac:dyDescent="0.25">
      <c r="A24946" s="74">
        <v>29738</v>
      </c>
      <c r="B24946">
        <v>4.93</v>
      </c>
    </row>
    <row r="24947" spans="1:2" x14ac:dyDescent="0.25">
      <c r="A24947" s="74">
        <v>29739</v>
      </c>
      <c r="B24947">
        <v>4.5599999999999996</v>
      </c>
    </row>
    <row r="24948" spans="1:2" x14ac:dyDescent="0.25">
      <c r="A24948" s="74">
        <v>29740</v>
      </c>
      <c r="B24948">
        <v>4.38</v>
      </c>
    </row>
    <row r="24949" spans="1:2" x14ac:dyDescent="0.25">
      <c r="A24949" s="74">
        <v>29741</v>
      </c>
      <c r="B24949">
        <v>4.93</v>
      </c>
    </row>
    <row r="24950" spans="1:2" x14ac:dyDescent="0.25">
      <c r="A24950" s="74">
        <v>29742</v>
      </c>
      <c r="B24950">
        <v>4.75</v>
      </c>
    </row>
    <row r="24951" spans="1:2" x14ac:dyDescent="0.25">
      <c r="A24951" s="74">
        <v>29743</v>
      </c>
      <c r="B24951">
        <v>7.69</v>
      </c>
    </row>
    <row r="24952" spans="1:2" x14ac:dyDescent="0.25">
      <c r="A24952" s="74">
        <v>29744</v>
      </c>
      <c r="B24952">
        <v>5.4</v>
      </c>
    </row>
    <row r="24953" spans="1:2" x14ac:dyDescent="0.25">
      <c r="A24953" s="74">
        <v>29745</v>
      </c>
      <c r="B24953">
        <v>5.4</v>
      </c>
    </row>
    <row r="24954" spans="1:2" x14ac:dyDescent="0.25">
      <c r="A24954" s="74">
        <v>29746</v>
      </c>
      <c r="B24954">
        <v>4.93</v>
      </c>
    </row>
    <row r="24955" spans="1:2" x14ac:dyDescent="0.25">
      <c r="A24955" s="74">
        <v>29747</v>
      </c>
      <c r="B24955">
        <v>4.84</v>
      </c>
    </row>
    <row r="24956" spans="1:2" x14ac:dyDescent="0.25">
      <c r="A24956" s="74">
        <v>29748</v>
      </c>
      <c r="B24956">
        <v>4.93</v>
      </c>
    </row>
    <row r="24957" spans="1:2" x14ac:dyDescent="0.25">
      <c r="A24957" s="74">
        <v>29749</v>
      </c>
      <c r="B24957">
        <v>5.54</v>
      </c>
    </row>
    <row r="24958" spans="1:2" x14ac:dyDescent="0.25">
      <c r="A24958" s="74">
        <v>29750</v>
      </c>
      <c r="B24958">
        <v>5.12</v>
      </c>
    </row>
    <row r="24959" spans="1:2" x14ac:dyDescent="0.25">
      <c r="A24959" s="74">
        <v>29751</v>
      </c>
      <c r="B24959">
        <v>4.75</v>
      </c>
    </row>
    <row r="24960" spans="1:2" x14ac:dyDescent="0.25">
      <c r="A24960" s="74">
        <v>29752</v>
      </c>
      <c r="B24960">
        <v>4.28</v>
      </c>
    </row>
    <row r="24961" spans="1:2" x14ac:dyDescent="0.25">
      <c r="A24961" s="74">
        <v>29753</v>
      </c>
      <c r="B24961">
        <v>4.1900000000000004</v>
      </c>
    </row>
    <row r="24962" spans="1:2" x14ac:dyDescent="0.25">
      <c r="A24962" s="74">
        <v>29754</v>
      </c>
      <c r="B24962">
        <v>3.91</v>
      </c>
    </row>
    <row r="24963" spans="1:2" x14ac:dyDescent="0.25">
      <c r="A24963" s="74">
        <v>29755</v>
      </c>
      <c r="B24963">
        <v>3.72</v>
      </c>
    </row>
    <row r="24964" spans="1:2" x14ac:dyDescent="0.25">
      <c r="A24964" s="74">
        <v>29756</v>
      </c>
      <c r="B24964">
        <v>6.58</v>
      </c>
    </row>
    <row r="24965" spans="1:2" x14ac:dyDescent="0.25">
      <c r="A24965" s="74">
        <v>29757</v>
      </c>
      <c r="B24965">
        <v>5.97</v>
      </c>
    </row>
    <row r="24966" spans="1:2" x14ac:dyDescent="0.25">
      <c r="A24966" s="74">
        <v>29758</v>
      </c>
      <c r="B24966">
        <v>5.69</v>
      </c>
    </row>
    <row r="24967" spans="1:2" x14ac:dyDescent="0.25">
      <c r="A24967" s="74">
        <v>29759</v>
      </c>
      <c r="B24967">
        <v>5.12</v>
      </c>
    </row>
    <row r="24968" spans="1:2" x14ac:dyDescent="0.25">
      <c r="A24968" s="74">
        <v>29760</v>
      </c>
      <c r="B24968">
        <v>6.11</v>
      </c>
    </row>
    <row r="24969" spans="1:2" x14ac:dyDescent="0.25">
      <c r="A24969" s="74">
        <v>29761</v>
      </c>
      <c r="B24969">
        <v>5.97</v>
      </c>
    </row>
    <row r="24970" spans="1:2" x14ac:dyDescent="0.25">
      <c r="A24970" s="74">
        <v>29762</v>
      </c>
      <c r="B24970">
        <v>5.03</v>
      </c>
    </row>
    <row r="24971" spans="1:2" x14ac:dyDescent="0.25">
      <c r="A24971" s="74">
        <v>29763</v>
      </c>
      <c r="B24971">
        <v>4.47</v>
      </c>
    </row>
    <row r="24972" spans="1:2" x14ac:dyDescent="0.25">
      <c r="A24972" s="74">
        <v>29764</v>
      </c>
      <c r="B24972">
        <v>4.1900000000000004</v>
      </c>
    </row>
    <row r="24973" spans="1:2" x14ac:dyDescent="0.25">
      <c r="A24973" s="74">
        <v>29765</v>
      </c>
      <c r="B24973">
        <v>3.72</v>
      </c>
    </row>
    <row r="24974" spans="1:2" x14ac:dyDescent="0.25">
      <c r="A24974" s="74">
        <v>29766</v>
      </c>
      <c r="B24974">
        <v>3.72</v>
      </c>
    </row>
    <row r="24975" spans="1:2" x14ac:dyDescent="0.25">
      <c r="A24975" s="74">
        <v>29767</v>
      </c>
      <c r="B24975">
        <v>3.54</v>
      </c>
    </row>
    <row r="24976" spans="1:2" x14ac:dyDescent="0.25">
      <c r="A24976" s="74">
        <v>29768</v>
      </c>
      <c r="B24976">
        <v>3.54</v>
      </c>
    </row>
    <row r="24977" spans="1:2" x14ac:dyDescent="0.25">
      <c r="A24977" s="74">
        <v>29769</v>
      </c>
      <c r="B24977">
        <v>3.17</v>
      </c>
    </row>
    <row r="24978" spans="1:2" x14ac:dyDescent="0.25">
      <c r="A24978" s="74">
        <v>29770</v>
      </c>
      <c r="B24978">
        <v>2.79</v>
      </c>
    </row>
    <row r="24979" spans="1:2" x14ac:dyDescent="0.25">
      <c r="A24979" s="74">
        <v>29771</v>
      </c>
      <c r="B24979">
        <v>2.64</v>
      </c>
    </row>
    <row r="24980" spans="1:2" x14ac:dyDescent="0.25">
      <c r="A24980" s="74">
        <v>29772</v>
      </c>
      <c r="B24980">
        <v>2.52</v>
      </c>
    </row>
    <row r="24981" spans="1:2" x14ac:dyDescent="0.25">
      <c r="A24981" s="74">
        <v>29773</v>
      </c>
      <c r="B24981">
        <v>2.34</v>
      </c>
    </row>
    <row r="24982" spans="1:2" x14ac:dyDescent="0.25">
      <c r="A24982" s="74">
        <v>29774</v>
      </c>
      <c r="B24982">
        <v>2.29</v>
      </c>
    </row>
    <row r="24983" spans="1:2" x14ac:dyDescent="0.25">
      <c r="A24983" s="74">
        <v>29775</v>
      </c>
      <c r="B24983">
        <v>2.11</v>
      </c>
    </row>
    <row r="24984" spans="1:2" x14ac:dyDescent="0.25">
      <c r="A24984" s="74">
        <v>29776</v>
      </c>
      <c r="B24984">
        <v>1.99</v>
      </c>
    </row>
    <row r="24985" spans="1:2" x14ac:dyDescent="0.25">
      <c r="A24985" s="74">
        <v>29777</v>
      </c>
      <c r="B24985">
        <v>1.99</v>
      </c>
    </row>
    <row r="24986" spans="1:2" x14ac:dyDescent="0.25">
      <c r="A24986" s="74">
        <v>29778</v>
      </c>
      <c r="B24986">
        <v>2.11</v>
      </c>
    </row>
    <row r="24987" spans="1:2" x14ac:dyDescent="0.25">
      <c r="A24987" s="74">
        <v>29779</v>
      </c>
      <c r="B24987">
        <v>1.99</v>
      </c>
    </row>
    <row r="24988" spans="1:2" x14ac:dyDescent="0.25">
      <c r="A24988" s="74">
        <v>29780</v>
      </c>
      <c r="B24988">
        <v>1.81</v>
      </c>
    </row>
    <row r="24989" spans="1:2" x14ac:dyDescent="0.25">
      <c r="A24989" s="74">
        <v>29781</v>
      </c>
      <c r="B24989">
        <v>1.75</v>
      </c>
    </row>
    <row r="24990" spans="1:2" x14ac:dyDescent="0.25">
      <c r="A24990" s="74">
        <v>29782</v>
      </c>
      <c r="B24990">
        <v>1.69</v>
      </c>
    </row>
    <row r="24991" spans="1:2" x14ac:dyDescent="0.25">
      <c r="A24991" s="74">
        <v>29783</v>
      </c>
      <c r="B24991">
        <v>1.51</v>
      </c>
    </row>
    <row r="24992" spans="1:2" x14ac:dyDescent="0.25">
      <c r="A24992" s="74">
        <v>29784</v>
      </c>
      <c r="B24992">
        <v>1.51</v>
      </c>
    </row>
    <row r="24993" spans="1:2" x14ac:dyDescent="0.25">
      <c r="A24993" s="74">
        <v>29785</v>
      </c>
      <c r="B24993">
        <v>1.46</v>
      </c>
    </row>
    <row r="24994" spans="1:2" x14ac:dyDescent="0.25">
      <c r="A24994" s="74">
        <v>29786</v>
      </c>
      <c r="B24994">
        <v>1.4</v>
      </c>
    </row>
    <row r="24995" spans="1:2" x14ac:dyDescent="0.25">
      <c r="A24995" s="74">
        <v>29787</v>
      </c>
      <c r="B24995">
        <v>1.4</v>
      </c>
    </row>
    <row r="24996" spans="1:2" x14ac:dyDescent="0.25">
      <c r="A24996" s="74">
        <v>29788</v>
      </c>
      <c r="B24996">
        <v>1.4</v>
      </c>
    </row>
    <row r="24997" spans="1:2" x14ac:dyDescent="0.25">
      <c r="A24997" s="74">
        <v>29789</v>
      </c>
      <c r="B24997">
        <v>1.28</v>
      </c>
    </row>
    <row r="24998" spans="1:2" x14ac:dyDescent="0.25">
      <c r="A24998" s="74">
        <v>29790</v>
      </c>
      <c r="B24998">
        <v>1.28</v>
      </c>
    </row>
    <row r="24999" spans="1:2" x14ac:dyDescent="0.25">
      <c r="A24999" s="74">
        <v>29791</v>
      </c>
      <c r="B24999">
        <v>1.1599999999999999</v>
      </c>
    </row>
    <row r="25000" spans="1:2" x14ac:dyDescent="0.25">
      <c r="A25000" s="74">
        <v>29792</v>
      </c>
      <c r="B25000">
        <v>1.1000000000000001</v>
      </c>
    </row>
    <row r="25001" spans="1:2" x14ac:dyDescent="0.25">
      <c r="A25001" s="74">
        <v>29793</v>
      </c>
      <c r="B25001">
        <v>1.04</v>
      </c>
    </row>
    <row r="25002" spans="1:2" x14ac:dyDescent="0.25">
      <c r="A25002" s="74">
        <v>29794</v>
      </c>
      <c r="B25002">
        <v>1</v>
      </c>
    </row>
    <row r="25003" spans="1:2" x14ac:dyDescent="0.25">
      <c r="A25003" s="74">
        <v>29795</v>
      </c>
      <c r="B25003">
        <v>0.97299999999999998</v>
      </c>
    </row>
    <row r="25004" spans="1:2" x14ac:dyDescent="0.25">
      <c r="A25004" s="74">
        <v>29796</v>
      </c>
      <c r="B25004">
        <v>0.97299999999999998</v>
      </c>
    </row>
    <row r="25005" spans="1:2" x14ac:dyDescent="0.25">
      <c r="A25005" s="74">
        <v>29797</v>
      </c>
      <c r="B25005">
        <v>0.97299999999999998</v>
      </c>
    </row>
    <row r="25006" spans="1:2" x14ac:dyDescent="0.25">
      <c r="A25006" s="74">
        <v>29798</v>
      </c>
      <c r="B25006">
        <v>0.97299999999999998</v>
      </c>
    </row>
    <row r="25007" spans="1:2" x14ac:dyDescent="0.25">
      <c r="A25007" s="74">
        <v>29799</v>
      </c>
      <c r="B25007">
        <v>0.90900000000000003</v>
      </c>
    </row>
    <row r="25008" spans="1:2" x14ac:dyDescent="0.25">
      <c r="A25008" s="74">
        <v>29800</v>
      </c>
      <c r="B25008">
        <v>0.877</v>
      </c>
    </row>
    <row r="25009" spans="1:2" x14ac:dyDescent="0.25">
      <c r="A25009" s="74">
        <v>29801</v>
      </c>
      <c r="B25009">
        <v>0.84599999999999997</v>
      </c>
    </row>
    <row r="25010" spans="1:2" x14ac:dyDescent="0.25">
      <c r="A25010" s="74">
        <v>29802</v>
      </c>
      <c r="B25010">
        <v>0.84599999999999997</v>
      </c>
    </row>
    <row r="25011" spans="1:2" x14ac:dyDescent="0.25">
      <c r="A25011" s="74">
        <v>29803</v>
      </c>
      <c r="B25011">
        <v>0.84599999999999997</v>
      </c>
    </row>
    <row r="25012" spans="1:2" x14ac:dyDescent="0.25">
      <c r="A25012" s="74">
        <v>29804</v>
      </c>
      <c r="B25012">
        <v>0.81399999999999995</v>
      </c>
    </row>
    <row r="25013" spans="1:2" x14ac:dyDescent="0.25">
      <c r="A25013" s="74">
        <v>29805</v>
      </c>
      <c r="B25013">
        <v>0.78200000000000003</v>
      </c>
    </row>
    <row r="25014" spans="1:2" x14ac:dyDescent="0.25">
      <c r="A25014" s="74">
        <v>29806</v>
      </c>
      <c r="B25014">
        <v>0.78200000000000003</v>
      </c>
    </row>
    <row r="25015" spans="1:2" x14ac:dyDescent="0.25">
      <c r="A25015" s="74">
        <v>29807</v>
      </c>
      <c r="B25015">
        <v>0.75</v>
      </c>
    </row>
    <row r="25016" spans="1:2" x14ac:dyDescent="0.25">
      <c r="A25016" s="74">
        <v>29808</v>
      </c>
      <c r="B25016">
        <v>0.68600000000000005</v>
      </c>
    </row>
    <row r="25017" spans="1:2" x14ac:dyDescent="0.25">
      <c r="A25017" s="74">
        <v>29809</v>
      </c>
      <c r="B25017">
        <v>0.65500000000000003</v>
      </c>
    </row>
    <row r="25018" spans="1:2" x14ac:dyDescent="0.25">
      <c r="A25018" s="74">
        <v>29810</v>
      </c>
      <c r="B25018">
        <v>0.59099999999999997</v>
      </c>
    </row>
    <row r="25019" spans="1:2" x14ac:dyDescent="0.25">
      <c r="A25019" s="74">
        <v>29811</v>
      </c>
      <c r="B25019">
        <v>0.59099999999999997</v>
      </c>
    </row>
    <row r="25020" spans="1:2" x14ac:dyDescent="0.25">
      <c r="A25020" s="74">
        <v>29812</v>
      </c>
      <c r="B25020">
        <v>0.55900000000000005</v>
      </c>
    </row>
    <row r="25021" spans="1:2" x14ac:dyDescent="0.25">
      <c r="A25021" s="74">
        <v>29813</v>
      </c>
      <c r="B25021">
        <v>0.55900000000000005</v>
      </c>
    </row>
    <row r="25022" spans="1:2" x14ac:dyDescent="0.25">
      <c r="A25022" s="74">
        <v>29814</v>
      </c>
      <c r="B25022">
        <v>0.52700000000000002</v>
      </c>
    </row>
    <row r="25023" spans="1:2" x14ac:dyDescent="0.25">
      <c r="A25023" s="74">
        <v>29815</v>
      </c>
      <c r="B25023">
        <v>0.52700000000000002</v>
      </c>
    </row>
    <row r="25024" spans="1:2" x14ac:dyDescent="0.25">
      <c r="A25024" s="74">
        <v>29816</v>
      </c>
      <c r="B25024">
        <v>0.496</v>
      </c>
    </row>
    <row r="25025" spans="1:2" x14ac:dyDescent="0.25">
      <c r="A25025" s="74">
        <v>29817</v>
      </c>
      <c r="B25025">
        <v>0.496</v>
      </c>
    </row>
    <row r="25026" spans="1:2" x14ac:dyDescent="0.25">
      <c r="A25026" s="74">
        <v>29818</v>
      </c>
      <c r="B25026">
        <v>0.496</v>
      </c>
    </row>
    <row r="25027" spans="1:2" x14ac:dyDescent="0.25">
      <c r="A25027" s="74">
        <v>29819</v>
      </c>
      <c r="B25027">
        <v>0.496</v>
      </c>
    </row>
    <row r="25028" spans="1:2" x14ac:dyDescent="0.25">
      <c r="A25028" s="74">
        <v>29820</v>
      </c>
      <c r="B25028">
        <v>0.496</v>
      </c>
    </row>
    <row r="25029" spans="1:2" x14ac:dyDescent="0.25">
      <c r="A25029" s="74">
        <v>29821</v>
      </c>
      <c r="B25029">
        <v>0.46400000000000002</v>
      </c>
    </row>
    <row r="25030" spans="1:2" x14ac:dyDescent="0.25">
      <c r="A25030" s="74">
        <v>29822</v>
      </c>
      <c r="B25030">
        <v>0.55900000000000005</v>
      </c>
    </row>
    <row r="25031" spans="1:2" x14ac:dyDescent="0.25">
      <c r="A25031" s="74">
        <v>29823</v>
      </c>
      <c r="B25031">
        <v>0.68600000000000005</v>
      </c>
    </row>
    <row r="25032" spans="1:2" x14ac:dyDescent="0.25">
      <c r="A25032" s="74">
        <v>29824</v>
      </c>
      <c r="B25032">
        <v>0.59099999999999997</v>
      </c>
    </row>
    <row r="25033" spans="1:2" x14ac:dyDescent="0.25">
      <c r="A25033" s="74">
        <v>29825</v>
      </c>
      <c r="B25033">
        <v>0.55900000000000005</v>
      </c>
    </row>
    <row r="25034" spans="1:2" x14ac:dyDescent="0.25">
      <c r="A25034" s="74">
        <v>29826</v>
      </c>
      <c r="B25034">
        <v>0.52700000000000002</v>
      </c>
    </row>
    <row r="25035" spans="1:2" x14ac:dyDescent="0.25">
      <c r="A25035" s="74">
        <v>29827</v>
      </c>
      <c r="B25035">
        <v>0.71799999999999997</v>
      </c>
    </row>
    <row r="25036" spans="1:2" x14ac:dyDescent="0.25">
      <c r="A25036" s="74">
        <v>29828</v>
      </c>
      <c r="B25036">
        <v>0.623</v>
      </c>
    </row>
    <row r="25037" spans="1:2" x14ac:dyDescent="0.25">
      <c r="A25037" s="74">
        <v>29829</v>
      </c>
      <c r="B25037">
        <v>0.71799999999999997</v>
      </c>
    </row>
    <row r="25038" spans="1:2" x14ac:dyDescent="0.25">
      <c r="A25038" s="74">
        <v>29830</v>
      </c>
      <c r="B25038">
        <v>0.81399999999999995</v>
      </c>
    </row>
    <row r="25039" spans="1:2" x14ac:dyDescent="0.25">
      <c r="A25039" s="74">
        <v>29831</v>
      </c>
      <c r="B25039">
        <v>2.0499999999999998</v>
      </c>
    </row>
    <row r="25040" spans="1:2" x14ac:dyDescent="0.25">
      <c r="A25040" s="74">
        <v>29832</v>
      </c>
      <c r="B25040">
        <v>1.63</v>
      </c>
    </row>
    <row r="25041" spans="1:2" x14ac:dyDescent="0.25">
      <c r="A25041" s="74">
        <v>29833</v>
      </c>
      <c r="B25041">
        <v>1.34</v>
      </c>
    </row>
    <row r="25042" spans="1:2" x14ac:dyDescent="0.25">
      <c r="A25042" s="74">
        <v>29834</v>
      </c>
      <c r="B25042">
        <v>1.1000000000000001</v>
      </c>
    </row>
    <row r="25043" spans="1:2" x14ac:dyDescent="0.25">
      <c r="A25043" s="74">
        <v>29835</v>
      </c>
      <c r="B25043">
        <v>0.97299999999999998</v>
      </c>
    </row>
    <row r="25044" spans="1:2" x14ac:dyDescent="0.25">
      <c r="A25044" s="74">
        <v>29836</v>
      </c>
      <c r="B25044">
        <v>0.94099999999999995</v>
      </c>
    </row>
    <row r="25045" spans="1:2" x14ac:dyDescent="0.25">
      <c r="A25045" s="74">
        <v>29837</v>
      </c>
      <c r="B25045">
        <v>0.877</v>
      </c>
    </row>
    <row r="25046" spans="1:2" x14ac:dyDescent="0.25">
      <c r="A25046" s="74">
        <v>29838</v>
      </c>
      <c r="B25046">
        <v>0.81399999999999995</v>
      </c>
    </row>
    <row r="25047" spans="1:2" x14ac:dyDescent="0.25">
      <c r="A25047" s="74">
        <v>29839</v>
      </c>
      <c r="B25047">
        <v>0.78200000000000003</v>
      </c>
    </row>
    <row r="25048" spans="1:2" x14ac:dyDescent="0.25">
      <c r="A25048" s="74">
        <v>29840</v>
      </c>
      <c r="B25048">
        <v>0.75</v>
      </c>
    </row>
    <row r="25049" spans="1:2" x14ac:dyDescent="0.25">
      <c r="A25049" s="74">
        <v>29841</v>
      </c>
      <c r="B25049">
        <v>0.65500000000000003</v>
      </c>
    </row>
    <row r="25050" spans="1:2" x14ac:dyDescent="0.25">
      <c r="A25050" s="74">
        <v>29842</v>
      </c>
      <c r="B25050">
        <v>0.59099999999999997</v>
      </c>
    </row>
    <row r="25051" spans="1:2" x14ac:dyDescent="0.25">
      <c r="A25051" s="74">
        <v>29843</v>
      </c>
      <c r="B25051">
        <v>0.59099999999999997</v>
      </c>
    </row>
    <row r="25052" spans="1:2" x14ac:dyDescent="0.25">
      <c r="A25052" s="74">
        <v>29844</v>
      </c>
      <c r="B25052">
        <v>0.59099999999999997</v>
      </c>
    </row>
    <row r="25053" spans="1:2" x14ac:dyDescent="0.25">
      <c r="A25053" s="74">
        <v>29845</v>
      </c>
      <c r="B25053">
        <v>0.52700000000000002</v>
      </c>
    </row>
    <row r="25054" spans="1:2" x14ac:dyDescent="0.25">
      <c r="A25054" s="74">
        <v>29846</v>
      </c>
      <c r="B25054">
        <v>0.496</v>
      </c>
    </row>
    <row r="25055" spans="1:2" x14ac:dyDescent="0.25">
      <c r="A25055" s="74">
        <v>29847</v>
      </c>
      <c r="B25055">
        <v>0.46400000000000002</v>
      </c>
    </row>
    <row r="25056" spans="1:2" x14ac:dyDescent="0.25">
      <c r="A25056" s="74">
        <v>29848</v>
      </c>
      <c r="B25056">
        <v>0.55900000000000005</v>
      </c>
    </row>
    <row r="25057" spans="1:2" x14ac:dyDescent="0.25">
      <c r="A25057" s="74">
        <v>29849</v>
      </c>
      <c r="B25057">
        <v>0.65500000000000003</v>
      </c>
    </row>
    <row r="25058" spans="1:2" x14ac:dyDescent="0.25">
      <c r="A25058" s="74">
        <v>29850</v>
      </c>
      <c r="B25058">
        <v>1.04</v>
      </c>
    </row>
    <row r="25059" spans="1:2" x14ac:dyDescent="0.25">
      <c r="A25059" s="74">
        <v>29851</v>
      </c>
      <c r="B25059">
        <v>11</v>
      </c>
    </row>
    <row r="25060" spans="1:2" x14ac:dyDescent="0.25">
      <c r="A25060" s="74">
        <v>29852</v>
      </c>
      <c r="B25060">
        <v>5.69</v>
      </c>
    </row>
    <row r="25061" spans="1:2" x14ac:dyDescent="0.25">
      <c r="A25061" s="74">
        <v>29853</v>
      </c>
      <c r="B25061">
        <v>4.28</v>
      </c>
    </row>
    <row r="25062" spans="1:2" x14ac:dyDescent="0.25">
      <c r="A25062" s="74">
        <v>29854</v>
      </c>
      <c r="B25062">
        <v>3.63</v>
      </c>
    </row>
    <row r="25063" spans="1:2" x14ac:dyDescent="0.25">
      <c r="A25063" s="74">
        <v>29855</v>
      </c>
      <c r="B25063">
        <v>3.07</v>
      </c>
    </row>
    <row r="25064" spans="1:2" x14ac:dyDescent="0.25">
      <c r="A25064" s="74">
        <v>29856</v>
      </c>
      <c r="B25064">
        <v>2.79</v>
      </c>
    </row>
    <row r="25065" spans="1:2" x14ac:dyDescent="0.25">
      <c r="A25065" s="74">
        <v>29857</v>
      </c>
      <c r="B25065">
        <v>15.9</v>
      </c>
    </row>
    <row r="25066" spans="1:2" x14ac:dyDescent="0.25">
      <c r="A25066" s="74">
        <v>29858</v>
      </c>
      <c r="B25066">
        <v>12.5</v>
      </c>
    </row>
    <row r="25067" spans="1:2" x14ac:dyDescent="0.25">
      <c r="A25067" s="74">
        <v>29859</v>
      </c>
      <c r="B25067">
        <v>8.06</v>
      </c>
    </row>
    <row r="25068" spans="1:2" x14ac:dyDescent="0.25">
      <c r="A25068" s="74">
        <v>29860</v>
      </c>
      <c r="B25068">
        <v>20.6</v>
      </c>
    </row>
    <row r="25069" spans="1:2" x14ac:dyDescent="0.25">
      <c r="A25069" s="74">
        <v>29861</v>
      </c>
      <c r="B25069">
        <v>25.3</v>
      </c>
    </row>
    <row r="25070" spans="1:2" x14ac:dyDescent="0.25">
      <c r="A25070" s="74">
        <v>29862</v>
      </c>
      <c r="B25070">
        <v>14.1</v>
      </c>
    </row>
    <row r="25071" spans="1:2" x14ac:dyDescent="0.25">
      <c r="A25071" s="74">
        <v>29863</v>
      </c>
      <c r="B25071">
        <v>9.35</v>
      </c>
    </row>
    <row r="25072" spans="1:2" x14ac:dyDescent="0.25">
      <c r="A25072" s="74">
        <v>29864</v>
      </c>
      <c r="B25072">
        <v>6.95</v>
      </c>
    </row>
    <row r="25073" spans="1:2" x14ac:dyDescent="0.25">
      <c r="A25073" s="74">
        <v>29865</v>
      </c>
      <c r="B25073">
        <v>38.9</v>
      </c>
    </row>
    <row r="25074" spans="1:2" x14ac:dyDescent="0.25">
      <c r="A25074" s="74">
        <v>29866</v>
      </c>
      <c r="B25074">
        <v>46</v>
      </c>
    </row>
    <row r="25075" spans="1:2" x14ac:dyDescent="0.25">
      <c r="A25075" s="74">
        <v>29867</v>
      </c>
      <c r="B25075">
        <v>43.3</v>
      </c>
    </row>
    <row r="25076" spans="1:2" x14ac:dyDescent="0.25">
      <c r="A25076" s="74">
        <v>29868</v>
      </c>
      <c r="B25076">
        <v>31.8</v>
      </c>
    </row>
    <row r="25077" spans="1:2" x14ac:dyDescent="0.25">
      <c r="A25077" s="74">
        <v>29869</v>
      </c>
      <c r="B25077">
        <v>20.100000000000001</v>
      </c>
    </row>
    <row r="25078" spans="1:2" x14ac:dyDescent="0.25">
      <c r="A25078" s="74">
        <v>29870</v>
      </c>
      <c r="B25078">
        <v>14.1</v>
      </c>
    </row>
    <row r="25079" spans="1:2" x14ac:dyDescent="0.25">
      <c r="A25079" s="74">
        <v>29871</v>
      </c>
      <c r="B25079">
        <v>10.6</v>
      </c>
    </row>
    <row r="25080" spans="1:2" x14ac:dyDescent="0.25">
      <c r="A25080" s="74">
        <v>29872</v>
      </c>
      <c r="B25080">
        <v>8.25</v>
      </c>
    </row>
    <row r="25081" spans="1:2" x14ac:dyDescent="0.25">
      <c r="A25081" s="74">
        <v>29873</v>
      </c>
      <c r="B25081">
        <v>6.58</v>
      </c>
    </row>
    <row r="25082" spans="1:2" x14ac:dyDescent="0.25">
      <c r="A25082" s="74">
        <v>29874</v>
      </c>
      <c r="B25082">
        <v>5.4</v>
      </c>
    </row>
    <row r="25083" spans="1:2" x14ac:dyDescent="0.25">
      <c r="A25083" s="74">
        <v>29875</v>
      </c>
      <c r="B25083">
        <v>4.84</v>
      </c>
    </row>
    <row r="25084" spans="1:2" x14ac:dyDescent="0.25">
      <c r="A25084" s="74">
        <v>29876</v>
      </c>
      <c r="B25084">
        <v>4.28</v>
      </c>
    </row>
    <row r="25085" spans="1:2" x14ac:dyDescent="0.25">
      <c r="A25085" s="74">
        <v>29877</v>
      </c>
      <c r="B25085">
        <v>4</v>
      </c>
    </row>
    <row r="25086" spans="1:2" x14ac:dyDescent="0.25">
      <c r="A25086" s="74">
        <v>29878</v>
      </c>
      <c r="B25086">
        <v>3.63</v>
      </c>
    </row>
    <row r="25087" spans="1:2" x14ac:dyDescent="0.25">
      <c r="A25087" s="74">
        <v>29879</v>
      </c>
      <c r="B25087">
        <v>3.35</v>
      </c>
    </row>
    <row r="25088" spans="1:2" x14ac:dyDescent="0.25">
      <c r="A25088" s="74">
        <v>29880</v>
      </c>
      <c r="B25088">
        <v>3.07</v>
      </c>
    </row>
    <row r="25089" spans="1:2" x14ac:dyDescent="0.25">
      <c r="A25089" s="74">
        <v>29881</v>
      </c>
      <c r="B25089">
        <v>2.7</v>
      </c>
    </row>
    <row r="25090" spans="1:2" x14ac:dyDescent="0.25">
      <c r="A25090" s="74">
        <v>29882</v>
      </c>
      <c r="B25090">
        <v>2.52</v>
      </c>
    </row>
    <row r="25091" spans="1:2" x14ac:dyDescent="0.25">
      <c r="A25091" s="74">
        <v>29883</v>
      </c>
      <c r="B25091">
        <v>2.4</v>
      </c>
    </row>
    <row r="25092" spans="1:2" x14ac:dyDescent="0.25">
      <c r="A25092" s="74">
        <v>29884</v>
      </c>
      <c r="B25092">
        <v>2.29</v>
      </c>
    </row>
    <row r="25093" spans="1:2" x14ac:dyDescent="0.25">
      <c r="A25093" s="74">
        <v>29885</v>
      </c>
      <c r="B25093">
        <v>2.23</v>
      </c>
    </row>
    <row r="25094" spans="1:2" x14ac:dyDescent="0.25">
      <c r="A25094" s="74">
        <v>29886</v>
      </c>
      <c r="B25094">
        <v>4.0999999999999996</v>
      </c>
    </row>
    <row r="25095" spans="1:2" x14ac:dyDescent="0.25">
      <c r="A25095" s="74">
        <v>29887</v>
      </c>
      <c r="B25095">
        <v>72.900000000000006</v>
      </c>
    </row>
    <row r="25096" spans="1:2" x14ac:dyDescent="0.25">
      <c r="A25096" s="74">
        <v>29888</v>
      </c>
      <c r="B25096">
        <v>35.4</v>
      </c>
    </row>
    <row r="25097" spans="1:2" x14ac:dyDescent="0.25">
      <c r="A25097" s="74">
        <v>29889</v>
      </c>
      <c r="B25097">
        <v>22</v>
      </c>
    </row>
    <row r="25098" spans="1:2" x14ac:dyDescent="0.25">
      <c r="A25098" s="74">
        <v>29890</v>
      </c>
      <c r="B25098">
        <v>197</v>
      </c>
    </row>
    <row r="25099" spans="1:2" x14ac:dyDescent="0.25">
      <c r="A25099" s="74">
        <v>29891</v>
      </c>
      <c r="B25099">
        <v>98.3</v>
      </c>
    </row>
    <row r="25100" spans="1:2" x14ac:dyDescent="0.25">
      <c r="A25100" s="74">
        <v>29892</v>
      </c>
      <c r="B25100">
        <v>48.2</v>
      </c>
    </row>
    <row r="25101" spans="1:2" x14ac:dyDescent="0.25">
      <c r="A25101" s="74">
        <v>29893</v>
      </c>
      <c r="B25101">
        <v>30.7</v>
      </c>
    </row>
    <row r="25102" spans="1:2" x14ac:dyDescent="0.25">
      <c r="A25102" s="74">
        <v>29894</v>
      </c>
      <c r="B25102">
        <v>22.5</v>
      </c>
    </row>
    <row r="25103" spans="1:2" x14ac:dyDescent="0.25">
      <c r="A25103" s="74">
        <v>29895</v>
      </c>
      <c r="B25103">
        <v>16.600000000000001</v>
      </c>
    </row>
    <row r="25104" spans="1:2" x14ac:dyDescent="0.25">
      <c r="A25104" s="74">
        <v>29896</v>
      </c>
      <c r="B25104">
        <v>13.1</v>
      </c>
    </row>
    <row r="25105" spans="1:2" x14ac:dyDescent="0.25">
      <c r="A25105" s="74">
        <v>29897</v>
      </c>
      <c r="B25105">
        <v>10.6</v>
      </c>
    </row>
    <row r="25106" spans="1:2" x14ac:dyDescent="0.25">
      <c r="A25106" s="74">
        <v>29898</v>
      </c>
      <c r="B25106">
        <v>8.98</v>
      </c>
    </row>
    <row r="25107" spans="1:2" x14ac:dyDescent="0.25">
      <c r="A25107" s="74">
        <v>29899</v>
      </c>
      <c r="B25107">
        <v>7.32</v>
      </c>
    </row>
    <row r="25108" spans="1:2" x14ac:dyDescent="0.25">
      <c r="A25108" s="74">
        <v>29900</v>
      </c>
      <c r="B25108">
        <v>6.11</v>
      </c>
    </row>
    <row r="25109" spans="1:2" x14ac:dyDescent="0.25">
      <c r="A25109" s="74">
        <v>29901</v>
      </c>
      <c r="B25109">
        <v>47.5</v>
      </c>
    </row>
    <row r="25110" spans="1:2" x14ac:dyDescent="0.25">
      <c r="A25110" s="74">
        <v>29902</v>
      </c>
      <c r="B25110">
        <v>75.2</v>
      </c>
    </row>
    <row r="25111" spans="1:2" x14ac:dyDescent="0.25">
      <c r="A25111" s="74">
        <v>29903</v>
      </c>
      <c r="B25111">
        <v>50.6</v>
      </c>
    </row>
    <row r="25112" spans="1:2" x14ac:dyDescent="0.25">
      <c r="A25112" s="74">
        <v>29904</v>
      </c>
      <c r="B25112">
        <v>51.5</v>
      </c>
    </row>
    <row r="25113" spans="1:2" x14ac:dyDescent="0.25">
      <c r="A25113" s="74">
        <v>29905</v>
      </c>
      <c r="B25113">
        <v>90.9</v>
      </c>
    </row>
    <row r="25114" spans="1:2" x14ac:dyDescent="0.25">
      <c r="A25114" s="74">
        <v>29906</v>
      </c>
      <c r="B25114">
        <v>73.3</v>
      </c>
    </row>
    <row r="25115" spans="1:2" x14ac:dyDescent="0.25">
      <c r="A25115" s="74">
        <v>29907</v>
      </c>
      <c r="B25115">
        <v>44.8</v>
      </c>
    </row>
    <row r="25116" spans="1:2" x14ac:dyDescent="0.25">
      <c r="A25116" s="74">
        <v>29908</v>
      </c>
      <c r="B25116">
        <v>37.799999999999997</v>
      </c>
    </row>
    <row r="25117" spans="1:2" x14ac:dyDescent="0.25">
      <c r="A25117" s="74">
        <v>29909</v>
      </c>
      <c r="B25117">
        <v>32.6</v>
      </c>
    </row>
    <row r="25118" spans="1:2" x14ac:dyDescent="0.25">
      <c r="A25118" s="74">
        <v>29910</v>
      </c>
      <c r="B25118">
        <v>43.9</v>
      </c>
    </row>
    <row r="25119" spans="1:2" x14ac:dyDescent="0.25">
      <c r="A25119" s="74">
        <v>29911</v>
      </c>
      <c r="B25119">
        <v>80.5</v>
      </c>
    </row>
    <row r="25120" spans="1:2" x14ac:dyDescent="0.25">
      <c r="A25120" s="74">
        <v>29912</v>
      </c>
      <c r="B25120">
        <v>81.7</v>
      </c>
    </row>
    <row r="25121" spans="1:2" x14ac:dyDescent="0.25">
      <c r="A25121" s="74">
        <v>29913</v>
      </c>
      <c r="B25121">
        <v>61.9</v>
      </c>
    </row>
    <row r="25122" spans="1:2" x14ac:dyDescent="0.25">
      <c r="A25122" s="74">
        <v>29914</v>
      </c>
      <c r="B25122">
        <v>38.4</v>
      </c>
    </row>
    <row r="25123" spans="1:2" x14ac:dyDescent="0.25">
      <c r="A25123" s="74">
        <v>29915</v>
      </c>
      <c r="B25123">
        <v>27.2</v>
      </c>
    </row>
    <row r="25124" spans="1:2" x14ac:dyDescent="0.25">
      <c r="A25124" s="74">
        <v>29916</v>
      </c>
      <c r="B25124">
        <v>22.3</v>
      </c>
    </row>
    <row r="25125" spans="1:2" x14ac:dyDescent="0.25">
      <c r="A25125" s="74">
        <v>29917</v>
      </c>
      <c r="B25125">
        <v>17.600000000000001</v>
      </c>
    </row>
    <row r="25126" spans="1:2" x14ac:dyDescent="0.25">
      <c r="A25126" s="74">
        <v>29918</v>
      </c>
      <c r="B25126">
        <v>13.9</v>
      </c>
    </row>
    <row r="25127" spans="1:2" x14ac:dyDescent="0.25">
      <c r="A25127" s="74">
        <v>29919</v>
      </c>
      <c r="B25127">
        <v>11.8</v>
      </c>
    </row>
    <row r="25128" spans="1:2" x14ac:dyDescent="0.25">
      <c r="A25128" s="74">
        <v>29920</v>
      </c>
      <c r="B25128">
        <v>10.1</v>
      </c>
    </row>
    <row r="25129" spans="1:2" x14ac:dyDescent="0.25">
      <c r="A25129" s="74">
        <v>29921</v>
      </c>
      <c r="B25129">
        <v>31</v>
      </c>
    </row>
    <row r="25130" spans="1:2" x14ac:dyDescent="0.25">
      <c r="A25130" s="74">
        <v>29922</v>
      </c>
      <c r="B25130">
        <v>60.8</v>
      </c>
    </row>
    <row r="25131" spans="1:2" x14ac:dyDescent="0.25">
      <c r="A25131" s="74">
        <v>29923</v>
      </c>
      <c r="B25131">
        <v>34.5</v>
      </c>
    </row>
    <row r="25132" spans="1:2" x14ac:dyDescent="0.25">
      <c r="A25132" s="74">
        <v>29924</v>
      </c>
      <c r="B25132">
        <v>25.5</v>
      </c>
    </row>
    <row r="25133" spans="1:2" x14ac:dyDescent="0.25">
      <c r="A25133" s="74">
        <v>29925</v>
      </c>
      <c r="B25133">
        <v>310</v>
      </c>
    </row>
    <row r="25134" spans="1:2" x14ac:dyDescent="0.25">
      <c r="A25134" s="74">
        <v>29926</v>
      </c>
      <c r="B25134">
        <v>74.400000000000006</v>
      </c>
    </row>
    <row r="25135" spans="1:2" x14ac:dyDescent="0.25">
      <c r="A25135" s="74">
        <v>29927</v>
      </c>
      <c r="B25135">
        <v>48.8</v>
      </c>
    </row>
    <row r="25136" spans="1:2" x14ac:dyDescent="0.25">
      <c r="A25136" s="74">
        <v>29928</v>
      </c>
      <c r="B25136">
        <v>55.6</v>
      </c>
    </row>
    <row r="25137" spans="1:2" x14ac:dyDescent="0.25">
      <c r="A25137" s="74">
        <v>29929</v>
      </c>
      <c r="B25137">
        <v>38.1</v>
      </c>
    </row>
    <row r="25138" spans="1:2" x14ac:dyDescent="0.25">
      <c r="A25138" s="74">
        <v>29930</v>
      </c>
      <c r="B25138">
        <v>66.3</v>
      </c>
    </row>
    <row r="25139" spans="1:2" x14ac:dyDescent="0.25">
      <c r="A25139" s="74">
        <v>29931</v>
      </c>
      <c r="B25139">
        <v>49.4</v>
      </c>
    </row>
    <row r="25140" spans="1:2" x14ac:dyDescent="0.25">
      <c r="A25140" s="74">
        <v>29932</v>
      </c>
      <c r="B25140">
        <v>33.700000000000003</v>
      </c>
    </row>
    <row r="25141" spans="1:2" x14ac:dyDescent="0.25">
      <c r="A25141" s="74">
        <v>29933</v>
      </c>
      <c r="B25141">
        <v>24</v>
      </c>
    </row>
    <row r="25142" spans="1:2" x14ac:dyDescent="0.25">
      <c r="A25142" s="74">
        <v>29934</v>
      </c>
      <c r="B25142">
        <v>23</v>
      </c>
    </row>
    <row r="25143" spans="1:2" x14ac:dyDescent="0.25">
      <c r="A25143" s="74">
        <v>29935</v>
      </c>
      <c r="B25143">
        <v>23.5</v>
      </c>
    </row>
    <row r="25144" spans="1:2" x14ac:dyDescent="0.25">
      <c r="A25144" s="74">
        <v>29936</v>
      </c>
      <c r="B25144">
        <v>21.6</v>
      </c>
    </row>
    <row r="25145" spans="1:2" x14ac:dyDescent="0.25">
      <c r="A25145" s="74">
        <v>29937</v>
      </c>
      <c r="B25145">
        <v>17.899999999999999</v>
      </c>
    </row>
    <row r="25146" spans="1:2" x14ac:dyDescent="0.25">
      <c r="A25146" s="74">
        <v>29938</v>
      </c>
      <c r="B25146">
        <v>17.899999999999999</v>
      </c>
    </row>
    <row r="25147" spans="1:2" x14ac:dyDescent="0.25">
      <c r="A25147" s="74">
        <v>29939</v>
      </c>
      <c r="B25147">
        <v>164</v>
      </c>
    </row>
    <row r="25148" spans="1:2" x14ac:dyDescent="0.25">
      <c r="A25148" s="74">
        <v>29940</v>
      </c>
      <c r="B25148">
        <v>70.400000000000006</v>
      </c>
    </row>
    <row r="25149" spans="1:2" x14ac:dyDescent="0.25">
      <c r="A25149" s="74">
        <v>29941</v>
      </c>
      <c r="B25149">
        <v>40.299999999999997</v>
      </c>
    </row>
    <row r="25150" spans="1:2" x14ac:dyDescent="0.25">
      <c r="A25150" s="74">
        <v>29942</v>
      </c>
      <c r="B25150">
        <v>26.9</v>
      </c>
    </row>
    <row r="25151" spans="1:2" x14ac:dyDescent="0.25">
      <c r="A25151" s="74">
        <v>29943</v>
      </c>
      <c r="B25151">
        <v>20.8</v>
      </c>
    </row>
    <row r="25152" spans="1:2" x14ac:dyDescent="0.25">
      <c r="A25152" s="74">
        <v>29944</v>
      </c>
      <c r="B25152">
        <v>17.399999999999999</v>
      </c>
    </row>
    <row r="25153" spans="1:2" x14ac:dyDescent="0.25">
      <c r="A25153" s="74">
        <v>29945</v>
      </c>
      <c r="B25153">
        <v>14.3</v>
      </c>
    </row>
    <row r="25154" spans="1:2" x14ac:dyDescent="0.25">
      <c r="A25154" s="74">
        <v>29946</v>
      </c>
      <c r="B25154">
        <v>12.7</v>
      </c>
    </row>
    <row r="25155" spans="1:2" x14ac:dyDescent="0.25">
      <c r="A25155" s="74">
        <v>29947</v>
      </c>
      <c r="B25155">
        <v>10.8</v>
      </c>
    </row>
    <row r="25156" spans="1:2" x14ac:dyDescent="0.25">
      <c r="A25156" s="74">
        <v>29948</v>
      </c>
      <c r="B25156">
        <v>9.5399999999999991</v>
      </c>
    </row>
    <row r="25157" spans="1:2" x14ac:dyDescent="0.25">
      <c r="A25157" s="74">
        <v>29949</v>
      </c>
      <c r="B25157">
        <v>8.25</v>
      </c>
    </row>
    <row r="25158" spans="1:2" x14ac:dyDescent="0.25">
      <c r="A25158" s="74">
        <v>29950</v>
      </c>
      <c r="B25158">
        <v>7.51</v>
      </c>
    </row>
    <row r="25159" spans="1:2" x14ac:dyDescent="0.25">
      <c r="A25159" s="74">
        <v>29951</v>
      </c>
      <c r="B25159">
        <v>6.4</v>
      </c>
    </row>
    <row r="25160" spans="1:2" x14ac:dyDescent="0.25">
      <c r="A25160" s="74">
        <v>29952</v>
      </c>
      <c r="B25160">
        <v>5.93</v>
      </c>
    </row>
    <row r="25161" spans="1:2" x14ac:dyDescent="0.25">
      <c r="A25161" s="74">
        <v>29953</v>
      </c>
      <c r="B25161">
        <v>5.71</v>
      </c>
    </row>
    <row r="25162" spans="1:2" x14ac:dyDescent="0.25">
      <c r="A25162" s="74">
        <v>29954</v>
      </c>
      <c r="B25162">
        <v>5.26</v>
      </c>
    </row>
    <row r="25163" spans="1:2" x14ac:dyDescent="0.25">
      <c r="A25163" s="74">
        <v>29955</v>
      </c>
      <c r="B25163">
        <v>4.3099999999999996</v>
      </c>
    </row>
    <row r="25164" spans="1:2" x14ac:dyDescent="0.25">
      <c r="A25164" s="74">
        <v>29956</v>
      </c>
      <c r="B25164">
        <v>3.91</v>
      </c>
    </row>
    <row r="25165" spans="1:2" x14ac:dyDescent="0.25">
      <c r="A25165" s="74">
        <v>29957</v>
      </c>
      <c r="B25165">
        <v>3.05</v>
      </c>
    </row>
    <row r="25166" spans="1:2" x14ac:dyDescent="0.25">
      <c r="A25166" s="74">
        <v>29958</v>
      </c>
      <c r="B25166">
        <v>4.38</v>
      </c>
    </row>
    <row r="25167" spans="1:2" x14ac:dyDescent="0.25">
      <c r="A25167" s="74">
        <v>29959</v>
      </c>
      <c r="B25167">
        <v>4.38</v>
      </c>
    </row>
    <row r="25168" spans="1:2" x14ac:dyDescent="0.25">
      <c r="A25168" s="74">
        <v>29960</v>
      </c>
      <c r="B25168">
        <v>5.71</v>
      </c>
    </row>
    <row r="25169" spans="1:2" x14ac:dyDescent="0.25">
      <c r="A25169" s="74">
        <v>29961</v>
      </c>
      <c r="B25169">
        <v>5.26</v>
      </c>
    </row>
    <row r="25170" spans="1:2" x14ac:dyDescent="0.25">
      <c r="A25170" s="74">
        <v>29962</v>
      </c>
      <c r="B25170">
        <v>6.16</v>
      </c>
    </row>
    <row r="25171" spans="1:2" x14ac:dyDescent="0.25">
      <c r="A25171" s="74">
        <v>29963</v>
      </c>
      <c r="B25171">
        <v>6.05</v>
      </c>
    </row>
    <row r="25172" spans="1:2" x14ac:dyDescent="0.25">
      <c r="A25172" s="74">
        <v>29964</v>
      </c>
      <c r="B25172">
        <v>5.82</v>
      </c>
    </row>
    <row r="25173" spans="1:2" x14ac:dyDescent="0.25">
      <c r="A25173" s="74">
        <v>29965</v>
      </c>
      <c r="B25173">
        <v>6.38</v>
      </c>
    </row>
    <row r="25174" spans="1:2" x14ac:dyDescent="0.25">
      <c r="A25174" s="74">
        <v>29966</v>
      </c>
      <c r="B25174">
        <v>7.73</v>
      </c>
    </row>
    <row r="25175" spans="1:2" x14ac:dyDescent="0.25">
      <c r="A25175" s="74">
        <v>29967</v>
      </c>
      <c r="B25175">
        <v>10.3</v>
      </c>
    </row>
    <row r="25176" spans="1:2" x14ac:dyDescent="0.25">
      <c r="A25176" s="74">
        <v>29968</v>
      </c>
      <c r="B25176">
        <v>20</v>
      </c>
    </row>
    <row r="25177" spans="1:2" x14ac:dyDescent="0.25">
      <c r="A25177" s="74">
        <v>29969</v>
      </c>
      <c r="B25177">
        <v>9.41</v>
      </c>
    </row>
    <row r="25178" spans="1:2" x14ac:dyDescent="0.25">
      <c r="A25178" s="74">
        <v>29970</v>
      </c>
      <c r="B25178">
        <v>13.6</v>
      </c>
    </row>
    <row r="25179" spans="1:2" x14ac:dyDescent="0.25">
      <c r="A25179" s="74">
        <v>29971</v>
      </c>
      <c r="B25179">
        <v>11.4</v>
      </c>
    </row>
    <row r="25180" spans="1:2" x14ac:dyDescent="0.25">
      <c r="A25180" s="74">
        <v>29972</v>
      </c>
      <c r="B25180">
        <v>9.58</v>
      </c>
    </row>
    <row r="25181" spans="1:2" x14ac:dyDescent="0.25">
      <c r="A25181" s="74">
        <v>29973</v>
      </c>
      <c r="B25181">
        <v>8.06</v>
      </c>
    </row>
    <row r="25182" spans="1:2" x14ac:dyDescent="0.25">
      <c r="A25182" s="74">
        <v>29974</v>
      </c>
      <c r="B25182">
        <v>7.5</v>
      </c>
    </row>
    <row r="25183" spans="1:2" x14ac:dyDescent="0.25">
      <c r="A25183" s="74">
        <v>29975</v>
      </c>
      <c r="B25183">
        <v>65.7</v>
      </c>
    </row>
    <row r="25184" spans="1:2" x14ac:dyDescent="0.25">
      <c r="A25184" s="74">
        <v>29976</v>
      </c>
      <c r="B25184">
        <v>34</v>
      </c>
    </row>
    <row r="25185" spans="1:2" x14ac:dyDescent="0.25">
      <c r="A25185" s="74">
        <v>29977</v>
      </c>
      <c r="B25185">
        <v>103</v>
      </c>
    </row>
    <row r="25186" spans="1:2" x14ac:dyDescent="0.25">
      <c r="A25186" s="74">
        <v>29978</v>
      </c>
      <c r="B25186">
        <v>54.2</v>
      </c>
    </row>
    <row r="25187" spans="1:2" x14ac:dyDescent="0.25">
      <c r="A25187" s="74">
        <v>29979</v>
      </c>
      <c r="B25187">
        <v>30</v>
      </c>
    </row>
    <row r="25188" spans="1:2" x14ac:dyDescent="0.25">
      <c r="A25188" s="74">
        <v>29980</v>
      </c>
      <c r="B25188">
        <v>20.7</v>
      </c>
    </row>
    <row r="25189" spans="1:2" x14ac:dyDescent="0.25">
      <c r="A25189" s="74">
        <v>29981</v>
      </c>
      <c r="B25189">
        <v>24</v>
      </c>
    </row>
    <row r="25190" spans="1:2" x14ac:dyDescent="0.25">
      <c r="A25190" s="74">
        <v>29982</v>
      </c>
      <c r="B25190">
        <v>41.8</v>
      </c>
    </row>
    <row r="25191" spans="1:2" x14ac:dyDescent="0.25">
      <c r="A25191" s="74">
        <v>29983</v>
      </c>
      <c r="B25191">
        <v>25.7</v>
      </c>
    </row>
    <row r="25192" spans="1:2" x14ac:dyDescent="0.25">
      <c r="A25192" s="74">
        <v>29984</v>
      </c>
      <c r="B25192">
        <v>19.2</v>
      </c>
    </row>
    <row r="25193" spans="1:2" x14ac:dyDescent="0.25">
      <c r="A25193" s="74">
        <v>29985</v>
      </c>
      <c r="B25193">
        <v>16.600000000000001</v>
      </c>
    </row>
    <row r="25194" spans="1:2" x14ac:dyDescent="0.25">
      <c r="A25194" s="74">
        <v>29986</v>
      </c>
      <c r="B25194">
        <v>14.7</v>
      </c>
    </row>
    <row r="25195" spans="1:2" x14ac:dyDescent="0.25">
      <c r="A25195" s="74">
        <v>29987</v>
      </c>
      <c r="B25195">
        <v>12.6</v>
      </c>
    </row>
    <row r="25196" spans="1:2" x14ac:dyDescent="0.25">
      <c r="A25196" s="74">
        <v>29988</v>
      </c>
      <c r="B25196">
        <v>10.8</v>
      </c>
    </row>
    <row r="25197" spans="1:2" x14ac:dyDescent="0.25">
      <c r="A25197" s="74">
        <v>29989</v>
      </c>
      <c r="B25197">
        <v>9.24</v>
      </c>
    </row>
    <row r="25198" spans="1:2" x14ac:dyDescent="0.25">
      <c r="A25198" s="74">
        <v>29990</v>
      </c>
      <c r="B25198">
        <v>8.06</v>
      </c>
    </row>
    <row r="25199" spans="1:2" x14ac:dyDescent="0.25">
      <c r="A25199" s="74">
        <v>29991</v>
      </c>
      <c r="B25199">
        <v>7.17</v>
      </c>
    </row>
    <row r="25200" spans="1:2" x14ac:dyDescent="0.25">
      <c r="A25200" s="74">
        <v>29992</v>
      </c>
      <c r="B25200">
        <v>6.72</v>
      </c>
    </row>
    <row r="25201" spans="1:2" x14ac:dyDescent="0.25">
      <c r="A25201" s="74">
        <v>29993</v>
      </c>
      <c r="B25201">
        <v>6.38</v>
      </c>
    </row>
    <row r="25202" spans="1:2" x14ac:dyDescent="0.25">
      <c r="A25202" s="74">
        <v>29994</v>
      </c>
      <c r="B25202">
        <v>6.72</v>
      </c>
    </row>
    <row r="25203" spans="1:2" x14ac:dyDescent="0.25">
      <c r="A25203" s="74">
        <v>29995</v>
      </c>
      <c r="B25203">
        <v>46.9</v>
      </c>
    </row>
    <row r="25204" spans="1:2" x14ac:dyDescent="0.25">
      <c r="A25204" s="74">
        <v>29996</v>
      </c>
      <c r="B25204">
        <v>50.3</v>
      </c>
    </row>
    <row r="25205" spans="1:2" x14ac:dyDescent="0.25">
      <c r="A25205" s="74">
        <v>29997</v>
      </c>
      <c r="B25205">
        <v>78.099999999999994</v>
      </c>
    </row>
    <row r="25206" spans="1:2" x14ac:dyDescent="0.25">
      <c r="A25206" s="74">
        <v>29998</v>
      </c>
      <c r="B25206">
        <v>92.3</v>
      </c>
    </row>
    <row r="25207" spans="1:2" x14ac:dyDescent="0.25">
      <c r="A25207" s="74">
        <v>29999</v>
      </c>
      <c r="B25207">
        <v>84.8</v>
      </c>
    </row>
    <row r="25208" spans="1:2" x14ac:dyDescent="0.25">
      <c r="A25208" s="74">
        <v>30000</v>
      </c>
      <c r="B25208">
        <v>44.3</v>
      </c>
    </row>
    <row r="25209" spans="1:2" x14ac:dyDescent="0.25">
      <c r="A25209" s="74">
        <v>30001</v>
      </c>
      <c r="B25209">
        <v>85.6</v>
      </c>
    </row>
    <row r="25210" spans="1:2" x14ac:dyDescent="0.25">
      <c r="A25210" s="74">
        <v>30002</v>
      </c>
      <c r="B25210">
        <v>94.1</v>
      </c>
    </row>
    <row r="25211" spans="1:2" x14ac:dyDescent="0.25">
      <c r="A25211" s="74">
        <v>30003</v>
      </c>
      <c r="B25211">
        <v>55.4</v>
      </c>
    </row>
    <row r="25212" spans="1:2" x14ac:dyDescent="0.25">
      <c r="A25212" s="74">
        <v>30004</v>
      </c>
      <c r="B25212">
        <v>33.299999999999997</v>
      </c>
    </row>
    <row r="25213" spans="1:2" x14ac:dyDescent="0.25">
      <c r="A25213" s="74">
        <v>30005</v>
      </c>
      <c r="B25213">
        <v>22.8</v>
      </c>
    </row>
    <row r="25214" spans="1:2" x14ac:dyDescent="0.25">
      <c r="A25214" s="74">
        <v>30006</v>
      </c>
      <c r="B25214">
        <v>17.2</v>
      </c>
    </row>
    <row r="25215" spans="1:2" x14ac:dyDescent="0.25">
      <c r="A25215" s="74">
        <v>30007</v>
      </c>
      <c r="B25215">
        <v>18.7</v>
      </c>
    </row>
    <row r="25216" spans="1:2" x14ac:dyDescent="0.25">
      <c r="A25216" s="74">
        <v>30008</v>
      </c>
      <c r="B25216">
        <v>21.9</v>
      </c>
    </row>
    <row r="25217" spans="1:2" x14ac:dyDescent="0.25">
      <c r="A25217" s="74">
        <v>30009</v>
      </c>
      <c r="B25217">
        <v>21.4</v>
      </c>
    </row>
    <row r="25218" spans="1:2" x14ac:dyDescent="0.25">
      <c r="A25218" s="74">
        <v>30010</v>
      </c>
      <c r="B25218">
        <v>16.8</v>
      </c>
    </row>
    <row r="25219" spans="1:2" x14ac:dyDescent="0.25">
      <c r="A25219" s="74">
        <v>30011</v>
      </c>
      <c r="B25219">
        <v>70.900000000000006</v>
      </c>
    </row>
    <row r="25220" spans="1:2" x14ac:dyDescent="0.25">
      <c r="A25220" s="74">
        <v>30012</v>
      </c>
      <c r="B25220">
        <v>59.8</v>
      </c>
    </row>
    <row r="25221" spans="1:2" x14ac:dyDescent="0.25">
      <c r="A25221" s="74">
        <v>30013</v>
      </c>
      <c r="B25221">
        <v>36.1</v>
      </c>
    </row>
    <row r="25222" spans="1:2" x14ac:dyDescent="0.25">
      <c r="A25222" s="74">
        <v>30014</v>
      </c>
      <c r="B25222">
        <v>25.4</v>
      </c>
    </row>
    <row r="25223" spans="1:2" x14ac:dyDescent="0.25">
      <c r="A25223" s="74">
        <v>30015</v>
      </c>
      <c r="B25223">
        <v>19.600000000000001</v>
      </c>
    </row>
    <row r="25224" spans="1:2" x14ac:dyDescent="0.25">
      <c r="A25224" s="74">
        <v>30016</v>
      </c>
      <c r="B25224">
        <v>15.3</v>
      </c>
    </row>
    <row r="25225" spans="1:2" x14ac:dyDescent="0.25">
      <c r="A25225" s="74">
        <v>30017</v>
      </c>
      <c r="B25225">
        <v>12.4</v>
      </c>
    </row>
    <row r="25226" spans="1:2" x14ac:dyDescent="0.25">
      <c r="A25226" s="74">
        <v>30018</v>
      </c>
      <c r="B25226">
        <v>11.1</v>
      </c>
    </row>
    <row r="25227" spans="1:2" x14ac:dyDescent="0.25">
      <c r="A25227" s="74">
        <v>30019</v>
      </c>
      <c r="B25227">
        <v>10.1</v>
      </c>
    </row>
    <row r="25228" spans="1:2" x14ac:dyDescent="0.25">
      <c r="A25228" s="74">
        <v>30020</v>
      </c>
      <c r="B25228">
        <v>9.75</v>
      </c>
    </row>
    <row r="25229" spans="1:2" x14ac:dyDescent="0.25">
      <c r="A25229" s="74">
        <v>30021</v>
      </c>
      <c r="B25229">
        <v>9.24</v>
      </c>
    </row>
    <row r="25230" spans="1:2" x14ac:dyDescent="0.25">
      <c r="A25230" s="74">
        <v>30022</v>
      </c>
      <c r="B25230">
        <v>8.18</v>
      </c>
    </row>
    <row r="25231" spans="1:2" x14ac:dyDescent="0.25">
      <c r="A25231" s="74">
        <v>30023</v>
      </c>
      <c r="B25231">
        <v>8.06</v>
      </c>
    </row>
    <row r="25232" spans="1:2" x14ac:dyDescent="0.25">
      <c r="A25232" s="74">
        <v>30024</v>
      </c>
      <c r="B25232">
        <v>7.39</v>
      </c>
    </row>
    <row r="25233" spans="1:2" x14ac:dyDescent="0.25">
      <c r="A25233" s="74">
        <v>30025</v>
      </c>
      <c r="B25233">
        <v>6.94</v>
      </c>
    </row>
    <row r="25234" spans="1:2" x14ac:dyDescent="0.25">
      <c r="A25234" s="74">
        <v>30026</v>
      </c>
      <c r="B25234">
        <v>6.38</v>
      </c>
    </row>
    <row r="25235" spans="1:2" x14ac:dyDescent="0.25">
      <c r="A25235" s="74">
        <v>30027</v>
      </c>
      <c r="B25235">
        <v>5.93</v>
      </c>
    </row>
    <row r="25236" spans="1:2" x14ac:dyDescent="0.25">
      <c r="A25236" s="74">
        <v>30028</v>
      </c>
      <c r="B25236">
        <v>5.6</v>
      </c>
    </row>
    <row r="25237" spans="1:2" x14ac:dyDescent="0.25">
      <c r="A25237" s="74">
        <v>30029</v>
      </c>
      <c r="B25237">
        <v>5.15</v>
      </c>
    </row>
    <row r="25238" spans="1:2" x14ac:dyDescent="0.25">
      <c r="A25238" s="74">
        <v>30030</v>
      </c>
      <c r="B25238">
        <v>4.92</v>
      </c>
    </row>
    <row r="25239" spans="1:2" x14ac:dyDescent="0.25">
      <c r="A25239" s="74">
        <v>30031</v>
      </c>
      <c r="B25239">
        <v>4.62</v>
      </c>
    </row>
    <row r="25240" spans="1:2" x14ac:dyDescent="0.25">
      <c r="A25240" s="74">
        <v>30032</v>
      </c>
      <c r="B25240">
        <v>4.54</v>
      </c>
    </row>
    <row r="25241" spans="1:2" x14ac:dyDescent="0.25">
      <c r="A25241" s="74">
        <v>30033</v>
      </c>
      <c r="B25241">
        <v>4.62</v>
      </c>
    </row>
    <row r="25242" spans="1:2" x14ac:dyDescent="0.25">
      <c r="A25242" s="74">
        <v>30034</v>
      </c>
      <c r="B25242">
        <v>4.8099999999999996</v>
      </c>
    </row>
    <row r="25243" spans="1:2" x14ac:dyDescent="0.25">
      <c r="A25243" s="74">
        <v>30035</v>
      </c>
      <c r="B25243">
        <v>4.8099999999999996</v>
      </c>
    </row>
    <row r="25244" spans="1:2" x14ac:dyDescent="0.25">
      <c r="A25244" s="74">
        <v>30036</v>
      </c>
      <c r="B25244">
        <v>7.39</v>
      </c>
    </row>
    <row r="25245" spans="1:2" x14ac:dyDescent="0.25">
      <c r="A25245" s="74">
        <v>30037</v>
      </c>
      <c r="B25245">
        <v>7.17</v>
      </c>
    </row>
    <row r="25246" spans="1:2" x14ac:dyDescent="0.25">
      <c r="A25246" s="74">
        <v>30038</v>
      </c>
      <c r="B25246">
        <v>7.17</v>
      </c>
    </row>
    <row r="25247" spans="1:2" x14ac:dyDescent="0.25">
      <c r="A25247" s="74">
        <v>30039</v>
      </c>
      <c r="B25247">
        <v>6.72</v>
      </c>
    </row>
    <row r="25248" spans="1:2" x14ac:dyDescent="0.25">
      <c r="A25248" s="74">
        <v>30040</v>
      </c>
      <c r="B25248">
        <v>6.49</v>
      </c>
    </row>
    <row r="25249" spans="1:2" x14ac:dyDescent="0.25">
      <c r="A25249" s="74">
        <v>30041</v>
      </c>
      <c r="B25249">
        <v>6.61</v>
      </c>
    </row>
    <row r="25250" spans="1:2" x14ac:dyDescent="0.25">
      <c r="A25250" s="74">
        <v>30042</v>
      </c>
      <c r="B25250">
        <v>6.49</v>
      </c>
    </row>
    <row r="25251" spans="1:2" x14ac:dyDescent="0.25">
      <c r="A25251" s="74">
        <v>30043</v>
      </c>
      <c r="B25251">
        <v>6.61</v>
      </c>
    </row>
    <row r="25252" spans="1:2" x14ac:dyDescent="0.25">
      <c r="A25252" s="74">
        <v>30044</v>
      </c>
      <c r="B25252">
        <v>8.91</v>
      </c>
    </row>
    <row r="25253" spans="1:2" x14ac:dyDescent="0.25">
      <c r="A25253" s="74">
        <v>30045</v>
      </c>
      <c r="B25253">
        <v>10.1</v>
      </c>
    </row>
    <row r="25254" spans="1:2" x14ac:dyDescent="0.25">
      <c r="A25254" s="74">
        <v>30046</v>
      </c>
      <c r="B25254">
        <v>8.91</v>
      </c>
    </row>
    <row r="25255" spans="1:2" x14ac:dyDescent="0.25">
      <c r="A25255" s="74">
        <v>30047</v>
      </c>
      <c r="B25255">
        <v>7.73</v>
      </c>
    </row>
    <row r="25256" spans="1:2" x14ac:dyDescent="0.25">
      <c r="A25256" s="74">
        <v>30048</v>
      </c>
      <c r="B25256">
        <v>7.05</v>
      </c>
    </row>
    <row r="25257" spans="1:2" x14ac:dyDescent="0.25">
      <c r="A25257" s="74">
        <v>30049</v>
      </c>
      <c r="B25257">
        <v>6.27</v>
      </c>
    </row>
    <row r="25258" spans="1:2" x14ac:dyDescent="0.25">
      <c r="A25258" s="74">
        <v>30050</v>
      </c>
      <c r="B25258">
        <v>6.05</v>
      </c>
    </row>
    <row r="25259" spans="1:2" x14ac:dyDescent="0.25">
      <c r="A25259" s="74">
        <v>30051</v>
      </c>
      <c r="B25259">
        <v>6.16</v>
      </c>
    </row>
    <row r="25260" spans="1:2" x14ac:dyDescent="0.25">
      <c r="A25260" s="74">
        <v>30052</v>
      </c>
      <c r="B25260">
        <v>6.38</v>
      </c>
    </row>
    <row r="25261" spans="1:2" x14ac:dyDescent="0.25">
      <c r="A25261" s="74">
        <v>30053</v>
      </c>
      <c r="B25261">
        <v>8.4</v>
      </c>
    </row>
    <row r="25262" spans="1:2" x14ac:dyDescent="0.25">
      <c r="A25262" s="74">
        <v>30054</v>
      </c>
      <c r="B25262">
        <v>20</v>
      </c>
    </row>
    <row r="25263" spans="1:2" x14ac:dyDescent="0.25">
      <c r="A25263" s="74">
        <v>30055</v>
      </c>
      <c r="B25263">
        <v>16.2</v>
      </c>
    </row>
    <row r="25264" spans="1:2" x14ac:dyDescent="0.25">
      <c r="A25264" s="74">
        <v>30056</v>
      </c>
      <c r="B25264">
        <v>13.8</v>
      </c>
    </row>
    <row r="25265" spans="1:2" x14ac:dyDescent="0.25">
      <c r="A25265" s="74">
        <v>30057</v>
      </c>
      <c r="B25265">
        <v>13.3</v>
      </c>
    </row>
    <row r="25266" spans="1:2" x14ac:dyDescent="0.25">
      <c r="A25266" s="74">
        <v>30058</v>
      </c>
      <c r="B25266">
        <v>16.8</v>
      </c>
    </row>
    <row r="25267" spans="1:2" x14ac:dyDescent="0.25">
      <c r="A25267" s="74">
        <v>30059</v>
      </c>
      <c r="B25267">
        <v>13.5</v>
      </c>
    </row>
    <row r="25268" spans="1:2" x14ac:dyDescent="0.25">
      <c r="A25268" s="74">
        <v>30060</v>
      </c>
      <c r="B25268">
        <v>10.6</v>
      </c>
    </row>
    <row r="25269" spans="1:2" x14ac:dyDescent="0.25">
      <c r="A25269" s="74">
        <v>30061</v>
      </c>
      <c r="B25269">
        <v>8.91</v>
      </c>
    </row>
    <row r="25270" spans="1:2" x14ac:dyDescent="0.25">
      <c r="A25270" s="74">
        <v>30062</v>
      </c>
      <c r="B25270">
        <v>8.57</v>
      </c>
    </row>
    <row r="25271" spans="1:2" x14ac:dyDescent="0.25">
      <c r="A25271" s="74">
        <v>30063</v>
      </c>
      <c r="B25271">
        <v>10.1</v>
      </c>
    </row>
    <row r="25272" spans="1:2" x14ac:dyDescent="0.25">
      <c r="A25272" s="74">
        <v>30064</v>
      </c>
      <c r="B25272">
        <v>14.7</v>
      </c>
    </row>
    <row r="25273" spans="1:2" x14ac:dyDescent="0.25">
      <c r="A25273" s="74">
        <v>30065</v>
      </c>
      <c r="B25273">
        <v>11.8</v>
      </c>
    </row>
    <row r="25274" spans="1:2" x14ac:dyDescent="0.25">
      <c r="A25274" s="74">
        <v>30066</v>
      </c>
      <c r="B25274">
        <v>10.4</v>
      </c>
    </row>
    <row r="25275" spans="1:2" x14ac:dyDescent="0.25">
      <c r="A25275" s="74">
        <v>30067</v>
      </c>
      <c r="B25275">
        <v>9.92</v>
      </c>
    </row>
    <row r="25276" spans="1:2" x14ac:dyDescent="0.25">
      <c r="A25276" s="74">
        <v>30068</v>
      </c>
      <c r="B25276">
        <v>10.6</v>
      </c>
    </row>
    <row r="25277" spans="1:2" x14ac:dyDescent="0.25">
      <c r="A25277" s="74">
        <v>30069</v>
      </c>
      <c r="B25277">
        <v>10.9</v>
      </c>
    </row>
    <row r="25278" spans="1:2" x14ac:dyDescent="0.25">
      <c r="A25278" s="74">
        <v>30070</v>
      </c>
      <c r="B25278">
        <v>11.4</v>
      </c>
    </row>
    <row r="25279" spans="1:2" x14ac:dyDescent="0.25">
      <c r="A25279" s="74">
        <v>30071</v>
      </c>
      <c r="B25279">
        <v>9.58</v>
      </c>
    </row>
    <row r="25280" spans="1:2" x14ac:dyDescent="0.25">
      <c r="A25280" s="74">
        <v>30072</v>
      </c>
      <c r="B25280">
        <v>9.58</v>
      </c>
    </row>
    <row r="25281" spans="1:2" x14ac:dyDescent="0.25">
      <c r="A25281" s="74">
        <v>30073</v>
      </c>
      <c r="B25281">
        <v>12.1</v>
      </c>
    </row>
    <row r="25282" spans="1:2" x14ac:dyDescent="0.25">
      <c r="A25282" s="74">
        <v>30074</v>
      </c>
      <c r="B25282">
        <v>10.9</v>
      </c>
    </row>
    <row r="25283" spans="1:2" x14ac:dyDescent="0.25">
      <c r="A25283" s="74">
        <v>30075</v>
      </c>
      <c r="B25283">
        <v>9.07</v>
      </c>
    </row>
    <row r="25284" spans="1:2" x14ac:dyDescent="0.25">
      <c r="A25284" s="74">
        <v>30076</v>
      </c>
      <c r="B25284">
        <v>8.91</v>
      </c>
    </row>
    <row r="25285" spans="1:2" x14ac:dyDescent="0.25">
      <c r="A25285" s="74">
        <v>30077</v>
      </c>
      <c r="B25285">
        <v>10.3</v>
      </c>
    </row>
    <row r="25286" spans="1:2" x14ac:dyDescent="0.25">
      <c r="A25286" s="74">
        <v>30078</v>
      </c>
      <c r="B25286">
        <v>13.6</v>
      </c>
    </row>
    <row r="25287" spans="1:2" x14ac:dyDescent="0.25">
      <c r="A25287" s="74">
        <v>30079</v>
      </c>
      <c r="B25287">
        <v>13.8</v>
      </c>
    </row>
    <row r="25288" spans="1:2" x14ac:dyDescent="0.25">
      <c r="A25288" s="74">
        <v>30080</v>
      </c>
      <c r="B25288">
        <v>13.3</v>
      </c>
    </row>
    <row r="25289" spans="1:2" x14ac:dyDescent="0.25">
      <c r="A25289" s="74">
        <v>30081</v>
      </c>
      <c r="B25289">
        <v>13.6</v>
      </c>
    </row>
    <row r="25290" spans="1:2" x14ac:dyDescent="0.25">
      <c r="A25290" s="74">
        <v>30082</v>
      </c>
      <c r="B25290">
        <v>16.600000000000001</v>
      </c>
    </row>
    <row r="25291" spans="1:2" x14ac:dyDescent="0.25">
      <c r="A25291" s="74">
        <v>30083</v>
      </c>
      <c r="B25291">
        <v>14.4</v>
      </c>
    </row>
    <row r="25292" spans="1:2" x14ac:dyDescent="0.25">
      <c r="A25292" s="74">
        <v>30084</v>
      </c>
      <c r="B25292">
        <v>16.2</v>
      </c>
    </row>
    <row r="25293" spans="1:2" x14ac:dyDescent="0.25">
      <c r="A25293" s="74">
        <v>30085</v>
      </c>
      <c r="B25293">
        <v>15.1</v>
      </c>
    </row>
    <row r="25294" spans="1:2" x14ac:dyDescent="0.25">
      <c r="A25294" s="74">
        <v>30086</v>
      </c>
      <c r="B25294">
        <v>14.9</v>
      </c>
    </row>
    <row r="25295" spans="1:2" x14ac:dyDescent="0.25">
      <c r="A25295" s="74">
        <v>30087</v>
      </c>
      <c r="B25295">
        <v>15.3</v>
      </c>
    </row>
    <row r="25296" spans="1:2" x14ac:dyDescent="0.25">
      <c r="A25296" s="74">
        <v>30088</v>
      </c>
      <c r="B25296">
        <v>18.5</v>
      </c>
    </row>
    <row r="25297" spans="1:2" x14ac:dyDescent="0.25">
      <c r="A25297" s="74">
        <v>30089</v>
      </c>
      <c r="B25297">
        <v>14.9</v>
      </c>
    </row>
    <row r="25298" spans="1:2" x14ac:dyDescent="0.25">
      <c r="A25298" s="74">
        <v>30090</v>
      </c>
      <c r="B25298">
        <v>12.4</v>
      </c>
    </row>
    <row r="25299" spans="1:2" x14ac:dyDescent="0.25">
      <c r="A25299" s="74">
        <v>30091</v>
      </c>
      <c r="B25299">
        <v>11.3</v>
      </c>
    </row>
    <row r="25300" spans="1:2" x14ac:dyDescent="0.25">
      <c r="A25300" s="74">
        <v>30092</v>
      </c>
      <c r="B25300">
        <v>12.4</v>
      </c>
    </row>
    <row r="25301" spans="1:2" x14ac:dyDescent="0.25">
      <c r="A25301" s="74">
        <v>30093</v>
      </c>
      <c r="B25301">
        <v>16.399999999999999</v>
      </c>
    </row>
    <row r="25302" spans="1:2" x14ac:dyDescent="0.25">
      <c r="A25302" s="74">
        <v>30094</v>
      </c>
      <c r="B25302">
        <v>16</v>
      </c>
    </row>
    <row r="25303" spans="1:2" x14ac:dyDescent="0.25">
      <c r="A25303" s="74">
        <v>30095</v>
      </c>
      <c r="B25303">
        <v>14.2</v>
      </c>
    </row>
    <row r="25304" spans="1:2" x14ac:dyDescent="0.25">
      <c r="A25304" s="74">
        <v>30096</v>
      </c>
      <c r="B25304">
        <v>18.100000000000001</v>
      </c>
    </row>
    <row r="25305" spans="1:2" x14ac:dyDescent="0.25">
      <c r="A25305" s="74">
        <v>30097</v>
      </c>
      <c r="B25305">
        <v>13.8</v>
      </c>
    </row>
    <row r="25306" spans="1:2" x14ac:dyDescent="0.25">
      <c r="A25306" s="74">
        <v>30098</v>
      </c>
      <c r="B25306">
        <v>13.8</v>
      </c>
    </row>
    <row r="25307" spans="1:2" x14ac:dyDescent="0.25">
      <c r="A25307" s="74">
        <v>30099</v>
      </c>
      <c r="B25307">
        <v>14</v>
      </c>
    </row>
    <row r="25308" spans="1:2" x14ac:dyDescent="0.25">
      <c r="A25308" s="74">
        <v>30100</v>
      </c>
      <c r="B25308">
        <v>14.9</v>
      </c>
    </row>
    <row r="25309" spans="1:2" x14ac:dyDescent="0.25">
      <c r="A25309" s="74">
        <v>30101</v>
      </c>
      <c r="B25309">
        <v>16</v>
      </c>
    </row>
    <row r="25310" spans="1:2" x14ac:dyDescent="0.25">
      <c r="A25310" s="74">
        <v>30102</v>
      </c>
      <c r="B25310">
        <v>17.7</v>
      </c>
    </row>
    <row r="25311" spans="1:2" x14ac:dyDescent="0.25">
      <c r="A25311" s="74">
        <v>30103</v>
      </c>
      <c r="B25311">
        <v>15.7</v>
      </c>
    </row>
    <row r="25312" spans="1:2" x14ac:dyDescent="0.25">
      <c r="A25312" s="74">
        <v>30104</v>
      </c>
      <c r="B25312">
        <v>13.6</v>
      </c>
    </row>
    <row r="25313" spans="1:2" x14ac:dyDescent="0.25">
      <c r="A25313" s="74">
        <v>30105</v>
      </c>
      <c r="B25313">
        <v>13.3</v>
      </c>
    </row>
    <row r="25314" spans="1:2" x14ac:dyDescent="0.25">
      <c r="A25314" s="74">
        <v>30106</v>
      </c>
      <c r="B25314">
        <v>10.8</v>
      </c>
    </row>
    <row r="25315" spans="1:2" x14ac:dyDescent="0.25">
      <c r="A25315" s="74">
        <v>30107</v>
      </c>
      <c r="B25315">
        <v>10.6</v>
      </c>
    </row>
    <row r="25316" spans="1:2" x14ac:dyDescent="0.25">
      <c r="A25316" s="74">
        <v>30108</v>
      </c>
      <c r="B25316">
        <v>10.8</v>
      </c>
    </row>
    <row r="25317" spans="1:2" x14ac:dyDescent="0.25">
      <c r="A25317" s="74">
        <v>30109</v>
      </c>
      <c r="B25317">
        <v>10.4</v>
      </c>
    </row>
    <row r="25318" spans="1:2" x14ac:dyDescent="0.25">
      <c r="A25318" s="74">
        <v>30110</v>
      </c>
      <c r="B25318">
        <v>11.8</v>
      </c>
    </row>
    <row r="25319" spans="1:2" x14ac:dyDescent="0.25">
      <c r="A25319" s="74">
        <v>30111</v>
      </c>
      <c r="B25319">
        <v>13.1</v>
      </c>
    </row>
    <row r="25320" spans="1:2" x14ac:dyDescent="0.25">
      <c r="A25320" s="74">
        <v>30112</v>
      </c>
      <c r="B25320">
        <v>13.8</v>
      </c>
    </row>
    <row r="25321" spans="1:2" x14ac:dyDescent="0.25">
      <c r="A25321" s="74">
        <v>30113</v>
      </c>
      <c r="B25321">
        <v>15.5</v>
      </c>
    </row>
    <row r="25322" spans="1:2" x14ac:dyDescent="0.25">
      <c r="A25322" s="74">
        <v>30114</v>
      </c>
      <c r="B25322">
        <v>16.600000000000001</v>
      </c>
    </row>
    <row r="25323" spans="1:2" x14ac:dyDescent="0.25">
      <c r="A25323" s="74">
        <v>30115</v>
      </c>
      <c r="B25323">
        <v>16.8</v>
      </c>
    </row>
    <row r="25324" spans="1:2" x14ac:dyDescent="0.25">
      <c r="A25324" s="74">
        <v>30116</v>
      </c>
      <c r="B25324">
        <v>14.7</v>
      </c>
    </row>
    <row r="25325" spans="1:2" x14ac:dyDescent="0.25">
      <c r="A25325" s="74">
        <v>30117</v>
      </c>
      <c r="B25325">
        <v>13</v>
      </c>
    </row>
    <row r="25326" spans="1:2" x14ac:dyDescent="0.25">
      <c r="A25326" s="74">
        <v>30118</v>
      </c>
      <c r="B25326">
        <v>13.5</v>
      </c>
    </row>
    <row r="25327" spans="1:2" x14ac:dyDescent="0.25">
      <c r="A25327" s="74">
        <v>30119</v>
      </c>
      <c r="B25327">
        <v>13.1</v>
      </c>
    </row>
    <row r="25328" spans="1:2" x14ac:dyDescent="0.25">
      <c r="A25328" s="74">
        <v>30120</v>
      </c>
      <c r="B25328">
        <v>14.2</v>
      </c>
    </row>
    <row r="25329" spans="1:2" x14ac:dyDescent="0.25">
      <c r="A25329" s="74">
        <v>30121</v>
      </c>
      <c r="B25329">
        <v>14.4</v>
      </c>
    </row>
    <row r="25330" spans="1:2" x14ac:dyDescent="0.25">
      <c r="A25330" s="74">
        <v>30122</v>
      </c>
      <c r="B25330">
        <v>14.4</v>
      </c>
    </row>
    <row r="25331" spans="1:2" x14ac:dyDescent="0.25">
      <c r="A25331" s="74">
        <v>30123</v>
      </c>
      <c r="B25331">
        <v>13.1</v>
      </c>
    </row>
    <row r="25332" spans="1:2" x14ac:dyDescent="0.25">
      <c r="A25332" s="74">
        <v>30124</v>
      </c>
      <c r="B25332">
        <v>10.4</v>
      </c>
    </row>
    <row r="25333" spans="1:2" x14ac:dyDescent="0.25">
      <c r="A25333" s="74">
        <v>30125</v>
      </c>
      <c r="B25333">
        <v>9.24</v>
      </c>
    </row>
    <row r="25334" spans="1:2" x14ac:dyDescent="0.25">
      <c r="A25334" s="74">
        <v>30126</v>
      </c>
      <c r="B25334">
        <v>7.95</v>
      </c>
    </row>
    <row r="25335" spans="1:2" x14ac:dyDescent="0.25">
      <c r="A25335" s="74">
        <v>30127</v>
      </c>
      <c r="B25335">
        <v>7.5</v>
      </c>
    </row>
    <row r="25336" spans="1:2" x14ac:dyDescent="0.25">
      <c r="A25336" s="74">
        <v>30128</v>
      </c>
      <c r="B25336">
        <v>7.05</v>
      </c>
    </row>
    <row r="25337" spans="1:2" x14ac:dyDescent="0.25">
      <c r="A25337" s="74">
        <v>30129</v>
      </c>
      <c r="B25337">
        <v>10.6</v>
      </c>
    </row>
    <row r="25338" spans="1:2" x14ac:dyDescent="0.25">
      <c r="A25338" s="74">
        <v>30130</v>
      </c>
      <c r="B25338">
        <v>8.74</v>
      </c>
    </row>
    <row r="25339" spans="1:2" x14ac:dyDescent="0.25">
      <c r="A25339" s="74">
        <v>30131</v>
      </c>
      <c r="B25339">
        <v>7.39</v>
      </c>
    </row>
    <row r="25340" spans="1:2" x14ac:dyDescent="0.25">
      <c r="A25340" s="74">
        <v>30132</v>
      </c>
      <c r="B25340">
        <v>7.17</v>
      </c>
    </row>
    <row r="25341" spans="1:2" x14ac:dyDescent="0.25">
      <c r="A25341" s="74">
        <v>30133</v>
      </c>
      <c r="B25341">
        <v>6.49</v>
      </c>
    </row>
    <row r="25342" spans="1:2" x14ac:dyDescent="0.25">
      <c r="A25342" s="74">
        <v>30134</v>
      </c>
      <c r="B25342">
        <v>5.48</v>
      </c>
    </row>
    <row r="25343" spans="1:2" x14ac:dyDescent="0.25">
      <c r="A25343" s="74">
        <v>30135</v>
      </c>
      <c r="B25343">
        <v>10.1</v>
      </c>
    </row>
    <row r="25344" spans="1:2" x14ac:dyDescent="0.25">
      <c r="A25344" s="74">
        <v>30136</v>
      </c>
      <c r="B25344">
        <v>9.07</v>
      </c>
    </row>
    <row r="25345" spans="1:2" x14ac:dyDescent="0.25">
      <c r="A25345" s="74">
        <v>30137</v>
      </c>
      <c r="B25345">
        <v>6.49</v>
      </c>
    </row>
    <row r="25346" spans="1:2" x14ac:dyDescent="0.25">
      <c r="A25346" s="74">
        <v>30138</v>
      </c>
      <c r="B25346">
        <v>5.37</v>
      </c>
    </row>
    <row r="25347" spans="1:2" x14ac:dyDescent="0.25">
      <c r="A25347" s="74">
        <v>30139</v>
      </c>
      <c r="B25347">
        <v>4.62</v>
      </c>
    </row>
    <row r="25348" spans="1:2" x14ac:dyDescent="0.25">
      <c r="A25348" s="74">
        <v>30140</v>
      </c>
      <c r="B25348">
        <v>4.1500000000000004</v>
      </c>
    </row>
    <row r="25349" spans="1:2" x14ac:dyDescent="0.25">
      <c r="A25349" s="74">
        <v>30141</v>
      </c>
      <c r="B25349">
        <v>3.83</v>
      </c>
    </row>
    <row r="25350" spans="1:2" x14ac:dyDescent="0.25">
      <c r="A25350" s="74">
        <v>30142</v>
      </c>
      <c r="B25350">
        <v>3.52</v>
      </c>
    </row>
    <row r="25351" spans="1:2" x14ac:dyDescent="0.25">
      <c r="A25351" s="74">
        <v>30143</v>
      </c>
      <c r="B25351">
        <v>3.52</v>
      </c>
    </row>
    <row r="25352" spans="1:2" x14ac:dyDescent="0.25">
      <c r="A25352" s="74">
        <v>30144</v>
      </c>
      <c r="B25352">
        <v>3.52</v>
      </c>
    </row>
    <row r="25353" spans="1:2" x14ac:dyDescent="0.25">
      <c r="A25353" s="74">
        <v>30145</v>
      </c>
      <c r="B25353">
        <v>3.36</v>
      </c>
    </row>
    <row r="25354" spans="1:2" x14ac:dyDescent="0.25">
      <c r="A25354" s="74">
        <v>30146</v>
      </c>
      <c r="B25354">
        <v>3.2</v>
      </c>
    </row>
    <row r="25355" spans="1:2" x14ac:dyDescent="0.25">
      <c r="A25355" s="74">
        <v>30147</v>
      </c>
      <c r="B25355">
        <v>2.97</v>
      </c>
    </row>
    <row r="25356" spans="1:2" x14ac:dyDescent="0.25">
      <c r="A25356" s="74">
        <v>30148</v>
      </c>
      <c r="B25356">
        <v>2.65</v>
      </c>
    </row>
    <row r="25357" spans="1:2" x14ac:dyDescent="0.25">
      <c r="A25357" s="74">
        <v>30149</v>
      </c>
      <c r="B25357">
        <v>2.4900000000000002</v>
      </c>
    </row>
    <row r="25358" spans="1:2" x14ac:dyDescent="0.25">
      <c r="A25358" s="74">
        <v>30150</v>
      </c>
      <c r="B25358">
        <v>2.4900000000000002</v>
      </c>
    </row>
    <row r="25359" spans="1:2" x14ac:dyDescent="0.25">
      <c r="A25359" s="74">
        <v>30151</v>
      </c>
      <c r="B25359">
        <v>2.4900000000000002</v>
      </c>
    </row>
    <row r="25360" spans="1:2" x14ac:dyDescent="0.25">
      <c r="A25360" s="74">
        <v>30152</v>
      </c>
      <c r="B25360">
        <v>2.4900000000000002</v>
      </c>
    </row>
    <row r="25361" spans="1:2" x14ac:dyDescent="0.25">
      <c r="A25361" s="74">
        <v>30153</v>
      </c>
      <c r="B25361">
        <v>2.1800000000000002</v>
      </c>
    </row>
    <row r="25362" spans="1:2" x14ac:dyDescent="0.25">
      <c r="A25362" s="74">
        <v>30154</v>
      </c>
      <c r="B25362">
        <v>2.1800000000000002</v>
      </c>
    </row>
    <row r="25363" spans="1:2" x14ac:dyDescent="0.25">
      <c r="A25363" s="74">
        <v>30155</v>
      </c>
      <c r="B25363">
        <v>2.06</v>
      </c>
    </row>
    <row r="25364" spans="1:2" x14ac:dyDescent="0.25">
      <c r="A25364" s="74">
        <v>30156</v>
      </c>
      <c r="B25364">
        <v>1.92</v>
      </c>
    </row>
    <row r="25365" spans="1:2" x14ac:dyDescent="0.25">
      <c r="A25365" s="74">
        <v>30157</v>
      </c>
      <c r="B25365">
        <v>1.79</v>
      </c>
    </row>
    <row r="25366" spans="1:2" x14ac:dyDescent="0.25">
      <c r="A25366" s="74">
        <v>30158</v>
      </c>
      <c r="B25366">
        <v>1.7</v>
      </c>
    </row>
    <row r="25367" spans="1:2" x14ac:dyDescent="0.25">
      <c r="A25367" s="74">
        <v>30159</v>
      </c>
      <c r="B25367">
        <v>1.7</v>
      </c>
    </row>
    <row r="25368" spans="1:2" x14ac:dyDescent="0.25">
      <c r="A25368" s="74">
        <v>30160</v>
      </c>
      <c r="B25368">
        <v>1.7</v>
      </c>
    </row>
    <row r="25369" spans="1:2" x14ac:dyDescent="0.25">
      <c r="A25369" s="74">
        <v>30161</v>
      </c>
      <c r="B25369">
        <v>1.7</v>
      </c>
    </row>
    <row r="25370" spans="1:2" x14ac:dyDescent="0.25">
      <c r="A25370" s="74">
        <v>30162</v>
      </c>
      <c r="B25370">
        <v>1.7</v>
      </c>
    </row>
    <row r="25371" spans="1:2" x14ac:dyDescent="0.25">
      <c r="A25371" s="74">
        <v>30163</v>
      </c>
      <c r="B25371">
        <v>1.7</v>
      </c>
    </row>
    <row r="25372" spans="1:2" x14ac:dyDescent="0.25">
      <c r="A25372" s="74">
        <v>30164</v>
      </c>
      <c r="B25372">
        <v>1.62</v>
      </c>
    </row>
    <row r="25373" spans="1:2" x14ac:dyDescent="0.25">
      <c r="A25373" s="74">
        <v>30165</v>
      </c>
      <c r="B25373">
        <v>1.62</v>
      </c>
    </row>
    <row r="25374" spans="1:2" x14ac:dyDescent="0.25">
      <c r="A25374" s="74">
        <v>30166</v>
      </c>
      <c r="B25374">
        <v>1.7</v>
      </c>
    </row>
    <row r="25375" spans="1:2" x14ac:dyDescent="0.25">
      <c r="A25375" s="74">
        <v>30167</v>
      </c>
      <c r="B25375">
        <v>1.53</v>
      </c>
    </row>
    <row r="25376" spans="1:2" x14ac:dyDescent="0.25">
      <c r="A25376" s="74">
        <v>30168</v>
      </c>
      <c r="B25376">
        <v>1.35</v>
      </c>
    </row>
    <row r="25377" spans="1:2" x14ac:dyDescent="0.25">
      <c r="A25377" s="74">
        <v>30169</v>
      </c>
      <c r="B25377">
        <v>1.27</v>
      </c>
    </row>
    <row r="25378" spans="1:2" x14ac:dyDescent="0.25">
      <c r="A25378" s="74">
        <v>30170</v>
      </c>
      <c r="B25378">
        <v>1.18</v>
      </c>
    </row>
    <row r="25379" spans="1:2" x14ac:dyDescent="0.25">
      <c r="A25379" s="74">
        <v>30171</v>
      </c>
      <c r="B25379">
        <v>1.0900000000000001</v>
      </c>
    </row>
    <row r="25380" spans="1:2" x14ac:dyDescent="0.25">
      <c r="A25380" s="74">
        <v>30172</v>
      </c>
      <c r="B25380">
        <v>1.0900000000000001</v>
      </c>
    </row>
    <row r="25381" spans="1:2" x14ac:dyDescent="0.25">
      <c r="A25381" s="74">
        <v>30173</v>
      </c>
      <c r="B25381">
        <v>1.1299999999999999</v>
      </c>
    </row>
    <row r="25382" spans="1:2" x14ac:dyDescent="0.25">
      <c r="A25382" s="74">
        <v>30174</v>
      </c>
      <c r="B25382">
        <v>1.4</v>
      </c>
    </row>
    <row r="25383" spans="1:2" x14ac:dyDescent="0.25">
      <c r="A25383" s="74">
        <v>30175</v>
      </c>
      <c r="B25383">
        <v>1.4</v>
      </c>
    </row>
    <row r="25384" spans="1:2" x14ac:dyDescent="0.25">
      <c r="A25384" s="74">
        <v>30176</v>
      </c>
      <c r="B25384">
        <v>1.22</v>
      </c>
    </row>
    <row r="25385" spans="1:2" x14ac:dyDescent="0.25">
      <c r="A25385" s="74">
        <v>30177</v>
      </c>
      <c r="B25385">
        <v>1.22</v>
      </c>
    </row>
    <row r="25386" spans="1:2" x14ac:dyDescent="0.25">
      <c r="A25386" s="74">
        <v>30178</v>
      </c>
      <c r="B25386">
        <v>1.22</v>
      </c>
    </row>
    <row r="25387" spans="1:2" x14ac:dyDescent="0.25">
      <c r="A25387" s="74">
        <v>30179</v>
      </c>
      <c r="B25387">
        <v>1.1299999999999999</v>
      </c>
    </row>
    <row r="25388" spans="1:2" x14ac:dyDescent="0.25">
      <c r="A25388" s="74">
        <v>30180</v>
      </c>
      <c r="B25388">
        <v>1.0900000000000001</v>
      </c>
    </row>
    <row r="25389" spans="1:2" x14ac:dyDescent="0.25">
      <c r="A25389" s="74">
        <v>30181</v>
      </c>
      <c r="B25389">
        <v>1</v>
      </c>
    </row>
    <row r="25390" spans="1:2" x14ac:dyDescent="0.25">
      <c r="A25390" s="74">
        <v>30182</v>
      </c>
      <c r="B25390">
        <v>0.91400000000000003</v>
      </c>
    </row>
    <row r="25391" spans="1:2" x14ac:dyDescent="0.25">
      <c r="A25391" s="74">
        <v>30183</v>
      </c>
      <c r="B25391">
        <v>0.87</v>
      </c>
    </row>
    <row r="25392" spans="1:2" x14ac:dyDescent="0.25">
      <c r="A25392" s="74">
        <v>30184</v>
      </c>
      <c r="B25392">
        <v>0.78200000000000003</v>
      </c>
    </row>
    <row r="25393" spans="1:2" x14ac:dyDescent="0.25">
      <c r="A25393" s="74">
        <v>30185</v>
      </c>
      <c r="B25393">
        <v>0.73799999999999999</v>
      </c>
    </row>
    <row r="25394" spans="1:2" x14ac:dyDescent="0.25">
      <c r="A25394" s="74">
        <v>30186</v>
      </c>
      <c r="B25394">
        <v>0.69399999999999995</v>
      </c>
    </row>
    <row r="25395" spans="1:2" x14ac:dyDescent="0.25">
      <c r="A25395" s="74">
        <v>30187</v>
      </c>
      <c r="B25395">
        <v>0.65</v>
      </c>
    </row>
    <row r="25396" spans="1:2" x14ac:dyDescent="0.25">
      <c r="A25396" s="74">
        <v>30188</v>
      </c>
      <c r="B25396">
        <v>0.61899999999999999</v>
      </c>
    </row>
    <row r="25397" spans="1:2" x14ac:dyDescent="0.25">
      <c r="A25397" s="74">
        <v>30189</v>
      </c>
      <c r="B25397">
        <v>0.61899999999999999</v>
      </c>
    </row>
    <row r="25398" spans="1:2" x14ac:dyDescent="0.25">
      <c r="A25398" s="74">
        <v>30190</v>
      </c>
      <c r="B25398">
        <v>0.58699999999999997</v>
      </c>
    </row>
    <row r="25399" spans="1:2" x14ac:dyDescent="0.25">
      <c r="A25399" s="74">
        <v>30191</v>
      </c>
      <c r="B25399">
        <v>0.58699999999999997</v>
      </c>
    </row>
    <row r="25400" spans="1:2" x14ac:dyDescent="0.25">
      <c r="A25400" s="74">
        <v>30192</v>
      </c>
      <c r="B25400">
        <v>0.55600000000000005</v>
      </c>
    </row>
    <row r="25401" spans="1:2" x14ac:dyDescent="0.25">
      <c r="A25401" s="74">
        <v>30193</v>
      </c>
      <c r="B25401">
        <v>0.58699999999999997</v>
      </c>
    </row>
    <row r="25402" spans="1:2" x14ac:dyDescent="0.25">
      <c r="A25402" s="74">
        <v>30194</v>
      </c>
      <c r="B25402">
        <v>0.58699999999999997</v>
      </c>
    </row>
    <row r="25403" spans="1:2" x14ac:dyDescent="0.25">
      <c r="A25403" s="74">
        <v>30195</v>
      </c>
      <c r="B25403">
        <v>0.55600000000000005</v>
      </c>
    </row>
    <row r="25404" spans="1:2" x14ac:dyDescent="0.25">
      <c r="A25404" s="74">
        <v>30196</v>
      </c>
      <c r="B25404">
        <v>0.52500000000000002</v>
      </c>
    </row>
    <row r="25405" spans="1:2" x14ac:dyDescent="0.25">
      <c r="A25405" s="74">
        <v>30197</v>
      </c>
      <c r="B25405">
        <v>0.49399999999999999</v>
      </c>
    </row>
    <row r="25406" spans="1:2" x14ac:dyDescent="0.25">
      <c r="A25406" s="74">
        <v>30198</v>
      </c>
      <c r="B25406">
        <v>0.52500000000000002</v>
      </c>
    </row>
    <row r="25407" spans="1:2" x14ac:dyDescent="0.25">
      <c r="A25407" s="74">
        <v>30199</v>
      </c>
      <c r="B25407">
        <v>0.52500000000000002</v>
      </c>
    </row>
    <row r="25408" spans="1:2" x14ac:dyDescent="0.25">
      <c r="A25408" s="74">
        <v>30200</v>
      </c>
      <c r="B25408">
        <v>0.52500000000000002</v>
      </c>
    </row>
    <row r="25409" spans="1:2" x14ac:dyDescent="0.25">
      <c r="A25409" s="74">
        <v>30201</v>
      </c>
      <c r="B25409">
        <v>0.52500000000000002</v>
      </c>
    </row>
    <row r="25410" spans="1:2" x14ac:dyDescent="0.25">
      <c r="A25410" s="74">
        <v>30202</v>
      </c>
      <c r="B25410">
        <v>0.52500000000000002</v>
      </c>
    </row>
    <row r="25411" spans="1:2" x14ac:dyDescent="0.25">
      <c r="A25411" s="74">
        <v>30203</v>
      </c>
      <c r="B25411">
        <v>0.69399999999999995</v>
      </c>
    </row>
    <row r="25412" spans="1:2" x14ac:dyDescent="0.25">
      <c r="A25412" s="74">
        <v>30204</v>
      </c>
      <c r="B25412">
        <v>1.22</v>
      </c>
    </row>
    <row r="25413" spans="1:2" x14ac:dyDescent="0.25">
      <c r="A25413" s="74">
        <v>30205</v>
      </c>
      <c r="B25413">
        <v>1.0900000000000001</v>
      </c>
    </row>
    <row r="25414" spans="1:2" x14ac:dyDescent="0.25">
      <c r="A25414" s="74">
        <v>30206</v>
      </c>
      <c r="B25414">
        <v>1.35</v>
      </c>
    </row>
    <row r="25415" spans="1:2" x14ac:dyDescent="0.25">
      <c r="A25415" s="74">
        <v>30207</v>
      </c>
      <c r="B25415">
        <v>1.22</v>
      </c>
    </row>
    <row r="25416" spans="1:2" x14ac:dyDescent="0.25">
      <c r="A25416" s="74">
        <v>30208</v>
      </c>
      <c r="B25416">
        <v>1.0900000000000001</v>
      </c>
    </row>
    <row r="25417" spans="1:2" x14ac:dyDescent="0.25">
      <c r="A25417" s="74">
        <v>30209</v>
      </c>
      <c r="B25417">
        <v>1</v>
      </c>
    </row>
    <row r="25418" spans="1:2" x14ac:dyDescent="0.25">
      <c r="A25418" s="74">
        <v>30210</v>
      </c>
      <c r="B25418">
        <v>0.87</v>
      </c>
    </row>
    <row r="25419" spans="1:2" x14ac:dyDescent="0.25">
      <c r="A25419" s="74">
        <v>30211</v>
      </c>
      <c r="B25419">
        <v>0.82599999999999996</v>
      </c>
    </row>
    <row r="25420" spans="1:2" x14ac:dyDescent="0.25">
      <c r="A25420" s="74">
        <v>30212</v>
      </c>
      <c r="B25420">
        <v>0.69399999999999995</v>
      </c>
    </row>
    <row r="25421" spans="1:2" x14ac:dyDescent="0.25">
      <c r="A25421" s="74">
        <v>30213</v>
      </c>
      <c r="B25421">
        <v>0.65</v>
      </c>
    </row>
    <row r="25422" spans="1:2" x14ac:dyDescent="0.25">
      <c r="A25422" s="74">
        <v>30214</v>
      </c>
      <c r="B25422">
        <v>0.61899999999999999</v>
      </c>
    </row>
    <row r="25423" spans="1:2" x14ac:dyDescent="0.25">
      <c r="A25423" s="74">
        <v>30215</v>
      </c>
      <c r="B25423">
        <v>0.61899999999999999</v>
      </c>
    </row>
    <row r="25424" spans="1:2" x14ac:dyDescent="0.25">
      <c r="A25424" s="74">
        <v>30216</v>
      </c>
      <c r="B25424">
        <v>0.61899999999999999</v>
      </c>
    </row>
    <row r="25425" spans="1:2" x14ac:dyDescent="0.25">
      <c r="A25425" s="74">
        <v>30217</v>
      </c>
      <c r="B25425">
        <v>0.58699999999999997</v>
      </c>
    </row>
    <row r="25426" spans="1:2" x14ac:dyDescent="0.25">
      <c r="A25426" s="74">
        <v>30218</v>
      </c>
      <c r="B25426">
        <v>0.55600000000000005</v>
      </c>
    </row>
    <row r="25427" spans="1:2" x14ac:dyDescent="0.25">
      <c r="A25427" s="74">
        <v>30219</v>
      </c>
      <c r="B25427">
        <v>0.55600000000000005</v>
      </c>
    </row>
    <row r="25428" spans="1:2" x14ac:dyDescent="0.25">
      <c r="A25428" s="74">
        <v>30220</v>
      </c>
      <c r="B25428">
        <v>0.58699999999999997</v>
      </c>
    </row>
    <row r="25429" spans="1:2" x14ac:dyDescent="0.25">
      <c r="A25429" s="74">
        <v>30221</v>
      </c>
      <c r="B25429">
        <v>0.55600000000000005</v>
      </c>
    </row>
    <row r="25430" spans="1:2" x14ac:dyDescent="0.25">
      <c r="A25430" s="74">
        <v>30222</v>
      </c>
      <c r="B25430">
        <v>0.52500000000000002</v>
      </c>
    </row>
    <row r="25431" spans="1:2" x14ac:dyDescent="0.25">
      <c r="A25431" s="74">
        <v>30223</v>
      </c>
      <c r="B25431">
        <v>0.58699999999999997</v>
      </c>
    </row>
    <row r="25432" spans="1:2" x14ac:dyDescent="0.25">
      <c r="A25432" s="74">
        <v>30224</v>
      </c>
      <c r="B25432">
        <v>0.52500000000000002</v>
      </c>
    </row>
    <row r="25433" spans="1:2" x14ac:dyDescent="0.25">
      <c r="A25433" s="74">
        <v>30225</v>
      </c>
      <c r="B25433">
        <v>0.52500000000000002</v>
      </c>
    </row>
    <row r="25434" spans="1:2" x14ac:dyDescent="0.25">
      <c r="A25434" s="74">
        <v>30226</v>
      </c>
      <c r="B25434">
        <v>0.55600000000000005</v>
      </c>
    </row>
    <row r="25435" spans="1:2" x14ac:dyDescent="0.25">
      <c r="A25435" s="74">
        <v>30227</v>
      </c>
      <c r="B25435">
        <v>0.55600000000000005</v>
      </c>
    </row>
    <row r="25436" spans="1:2" x14ac:dyDescent="0.25">
      <c r="A25436" s="74">
        <v>30228</v>
      </c>
      <c r="B25436">
        <v>0.55600000000000005</v>
      </c>
    </row>
    <row r="25437" spans="1:2" x14ac:dyDescent="0.25">
      <c r="A25437" s="74">
        <v>30229</v>
      </c>
      <c r="B25437">
        <v>0.55600000000000005</v>
      </c>
    </row>
    <row r="25438" spans="1:2" x14ac:dyDescent="0.25">
      <c r="A25438" s="74">
        <v>30230</v>
      </c>
      <c r="B25438">
        <v>0.73799999999999999</v>
      </c>
    </row>
    <row r="25439" spans="1:2" x14ac:dyDescent="0.25">
      <c r="A25439" s="74">
        <v>30231</v>
      </c>
      <c r="B25439">
        <v>6.16</v>
      </c>
    </row>
    <row r="25440" spans="1:2" x14ac:dyDescent="0.25">
      <c r="A25440" s="74">
        <v>30232</v>
      </c>
      <c r="B25440">
        <v>3.44</v>
      </c>
    </row>
    <row r="25441" spans="1:2" x14ac:dyDescent="0.25">
      <c r="A25441" s="74">
        <v>30233</v>
      </c>
      <c r="B25441">
        <v>2.4900000000000002</v>
      </c>
    </row>
    <row r="25442" spans="1:2" x14ac:dyDescent="0.25">
      <c r="A25442" s="74">
        <v>30234</v>
      </c>
      <c r="B25442">
        <v>2.06</v>
      </c>
    </row>
    <row r="25443" spans="1:2" x14ac:dyDescent="0.25">
      <c r="A25443" s="74">
        <v>30235</v>
      </c>
      <c r="B25443">
        <v>1.84</v>
      </c>
    </row>
    <row r="25444" spans="1:2" x14ac:dyDescent="0.25">
      <c r="A25444" s="74">
        <v>30236</v>
      </c>
      <c r="B25444">
        <v>1.66</v>
      </c>
    </row>
    <row r="25445" spans="1:2" x14ac:dyDescent="0.25">
      <c r="A25445" s="74">
        <v>30237</v>
      </c>
      <c r="B25445">
        <v>1.53</v>
      </c>
    </row>
    <row r="25446" spans="1:2" x14ac:dyDescent="0.25">
      <c r="A25446" s="74">
        <v>30238</v>
      </c>
      <c r="B25446">
        <v>1.4</v>
      </c>
    </row>
    <row r="25447" spans="1:2" x14ac:dyDescent="0.25">
      <c r="A25447" s="74">
        <v>30239</v>
      </c>
      <c r="B25447">
        <v>1.31</v>
      </c>
    </row>
    <row r="25448" spans="1:2" x14ac:dyDescent="0.25">
      <c r="A25448" s="74">
        <v>30240</v>
      </c>
      <c r="B25448">
        <v>1.18</v>
      </c>
    </row>
    <row r="25449" spans="1:2" x14ac:dyDescent="0.25">
      <c r="A25449" s="74">
        <v>30241</v>
      </c>
      <c r="B25449">
        <v>1.88</v>
      </c>
    </row>
    <row r="25450" spans="1:2" x14ac:dyDescent="0.25">
      <c r="A25450" s="74">
        <v>30242</v>
      </c>
      <c r="B25450">
        <v>1.62</v>
      </c>
    </row>
    <row r="25451" spans="1:2" x14ac:dyDescent="0.25">
      <c r="A25451" s="74">
        <v>30243</v>
      </c>
      <c r="B25451">
        <v>1.48</v>
      </c>
    </row>
    <row r="25452" spans="1:2" x14ac:dyDescent="0.25">
      <c r="A25452" s="74">
        <v>30244</v>
      </c>
      <c r="B25452">
        <v>1.31</v>
      </c>
    </row>
    <row r="25453" spans="1:2" x14ac:dyDescent="0.25">
      <c r="A25453" s="74">
        <v>30245</v>
      </c>
      <c r="B25453">
        <v>1.31</v>
      </c>
    </row>
    <row r="25454" spans="1:2" x14ac:dyDescent="0.25">
      <c r="A25454" s="74">
        <v>30246</v>
      </c>
      <c r="B25454">
        <v>53</v>
      </c>
    </row>
    <row r="25455" spans="1:2" x14ac:dyDescent="0.25">
      <c r="A25455" s="74">
        <v>30247</v>
      </c>
      <c r="B25455">
        <v>38.200000000000003</v>
      </c>
    </row>
    <row r="25456" spans="1:2" x14ac:dyDescent="0.25">
      <c r="A25456" s="74">
        <v>30248</v>
      </c>
      <c r="B25456">
        <v>163</v>
      </c>
    </row>
    <row r="25457" spans="1:2" x14ac:dyDescent="0.25">
      <c r="A25457" s="74">
        <v>30249</v>
      </c>
      <c r="B25457">
        <v>108</v>
      </c>
    </row>
    <row r="25458" spans="1:2" x14ac:dyDescent="0.25">
      <c r="A25458" s="74">
        <v>30250</v>
      </c>
      <c r="B25458">
        <v>81.2</v>
      </c>
    </row>
    <row r="25459" spans="1:2" x14ac:dyDescent="0.25">
      <c r="A25459" s="74">
        <v>30251</v>
      </c>
      <c r="B25459">
        <v>60.2</v>
      </c>
    </row>
    <row r="25460" spans="1:2" x14ac:dyDescent="0.25">
      <c r="A25460" s="74">
        <v>30252</v>
      </c>
      <c r="B25460">
        <v>91.4</v>
      </c>
    </row>
    <row r="25461" spans="1:2" x14ac:dyDescent="0.25">
      <c r="A25461" s="74">
        <v>30253</v>
      </c>
      <c r="B25461">
        <v>40.299999999999997</v>
      </c>
    </row>
    <row r="25462" spans="1:2" x14ac:dyDescent="0.25">
      <c r="A25462" s="74">
        <v>30254</v>
      </c>
      <c r="B25462">
        <v>22.8</v>
      </c>
    </row>
    <row r="25463" spans="1:2" x14ac:dyDescent="0.25">
      <c r="A25463" s="74">
        <v>30255</v>
      </c>
      <c r="B25463">
        <v>15.1</v>
      </c>
    </row>
    <row r="25464" spans="1:2" x14ac:dyDescent="0.25">
      <c r="A25464" s="74">
        <v>30256</v>
      </c>
      <c r="B25464">
        <v>13.5</v>
      </c>
    </row>
    <row r="25465" spans="1:2" x14ac:dyDescent="0.25">
      <c r="A25465" s="74">
        <v>30257</v>
      </c>
      <c r="B25465">
        <v>10.4</v>
      </c>
    </row>
    <row r="25466" spans="1:2" x14ac:dyDescent="0.25">
      <c r="A25466" s="74">
        <v>30258</v>
      </c>
      <c r="B25466">
        <v>8.2899999999999991</v>
      </c>
    </row>
    <row r="25467" spans="1:2" x14ac:dyDescent="0.25">
      <c r="A25467" s="74">
        <v>30259</v>
      </c>
      <c r="B25467">
        <v>24.3</v>
      </c>
    </row>
    <row r="25468" spans="1:2" x14ac:dyDescent="0.25">
      <c r="A25468" s="74">
        <v>30260</v>
      </c>
      <c r="B25468">
        <v>24.3</v>
      </c>
    </row>
    <row r="25469" spans="1:2" x14ac:dyDescent="0.25">
      <c r="A25469" s="74">
        <v>30261</v>
      </c>
      <c r="B25469">
        <v>22.1</v>
      </c>
    </row>
    <row r="25470" spans="1:2" x14ac:dyDescent="0.25">
      <c r="A25470" s="74">
        <v>30262</v>
      </c>
      <c r="B25470">
        <v>16</v>
      </c>
    </row>
    <row r="25471" spans="1:2" x14ac:dyDescent="0.25">
      <c r="A25471" s="74">
        <v>30263</v>
      </c>
      <c r="B25471">
        <v>19.8</v>
      </c>
    </row>
    <row r="25472" spans="1:2" x14ac:dyDescent="0.25">
      <c r="A25472" s="74">
        <v>30264</v>
      </c>
      <c r="B25472">
        <v>14.2</v>
      </c>
    </row>
    <row r="25473" spans="1:2" x14ac:dyDescent="0.25">
      <c r="A25473" s="74">
        <v>30265</v>
      </c>
      <c r="B25473">
        <v>10.8</v>
      </c>
    </row>
    <row r="25474" spans="1:2" x14ac:dyDescent="0.25">
      <c r="A25474" s="74">
        <v>30266</v>
      </c>
      <c r="B25474">
        <v>8.4</v>
      </c>
    </row>
    <row r="25475" spans="1:2" x14ac:dyDescent="0.25">
      <c r="A25475" s="74">
        <v>30267</v>
      </c>
      <c r="B25475">
        <v>7.28</v>
      </c>
    </row>
    <row r="25476" spans="1:2" x14ac:dyDescent="0.25">
      <c r="A25476" s="74">
        <v>30268</v>
      </c>
      <c r="B25476">
        <v>6.49</v>
      </c>
    </row>
    <row r="25477" spans="1:2" x14ac:dyDescent="0.25">
      <c r="A25477" s="74">
        <v>30269</v>
      </c>
      <c r="B25477">
        <v>5.71</v>
      </c>
    </row>
    <row r="25478" spans="1:2" x14ac:dyDescent="0.25">
      <c r="A25478" s="74">
        <v>30270</v>
      </c>
      <c r="B25478">
        <v>4.92</v>
      </c>
    </row>
    <row r="25479" spans="1:2" x14ac:dyDescent="0.25">
      <c r="A25479" s="74">
        <v>30271</v>
      </c>
      <c r="B25479">
        <v>5.26</v>
      </c>
    </row>
    <row r="25480" spans="1:2" x14ac:dyDescent="0.25">
      <c r="A25480" s="74">
        <v>30272</v>
      </c>
      <c r="B25480">
        <v>10.6</v>
      </c>
    </row>
    <row r="25481" spans="1:2" x14ac:dyDescent="0.25">
      <c r="A25481" s="74">
        <v>30273</v>
      </c>
      <c r="B25481">
        <v>9.41</v>
      </c>
    </row>
    <row r="25482" spans="1:2" x14ac:dyDescent="0.25">
      <c r="A25482" s="74">
        <v>30274</v>
      </c>
      <c r="B25482">
        <v>8.06</v>
      </c>
    </row>
    <row r="25483" spans="1:2" x14ac:dyDescent="0.25">
      <c r="A25483" s="74">
        <v>30275</v>
      </c>
      <c r="B25483">
        <v>7.05</v>
      </c>
    </row>
    <row r="25484" spans="1:2" x14ac:dyDescent="0.25">
      <c r="A25484" s="74">
        <v>30276</v>
      </c>
      <c r="B25484">
        <v>6.05</v>
      </c>
    </row>
    <row r="25485" spans="1:2" x14ac:dyDescent="0.25">
      <c r="A25485" s="74">
        <v>30277</v>
      </c>
      <c r="B25485">
        <v>5.26</v>
      </c>
    </row>
    <row r="25486" spans="1:2" x14ac:dyDescent="0.25">
      <c r="A25486" s="74">
        <v>30278</v>
      </c>
      <c r="B25486">
        <v>4.54</v>
      </c>
    </row>
    <row r="25487" spans="1:2" x14ac:dyDescent="0.25">
      <c r="A25487" s="74">
        <v>30279</v>
      </c>
      <c r="B25487">
        <v>4.2300000000000004</v>
      </c>
    </row>
    <row r="25488" spans="1:2" x14ac:dyDescent="0.25">
      <c r="A25488" s="74">
        <v>30280</v>
      </c>
      <c r="B25488">
        <v>3.91</v>
      </c>
    </row>
    <row r="25489" spans="1:2" x14ac:dyDescent="0.25">
      <c r="A25489" s="74">
        <v>30281</v>
      </c>
      <c r="B25489">
        <v>3.91</v>
      </c>
    </row>
    <row r="25490" spans="1:2" x14ac:dyDescent="0.25">
      <c r="A25490" s="74">
        <v>30282</v>
      </c>
      <c r="B25490">
        <v>12.4</v>
      </c>
    </row>
    <row r="25491" spans="1:2" x14ac:dyDescent="0.25">
      <c r="A25491" s="74">
        <v>30283</v>
      </c>
      <c r="B25491">
        <v>26.6</v>
      </c>
    </row>
    <row r="25492" spans="1:2" x14ac:dyDescent="0.25">
      <c r="A25492" s="74">
        <v>30284</v>
      </c>
      <c r="B25492">
        <v>27.1</v>
      </c>
    </row>
    <row r="25493" spans="1:2" x14ac:dyDescent="0.25">
      <c r="A25493" s="74">
        <v>30285</v>
      </c>
      <c r="B25493">
        <v>22.3</v>
      </c>
    </row>
    <row r="25494" spans="1:2" x14ac:dyDescent="0.25">
      <c r="A25494" s="74">
        <v>30286</v>
      </c>
      <c r="B25494">
        <v>25.9</v>
      </c>
    </row>
    <row r="25495" spans="1:2" x14ac:dyDescent="0.25">
      <c r="A25495" s="74">
        <v>30287</v>
      </c>
      <c r="B25495">
        <v>19.2</v>
      </c>
    </row>
    <row r="25496" spans="1:2" x14ac:dyDescent="0.25">
      <c r="A25496" s="74">
        <v>30288</v>
      </c>
      <c r="B25496">
        <v>197</v>
      </c>
    </row>
    <row r="25497" spans="1:2" x14ac:dyDescent="0.25">
      <c r="A25497" s="74">
        <v>30289</v>
      </c>
      <c r="B25497">
        <v>83.2</v>
      </c>
    </row>
    <row r="25498" spans="1:2" x14ac:dyDescent="0.25">
      <c r="A25498" s="74">
        <v>30290</v>
      </c>
      <c r="B25498">
        <v>36.700000000000003</v>
      </c>
    </row>
    <row r="25499" spans="1:2" x14ac:dyDescent="0.25">
      <c r="A25499" s="74">
        <v>30291</v>
      </c>
      <c r="B25499">
        <v>22.8</v>
      </c>
    </row>
    <row r="25500" spans="1:2" x14ac:dyDescent="0.25">
      <c r="A25500" s="74">
        <v>30292</v>
      </c>
      <c r="B25500">
        <v>19.600000000000001</v>
      </c>
    </row>
    <row r="25501" spans="1:2" x14ac:dyDescent="0.25">
      <c r="A25501" s="74">
        <v>30293</v>
      </c>
      <c r="B25501">
        <v>11.8</v>
      </c>
    </row>
    <row r="25502" spans="1:2" x14ac:dyDescent="0.25">
      <c r="A25502" s="74">
        <v>30294</v>
      </c>
      <c r="B25502">
        <v>9.58</v>
      </c>
    </row>
    <row r="25503" spans="1:2" x14ac:dyDescent="0.25">
      <c r="A25503" s="74">
        <v>30295</v>
      </c>
      <c r="B25503">
        <v>7.95</v>
      </c>
    </row>
    <row r="25504" spans="1:2" x14ac:dyDescent="0.25">
      <c r="A25504" s="74">
        <v>30296</v>
      </c>
      <c r="B25504">
        <v>7.05</v>
      </c>
    </row>
    <row r="25505" spans="1:2" x14ac:dyDescent="0.25">
      <c r="A25505" s="74">
        <v>30297</v>
      </c>
      <c r="B25505">
        <v>10.6</v>
      </c>
    </row>
    <row r="25506" spans="1:2" x14ac:dyDescent="0.25">
      <c r="A25506" s="74">
        <v>30298</v>
      </c>
      <c r="B25506">
        <v>10.9</v>
      </c>
    </row>
    <row r="25507" spans="1:2" x14ac:dyDescent="0.25">
      <c r="A25507" s="74">
        <v>30299</v>
      </c>
      <c r="B25507">
        <v>9.41</v>
      </c>
    </row>
    <row r="25508" spans="1:2" x14ac:dyDescent="0.25">
      <c r="A25508" s="74">
        <v>30300</v>
      </c>
      <c r="B25508">
        <v>46.6</v>
      </c>
    </row>
    <row r="25509" spans="1:2" x14ac:dyDescent="0.25">
      <c r="A25509" s="74">
        <v>30301</v>
      </c>
      <c r="B25509">
        <v>188</v>
      </c>
    </row>
    <row r="25510" spans="1:2" x14ac:dyDescent="0.25">
      <c r="A25510" s="74">
        <v>30302</v>
      </c>
      <c r="B25510">
        <v>90</v>
      </c>
    </row>
    <row r="25511" spans="1:2" x14ac:dyDescent="0.25">
      <c r="A25511" s="74">
        <v>30303</v>
      </c>
      <c r="B25511">
        <v>66.5</v>
      </c>
    </row>
    <row r="25512" spans="1:2" x14ac:dyDescent="0.25">
      <c r="A25512" s="74">
        <v>30304</v>
      </c>
      <c r="B25512">
        <v>141</v>
      </c>
    </row>
    <row r="25513" spans="1:2" x14ac:dyDescent="0.25">
      <c r="A25513" s="74">
        <v>30305</v>
      </c>
      <c r="B25513">
        <v>55</v>
      </c>
    </row>
    <row r="25514" spans="1:2" x14ac:dyDescent="0.25">
      <c r="A25514" s="74">
        <v>30306</v>
      </c>
      <c r="B25514">
        <v>30</v>
      </c>
    </row>
    <row r="25515" spans="1:2" x14ac:dyDescent="0.25">
      <c r="A25515" s="74">
        <v>30307</v>
      </c>
      <c r="B25515">
        <v>23.8</v>
      </c>
    </row>
    <row r="25516" spans="1:2" x14ac:dyDescent="0.25">
      <c r="A25516" s="74">
        <v>30308</v>
      </c>
      <c r="B25516">
        <v>18.7</v>
      </c>
    </row>
    <row r="25517" spans="1:2" x14ac:dyDescent="0.25">
      <c r="A25517" s="74">
        <v>30309</v>
      </c>
      <c r="B25517">
        <v>14</v>
      </c>
    </row>
    <row r="25518" spans="1:2" x14ac:dyDescent="0.25">
      <c r="A25518" s="74">
        <v>30310</v>
      </c>
      <c r="B25518">
        <v>20</v>
      </c>
    </row>
    <row r="25519" spans="1:2" x14ac:dyDescent="0.25">
      <c r="A25519" s="74">
        <v>30311</v>
      </c>
      <c r="B25519">
        <v>22.6</v>
      </c>
    </row>
    <row r="25520" spans="1:2" x14ac:dyDescent="0.25">
      <c r="A25520" s="74">
        <v>30312</v>
      </c>
      <c r="B25520">
        <v>15.7</v>
      </c>
    </row>
    <row r="25521" spans="1:2" x14ac:dyDescent="0.25">
      <c r="A25521" s="74">
        <v>30313</v>
      </c>
      <c r="B25521">
        <v>11.9</v>
      </c>
    </row>
    <row r="25522" spans="1:2" x14ac:dyDescent="0.25">
      <c r="A25522" s="74">
        <v>30314</v>
      </c>
      <c r="B25522">
        <v>9.41</v>
      </c>
    </row>
    <row r="25523" spans="1:2" x14ac:dyDescent="0.25">
      <c r="A25523" s="74">
        <v>30315</v>
      </c>
      <c r="B25523">
        <v>7.95</v>
      </c>
    </row>
    <row r="25524" spans="1:2" x14ac:dyDescent="0.25">
      <c r="A25524" s="74">
        <v>30316</v>
      </c>
      <c r="B25524">
        <v>6.94</v>
      </c>
    </row>
    <row r="25525" spans="1:2" x14ac:dyDescent="0.25">
      <c r="A25525" s="74">
        <v>30317</v>
      </c>
      <c r="B25525">
        <v>6.27</v>
      </c>
    </row>
    <row r="25526" spans="1:2" x14ac:dyDescent="0.25">
      <c r="A25526" s="74">
        <v>30318</v>
      </c>
      <c r="B25526">
        <v>9.24</v>
      </c>
    </row>
    <row r="25527" spans="1:2" x14ac:dyDescent="0.25">
      <c r="A25527" s="74">
        <v>30319</v>
      </c>
      <c r="B25527">
        <v>14.4</v>
      </c>
    </row>
    <row r="25528" spans="1:2" x14ac:dyDescent="0.25">
      <c r="A25528" s="74">
        <v>30320</v>
      </c>
      <c r="B25528">
        <v>14.4</v>
      </c>
    </row>
    <row r="25529" spans="1:2" x14ac:dyDescent="0.25">
      <c r="A25529" s="74">
        <v>30321</v>
      </c>
      <c r="B25529">
        <v>20.3</v>
      </c>
    </row>
    <row r="25530" spans="1:2" x14ac:dyDescent="0.25">
      <c r="A25530" s="74">
        <v>30322</v>
      </c>
      <c r="B25530">
        <v>18.100000000000001</v>
      </c>
    </row>
    <row r="25531" spans="1:2" x14ac:dyDescent="0.25">
      <c r="A25531" s="74">
        <v>30323</v>
      </c>
      <c r="B25531">
        <v>24.7</v>
      </c>
    </row>
    <row r="25532" spans="1:2" x14ac:dyDescent="0.25">
      <c r="A25532" s="74">
        <v>30324</v>
      </c>
      <c r="B25532">
        <v>110</v>
      </c>
    </row>
    <row r="25533" spans="1:2" x14ac:dyDescent="0.25">
      <c r="A25533" s="74">
        <v>30325</v>
      </c>
      <c r="B25533">
        <v>46.2</v>
      </c>
    </row>
    <row r="25534" spans="1:2" x14ac:dyDescent="0.25">
      <c r="A25534" s="74">
        <v>30326</v>
      </c>
      <c r="B25534">
        <v>78.900000000000006</v>
      </c>
    </row>
    <row r="25535" spans="1:2" x14ac:dyDescent="0.25">
      <c r="A25535" s="74">
        <v>30327</v>
      </c>
      <c r="B25535">
        <v>53</v>
      </c>
    </row>
    <row r="25536" spans="1:2" x14ac:dyDescent="0.25">
      <c r="A25536" s="74">
        <v>30328</v>
      </c>
      <c r="B25536">
        <v>63.7</v>
      </c>
    </row>
    <row r="25537" spans="1:2" x14ac:dyDescent="0.25">
      <c r="A25537" s="74">
        <v>30329</v>
      </c>
      <c r="B25537">
        <v>46.6</v>
      </c>
    </row>
    <row r="25538" spans="1:2" x14ac:dyDescent="0.25">
      <c r="A25538" s="74">
        <v>30330</v>
      </c>
      <c r="B25538">
        <v>27.1</v>
      </c>
    </row>
    <row r="25539" spans="1:2" x14ac:dyDescent="0.25">
      <c r="A25539" s="74">
        <v>30331</v>
      </c>
      <c r="B25539">
        <v>19.2</v>
      </c>
    </row>
    <row r="25540" spans="1:2" x14ac:dyDescent="0.25">
      <c r="A25540" s="74">
        <v>30332</v>
      </c>
      <c r="B25540">
        <v>14.4</v>
      </c>
    </row>
    <row r="25541" spans="1:2" x14ac:dyDescent="0.25">
      <c r="A25541" s="74">
        <v>30333</v>
      </c>
      <c r="B25541">
        <v>12.5</v>
      </c>
    </row>
    <row r="25542" spans="1:2" x14ac:dyDescent="0.25">
      <c r="A25542" s="74">
        <v>30334</v>
      </c>
      <c r="B25542">
        <v>30.6</v>
      </c>
    </row>
    <row r="25543" spans="1:2" x14ac:dyDescent="0.25">
      <c r="A25543" s="74">
        <v>30335</v>
      </c>
      <c r="B25543">
        <v>43.2</v>
      </c>
    </row>
    <row r="25544" spans="1:2" x14ac:dyDescent="0.25">
      <c r="A25544" s="74">
        <v>30336</v>
      </c>
      <c r="B25544">
        <v>25</v>
      </c>
    </row>
    <row r="25545" spans="1:2" x14ac:dyDescent="0.25">
      <c r="A25545" s="74">
        <v>30337</v>
      </c>
      <c r="B25545">
        <v>17.899999999999999</v>
      </c>
    </row>
    <row r="25546" spans="1:2" x14ac:dyDescent="0.25">
      <c r="A25546" s="74">
        <v>30338</v>
      </c>
      <c r="B25546">
        <v>13.5</v>
      </c>
    </row>
    <row r="25547" spans="1:2" x14ac:dyDescent="0.25">
      <c r="A25547" s="74">
        <v>30339</v>
      </c>
      <c r="B25547">
        <v>11.3</v>
      </c>
    </row>
    <row r="25548" spans="1:2" x14ac:dyDescent="0.25">
      <c r="A25548" s="74">
        <v>30340</v>
      </c>
      <c r="B25548">
        <v>12.3</v>
      </c>
    </row>
    <row r="25549" spans="1:2" x14ac:dyDescent="0.25">
      <c r="A25549" s="74">
        <v>30341</v>
      </c>
      <c r="B25549">
        <v>37.299999999999997</v>
      </c>
    </row>
    <row r="25550" spans="1:2" x14ac:dyDescent="0.25">
      <c r="A25550" s="74">
        <v>30342</v>
      </c>
      <c r="B25550">
        <v>104</v>
      </c>
    </row>
    <row r="25551" spans="1:2" x14ac:dyDescent="0.25">
      <c r="A25551" s="74">
        <v>30343</v>
      </c>
      <c r="B25551">
        <v>74.900000000000006</v>
      </c>
    </row>
    <row r="25552" spans="1:2" x14ac:dyDescent="0.25">
      <c r="A25552" s="74">
        <v>30344</v>
      </c>
      <c r="B25552">
        <v>38.200000000000003</v>
      </c>
    </row>
    <row r="25553" spans="1:2" x14ac:dyDescent="0.25">
      <c r="A25553" s="74">
        <v>30345</v>
      </c>
      <c r="B25553">
        <v>24.3</v>
      </c>
    </row>
    <row r="25554" spans="1:2" x14ac:dyDescent="0.25">
      <c r="A25554" s="74">
        <v>30346</v>
      </c>
      <c r="B25554">
        <v>17.2</v>
      </c>
    </row>
    <row r="25555" spans="1:2" x14ac:dyDescent="0.25">
      <c r="A25555" s="74">
        <v>30347</v>
      </c>
      <c r="B25555">
        <v>13.3</v>
      </c>
    </row>
    <row r="25556" spans="1:2" x14ac:dyDescent="0.25">
      <c r="A25556" s="74">
        <v>30348</v>
      </c>
      <c r="B25556">
        <v>10.8</v>
      </c>
    </row>
    <row r="25557" spans="1:2" x14ac:dyDescent="0.25">
      <c r="A25557" s="74">
        <v>30349</v>
      </c>
      <c r="B25557">
        <v>8.91</v>
      </c>
    </row>
    <row r="25558" spans="1:2" x14ac:dyDescent="0.25">
      <c r="A25558" s="74">
        <v>30350</v>
      </c>
      <c r="B25558">
        <v>7.73</v>
      </c>
    </row>
    <row r="25559" spans="1:2" x14ac:dyDescent="0.25">
      <c r="A25559" s="74">
        <v>30351</v>
      </c>
      <c r="B25559">
        <v>6.94</v>
      </c>
    </row>
    <row r="25560" spans="1:2" x14ac:dyDescent="0.25">
      <c r="A25560" s="74">
        <v>30352</v>
      </c>
      <c r="B25560">
        <v>6.16</v>
      </c>
    </row>
    <row r="25561" spans="1:2" x14ac:dyDescent="0.25">
      <c r="A25561" s="74">
        <v>30353</v>
      </c>
      <c r="B25561">
        <v>5.71</v>
      </c>
    </row>
    <row r="25562" spans="1:2" x14ac:dyDescent="0.25">
      <c r="A25562" s="74">
        <v>30354</v>
      </c>
      <c r="B25562">
        <v>6.72</v>
      </c>
    </row>
    <row r="25563" spans="1:2" x14ac:dyDescent="0.25">
      <c r="A25563" s="74">
        <v>30355</v>
      </c>
      <c r="B25563">
        <v>6.05</v>
      </c>
    </row>
    <row r="25564" spans="1:2" x14ac:dyDescent="0.25">
      <c r="A25564" s="74">
        <v>30356</v>
      </c>
      <c r="B25564">
        <v>6.05</v>
      </c>
    </row>
    <row r="25565" spans="1:2" x14ac:dyDescent="0.25">
      <c r="A25565" s="74">
        <v>30357</v>
      </c>
      <c r="B25565">
        <v>17.5</v>
      </c>
    </row>
    <row r="25566" spans="1:2" x14ac:dyDescent="0.25">
      <c r="A25566" s="74">
        <v>30358</v>
      </c>
      <c r="B25566">
        <v>322</v>
      </c>
    </row>
    <row r="25567" spans="1:2" x14ac:dyDescent="0.25">
      <c r="A25567" s="74">
        <v>30359</v>
      </c>
      <c r="B25567">
        <v>255</v>
      </c>
    </row>
    <row r="25568" spans="1:2" x14ac:dyDescent="0.25">
      <c r="A25568" s="74">
        <v>30360</v>
      </c>
      <c r="B25568">
        <v>107</v>
      </c>
    </row>
    <row r="25569" spans="1:2" x14ac:dyDescent="0.25">
      <c r="A25569" s="74">
        <v>30361</v>
      </c>
      <c r="B25569">
        <v>58.2</v>
      </c>
    </row>
    <row r="25570" spans="1:2" x14ac:dyDescent="0.25">
      <c r="A25570" s="74">
        <v>30362</v>
      </c>
      <c r="B25570">
        <v>48.4</v>
      </c>
    </row>
    <row r="25571" spans="1:2" x14ac:dyDescent="0.25">
      <c r="A25571" s="74">
        <v>30363</v>
      </c>
      <c r="B25571">
        <v>51</v>
      </c>
    </row>
    <row r="25572" spans="1:2" x14ac:dyDescent="0.25">
      <c r="A25572" s="74">
        <v>30364</v>
      </c>
      <c r="B25572">
        <v>72.5</v>
      </c>
    </row>
    <row r="25573" spans="1:2" x14ac:dyDescent="0.25">
      <c r="A25573" s="74">
        <v>30365</v>
      </c>
      <c r="B25573">
        <v>91.4</v>
      </c>
    </row>
    <row r="25574" spans="1:2" x14ac:dyDescent="0.25">
      <c r="A25574" s="74">
        <v>30366</v>
      </c>
      <c r="B25574">
        <v>43.6</v>
      </c>
    </row>
    <row r="25575" spans="1:2" x14ac:dyDescent="0.25">
      <c r="A25575" s="74">
        <v>30367</v>
      </c>
      <c r="B25575">
        <v>94.6</v>
      </c>
    </row>
    <row r="25576" spans="1:2" x14ac:dyDescent="0.25">
      <c r="A25576" s="74">
        <v>30368</v>
      </c>
      <c r="B25576">
        <v>46.6</v>
      </c>
    </row>
    <row r="25577" spans="1:2" x14ac:dyDescent="0.25">
      <c r="A25577" s="74">
        <v>30369</v>
      </c>
      <c r="B25577">
        <v>49.9</v>
      </c>
    </row>
    <row r="25578" spans="1:2" x14ac:dyDescent="0.25">
      <c r="A25578" s="74">
        <v>30370</v>
      </c>
      <c r="B25578">
        <v>92.8</v>
      </c>
    </row>
    <row r="25579" spans="1:2" x14ac:dyDescent="0.25">
      <c r="A25579" s="74">
        <v>30371</v>
      </c>
      <c r="B25579">
        <v>73.7</v>
      </c>
    </row>
    <row r="25580" spans="1:2" x14ac:dyDescent="0.25">
      <c r="A25580" s="74">
        <v>30372</v>
      </c>
      <c r="B25580">
        <v>43.6</v>
      </c>
    </row>
    <row r="25581" spans="1:2" x14ac:dyDescent="0.25">
      <c r="A25581" s="74">
        <v>30373</v>
      </c>
      <c r="B25581">
        <v>25.5</v>
      </c>
    </row>
    <row r="25582" spans="1:2" x14ac:dyDescent="0.25">
      <c r="A25582" s="74">
        <v>30374</v>
      </c>
      <c r="B25582">
        <v>22.8</v>
      </c>
    </row>
    <row r="25583" spans="1:2" x14ac:dyDescent="0.25">
      <c r="A25583" s="74">
        <v>30375</v>
      </c>
      <c r="B25583">
        <v>18.5</v>
      </c>
    </row>
    <row r="25584" spans="1:2" x14ac:dyDescent="0.25">
      <c r="A25584" s="74">
        <v>30376</v>
      </c>
      <c r="B25584">
        <v>15.5</v>
      </c>
    </row>
    <row r="25585" spans="1:2" x14ac:dyDescent="0.25">
      <c r="A25585" s="74">
        <v>30377</v>
      </c>
      <c r="B25585">
        <v>13.1</v>
      </c>
    </row>
    <row r="25586" spans="1:2" x14ac:dyDescent="0.25">
      <c r="A25586" s="74">
        <v>30378</v>
      </c>
      <c r="B25586">
        <v>11.1</v>
      </c>
    </row>
    <row r="25587" spans="1:2" x14ac:dyDescent="0.25">
      <c r="A25587" s="74">
        <v>30379</v>
      </c>
      <c r="B25587">
        <v>9.6199999999999992</v>
      </c>
    </row>
    <row r="25588" spans="1:2" x14ac:dyDescent="0.25">
      <c r="A25588" s="74">
        <v>30380</v>
      </c>
      <c r="B25588">
        <v>8.39</v>
      </c>
    </row>
    <row r="25589" spans="1:2" x14ac:dyDescent="0.25">
      <c r="A25589" s="74">
        <v>30381</v>
      </c>
      <c r="B25589">
        <v>7.76</v>
      </c>
    </row>
    <row r="25590" spans="1:2" x14ac:dyDescent="0.25">
      <c r="A25590" s="74">
        <v>30382</v>
      </c>
      <c r="B25590">
        <v>10.199999999999999</v>
      </c>
    </row>
    <row r="25591" spans="1:2" x14ac:dyDescent="0.25">
      <c r="A25591" s="74">
        <v>30383</v>
      </c>
      <c r="B25591">
        <v>16.3</v>
      </c>
    </row>
    <row r="25592" spans="1:2" x14ac:dyDescent="0.25">
      <c r="A25592" s="74">
        <v>30384</v>
      </c>
      <c r="B25592">
        <v>269</v>
      </c>
    </row>
    <row r="25593" spans="1:2" x14ac:dyDescent="0.25">
      <c r="A25593" s="74">
        <v>30385</v>
      </c>
      <c r="B25593">
        <v>86.8</v>
      </c>
    </row>
    <row r="25594" spans="1:2" x14ac:dyDescent="0.25">
      <c r="A25594" s="74">
        <v>30386</v>
      </c>
      <c r="B25594">
        <v>64.099999999999994</v>
      </c>
    </row>
    <row r="25595" spans="1:2" x14ac:dyDescent="0.25">
      <c r="A25595" s="74">
        <v>30387</v>
      </c>
      <c r="B25595">
        <v>35.4</v>
      </c>
    </row>
    <row r="25596" spans="1:2" x14ac:dyDescent="0.25">
      <c r="A25596" s="74">
        <v>30388</v>
      </c>
      <c r="B25596">
        <v>44</v>
      </c>
    </row>
    <row r="25597" spans="1:2" x14ac:dyDescent="0.25">
      <c r="A25597" s="74">
        <v>30389</v>
      </c>
      <c r="B25597">
        <v>98.3</v>
      </c>
    </row>
    <row r="25598" spans="1:2" x14ac:dyDescent="0.25">
      <c r="A25598" s="74">
        <v>30390</v>
      </c>
      <c r="B25598">
        <v>60.6</v>
      </c>
    </row>
    <row r="25599" spans="1:2" x14ac:dyDescent="0.25">
      <c r="A25599" s="74">
        <v>30391</v>
      </c>
      <c r="B25599">
        <v>32.9</v>
      </c>
    </row>
    <row r="25600" spans="1:2" x14ac:dyDescent="0.25">
      <c r="A25600" s="74">
        <v>30392</v>
      </c>
      <c r="B25600">
        <v>24.1</v>
      </c>
    </row>
    <row r="25601" spans="1:2" x14ac:dyDescent="0.25">
      <c r="A25601" s="74">
        <v>30393</v>
      </c>
      <c r="B25601">
        <v>18.899999999999999</v>
      </c>
    </row>
    <row r="25602" spans="1:2" x14ac:dyDescent="0.25">
      <c r="A25602" s="74">
        <v>30394</v>
      </c>
      <c r="B25602">
        <v>15.3</v>
      </c>
    </row>
    <row r="25603" spans="1:2" x14ac:dyDescent="0.25">
      <c r="A25603" s="74">
        <v>30395</v>
      </c>
      <c r="B25603">
        <v>12.8</v>
      </c>
    </row>
    <row r="25604" spans="1:2" x14ac:dyDescent="0.25">
      <c r="A25604" s="74">
        <v>30396</v>
      </c>
      <c r="B25604">
        <v>10.9</v>
      </c>
    </row>
    <row r="25605" spans="1:2" x14ac:dyDescent="0.25">
      <c r="A25605" s="74">
        <v>30397</v>
      </c>
      <c r="B25605">
        <v>9.81</v>
      </c>
    </row>
    <row r="25606" spans="1:2" x14ac:dyDescent="0.25">
      <c r="A25606" s="74">
        <v>30398</v>
      </c>
      <c r="B25606">
        <v>8.8800000000000008</v>
      </c>
    </row>
    <row r="25607" spans="1:2" x14ac:dyDescent="0.25">
      <c r="A25607" s="74">
        <v>30399</v>
      </c>
      <c r="B25607">
        <v>9.44</v>
      </c>
    </row>
    <row r="25608" spans="1:2" x14ac:dyDescent="0.25">
      <c r="A25608" s="74">
        <v>30400</v>
      </c>
      <c r="B25608">
        <v>7.91</v>
      </c>
    </row>
    <row r="25609" spans="1:2" x14ac:dyDescent="0.25">
      <c r="A25609" s="74">
        <v>30401</v>
      </c>
      <c r="B25609">
        <v>7.35</v>
      </c>
    </row>
    <row r="25610" spans="1:2" x14ac:dyDescent="0.25">
      <c r="A25610" s="74">
        <v>30402</v>
      </c>
      <c r="B25610">
        <v>7.76</v>
      </c>
    </row>
    <row r="25611" spans="1:2" x14ac:dyDescent="0.25">
      <c r="A25611" s="74">
        <v>30403</v>
      </c>
      <c r="B25611">
        <v>7.35</v>
      </c>
    </row>
    <row r="25612" spans="1:2" x14ac:dyDescent="0.25">
      <c r="A25612" s="74">
        <v>30404</v>
      </c>
      <c r="B25612">
        <v>10.9</v>
      </c>
    </row>
    <row r="25613" spans="1:2" x14ac:dyDescent="0.25">
      <c r="A25613" s="74">
        <v>30405</v>
      </c>
      <c r="B25613">
        <v>27</v>
      </c>
    </row>
    <row r="25614" spans="1:2" x14ac:dyDescent="0.25">
      <c r="A25614" s="74">
        <v>30406</v>
      </c>
      <c r="B25614">
        <v>25.9</v>
      </c>
    </row>
    <row r="25615" spans="1:2" x14ac:dyDescent="0.25">
      <c r="A25615" s="74">
        <v>30407</v>
      </c>
      <c r="B25615">
        <v>19.600000000000001</v>
      </c>
    </row>
    <row r="25616" spans="1:2" x14ac:dyDescent="0.25">
      <c r="A25616" s="74">
        <v>30408</v>
      </c>
      <c r="B25616">
        <v>24.1</v>
      </c>
    </row>
    <row r="25617" spans="1:2" x14ac:dyDescent="0.25">
      <c r="A25617" s="74">
        <v>30409</v>
      </c>
      <c r="B25617">
        <v>20</v>
      </c>
    </row>
    <row r="25618" spans="1:2" x14ac:dyDescent="0.25">
      <c r="A25618" s="74">
        <v>30410</v>
      </c>
      <c r="B25618">
        <v>15.7</v>
      </c>
    </row>
    <row r="25619" spans="1:2" x14ac:dyDescent="0.25">
      <c r="A25619" s="74">
        <v>30411</v>
      </c>
      <c r="B25619">
        <v>13.3</v>
      </c>
    </row>
    <row r="25620" spans="1:2" x14ac:dyDescent="0.25">
      <c r="A25620" s="74">
        <v>30412</v>
      </c>
      <c r="B25620">
        <v>11.3</v>
      </c>
    </row>
    <row r="25621" spans="1:2" x14ac:dyDescent="0.25">
      <c r="A25621" s="74">
        <v>30413</v>
      </c>
      <c r="B25621">
        <v>10.4</v>
      </c>
    </row>
    <row r="25622" spans="1:2" x14ac:dyDescent="0.25">
      <c r="A25622" s="74">
        <v>30414</v>
      </c>
      <c r="B25622">
        <v>9.07</v>
      </c>
    </row>
    <row r="25623" spans="1:2" x14ac:dyDescent="0.25">
      <c r="A25623" s="74">
        <v>30415</v>
      </c>
      <c r="B25623">
        <v>8.07</v>
      </c>
    </row>
    <row r="25624" spans="1:2" x14ac:dyDescent="0.25">
      <c r="A25624" s="74">
        <v>30416</v>
      </c>
      <c r="B25624">
        <v>7.91</v>
      </c>
    </row>
    <row r="25625" spans="1:2" x14ac:dyDescent="0.25">
      <c r="A25625" s="74">
        <v>30417</v>
      </c>
      <c r="B25625">
        <v>8.6999999999999993</v>
      </c>
    </row>
    <row r="25626" spans="1:2" x14ac:dyDescent="0.25">
      <c r="A25626" s="74">
        <v>30418</v>
      </c>
      <c r="B25626">
        <v>7.91</v>
      </c>
    </row>
    <row r="25627" spans="1:2" x14ac:dyDescent="0.25">
      <c r="A25627" s="74">
        <v>30419</v>
      </c>
      <c r="B25627">
        <v>6.98</v>
      </c>
    </row>
    <row r="25628" spans="1:2" x14ac:dyDescent="0.25">
      <c r="A25628" s="74">
        <v>30420</v>
      </c>
      <c r="B25628">
        <v>6.25</v>
      </c>
    </row>
    <row r="25629" spans="1:2" x14ac:dyDescent="0.25">
      <c r="A25629" s="74">
        <v>30421</v>
      </c>
      <c r="B25629">
        <v>5.88</v>
      </c>
    </row>
    <row r="25630" spans="1:2" x14ac:dyDescent="0.25">
      <c r="A25630" s="74">
        <v>30422</v>
      </c>
      <c r="B25630">
        <v>5.53</v>
      </c>
    </row>
    <row r="25631" spans="1:2" x14ac:dyDescent="0.25">
      <c r="A25631" s="74">
        <v>30423</v>
      </c>
      <c r="B25631">
        <v>5.65</v>
      </c>
    </row>
    <row r="25632" spans="1:2" x14ac:dyDescent="0.25">
      <c r="A25632" s="74">
        <v>30424</v>
      </c>
      <c r="B25632">
        <v>6.25</v>
      </c>
    </row>
    <row r="25633" spans="1:2" x14ac:dyDescent="0.25">
      <c r="A25633" s="74">
        <v>30425</v>
      </c>
      <c r="B25633">
        <v>7.48</v>
      </c>
    </row>
    <row r="25634" spans="1:2" x14ac:dyDescent="0.25">
      <c r="A25634" s="74">
        <v>30426</v>
      </c>
      <c r="B25634">
        <v>8.8800000000000008</v>
      </c>
    </row>
    <row r="25635" spans="1:2" x14ac:dyDescent="0.25">
      <c r="A25635" s="74">
        <v>30427</v>
      </c>
      <c r="B25635">
        <v>8.5399999999999991</v>
      </c>
    </row>
    <row r="25636" spans="1:2" x14ac:dyDescent="0.25">
      <c r="A25636" s="74">
        <v>30428</v>
      </c>
      <c r="B25636">
        <v>7.6</v>
      </c>
    </row>
    <row r="25637" spans="1:2" x14ac:dyDescent="0.25">
      <c r="A25637" s="74">
        <v>30429</v>
      </c>
      <c r="B25637">
        <v>6.98</v>
      </c>
    </row>
    <row r="25638" spans="1:2" x14ac:dyDescent="0.25">
      <c r="A25638" s="74">
        <v>30430</v>
      </c>
      <c r="B25638">
        <v>8.23</v>
      </c>
    </row>
    <row r="25639" spans="1:2" x14ac:dyDescent="0.25">
      <c r="A25639" s="74">
        <v>30431</v>
      </c>
      <c r="B25639">
        <v>12.2</v>
      </c>
    </row>
    <row r="25640" spans="1:2" x14ac:dyDescent="0.25">
      <c r="A25640" s="74">
        <v>30432</v>
      </c>
      <c r="B25640">
        <v>10.7</v>
      </c>
    </row>
    <row r="25641" spans="1:2" x14ac:dyDescent="0.25">
      <c r="A25641" s="74">
        <v>30433</v>
      </c>
      <c r="B25641">
        <v>9.25</v>
      </c>
    </row>
    <row r="25642" spans="1:2" x14ac:dyDescent="0.25">
      <c r="A25642" s="74">
        <v>30434</v>
      </c>
      <c r="B25642">
        <v>8.23</v>
      </c>
    </row>
    <row r="25643" spans="1:2" x14ac:dyDescent="0.25">
      <c r="A25643" s="74">
        <v>30435</v>
      </c>
      <c r="B25643">
        <v>8.6999999999999993</v>
      </c>
    </row>
    <row r="25644" spans="1:2" x14ac:dyDescent="0.25">
      <c r="A25644" s="74">
        <v>30436</v>
      </c>
      <c r="B25644">
        <v>9.81</v>
      </c>
    </row>
    <row r="25645" spans="1:2" x14ac:dyDescent="0.25">
      <c r="A25645" s="74">
        <v>30437</v>
      </c>
      <c r="B25645">
        <v>12.2</v>
      </c>
    </row>
    <row r="25646" spans="1:2" x14ac:dyDescent="0.25">
      <c r="A25646" s="74">
        <v>30438</v>
      </c>
      <c r="B25646">
        <v>11.3</v>
      </c>
    </row>
    <row r="25647" spans="1:2" x14ac:dyDescent="0.25">
      <c r="A25647" s="74">
        <v>30439</v>
      </c>
      <c r="B25647">
        <v>9.81</v>
      </c>
    </row>
    <row r="25648" spans="1:2" x14ac:dyDescent="0.25">
      <c r="A25648" s="74">
        <v>30440</v>
      </c>
      <c r="B25648">
        <v>9.07</v>
      </c>
    </row>
    <row r="25649" spans="1:2" x14ac:dyDescent="0.25">
      <c r="A25649" s="74">
        <v>30441</v>
      </c>
      <c r="B25649">
        <v>7.91</v>
      </c>
    </row>
    <row r="25650" spans="1:2" x14ac:dyDescent="0.25">
      <c r="A25650" s="74">
        <v>30442</v>
      </c>
      <c r="B25650">
        <v>7.11</v>
      </c>
    </row>
    <row r="25651" spans="1:2" x14ac:dyDescent="0.25">
      <c r="A25651" s="74">
        <v>30443</v>
      </c>
      <c r="B25651">
        <v>8.5399999999999991</v>
      </c>
    </row>
    <row r="25652" spans="1:2" x14ac:dyDescent="0.25">
      <c r="A25652" s="74">
        <v>30444</v>
      </c>
      <c r="B25652">
        <v>9.25</v>
      </c>
    </row>
    <row r="25653" spans="1:2" x14ac:dyDescent="0.25">
      <c r="A25653" s="74">
        <v>30445</v>
      </c>
      <c r="B25653">
        <v>7.48</v>
      </c>
    </row>
    <row r="25654" spans="1:2" x14ac:dyDescent="0.25">
      <c r="A25654" s="74">
        <v>30446</v>
      </c>
      <c r="B25654">
        <v>6.12</v>
      </c>
    </row>
    <row r="25655" spans="1:2" x14ac:dyDescent="0.25">
      <c r="A25655" s="74">
        <v>30447</v>
      </c>
      <c r="B25655">
        <v>6.12</v>
      </c>
    </row>
    <row r="25656" spans="1:2" x14ac:dyDescent="0.25">
      <c r="A25656" s="74">
        <v>30448</v>
      </c>
      <c r="B25656">
        <v>6.62</v>
      </c>
    </row>
    <row r="25657" spans="1:2" x14ac:dyDescent="0.25">
      <c r="A25657" s="74">
        <v>30449</v>
      </c>
      <c r="B25657">
        <v>7.6</v>
      </c>
    </row>
    <row r="25658" spans="1:2" x14ac:dyDescent="0.25">
      <c r="A25658" s="74">
        <v>30450</v>
      </c>
      <c r="B25658">
        <v>8.5399999999999991</v>
      </c>
    </row>
    <row r="25659" spans="1:2" x14ac:dyDescent="0.25">
      <c r="A25659" s="74">
        <v>30451</v>
      </c>
      <c r="B25659">
        <v>10.199999999999999</v>
      </c>
    </row>
    <row r="25660" spans="1:2" x14ac:dyDescent="0.25">
      <c r="A25660" s="74">
        <v>30452</v>
      </c>
      <c r="B25660">
        <v>8.23</v>
      </c>
    </row>
    <row r="25661" spans="1:2" x14ac:dyDescent="0.25">
      <c r="A25661" s="74">
        <v>30453</v>
      </c>
      <c r="B25661">
        <v>7.48</v>
      </c>
    </row>
    <row r="25662" spans="1:2" x14ac:dyDescent="0.25">
      <c r="A25662" s="74">
        <v>30454</v>
      </c>
      <c r="B25662">
        <v>8.6999999999999993</v>
      </c>
    </row>
    <row r="25663" spans="1:2" x14ac:dyDescent="0.25">
      <c r="A25663" s="74">
        <v>30455</v>
      </c>
      <c r="B25663">
        <v>9.6199999999999992</v>
      </c>
    </row>
    <row r="25664" spans="1:2" x14ac:dyDescent="0.25">
      <c r="A25664" s="74">
        <v>30456</v>
      </c>
      <c r="B25664">
        <v>12.6</v>
      </c>
    </row>
    <row r="25665" spans="1:2" x14ac:dyDescent="0.25">
      <c r="A25665" s="74">
        <v>30457</v>
      </c>
      <c r="B25665">
        <v>13.7</v>
      </c>
    </row>
    <row r="25666" spans="1:2" x14ac:dyDescent="0.25">
      <c r="A25666" s="74">
        <v>30458</v>
      </c>
      <c r="B25666">
        <v>11.8</v>
      </c>
    </row>
    <row r="25667" spans="1:2" x14ac:dyDescent="0.25">
      <c r="A25667" s="74">
        <v>30459</v>
      </c>
      <c r="B25667">
        <v>12.8</v>
      </c>
    </row>
    <row r="25668" spans="1:2" x14ac:dyDescent="0.25">
      <c r="A25668" s="74">
        <v>30460</v>
      </c>
      <c r="B25668">
        <v>13.9</v>
      </c>
    </row>
    <row r="25669" spans="1:2" x14ac:dyDescent="0.25">
      <c r="A25669" s="74">
        <v>30461</v>
      </c>
      <c r="B25669">
        <v>14.1</v>
      </c>
    </row>
    <row r="25670" spans="1:2" x14ac:dyDescent="0.25">
      <c r="A25670" s="74">
        <v>30462</v>
      </c>
      <c r="B25670">
        <v>11</v>
      </c>
    </row>
    <row r="25671" spans="1:2" x14ac:dyDescent="0.25">
      <c r="A25671" s="74">
        <v>30463</v>
      </c>
      <c r="B25671">
        <v>9.07</v>
      </c>
    </row>
    <row r="25672" spans="1:2" x14ac:dyDescent="0.25">
      <c r="A25672" s="74">
        <v>30464</v>
      </c>
      <c r="B25672">
        <v>10.9</v>
      </c>
    </row>
    <row r="25673" spans="1:2" x14ac:dyDescent="0.25">
      <c r="A25673" s="74">
        <v>30465</v>
      </c>
      <c r="B25673">
        <v>13.9</v>
      </c>
    </row>
    <row r="25674" spans="1:2" x14ac:dyDescent="0.25">
      <c r="A25674" s="74">
        <v>30466</v>
      </c>
      <c r="B25674">
        <v>15.9</v>
      </c>
    </row>
    <row r="25675" spans="1:2" x14ac:dyDescent="0.25">
      <c r="A25675" s="74">
        <v>30467</v>
      </c>
      <c r="B25675">
        <v>11.3</v>
      </c>
    </row>
    <row r="25676" spans="1:2" x14ac:dyDescent="0.25">
      <c r="A25676" s="74">
        <v>30468</v>
      </c>
      <c r="B25676">
        <v>9.44</v>
      </c>
    </row>
    <row r="25677" spans="1:2" x14ac:dyDescent="0.25">
      <c r="A25677" s="74">
        <v>30469</v>
      </c>
      <c r="B25677">
        <v>7.76</v>
      </c>
    </row>
    <row r="25678" spans="1:2" x14ac:dyDescent="0.25">
      <c r="A25678" s="74">
        <v>30470</v>
      </c>
      <c r="B25678">
        <v>7.11</v>
      </c>
    </row>
    <row r="25679" spans="1:2" x14ac:dyDescent="0.25">
      <c r="A25679" s="74">
        <v>30471</v>
      </c>
      <c r="B25679">
        <v>6.12</v>
      </c>
    </row>
    <row r="25680" spans="1:2" x14ac:dyDescent="0.25">
      <c r="A25680" s="74">
        <v>30472</v>
      </c>
      <c r="B25680">
        <v>5.53</v>
      </c>
    </row>
    <row r="25681" spans="1:2" x14ac:dyDescent="0.25">
      <c r="A25681" s="74">
        <v>30473</v>
      </c>
      <c r="B25681">
        <v>5.77</v>
      </c>
    </row>
    <row r="25682" spans="1:2" x14ac:dyDescent="0.25">
      <c r="A25682" s="74">
        <v>30474</v>
      </c>
      <c r="B25682">
        <v>5.65</v>
      </c>
    </row>
    <row r="25683" spans="1:2" x14ac:dyDescent="0.25">
      <c r="A25683" s="74">
        <v>30475</v>
      </c>
      <c r="B25683">
        <v>6.49</v>
      </c>
    </row>
    <row r="25684" spans="1:2" x14ac:dyDescent="0.25">
      <c r="A25684" s="74">
        <v>30476</v>
      </c>
      <c r="B25684">
        <v>6.62</v>
      </c>
    </row>
    <row r="25685" spans="1:2" x14ac:dyDescent="0.25">
      <c r="A25685" s="74">
        <v>30477</v>
      </c>
      <c r="B25685">
        <v>22.8</v>
      </c>
    </row>
    <row r="25686" spans="1:2" x14ac:dyDescent="0.25">
      <c r="A25686" s="74">
        <v>30478</v>
      </c>
      <c r="B25686">
        <v>12.8</v>
      </c>
    </row>
    <row r="25687" spans="1:2" x14ac:dyDescent="0.25">
      <c r="A25687" s="74">
        <v>30479</v>
      </c>
      <c r="B25687">
        <v>10.4</v>
      </c>
    </row>
    <row r="25688" spans="1:2" x14ac:dyDescent="0.25">
      <c r="A25688" s="74">
        <v>30480</v>
      </c>
      <c r="B25688">
        <v>7.23</v>
      </c>
    </row>
    <row r="25689" spans="1:2" x14ac:dyDescent="0.25">
      <c r="A25689" s="74">
        <v>30481</v>
      </c>
      <c r="B25689">
        <v>5.88</v>
      </c>
    </row>
    <row r="25690" spans="1:2" x14ac:dyDescent="0.25">
      <c r="A25690" s="74">
        <v>30482</v>
      </c>
      <c r="B25690">
        <v>6</v>
      </c>
    </row>
    <row r="25691" spans="1:2" x14ac:dyDescent="0.25">
      <c r="A25691" s="74">
        <v>30483</v>
      </c>
      <c r="B25691">
        <v>5.53</v>
      </c>
    </row>
    <row r="25692" spans="1:2" x14ac:dyDescent="0.25">
      <c r="A25692" s="74">
        <v>30484</v>
      </c>
      <c r="B25692">
        <v>5</v>
      </c>
    </row>
    <row r="25693" spans="1:2" x14ac:dyDescent="0.25">
      <c r="A25693" s="74">
        <v>30485</v>
      </c>
      <c r="B25693">
        <v>6.74</v>
      </c>
    </row>
    <row r="25694" spans="1:2" x14ac:dyDescent="0.25">
      <c r="A25694" s="74">
        <v>30486</v>
      </c>
      <c r="B25694">
        <v>5.42</v>
      </c>
    </row>
    <row r="25695" spans="1:2" x14ac:dyDescent="0.25">
      <c r="A25695" s="74">
        <v>30487</v>
      </c>
      <c r="B25695">
        <v>4.71</v>
      </c>
    </row>
    <row r="25696" spans="1:2" x14ac:dyDescent="0.25">
      <c r="A25696" s="74">
        <v>30488</v>
      </c>
      <c r="B25696">
        <v>4.1900000000000004</v>
      </c>
    </row>
    <row r="25697" spans="1:2" x14ac:dyDescent="0.25">
      <c r="A25697" s="74">
        <v>30489</v>
      </c>
      <c r="B25697">
        <v>3.82</v>
      </c>
    </row>
    <row r="25698" spans="1:2" x14ac:dyDescent="0.25">
      <c r="A25698" s="74">
        <v>30490</v>
      </c>
      <c r="B25698">
        <v>3.97</v>
      </c>
    </row>
    <row r="25699" spans="1:2" x14ac:dyDescent="0.25">
      <c r="A25699" s="74">
        <v>30491</v>
      </c>
      <c r="B25699">
        <v>5.65</v>
      </c>
    </row>
    <row r="25700" spans="1:2" x14ac:dyDescent="0.25">
      <c r="A25700" s="74">
        <v>30492</v>
      </c>
      <c r="B25700">
        <v>4.63</v>
      </c>
    </row>
    <row r="25701" spans="1:2" x14ac:dyDescent="0.25">
      <c r="A25701" s="74">
        <v>30493</v>
      </c>
      <c r="B25701">
        <v>5.15</v>
      </c>
    </row>
    <row r="25702" spans="1:2" x14ac:dyDescent="0.25">
      <c r="A25702" s="74">
        <v>30494</v>
      </c>
      <c r="B25702">
        <v>4.71</v>
      </c>
    </row>
    <row r="25703" spans="1:2" x14ac:dyDescent="0.25">
      <c r="A25703" s="74">
        <v>30495</v>
      </c>
      <c r="B25703">
        <v>4.26</v>
      </c>
    </row>
    <row r="25704" spans="1:2" x14ac:dyDescent="0.25">
      <c r="A25704" s="74">
        <v>30496</v>
      </c>
      <c r="B25704">
        <v>4.1900000000000004</v>
      </c>
    </row>
    <row r="25705" spans="1:2" x14ac:dyDescent="0.25">
      <c r="A25705" s="74">
        <v>30497</v>
      </c>
      <c r="B25705">
        <v>4.1100000000000003</v>
      </c>
    </row>
    <row r="25706" spans="1:2" x14ac:dyDescent="0.25">
      <c r="A25706" s="74">
        <v>30498</v>
      </c>
      <c r="B25706">
        <v>3.74</v>
      </c>
    </row>
    <row r="25707" spans="1:2" x14ac:dyDescent="0.25">
      <c r="A25707" s="74">
        <v>30499</v>
      </c>
      <c r="B25707">
        <v>3.82</v>
      </c>
    </row>
    <row r="25708" spans="1:2" x14ac:dyDescent="0.25">
      <c r="A25708" s="74">
        <v>30500</v>
      </c>
      <c r="B25708">
        <v>3.6</v>
      </c>
    </row>
    <row r="25709" spans="1:2" x14ac:dyDescent="0.25">
      <c r="A25709" s="74">
        <v>30501</v>
      </c>
      <c r="B25709">
        <v>3.24</v>
      </c>
    </row>
    <row r="25710" spans="1:2" x14ac:dyDescent="0.25">
      <c r="A25710" s="74">
        <v>30502</v>
      </c>
      <c r="B25710">
        <v>3.05</v>
      </c>
    </row>
    <row r="25711" spans="1:2" x14ac:dyDescent="0.25">
      <c r="A25711" s="74">
        <v>30503</v>
      </c>
      <c r="B25711">
        <v>2.98</v>
      </c>
    </row>
    <row r="25712" spans="1:2" x14ac:dyDescent="0.25">
      <c r="A25712" s="74">
        <v>30504</v>
      </c>
      <c r="B25712">
        <v>2.86</v>
      </c>
    </row>
    <row r="25713" spans="1:2" x14ac:dyDescent="0.25">
      <c r="A25713" s="74">
        <v>30505</v>
      </c>
      <c r="B25713">
        <v>3.67</v>
      </c>
    </row>
    <row r="25714" spans="1:2" x14ac:dyDescent="0.25">
      <c r="A25714" s="74">
        <v>30506</v>
      </c>
      <c r="B25714">
        <v>5</v>
      </c>
    </row>
    <row r="25715" spans="1:2" x14ac:dyDescent="0.25">
      <c r="A25715" s="74">
        <v>30507</v>
      </c>
      <c r="B25715">
        <v>3.67</v>
      </c>
    </row>
    <row r="25716" spans="1:2" x14ac:dyDescent="0.25">
      <c r="A25716" s="74">
        <v>30508</v>
      </c>
      <c r="B25716">
        <v>3.67</v>
      </c>
    </row>
    <row r="25717" spans="1:2" x14ac:dyDescent="0.25">
      <c r="A25717" s="74">
        <v>30509</v>
      </c>
      <c r="B25717">
        <v>29.8</v>
      </c>
    </row>
    <row r="25718" spans="1:2" x14ac:dyDescent="0.25">
      <c r="A25718" s="74">
        <v>30510</v>
      </c>
      <c r="B25718">
        <v>16.100000000000001</v>
      </c>
    </row>
    <row r="25719" spans="1:2" x14ac:dyDescent="0.25">
      <c r="A25719" s="74">
        <v>30511</v>
      </c>
      <c r="B25719">
        <v>12.4</v>
      </c>
    </row>
    <row r="25720" spans="1:2" x14ac:dyDescent="0.25">
      <c r="A25720" s="74">
        <v>30512</v>
      </c>
      <c r="B25720">
        <v>9.25</v>
      </c>
    </row>
    <row r="25721" spans="1:2" x14ac:dyDescent="0.25">
      <c r="A25721" s="74">
        <v>30513</v>
      </c>
      <c r="B25721">
        <v>6.86</v>
      </c>
    </row>
    <row r="25722" spans="1:2" x14ac:dyDescent="0.25">
      <c r="A25722" s="74">
        <v>30514</v>
      </c>
      <c r="B25722">
        <v>5.42</v>
      </c>
    </row>
    <row r="25723" spans="1:2" x14ac:dyDescent="0.25">
      <c r="A25723" s="74">
        <v>30515</v>
      </c>
      <c r="B25723">
        <v>4.78</v>
      </c>
    </row>
    <row r="25724" spans="1:2" x14ac:dyDescent="0.25">
      <c r="A25724" s="74">
        <v>30516</v>
      </c>
      <c r="B25724">
        <v>4.26</v>
      </c>
    </row>
    <row r="25725" spans="1:2" x14ac:dyDescent="0.25">
      <c r="A25725" s="74">
        <v>30517</v>
      </c>
      <c r="B25725">
        <v>3.97</v>
      </c>
    </row>
    <row r="25726" spans="1:2" x14ac:dyDescent="0.25">
      <c r="A25726" s="74">
        <v>30518</v>
      </c>
      <c r="B25726">
        <v>3.74</v>
      </c>
    </row>
    <row r="25727" spans="1:2" x14ac:dyDescent="0.25">
      <c r="A25727" s="74">
        <v>30519</v>
      </c>
      <c r="B25727">
        <v>3.37</v>
      </c>
    </row>
    <row r="25728" spans="1:2" x14ac:dyDescent="0.25">
      <c r="A25728" s="74">
        <v>30520</v>
      </c>
      <c r="B25728">
        <v>3.05</v>
      </c>
    </row>
    <row r="25729" spans="1:2" x14ac:dyDescent="0.25">
      <c r="A25729" s="74">
        <v>30521</v>
      </c>
      <c r="B25729">
        <v>2.73</v>
      </c>
    </row>
    <row r="25730" spans="1:2" x14ac:dyDescent="0.25">
      <c r="A25730" s="74">
        <v>30522</v>
      </c>
      <c r="B25730">
        <v>2.61</v>
      </c>
    </row>
    <row r="25731" spans="1:2" x14ac:dyDescent="0.25">
      <c r="A25731" s="74">
        <v>30523</v>
      </c>
      <c r="B25731">
        <v>2.35</v>
      </c>
    </row>
    <row r="25732" spans="1:2" x14ac:dyDescent="0.25">
      <c r="A25732" s="74">
        <v>30524</v>
      </c>
      <c r="B25732">
        <v>2.0499999999999998</v>
      </c>
    </row>
    <row r="25733" spans="1:2" x14ac:dyDescent="0.25">
      <c r="A25733" s="74">
        <v>30525</v>
      </c>
      <c r="B25733">
        <v>2.35</v>
      </c>
    </row>
    <row r="25734" spans="1:2" x14ac:dyDescent="0.25">
      <c r="A25734" s="74">
        <v>30526</v>
      </c>
      <c r="B25734">
        <v>2.16</v>
      </c>
    </row>
    <row r="25735" spans="1:2" x14ac:dyDescent="0.25">
      <c r="A25735" s="74">
        <v>30527</v>
      </c>
      <c r="B25735">
        <v>1.83</v>
      </c>
    </row>
    <row r="25736" spans="1:2" x14ac:dyDescent="0.25">
      <c r="A25736" s="74">
        <v>30528</v>
      </c>
      <c r="B25736">
        <v>1.43</v>
      </c>
    </row>
    <row r="25737" spans="1:2" x14ac:dyDescent="0.25">
      <c r="A25737" s="74">
        <v>30529</v>
      </c>
      <c r="B25737">
        <v>1.7</v>
      </c>
    </row>
    <row r="25738" spans="1:2" x14ac:dyDescent="0.25">
      <c r="A25738" s="74">
        <v>30530</v>
      </c>
      <c r="B25738">
        <v>1.74</v>
      </c>
    </row>
    <row r="25739" spans="1:2" x14ac:dyDescent="0.25">
      <c r="A25739" s="74">
        <v>30531</v>
      </c>
      <c r="B25739">
        <v>1.74</v>
      </c>
    </row>
    <row r="25740" spans="1:2" x14ac:dyDescent="0.25">
      <c r="A25740" s="74">
        <v>30532</v>
      </c>
      <c r="B25740">
        <v>1.7</v>
      </c>
    </row>
    <row r="25741" spans="1:2" x14ac:dyDescent="0.25">
      <c r="A25741" s="74">
        <v>30533</v>
      </c>
      <c r="B25741">
        <v>1.56</v>
      </c>
    </row>
    <row r="25742" spans="1:2" x14ac:dyDescent="0.25">
      <c r="A25742" s="74">
        <v>30534</v>
      </c>
      <c r="B25742">
        <v>1.52</v>
      </c>
    </row>
    <row r="25743" spans="1:2" x14ac:dyDescent="0.25">
      <c r="A25743" s="74">
        <v>30535</v>
      </c>
      <c r="B25743">
        <v>1.34</v>
      </c>
    </row>
    <row r="25744" spans="1:2" x14ac:dyDescent="0.25">
      <c r="A25744" s="74">
        <v>30536</v>
      </c>
      <c r="B25744">
        <v>1.34</v>
      </c>
    </row>
    <row r="25745" spans="1:2" x14ac:dyDescent="0.25">
      <c r="A25745" s="74">
        <v>30537</v>
      </c>
      <c r="B25745">
        <v>1.25</v>
      </c>
    </row>
    <row r="25746" spans="1:2" x14ac:dyDescent="0.25">
      <c r="A25746" s="74">
        <v>30538</v>
      </c>
      <c r="B25746">
        <v>1.2</v>
      </c>
    </row>
    <row r="25747" spans="1:2" x14ac:dyDescent="0.25">
      <c r="A25747" s="74">
        <v>30539</v>
      </c>
      <c r="B25747">
        <v>1.1100000000000001</v>
      </c>
    </row>
    <row r="25748" spans="1:2" x14ac:dyDescent="0.25">
      <c r="A25748" s="74">
        <v>30540</v>
      </c>
      <c r="B25748">
        <v>1.1100000000000001</v>
      </c>
    </row>
    <row r="25749" spans="1:2" x14ac:dyDescent="0.25">
      <c r="A25749" s="74">
        <v>30541</v>
      </c>
      <c r="B25749">
        <v>1.07</v>
      </c>
    </row>
    <row r="25750" spans="1:2" x14ac:dyDescent="0.25">
      <c r="A25750" s="74">
        <v>30542</v>
      </c>
      <c r="B25750">
        <v>1.02</v>
      </c>
    </row>
    <row r="25751" spans="1:2" x14ac:dyDescent="0.25">
      <c r="A25751" s="74">
        <v>30543</v>
      </c>
      <c r="B25751">
        <v>0.97499999999999998</v>
      </c>
    </row>
    <row r="25752" spans="1:2" x14ac:dyDescent="0.25">
      <c r="A25752" s="74">
        <v>30544</v>
      </c>
      <c r="B25752">
        <v>0.88500000000000001</v>
      </c>
    </row>
    <row r="25753" spans="1:2" x14ac:dyDescent="0.25">
      <c r="A25753" s="74">
        <v>30545</v>
      </c>
      <c r="B25753">
        <v>0.84</v>
      </c>
    </row>
    <row r="25754" spans="1:2" x14ac:dyDescent="0.25">
      <c r="A25754" s="74">
        <v>30546</v>
      </c>
      <c r="B25754">
        <v>0.79500000000000004</v>
      </c>
    </row>
    <row r="25755" spans="1:2" x14ac:dyDescent="0.25">
      <c r="A25755" s="74">
        <v>30547</v>
      </c>
      <c r="B25755">
        <v>0.75</v>
      </c>
    </row>
    <row r="25756" spans="1:2" x14ac:dyDescent="0.25">
      <c r="A25756" s="74">
        <v>30548</v>
      </c>
      <c r="B25756">
        <v>0.71699999999999997</v>
      </c>
    </row>
    <row r="25757" spans="1:2" x14ac:dyDescent="0.25">
      <c r="A25757" s="74">
        <v>30549</v>
      </c>
      <c r="B25757">
        <v>0.68300000000000005</v>
      </c>
    </row>
    <row r="25758" spans="1:2" x14ac:dyDescent="0.25">
      <c r="A25758" s="74">
        <v>30550</v>
      </c>
      <c r="B25758">
        <v>0.61699999999999999</v>
      </c>
    </row>
    <row r="25759" spans="1:2" x14ac:dyDescent="0.25">
      <c r="A25759" s="74">
        <v>30551</v>
      </c>
      <c r="B25759">
        <v>0.58299999999999996</v>
      </c>
    </row>
    <row r="25760" spans="1:2" x14ac:dyDescent="0.25">
      <c r="A25760" s="74">
        <v>30552</v>
      </c>
      <c r="B25760">
        <v>0.58299999999999996</v>
      </c>
    </row>
    <row r="25761" spans="1:2" x14ac:dyDescent="0.25">
      <c r="A25761" s="74">
        <v>30553</v>
      </c>
      <c r="B25761">
        <v>0.58299999999999996</v>
      </c>
    </row>
    <row r="25762" spans="1:2" x14ac:dyDescent="0.25">
      <c r="A25762" s="74">
        <v>30554</v>
      </c>
      <c r="B25762">
        <v>0.58299999999999996</v>
      </c>
    </row>
    <row r="25763" spans="1:2" x14ac:dyDescent="0.25">
      <c r="A25763" s="74">
        <v>30555</v>
      </c>
      <c r="B25763">
        <v>0.53500000000000003</v>
      </c>
    </row>
    <row r="25764" spans="1:2" x14ac:dyDescent="0.25">
      <c r="A25764" s="74">
        <v>30556</v>
      </c>
      <c r="B25764">
        <v>0.53500000000000003</v>
      </c>
    </row>
    <row r="25765" spans="1:2" x14ac:dyDescent="0.25">
      <c r="A25765" s="74">
        <v>30557</v>
      </c>
      <c r="B25765">
        <v>0.88500000000000001</v>
      </c>
    </row>
    <row r="25766" spans="1:2" x14ac:dyDescent="0.25">
      <c r="A25766" s="74">
        <v>30558</v>
      </c>
      <c r="B25766">
        <v>1.2</v>
      </c>
    </row>
    <row r="25767" spans="1:2" x14ac:dyDescent="0.25">
      <c r="A25767" s="74">
        <v>30559</v>
      </c>
      <c r="B25767">
        <v>1.07</v>
      </c>
    </row>
    <row r="25768" spans="1:2" x14ac:dyDescent="0.25">
      <c r="A25768" s="74">
        <v>30560</v>
      </c>
      <c r="B25768">
        <v>0.93</v>
      </c>
    </row>
    <row r="25769" spans="1:2" x14ac:dyDescent="0.25">
      <c r="A25769" s="74">
        <v>30561</v>
      </c>
      <c r="B25769">
        <v>1.1100000000000001</v>
      </c>
    </row>
    <row r="25770" spans="1:2" x14ac:dyDescent="0.25">
      <c r="A25770" s="74">
        <v>30562</v>
      </c>
      <c r="B25770">
        <v>1.02</v>
      </c>
    </row>
    <row r="25771" spans="1:2" x14ac:dyDescent="0.25">
      <c r="A25771" s="74">
        <v>30563</v>
      </c>
      <c r="B25771">
        <v>0.93</v>
      </c>
    </row>
    <row r="25772" spans="1:2" x14ac:dyDescent="0.25">
      <c r="A25772" s="74">
        <v>30564</v>
      </c>
      <c r="B25772">
        <v>0.84</v>
      </c>
    </row>
    <row r="25773" spans="1:2" x14ac:dyDescent="0.25">
      <c r="A25773" s="74">
        <v>30565</v>
      </c>
      <c r="B25773">
        <v>0.79500000000000004</v>
      </c>
    </row>
    <row r="25774" spans="1:2" x14ac:dyDescent="0.25">
      <c r="A25774" s="74">
        <v>30566</v>
      </c>
      <c r="B25774">
        <v>0.79500000000000004</v>
      </c>
    </row>
    <row r="25775" spans="1:2" x14ac:dyDescent="0.25">
      <c r="A25775" s="74">
        <v>30567</v>
      </c>
      <c r="B25775">
        <v>0.79500000000000004</v>
      </c>
    </row>
    <row r="25776" spans="1:2" x14ac:dyDescent="0.25">
      <c r="A25776" s="74">
        <v>30568</v>
      </c>
      <c r="B25776">
        <v>0.75</v>
      </c>
    </row>
    <row r="25777" spans="1:2" x14ac:dyDescent="0.25">
      <c r="A25777" s="74">
        <v>30569</v>
      </c>
      <c r="B25777">
        <v>0.97499999999999998</v>
      </c>
    </row>
    <row r="25778" spans="1:2" x14ac:dyDescent="0.25">
      <c r="A25778" s="74">
        <v>30570</v>
      </c>
      <c r="B25778">
        <v>1.7</v>
      </c>
    </row>
    <row r="25779" spans="1:2" x14ac:dyDescent="0.25">
      <c r="A25779" s="74">
        <v>30571</v>
      </c>
      <c r="B25779">
        <v>1.52</v>
      </c>
    </row>
    <row r="25780" spans="1:2" x14ac:dyDescent="0.25">
      <c r="A25780" s="74">
        <v>30572</v>
      </c>
      <c r="B25780">
        <v>1.38</v>
      </c>
    </row>
    <row r="25781" spans="1:2" x14ac:dyDescent="0.25">
      <c r="A25781" s="74">
        <v>30573</v>
      </c>
      <c r="B25781">
        <v>1.2</v>
      </c>
    </row>
    <row r="25782" spans="1:2" x14ac:dyDescent="0.25">
      <c r="A25782" s="74">
        <v>30574</v>
      </c>
      <c r="B25782">
        <v>1.07</v>
      </c>
    </row>
    <row r="25783" spans="1:2" x14ac:dyDescent="0.25">
      <c r="A25783" s="74">
        <v>30575</v>
      </c>
      <c r="B25783">
        <v>0.97499999999999998</v>
      </c>
    </row>
    <row r="25784" spans="1:2" x14ac:dyDescent="0.25">
      <c r="A25784" s="74">
        <v>30576</v>
      </c>
      <c r="B25784">
        <v>0.97499999999999998</v>
      </c>
    </row>
    <row r="25785" spans="1:2" x14ac:dyDescent="0.25">
      <c r="A25785" s="74">
        <v>30577</v>
      </c>
      <c r="B25785">
        <v>1.07</v>
      </c>
    </row>
    <row r="25786" spans="1:2" x14ac:dyDescent="0.25">
      <c r="A25786" s="74">
        <v>30578</v>
      </c>
      <c r="B25786">
        <v>1.52</v>
      </c>
    </row>
    <row r="25787" spans="1:2" x14ac:dyDescent="0.25">
      <c r="A25787" s="74">
        <v>30579</v>
      </c>
      <c r="B25787">
        <v>1.2</v>
      </c>
    </row>
    <row r="25788" spans="1:2" x14ac:dyDescent="0.25">
      <c r="A25788" s="74">
        <v>30580</v>
      </c>
      <c r="B25788">
        <v>1.07</v>
      </c>
    </row>
    <row r="25789" spans="1:2" x14ac:dyDescent="0.25">
      <c r="A25789" s="74">
        <v>30581</v>
      </c>
      <c r="B25789">
        <v>0.93</v>
      </c>
    </row>
    <row r="25790" spans="1:2" x14ac:dyDescent="0.25">
      <c r="A25790" s="74">
        <v>30582</v>
      </c>
      <c r="B25790">
        <v>0.84</v>
      </c>
    </row>
    <row r="25791" spans="1:2" x14ac:dyDescent="0.25">
      <c r="A25791" s="74">
        <v>30583</v>
      </c>
      <c r="B25791">
        <v>0.75</v>
      </c>
    </row>
    <row r="25792" spans="1:2" x14ac:dyDescent="0.25">
      <c r="A25792" s="74">
        <v>30584</v>
      </c>
      <c r="B25792">
        <v>0.71699999999999997</v>
      </c>
    </row>
    <row r="25793" spans="1:2" x14ac:dyDescent="0.25">
      <c r="A25793" s="74">
        <v>30585</v>
      </c>
      <c r="B25793">
        <v>0.68300000000000005</v>
      </c>
    </row>
    <row r="25794" spans="1:2" x14ac:dyDescent="0.25">
      <c r="A25794" s="74">
        <v>30586</v>
      </c>
      <c r="B25794">
        <v>0.68300000000000005</v>
      </c>
    </row>
    <row r="25795" spans="1:2" x14ac:dyDescent="0.25">
      <c r="A25795" s="74">
        <v>30587</v>
      </c>
      <c r="B25795">
        <v>0.65</v>
      </c>
    </row>
    <row r="25796" spans="1:2" x14ac:dyDescent="0.25">
      <c r="A25796" s="74">
        <v>30588</v>
      </c>
      <c r="B25796">
        <v>0.61699999999999999</v>
      </c>
    </row>
    <row r="25797" spans="1:2" x14ac:dyDescent="0.25">
      <c r="A25797" s="74">
        <v>30589</v>
      </c>
      <c r="B25797">
        <v>0.58299999999999996</v>
      </c>
    </row>
    <row r="25798" spans="1:2" x14ac:dyDescent="0.25">
      <c r="A25798" s="74">
        <v>30590</v>
      </c>
      <c r="B25798">
        <v>0.55000000000000004</v>
      </c>
    </row>
    <row r="25799" spans="1:2" x14ac:dyDescent="0.25">
      <c r="A25799" s="74">
        <v>30591</v>
      </c>
      <c r="B25799">
        <v>0.55000000000000004</v>
      </c>
    </row>
    <row r="25800" spans="1:2" x14ac:dyDescent="0.25">
      <c r="A25800" s="74">
        <v>30592</v>
      </c>
      <c r="B25800">
        <v>0.55000000000000004</v>
      </c>
    </row>
    <row r="25801" spans="1:2" x14ac:dyDescent="0.25">
      <c r="A25801" s="74">
        <v>30593</v>
      </c>
      <c r="B25801">
        <v>0.55000000000000004</v>
      </c>
    </row>
    <row r="25802" spans="1:2" x14ac:dyDescent="0.25">
      <c r="A25802" s="74">
        <v>30594</v>
      </c>
      <c r="B25802">
        <v>0.53500000000000003</v>
      </c>
    </row>
    <row r="25803" spans="1:2" x14ac:dyDescent="0.25">
      <c r="A25803" s="74">
        <v>30595</v>
      </c>
      <c r="B25803">
        <v>0.52</v>
      </c>
    </row>
    <row r="25804" spans="1:2" x14ac:dyDescent="0.25">
      <c r="A25804" s="74">
        <v>30596</v>
      </c>
      <c r="B25804">
        <v>0.57999999999999996</v>
      </c>
    </row>
    <row r="25805" spans="1:2" x14ac:dyDescent="0.25">
      <c r="A25805" s="74">
        <v>30597</v>
      </c>
      <c r="B25805">
        <v>0.52</v>
      </c>
    </row>
    <row r="25806" spans="1:2" x14ac:dyDescent="0.25">
      <c r="A25806" s="74">
        <v>30598</v>
      </c>
      <c r="B25806">
        <v>0.50600000000000001</v>
      </c>
    </row>
    <row r="25807" spans="1:2" x14ac:dyDescent="0.25">
      <c r="A25807" s="74">
        <v>30599</v>
      </c>
      <c r="B25807">
        <v>0.49099999999999999</v>
      </c>
    </row>
    <row r="25808" spans="1:2" x14ac:dyDescent="0.25">
      <c r="A25808" s="74">
        <v>30600</v>
      </c>
      <c r="B25808">
        <v>0.49099999999999999</v>
      </c>
    </row>
    <row r="25809" spans="1:2" x14ac:dyDescent="0.25">
      <c r="A25809" s="74">
        <v>30601</v>
      </c>
      <c r="B25809">
        <v>0.47599999999999998</v>
      </c>
    </row>
    <row r="25810" spans="1:2" x14ac:dyDescent="0.25">
      <c r="A25810" s="74">
        <v>30602</v>
      </c>
      <c r="B25810">
        <v>0.47599999999999998</v>
      </c>
    </row>
    <row r="25811" spans="1:2" x14ac:dyDescent="0.25">
      <c r="A25811" s="74">
        <v>30603</v>
      </c>
      <c r="B25811">
        <v>0.47599999999999998</v>
      </c>
    </row>
    <row r="25812" spans="1:2" x14ac:dyDescent="0.25">
      <c r="A25812" s="74">
        <v>30604</v>
      </c>
      <c r="B25812">
        <v>0.47599999999999998</v>
      </c>
    </row>
    <row r="25813" spans="1:2" x14ac:dyDescent="0.25">
      <c r="A25813" s="74">
        <v>30605</v>
      </c>
      <c r="B25813">
        <v>0.47599999999999998</v>
      </c>
    </row>
    <row r="25814" spans="1:2" x14ac:dyDescent="0.25">
      <c r="A25814" s="74">
        <v>30606</v>
      </c>
      <c r="B25814">
        <v>0.52</v>
      </c>
    </row>
    <row r="25815" spans="1:2" x14ac:dyDescent="0.25">
      <c r="A25815" s="74">
        <v>30607</v>
      </c>
      <c r="B25815">
        <v>0.61699999999999999</v>
      </c>
    </row>
    <row r="25816" spans="1:2" x14ac:dyDescent="0.25">
      <c r="A25816" s="74">
        <v>30608</v>
      </c>
      <c r="B25816">
        <v>0.58299999999999996</v>
      </c>
    </row>
    <row r="25817" spans="1:2" x14ac:dyDescent="0.25">
      <c r="A25817" s="74">
        <v>30609</v>
      </c>
      <c r="B25817">
        <v>0.79500000000000004</v>
      </c>
    </row>
    <row r="25818" spans="1:2" x14ac:dyDescent="0.25">
      <c r="A25818" s="74">
        <v>30610</v>
      </c>
      <c r="B25818">
        <v>1.79</v>
      </c>
    </row>
    <row r="25819" spans="1:2" x14ac:dyDescent="0.25">
      <c r="A25819" s="74">
        <v>30611</v>
      </c>
      <c r="B25819">
        <v>23</v>
      </c>
    </row>
    <row r="25820" spans="1:2" x14ac:dyDescent="0.25">
      <c r="A25820" s="74">
        <v>30612</v>
      </c>
      <c r="B25820">
        <v>9.99</v>
      </c>
    </row>
    <row r="25821" spans="1:2" x14ac:dyDescent="0.25">
      <c r="A25821" s="74">
        <v>30613</v>
      </c>
      <c r="B25821">
        <v>5.65</v>
      </c>
    </row>
    <row r="25822" spans="1:2" x14ac:dyDescent="0.25">
      <c r="A25822" s="74">
        <v>30614</v>
      </c>
      <c r="B25822">
        <v>4.41</v>
      </c>
    </row>
    <row r="25823" spans="1:2" x14ac:dyDescent="0.25">
      <c r="A25823" s="74">
        <v>30615</v>
      </c>
      <c r="B25823">
        <v>4.41</v>
      </c>
    </row>
    <row r="25824" spans="1:2" x14ac:dyDescent="0.25">
      <c r="A25824" s="74">
        <v>30616</v>
      </c>
      <c r="B25824">
        <v>9.6199999999999992</v>
      </c>
    </row>
    <row r="25825" spans="1:2" x14ac:dyDescent="0.25">
      <c r="A25825" s="74">
        <v>30617</v>
      </c>
      <c r="B25825">
        <v>6</v>
      </c>
    </row>
    <row r="25826" spans="1:2" x14ac:dyDescent="0.25">
      <c r="A25826" s="74">
        <v>30618</v>
      </c>
      <c r="B25826">
        <v>4.5599999999999996</v>
      </c>
    </row>
    <row r="25827" spans="1:2" x14ac:dyDescent="0.25">
      <c r="A25827" s="74">
        <v>30619</v>
      </c>
      <c r="B25827">
        <v>4.1100000000000003</v>
      </c>
    </row>
    <row r="25828" spans="1:2" x14ac:dyDescent="0.25">
      <c r="A25828" s="74">
        <v>30620</v>
      </c>
      <c r="B25828">
        <v>7.48</v>
      </c>
    </row>
    <row r="25829" spans="1:2" x14ac:dyDescent="0.25">
      <c r="A25829" s="74">
        <v>30621</v>
      </c>
      <c r="B25829">
        <v>5.42</v>
      </c>
    </row>
    <row r="25830" spans="1:2" x14ac:dyDescent="0.25">
      <c r="A25830" s="74">
        <v>30622</v>
      </c>
      <c r="B25830">
        <v>24.5</v>
      </c>
    </row>
    <row r="25831" spans="1:2" x14ac:dyDescent="0.25">
      <c r="A25831" s="74">
        <v>30623</v>
      </c>
      <c r="B25831">
        <v>47.7</v>
      </c>
    </row>
    <row r="25832" spans="1:2" x14ac:dyDescent="0.25">
      <c r="A25832" s="74">
        <v>30624</v>
      </c>
      <c r="B25832">
        <v>46.6</v>
      </c>
    </row>
    <row r="25833" spans="1:2" x14ac:dyDescent="0.25">
      <c r="A25833" s="74">
        <v>30625</v>
      </c>
      <c r="B25833">
        <v>41.4</v>
      </c>
    </row>
    <row r="25834" spans="1:2" x14ac:dyDescent="0.25">
      <c r="A25834" s="74">
        <v>30626</v>
      </c>
      <c r="B25834">
        <v>40.299999999999997</v>
      </c>
    </row>
    <row r="25835" spans="1:2" x14ac:dyDescent="0.25">
      <c r="A25835" s="74">
        <v>30627</v>
      </c>
      <c r="B25835">
        <v>28.9</v>
      </c>
    </row>
    <row r="25836" spans="1:2" x14ac:dyDescent="0.25">
      <c r="A25836" s="74">
        <v>30628</v>
      </c>
      <c r="B25836">
        <v>18.899999999999999</v>
      </c>
    </row>
    <row r="25837" spans="1:2" x14ac:dyDescent="0.25">
      <c r="A25837" s="74">
        <v>30629</v>
      </c>
      <c r="B25837">
        <v>15.3</v>
      </c>
    </row>
    <row r="25838" spans="1:2" x14ac:dyDescent="0.25">
      <c r="A25838" s="74">
        <v>30630</v>
      </c>
      <c r="B25838">
        <v>22.6</v>
      </c>
    </row>
    <row r="25839" spans="1:2" x14ac:dyDescent="0.25">
      <c r="A25839" s="74">
        <v>30631</v>
      </c>
      <c r="B25839">
        <v>154</v>
      </c>
    </row>
    <row r="25840" spans="1:2" x14ac:dyDescent="0.25">
      <c r="A25840" s="74">
        <v>30632</v>
      </c>
      <c r="B25840">
        <v>91.4</v>
      </c>
    </row>
    <row r="25841" spans="1:2" x14ac:dyDescent="0.25">
      <c r="A25841" s="74">
        <v>30633</v>
      </c>
      <c r="B25841">
        <v>49.5</v>
      </c>
    </row>
    <row r="25842" spans="1:2" x14ac:dyDescent="0.25">
      <c r="A25842" s="74">
        <v>30634</v>
      </c>
      <c r="B25842">
        <v>45.8</v>
      </c>
    </row>
    <row r="25843" spans="1:2" x14ac:dyDescent="0.25">
      <c r="A25843" s="74">
        <v>30635</v>
      </c>
      <c r="B25843">
        <v>392</v>
      </c>
    </row>
    <row r="25844" spans="1:2" x14ac:dyDescent="0.25">
      <c r="A25844" s="74">
        <v>30636</v>
      </c>
      <c r="B25844">
        <v>227</v>
      </c>
    </row>
    <row r="25845" spans="1:2" x14ac:dyDescent="0.25">
      <c r="A25845" s="74">
        <v>30637</v>
      </c>
      <c r="B25845">
        <v>118</v>
      </c>
    </row>
    <row r="25846" spans="1:2" x14ac:dyDescent="0.25">
      <c r="A25846" s="74">
        <v>30638</v>
      </c>
      <c r="B25846">
        <v>88</v>
      </c>
    </row>
    <row r="25847" spans="1:2" x14ac:dyDescent="0.25">
      <c r="A25847" s="74">
        <v>30639</v>
      </c>
      <c r="B25847">
        <v>45.8</v>
      </c>
    </row>
    <row r="25848" spans="1:2" x14ac:dyDescent="0.25">
      <c r="A25848" s="74">
        <v>30640</v>
      </c>
      <c r="B25848">
        <v>48</v>
      </c>
    </row>
    <row r="25849" spans="1:2" x14ac:dyDescent="0.25">
      <c r="A25849" s="74">
        <v>30641</v>
      </c>
      <c r="B25849">
        <v>33.700000000000003</v>
      </c>
    </row>
    <row r="25850" spans="1:2" x14ac:dyDescent="0.25">
      <c r="A25850" s="74">
        <v>30642</v>
      </c>
      <c r="B25850">
        <v>24.7</v>
      </c>
    </row>
    <row r="25851" spans="1:2" x14ac:dyDescent="0.25">
      <c r="A25851" s="74">
        <v>30643</v>
      </c>
      <c r="B25851">
        <v>20.399999999999999</v>
      </c>
    </row>
    <row r="25852" spans="1:2" x14ac:dyDescent="0.25">
      <c r="A25852" s="74">
        <v>30644</v>
      </c>
      <c r="B25852">
        <v>24.7</v>
      </c>
    </row>
    <row r="25853" spans="1:2" x14ac:dyDescent="0.25">
      <c r="A25853" s="74">
        <v>30645</v>
      </c>
      <c r="B25853">
        <v>33.700000000000003</v>
      </c>
    </row>
    <row r="25854" spans="1:2" x14ac:dyDescent="0.25">
      <c r="A25854" s="74">
        <v>30646</v>
      </c>
      <c r="B25854">
        <v>25.7</v>
      </c>
    </row>
    <row r="25855" spans="1:2" x14ac:dyDescent="0.25">
      <c r="A25855" s="74">
        <v>30647</v>
      </c>
      <c r="B25855">
        <v>46.9</v>
      </c>
    </row>
    <row r="25856" spans="1:2" x14ac:dyDescent="0.25">
      <c r="A25856" s="74">
        <v>30648</v>
      </c>
      <c r="B25856">
        <v>30.1</v>
      </c>
    </row>
    <row r="25857" spans="1:2" x14ac:dyDescent="0.25">
      <c r="A25857" s="74">
        <v>30649</v>
      </c>
      <c r="B25857">
        <v>24.1</v>
      </c>
    </row>
    <row r="25858" spans="1:2" x14ac:dyDescent="0.25">
      <c r="A25858" s="74">
        <v>30650</v>
      </c>
      <c r="B25858">
        <v>18.7</v>
      </c>
    </row>
    <row r="25859" spans="1:2" x14ac:dyDescent="0.25">
      <c r="A25859" s="74">
        <v>30651</v>
      </c>
      <c r="B25859">
        <v>15.2</v>
      </c>
    </row>
    <row r="25860" spans="1:2" x14ac:dyDescent="0.25">
      <c r="A25860" s="74">
        <v>30652</v>
      </c>
      <c r="B25860">
        <v>12.6</v>
      </c>
    </row>
    <row r="25861" spans="1:2" x14ac:dyDescent="0.25">
      <c r="A25861" s="74">
        <v>30653</v>
      </c>
      <c r="B25861">
        <v>10.7</v>
      </c>
    </row>
    <row r="25862" spans="1:2" x14ac:dyDescent="0.25">
      <c r="A25862" s="74">
        <v>30654</v>
      </c>
      <c r="B25862">
        <v>9.07</v>
      </c>
    </row>
    <row r="25863" spans="1:2" x14ac:dyDescent="0.25">
      <c r="A25863" s="74">
        <v>30655</v>
      </c>
      <c r="B25863">
        <v>7.91</v>
      </c>
    </row>
    <row r="25864" spans="1:2" x14ac:dyDescent="0.25">
      <c r="A25864" s="74">
        <v>30656</v>
      </c>
      <c r="B25864">
        <v>7.11</v>
      </c>
    </row>
    <row r="25865" spans="1:2" x14ac:dyDescent="0.25">
      <c r="A25865" s="74">
        <v>30657</v>
      </c>
      <c r="B25865">
        <v>6.37</v>
      </c>
    </row>
    <row r="25866" spans="1:2" x14ac:dyDescent="0.25">
      <c r="A25866" s="74">
        <v>30658</v>
      </c>
      <c r="B25866">
        <v>7.6</v>
      </c>
    </row>
    <row r="25867" spans="1:2" x14ac:dyDescent="0.25">
      <c r="A25867" s="74">
        <v>30659</v>
      </c>
      <c r="B25867">
        <v>24.5</v>
      </c>
    </row>
    <row r="25868" spans="1:2" x14ac:dyDescent="0.25">
      <c r="A25868" s="74">
        <v>30660</v>
      </c>
      <c r="B25868">
        <v>19.600000000000001</v>
      </c>
    </row>
    <row r="25869" spans="1:2" x14ac:dyDescent="0.25">
      <c r="A25869" s="74">
        <v>30661</v>
      </c>
      <c r="B25869">
        <v>23.4</v>
      </c>
    </row>
    <row r="25870" spans="1:2" x14ac:dyDescent="0.25">
      <c r="A25870" s="74">
        <v>30662</v>
      </c>
      <c r="B25870">
        <v>20.6</v>
      </c>
    </row>
    <row r="25871" spans="1:2" x14ac:dyDescent="0.25">
      <c r="A25871" s="74">
        <v>30663</v>
      </c>
      <c r="B25871">
        <v>29.8</v>
      </c>
    </row>
    <row r="25872" spans="1:2" x14ac:dyDescent="0.25">
      <c r="A25872" s="74">
        <v>30664</v>
      </c>
      <c r="B25872">
        <v>27.6</v>
      </c>
    </row>
    <row r="25873" spans="1:3" x14ac:dyDescent="0.25">
      <c r="A25873" s="74">
        <v>30665</v>
      </c>
      <c r="B25873">
        <v>21</v>
      </c>
    </row>
    <row r="25874" spans="1:3" x14ac:dyDescent="0.25">
      <c r="A25874" s="74">
        <v>30666</v>
      </c>
      <c r="B25874">
        <v>16.5</v>
      </c>
    </row>
    <row r="25875" spans="1:3" x14ac:dyDescent="0.25">
      <c r="A25875" s="74">
        <v>30667</v>
      </c>
      <c r="B25875">
        <v>13.3</v>
      </c>
    </row>
    <row r="25876" spans="1:3" x14ac:dyDescent="0.25">
      <c r="A25876" s="74">
        <v>30668</v>
      </c>
      <c r="B25876">
        <v>10.9</v>
      </c>
    </row>
    <row r="25877" spans="1:3" x14ac:dyDescent="0.25">
      <c r="A25877" s="74">
        <v>30669</v>
      </c>
      <c r="B25877">
        <v>9.07</v>
      </c>
    </row>
    <row r="25878" spans="1:3" x14ac:dyDescent="0.25">
      <c r="A25878" s="74">
        <v>30670</v>
      </c>
      <c r="B25878">
        <v>7.48</v>
      </c>
    </row>
    <row r="25879" spans="1:3" x14ac:dyDescent="0.25">
      <c r="A25879" s="74">
        <v>30671</v>
      </c>
      <c r="B25879">
        <v>4.0999999999999996</v>
      </c>
      <c r="C25879" t="s">
        <v>142</v>
      </c>
    </row>
    <row r="25880" spans="1:3" x14ac:dyDescent="0.25">
      <c r="A25880" s="74">
        <v>30672</v>
      </c>
      <c r="B25880">
        <v>4.05</v>
      </c>
      <c r="C25880" t="s">
        <v>142</v>
      </c>
    </row>
    <row r="25881" spans="1:3" x14ac:dyDescent="0.25">
      <c r="A25881" s="74">
        <v>30673</v>
      </c>
      <c r="B25881">
        <v>4</v>
      </c>
      <c r="C25881" t="s">
        <v>142</v>
      </c>
    </row>
    <row r="25882" spans="1:3" x14ac:dyDescent="0.25">
      <c r="A25882" s="74">
        <v>30674</v>
      </c>
      <c r="B25882">
        <v>3.95</v>
      </c>
      <c r="C25882" t="s">
        <v>142</v>
      </c>
    </row>
    <row r="25883" spans="1:3" x14ac:dyDescent="0.25">
      <c r="A25883" s="74">
        <v>30675</v>
      </c>
      <c r="B25883">
        <v>3.95</v>
      </c>
      <c r="C25883" t="s">
        <v>142</v>
      </c>
    </row>
    <row r="25884" spans="1:3" x14ac:dyDescent="0.25">
      <c r="A25884" s="74">
        <v>30676</v>
      </c>
      <c r="B25884">
        <v>3.98</v>
      </c>
      <c r="C25884" t="s">
        <v>142</v>
      </c>
    </row>
    <row r="25885" spans="1:3" x14ac:dyDescent="0.25">
      <c r="A25885" s="74">
        <v>30677</v>
      </c>
      <c r="B25885">
        <v>3.99</v>
      </c>
      <c r="C25885" t="s">
        <v>142</v>
      </c>
    </row>
    <row r="25886" spans="1:3" x14ac:dyDescent="0.25">
      <c r="A25886" s="74">
        <v>30678</v>
      </c>
      <c r="B25886">
        <v>4</v>
      </c>
      <c r="C25886" t="s">
        <v>142</v>
      </c>
    </row>
    <row r="25887" spans="1:3" x14ac:dyDescent="0.25">
      <c r="A25887" s="74">
        <v>30679</v>
      </c>
      <c r="B25887">
        <v>5.2</v>
      </c>
      <c r="C25887" t="s">
        <v>142</v>
      </c>
    </row>
    <row r="25888" spans="1:3" x14ac:dyDescent="0.25">
      <c r="A25888" s="74">
        <v>30680</v>
      </c>
      <c r="B25888">
        <v>8.6999999999999993</v>
      </c>
      <c r="C25888" t="s">
        <v>142</v>
      </c>
    </row>
    <row r="25889" spans="1:3" x14ac:dyDescent="0.25">
      <c r="A25889" s="74">
        <v>30681</v>
      </c>
      <c r="B25889">
        <v>9.9</v>
      </c>
      <c r="C25889" t="s">
        <v>142</v>
      </c>
    </row>
    <row r="25890" spans="1:3" x14ac:dyDescent="0.25">
      <c r="A25890" s="74">
        <v>30682</v>
      </c>
      <c r="B25890">
        <v>13.7</v>
      </c>
    </row>
    <row r="25891" spans="1:3" x14ac:dyDescent="0.25">
      <c r="A25891" s="74">
        <v>30683</v>
      </c>
      <c r="B25891">
        <v>45.5</v>
      </c>
    </row>
    <row r="25892" spans="1:3" x14ac:dyDescent="0.25">
      <c r="A25892" s="74">
        <v>30684</v>
      </c>
      <c r="B25892">
        <v>71.3</v>
      </c>
    </row>
    <row r="25893" spans="1:3" x14ac:dyDescent="0.25">
      <c r="A25893" s="74">
        <v>30685</v>
      </c>
      <c r="B25893">
        <v>269</v>
      </c>
    </row>
    <row r="25894" spans="1:3" x14ac:dyDescent="0.25">
      <c r="A25894" s="74">
        <v>30686</v>
      </c>
      <c r="B25894">
        <v>93.2</v>
      </c>
    </row>
    <row r="25895" spans="1:3" x14ac:dyDescent="0.25">
      <c r="A25895" s="74">
        <v>30687</v>
      </c>
      <c r="B25895">
        <v>43.6</v>
      </c>
    </row>
    <row r="25896" spans="1:3" x14ac:dyDescent="0.25">
      <c r="A25896" s="74">
        <v>30688</v>
      </c>
      <c r="B25896">
        <v>28.9</v>
      </c>
    </row>
    <row r="25897" spans="1:3" x14ac:dyDescent="0.25">
      <c r="A25897" s="74">
        <v>30689</v>
      </c>
      <c r="B25897">
        <v>37.700000000000003</v>
      </c>
    </row>
    <row r="25898" spans="1:3" x14ac:dyDescent="0.25">
      <c r="A25898" s="74">
        <v>30690</v>
      </c>
      <c r="B25898">
        <v>28</v>
      </c>
    </row>
    <row r="25899" spans="1:3" x14ac:dyDescent="0.25">
      <c r="A25899" s="74">
        <v>30691</v>
      </c>
      <c r="B25899">
        <v>36.5</v>
      </c>
    </row>
    <row r="25900" spans="1:3" x14ac:dyDescent="0.25">
      <c r="A25900" s="74">
        <v>30692</v>
      </c>
      <c r="B25900">
        <v>28.9</v>
      </c>
    </row>
    <row r="25901" spans="1:3" x14ac:dyDescent="0.25">
      <c r="A25901" s="74">
        <v>30693</v>
      </c>
      <c r="B25901">
        <v>21.8</v>
      </c>
    </row>
    <row r="25902" spans="1:3" x14ac:dyDescent="0.25">
      <c r="A25902" s="74">
        <v>30694</v>
      </c>
      <c r="B25902">
        <v>17.3</v>
      </c>
    </row>
    <row r="25903" spans="1:3" x14ac:dyDescent="0.25">
      <c r="A25903" s="74">
        <v>30695</v>
      </c>
      <c r="B25903">
        <v>13.9</v>
      </c>
    </row>
    <row r="25904" spans="1:3" x14ac:dyDescent="0.25">
      <c r="A25904" s="74">
        <v>30696</v>
      </c>
      <c r="B25904">
        <v>10.7</v>
      </c>
    </row>
    <row r="25905" spans="1:2" x14ac:dyDescent="0.25">
      <c r="A25905" s="74">
        <v>30697</v>
      </c>
      <c r="B25905">
        <v>8.8800000000000008</v>
      </c>
    </row>
    <row r="25906" spans="1:2" x14ac:dyDescent="0.25">
      <c r="A25906" s="74">
        <v>30698</v>
      </c>
      <c r="B25906">
        <v>7.23</v>
      </c>
    </row>
    <row r="25907" spans="1:2" x14ac:dyDescent="0.25">
      <c r="A25907" s="74">
        <v>30699</v>
      </c>
      <c r="B25907">
        <v>5.77</v>
      </c>
    </row>
    <row r="25908" spans="1:2" x14ac:dyDescent="0.25">
      <c r="A25908" s="74">
        <v>30700</v>
      </c>
      <c r="B25908">
        <v>5.88</v>
      </c>
    </row>
    <row r="25909" spans="1:2" x14ac:dyDescent="0.25">
      <c r="A25909" s="74">
        <v>30701</v>
      </c>
      <c r="B25909">
        <v>5</v>
      </c>
    </row>
    <row r="25910" spans="1:2" x14ac:dyDescent="0.25">
      <c r="A25910" s="74">
        <v>30702</v>
      </c>
      <c r="B25910">
        <v>5.08</v>
      </c>
    </row>
    <row r="25911" spans="1:2" x14ac:dyDescent="0.25">
      <c r="A25911" s="74">
        <v>30703</v>
      </c>
      <c r="B25911">
        <v>18.3</v>
      </c>
    </row>
    <row r="25912" spans="1:2" x14ac:dyDescent="0.25">
      <c r="A25912" s="74">
        <v>30704</v>
      </c>
      <c r="B25912">
        <v>13.5</v>
      </c>
    </row>
    <row r="25913" spans="1:2" x14ac:dyDescent="0.25">
      <c r="A25913" s="74">
        <v>30705</v>
      </c>
      <c r="B25913">
        <v>14.8</v>
      </c>
    </row>
    <row r="25914" spans="1:2" x14ac:dyDescent="0.25">
      <c r="A25914" s="74">
        <v>30706</v>
      </c>
      <c r="B25914">
        <v>34.9</v>
      </c>
    </row>
    <row r="25915" spans="1:2" x14ac:dyDescent="0.25">
      <c r="A25915" s="74">
        <v>30707</v>
      </c>
      <c r="B25915">
        <v>23.9</v>
      </c>
    </row>
    <row r="25916" spans="1:2" x14ac:dyDescent="0.25">
      <c r="A25916" s="74">
        <v>30708</v>
      </c>
      <c r="B25916">
        <v>19.600000000000001</v>
      </c>
    </row>
    <row r="25917" spans="1:2" x14ac:dyDescent="0.25">
      <c r="A25917" s="74">
        <v>30709</v>
      </c>
      <c r="B25917">
        <v>20.6</v>
      </c>
    </row>
    <row r="25918" spans="1:2" x14ac:dyDescent="0.25">
      <c r="A25918" s="74">
        <v>30710</v>
      </c>
      <c r="B25918">
        <v>21</v>
      </c>
    </row>
    <row r="25919" spans="1:2" x14ac:dyDescent="0.25">
      <c r="A25919" s="74">
        <v>30711</v>
      </c>
      <c r="B25919">
        <v>15.7</v>
      </c>
    </row>
    <row r="25920" spans="1:2" x14ac:dyDescent="0.25">
      <c r="A25920" s="74">
        <v>30712</v>
      </c>
      <c r="B25920">
        <v>12.4</v>
      </c>
    </row>
    <row r="25921" spans="1:2" x14ac:dyDescent="0.25">
      <c r="A25921" s="74">
        <v>30713</v>
      </c>
      <c r="B25921">
        <v>14.3</v>
      </c>
    </row>
    <row r="25922" spans="1:2" x14ac:dyDescent="0.25">
      <c r="A25922" s="74">
        <v>30714</v>
      </c>
      <c r="B25922">
        <v>8.39</v>
      </c>
    </row>
    <row r="25923" spans="1:2" x14ac:dyDescent="0.25">
      <c r="A25923" s="74">
        <v>30715</v>
      </c>
      <c r="B25923">
        <v>7.35</v>
      </c>
    </row>
    <row r="25924" spans="1:2" x14ac:dyDescent="0.25">
      <c r="A25924" s="74">
        <v>30716</v>
      </c>
      <c r="B25924">
        <v>6.62</v>
      </c>
    </row>
    <row r="25925" spans="1:2" x14ac:dyDescent="0.25">
      <c r="A25925" s="74">
        <v>30717</v>
      </c>
      <c r="B25925">
        <v>6.12</v>
      </c>
    </row>
    <row r="25926" spans="1:2" x14ac:dyDescent="0.25">
      <c r="A25926" s="74">
        <v>30718</v>
      </c>
      <c r="B25926">
        <v>5.88</v>
      </c>
    </row>
    <row r="25927" spans="1:2" x14ac:dyDescent="0.25">
      <c r="A25927" s="74">
        <v>30719</v>
      </c>
      <c r="B25927">
        <v>5.88</v>
      </c>
    </row>
    <row r="25928" spans="1:2" x14ac:dyDescent="0.25">
      <c r="A25928" s="74">
        <v>30720</v>
      </c>
      <c r="B25928">
        <v>14.4</v>
      </c>
    </row>
    <row r="25929" spans="1:2" x14ac:dyDescent="0.25">
      <c r="A25929" s="74">
        <v>30721</v>
      </c>
      <c r="B25929">
        <v>28.2</v>
      </c>
    </row>
    <row r="25930" spans="1:2" x14ac:dyDescent="0.25">
      <c r="A25930" s="74">
        <v>30722</v>
      </c>
      <c r="B25930">
        <v>36.299999999999997</v>
      </c>
    </row>
    <row r="25931" spans="1:2" x14ac:dyDescent="0.25">
      <c r="A25931" s="74">
        <v>30723</v>
      </c>
      <c r="B25931">
        <v>27.2</v>
      </c>
    </row>
    <row r="25932" spans="1:2" x14ac:dyDescent="0.25">
      <c r="A25932" s="74">
        <v>30724</v>
      </c>
      <c r="B25932">
        <v>48.8</v>
      </c>
    </row>
    <row r="25933" spans="1:2" x14ac:dyDescent="0.25">
      <c r="A25933" s="74">
        <v>30725</v>
      </c>
      <c r="B25933">
        <v>44.3</v>
      </c>
    </row>
    <row r="25934" spans="1:2" x14ac:dyDescent="0.25">
      <c r="A25934" s="74">
        <v>30726</v>
      </c>
      <c r="B25934">
        <v>27.8</v>
      </c>
    </row>
    <row r="25935" spans="1:2" x14ac:dyDescent="0.25">
      <c r="A25935" s="74">
        <v>30727</v>
      </c>
      <c r="B25935">
        <v>22.8</v>
      </c>
    </row>
    <row r="25936" spans="1:2" x14ac:dyDescent="0.25">
      <c r="A25936" s="74">
        <v>30728</v>
      </c>
      <c r="B25936">
        <v>19.100000000000001</v>
      </c>
    </row>
    <row r="25937" spans="1:2" x14ac:dyDescent="0.25">
      <c r="A25937" s="74">
        <v>30729</v>
      </c>
      <c r="B25937">
        <v>15.2</v>
      </c>
    </row>
    <row r="25938" spans="1:2" x14ac:dyDescent="0.25">
      <c r="A25938" s="74">
        <v>30730</v>
      </c>
      <c r="B25938">
        <v>13.1</v>
      </c>
    </row>
    <row r="25939" spans="1:2" x14ac:dyDescent="0.25">
      <c r="A25939" s="74">
        <v>30731</v>
      </c>
      <c r="B25939">
        <v>12</v>
      </c>
    </row>
    <row r="25940" spans="1:2" x14ac:dyDescent="0.25">
      <c r="A25940" s="74">
        <v>30732</v>
      </c>
      <c r="B25940">
        <v>137</v>
      </c>
    </row>
    <row r="25941" spans="1:2" x14ac:dyDescent="0.25">
      <c r="A25941" s="74">
        <v>30733</v>
      </c>
      <c r="B25941">
        <v>46.2</v>
      </c>
    </row>
    <row r="25942" spans="1:2" x14ac:dyDescent="0.25">
      <c r="A25942" s="74">
        <v>30734</v>
      </c>
      <c r="B25942">
        <v>27</v>
      </c>
    </row>
    <row r="25943" spans="1:2" x14ac:dyDescent="0.25">
      <c r="A25943" s="74">
        <v>30735</v>
      </c>
      <c r="B25943">
        <v>21.4</v>
      </c>
    </row>
    <row r="25944" spans="1:2" x14ac:dyDescent="0.25">
      <c r="A25944" s="74">
        <v>30736</v>
      </c>
      <c r="B25944">
        <v>18.3</v>
      </c>
    </row>
    <row r="25945" spans="1:2" x14ac:dyDescent="0.25">
      <c r="A25945" s="74">
        <v>30737</v>
      </c>
      <c r="B25945">
        <v>16.7</v>
      </c>
    </row>
    <row r="25946" spans="1:2" x14ac:dyDescent="0.25">
      <c r="A25946" s="74">
        <v>30738</v>
      </c>
      <c r="B25946">
        <v>13.9</v>
      </c>
    </row>
    <row r="25947" spans="1:2" x14ac:dyDescent="0.25">
      <c r="A25947" s="74">
        <v>30739</v>
      </c>
      <c r="B25947">
        <v>15</v>
      </c>
    </row>
    <row r="25948" spans="1:2" x14ac:dyDescent="0.25">
      <c r="A25948" s="74">
        <v>30740</v>
      </c>
      <c r="B25948">
        <v>20.6</v>
      </c>
    </row>
    <row r="25949" spans="1:2" x14ac:dyDescent="0.25">
      <c r="A25949" s="74">
        <v>30741</v>
      </c>
      <c r="B25949">
        <v>24.3</v>
      </c>
    </row>
    <row r="25950" spans="1:2" x14ac:dyDescent="0.25">
      <c r="A25950" s="74">
        <v>30742</v>
      </c>
      <c r="B25950">
        <v>24.1</v>
      </c>
    </row>
    <row r="25951" spans="1:2" x14ac:dyDescent="0.25">
      <c r="A25951" s="74">
        <v>30743</v>
      </c>
      <c r="B25951">
        <v>20</v>
      </c>
    </row>
    <row r="25952" spans="1:2" x14ac:dyDescent="0.25">
      <c r="A25952" s="74">
        <v>30744</v>
      </c>
      <c r="B25952">
        <v>15.5</v>
      </c>
    </row>
    <row r="25953" spans="1:2" x14ac:dyDescent="0.25">
      <c r="A25953" s="74">
        <v>30745</v>
      </c>
      <c r="B25953">
        <v>12.8</v>
      </c>
    </row>
    <row r="25954" spans="1:2" x14ac:dyDescent="0.25">
      <c r="A25954" s="74">
        <v>30746</v>
      </c>
      <c r="B25954">
        <v>10.7</v>
      </c>
    </row>
    <row r="25955" spans="1:2" x14ac:dyDescent="0.25">
      <c r="A25955" s="74">
        <v>30747</v>
      </c>
      <c r="B25955">
        <v>9.81</v>
      </c>
    </row>
    <row r="25956" spans="1:2" x14ac:dyDescent="0.25">
      <c r="A25956" s="74">
        <v>30748</v>
      </c>
      <c r="B25956">
        <v>10.4</v>
      </c>
    </row>
    <row r="25957" spans="1:2" x14ac:dyDescent="0.25">
      <c r="A25957" s="74">
        <v>30749</v>
      </c>
      <c r="B25957">
        <v>10.7</v>
      </c>
    </row>
    <row r="25958" spans="1:2" x14ac:dyDescent="0.25">
      <c r="A25958" s="74">
        <v>30750</v>
      </c>
      <c r="B25958">
        <v>11.7</v>
      </c>
    </row>
    <row r="25959" spans="1:2" x14ac:dyDescent="0.25">
      <c r="A25959" s="74">
        <v>30751</v>
      </c>
      <c r="B25959">
        <v>13.5</v>
      </c>
    </row>
    <row r="25960" spans="1:2" x14ac:dyDescent="0.25">
      <c r="A25960" s="74">
        <v>30752</v>
      </c>
      <c r="B25960">
        <v>14.1</v>
      </c>
    </row>
    <row r="25961" spans="1:2" x14ac:dyDescent="0.25">
      <c r="A25961" s="74">
        <v>30753</v>
      </c>
      <c r="B25961">
        <v>13.1</v>
      </c>
    </row>
    <row r="25962" spans="1:2" x14ac:dyDescent="0.25">
      <c r="A25962" s="74">
        <v>30754</v>
      </c>
      <c r="B25962">
        <v>12.8</v>
      </c>
    </row>
    <row r="25963" spans="1:2" x14ac:dyDescent="0.25">
      <c r="A25963" s="74">
        <v>30755</v>
      </c>
      <c r="B25963">
        <v>12.4</v>
      </c>
    </row>
    <row r="25964" spans="1:2" x14ac:dyDescent="0.25">
      <c r="A25964" s="74">
        <v>30756</v>
      </c>
      <c r="B25964">
        <v>11.1</v>
      </c>
    </row>
    <row r="25965" spans="1:2" x14ac:dyDescent="0.25">
      <c r="A25965" s="74">
        <v>30757</v>
      </c>
      <c r="B25965">
        <v>10.4</v>
      </c>
    </row>
    <row r="25966" spans="1:2" x14ac:dyDescent="0.25">
      <c r="A25966" s="74">
        <v>30758</v>
      </c>
      <c r="B25966">
        <v>14.2</v>
      </c>
    </row>
    <row r="25967" spans="1:2" x14ac:dyDescent="0.25">
      <c r="A25967" s="74">
        <v>30759</v>
      </c>
      <c r="B25967">
        <v>18.100000000000001</v>
      </c>
    </row>
    <row r="25968" spans="1:2" x14ac:dyDescent="0.25">
      <c r="A25968" s="74">
        <v>30760</v>
      </c>
      <c r="B25968">
        <v>20.8</v>
      </c>
    </row>
    <row r="25969" spans="1:3" x14ac:dyDescent="0.25">
      <c r="A25969" s="74">
        <v>30761</v>
      </c>
      <c r="B25969">
        <v>28</v>
      </c>
    </row>
    <row r="25970" spans="1:3" x14ac:dyDescent="0.25">
      <c r="A25970" s="74">
        <v>30762</v>
      </c>
      <c r="B25970">
        <v>51.8</v>
      </c>
    </row>
    <row r="25971" spans="1:3" x14ac:dyDescent="0.25">
      <c r="A25971" s="74">
        <v>30763</v>
      </c>
      <c r="B25971">
        <v>29.5</v>
      </c>
    </row>
    <row r="25972" spans="1:3" x14ac:dyDescent="0.25">
      <c r="A25972" s="74">
        <v>30764</v>
      </c>
      <c r="B25972">
        <v>27.6</v>
      </c>
    </row>
    <row r="25973" spans="1:3" x14ac:dyDescent="0.25">
      <c r="A25973" s="74">
        <v>30765</v>
      </c>
      <c r="B25973">
        <v>22.4</v>
      </c>
    </row>
    <row r="25974" spans="1:3" x14ac:dyDescent="0.25">
      <c r="A25974" s="74">
        <v>30766</v>
      </c>
      <c r="B25974">
        <v>18.8</v>
      </c>
      <c r="C25974" t="s">
        <v>141</v>
      </c>
    </row>
    <row r="25975" spans="1:3" x14ac:dyDescent="0.25">
      <c r="A25975" s="74">
        <v>30767</v>
      </c>
      <c r="B25975">
        <v>15.4</v>
      </c>
      <c r="C25975" t="s">
        <v>141</v>
      </c>
    </row>
    <row r="25976" spans="1:3" x14ac:dyDescent="0.25">
      <c r="A25976" s="74">
        <v>30768</v>
      </c>
      <c r="B25976">
        <v>13.1</v>
      </c>
    </row>
    <row r="25977" spans="1:3" x14ac:dyDescent="0.25">
      <c r="A25977" s="74">
        <v>30769</v>
      </c>
      <c r="B25977">
        <v>11.7</v>
      </c>
    </row>
    <row r="25978" spans="1:3" x14ac:dyDescent="0.25">
      <c r="A25978" s="74">
        <v>30770</v>
      </c>
      <c r="B25978">
        <v>9.44</v>
      </c>
    </row>
    <row r="25979" spans="1:3" x14ac:dyDescent="0.25">
      <c r="A25979" s="74">
        <v>30771</v>
      </c>
      <c r="B25979">
        <v>8.07</v>
      </c>
    </row>
    <row r="25980" spans="1:3" x14ac:dyDescent="0.25">
      <c r="A25980" s="74">
        <v>30772</v>
      </c>
      <c r="B25980">
        <v>7.11</v>
      </c>
    </row>
    <row r="25981" spans="1:3" x14ac:dyDescent="0.25">
      <c r="A25981" s="74">
        <v>30773</v>
      </c>
      <c r="B25981">
        <v>6.49</v>
      </c>
    </row>
    <row r="25982" spans="1:3" x14ac:dyDescent="0.25">
      <c r="A25982" s="74">
        <v>30774</v>
      </c>
      <c r="B25982">
        <v>6.12</v>
      </c>
    </row>
    <row r="25983" spans="1:3" x14ac:dyDescent="0.25">
      <c r="A25983" s="74">
        <v>30775</v>
      </c>
      <c r="B25983">
        <v>5.65</v>
      </c>
    </row>
    <row r="25984" spans="1:3" x14ac:dyDescent="0.25">
      <c r="A25984" s="74">
        <v>30776</v>
      </c>
      <c r="B25984">
        <v>6.37</v>
      </c>
    </row>
    <row r="25985" spans="1:2" x14ac:dyDescent="0.25">
      <c r="A25985" s="74">
        <v>30777</v>
      </c>
      <c r="B25985">
        <v>5.53</v>
      </c>
    </row>
    <row r="25986" spans="1:2" x14ac:dyDescent="0.25">
      <c r="A25986" s="74">
        <v>30778</v>
      </c>
      <c r="B25986">
        <v>5.3</v>
      </c>
    </row>
    <row r="25987" spans="1:2" x14ac:dyDescent="0.25">
      <c r="A25987" s="74">
        <v>30779</v>
      </c>
      <c r="B25987">
        <v>5.23</v>
      </c>
    </row>
    <row r="25988" spans="1:2" x14ac:dyDescent="0.25">
      <c r="A25988" s="74">
        <v>30780</v>
      </c>
      <c r="B25988">
        <v>6.74</v>
      </c>
    </row>
    <row r="25989" spans="1:2" x14ac:dyDescent="0.25">
      <c r="A25989" s="74">
        <v>30781</v>
      </c>
      <c r="B25989">
        <v>6.12</v>
      </c>
    </row>
    <row r="25990" spans="1:2" x14ac:dyDescent="0.25">
      <c r="A25990" s="74">
        <v>30782</v>
      </c>
      <c r="B25990">
        <v>10.7</v>
      </c>
    </row>
    <row r="25991" spans="1:2" x14ac:dyDescent="0.25">
      <c r="A25991" s="74">
        <v>30783</v>
      </c>
      <c r="B25991">
        <v>12.4</v>
      </c>
    </row>
    <row r="25992" spans="1:2" x14ac:dyDescent="0.25">
      <c r="A25992" s="74">
        <v>30784</v>
      </c>
      <c r="B25992">
        <v>20.2</v>
      </c>
    </row>
    <row r="25993" spans="1:2" x14ac:dyDescent="0.25">
      <c r="A25993" s="74">
        <v>30785</v>
      </c>
      <c r="B25993">
        <v>21.2</v>
      </c>
    </row>
    <row r="25994" spans="1:2" x14ac:dyDescent="0.25">
      <c r="A25994" s="74">
        <v>30786</v>
      </c>
      <c r="B25994">
        <v>24.5</v>
      </c>
    </row>
    <row r="25995" spans="1:2" x14ac:dyDescent="0.25">
      <c r="A25995" s="74">
        <v>30787</v>
      </c>
      <c r="B25995">
        <v>24.3</v>
      </c>
    </row>
    <row r="25996" spans="1:2" x14ac:dyDescent="0.25">
      <c r="A25996" s="74">
        <v>30788</v>
      </c>
      <c r="B25996">
        <v>24.5</v>
      </c>
    </row>
    <row r="25997" spans="1:2" x14ac:dyDescent="0.25">
      <c r="A25997" s="74">
        <v>30789</v>
      </c>
      <c r="B25997">
        <v>17.5</v>
      </c>
    </row>
    <row r="25998" spans="1:2" x14ac:dyDescent="0.25">
      <c r="A25998" s="74">
        <v>30790</v>
      </c>
      <c r="B25998">
        <v>13.5</v>
      </c>
    </row>
    <row r="25999" spans="1:2" x14ac:dyDescent="0.25">
      <c r="A25999" s="74">
        <v>30791</v>
      </c>
      <c r="B25999">
        <v>11.8</v>
      </c>
    </row>
    <row r="26000" spans="1:2" x14ac:dyDescent="0.25">
      <c r="A26000" s="74">
        <v>30792</v>
      </c>
      <c r="B26000">
        <v>9.81</v>
      </c>
    </row>
    <row r="26001" spans="1:2" x14ac:dyDescent="0.25">
      <c r="A26001" s="74">
        <v>30793</v>
      </c>
      <c r="B26001">
        <v>8.5399999999999991</v>
      </c>
    </row>
    <row r="26002" spans="1:2" x14ac:dyDescent="0.25">
      <c r="A26002" s="74">
        <v>30794</v>
      </c>
      <c r="B26002">
        <v>9.81</v>
      </c>
    </row>
    <row r="26003" spans="1:2" x14ac:dyDescent="0.25">
      <c r="A26003" s="74">
        <v>30795</v>
      </c>
      <c r="B26003">
        <v>10.7</v>
      </c>
    </row>
    <row r="26004" spans="1:2" x14ac:dyDescent="0.25">
      <c r="A26004" s="74">
        <v>30796</v>
      </c>
      <c r="B26004">
        <v>8.23</v>
      </c>
    </row>
    <row r="26005" spans="1:2" x14ac:dyDescent="0.25">
      <c r="A26005" s="74">
        <v>30797</v>
      </c>
      <c r="B26005">
        <v>6.98</v>
      </c>
    </row>
    <row r="26006" spans="1:2" x14ac:dyDescent="0.25">
      <c r="A26006" s="74">
        <v>30798</v>
      </c>
      <c r="B26006">
        <v>6.12</v>
      </c>
    </row>
    <row r="26007" spans="1:2" x14ac:dyDescent="0.25">
      <c r="A26007" s="74">
        <v>30799</v>
      </c>
      <c r="B26007">
        <v>5.53</v>
      </c>
    </row>
    <row r="26008" spans="1:2" x14ac:dyDescent="0.25">
      <c r="A26008" s="74">
        <v>30800</v>
      </c>
      <c r="B26008">
        <v>5.23</v>
      </c>
    </row>
    <row r="26009" spans="1:2" x14ac:dyDescent="0.25">
      <c r="A26009" s="74">
        <v>30801</v>
      </c>
      <c r="B26009">
        <v>5.23</v>
      </c>
    </row>
    <row r="26010" spans="1:2" x14ac:dyDescent="0.25">
      <c r="A26010" s="74">
        <v>30802</v>
      </c>
      <c r="B26010">
        <v>5.3</v>
      </c>
    </row>
    <row r="26011" spans="1:2" x14ac:dyDescent="0.25">
      <c r="A26011" s="74">
        <v>30803</v>
      </c>
      <c r="B26011">
        <v>6.62</v>
      </c>
    </row>
    <row r="26012" spans="1:2" x14ac:dyDescent="0.25">
      <c r="A26012" s="74">
        <v>30804</v>
      </c>
      <c r="B26012">
        <v>9.99</v>
      </c>
    </row>
    <row r="26013" spans="1:2" x14ac:dyDescent="0.25">
      <c r="A26013" s="74">
        <v>30805</v>
      </c>
      <c r="B26013">
        <v>7.91</v>
      </c>
    </row>
    <row r="26014" spans="1:2" x14ac:dyDescent="0.25">
      <c r="A26014" s="74">
        <v>30806</v>
      </c>
      <c r="B26014">
        <v>6.74</v>
      </c>
    </row>
    <row r="26015" spans="1:2" x14ac:dyDescent="0.25">
      <c r="A26015" s="74">
        <v>30807</v>
      </c>
      <c r="B26015">
        <v>5.88</v>
      </c>
    </row>
    <row r="26016" spans="1:2" x14ac:dyDescent="0.25">
      <c r="A26016" s="74">
        <v>30808</v>
      </c>
      <c r="B26016">
        <v>5.53</v>
      </c>
    </row>
    <row r="26017" spans="1:2" x14ac:dyDescent="0.25">
      <c r="A26017" s="74">
        <v>30809</v>
      </c>
      <c r="B26017">
        <v>5.15</v>
      </c>
    </row>
    <row r="26018" spans="1:2" x14ac:dyDescent="0.25">
      <c r="A26018" s="74">
        <v>30810</v>
      </c>
      <c r="B26018">
        <v>6.49</v>
      </c>
    </row>
    <row r="26019" spans="1:2" x14ac:dyDescent="0.25">
      <c r="A26019" s="74">
        <v>30811</v>
      </c>
      <c r="B26019">
        <v>8.6999999999999993</v>
      </c>
    </row>
    <row r="26020" spans="1:2" x14ac:dyDescent="0.25">
      <c r="A26020" s="74">
        <v>30812</v>
      </c>
      <c r="B26020">
        <v>8.23</v>
      </c>
    </row>
    <row r="26021" spans="1:2" x14ac:dyDescent="0.25">
      <c r="A26021" s="74">
        <v>30813</v>
      </c>
      <c r="B26021">
        <v>9.25</v>
      </c>
    </row>
    <row r="26022" spans="1:2" x14ac:dyDescent="0.25">
      <c r="A26022" s="74">
        <v>30814</v>
      </c>
      <c r="B26022">
        <v>17.7</v>
      </c>
    </row>
    <row r="26023" spans="1:2" x14ac:dyDescent="0.25">
      <c r="A26023" s="74">
        <v>30815</v>
      </c>
      <c r="B26023">
        <v>13.7</v>
      </c>
    </row>
    <row r="26024" spans="1:2" x14ac:dyDescent="0.25">
      <c r="A26024" s="74">
        <v>30816</v>
      </c>
      <c r="B26024">
        <v>13.9</v>
      </c>
    </row>
    <row r="26025" spans="1:2" x14ac:dyDescent="0.25">
      <c r="A26025" s="74">
        <v>30817</v>
      </c>
      <c r="B26025">
        <v>13.7</v>
      </c>
    </row>
    <row r="26026" spans="1:2" x14ac:dyDescent="0.25">
      <c r="A26026" s="74">
        <v>30818</v>
      </c>
      <c r="B26026">
        <v>11.5</v>
      </c>
    </row>
    <row r="26027" spans="1:2" x14ac:dyDescent="0.25">
      <c r="A26027" s="74">
        <v>30819</v>
      </c>
      <c r="B26027">
        <v>9.99</v>
      </c>
    </row>
    <row r="26028" spans="1:2" x14ac:dyDescent="0.25">
      <c r="A26028" s="74">
        <v>30820</v>
      </c>
      <c r="B26028">
        <v>8.8800000000000008</v>
      </c>
    </row>
    <row r="26029" spans="1:2" x14ac:dyDescent="0.25">
      <c r="A26029" s="74">
        <v>30821</v>
      </c>
      <c r="B26029">
        <v>13.9</v>
      </c>
    </row>
    <row r="26030" spans="1:2" x14ac:dyDescent="0.25">
      <c r="A26030" s="74">
        <v>30822</v>
      </c>
      <c r="B26030">
        <v>30.9</v>
      </c>
    </row>
    <row r="26031" spans="1:2" x14ac:dyDescent="0.25">
      <c r="A26031" s="74">
        <v>30823</v>
      </c>
      <c r="B26031">
        <v>20</v>
      </c>
    </row>
    <row r="26032" spans="1:2" x14ac:dyDescent="0.25">
      <c r="A26032" s="74">
        <v>30824</v>
      </c>
      <c r="B26032">
        <v>14.8</v>
      </c>
    </row>
    <row r="26033" spans="1:2" x14ac:dyDescent="0.25">
      <c r="A26033" s="74">
        <v>30825</v>
      </c>
      <c r="B26033">
        <v>18.899999999999999</v>
      </c>
    </row>
    <row r="26034" spans="1:2" x14ac:dyDescent="0.25">
      <c r="A26034" s="74">
        <v>30826</v>
      </c>
      <c r="B26034">
        <v>16.5</v>
      </c>
    </row>
    <row r="26035" spans="1:2" x14ac:dyDescent="0.25">
      <c r="A26035" s="74">
        <v>30827</v>
      </c>
      <c r="B26035">
        <v>14.2</v>
      </c>
    </row>
    <row r="26036" spans="1:2" x14ac:dyDescent="0.25">
      <c r="A26036" s="74">
        <v>30828</v>
      </c>
      <c r="B26036">
        <v>30.9</v>
      </c>
    </row>
    <row r="26037" spans="1:2" x14ac:dyDescent="0.25">
      <c r="A26037" s="74">
        <v>30829</v>
      </c>
      <c r="B26037">
        <v>25.5</v>
      </c>
    </row>
    <row r="26038" spans="1:2" x14ac:dyDescent="0.25">
      <c r="A26038" s="74">
        <v>30830</v>
      </c>
      <c r="B26038">
        <v>20.2</v>
      </c>
    </row>
    <row r="26039" spans="1:2" x14ac:dyDescent="0.25">
      <c r="A26039" s="74">
        <v>30831</v>
      </c>
      <c r="B26039">
        <v>19.600000000000001</v>
      </c>
    </row>
    <row r="26040" spans="1:2" x14ac:dyDescent="0.25">
      <c r="A26040" s="74">
        <v>30832</v>
      </c>
      <c r="B26040">
        <v>18.899999999999999</v>
      </c>
    </row>
    <row r="26041" spans="1:2" x14ac:dyDescent="0.25">
      <c r="A26041" s="74">
        <v>30833</v>
      </c>
      <c r="B26041">
        <v>13.1</v>
      </c>
    </row>
    <row r="26042" spans="1:2" x14ac:dyDescent="0.25">
      <c r="A26042" s="74">
        <v>30834</v>
      </c>
      <c r="B26042">
        <v>10.199999999999999</v>
      </c>
    </row>
    <row r="26043" spans="1:2" x14ac:dyDescent="0.25">
      <c r="A26043" s="74">
        <v>30835</v>
      </c>
      <c r="B26043">
        <v>8.23</v>
      </c>
    </row>
    <row r="26044" spans="1:2" x14ac:dyDescent="0.25">
      <c r="A26044" s="74">
        <v>30836</v>
      </c>
      <c r="B26044">
        <v>7.6</v>
      </c>
    </row>
    <row r="26045" spans="1:2" x14ac:dyDescent="0.25">
      <c r="A26045" s="74">
        <v>30837</v>
      </c>
      <c r="B26045">
        <v>8.8800000000000008</v>
      </c>
    </row>
    <row r="26046" spans="1:2" x14ac:dyDescent="0.25">
      <c r="A26046" s="74">
        <v>30838</v>
      </c>
      <c r="B26046">
        <v>8.07</v>
      </c>
    </row>
    <row r="26047" spans="1:2" x14ac:dyDescent="0.25">
      <c r="A26047" s="74">
        <v>30839</v>
      </c>
      <c r="B26047">
        <v>8.39</v>
      </c>
    </row>
    <row r="26048" spans="1:2" x14ac:dyDescent="0.25">
      <c r="A26048" s="74">
        <v>30840</v>
      </c>
      <c r="B26048">
        <v>7.91</v>
      </c>
    </row>
    <row r="26049" spans="1:2" x14ac:dyDescent="0.25">
      <c r="A26049" s="74">
        <v>30841</v>
      </c>
      <c r="B26049">
        <v>8.5399999999999991</v>
      </c>
    </row>
    <row r="26050" spans="1:2" x14ac:dyDescent="0.25">
      <c r="A26050" s="74">
        <v>30842</v>
      </c>
      <c r="B26050">
        <v>7.35</v>
      </c>
    </row>
    <row r="26051" spans="1:2" x14ac:dyDescent="0.25">
      <c r="A26051" s="74">
        <v>30843</v>
      </c>
      <c r="B26051">
        <v>6.62</v>
      </c>
    </row>
    <row r="26052" spans="1:2" x14ac:dyDescent="0.25">
      <c r="A26052" s="74">
        <v>30844</v>
      </c>
      <c r="B26052">
        <v>6.25</v>
      </c>
    </row>
    <row r="26053" spans="1:2" x14ac:dyDescent="0.25">
      <c r="A26053" s="74">
        <v>30845</v>
      </c>
      <c r="B26053">
        <v>7.23</v>
      </c>
    </row>
    <row r="26054" spans="1:2" x14ac:dyDescent="0.25">
      <c r="A26054" s="74">
        <v>30846</v>
      </c>
      <c r="B26054">
        <v>9.07</v>
      </c>
    </row>
    <row r="26055" spans="1:2" x14ac:dyDescent="0.25">
      <c r="A26055" s="74">
        <v>30847</v>
      </c>
      <c r="B26055">
        <v>10.9</v>
      </c>
    </row>
    <row r="26056" spans="1:2" x14ac:dyDescent="0.25">
      <c r="A26056" s="74">
        <v>30848</v>
      </c>
      <c r="B26056">
        <v>9.99</v>
      </c>
    </row>
    <row r="26057" spans="1:2" x14ac:dyDescent="0.25">
      <c r="A26057" s="74">
        <v>30849</v>
      </c>
      <c r="B26057">
        <v>8.6999999999999993</v>
      </c>
    </row>
    <row r="26058" spans="1:2" x14ac:dyDescent="0.25">
      <c r="A26058" s="74">
        <v>30850</v>
      </c>
      <c r="B26058">
        <v>6.49</v>
      </c>
    </row>
    <row r="26059" spans="1:2" x14ac:dyDescent="0.25">
      <c r="A26059" s="74">
        <v>30851</v>
      </c>
      <c r="B26059">
        <v>5.42</v>
      </c>
    </row>
    <row r="26060" spans="1:2" x14ac:dyDescent="0.25">
      <c r="A26060" s="74">
        <v>30852</v>
      </c>
      <c r="B26060">
        <v>4.93</v>
      </c>
    </row>
    <row r="26061" spans="1:2" x14ac:dyDescent="0.25">
      <c r="A26061" s="74">
        <v>30853</v>
      </c>
      <c r="B26061">
        <v>6.12</v>
      </c>
    </row>
    <row r="26062" spans="1:2" x14ac:dyDescent="0.25">
      <c r="A26062" s="74">
        <v>30854</v>
      </c>
      <c r="B26062">
        <v>6.86</v>
      </c>
    </row>
    <row r="26063" spans="1:2" x14ac:dyDescent="0.25">
      <c r="A26063" s="74">
        <v>30855</v>
      </c>
      <c r="B26063">
        <v>7.35</v>
      </c>
    </row>
    <row r="26064" spans="1:2" x14ac:dyDescent="0.25">
      <c r="A26064" s="74">
        <v>30856</v>
      </c>
      <c r="B26064">
        <v>6.37</v>
      </c>
    </row>
    <row r="26065" spans="1:2" x14ac:dyDescent="0.25">
      <c r="A26065" s="74">
        <v>30857</v>
      </c>
      <c r="B26065">
        <v>6.98</v>
      </c>
    </row>
    <row r="26066" spans="1:2" x14ac:dyDescent="0.25">
      <c r="A26066" s="74">
        <v>30858</v>
      </c>
      <c r="B26066">
        <v>6.49</v>
      </c>
    </row>
    <row r="26067" spans="1:2" x14ac:dyDescent="0.25">
      <c r="A26067" s="74">
        <v>30859</v>
      </c>
      <c r="B26067">
        <v>5.65</v>
      </c>
    </row>
    <row r="26068" spans="1:2" x14ac:dyDescent="0.25">
      <c r="A26068" s="74">
        <v>30860</v>
      </c>
      <c r="B26068">
        <v>7.11</v>
      </c>
    </row>
    <row r="26069" spans="1:2" x14ac:dyDescent="0.25">
      <c r="A26069" s="74">
        <v>30861</v>
      </c>
      <c r="B26069">
        <v>5.65</v>
      </c>
    </row>
    <row r="26070" spans="1:2" x14ac:dyDescent="0.25">
      <c r="A26070" s="74">
        <v>30862</v>
      </c>
      <c r="B26070">
        <v>5.65</v>
      </c>
    </row>
    <row r="26071" spans="1:2" x14ac:dyDescent="0.25">
      <c r="A26071" s="74">
        <v>30863</v>
      </c>
      <c r="B26071">
        <v>4.78</v>
      </c>
    </row>
    <row r="26072" spans="1:2" x14ac:dyDescent="0.25">
      <c r="A26072" s="74">
        <v>30864</v>
      </c>
      <c r="B26072">
        <v>4.04</v>
      </c>
    </row>
    <row r="26073" spans="1:2" x14ac:dyDescent="0.25">
      <c r="A26073" s="74">
        <v>30865</v>
      </c>
      <c r="B26073">
        <v>4.71</v>
      </c>
    </row>
    <row r="26074" spans="1:2" x14ac:dyDescent="0.25">
      <c r="A26074" s="74">
        <v>30866</v>
      </c>
      <c r="B26074">
        <v>4.49</v>
      </c>
    </row>
    <row r="26075" spans="1:2" x14ac:dyDescent="0.25">
      <c r="A26075" s="74">
        <v>30867</v>
      </c>
      <c r="B26075">
        <v>4.5599999999999996</v>
      </c>
    </row>
    <row r="26076" spans="1:2" x14ac:dyDescent="0.25">
      <c r="A26076" s="74">
        <v>30868</v>
      </c>
      <c r="B26076">
        <v>5</v>
      </c>
    </row>
    <row r="26077" spans="1:2" x14ac:dyDescent="0.25">
      <c r="A26077" s="74">
        <v>30869</v>
      </c>
      <c r="B26077">
        <v>4.41</v>
      </c>
    </row>
    <row r="26078" spans="1:2" x14ac:dyDescent="0.25">
      <c r="A26078" s="74">
        <v>30870</v>
      </c>
      <c r="B26078">
        <v>3.82</v>
      </c>
    </row>
    <row r="26079" spans="1:2" x14ac:dyDescent="0.25">
      <c r="A26079" s="74">
        <v>30871</v>
      </c>
      <c r="B26079">
        <v>3.37</v>
      </c>
    </row>
    <row r="26080" spans="1:2" x14ac:dyDescent="0.25">
      <c r="A26080" s="74">
        <v>30872</v>
      </c>
      <c r="B26080">
        <v>3.37</v>
      </c>
    </row>
    <row r="26081" spans="1:2" x14ac:dyDescent="0.25">
      <c r="A26081" s="74">
        <v>30873</v>
      </c>
      <c r="B26081">
        <v>3.45</v>
      </c>
    </row>
    <row r="26082" spans="1:2" x14ac:dyDescent="0.25">
      <c r="A26082" s="74">
        <v>30874</v>
      </c>
      <c r="B26082">
        <v>2.98</v>
      </c>
    </row>
    <row r="26083" spans="1:2" x14ac:dyDescent="0.25">
      <c r="A26083" s="74">
        <v>30875</v>
      </c>
      <c r="B26083">
        <v>3.24</v>
      </c>
    </row>
    <row r="26084" spans="1:2" x14ac:dyDescent="0.25">
      <c r="A26084" s="74">
        <v>30876</v>
      </c>
      <c r="B26084">
        <v>2.98</v>
      </c>
    </row>
    <row r="26085" spans="1:2" x14ac:dyDescent="0.25">
      <c r="A26085" s="74">
        <v>30877</v>
      </c>
      <c r="B26085">
        <v>2.73</v>
      </c>
    </row>
    <row r="26086" spans="1:2" x14ac:dyDescent="0.25">
      <c r="A26086" s="74">
        <v>30878</v>
      </c>
      <c r="B26086">
        <v>2.48</v>
      </c>
    </row>
    <row r="26087" spans="1:2" x14ac:dyDescent="0.25">
      <c r="A26087" s="74">
        <v>30879</v>
      </c>
      <c r="B26087">
        <v>2.67</v>
      </c>
    </row>
    <row r="26088" spans="1:2" x14ac:dyDescent="0.25">
      <c r="A26088" s="74">
        <v>30880</v>
      </c>
      <c r="B26088">
        <v>3.11</v>
      </c>
    </row>
    <row r="26089" spans="1:2" x14ac:dyDescent="0.25">
      <c r="A26089" s="74">
        <v>30881</v>
      </c>
      <c r="B26089">
        <v>2.73</v>
      </c>
    </row>
    <row r="26090" spans="1:2" x14ac:dyDescent="0.25">
      <c r="A26090" s="74">
        <v>30882</v>
      </c>
      <c r="B26090">
        <v>2.42</v>
      </c>
    </row>
    <row r="26091" spans="1:2" x14ac:dyDescent="0.25">
      <c r="A26091" s="74">
        <v>30883</v>
      </c>
      <c r="B26091">
        <v>2.1</v>
      </c>
    </row>
    <row r="26092" spans="1:2" x14ac:dyDescent="0.25">
      <c r="A26092" s="74">
        <v>30884</v>
      </c>
      <c r="B26092">
        <v>2.1</v>
      </c>
    </row>
    <row r="26093" spans="1:2" x14ac:dyDescent="0.25">
      <c r="A26093" s="74">
        <v>30885</v>
      </c>
      <c r="B26093">
        <v>1.92</v>
      </c>
    </row>
    <row r="26094" spans="1:2" x14ac:dyDescent="0.25">
      <c r="A26094" s="74">
        <v>30886</v>
      </c>
      <c r="B26094">
        <v>1.79</v>
      </c>
    </row>
    <row r="26095" spans="1:2" x14ac:dyDescent="0.25">
      <c r="A26095" s="74">
        <v>30887</v>
      </c>
      <c r="B26095">
        <v>1.83</v>
      </c>
    </row>
    <row r="26096" spans="1:2" x14ac:dyDescent="0.25">
      <c r="A26096" s="74">
        <v>30888</v>
      </c>
      <c r="B26096">
        <v>1.92</v>
      </c>
    </row>
    <row r="26097" spans="1:2" x14ac:dyDescent="0.25">
      <c r="A26097" s="74">
        <v>30889</v>
      </c>
      <c r="B26097">
        <v>2.0099999999999998</v>
      </c>
    </row>
    <row r="26098" spans="1:2" x14ac:dyDescent="0.25">
      <c r="A26098" s="74">
        <v>30890</v>
      </c>
      <c r="B26098">
        <v>1.92</v>
      </c>
    </row>
    <row r="26099" spans="1:2" x14ac:dyDescent="0.25">
      <c r="A26099" s="74">
        <v>30891</v>
      </c>
      <c r="B26099">
        <v>1.7</v>
      </c>
    </row>
    <row r="26100" spans="1:2" x14ac:dyDescent="0.25">
      <c r="A26100" s="74">
        <v>30892</v>
      </c>
      <c r="B26100">
        <v>1.43</v>
      </c>
    </row>
    <row r="26101" spans="1:2" x14ac:dyDescent="0.25">
      <c r="A26101" s="74">
        <v>30893</v>
      </c>
      <c r="B26101">
        <v>1.43</v>
      </c>
    </row>
    <row r="26102" spans="1:2" x14ac:dyDescent="0.25">
      <c r="A26102" s="74">
        <v>30894</v>
      </c>
      <c r="B26102">
        <v>1.38</v>
      </c>
    </row>
    <row r="26103" spans="1:2" x14ac:dyDescent="0.25">
      <c r="A26103" s="74">
        <v>30895</v>
      </c>
      <c r="B26103">
        <v>1.38</v>
      </c>
    </row>
    <row r="26104" spans="1:2" x14ac:dyDescent="0.25">
      <c r="A26104" s="74">
        <v>30896</v>
      </c>
      <c r="B26104">
        <v>1.29</v>
      </c>
    </row>
    <row r="26105" spans="1:2" x14ac:dyDescent="0.25">
      <c r="A26105" s="74">
        <v>30897</v>
      </c>
      <c r="B26105">
        <v>1.1599999999999999</v>
      </c>
    </row>
    <row r="26106" spans="1:2" x14ac:dyDescent="0.25">
      <c r="A26106" s="74">
        <v>30898</v>
      </c>
      <c r="B26106">
        <v>1.07</v>
      </c>
    </row>
    <row r="26107" spans="1:2" x14ac:dyDescent="0.25">
      <c r="A26107" s="74">
        <v>30899</v>
      </c>
      <c r="B26107">
        <v>0.93</v>
      </c>
    </row>
    <row r="26108" spans="1:2" x14ac:dyDescent="0.25">
      <c r="A26108" s="74">
        <v>30900</v>
      </c>
      <c r="B26108">
        <v>1.07</v>
      </c>
    </row>
    <row r="26109" spans="1:2" x14ac:dyDescent="0.25">
      <c r="A26109" s="74">
        <v>30901</v>
      </c>
      <c r="B26109">
        <v>1.02</v>
      </c>
    </row>
    <row r="26110" spans="1:2" x14ac:dyDescent="0.25">
      <c r="A26110" s="74">
        <v>30902</v>
      </c>
      <c r="B26110">
        <v>0.88500000000000001</v>
      </c>
    </row>
    <row r="26111" spans="1:2" x14ac:dyDescent="0.25">
      <c r="A26111" s="74">
        <v>30903</v>
      </c>
      <c r="B26111">
        <v>0.88500000000000001</v>
      </c>
    </row>
    <row r="26112" spans="1:2" x14ac:dyDescent="0.25">
      <c r="A26112" s="74">
        <v>30904</v>
      </c>
      <c r="B26112">
        <v>0.88500000000000001</v>
      </c>
    </row>
    <row r="26113" spans="1:2" x14ac:dyDescent="0.25">
      <c r="A26113" s="74">
        <v>30905</v>
      </c>
      <c r="B26113">
        <v>0.88500000000000001</v>
      </c>
    </row>
    <row r="26114" spans="1:2" x14ac:dyDescent="0.25">
      <c r="A26114" s="74">
        <v>30906</v>
      </c>
      <c r="B26114">
        <v>0.75</v>
      </c>
    </row>
    <row r="26115" spans="1:2" x14ac:dyDescent="0.25">
      <c r="A26115" s="74">
        <v>30907</v>
      </c>
      <c r="B26115">
        <v>0.75</v>
      </c>
    </row>
    <row r="26116" spans="1:2" x14ac:dyDescent="0.25">
      <c r="A26116" s="74">
        <v>30908</v>
      </c>
      <c r="B26116">
        <v>0.68300000000000005</v>
      </c>
    </row>
    <row r="26117" spans="1:2" x14ac:dyDescent="0.25">
      <c r="A26117" s="74">
        <v>30909</v>
      </c>
      <c r="B26117">
        <v>0.68300000000000005</v>
      </c>
    </row>
    <row r="26118" spans="1:2" x14ac:dyDescent="0.25">
      <c r="A26118" s="74">
        <v>30910</v>
      </c>
      <c r="B26118">
        <v>0.61699999999999999</v>
      </c>
    </row>
    <row r="26119" spans="1:2" x14ac:dyDescent="0.25">
      <c r="A26119" s="74">
        <v>30911</v>
      </c>
      <c r="B26119">
        <v>0.58299999999999996</v>
      </c>
    </row>
    <row r="26120" spans="1:2" x14ac:dyDescent="0.25">
      <c r="A26120" s="74">
        <v>30912</v>
      </c>
      <c r="B26120">
        <v>0.55000000000000004</v>
      </c>
    </row>
    <row r="26121" spans="1:2" x14ac:dyDescent="0.25">
      <c r="A26121" s="74">
        <v>30913</v>
      </c>
      <c r="B26121">
        <v>0.55000000000000004</v>
      </c>
    </row>
    <row r="26122" spans="1:2" x14ac:dyDescent="0.25">
      <c r="A26122" s="74">
        <v>30914</v>
      </c>
      <c r="B26122">
        <v>0.52</v>
      </c>
    </row>
    <row r="26123" spans="1:2" x14ac:dyDescent="0.25">
      <c r="A26123" s="74">
        <v>30915</v>
      </c>
      <c r="B26123">
        <v>0.52</v>
      </c>
    </row>
    <row r="26124" spans="1:2" x14ac:dyDescent="0.25">
      <c r="A26124" s="74">
        <v>30916</v>
      </c>
      <c r="B26124">
        <v>0.52</v>
      </c>
    </row>
    <row r="26125" spans="1:2" x14ac:dyDescent="0.25">
      <c r="A26125" s="74">
        <v>30917</v>
      </c>
      <c r="B26125">
        <v>0.50600000000000001</v>
      </c>
    </row>
    <row r="26126" spans="1:2" x14ac:dyDescent="0.25">
      <c r="A26126" s="74">
        <v>30918</v>
      </c>
      <c r="B26126">
        <v>0.49099999999999999</v>
      </c>
    </row>
    <row r="26127" spans="1:2" x14ac:dyDescent="0.25">
      <c r="A26127" s="74">
        <v>30919</v>
      </c>
      <c r="B26127">
        <v>0.49099999999999999</v>
      </c>
    </row>
    <row r="26128" spans="1:2" x14ac:dyDescent="0.25">
      <c r="A26128" s="74">
        <v>30920</v>
      </c>
      <c r="B26128">
        <v>0.46200000000000002</v>
      </c>
    </row>
    <row r="26129" spans="1:2" x14ac:dyDescent="0.25">
      <c r="A26129" s="74">
        <v>30921</v>
      </c>
      <c r="B26129">
        <v>0.46200000000000002</v>
      </c>
    </row>
    <row r="26130" spans="1:2" x14ac:dyDescent="0.25">
      <c r="A26130" s="74">
        <v>30922</v>
      </c>
      <c r="B26130">
        <v>0.44700000000000001</v>
      </c>
    </row>
    <row r="26131" spans="1:2" x14ac:dyDescent="0.25">
      <c r="A26131" s="74">
        <v>30923</v>
      </c>
      <c r="B26131">
        <v>0.44700000000000001</v>
      </c>
    </row>
    <row r="26132" spans="1:2" x14ac:dyDescent="0.25">
      <c r="A26132" s="74">
        <v>30924</v>
      </c>
      <c r="B26132">
        <v>0.432</v>
      </c>
    </row>
    <row r="26133" spans="1:2" x14ac:dyDescent="0.25">
      <c r="A26133" s="74">
        <v>30925</v>
      </c>
      <c r="B26133">
        <v>0.41799999999999998</v>
      </c>
    </row>
    <row r="26134" spans="1:2" x14ac:dyDescent="0.25">
      <c r="A26134" s="74">
        <v>30926</v>
      </c>
      <c r="B26134">
        <v>0.41799999999999998</v>
      </c>
    </row>
    <row r="26135" spans="1:2" x14ac:dyDescent="0.25">
      <c r="A26135" s="74">
        <v>30927</v>
      </c>
      <c r="B26135">
        <v>0.41799999999999998</v>
      </c>
    </row>
    <row r="26136" spans="1:2" x14ac:dyDescent="0.25">
      <c r="A26136" s="74">
        <v>30928</v>
      </c>
      <c r="B26136">
        <v>0.41799999999999998</v>
      </c>
    </row>
    <row r="26137" spans="1:2" x14ac:dyDescent="0.25">
      <c r="A26137" s="74">
        <v>30929</v>
      </c>
      <c r="B26137">
        <v>0.41799999999999998</v>
      </c>
    </row>
    <row r="26138" spans="1:2" x14ac:dyDescent="0.25">
      <c r="A26138" s="74">
        <v>30930</v>
      </c>
      <c r="B26138">
        <v>0.44700000000000001</v>
      </c>
    </row>
    <row r="26139" spans="1:2" x14ac:dyDescent="0.25">
      <c r="A26139" s="74">
        <v>30931</v>
      </c>
      <c r="B26139">
        <v>0.75</v>
      </c>
    </row>
    <row r="26140" spans="1:2" x14ac:dyDescent="0.25">
      <c r="A26140" s="74">
        <v>30932</v>
      </c>
      <c r="B26140">
        <v>0.68300000000000005</v>
      </c>
    </row>
    <row r="26141" spans="1:2" x14ac:dyDescent="0.25">
      <c r="A26141" s="74">
        <v>30933</v>
      </c>
      <c r="B26141">
        <v>0.58299999999999996</v>
      </c>
    </row>
    <row r="26142" spans="1:2" x14ac:dyDescent="0.25">
      <c r="A26142" s="74">
        <v>30934</v>
      </c>
      <c r="B26142">
        <v>0.61699999999999999</v>
      </c>
    </row>
    <row r="26143" spans="1:2" x14ac:dyDescent="0.25">
      <c r="A26143" s="74">
        <v>30935</v>
      </c>
      <c r="B26143">
        <v>0.65</v>
      </c>
    </row>
    <row r="26144" spans="1:2" x14ac:dyDescent="0.25">
      <c r="A26144" s="74">
        <v>30936</v>
      </c>
      <c r="B26144">
        <v>0.58299999999999996</v>
      </c>
    </row>
    <row r="26145" spans="1:2" x14ac:dyDescent="0.25">
      <c r="A26145" s="74">
        <v>30937</v>
      </c>
      <c r="B26145">
        <v>0.61699999999999999</v>
      </c>
    </row>
    <row r="26146" spans="1:2" x14ac:dyDescent="0.25">
      <c r="A26146" s="74">
        <v>30938</v>
      </c>
      <c r="B26146">
        <v>0.65</v>
      </c>
    </row>
    <row r="26147" spans="1:2" x14ac:dyDescent="0.25">
      <c r="A26147" s="74">
        <v>30939</v>
      </c>
      <c r="B26147">
        <v>0.93</v>
      </c>
    </row>
    <row r="26148" spans="1:2" x14ac:dyDescent="0.25">
      <c r="A26148" s="74">
        <v>30940</v>
      </c>
      <c r="B26148">
        <v>0.84</v>
      </c>
    </row>
    <row r="26149" spans="1:2" x14ac:dyDescent="0.25">
      <c r="A26149" s="74">
        <v>30941</v>
      </c>
      <c r="B26149">
        <v>0.93</v>
      </c>
    </row>
    <row r="26150" spans="1:2" x14ac:dyDescent="0.25">
      <c r="A26150" s="74">
        <v>30942</v>
      </c>
      <c r="B26150">
        <v>4.1100000000000003</v>
      </c>
    </row>
    <row r="26151" spans="1:2" x14ac:dyDescent="0.25">
      <c r="A26151" s="74">
        <v>30943</v>
      </c>
      <c r="B26151">
        <v>4.26</v>
      </c>
    </row>
    <row r="26152" spans="1:2" x14ac:dyDescent="0.25">
      <c r="A26152" s="74">
        <v>30944</v>
      </c>
      <c r="B26152">
        <v>3.45</v>
      </c>
    </row>
    <row r="26153" spans="1:2" x14ac:dyDescent="0.25">
      <c r="A26153" s="74">
        <v>30945</v>
      </c>
      <c r="B26153">
        <v>2.35</v>
      </c>
    </row>
    <row r="26154" spans="1:2" x14ac:dyDescent="0.25">
      <c r="A26154" s="74">
        <v>30946</v>
      </c>
      <c r="B26154">
        <v>1.79</v>
      </c>
    </row>
    <row r="26155" spans="1:2" x14ac:dyDescent="0.25">
      <c r="A26155" s="74">
        <v>30947</v>
      </c>
      <c r="B26155">
        <v>1.92</v>
      </c>
    </row>
    <row r="26156" spans="1:2" x14ac:dyDescent="0.25">
      <c r="A26156" s="74">
        <v>30948</v>
      </c>
      <c r="B26156">
        <v>1.56</v>
      </c>
    </row>
    <row r="26157" spans="1:2" x14ac:dyDescent="0.25">
      <c r="A26157" s="74">
        <v>30949</v>
      </c>
      <c r="B26157">
        <v>1.38</v>
      </c>
    </row>
    <row r="26158" spans="1:2" x14ac:dyDescent="0.25">
      <c r="A26158" s="74">
        <v>30950</v>
      </c>
      <c r="B26158">
        <v>1.2</v>
      </c>
    </row>
    <row r="26159" spans="1:2" x14ac:dyDescent="0.25">
      <c r="A26159" s="74">
        <v>30951</v>
      </c>
      <c r="B26159">
        <v>1.02</v>
      </c>
    </row>
    <row r="26160" spans="1:2" x14ac:dyDescent="0.25">
      <c r="A26160" s="74">
        <v>30952</v>
      </c>
      <c r="B26160">
        <v>0.93</v>
      </c>
    </row>
    <row r="26161" spans="1:2" x14ac:dyDescent="0.25">
      <c r="A26161" s="74">
        <v>30953</v>
      </c>
      <c r="B26161">
        <v>0.88500000000000001</v>
      </c>
    </row>
    <row r="26162" spans="1:2" x14ac:dyDescent="0.25">
      <c r="A26162" s="74">
        <v>30954</v>
      </c>
      <c r="B26162">
        <v>0.79500000000000004</v>
      </c>
    </row>
    <row r="26163" spans="1:2" x14ac:dyDescent="0.25">
      <c r="A26163" s="74">
        <v>30955</v>
      </c>
      <c r="B26163">
        <v>0.68300000000000005</v>
      </c>
    </row>
    <row r="26164" spans="1:2" x14ac:dyDescent="0.25">
      <c r="A26164" s="74">
        <v>30956</v>
      </c>
      <c r="B26164">
        <v>0.61</v>
      </c>
    </row>
    <row r="26165" spans="1:2" x14ac:dyDescent="0.25">
      <c r="A26165" s="74">
        <v>30957</v>
      </c>
      <c r="B26165">
        <v>0.61699999999999999</v>
      </c>
    </row>
    <row r="26166" spans="1:2" x14ac:dyDescent="0.25">
      <c r="A26166" s="74">
        <v>30958</v>
      </c>
      <c r="B26166">
        <v>0.58299999999999996</v>
      </c>
    </row>
    <row r="26167" spans="1:2" x14ac:dyDescent="0.25">
      <c r="A26167" s="74">
        <v>30959</v>
      </c>
      <c r="B26167">
        <v>0.61699999999999999</v>
      </c>
    </row>
    <row r="26168" spans="1:2" x14ac:dyDescent="0.25">
      <c r="A26168" s="74">
        <v>30960</v>
      </c>
      <c r="B26168">
        <v>1.56</v>
      </c>
    </row>
    <row r="26169" spans="1:2" x14ac:dyDescent="0.25">
      <c r="A26169" s="74">
        <v>30961</v>
      </c>
      <c r="B26169">
        <v>1.56</v>
      </c>
    </row>
    <row r="26170" spans="1:2" x14ac:dyDescent="0.25">
      <c r="A26170" s="74">
        <v>30962</v>
      </c>
      <c r="B26170">
        <v>6.86</v>
      </c>
    </row>
    <row r="26171" spans="1:2" x14ac:dyDescent="0.25">
      <c r="A26171" s="74">
        <v>30963</v>
      </c>
      <c r="B26171">
        <v>77.3</v>
      </c>
    </row>
    <row r="26172" spans="1:2" x14ac:dyDescent="0.25">
      <c r="A26172" s="74">
        <v>30964</v>
      </c>
      <c r="B26172">
        <v>86.4</v>
      </c>
    </row>
    <row r="26173" spans="1:2" x14ac:dyDescent="0.25">
      <c r="A26173" s="74">
        <v>30965</v>
      </c>
      <c r="B26173">
        <v>83.2</v>
      </c>
    </row>
    <row r="26174" spans="1:2" x14ac:dyDescent="0.25">
      <c r="A26174" s="74">
        <v>30966</v>
      </c>
      <c r="B26174">
        <v>36</v>
      </c>
    </row>
    <row r="26175" spans="1:2" x14ac:dyDescent="0.25">
      <c r="A26175" s="74">
        <v>30967</v>
      </c>
      <c r="B26175">
        <v>22.2</v>
      </c>
    </row>
    <row r="26176" spans="1:2" x14ac:dyDescent="0.25">
      <c r="A26176" s="74">
        <v>30968</v>
      </c>
      <c r="B26176">
        <v>70.099999999999994</v>
      </c>
    </row>
    <row r="26177" spans="1:2" x14ac:dyDescent="0.25">
      <c r="A26177" s="74">
        <v>30969</v>
      </c>
      <c r="B26177">
        <v>30.3</v>
      </c>
    </row>
    <row r="26178" spans="1:2" x14ac:dyDescent="0.25">
      <c r="A26178" s="74">
        <v>30970</v>
      </c>
      <c r="B26178">
        <v>19.600000000000001</v>
      </c>
    </row>
    <row r="26179" spans="1:2" x14ac:dyDescent="0.25">
      <c r="A26179" s="74">
        <v>30971</v>
      </c>
      <c r="B26179">
        <v>13.7</v>
      </c>
    </row>
    <row r="26180" spans="1:2" x14ac:dyDescent="0.25">
      <c r="A26180" s="74">
        <v>30972</v>
      </c>
      <c r="B26180">
        <v>9.99</v>
      </c>
    </row>
    <row r="26181" spans="1:2" x14ac:dyDescent="0.25">
      <c r="A26181" s="74">
        <v>30973</v>
      </c>
      <c r="B26181">
        <v>7.35</v>
      </c>
    </row>
    <row r="26182" spans="1:2" x14ac:dyDescent="0.25">
      <c r="A26182" s="74">
        <v>30974</v>
      </c>
      <c r="B26182">
        <v>5.88</v>
      </c>
    </row>
    <row r="26183" spans="1:2" x14ac:dyDescent="0.25">
      <c r="A26183" s="74">
        <v>30975</v>
      </c>
      <c r="B26183">
        <v>4.93</v>
      </c>
    </row>
    <row r="26184" spans="1:2" x14ac:dyDescent="0.25">
      <c r="A26184" s="74">
        <v>30976</v>
      </c>
      <c r="B26184">
        <v>4.41</v>
      </c>
    </row>
    <row r="26185" spans="1:2" x14ac:dyDescent="0.25">
      <c r="A26185" s="74">
        <v>30977</v>
      </c>
      <c r="B26185">
        <v>3.89</v>
      </c>
    </row>
    <row r="26186" spans="1:2" x14ac:dyDescent="0.25">
      <c r="A26186" s="74">
        <v>30978</v>
      </c>
      <c r="B26186">
        <v>3.52</v>
      </c>
    </row>
    <row r="26187" spans="1:2" x14ac:dyDescent="0.25">
      <c r="A26187" s="74">
        <v>30979</v>
      </c>
      <c r="B26187">
        <v>3.74</v>
      </c>
    </row>
    <row r="26188" spans="1:2" x14ac:dyDescent="0.25">
      <c r="A26188" s="74">
        <v>30980</v>
      </c>
      <c r="B26188">
        <v>4.1100000000000003</v>
      </c>
    </row>
    <row r="26189" spans="1:2" x14ac:dyDescent="0.25">
      <c r="A26189" s="74">
        <v>30981</v>
      </c>
      <c r="B26189">
        <v>7.23</v>
      </c>
    </row>
    <row r="26190" spans="1:2" x14ac:dyDescent="0.25">
      <c r="A26190" s="74">
        <v>30982</v>
      </c>
      <c r="B26190">
        <v>6.25</v>
      </c>
    </row>
    <row r="26191" spans="1:2" x14ac:dyDescent="0.25">
      <c r="A26191" s="74">
        <v>30983</v>
      </c>
      <c r="B26191">
        <v>5.42</v>
      </c>
    </row>
    <row r="26192" spans="1:2" x14ac:dyDescent="0.25">
      <c r="A26192" s="74">
        <v>30984</v>
      </c>
      <c r="B26192">
        <v>5</v>
      </c>
    </row>
    <row r="26193" spans="1:2" x14ac:dyDescent="0.25">
      <c r="A26193" s="74">
        <v>30985</v>
      </c>
      <c r="B26193">
        <v>4.71</v>
      </c>
    </row>
    <row r="26194" spans="1:2" x14ac:dyDescent="0.25">
      <c r="A26194" s="74">
        <v>30986</v>
      </c>
      <c r="B26194">
        <v>4.41</v>
      </c>
    </row>
    <row r="26195" spans="1:2" x14ac:dyDescent="0.25">
      <c r="A26195" s="74">
        <v>30987</v>
      </c>
      <c r="B26195">
        <v>4.1100000000000003</v>
      </c>
    </row>
    <row r="26196" spans="1:2" x14ac:dyDescent="0.25">
      <c r="A26196" s="74">
        <v>30988</v>
      </c>
      <c r="B26196">
        <v>22</v>
      </c>
    </row>
    <row r="26197" spans="1:2" x14ac:dyDescent="0.25">
      <c r="A26197" s="74">
        <v>30989</v>
      </c>
      <c r="B26197">
        <v>88.8</v>
      </c>
    </row>
    <row r="26198" spans="1:2" x14ac:dyDescent="0.25">
      <c r="A26198" s="74">
        <v>30990</v>
      </c>
      <c r="B26198">
        <v>88.8</v>
      </c>
    </row>
    <row r="26199" spans="1:2" x14ac:dyDescent="0.25">
      <c r="A26199" s="74">
        <v>30991</v>
      </c>
      <c r="B26199">
        <v>46.1</v>
      </c>
    </row>
    <row r="26200" spans="1:2" x14ac:dyDescent="0.25">
      <c r="A26200" s="74">
        <v>30992</v>
      </c>
      <c r="B26200">
        <v>28.2</v>
      </c>
    </row>
    <row r="26201" spans="1:2" x14ac:dyDescent="0.25">
      <c r="A26201" s="74">
        <v>30993</v>
      </c>
      <c r="B26201">
        <v>28.2</v>
      </c>
    </row>
    <row r="26202" spans="1:2" x14ac:dyDescent="0.25">
      <c r="A26202" s="74">
        <v>30994</v>
      </c>
      <c r="B26202">
        <v>26.4</v>
      </c>
    </row>
    <row r="26203" spans="1:2" x14ac:dyDescent="0.25">
      <c r="A26203" s="74">
        <v>30995</v>
      </c>
      <c r="B26203">
        <v>19.8</v>
      </c>
    </row>
    <row r="26204" spans="1:2" x14ac:dyDescent="0.25">
      <c r="A26204" s="74">
        <v>30996</v>
      </c>
      <c r="B26204">
        <v>18.3</v>
      </c>
    </row>
    <row r="26205" spans="1:2" x14ac:dyDescent="0.25">
      <c r="A26205" s="74">
        <v>30997</v>
      </c>
      <c r="B26205">
        <v>23.2</v>
      </c>
    </row>
    <row r="26206" spans="1:2" x14ac:dyDescent="0.25">
      <c r="A26206" s="74">
        <v>30998</v>
      </c>
      <c r="B26206">
        <v>23.9</v>
      </c>
    </row>
    <row r="26207" spans="1:2" x14ac:dyDescent="0.25">
      <c r="A26207" s="74">
        <v>30999</v>
      </c>
      <c r="B26207">
        <v>66.5</v>
      </c>
    </row>
    <row r="26208" spans="1:2" x14ac:dyDescent="0.25">
      <c r="A26208" s="74">
        <v>31000</v>
      </c>
      <c r="B26208">
        <v>33.200000000000003</v>
      </c>
    </row>
    <row r="26209" spans="1:2" x14ac:dyDescent="0.25">
      <c r="A26209" s="74">
        <v>31001</v>
      </c>
      <c r="B26209">
        <v>21.8</v>
      </c>
    </row>
    <row r="26210" spans="1:2" x14ac:dyDescent="0.25">
      <c r="A26210" s="74">
        <v>31002</v>
      </c>
      <c r="B26210">
        <v>16.3</v>
      </c>
    </row>
    <row r="26211" spans="1:2" x14ac:dyDescent="0.25">
      <c r="A26211" s="74">
        <v>31003</v>
      </c>
      <c r="B26211">
        <v>12.6</v>
      </c>
    </row>
    <row r="26212" spans="1:2" x14ac:dyDescent="0.25">
      <c r="A26212" s="74">
        <v>31004</v>
      </c>
      <c r="B26212">
        <v>23.2</v>
      </c>
    </row>
    <row r="26213" spans="1:2" x14ac:dyDescent="0.25">
      <c r="A26213" s="74">
        <v>31005</v>
      </c>
      <c r="B26213">
        <v>22.8</v>
      </c>
    </row>
    <row r="26214" spans="1:2" x14ac:dyDescent="0.25">
      <c r="A26214" s="74">
        <v>31006</v>
      </c>
      <c r="B26214">
        <v>29.5</v>
      </c>
    </row>
    <row r="26215" spans="1:2" x14ac:dyDescent="0.25">
      <c r="A26215" s="74">
        <v>31007</v>
      </c>
      <c r="B26215">
        <v>20.399999999999999</v>
      </c>
    </row>
    <row r="26216" spans="1:2" x14ac:dyDescent="0.25">
      <c r="A26216" s="74">
        <v>31008</v>
      </c>
      <c r="B26216">
        <v>15.3</v>
      </c>
    </row>
    <row r="26217" spans="1:2" x14ac:dyDescent="0.25">
      <c r="A26217" s="74">
        <v>31009</v>
      </c>
      <c r="B26217">
        <v>75.7</v>
      </c>
    </row>
    <row r="26218" spans="1:2" x14ac:dyDescent="0.25">
      <c r="A26218" s="74">
        <v>31010</v>
      </c>
      <c r="B26218">
        <v>37.700000000000003</v>
      </c>
    </row>
    <row r="26219" spans="1:2" x14ac:dyDescent="0.25">
      <c r="A26219" s="74">
        <v>31011</v>
      </c>
      <c r="B26219">
        <v>24.1</v>
      </c>
    </row>
    <row r="26220" spans="1:2" x14ac:dyDescent="0.25">
      <c r="A26220" s="74">
        <v>31012</v>
      </c>
      <c r="B26220">
        <v>17.899999999999999</v>
      </c>
    </row>
    <row r="26221" spans="1:2" x14ac:dyDescent="0.25">
      <c r="A26221" s="74">
        <v>31013</v>
      </c>
      <c r="B26221">
        <v>16.3</v>
      </c>
    </row>
    <row r="26222" spans="1:2" x14ac:dyDescent="0.25">
      <c r="A26222" s="74">
        <v>31014</v>
      </c>
      <c r="B26222">
        <v>19.8</v>
      </c>
    </row>
    <row r="26223" spans="1:2" x14ac:dyDescent="0.25">
      <c r="A26223" s="74">
        <v>31015</v>
      </c>
      <c r="B26223">
        <v>16.899999999999999</v>
      </c>
    </row>
    <row r="26224" spans="1:2" x14ac:dyDescent="0.25">
      <c r="A26224" s="74">
        <v>31016</v>
      </c>
      <c r="B26224">
        <v>17.100000000000001</v>
      </c>
    </row>
    <row r="26225" spans="1:2" x14ac:dyDescent="0.25">
      <c r="A26225" s="74">
        <v>31017</v>
      </c>
      <c r="B26225">
        <v>13.7</v>
      </c>
    </row>
    <row r="26226" spans="1:2" x14ac:dyDescent="0.25">
      <c r="A26226" s="74">
        <v>31018</v>
      </c>
      <c r="B26226">
        <v>11.1</v>
      </c>
    </row>
    <row r="26227" spans="1:2" x14ac:dyDescent="0.25">
      <c r="A26227" s="74">
        <v>31019</v>
      </c>
      <c r="B26227">
        <v>8.8800000000000008</v>
      </c>
    </row>
    <row r="26228" spans="1:2" x14ac:dyDescent="0.25">
      <c r="A26228" s="74">
        <v>31020</v>
      </c>
      <c r="B26228">
        <v>7.35</v>
      </c>
    </row>
    <row r="26229" spans="1:2" x14ac:dyDescent="0.25">
      <c r="A26229" s="74">
        <v>31021</v>
      </c>
      <c r="B26229">
        <v>6.37</v>
      </c>
    </row>
    <row r="26230" spans="1:2" x14ac:dyDescent="0.25">
      <c r="A26230" s="74">
        <v>31022</v>
      </c>
      <c r="B26230">
        <v>5.77</v>
      </c>
    </row>
    <row r="26231" spans="1:2" x14ac:dyDescent="0.25">
      <c r="A26231" s="74">
        <v>31023</v>
      </c>
      <c r="B26231">
        <v>34.9</v>
      </c>
    </row>
    <row r="26232" spans="1:2" x14ac:dyDescent="0.25">
      <c r="A26232" s="74">
        <v>31024</v>
      </c>
      <c r="B26232">
        <v>69.3</v>
      </c>
    </row>
    <row r="26233" spans="1:2" x14ac:dyDescent="0.25">
      <c r="A26233" s="74">
        <v>31025</v>
      </c>
      <c r="B26233">
        <v>32.299999999999997</v>
      </c>
    </row>
    <row r="26234" spans="1:2" x14ac:dyDescent="0.25">
      <c r="A26234" s="74">
        <v>31026</v>
      </c>
      <c r="B26234">
        <v>25.3</v>
      </c>
    </row>
    <row r="26235" spans="1:2" x14ac:dyDescent="0.25">
      <c r="A26235" s="74">
        <v>31027</v>
      </c>
      <c r="B26235">
        <v>18.5</v>
      </c>
    </row>
    <row r="26236" spans="1:2" x14ac:dyDescent="0.25">
      <c r="A26236" s="74">
        <v>31028</v>
      </c>
      <c r="B26236">
        <v>15.2</v>
      </c>
    </row>
    <row r="26237" spans="1:2" x14ac:dyDescent="0.25">
      <c r="A26237" s="74">
        <v>31029</v>
      </c>
      <c r="B26237">
        <v>11.7</v>
      </c>
    </row>
    <row r="26238" spans="1:2" x14ac:dyDescent="0.25">
      <c r="A26238" s="74">
        <v>31030</v>
      </c>
      <c r="B26238">
        <v>82.8</v>
      </c>
    </row>
    <row r="26239" spans="1:2" x14ac:dyDescent="0.25">
      <c r="A26239" s="74">
        <v>31031</v>
      </c>
      <c r="B26239">
        <v>51.8</v>
      </c>
    </row>
    <row r="26240" spans="1:2" x14ac:dyDescent="0.25">
      <c r="A26240" s="74">
        <v>31032</v>
      </c>
      <c r="B26240">
        <v>27.4</v>
      </c>
    </row>
    <row r="26241" spans="1:2" x14ac:dyDescent="0.25">
      <c r="A26241" s="74">
        <v>31033</v>
      </c>
      <c r="B26241">
        <v>19.600000000000001</v>
      </c>
    </row>
    <row r="26242" spans="1:2" x14ac:dyDescent="0.25">
      <c r="A26242" s="74">
        <v>31034</v>
      </c>
      <c r="B26242">
        <v>13.9</v>
      </c>
    </row>
    <row r="26243" spans="1:2" x14ac:dyDescent="0.25">
      <c r="A26243" s="74">
        <v>31035</v>
      </c>
      <c r="B26243">
        <v>11.3</v>
      </c>
    </row>
    <row r="26244" spans="1:2" x14ac:dyDescent="0.25">
      <c r="A26244" s="74">
        <v>31036</v>
      </c>
      <c r="B26244">
        <v>9.25</v>
      </c>
    </row>
    <row r="26245" spans="1:2" x14ac:dyDescent="0.25">
      <c r="A26245" s="74">
        <v>31037</v>
      </c>
      <c r="B26245">
        <v>7.76</v>
      </c>
    </row>
    <row r="26246" spans="1:2" x14ac:dyDescent="0.25">
      <c r="A26246" s="74">
        <v>31038</v>
      </c>
      <c r="B26246">
        <v>6.86</v>
      </c>
    </row>
    <row r="26247" spans="1:2" x14ac:dyDescent="0.25">
      <c r="A26247" s="74">
        <v>31039</v>
      </c>
      <c r="B26247">
        <v>6</v>
      </c>
    </row>
    <row r="26248" spans="1:2" x14ac:dyDescent="0.25">
      <c r="A26248" s="74">
        <v>31040</v>
      </c>
      <c r="B26248">
        <v>5.3</v>
      </c>
    </row>
    <row r="26249" spans="1:2" x14ac:dyDescent="0.25">
      <c r="A26249" s="74">
        <v>31041</v>
      </c>
      <c r="B26249">
        <v>5</v>
      </c>
    </row>
    <row r="26250" spans="1:2" x14ac:dyDescent="0.25">
      <c r="A26250" s="74">
        <v>31042</v>
      </c>
      <c r="B26250">
        <v>4.78</v>
      </c>
    </row>
    <row r="26251" spans="1:2" x14ac:dyDescent="0.25">
      <c r="A26251" s="74">
        <v>31043</v>
      </c>
      <c r="B26251">
        <v>4.41</v>
      </c>
    </row>
    <row r="26252" spans="1:2" x14ac:dyDescent="0.25">
      <c r="A26252" s="74">
        <v>31044</v>
      </c>
      <c r="B26252">
        <v>4.1900000000000004</v>
      </c>
    </row>
    <row r="26253" spans="1:2" x14ac:dyDescent="0.25">
      <c r="A26253" s="74">
        <v>31045</v>
      </c>
      <c r="B26253">
        <v>3.97</v>
      </c>
    </row>
    <row r="26254" spans="1:2" x14ac:dyDescent="0.25">
      <c r="A26254" s="74">
        <v>31046</v>
      </c>
      <c r="B26254">
        <v>3.74</v>
      </c>
    </row>
    <row r="26255" spans="1:2" x14ac:dyDescent="0.25">
      <c r="A26255" s="74">
        <v>31047</v>
      </c>
      <c r="B26255">
        <v>3.17</v>
      </c>
    </row>
    <row r="26256" spans="1:2" x14ac:dyDescent="0.25">
      <c r="A26256" s="74">
        <v>31048</v>
      </c>
      <c r="B26256">
        <v>3.52</v>
      </c>
    </row>
    <row r="26257" spans="1:2" x14ac:dyDescent="0.25">
      <c r="A26257" s="74">
        <v>31049</v>
      </c>
      <c r="B26257">
        <v>3.66</v>
      </c>
    </row>
    <row r="26258" spans="1:2" x14ac:dyDescent="0.25">
      <c r="A26258" s="74">
        <v>31050</v>
      </c>
      <c r="B26258">
        <v>3.34</v>
      </c>
    </row>
    <row r="26259" spans="1:2" x14ac:dyDescent="0.25">
      <c r="A26259" s="74">
        <v>31051</v>
      </c>
      <c r="B26259">
        <v>3.16</v>
      </c>
    </row>
    <row r="26260" spans="1:2" x14ac:dyDescent="0.25">
      <c r="A26260" s="74">
        <v>31052</v>
      </c>
      <c r="B26260">
        <v>3.4</v>
      </c>
    </row>
    <row r="26261" spans="1:2" x14ac:dyDescent="0.25">
      <c r="A26261" s="74">
        <v>31053</v>
      </c>
      <c r="B26261">
        <v>3.52</v>
      </c>
    </row>
    <row r="26262" spans="1:2" x14ac:dyDescent="0.25">
      <c r="A26262" s="74">
        <v>31054</v>
      </c>
      <c r="B26262">
        <v>3.58</v>
      </c>
    </row>
    <row r="26263" spans="1:2" x14ac:dyDescent="0.25">
      <c r="A26263" s="74">
        <v>31055</v>
      </c>
      <c r="B26263">
        <v>3.52</v>
      </c>
    </row>
    <row r="26264" spans="1:2" x14ac:dyDescent="0.25">
      <c r="A26264" s="74">
        <v>31056</v>
      </c>
      <c r="B26264">
        <v>3.46</v>
      </c>
    </row>
    <row r="26265" spans="1:2" x14ac:dyDescent="0.25">
      <c r="A26265" s="74">
        <v>31057</v>
      </c>
      <c r="B26265">
        <v>3.34</v>
      </c>
    </row>
    <row r="26266" spans="1:2" x14ac:dyDescent="0.25">
      <c r="A26266" s="74">
        <v>31058</v>
      </c>
      <c r="B26266">
        <v>3.34</v>
      </c>
    </row>
    <row r="26267" spans="1:2" x14ac:dyDescent="0.25">
      <c r="A26267" s="74">
        <v>31059</v>
      </c>
      <c r="B26267">
        <v>3.34</v>
      </c>
    </row>
    <row r="26268" spans="1:2" x14ac:dyDescent="0.25">
      <c r="A26268" s="74">
        <v>31060</v>
      </c>
      <c r="B26268">
        <v>3.34</v>
      </c>
    </row>
    <row r="26269" spans="1:2" x14ac:dyDescent="0.25">
      <c r="A26269" s="74">
        <v>31061</v>
      </c>
      <c r="B26269">
        <v>3.52</v>
      </c>
    </row>
    <row r="26270" spans="1:2" x14ac:dyDescent="0.25">
      <c r="A26270" s="74">
        <v>31062</v>
      </c>
      <c r="B26270">
        <v>7.17</v>
      </c>
    </row>
    <row r="26271" spans="1:2" x14ac:dyDescent="0.25">
      <c r="A26271" s="74">
        <v>31063</v>
      </c>
      <c r="B26271">
        <v>6.28</v>
      </c>
    </row>
    <row r="26272" spans="1:2" x14ac:dyDescent="0.25">
      <c r="A26272" s="74">
        <v>31064</v>
      </c>
      <c r="B26272">
        <v>6.6</v>
      </c>
    </row>
    <row r="26273" spans="1:2" x14ac:dyDescent="0.25">
      <c r="A26273" s="74">
        <v>31065</v>
      </c>
      <c r="B26273">
        <v>11.2</v>
      </c>
    </row>
    <row r="26274" spans="1:2" x14ac:dyDescent="0.25">
      <c r="A26274" s="74">
        <v>31066</v>
      </c>
      <c r="B26274">
        <v>16.5</v>
      </c>
    </row>
    <row r="26275" spans="1:2" x14ac:dyDescent="0.25">
      <c r="A26275" s="74">
        <v>31067</v>
      </c>
      <c r="B26275">
        <v>19.899999999999999</v>
      </c>
    </row>
    <row r="26276" spans="1:2" x14ac:dyDescent="0.25">
      <c r="A26276" s="74">
        <v>31068</v>
      </c>
      <c r="B26276">
        <v>16.3</v>
      </c>
    </row>
    <row r="26277" spans="1:2" x14ac:dyDescent="0.25">
      <c r="A26277" s="74">
        <v>31069</v>
      </c>
      <c r="B26277">
        <v>12.2</v>
      </c>
    </row>
    <row r="26278" spans="1:2" x14ac:dyDescent="0.25">
      <c r="A26278" s="74">
        <v>31070</v>
      </c>
      <c r="B26278">
        <v>9.82</v>
      </c>
    </row>
    <row r="26279" spans="1:2" x14ac:dyDescent="0.25">
      <c r="A26279" s="74">
        <v>31071</v>
      </c>
      <c r="B26279">
        <v>8.3699999999999992</v>
      </c>
    </row>
    <row r="26280" spans="1:2" x14ac:dyDescent="0.25">
      <c r="A26280" s="74">
        <v>31072</v>
      </c>
      <c r="B26280">
        <v>7.4</v>
      </c>
    </row>
    <row r="26281" spans="1:2" x14ac:dyDescent="0.25">
      <c r="A26281" s="74">
        <v>31073</v>
      </c>
      <c r="B26281">
        <v>6.49</v>
      </c>
    </row>
    <row r="26282" spans="1:2" x14ac:dyDescent="0.25">
      <c r="A26282" s="74">
        <v>31074</v>
      </c>
      <c r="B26282">
        <v>5.95</v>
      </c>
    </row>
    <row r="26283" spans="1:2" x14ac:dyDescent="0.25">
      <c r="A26283" s="74">
        <v>31075</v>
      </c>
      <c r="B26283">
        <v>5.42</v>
      </c>
    </row>
    <row r="26284" spans="1:2" x14ac:dyDescent="0.25">
      <c r="A26284" s="74">
        <v>31076</v>
      </c>
      <c r="B26284">
        <v>4.6500000000000004</v>
      </c>
    </row>
    <row r="26285" spans="1:2" x14ac:dyDescent="0.25">
      <c r="A26285" s="74">
        <v>31077</v>
      </c>
      <c r="B26285">
        <v>4.28</v>
      </c>
    </row>
    <row r="26286" spans="1:2" x14ac:dyDescent="0.25">
      <c r="A26286" s="74">
        <v>31078</v>
      </c>
      <c r="B26286">
        <v>4.28</v>
      </c>
    </row>
    <row r="26287" spans="1:2" x14ac:dyDescent="0.25">
      <c r="A26287" s="74">
        <v>31079</v>
      </c>
      <c r="B26287">
        <v>4.09</v>
      </c>
    </row>
    <row r="26288" spans="1:2" x14ac:dyDescent="0.25">
      <c r="A26288" s="74">
        <v>31080</v>
      </c>
      <c r="B26288">
        <v>4</v>
      </c>
    </row>
    <row r="26289" spans="1:2" x14ac:dyDescent="0.25">
      <c r="A26289" s="74">
        <v>31081</v>
      </c>
      <c r="B26289">
        <v>3.64</v>
      </c>
    </row>
    <row r="26290" spans="1:2" x14ac:dyDescent="0.25">
      <c r="A26290" s="74">
        <v>31082</v>
      </c>
      <c r="B26290">
        <v>3.22</v>
      </c>
    </row>
    <row r="26291" spans="1:2" x14ac:dyDescent="0.25">
      <c r="A26291" s="74">
        <v>31083</v>
      </c>
      <c r="B26291">
        <v>3.46</v>
      </c>
    </row>
    <row r="26292" spans="1:2" x14ac:dyDescent="0.25">
      <c r="A26292" s="74">
        <v>31084</v>
      </c>
      <c r="B26292">
        <v>3.28</v>
      </c>
    </row>
    <row r="26293" spans="1:2" x14ac:dyDescent="0.25">
      <c r="A26293" s="74">
        <v>31085</v>
      </c>
      <c r="B26293">
        <v>3.52</v>
      </c>
    </row>
    <row r="26294" spans="1:2" x14ac:dyDescent="0.25">
      <c r="A26294" s="74">
        <v>31086</v>
      </c>
      <c r="B26294">
        <v>3.34</v>
      </c>
    </row>
    <row r="26295" spans="1:2" x14ac:dyDescent="0.25">
      <c r="A26295" s="74">
        <v>31087</v>
      </c>
      <c r="B26295">
        <v>3.22</v>
      </c>
    </row>
    <row r="26296" spans="1:2" x14ac:dyDescent="0.25">
      <c r="A26296" s="74">
        <v>31088</v>
      </c>
      <c r="B26296">
        <v>3.1</v>
      </c>
    </row>
    <row r="26297" spans="1:2" x14ac:dyDescent="0.25">
      <c r="A26297" s="74">
        <v>31089</v>
      </c>
      <c r="B26297">
        <v>4.09</v>
      </c>
    </row>
    <row r="26298" spans="1:2" x14ac:dyDescent="0.25">
      <c r="A26298" s="74">
        <v>31090</v>
      </c>
      <c r="B26298">
        <v>15.3</v>
      </c>
    </row>
    <row r="26299" spans="1:2" x14ac:dyDescent="0.25">
      <c r="A26299" s="74">
        <v>31091</v>
      </c>
      <c r="B26299">
        <v>11.4</v>
      </c>
    </row>
    <row r="26300" spans="1:2" x14ac:dyDescent="0.25">
      <c r="A26300" s="74">
        <v>31092</v>
      </c>
      <c r="B26300">
        <v>9.06</v>
      </c>
    </row>
    <row r="26301" spans="1:2" x14ac:dyDescent="0.25">
      <c r="A26301" s="74">
        <v>31093</v>
      </c>
      <c r="B26301">
        <v>30.2</v>
      </c>
    </row>
    <row r="26302" spans="1:2" x14ac:dyDescent="0.25">
      <c r="A26302" s="74">
        <v>31094</v>
      </c>
      <c r="B26302">
        <v>19.2</v>
      </c>
    </row>
    <row r="26303" spans="1:2" x14ac:dyDescent="0.25">
      <c r="A26303" s="74">
        <v>31095</v>
      </c>
      <c r="B26303">
        <v>13.7</v>
      </c>
    </row>
    <row r="26304" spans="1:2" x14ac:dyDescent="0.25">
      <c r="A26304" s="74">
        <v>31096</v>
      </c>
      <c r="B26304">
        <v>10.6</v>
      </c>
    </row>
    <row r="26305" spans="1:2" x14ac:dyDescent="0.25">
      <c r="A26305" s="74">
        <v>31097</v>
      </c>
      <c r="B26305">
        <v>9.51</v>
      </c>
    </row>
    <row r="26306" spans="1:2" x14ac:dyDescent="0.25">
      <c r="A26306" s="74">
        <v>31098</v>
      </c>
      <c r="B26306">
        <v>9.1999999999999993</v>
      </c>
    </row>
    <row r="26307" spans="1:2" x14ac:dyDescent="0.25">
      <c r="A26307" s="74">
        <v>31099</v>
      </c>
      <c r="B26307">
        <v>8.09</v>
      </c>
    </row>
    <row r="26308" spans="1:2" x14ac:dyDescent="0.25">
      <c r="A26308" s="74">
        <v>31100</v>
      </c>
      <c r="B26308">
        <v>8.51</v>
      </c>
    </row>
    <row r="26309" spans="1:2" x14ac:dyDescent="0.25">
      <c r="A26309" s="74">
        <v>31101</v>
      </c>
      <c r="B26309">
        <v>9.06</v>
      </c>
    </row>
    <row r="26310" spans="1:2" x14ac:dyDescent="0.25">
      <c r="A26310" s="74">
        <v>31102</v>
      </c>
      <c r="B26310">
        <v>18.7</v>
      </c>
    </row>
    <row r="26311" spans="1:2" x14ac:dyDescent="0.25">
      <c r="A26311" s="74">
        <v>31103</v>
      </c>
      <c r="B26311">
        <v>15.8</v>
      </c>
    </row>
    <row r="26312" spans="1:2" x14ac:dyDescent="0.25">
      <c r="A26312" s="74">
        <v>31104</v>
      </c>
      <c r="B26312">
        <v>11.6</v>
      </c>
    </row>
    <row r="26313" spans="1:2" x14ac:dyDescent="0.25">
      <c r="A26313" s="74">
        <v>31105</v>
      </c>
      <c r="B26313">
        <v>9.51</v>
      </c>
    </row>
    <row r="26314" spans="1:2" x14ac:dyDescent="0.25">
      <c r="A26314" s="74">
        <v>31106</v>
      </c>
      <c r="B26314">
        <v>8.51</v>
      </c>
    </row>
    <row r="26315" spans="1:2" x14ac:dyDescent="0.25">
      <c r="A26315" s="74">
        <v>31107</v>
      </c>
      <c r="B26315">
        <v>8.7799999999999994</v>
      </c>
    </row>
    <row r="26316" spans="1:2" x14ac:dyDescent="0.25">
      <c r="A26316" s="74">
        <v>31108</v>
      </c>
      <c r="B26316">
        <v>7.95</v>
      </c>
    </row>
    <row r="26317" spans="1:2" x14ac:dyDescent="0.25">
      <c r="A26317" s="74">
        <v>31109</v>
      </c>
      <c r="B26317">
        <v>6.94</v>
      </c>
    </row>
    <row r="26318" spans="1:2" x14ac:dyDescent="0.25">
      <c r="A26318" s="74">
        <v>31110</v>
      </c>
      <c r="B26318">
        <v>6.71</v>
      </c>
    </row>
    <row r="26319" spans="1:2" x14ac:dyDescent="0.25">
      <c r="A26319" s="74">
        <v>31111</v>
      </c>
      <c r="B26319">
        <v>6.49</v>
      </c>
    </row>
    <row r="26320" spans="1:2" x14ac:dyDescent="0.25">
      <c r="A26320" s="74">
        <v>31112</v>
      </c>
      <c r="B26320">
        <v>6.28</v>
      </c>
    </row>
    <row r="26321" spans="1:2" x14ac:dyDescent="0.25">
      <c r="A26321" s="74">
        <v>31113</v>
      </c>
      <c r="B26321">
        <v>5.85</v>
      </c>
    </row>
    <row r="26322" spans="1:2" x14ac:dyDescent="0.25">
      <c r="A26322" s="74">
        <v>31114</v>
      </c>
      <c r="B26322">
        <v>5.42</v>
      </c>
    </row>
    <row r="26323" spans="1:2" x14ac:dyDescent="0.25">
      <c r="A26323" s="74">
        <v>31115</v>
      </c>
      <c r="B26323">
        <v>5.0199999999999996</v>
      </c>
    </row>
    <row r="26324" spans="1:2" x14ac:dyDescent="0.25">
      <c r="A26324" s="74">
        <v>31116</v>
      </c>
      <c r="B26324">
        <v>4.74</v>
      </c>
    </row>
    <row r="26325" spans="1:2" x14ac:dyDescent="0.25">
      <c r="A26325" s="74">
        <v>31117</v>
      </c>
      <c r="B26325">
        <v>4.46</v>
      </c>
    </row>
    <row r="26326" spans="1:2" x14ac:dyDescent="0.25">
      <c r="A26326" s="74">
        <v>31118</v>
      </c>
      <c r="B26326">
        <v>4.28</v>
      </c>
    </row>
    <row r="26327" spans="1:2" x14ac:dyDescent="0.25">
      <c r="A26327" s="74">
        <v>31119</v>
      </c>
      <c r="B26327">
        <v>4.09</v>
      </c>
    </row>
    <row r="26328" spans="1:2" x14ac:dyDescent="0.25">
      <c r="A26328" s="74">
        <v>31120</v>
      </c>
      <c r="B26328">
        <v>3.94</v>
      </c>
    </row>
    <row r="26329" spans="1:2" x14ac:dyDescent="0.25">
      <c r="A26329" s="74">
        <v>31121</v>
      </c>
      <c r="B26329">
        <v>3.94</v>
      </c>
    </row>
    <row r="26330" spans="1:2" x14ac:dyDescent="0.25">
      <c r="A26330" s="74">
        <v>31122</v>
      </c>
      <c r="B26330">
        <v>3.88</v>
      </c>
    </row>
    <row r="26331" spans="1:2" x14ac:dyDescent="0.25">
      <c r="A26331" s="74">
        <v>31123</v>
      </c>
      <c r="B26331">
        <v>4.09</v>
      </c>
    </row>
    <row r="26332" spans="1:2" x14ac:dyDescent="0.25">
      <c r="A26332" s="74">
        <v>31124</v>
      </c>
      <c r="B26332">
        <v>4.55</v>
      </c>
    </row>
    <row r="26333" spans="1:2" x14ac:dyDescent="0.25">
      <c r="A26333" s="74">
        <v>31125</v>
      </c>
      <c r="B26333">
        <v>4.55</v>
      </c>
    </row>
    <row r="26334" spans="1:2" x14ac:dyDescent="0.25">
      <c r="A26334" s="74">
        <v>31126</v>
      </c>
      <c r="B26334">
        <v>5.31</v>
      </c>
    </row>
    <row r="26335" spans="1:2" x14ac:dyDescent="0.25">
      <c r="A26335" s="74">
        <v>31127</v>
      </c>
      <c r="B26335">
        <v>5.52</v>
      </c>
    </row>
    <row r="26336" spans="1:2" x14ac:dyDescent="0.25">
      <c r="A26336" s="74">
        <v>31128</v>
      </c>
      <c r="B26336">
        <v>5.52</v>
      </c>
    </row>
    <row r="26337" spans="1:2" x14ac:dyDescent="0.25">
      <c r="A26337" s="74">
        <v>31129</v>
      </c>
      <c r="B26337">
        <v>6.28</v>
      </c>
    </row>
    <row r="26338" spans="1:2" x14ac:dyDescent="0.25">
      <c r="A26338" s="74">
        <v>31130</v>
      </c>
      <c r="B26338">
        <v>9.1999999999999993</v>
      </c>
    </row>
    <row r="26339" spans="1:2" x14ac:dyDescent="0.25">
      <c r="A26339" s="74">
        <v>31131</v>
      </c>
      <c r="B26339">
        <v>8.3699999999999992</v>
      </c>
    </row>
    <row r="26340" spans="1:2" x14ac:dyDescent="0.25">
      <c r="A26340" s="74">
        <v>31132</v>
      </c>
      <c r="B26340">
        <v>7.17</v>
      </c>
    </row>
    <row r="26341" spans="1:2" x14ac:dyDescent="0.25">
      <c r="A26341" s="74">
        <v>31133</v>
      </c>
      <c r="B26341">
        <v>7.17</v>
      </c>
    </row>
    <row r="26342" spans="1:2" x14ac:dyDescent="0.25">
      <c r="A26342" s="74">
        <v>31134</v>
      </c>
      <c r="B26342">
        <v>6.49</v>
      </c>
    </row>
    <row r="26343" spans="1:2" x14ac:dyDescent="0.25">
      <c r="A26343" s="74">
        <v>31135</v>
      </c>
      <c r="B26343">
        <v>6.83</v>
      </c>
    </row>
    <row r="26344" spans="1:2" x14ac:dyDescent="0.25">
      <c r="A26344" s="74">
        <v>31136</v>
      </c>
      <c r="B26344">
        <v>7.17</v>
      </c>
    </row>
    <row r="26345" spans="1:2" x14ac:dyDescent="0.25">
      <c r="A26345" s="74">
        <v>31137</v>
      </c>
      <c r="B26345">
        <v>12.4</v>
      </c>
    </row>
    <row r="26346" spans="1:2" x14ac:dyDescent="0.25">
      <c r="A26346" s="74">
        <v>31138</v>
      </c>
      <c r="B26346">
        <v>25.8</v>
      </c>
    </row>
    <row r="26347" spans="1:2" x14ac:dyDescent="0.25">
      <c r="A26347" s="74">
        <v>31139</v>
      </c>
      <c r="B26347">
        <v>41.4</v>
      </c>
    </row>
    <row r="26348" spans="1:2" x14ac:dyDescent="0.25">
      <c r="A26348" s="74">
        <v>31140</v>
      </c>
      <c r="B26348">
        <v>32.1</v>
      </c>
    </row>
    <row r="26349" spans="1:2" x14ac:dyDescent="0.25">
      <c r="A26349" s="74">
        <v>31141</v>
      </c>
      <c r="B26349">
        <v>21.6</v>
      </c>
    </row>
    <row r="26350" spans="1:2" x14ac:dyDescent="0.25">
      <c r="A26350" s="74">
        <v>31142</v>
      </c>
      <c r="B26350">
        <v>16.8</v>
      </c>
    </row>
    <row r="26351" spans="1:2" x14ac:dyDescent="0.25">
      <c r="A26351" s="74">
        <v>31143</v>
      </c>
      <c r="B26351">
        <v>14</v>
      </c>
    </row>
    <row r="26352" spans="1:2" x14ac:dyDescent="0.25">
      <c r="A26352" s="74">
        <v>31144</v>
      </c>
      <c r="B26352">
        <v>13.5</v>
      </c>
    </row>
    <row r="26353" spans="1:2" x14ac:dyDescent="0.25">
      <c r="A26353" s="74">
        <v>31145</v>
      </c>
      <c r="B26353">
        <v>16.100000000000001</v>
      </c>
    </row>
    <row r="26354" spans="1:2" x14ac:dyDescent="0.25">
      <c r="A26354" s="74">
        <v>31146</v>
      </c>
      <c r="B26354">
        <v>19</v>
      </c>
    </row>
    <row r="26355" spans="1:2" x14ac:dyDescent="0.25">
      <c r="A26355" s="74">
        <v>31147</v>
      </c>
      <c r="B26355">
        <v>21.6</v>
      </c>
    </row>
    <row r="26356" spans="1:2" x14ac:dyDescent="0.25">
      <c r="A26356" s="74">
        <v>31148</v>
      </c>
      <c r="B26356">
        <v>22.8</v>
      </c>
    </row>
    <row r="26357" spans="1:2" x14ac:dyDescent="0.25">
      <c r="A26357" s="74">
        <v>31149</v>
      </c>
      <c r="B26357">
        <v>37.299999999999997</v>
      </c>
    </row>
    <row r="26358" spans="1:2" x14ac:dyDescent="0.25">
      <c r="A26358" s="74">
        <v>31150</v>
      </c>
      <c r="B26358">
        <v>26.6</v>
      </c>
    </row>
    <row r="26359" spans="1:2" x14ac:dyDescent="0.25">
      <c r="A26359" s="74">
        <v>31151</v>
      </c>
      <c r="B26359">
        <v>28</v>
      </c>
    </row>
    <row r="26360" spans="1:2" x14ac:dyDescent="0.25">
      <c r="A26360" s="74">
        <v>31152</v>
      </c>
      <c r="B26360">
        <v>20.399999999999999</v>
      </c>
    </row>
    <row r="26361" spans="1:2" x14ac:dyDescent="0.25">
      <c r="A26361" s="74">
        <v>31153</v>
      </c>
      <c r="B26361">
        <v>17</v>
      </c>
    </row>
    <row r="26362" spans="1:2" x14ac:dyDescent="0.25">
      <c r="A26362" s="74">
        <v>31154</v>
      </c>
      <c r="B26362">
        <v>14.4</v>
      </c>
    </row>
    <row r="26363" spans="1:2" x14ac:dyDescent="0.25">
      <c r="A26363" s="74">
        <v>31155</v>
      </c>
      <c r="B26363">
        <v>11.6</v>
      </c>
    </row>
    <row r="26364" spans="1:2" x14ac:dyDescent="0.25">
      <c r="A26364" s="74">
        <v>31156</v>
      </c>
      <c r="B26364">
        <v>9.66</v>
      </c>
    </row>
    <row r="26365" spans="1:2" x14ac:dyDescent="0.25">
      <c r="A26365" s="74">
        <v>31157</v>
      </c>
      <c r="B26365">
        <v>7.95</v>
      </c>
    </row>
    <row r="26366" spans="1:2" x14ac:dyDescent="0.25">
      <c r="A26366" s="74">
        <v>31158</v>
      </c>
      <c r="B26366">
        <v>6.83</v>
      </c>
    </row>
    <row r="26367" spans="1:2" x14ac:dyDescent="0.25">
      <c r="A26367" s="74">
        <v>31159</v>
      </c>
      <c r="B26367">
        <v>6.06</v>
      </c>
    </row>
    <row r="26368" spans="1:2" x14ac:dyDescent="0.25">
      <c r="A26368" s="74">
        <v>31160</v>
      </c>
      <c r="B26368">
        <v>7.06</v>
      </c>
    </row>
    <row r="26369" spans="1:2" x14ac:dyDescent="0.25">
      <c r="A26369" s="74">
        <v>31161</v>
      </c>
      <c r="B26369">
        <v>6.83</v>
      </c>
    </row>
    <row r="26370" spans="1:2" x14ac:dyDescent="0.25">
      <c r="A26370" s="74">
        <v>31162</v>
      </c>
      <c r="B26370">
        <v>6.6</v>
      </c>
    </row>
    <row r="26371" spans="1:2" x14ac:dyDescent="0.25">
      <c r="A26371" s="74">
        <v>31163</v>
      </c>
      <c r="B26371">
        <v>6.6</v>
      </c>
    </row>
    <row r="26372" spans="1:2" x14ac:dyDescent="0.25">
      <c r="A26372" s="74">
        <v>31164</v>
      </c>
      <c r="B26372">
        <v>12.9</v>
      </c>
    </row>
    <row r="26373" spans="1:2" x14ac:dyDescent="0.25">
      <c r="A26373" s="74">
        <v>31165</v>
      </c>
      <c r="B26373">
        <v>13.1</v>
      </c>
    </row>
    <row r="26374" spans="1:2" x14ac:dyDescent="0.25">
      <c r="A26374" s="74">
        <v>31166</v>
      </c>
      <c r="B26374">
        <v>10.6</v>
      </c>
    </row>
    <row r="26375" spans="1:2" x14ac:dyDescent="0.25">
      <c r="A26375" s="74">
        <v>31167</v>
      </c>
      <c r="B26375">
        <v>8.65</v>
      </c>
    </row>
    <row r="26376" spans="1:2" x14ac:dyDescent="0.25">
      <c r="A26376" s="74">
        <v>31168</v>
      </c>
      <c r="B26376">
        <v>7.68</v>
      </c>
    </row>
    <row r="26377" spans="1:2" x14ac:dyDescent="0.25">
      <c r="A26377" s="74">
        <v>31169</v>
      </c>
      <c r="B26377">
        <v>7.82</v>
      </c>
    </row>
    <row r="26378" spans="1:2" x14ac:dyDescent="0.25">
      <c r="A26378" s="74">
        <v>31170</v>
      </c>
      <c r="B26378">
        <v>12.7</v>
      </c>
    </row>
    <row r="26379" spans="1:2" x14ac:dyDescent="0.25">
      <c r="A26379" s="74">
        <v>31171</v>
      </c>
      <c r="B26379">
        <v>13.3</v>
      </c>
    </row>
    <row r="26380" spans="1:2" x14ac:dyDescent="0.25">
      <c r="A26380" s="74">
        <v>31172</v>
      </c>
      <c r="B26380">
        <v>11</v>
      </c>
    </row>
    <row r="26381" spans="1:2" x14ac:dyDescent="0.25">
      <c r="A26381" s="74">
        <v>31173</v>
      </c>
      <c r="B26381">
        <v>9.1999999999999993</v>
      </c>
    </row>
    <row r="26382" spans="1:2" x14ac:dyDescent="0.25">
      <c r="A26382" s="74">
        <v>31174</v>
      </c>
      <c r="B26382">
        <v>8.92</v>
      </c>
    </row>
    <row r="26383" spans="1:2" x14ac:dyDescent="0.25">
      <c r="A26383" s="74">
        <v>31175</v>
      </c>
      <c r="B26383">
        <v>8.23</v>
      </c>
    </row>
    <row r="26384" spans="1:2" x14ac:dyDescent="0.25">
      <c r="A26384" s="74">
        <v>31176</v>
      </c>
      <c r="B26384">
        <v>7.68</v>
      </c>
    </row>
    <row r="26385" spans="1:2" x14ac:dyDescent="0.25">
      <c r="A26385" s="74">
        <v>31177</v>
      </c>
      <c r="B26385">
        <v>6.94</v>
      </c>
    </row>
    <row r="26386" spans="1:2" x14ac:dyDescent="0.25">
      <c r="A26386" s="74">
        <v>31178</v>
      </c>
      <c r="B26386">
        <v>7.06</v>
      </c>
    </row>
    <row r="26387" spans="1:2" x14ac:dyDescent="0.25">
      <c r="A26387" s="74">
        <v>31179</v>
      </c>
      <c r="B26387">
        <v>6.6</v>
      </c>
    </row>
    <row r="26388" spans="1:2" x14ac:dyDescent="0.25">
      <c r="A26388" s="74">
        <v>31180</v>
      </c>
      <c r="B26388">
        <v>6.6</v>
      </c>
    </row>
    <row r="26389" spans="1:2" x14ac:dyDescent="0.25">
      <c r="A26389" s="74">
        <v>31181</v>
      </c>
      <c r="B26389">
        <v>8.51</v>
      </c>
    </row>
    <row r="26390" spans="1:2" x14ac:dyDescent="0.25">
      <c r="A26390" s="74">
        <v>31182</v>
      </c>
      <c r="B26390">
        <v>8.51</v>
      </c>
    </row>
    <row r="26391" spans="1:2" x14ac:dyDescent="0.25">
      <c r="A26391" s="74">
        <v>31183</v>
      </c>
      <c r="B26391">
        <v>9.66</v>
      </c>
    </row>
    <row r="26392" spans="1:2" x14ac:dyDescent="0.25">
      <c r="A26392" s="74">
        <v>31184</v>
      </c>
      <c r="B26392">
        <v>16.100000000000001</v>
      </c>
    </row>
    <row r="26393" spans="1:2" x14ac:dyDescent="0.25">
      <c r="A26393" s="74">
        <v>31185</v>
      </c>
      <c r="B26393">
        <v>22.3</v>
      </c>
    </row>
    <row r="26394" spans="1:2" x14ac:dyDescent="0.25">
      <c r="A26394" s="74">
        <v>31186</v>
      </c>
      <c r="B26394">
        <v>20.399999999999999</v>
      </c>
    </row>
    <row r="26395" spans="1:2" x14ac:dyDescent="0.25">
      <c r="A26395" s="74">
        <v>31187</v>
      </c>
      <c r="B26395">
        <v>14.8</v>
      </c>
    </row>
    <row r="26396" spans="1:2" x14ac:dyDescent="0.25">
      <c r="A26396" s="74">
        <v>31188</v>
      </c>
      <c r="B26396">
        <v>12.7</v>
      </c>
    </row>
    <row r="26397" spans="1:2" x14ac:dyDescent="0.25">
      <c r="A26397" s="74">
        <v>31189</v>
      </c>
      <c r="B26397">
        <v>12.4</v>
      </c>
    </row>
    <row r="26398" spans="1:2" x14ac:dyDescent="0.25">
      <c r="A26398" s="74">
        <v>31190</v>
      </c>
      <c r="B26398">
        <v>13.7</v>
      </c>
    </row>
    <row r="26399" spans="1:2" x14ac:dyDescent="0.25">
      <c r="A26399" s="74">
        <v>31191</v>
      </c>
      <c r="B26399">
        <v>15.1</v>
      </c>
    </row>
    <row r="26400" spans="1:2" x14ac:dyDescent="0.25">
      <c r="A26400" s="74">
        <v>31192</v>
      </c>
      <c r="B26400">
        <v>13.5</v>
      </c>
    </row>
    <row r="26401" spans="1:2" x14ac:dyDescent="0.25">
      <c r="A26401" s="74">
        <v>31193</v>
      </c>
      <c r="B26401">
        <v>10.9</v>
      </c>
    </row>
    <row r="26402" spans="1:2" x14ac:dyDescent="0.25">
      <c r="A26402" s="74">
        <v>31194</v>
      </c>
      <c r="B26402">
        <v>10.7</v>
      </c>
    </row>
    <row r="26403" spans="1:2" x14ac:dyDescent="0.25">
      <c r="A26403" s="74">
        <v>31195</v>
      </c>
      <c r="B26403">
        <v>9.66</v>
      </c>
    </row>
    <row r="26404" spans="1:2" x14ac:dyDescent="0.25">
      <c r="A26404" s="74">
        <v>31196</v>
      </c>
      <c r="B26404">
        <v>9.06</v>
      </c>
    </row>
    <row r="26405" spans="1:2" x14ac:dyDescent="0.25">
      <c r="A26405" s="74">
        <v>31197</v>
      </c>
      <c r="B26405">
        <v>8.51</v>
      </c>
    </row>
    <row r="26406" spans="1:2" x14ac:dyDescent="0.25">
      <c r="A26406" s="74">
        <v>31198</v>
      </c>
      <c r="B26406">
        <v>7.54</v>
      </c>
    </row>
    <row r="26407" spans="1:2" x14ac:dyDescent="0.25">
      <c r="A26407" s="74">
        <v>31199</v>
      </c>
      <c r="B26407">
        <v>8.3699999999999992</v>
      </c>
    </row>
    <row r="26408" spans="1:2" x14ac:dyDescent="0.25">
      <c r="A26408" s="74">
        <v>31200</v>
      </c>
      <c r="B26408">
        <v>8.92</v>
      </c>
    </row>
    <row r="26409" spans="1:2" x14ac:dyDescent="0.25">
      <c r="A26409" s="74">
        <v>31201</v>
      </c>
      <c r="B26409">
        <v>7.06</v>
      </c>
    </row>
    <row r="26410" spans="1:2" x14ac:dyDescent="0.25">
      <c r="A26410" s="74">
        <v>31202</v>
      </c>
      <c r="B26410">
        <v>6.6</v>
      </c>
    </row>
    <row r="26411" spans="1:2" x14ac:dyDescent="0.25">
      <c r="A26411" s="74">
        <v>31203</v>
      </c>
      <c r="B26411">
        <v>7.17</v>
      </c>
    </row>
    <row r="26412" spans="1:2" x14ac:dyDescent="0.25">
      <c r="A26412" s="74">
        <v>31204</v>
      </c>
      <c r="B26412">
        <v>5.74</v>
      </c>
    </row>
    <row r="26413" spans="1:2" x14ac:dyDescent="0.25">
      <c r="A26413" s="74">
        <v>31205</v>
      </c>
      <c r="B26413">
        <v>6.06</v>
      </c>
    </row>
    <row r="26414" spans="1:2" x14ac:dyDescent="0.25">
      <c r="A26414" s="74">
        <v>31206</v>
      </c>
      <c r="B26414">
        <v>5.95</v>
      </c>
    </row>
    <row r="26415" spans="1:2" x14ac:dyDescent="0.25">
      <c r="A26415" s="74">
        <v>31207</v>
      </c>
      <c r="B26415">
        <v>4.74</v>
      </c>
    </row>
    <row r="26416" spans="1:2" x14ac:dyDescent="0.25">
      <c r="A26416" s="74">
        <v>31208</v>
      </c>
      <c r="B26416">
        <v>4.37</v>
      </c>
    </row>
    <row r="26417" spans="1:2" x14ac:dyDescent="0.25">
      <c r="A26417" s="74">
        <v>31209</v>
      </c>
      <c r="B26417">
        <v>4.37</v>
      </c>
    </row>
    <row r="26418" spans="1:2" x14ac:dyDescent="0.25">
      <c r="A26418" s="74">
        <v>31210</v>
      </c>
      <c r="B26418">
        <v>5.52</v>
      </c>
    </row>
    <row r="26419" spans="1:2" x14ac:dyDescent="0.25">
      <c r="A26419" s="74">
        <v>31211</v>
      </c>
      <c r="B26419">
        <v>4.74</v>
      </c>
    </row>
    <row r="26420" spans="1:2" x14ac:dyDescent="0.25">
      <c r="A26420" s="74">
        <v>31212</v>
      </c>
      <c r="B26420">
        <v>4.28</v>
      </c>
    </row>
    <row r="26421" spans="1:2" x14ac:dyDescent="0.25">
      <c r="A26421" s="74">
        <v>31213</v>
      </c>
      <c r="B26421">
        <v>5.95</v>
      </c>
    </row>
    <row r="26422" spans="1:2" x14ac:dyDescent="0.25">
      <c r="A26422" s="74">
        <v>31214</v>
      </c>
      <c r="B26422">
        <v>4.55</v>
      </c>
    </row>
    <row r="26423" spans="1:2" x14ac:dyDescent="0.25">
      <c r="A26423" s="74">
        <v>31215</v>
      </c>
      <c r="B26423">
        <v>3.88</v>
      </c>
    </row>
    <row r="26424" spans="1:2" x14ac:dyDescent="0.25">
      <c r="A26424" s="74">
        <v>31216</v>
      </c>
      <c r="B26424">
        <v>4</v>
      </c>
    </row>
    <row r="26425" spans="1:2" x14ac:dyDescent="0.25">
      <c r="A26425" s="74">
        <v>31217</v>
      </c>
      <c r="B26425">
        <v>4.74</v>
      </c>
    </row>
    <row r="26426" spans="1:2" x14ac:dyDescent="0.25">
      <c r="A26426" s="74">
        <v>31218</v>
      </c>
      <c r="B26426">
        <v>4.55</v>
      </c>
    </row>
    <row r="26427" spans="1:2" x14ac:dyDescent="0.25">
      <c r="A26427" s="74">
        <v>31219</v>
      </c>
      <c r="B26427">
        <v>3.88</v>
      </c>
    </row>
    <row r="26428" spans="1:2" x14ac:dyDescent="0.25">
      <c r="A26428" s="74">
        <v>31220</v>
      </c>
      <c r="B26428">
        <v>3.52</v>
      </c>
    </row>
    <row r="26429" spans="1:2" x14ac:dyDescent="0.25">
      <c r="A26429" s="74">
        <v>31221</v>
      </c>
      <c r="B26429">
        <v>3.04</v>
      </c>
    </row>
    <row r="26430" spans="1:2" x14ac:dyDescent="0.25">
      <c r="A26430" s="74">
        <v>31222</v>
      </c>
      <c r="B26430">
        <v>2.8</v>
      </c>
    </row>
    <row r="26431" spans="1:2" x14ac:dyDescent="0.25">
      <c r="A26431" s="74">
        <v>31223</v>
      </c>
      <c r="B26431">
        <v>2.62</v>
      </c>
    </row>
    <row r="26432" spans="1:2" x14ac:dyDescent="0.25">
      <c r="A26432" s="74">
        <v>31224</v>
      </c>
      <c r="B26432">
        <v>2.52</v>
      </c>
    </row>
    <row r="26433" spans="1:2" x14ac:dyDescent="0.25">
      <c r="A26433" s="74">
        <v>31225</v>
      </c>
      <c r="B26433">
        <v>2.52</v>
      </c>
    </row>
    <row r="26434" spans="1:2" x14ac:dyDescent="0.25">
      <c r="A26434" s="74">
        <v>31226</v>
      </c>
      <c r="B26434">
        <v>2.34</v>
      </c>
    </row>
    <row r="26435" spans="1:2" x14ac:dyDescent="0.25">
      <c r="A26435" s="74">
        <v>31227</v>
      </c>
      <c r="B26435">
        <v>2.2000000000000002</v>
      </c>
    </row>
    <row r="26436" spans="1:2" x14ac:dyDescent="0.25">
      <c r="A26436" s="74">
        <v>31228</v>
      </c>
      <c r="B26436">
        <v>2.11</v>
      </c>
    </row>
    <row r="26437" spans="1:2" x14ac:dyDescent="0.25">
      <c r="A26437" s="74">
        <v>31229</v>
      </c>
      <c r="B26437">
        <v>1.97</v>
      </c>
    </row>
    <row r="26438" spans="1:2" x14ac:dyDescent="0.25">
      <c r="A26438" s="74">
        <v>31230</v>
      </c>
      <c r="B26438">
        <v>1.88</v>
      </c>
    </row>
    <row r="26439" spans="1:2" x14ac:dyDescent="0.25">
      <c r="A26439" s="74">
        <v>31231</v>
      </c>
      <c r="B26439">
        <v>1.88</v>
      </c>
    </row>
    <row r="26440" spans="1:2" x14ac:dyDescent="0.25">
      <c r="A26440" s="74">
        <v>31232</v>
      </c>
      <c r="B26440">
        <v>1.92</v>
      </c>
    </row>
    <row r="26441" spans="1:2" x14ac:dyDescent="0.25">
      <c r="A26441" s="74">
        <v>31233</v>
      </c>
      <c r="B26441">
        <v>1.97</v>
      </c>
    </row>
    <row r="26442" spans="1:2" x14ac:dyDescent="0.25">
      <c r="A26442" s="74">
        <v>31234</v>
      </c>
      <c r="B26442">
        <v>2.02</v>
      </c>
    </row>
    <row r="26443" spans="1:2" x14ac:dyDescent="0.25">
      <c r="A26443" s="74">
        <v>31235</v>
      </c>
      <c r="B26443">
        <v>1.83</v>
      </c>
    </row>
    <row r="26444" spans="1:2" x14ac:dyDescent="0.25">
      <c r="A26444" s="74">
        <v>31236</v>
      </c>
      <c r="B26444">
        <v>1.74</v>
      </c>
    </row>
    <row r="26445" spans="1:2" x14ac:dyDescent="0.25">
      <c r="A26445" s="74">
        <v>31237</v>
      </c>
      <c r="B26445">
        <v>1.69</v>
      </c>
    </row>
    <row r="26446" spans="1:2" x14ac:dyDescent="0.25">
      <c r="A26446" s="74">
        <v>31238</v>
      </c>
      <c r="B26446">
        <v>1.69</v>
      </c>
    </row>
    <row r="26447" spans="1:2" x14ac:dyDescent="0.25">
      <c r="A26447" s="74">
        <v>31239</v>
      </c>
      <c r="B26447">
        <v>1.69</v>
      </c>
    </row>
    <row r="26448" spans="1:2" x14ac:dyDescent="0.25">
      <c r="A26448" s="74">
        <v>31240</v>
      </c>
      <c r="B26448">
        <v>1.55</v>
      </c>
    </row>
    <row r="26449" spans="1:2" x14ac:dyDescent="0.25">
      <c r="A26449" s="74">
        <v>31241</v>
      </c>
      <c r="B26449">
        <v>1.42</v>
      </c>
    </row>
    <row r="26450" spans="1:2" x14ac:dyDescent="0.25">
      <c r="A26450" s="74">
        <v>31242</v>
      </c>
      <c r="B26450">
        <v>1.32</v>
      </c>
    </row>
    <row r="26451" spans="1:2" x14ac:dyDescent="0.25">
      <c r="A26451" s="74">
        <v>31243</v>
      </c>
      <c r="B26451">
        <v>1.23</v>
      </c>
    </row>
    <row r="26452" spans="1:2" x14ac:dyDescent="0.25">
      <c r="A26452" s="74">
        <v>31244</v>
      </c>
      <c r="B26452">
        <v>1.18</v>
      </c>
    </row>
    <row r="26453" spans="1:2" x14ac:dyDescent="0.25">
      <c r="A26453" s="74">
        <v>31245</v>
      </c>
      <c r="B26453">
        <v>1.1399999999999999</v>
      </c>
    </row>
    <row r="26454" spans="1:2" x14ac:dyDescent="0.25">
      <c r="A26454" s="74">
        <v>31246</v>
      </c>
      <c r="B26454">
        <v>1.0900000000000001</v>
      </c>
    </row>
    <row r="26455" spans="1:2" x14ac:dyDescent="0.25">
      <c r="A26455" s="74">
        <v>31247</v>
      </c>
      <c r="B26455">
        <v>1.05</v>
      </c>
    </row>
    <row r="26456" spans="1:2" x14ac:dyDescent="0.25">
      <c r="A26456" s="74">
        <v>31248</v>
      </c>
      <c r="B26456">
        <v>1</v>
      </c>
    </row>
    <row r="26457" spans="1:2" x14ac:dyDescent="0.25">
      <c r="A26457" s="74">
        <v>31249</v>
      </c>
      <c r="B26457">
        <v>0.96899999999999997</v>
      </c>
    </row>
    <row r="26458" spans="1:2" x14ac:dyDescent="0.25">
      <c r="A26458" s="74">
        <v>31250</v>
      </c>
      <c r="B26458">
        <v>0.96899999999999997</v>
      </c>
    </row>
    <row r="26459" spans="1:2" x14ac:dyDescent="0.25">
      <c r="A26459" s="74">
        <v>31251</v>
      </c>
      <c r="B26459">
        <v>0.90900000000000003</v>
      </c>
    </row>
    <row r="26460" spans="1:2" x14ac:dyDescent="0.25">
      <c r="A26460" s="74">
        <v>31252</v>
      </c>
      <c r="B26460">
        <v>0.878</v>
      </c>
    </row>
    <row r="26461" spans="1:2" x14ac:dyDescent="0.25">
      <c r="A26461" s="74">
        <v>31253</v>
      </c>
      <c r="B26461">
        <v>0.81699999999999995</v>
      </c>
    </row>
    <row r="26462" spans="1:2" x14ac:dyDescent="0.25">
      <c r="A26462" s="74">
        <v>31254</v>
      </c>
      <c r="B26462">
        <v>0.78700000000000003</v>
      </c>
    </row>
    <row r="26463" spans="1:2" x14ac:dyDescent="0.25">
      <c r="A26463" s="74">
        <v>31255</v>
      </c>
      <c r="B26463">
        <v>0.75600000000000001</v>
      </c>
    </row>
    <row r="26464" spans="1:2" x14ac:dyDescent="0.25">
      <c r="A26464" s="74">
        <v>31256</v>
      </c>
      <c r="B26464">
        <v>0.72599999999999998</v>
      </c>
    </row>
    <row r="26465" spans="1:2" x14ac:dyDescent="0.25">
      <c r="A26465" s="74">
        <v>31257</v>
      </c>
      <c r="B26465">
        <v>0.69599999999999995</v>
      </c>
    </row>
    <row r="26466" spans="1:2" x14ac:dyDescent="0.25">
      <c r="A26466" s="74">
        <v>31258</v>
      </c>
      <c r="B26466">
        <v>0.69599999999999995</v>
      </c>
    </row>
    <row r="26467" spans="1:2" x14ac:dyDescent="0.25">
      <c r="A26467" s="74">
        <v>31259</v>
      </c>
      <c r="B26467">
        <v>0.66500000000000004</v>
      </c>
    </row>
    <row r="26468" spans="1:2" x14ac:dyDescent="0.25">
      <c r="A26468" s="74">
        <v>31260</v>
      </c>
      <c r="B26468">
        <v>0.66500000000000004</v>
      </c>
    </row>
    <row r="26469" spans="1:2" x14ac:dyDescent="0.25">
      <c r="A26469" s="74">
        <v>31261</v>
      </c>
      <c r="B26469">
        <v>0.75600000000000001</v>
      </c>
    </row>
    <row r="26470" spans="1:2" x14ac:dyDescent="0.25">
      <c r="A26470" s="74">
        <v>31262</v>
      </c>
      <c r="B26470">
        <v>0.69599999999999995</v>
      </c>
    </row>
    <row r="26471" spans="1:2" x14ac:dyDescent="0.25">
      <c r="A26471" s="74">
        <v>31263</v>
      </c>
      <c r="B26471">
        <v>0.69599999999999995</v>
      </c>
    </row>
    <row r="26472" spans="1:2" x14ac:dyDescent="0.25">
      <c r="A26472" s="74">
        <v>31264</v>
      </c>
      <c r="B26472">
        <v>0.66500000000000004</v>
      </c>
    </row>
    <row r="26473" spans="1:2" x14ac:dyDescent="0.25">
      <c r="A26473" s="74">
        <v>31265</v>
      </c>
      <c r="B26473">
        <v>0.63500000000000001</v>
      </c>
    </row>
    <row r="26474" spans="1:2" x14ac:dyDescent="0.25">
      <c r="A26474" s="74">
        <v>31266</v>
      </c>
      <c r="B26474">
        <v>0.63500000000000001</v>
      </c>
    </row>
    <row r="26475" spans="1:2" x14ac:dyDescent="0.25">
      <c r="A26475" s="74">
        <v>31267</v>
      </c>
      <c r="B26475">
        <v>0.66500000000000004</v>
      </c>
    </row>
    <row r="26476" spans="1:2" x14ac:dyDescent="0.25">
      <c r="A26476" s="74">
        <v>31268</v>
      </c>
      <c r="B26476">
        <v>0.60399999999999998</v>
      </c>
    </row>
    <row r="26477" spans="1:2" x14ac:dyDescent="0.25">
      <c r="A26477" s="74">
        <v>31269</v>
      </c>
      <c r="B26477">
        <v>0.81699999999999995</v>
      </c>
    </row>
    <row r="26478" spans="1:2" x14ac:dyDescent="0.25">
      <c r="A26478" s="74">
        <v>31270</v>
      </c>
      <c r="B26478">
        <v>0.63500000000000001</v>
      </c>
    </row>
    <row r="26479" spans="1:2" x14ac:dyDescent="0.25">
      <c r="A26479" s="74">
        <v>31271</v>
      </c>
      <c r="B26479">
        <v>0.57399999999999995</v>
      </c>
    </row>
    <row r="26480" spans="1:2" x14ac:dyDescent="0.25">
      <c r="A26480" s="74">
        <v>31272</v>
      </c>
      <c r="B26480">
        <v>0.60399999999999998</v>
      </c>
    </row>
    <row r="26481" spans="1:2" x14ac:dyDescent="0.25">
      <c r="A26481" s="74">
        <v>31273</v>
      </c>
      <c r="B26481">
        <v>0.54300000000000004</v>
      </c>
    </row>
    <row r="26482" spans="1:2" x14ac:dyDescent="0.25">
      <c r="A26482" s="74">
        <v>31274</v>
      </c>
      <c r="B26482">
        <v>0.51300000000000001</v>
      </c>
    </row>
    <row r="26483" spans="1:2" x14ac:dyDescent="0.25">
      <c r="A26483" s="74">
        <v>31275</v>
      </c>
      <c r="B26483">
        <v>0.45200000000000001</v>
      </c>
    </row>
    <row r="26484" spans="1:2" x14ac:dyDescent="0.25">
      <c r="A26484" s="74">
        <v>31276</v>
      </c>
      <c r="B26484">
        <v>0.45200000000000001</v>
      </c>
    </row>
    <row r="26485" spans="1:2" x14ac:dyDescent="0.25">
      <c r="A26485" s="74">
        <v>31277</v>
      </c>
      <c r="B26485">
        <v>0.42199999999999999</v>
      </c>
    </row>
    <row r="26486" spans="1:2" x14ac:dyDescent="0.25">
      <c r="A26486" s="74">
        <v>31278</v>
      </c>
      <c r="B26486">
        <v>0.42199999999999999</v>
      </c>
    </row>
    <row r="26487" spans="1:2" x14ac:dyDescent="0.25">
      <c r="A26487" s="74">
        <v>31279</v>
      </c>
      <c r="B26487">
        <v>0.39100000000000001</v>
      </c>
    </row>
    <row r="26488" spans="1:2" x14ac:dyDescent="0.25">
      <c r="A26488" s="74">
        <v>31280</v>
      </c>
      <c r="B26488">
        <v>0.39100000000000001</v>
      </c>
    </row>
    <row r="26489" spans="1:2" x14ac:dyDescent="0.25">
      <c r="A26489" s="74">
        <v>31281</v>
      </c>
      <c r="B26489">
        <v>0.39100000000000001</v>
      </c>
    </row>
    <row r="26490" spans="1:2" x14ac:dyDescent="0.25">
      <c r="A26490" s="74">
        <v>31282</v>
      </c>
      <c r="B26490">
        <v>0.36099999999999999</v>
      </c>
    </row>
    <row r="26491" spans="1:2" x14ac:dyDescent="0.25">
      <c r="A26491" s="74">
        <v>31283</v>
      </c>
      <c r="B26491">
        <v>0.36099999999999999</v>
      </c>
    </row>
    <row r="26492" spans="1:2" x14ac:dyDescent="0.25">
      <c r="A26492" s="74">
        <v>31284</v>
      </c>
      <c r="B26492">
        <v>0.33</v>
      </c>
    </row>
    <row r="26493" spans="1:2" x14ac:dyDescent="0.25">
      <c r="A26493" s="74">
        <v>31285</v>
      </c>
      <c r="B26493">
        <v>0.3</v>
      </c>
    </row>
    <row r="26494" spans="1:2" x14ac:dyDescent="0.25">
      <c r="A26494" s="74">
        <v>31286</v>
      </c>
      <c r="B26494">
        <v>0.3</v>
      </c>
    </row>
    <row r="26495" spans="1:2" x14ac:dyDescent="0.25">
      <c r="A26495" s="74">
        <v>31287</v>
      </c>
      <c r="B26495">
        <v>0.26900000000000002</v>
      </c>
    </row>
    <row r="26496" spans="1:2" x14ac:dyDescent="0.25">
      <c r="A26496" s="74">
        <v>31288</v>
      </c>
      <c r="B26496">
        <v>0.26900000000000002</v>
      </c>
    </row>
    <row r="26497" spans="1:2" x14ac:dyDescent="0.25">
      <c r="A26497" s="74">
        <v>31289</v>
      </c>
      <c r="B26497">
        <v>0.26900000000000002</v>
      </c>
    </row>
    <row r="26498" spans="1:2" x14ac:dyDescent="0.25">
      <c r="A26498" s="74">
        <v>31290</v>
      </c>
      <c r="B26498">
        <v>0.36099999999999999</v>
      </c>
    </row>
    <row r="26499" spans="1:2" x14ac:dyDescent="0.25">
      <c r="A26499" s="74">
        <v>31291</v>
      </c>
      <c r="B26499">
        <v>0.28399999999999997</v>
      </c>
    </row>
    <row r="26500" spans="1:2" x14ac:dyDescent="0.25">
      <c r="A26500" s="74">
        <v>31292</v>
      </c>
      <c r="B26500">
        <v>0.28399999999999997</v>
      </c>
    </row>
    <row r="26501" spans="1:2" x14ac:dyDescent="0.25">
      <c r="A26501" s="74">
        <v>31293</v>
      </c>
      <c r="B26501">
        <v>0.28399999999999997</v>
      </c>
    </row>
    <row r="26502" spans="1:2" x14ac:dyDescent="0.25">
      <c r="A26502" s="74">
        <v>31294</v>
      </c>
      <c r="B26502">
        <v>0.26900000000000002</v>
      </c>
    </row>
    <row r="26503" spans="1:2" x14ac:dyDescent="0.25">
      <c r="A26503" s="74">
        <v>31295</v>
      </c>
      <c r="B26503">
        <v>0.28399999999999997</v>
      </c>
    </row>
    <row r="26504" spans="1:2" x14ac:dyDescent="0.25">
      <c r="A26504" s="74">
        <v>31296</v>
      </c>
      <c r="B26504">
        <v>0.81699999999999995</v>
      </c>
    </row>
    <row r="26505" spans="1:2" x14ac:dyDescent="0.25">
      <c r="A26505" s="74">
        <v>31297</v>
      </c>
      <c r="B26505">
        <v>0.48199999999999998</v>
      </c>
    </row>
    <row r="26506" spans="1:2" x14ac:dyDescent="0.25">
      <c r="A26506" s="74">
        <v>31298</v>
      </c>
      <c r="B26506">
        <v>0.42199999999999999</v>
      </c>
    </row>
    <row r="26507" spans="1:2" x14ac:dyDescent="0.25">
      <c r="A26507" s="74">
        <v>31299</v>
      </c>
      <c r="B26507">
        <v>0.42199999999999999</v>
      </c>
    </row>
    <row r="26508" spans="1:2" x14ac:dyDescent="0.25">
      <c r="A26508" s="74">
        <v>31300</v>
      </c>
      <c r="B26508">
        <v>0.39100000000000001</v>
      </c>
    </row>
    <row r="26509" spans="1:2" x14ac:dyDescent="0.25">
      <c r="A26509" s="74">
        <v>31301</v>
      </c>
      <c r="B26509">
        <v>0.36099999999999999</v>
      </c>
    </row>
    <row r="26510" spans="1:2" x14ac:dyDescent="0.25">
      <c r="A26510" s="74">
        <v>31302</v>
      </c>
      <c r="B26510">
        <v>0.42199999999999999</v>
      </c>
    </row>
    <row r="26511" spans="1:2" x14ac:dyDescent="0.25">
      <c r="A26511" s="74">
        <v>31303</v>
      </c>
      <c r="B26511">
        <v>0.48199999999999998</v>
      </c>
    </row>
    <row r="26512" spans="1:2" x14ac:dyDescent="0.25">
      <c r="A26512" s="74">
        <v>31304</v>
      </c>
      <c r="B26512">
        <v>1.55</v>
      </c>
    </row>
    <row r="26513" spans="1:2" x14ac:dyDescent="0.25">
      <c r="A26513" s="74">
        <v>31305</v>
      </c>
      <c r="B26513">
        <v>2.38</v>
      </c>
    </row>
    <row r="26514" spans="1:2" x14ac:dyDescent="0.25">
      <c r="A26514" s="74">
        <v>31306</v>
      </c>
      <c r="B26514">
        <v>2.06</v>
      </c>
    </row>
    <row r="26515" spans="1:2" x14ac:dyDescent="0.25">
      <c r="A26515" s="74">
        <v>31307</v>
      </c>
      <c r="B26515">
        <v>1.83</v>
      </c>
    </row>
    <row r="26516" spans="1:2" x14ac:dyDescent="0.25">
      <c r="A26516" s="74">
        <v>31308</v>
      </c>
      <c r="B26516">
        <v>1.65</v>
      </c>
    </row>
    <row r="26517" spans="1:2" x14ac:dyDescent="0.25">
      <c r="A26517" s="74">
        <v>31309</v>
      </c>
      <c r="B26517">
        <v>1.46</v>
      </c>
    </row>
    <row r="26518" spans="1:2" x14ac:dyDescent="0.25">
      <c r="A26518" s="74">
        <v>31310</v>
      </c>
      <c r="B26518">
        <v>1.28</v>
      </c>
    </row>
    <row r="26519" spans="1:2" x14ac:dyDescent="0.25">
      <c r="A26519" s="74">
        <v>31311</v>
      </c>
      <c r="B26519">
        <v>1.1399999999999999</v>
      </c>
    </row>
    <row r="26520" spans="1:2" x14ac:dyDescent="0.25">
      <c r="A26520" s="74">
        <v>31312</v>
      </c>
      <c r="B26520">
        <v>1</v>
      </c>
    </row>
    <row r="26521" spans="1:2" x14ac:dyDescent="0.25">
      <c r="A26521" s="74">
        <v>31313</v>
      </c>
      <c r="B26521">
        <v>0.93899999999999995</v>
      </c>
    </row>
    <row r="26522" spans="1:2" x14ac:dyDescent="0.25">
      <c r="A26522" s="74">
        <v>31314</v>
      </c>
      <c r="B26522">
        <v>0.878</v>
      </c>
    </row>
    <row r="26523" spans="1:2" x14ac:dyDescent="0.25">
      <c r="A26523" s="74">
        <v>31315</v>
      </c>
      <c r="B26523">
        <v>0.81699999999999995</v>
      </c>
    </row>
    <row r="26524" spans="1:2" x14ac:dyDescent="0.25">
      <c r="A26524" s="74">
        <v>31316</v>
      </c>
      <c r="B26524">
        <v>0.78700000000000003</v>
      </c>
    </row>
    <row r="26525" spans="1:2" x14ac:dyDescent="0.25">
      <c r="A26525" s="74">
        <v>31317</v>
      </c>
      <c r="B26525">
        <v>0.75600000000000001</v>
      </c>
    </row>
    <row r="26526" spans="1:2" x14ac:dyDescent="0.25">
      <c r="A26526" s="74">
        <v>31318</v>
      </c>
      <c r="B26526">
        <v>0.66500000000000004</v>
      </c>
    </row>
    <row r="26527" spans="1:2" x14ac:dyDescent="0.25">
      <c r="A26527" s="74">
        <v>31319</v>
      </c>
      <c r="B26527">
        <v>0.66500000000000004</v>
      </c>
    </row>
    <row r="26528" spans="1:2" x14ac:dyDescent="0.25">
      <c r="A26528" s="74">
        <v>31320</v>
      </c>
      <c r="B26528">
        <v>0.56999999999999995</v>
      </c>
    </row>
    <row r="26529" spans="1:2" x14ac:dyDescent="0.25">
      <c r="A26529" s="74">
        <v>31321</v>
      </c>
      <c r="B26529">
        <v>0.56999999999999995</v>
      </c>
    </row>
    <row r="26530" spans="1:2" x14ac:dyDescent="0.25">
      <c r="A26530" s="74">
        <v>31322</v>
      </c>
      <c r="B26530">
        <v>0.60399999999999998</v>
      </c>
    </row>
    <row r="26531" spans="1:2" x14ac:dyDescent="0.25">
      <c r="A26531" s="74">
        <v>31323</v>
      </c>
      <c r="B26531">
        <v>0.57399999999999995</v>
      </c>
    </row>
    <row r="26532" spans="1:2" x14ac:dyDescent="0.25">
      <c r="A26532" s="74">
        <v>31324</v>
      </c>
      <c r="B26532">
        <v>0.51300000000000001</v>
      </c>
    </row>
    <row r="26533" spans="1:2" x14ac:dyDescent="0.25">
      <c r="A26533" s="74">
        <v>31325</v>
      </c>
      <c r="B26533">
        <v>0.54300000000000004</v>
      </c>
    </row>
    <row r="26534" spans="1:2" x14ac:dyDescent="0.25">
      <c r="A26534" s="74">
        <v>31326</v>
      </c>
      <c r="B26534">
        <v>0.51300000000000001</v>
      </c>
    </row>
    <row r="26535" spans="1:2" x14ac:dyDescent="0.25">
      <c r="A26535" s="74">
        <v>31327</v>
      </c>
      <c r="B26535">
        <v>0.51300000000000001</v>
      </c>
    </row>
    <row r="26536" spans="1:2" x14ac:dyDescent="0.25">
      <c r="A26536" s="74">
        <v>31328</v>
      </c>
      <c r="B26536">
        <v>0.48199999999999998</v>
      </c>
    </row>
    <row r="26537" spans="1:2" x14ac:dyDescent="0.25">
      <c r="A26537" s="74">
        <v>31329</v>
      </c>
      <c r="B26537">
        <v>0.45200000000000001</v>
      </c>
    </row>
    <row r="26538" spans="1:2" x14ac:dyDescent="0.25">
      <c r="A26538" s="74">
        <v>31330</v>
      </c>
      <c r="B26538">
        <v>0.48199999999999998</v>
      </c>
    </row>
    <row r="26539" spans="1:2" x14ac:dyDescent="0.25">
      <c r="A26539" s="74">
        <v>31331</v>
      </c>
      <c r="B26539">
        <v>0.84799999999999998</v>
      </c>
    </row>
    <row r="26540" spans="1:2" x14ac:dyDescent="0.25">
      <c r="A26540" s="74">
        <v>31332</v>
      </c>
      <c r="B26540">
        <v>2.48</v>
      </c>
    </row>
    <row r="26541" spans="1:2" x14ac:dyDescent="0.25">
      <c r="A26541" s="74">
        <v>31333</v>
      </c>
      <c r="B26541">
        <v>1.92</v>
      </c>
    </row>
    <row r="26542" spans="1:2" x14ac:dyDescent="0.25">
      <c r="A26542" s="74">
        <v>31334</v>
      </c>
      <c r="B26542">
        <v>1.69</v>
      </c>
    </row>
    <row r="26543" spans="1:2" x14ac:dyDescent="0.25">
      <c r="A26543" s="74">
        <v>31335</v>
      </c>
      <c r="B26543">
        <v>1.97</v>
      </c>
    </row>
    <row r="26544" spans="1:2" x14ac:dyDescent="0.25">
      <c r="A26544" s="74">
        <v>31336</v>
      </c>
      <c r="B26544">
        <v>6.49</v>
      </c>
    </row>
    <row r="26545" spans="1:2" x14ac:dyDescent="0.25">
      <c r="A26545" s="74">
        <v>31337</v>
      </c>
      <c r="B26545">
        <v>3.88</v>
      </c>
    </row>
    <row r="26546" spans="1:2" x14ac:dyDescent="0.25">
      <c r="A26546" s="74">
        <v>31338</v>
      </c>
      <c r="B26546">
        <v>4.83</v>
      </c>
    </row>
    <row r="26547" spans="1:2" x14ac:dyDescent="0.25">
      <c r="A26547" s="74">
        <v>31339</v>
      </c>
      <c r="B26547">
        <v>16.3</v>
      </c>
    </row>
    <row r="26548" spans="1:2" x14ac:dyDescent="0.25">
      <c r="A26548" s="74">
        <v>31340</v>
      </c>
      <c r="B26548">
        <v>24</v>
      </c>
    </row>
    <row r="26549" spans="1:2" x14ac:dyDescent="0.25">
      <c r="A26549" s="74">
        <v>31341</v>
      </c>
      <c r="B26549">
        <v>25.8</v>
      </c>
    </row>
    <row r="26550" spans="1:2" x14ac:dyDescent="0.25">
      <c r="A26550" s="74">
        <v>31342</v>
      </c>
      <c r="B26550">
        <v>62.7</v>
      </c>
    </row>
    <row r="26551" spans="1:2" x14ac:dyDescent="0.25">
      <c r="A26551" s="74">
        <v>31343</v>
      </c>
      <c r="B26551">
        <v>30.5</v>
      </c>
    </row>
    <row r="26552" spans="1:2" x14ac:dyDescent="0.25">
      <c r="A26552" s="74">
        <v>31344</v>
      </c>
      <c r="B26552">
        <v>17.7</v>
      </c>
    </row>
    <row r="26553" spans="1:2" x14ac:dyDescent="0.25">
      <c r="A26553" s="74">
        <v>31345</v>
      </c>
      <c r="B26553">
        <v>17.7</v>
      </c>
    </row>
    <row r="26554" spans="1:2" x14ac:dyDescent="0.25">
      <c r="A26554" s="74">
        <v>31346</v>
      </c>
      <c r="B26554">
        <v>13.3</v>
      </c>
    </row>
    <row r="26555" spans="1:2" x14ac:dyDescent="0.25">
      <c r="A26555" s="74">
        <v>31347</v>
      </c>
      <c r="B26555">
        <v>21.1</v>
      </c>
    </row>
    <row r="26556" spans="1:2" x14ac:dyDescent="0.25">
      <c r="A26556" s="74">
        <v>31348</v>
      </c>
      <c r="B26556">
        <v>21.6</v>
      </c>
    </row>
    <row r="26557" spans="1:2" x14ac:dyDescent="0.25">
      <c r="A26557" s="74">
        <v>31349</v>
      </c>
      <c r="B26557">
        <v>14</v>
      </c>
    </row>
    <row r="26558" spans="1:2" x14ac:dyDescent="0.25">
      <c r="A26558" s="74">
        <v>31350</v>
      </c>
      <c r="B26558">
        <v>13.3</v>
      </c>
    </row>
    <row r="26559" spans="1:2" x14ac:dyDescent="0.25">
      <c r="A26559" s="74">
        <v>31351</v>
      </c>
      <c r="B26559">
        <v>11.6</v>
      </c>
    </row>
    <row r="26560" spans="1:2" x14ac:dyDescent="0.25">
      <c r="A26560" s="74">
        <v>31352</v>
      </c>
      <c r="B26560">
        <v>10.1</v>
      </c>
    </row>
    <row r="26561" spans="1:2" x14ac:dyDescent="0.25">
      <c r="A26561" s="74">
        <v>31353</v>
      </c>
      <c r="B26561">
        <v>26.4</v>
      </c>
    </row>
    <row r="26562" spans="1:2" x14ac:dyDescent="0.25">
      <c r="A26562" s="74">
        <v>31354</v>
      </c>
      <c r="B26562">
        <v>19.2</v>
      </c>
    </row>
    <row r="26563" spans="1:2" x14ac:dyDescent="0.25">
      <c r="A26563" s="74">
        <v>31355</v>
      </c>
      <c r="B26563">
        <v>13.7</v>
      </c>
    </row>
    <row r="26564" spans="1:2" x14ac:dyDescent="0.25">
      <c r="A26564" s="74">
        <v>31356</v>
      </c>
      <c r="B26564">
        <v>10.1</v>
      </c>
    </row>
    <row r="26565" spans="1:2" x14ac:dyDescent="0.25">
      <c r="A26565" s="74">
        <v>31357</v>
      </c>
      <c r="B26565">
        <v>10.4</v>
      </c>
    </row>
    <row r="26566" spans="1:2" x14ac:dyDescent="0.25">
      <c r="A26566" s="74">
        <v>31358</v>
      </c>
      <c r="B26566">
        <v>9.35</v>
      </c>
    </row>
    <row r="26567" spans="1:2" x14ac:dyDescent="0.25">
      <c r="A26567" s="74">
        <v>31359</v>
      </c>
      <c r="B26567">
        <v>7.82</v>
      </c>
    </row>
    <row r="26568" spans="1:2" x14ac:dyDescent="0.25">
      <c r="A26568" s="74">
        <v>31360</v>
      </c>
      <c r="B26568">
        <v>7.17</v>
      </c>
    </row>
    <row r="26569" spans="1:2" x14ac:dyDescent="0.25">
      <c r="A26569" s="74">
        <v>31361</v>
      </c>
      <c r="B26569">
        <v>6.49</v>
      </c>
    </row>
    <row r="26570" spans="1:2" x14ac:dyDescent="0.25">
      <c r="A26570" s="74">
        <v>31362</v>
      </c>
      <c r="B26570">
        <v>5.52</v>
      </c>
    </row>
    <row r="26571" spans="1:2" x14ac:dyDescent="0.25">
      <c r="A26571" s="74">
        <v>31363</v>
      </c>
      <c r="B26571">
        <v>4.83</v>
      </c>
    </row>
    <row r="26572" spans="1:2" x14ac:dyDescent="0.25">
      <c r="A26572" s="74">
        <v>31364</v>
      </c>
      <c r="B26572">
        <v>4.55</v>
      </c>
    </row>
    <row r="26573" spans="1:2" x14ac:dyDescent="0.25">
      <c r="A26573" s="74">
        <v>31365</v>
      </c>
      <c r="B26573">
        <v>4</v>
      </c>
    </row>
    <row r="26574" spans="1:2" x14ac:dyDescent="0.25">
      <c r="A26574" s="74">
        <v>31366</v>
      </c>
      <c r="B26574">
        <v>4</v>
      </c>
    </row>
    <row r="26575" spans="1:2" x14ac:dyDescent="0.25">
      <c r="A26575" s="74">
        <v>31367</v>
      </c>
      <c r="B26575">
        <v>8.51</v>
      </c>
    </row>
    <row r="26576" spans="1:2" x14ac:dyDescent="0.25">
      <c r="A26576" s="74">
        <v>31368</v>
      </c>
      <c r="B26576">
        <v>7.68</v>
      </c>
    </row>
    <row r="26577" spans="1:3" x14ac:dyDescent="0.25">
      <c r="A26577" s="74">
        <v>31369</v>
      </c>
      <c r="B26577">
        <v>6.38</v>
      </c>
    </row>
    <row r="26578" spans="1:3" x14ac:dyDescent="0.25">
      <c r="A26578" s="74">
        <v>31370</v>
      </c>
      <c r="B26578">
        <v>5.52</v>
      </c>
    </row>
    <row r="26579" spans="1:3" x14ac:dyDescent="0.25">
      <c r="A26579" s="74">
        <v>31371</v>
      </c>
      <c r="B26579">
        <v>5.0199999999999996</v>
      </c>
    </row>
    <row r="26580" spans="1:3" x14ac:dyDescent="0.25">
      <c r="A26580" s="74">
        <v>31372</v>
      </c>
      <c r="B26580">
        <v>4.37</v>
      </c>
    </row>
    <row r="26581" spans="1:3" x14ac:dyDescent="0.25">
      <c r="A26581" s="74">
        <v>31373</v>
      </c>
      <c r="B26581">
        <v>3.4</v>
      </c>
      <c r="C26581" t="s">
        <v>142</v>
      </c>
    </row>
    <row r="26582" spans="1:3" x14ac:dyDescent="0.25">
      <c r="A26582" s="74">
        <v>31374</v>
      </c>
      <c r="B26582">
        <v>2.6</v>
      </c>
      <c r="C26582" t="s">
        <v>142</v>
      </c>
    </row>
    <row r="26583" spans="1:3" x14ac:dyDescent="0.25">
      <c r="A26583" s="74">
        <v>31375</v>
      </c>
      <c r="B26583">
        <v>2.7</v>
      </c>
      <c r="C26583" t="s">
        <v>142</v>
      </c>
    </row>
    <row r="26584" spans="1:3" x14ac:dyDescent="0.25">
      <c r="A26584" s="74">
        <v>31376</v>
      </c>
      <c r="B26584">
        <v>3.3</v>
      </c>
      <c r="C26584" t="s">
        <v>142</v>
      </c>
    </row>
    <row r="26585" spans="1:3" x14ac:dyDescent="0.25">
      <c r="A26585" s="74">
        <v>31377</v>
      </c>
      <c r="B26585">
        <v>3.3</v>
      </c>
      <c r="C26585" t="s">
        <v>142</v>
      </c>
    </row>
    <row r="26586" spans="1:3" x14ac:dyDescent="0.25">
      <c r="A26586" s="74">
        <v>31378</v>
      </c>
      <c r="B26586">
        <v>2.8</v>
      </c>
      <c r="C26586" t="s">
        <v>142</v>
      </c>
    </row>
    <row r="26587" spans="1:3" x14ac:dyDescent="0.25">
      <c r="A26587" s="74">
        <v>31379</v>
      </c>
      <c r="B26587">
        <v>2.6</v>
      </c>
      <c r="C26587" t="s">
        <v>142</v>
      </c>
    </row>
    <row r="26588" spans="1:3" x14ac:dyDescent="0.25">
      <c r="A26588" s="74">
        <v>31380</v>
      </c>
      <c r="B26588">
        <v>2.2000000000000002</v>
      </c>
      <c r="C26588" t="s">
        <v>142</v>
      </c>
    </row>
    <row r="26589" spans="1:3" x14ac:dyDescent="0.25">
      <c r="A26589" s="74">
        <v>31381</v>
      </c>
      <c r="B26589">
        <v>2.4</v>
      </c>
      <c r="C26589" t="s">
        <v>142</v>
      </c>
    </row>
    <row r="26590" spans="1:3" x14ac:dyDescent="0.25">
      <c r="A26590" s="74">
        <v>31382</v>
      </c>
      <c r="B26590">
        <v>2.2000000000000002</v>
      </c>
      <c r="C26590" t="s">
        <v>142</v>
      </c>
    </row>
    <row r="26591" spans="1:3" x14ac:dyDescent="0.25">
      <c r="A26591" s="74">
        <v>31383</v>
      </c>
      <c r="B26591">
        <v>2.6</v>
      </c>
      <c r="C26591" t="s">
        <v>142</v>
      </c>
    </row>
    <row r="26592" spans="1:3" x14ac:dyDescent="0.25">
      <c r="A26592" s="74">
        <v>31384</v>
      </c>
      <c r="B26592">
        <v>2.5</v>
      </c>
      <c r="C26592" t="s">
        <v>142</v>
      </c>
    </row>
    <row r="26593" spans="1:3" x14ac:dyDescent="0.25">
      <c r="A26593" s="74">
        <v>31385</v>
      </c>
      <c r="B26593">
        <v>3</v>
      </c>
      <c r="C26593" t="s">
        <v>142</v>
      </c>
    </row>
    <row r="26594" spans="1:3" x14ac:dyDescent="0.25">
      <c r="A26594" s="74">
        <v>31386</v>
      </c>
      <c r="B26594">
        <v>51.5</v>
      </c>
    </row>
    <row r="26595" spans="1:3" x14ac:dyDescent="0.25">
      <c r="A26595" s="74">
        <v>31387</v>
      </c>
      <c r="B26595">
        <v>41.4</v>
      </c>
    </row>
    <row r="26596" spans="1:3" x14ac:dyDescent="0.25">
      <c r="A26596" s="74">
        <v>31388</v>
      </c>
      <c r="B26596">
        <v>29.6</v>
      </c>
    </row>
    <row r="26597" spans="1:3" x14ac:dyDescent="0.25">
      <c r="A26597" s="74">
        <v>31389</v>
      </c>
      <c r="B26597">
        <v>23.1</v>
      </c>
    </row>
    <row r="26598" spans="1:3" x14ac:dyDescent="0.25">
      <c r="A26598" s="74">
        <v>31390</v>
      </c>
      <c r="B26598">
        <v>15.8</v>
      </c>
    </row>
    <row r="26599" spans="1:3" x14ac:dyDescent="0.25">
      <c r="A26599" s="74">
        <v>31391</v>
      </c>
      <c r="B26599">
        <v>11</v>
      </c>
    </row>
    <row r="26600" spans="1:3" x14ac:dyDescent="0.25">
      <c r="A26600" s="74">
        <v>31392</v>
      </c>
      <c r="B26600">
        <v>9.1999999999999993</v>
      </c>
    </row>
    <row r="26601" spans="1:3" x14ac:dyDescent="0.25">
      <c r="A26601" s="74">
        <v>31393</v>
      </c>
      <c r="B26601">
        <v>7.54</v>
      </c>
    </row>
    <row r="26602" spans="1:3" x14ac:dyDescent="0.25">
      <c r="A26602" s="74">
        <v>31394</v>
      </c>
      <c r="B26602">
        <v>6.17</v>
      </c>
    </row>
    <row r="26603" spans="1:3" x14ac:dyDescent="0.25">
      <c r="A26603" s="74">
        <v>31395</v>
      </c>
      <c r="B26603">
        <v>5.63</v>
      </c>
    </row>
    <row r="26604" spans="1:3" x14ac:dyDescent="0.25">
      <c r="A26604" s="74">
        <v>31396</v>
      </c>
      <c r="B26604">
        <v>5.0199999999999996</v>
      </c>
    </row>
    <row r="26605" spans="1:3" x14ac:dyDescent="0.25">
      <c r="A26605" s="74">
        <v>31397</v>
      </c>
      <c r="B26605">
        <v>4.6500000000000004</v>
      </c>
    </row>
    <row r="26606" spans="1:3" x14ac:dyDescent="0.25">
      <c r="A26606" s="74">
        <v>31398</v>
      </c>
      <c r="B26606">
        <v>4.28</v>
      </c>
    </row>
    <row r="26607" spans="1:3" x14ac:dyDescent="0.25">
      <c r="A26607" s="74">
        <v>31399</v>
      </c>
      <c r="B26607">
        <v>4.28</v>
      </c>
    </row>
    <row r="26608" spans="1:3" x14ac:dyDescent="0.25">
      <c r="A26608" s="74">
        <v>31400</v>
      </c>
      <c r="B26608">
        <v>4.28</v>
      </c>
    </row>
    <row r="26609" spans="1:2" x14ac:dyDescent="0.25">
      <c r="A26609" s="74">
        <v>31401</v>
      </c>
      <c r="B26609">
        <v>4.6500000000000004</v>
      </c>
    </row>
    <row r="26610" spans="1:2" x14ac:dyDescent="0.25">
      <c r="A26610" s="74">
        <v>31402</v>
      </c>
      <c r="B26610">
        <v>4.6500000000000004</v>
      </c>
    </row>
    <row r="26611" spans="1:2" x14ac:dyDescent="0.25">
      <c r="A26611" s="74">
        <v>31403</v>
      </c>
      <c r="B26611">
        <v>4.55</v>
      </c>
    </row>
    <row r="26612" spans="1:2" x14ac:dyDescent="0.25">
      <c r="A26612" s="74">
        <v>31404</v>
      </c>
      <c r="B26612">
        <v>4.55</v>
      </c>
    </row>
    <row r="26613" spans="1:2" x14ac:dyDescent="0.25">
      <c r="A26613" s="74">
        <v>31405</v>
      </c>
      <c r="B26613">
        <v>4.6500000000000004</v>
      </c>
    </row>
    <row r="26614" spans="1:2" x14ac:dyDescent="0.25">
      <c r="A26614" s="74">
        <v>31406</v>
      </c>
      <c r="B26614">
        <v>4.28</v>
      </c>
    </row>
    <row r="26615" spans="1:2" x14ac:dyDescent="0.25">
      <c r="A26615" s="74">
        <v>31407</v>
      </c>
      <c r="B26615">
        <v>4</v>
      </c>
    </row>
    <row r="26616" spans="1:2" x14ac:dyDescent="0.25">
      <c r="A26616" s="74">
        <v>31408</v>
      </c>
      <c r="B26616">
        <v>3.82</v>
      </c>
    </row>
    <row r="26617" spans="1:2" x14ac:dyDescent="0.25">
      <c r="A26617" s="74">
        <v>31409</v>
      </c>
      <c r="B26617">
        <v>3.64</v>
      </c>
    </row>
    <row r="26618" spans="1:2" x14ac:dyDescent="0.25">
      <c r="A26618" s="74">
        <v>31410</v>
      </c>
      <c r="B26618">
        <v>3.64</v>
      </c>
    </row>
    <row r="26619" spans="1:2" x14ac:dyDescent="0.25">
      <c r="A26619" s="74">
        <v>31411</v>
      </c>
      <c r="B26619">
        <v>3.52</v>
      </c>
    </row>
    <row r="26620" spans="1:2" x14ac:dyDescent="0.25">
      <c r="A26620" s="74">
        <v>31412</v>
      </c>
      <c r="B26620">
        <v>3.28</v>
      </c>
    </row>
    <row r="26621" spans="1:2" x14ac:dyDescent="0.25">
      <c r="A26621" s="74">
        <v>31413</v>
      </c>
      <c r="B26621">
        <v>3.62</v>
      </c>
    </row>
    <row r="26622" spans="1:2" x14ac:dyDescent="0.25">
      <c r="A26622" s="74">
        <v>31414</v>
      </c>
      <c r="B26622">
        <v>3.87</v>
      </c>
    </row>
    <row r="26623" spans="1:2" x14ac:dyDescent="0.25">
      <c r="A26623" s="74">
        <v>31415</v>
      </c>
      <c r="B26623">
        <v>3.71</v>
      </c>
    </row>
    <row r="26624" spans="1:2" x14ac:dyDescent="0.25">
      <c r="A26624" s="74">
        <v>31416</v>
      </c>
      <c r="B26624">
        <v>3.55</v>
      </c>
    </row>
    <row r="26625" spans="1:2" x14ac:dyDescent="0.25">
      <c r="A26625" s="74">
        <v>31417</v>
      </c>
      <c r="B26625">
        <v>4.88</v>
      </c>
    </row>
    <row r="26626" spans="1:2" x14ac:dyDescent="0.25">
      <c r="A26626" s="74">
        <v>31418</v>
      </c>
      <c r="B26626">
        <v>11</v>
      </c>
    </row>
    <row r="26627" spans="1:2" x14ac:dyDescent="0.25">
      <c r="A26627" s="74">
        <v>31419</v>
      </c>
      <c r="B26627">
        <v>10.1</v>
      </c>
    </row>
    <row r="26628" spans="1:2" x14ac:dyDescent="0.25">
      <c r="A26628" s="74">
        <v>31420</v>
      </c>
      <c r="B26628">
        <v>76.2</v>
      </c>
    </row>
    <row r="26629" spans="1:2" x14ac:dyDescent="0.25">
      <c r="A26629" s="74">
        <v>31421</v>
      </c>
      <c r="B26629">
        <v>46.1</v>
      </c>
    </row>
    <row r="26630" spans="1:2" x14ac:dyDescent="0.25">
      <c r="A26630" s="74">
        <v>31422</v>
      </c>
      <c r="B26630">
        <v>90.2</v>
      </c>
    </row>
    <row r="26631" spans="1:2" x14ac:dyDescent="0.25">
      <c r="A26631" s="74">
        <v>31423</v>
      </c>
      <c r="B26631">
        <v>86.1</v>
      </c>
    </row>
    <row r="26632" spans="1:2" x14ac:dyDescent="0.25">
      <c r="A26632" s="74">
        <v>31424</v>
      </c>
      <c r="B26632">
        <v>39.5</v>
      </c>
    </row>
    <row r="26633" spans="1:2" x14ac:dyDescent="0.25">
      <c r="A26633" s="74">
        <v>31425</v>
      </c>
      <c r="B26633">
        <v>28.1</v>
      </c>
    </row>
    <row r="26634" spans="1:2" x14ac:dyDescent="0.25">
      <c r="A26634" s="74">
        <v>31426</v>
      </c>
      <c r="B26634">
        <v>34.9</v>
      </c>
    </row>
    <row r="26635" spans="1:2" x14ac:dyDescent="0.25">
      <c r="A26635" s="74">
        <v>31427</v>
      </c>
      <c r="B26635">
        <v>26.7</v>
      </c>
    </row>
    <row r="26636" spans="1:2" x14ac:dyDescent="0.25">
      <c r="A26636" s="74">
        <v>31428</v>
      </c>
      <c r="B26636">
        <v>33.700000000000003</v>
      </c>
    </row>
    <row r="26637" spans="1:2" x14ac:dyDescent="0.25">
      <c r="A26637" s="74">
        <v>31429</v>
      </c>
      <c r="B26637">
        <v>49.5</v>
      </c>
    </row>
    <row r="26638" spans="1:2" x14ac:dyDescent="0.25">
      <c r="A26638" s="74">
        <v>31430</v>
      </c>
      <c r="B26638">
        <v>259</v>
      </c>
    </row>
    <row r="26639" spans="1:2" x14ac:dyDescent="0.25">
      <c r="A26639" s="74">
        <v>31431</v>
      </c>
      <c r="B26639">
        <v>184</v>
      </c>
    </row>
    <row r="26640" spans="1:2" x14ac:dyDescent="0.25">
      <c r="A26640" s="74">
        <v>31432</v>
      </c>
      <c r="B26640">
        <v>57.5</v>
      </c>
    </row>
    <row r="26641" spans="1:2" x14ac:dyDescent="0.25">
      <c r="A26641" s="74">
        <v>31433</v>
      </c>
      <c r="B26641">
        <v>35.4</v>
      </c>
    </row>
    <row r="26642" spans="1:2" x14ac:dyDescent="0.25">
      <c r="A26642" s="74">
        <v>31434</v>
      </c>
      <c r="B26642">
        <v>30.4</v>
      </c>
    </row>
    <row r="26643" spans="1:2" x14ac:dyDescent="0.25">
      <c r="A26643" s="74">
        <v>31435</v>
      </c>
      <c r="B26643">
        <v>44.3</v>
      </c>
    </row>
    <row r="26644" spans="1:2" x14ac:dyDescent="0.25">
      <c r="A26644" s="74">
        <v>31436</v>
      </c>
      <c r="B26644">
        <v>34.200000000000003</v>
      </c>
    </row>
    <row r="26645" spans="1:2" x14ac:dyDescent="0.25">
      <c r="A26645" s="74">
        <v>31437</v>
      </c>
      <c r="B26645">
        <v>24.2</v>
      </c>
    </row>
    <row r="26646" spans="1:2" x14ac:dyDescent="0.25">
      <c r="A26646" s="74">
        <v>31438</v>
      </c>
      <c r="B26646">
        <v>18.399999999999999</v>
      </c>
    </row>
    <row r="26647" spans="1:2" x14ac:dyDescent="0.25">
      <c r="A26647" s="74">
        <v>31439</v>
      </c>
      <c r="B26647">
        <v>17.899999999999999</v>
      </c>
    </row>
    <row r="26648" spans="1:2" x14ac:dyDescent="0.25">
      <c r="A26648" s="74">
        <v>31440</v>
      </c>
      <c r="B26648">
        <v>19.100000000000001</v>
      </c>
    </row>
    <row r="26649" spans="1:2" x14ac:dyDescent="0.25">
      <c r="A26649" s="74">
        <v>31441</v>
      </c>
      <c r="B26649">
        <v>16.5</v>
      </c>
    </row>
    <row r="26650" spans="1:2" x14ac:dyDescent="0.25">
      <c r="A26650" s="74">
        <v>31442</v>
      </c>
      <c r="B26650">
        <v>18</v>
      </c>
    </row>
    <row r="26651" spans="1:2" x14ac:dyDescent="0.25">
      <c r="A26651" s="74">
        <v>31443</v>
      </c>
      <c r="B26651">
        <v>20.100000000000001</v>
      </c>
    </row>
    <row r="26652" spans="1:2" x14ac:dyDescent="0.25">
      <c r="A26652" s="74">
        <v>31444</v>
      </c>
      <c r="B26652">
        <v>33.9</v>
      </c>
    </row>
    <row r="26653" spans="1:2" x14ac:dyDescent="0.25">
      <c r="A26653" s="74">
        <v>31445</v>
      </c>
      <c r="B26653">
        <v>36</v>
      </c>
    </row>
    <row r="26654" spans="1:2" x14ac:dyDescent="0.25">
      <c r="A26654" s="74">
        <v>31446</v>
      </c>
      <c r="B26654">
        <v>25.7</v>
      </c>
    </row>
    <row r="26655" spans="1:2" x14ac:dyDescent="0.25">
      <c r="A26655" s="74">
        <v>31447</v>
      </c>
      <c r="B26655">
        <v>20</v>
      </c>
    </row>
    <row r="26656" spans="1:2" x14ac:dyDescent="0.25">
      <c r="A26656" s="74">
        <v>31448</v>
      </c>
      <c r="B26656">
        <v>18.600000000000001</v>
      </c>
    </row>
    <row r="26657" spans="1:3" x14ac:dyDescent="0.25">
      <c r="A26657" s="74">
        <v>31449</v>
      </c>
      <c r="B26657">
        <v>15.1</v>
      </c>
    </row>
    <row r="26658" spans="1:3" x14ac:dyDescent="0.25">
      <c r="A26658" s="74">
        <v>31450</v>
      </c>
      <c r="B26658">
        <v>12.3</v>
      </c>
    </row>
    <row r="26659" spans="1:3" x14ac:dyDescent="0.25">
      <c r="A26659" s="74">
        <v>31451</v>
      </c>
      <c r="B26659">
        <v>10.6</v>
      </c>
    </row>
    <row r="26660" spans="1:3" x14ac:dyDescent="0.25">
      <c r="A26660" s="74">
        <v>31452</v>
      </c>
      <c r="B26660">
        <v>9.15</v>
      </c>
    </row>
    <row r="26661" spans="1:3" x14ac:dyDescent="0.25">
      <c r="A26661" s="74">
        <v>31453</v>
      </c>
      <c r="B26661">
        <v>8.41</v>
      </c>
    </row>
    <row r="26662" spans="1:3" x14ac:dyDescent="0.25">
      <c r="A26662" s="74">
        <v>31454</v>
      </c>
      <c r="B26662">
        <v>7.29</v>
      </c>
    </row>
    <row r="26663" spans="1:3" x14ac:dyDescent="0.25">
      <c r="A26663" s="74">
        <v>31455</v>
      </c>
      <c r="B26663">
        <v>6.68</v>
      </c>
    </row>
    <row r="26664" spans="1:3" x14ac:dyDescent="0.25">
      <c r="A26664" s="74">
        <v>31456</v>
      </c>
      <c r="B26664">
        <v>5.92</v>
      </c>
    </row>
    <row r="26665" spans="1:3" x14ac:dyDescent="0.25">
      <c r="A26665" s="74">
        <v>31457</v>
      </c>
      <c r="B26665">
        <v>5.23</v>
      </c>
    </row>
    <row r="26666" spans="1:3" x14ac:dyDescent="0.25">
      <c r="A26666" s="74">
        <v>31458</v>
      </c>
      <c r="B26666">
        <v>5.0999999999999996</v>
      </c>
      <c r="C26666" t="s">
        <v>142</v>
      </c>
    </row>
    <row r="26667" spans="1:3" x14ac:dyDescent="0.25">
      <c r="A26667" s="74">
        <v>31459</v>
      </c>
      <c r="B26667">
        <v>4.8099999999999996</v>
      </c>
      <c r="C26667" t="s">
        <v>142</v>
      </c>
    </row>
    <row r="26668" spans="1:3" x14ac:dyDescent="0.25">
      <c r="A26668" s="74">
        <v>31460</v>
      </c>
      <c r="B26668">
        <v>4.42</v>
      </c>
      <c r="C26668" t="s">
        <v>142</v>
      </c>
    </row>
    <row r="26669" spans="1:3" x14ac:dyDescent="0.25">
      <c r="A26669" s="74">
        <v>31461</v>
      </c>
      <c r="B26669">
        <v>4.0199999999999996</v>
      </c>
      <c r="C26669" t="s">
        <v>142</v>
      </c>
    </row>
    <row r="26670" spans="1:3" x14ac:dyDescent="0.25">
      <c r="A26670" s="74">
        <v>31462</v>
      </c>
      <c r="B26670">
        <v>3.92</v>
      </c>
      <c r="C26670" t="s">
        <v>142</v>
      </c>
    </row>
    <row r="26671" spans="1:3" x14ac:dyDescent="0.25">
      <c r="A26671" s="74">
        <v>31463</v>
      </c>
      <c r="B26671">
        <v>4</v>
      </c>
      <c r="C26671" t="s">
        <v>142</v>
      </c>
    </row>
    <row r="26672" spans="1:3" x14ac:dyDescent="0.25">
      <c r="A26672" s="74">
        <v>31464</v>
      </c>
      <c r="B26672">
        <v>4.05</v>
      </c>
      <c r="C26672" t="s">
        <v>142</v>
      </c>
    </row>
    <row r="26673" spans="1:2" x14ac:dyDescent="0.25">
      <c r="A26673" s="74">
        <v>31465</v>
      </c>
      <c r="B26673">
        <v>4.18</v>
      </c>
    </row>
    <row r="26674" spans="1:2" x14ac:dyDescent="0.25">
      <c r="A26674" s="74">
        <v>31466</v>
      </c>
      <c r="B26674">
        <v>8.57</v>
      </c>
    </row>
    <row r="26675" spans="1:2" x14ac:dyDescent="0.25">
      <c r="A26675" s="74">
        <v>31467</v>
      </c>
      <c r="B26675">
        <v>241</v>
      </c>
    </row>
    <row r="26676" spans="1:2" x14ac:dyDescent="0.25">
      <c r="A26676" s="74">
        <v>31468</v>
      </c>
      <c r="B26676">
        <v>191</v>
      </c>
    </row>
    <row r="26677" spans="1:2" x14ac:dyDescent="0.25">
      <c r="A26677" s="74">
        <v>31469</v>
      </c>
      <c r="B26677">
        <v>74.3</v>
      </c>
    </row>
    <row r="26678" spans="1:2" x14ac:dyDescent="0.25">
      <c r="A26678" s="74">
        <v>31470</v>
      </c>
      <c r="B26678">
        <v>41.6</v>
      </c>
    </row>
    <row r="26679" spans="1:2" x14ac:dyDescent="0.25">
      <c r="A26679" s="74">
        <v>31471</v>
      </c>
      <c r="B26679">
        <v>30.9</v>
      </c>
    </row>
    <row r="26680" spans="1:2" x14ac:dyDescent="0.25">
      <c r="A26680" s="74">
        <v>31472</v>
      </c>
      <c r="B26680">
        <v>20.9</v>
      </c>
    </row>
    <row r="26681" spans="1:2" x14ac:dyDescent="0.25">
      <c r="A26681" s="74">
        <v>31473</v>
      </c>
      <c r="B26681">
        <v>15.6</v>
      </c>
    </row>
    <row r="26682" spans="1:2" x14ac:dyDescent="0.25">
      <c r="A26682" s="74">
        <v>31474</v>
      </c>
      <c r="B26682">
        <v>13.2</v>
      </c>
    </row>
    <row r="26683" spans="1:2" x14ac:dyDescent="0.25">
      <c r="A26683" s="74">
        <v>31475</v>
      </c>
      <c r="B26683">
        <v>12.6</v>
      </c>
    </row>
    <row r="26684" spans="1:2" x14ac:dyDescent="0.25">
      <c r="A26684" s="74">
        <v>31476</v>
      </c>
      <c r="B26684">
        <v>11.5</v>
      </c>
    </row>
    <row r="26685" spans="1:2" x14ac:dyDescent="0.25">
      <c r="A26685" s="74">
        <v>31477</v>
      </c>
      <c r="B26685">
        <v>10.5</v>
      </c>
    </row>
    <row r="26686" spans="1:2" x14ac:dyDescent="0.25">
      <c r="A26686" s="74">
        <v>31478</v>
      </c>
      <c r="B26686">
        <v>36.4</v>
      </c>
    </row>
    <row r="26687" spans="1:2" x14ac:dyDescent="0.25">
      <c r="A26687" s="74">
        <v>31479</v>
      </c>
      <c r="B26687">
        <v>38.5</v>
      </c>
    </row>
    <row r="26688" spans="1:2" x14ac:dyDescent="0.25">
      <c r="A26688" s="74">
        <v>31480</v>
      </c>
      <c r="B26688">
        <v>23.1</v>
      </c>
    </row>
    <row r="26689" spans="1:2" x14ac:dyDescent="0.25">
      <c r="A26689" s="74">
        <v>31481</v>
      </c>
      <c r="B26689">
        <v>16.100000000000001</v>
      </c>
    </row>
    <row r="26690" spans="1:2" x14ac:dyDescent="0.25">
      <c r="A26690" s="74">
        <v>31482</v>
      </c>
      <c r="B26690">
        <v>13.7</v>
      </c>
    </row>
    <row r="26691" spans="1:2" x14ac:dyDescent="0.25">
      <c r="A26691" s="74">
        <v>31483</v>
      </c>
      <c r="B26691">
        <v>15</v>
      </c>
    </row>
    <row r="26692" spans="1:2" x14ac:dyDescent="0.25">
      <c r="A26692" s="74">
        <v>31484</v>
      </c>
      <c r="B26692">
        <v>13.4</v>
      </c>
    </row>
    <row r="26693" spans="1:2" x14ac:dyDescent="0.25">
      <c r="A26693" s="74">
        <v>31485</v>
      </c>
      <c r="B26693">
        <v>11.5</v>
      </c>
    </row>
    <row r="26694" spans="1:2" x14ac:dyDescent="0.25">
      <c r="A26694" s="74">
        <v>31486</v>
      </c>
      <c r="B26694">
        <v>9.7899999999999991</v>
      </c>
    </row>
    <row r="26695" spans="1:2" x14ac:dyDescent="0.25">
      <c r="A26695" s="74">
        <v>31487</v>
      </c>
      <c r="B26695">
        <v>8.98</v>
      </c>
    </row>
    <row r="26696" spans="1:2" x14ac:dyDescent="0.25">
      <c r="A26696" s="74">
        <v>31488</v>
      </c>
      <c r="B26696">
        <v>8.16</v>
      </c>
    </row>
    <row r="26697" spans="1:2" x14ac:dyDescent="0.25">
      <c r="A26697" s="74">
        <v>31489</v>
      </c>
      <c r="B26697">
        <v>7.71</v>
      </c>
    </row>
    <row r="26698" spans="1:2" x14ac:dyDescent="0.25">
      <c r="A26698" s="74">
        <v>31490</v>
      </c>
      <c r="B26698">
        <v>7.37</v>
      </c>
    </row>
    <row r="26699" spans="1:2" x14ac:dyDescent="0.25">
      <c r="A26699" s="74">
        <v>31491</v>
      </c>
      <c r="B26699">
        <v>7.16</v>
      </c>
    </row>
    <row r="26700" spans="1:2" x14ac:dyDescent="0.25">
      <c r="A26700" s="74">
        <v>31492</v>
      </c>
      <c r="B26700">
        <v>10.199999999999999</v>
      </c>
    </row>
    <row r="26701" spans="1:2" x14ac:dyDescent="0.25">
      <c r="A26701" s="74">
        <v>31493</v>
      </c>
      <c r="B26701">
        <v>11.1</v>
      </c>
    </row>
    <row r="26702" spans="1:2" x14ac:dyDescent="0.25">
      <c r="A26702" s="74">
        <v>31494</v>
      </c>
      <c r="B26702">
        <v>9.5500000000000007</v>
      </c>
    </row>
    <row r="26703" spans="1:2" x14ac:dyDescent="0.25">
      <c r="A26703" s="74">
        <v>31495</v>
      </c>
      <c r="B26703">
        <v>11.4</v>
      </c>
    </row>
    <row r="26704" spans="1:2" x14ac:dyDescent="0.25">
      <c r="A26704" s="74">
        <v>31496</v>
      </c>
      <c r="B26704">
        <v>12.5</v>
      </c>
    </row>
    <row r="26705" spans="1:2" x14ac:dyDescent="0.25">
      <c r="A26705" s="74">
        <v>31497</v>
      </c>
      <c r="B26705">
        <v>59.8</v>
      </c>
    </row>
    <row r="26706" spans="1:2" x14ac:dyDescent="0.25">
      <c r="A26706" s="74">
        <v>31498</v>
      </c>
      <c r="B26706">
        <v>105</v>
      </c>
    </row>
    <row r="26707" spans="1:2" x14ac:dyDescent="0.25">
      <c r="A26707" s="74">
        <v>31499</v>
      </c>
      <c r="B26707">
        <v>51.2</v>
      </c>
    </row>
    <row r="26708" spans="1:2" x14ac:dyDescent="0.25">
      <c r="A26708" s="74">
        <v>31500</v>
      </c>
      <c r="B26708">
        <v>27.4</v>
      </c>
    </row>
    <row r="26709" spans="1:2" x14ac:dyDescent="0.25">
      <c r="A26709" s="74">
        <v>31501</v>
      </c>
      <c r="B26709">
        <v>17.100000000000001</v>
      </c>
    </row>
    <row r="26710" spans="1:2" x14ac:dyDescent="0.25">
      <c r="A26710" s="74">
        <v>31502</v>
      </c>
      <c r="B26710">
        <v>13.1</v>
      </c>
    </row>
    <row r="26711" spans="1:2" x14ac:dyDescent="0.25">
      <c r="A26711" s="74">
        <v>31503</v>
      </c>
      <c r="B26711">
        <v>10.9</v>
      </c>
    </row>
    <row r="26712" spans="1:2" x14ac:dyDescent="0.25">
      <c r="A26712" s="74">
        <v>31504</v>
      </c>
      <c r="B26712">
        <v>9.33</v>
      </c>
    </row>
    <row r="26713" spans="1:2" x14ac:dyDescent="0.25">
      <c r="A26713" s="74">
        <v>31505</v>
      </c>
      <c r="B26713">
        <v>8.2899999999999991</v>
      </c>
    </row>
    <row r="26714" spans="1:2" x14ac:dyDescent="0.25">
      <c r="A26714" s="74">
        <v>31506</v>
      </c>
      <c r="B26714">
        <v>7.64</v>
      </c>
    </row>
    <row r="26715" spans="1:2" x14ac:dyDescent="0.25">
      <c r="A26715" s="74">
        <v>31507</v>
      </c>
      <c r="B26715">
        <v>7.04</v>
      </c>
    </row>
    <row r="26716" spans="1:2" x14ac:dyDescent="0.25">
      <c r="A26716" s="74">
        <v>31508</v>
      </c>
      <c r="B26716">
        <v>6.48</v>
      </c>
    </row>
    <row r="26717" spans="1:2" x14ac:dyDescent="0.25">
      <c r="A26717" s="74">
        <v>31509</v>
      </c>
      <c r="B26717">
        <v>6.1</v>
      </c>
    </row>
    <row r="26718" spans="1:2" x14ac:dyDescent="0.25">
      <c r="A26718" s="74">
        <v>31510</v>
      </c>
      <c r="B26718">
        <v>6.06</v>
      </c>
    </row>
    <row r="26719" spans="1:2" x14ac:dyDescent="0.25">
      <c r="A26719" s="74">
        <v>31511</v>
      </c>
      <c r="B26719">
        <v>6</v>
      </c>
    </row>
    <row r="26720" spans="1:2" x14ac:dyDescent="0.25">
      <c r="A26720" s="74">
        <v>31512</v>
      </c>
      <c r="B26720">
        <v>5.81</v>
      </c>
    </row>
    <row r="26721" spans="1:2" x14ac:dyDescent="0.25">
      <c r="A26721" s="74">
        <v>31513</v>
      </c>
      <c r="B26721">
        <v>5.63</v>
      </c>
    </row>
    <row r="26722" spans="1:2" x14ac:dyDescent="0.25">
      <c r="A26722" s="74">
        <v>31514</v>
      </c>
      <c r="B26722">
        <v>5.58</v>
      </c>
    </row>
    <row r="26723" spans="1:2" x14ac:dyDescent="0.25">
      <c r="A26723" s="74">
        <v>31515</v>
      </c>
      <c r="B26723">
        <v>5.46</v>
      </c>
    </row>
    <row r="26724" spans="1:2" x14ac:dyDescent="0.25">
      <c r="A26724" s="74">
        <v>31516</v>
      </c>
      <c r="B26724">
        <v>5.0599999999999996</v>
      </c>
    </row>
    <row r="26725" spans="1:2" x14ac:dyDescent="0.25">
      <c r="A26725" s="74">
        <v>31517</v>
      </c>
      <c r="B26725">
        <v>4.87</v>
      </c>
    </row>
    <row r="26726" spans="1:2" x14ac:dyDescent="0.25">
      <c r="A26726" s="74">
        <v>31518</v>
      </c>
      <c r="B26726">
        <v>5.01</v>
      </c>
    </row>
    <row r="26727" spans="1:2" x14ac:dyDescent="0.25">
      <c r="A26727" s="74">
        <v>31519</v>
      </c>
      <c r="B26727">
        <v>5.0599999999999996</v>
      </c>
    </row>
    <row r="26728" spans="1:2" x14ac:dyDescent="0.25">
      <c r="A26728" s="74">
        <v>31520</v>
      </c>
      <c r="B26728">
        <v>4.9400000000000004</v>
      </c>
    </row>
    <row r="26729" spans="1:2" x14ac:dyDescent="0.25">
      <c r="A26729" s="74">
        <v>31521</v>
      </c>
      <c r="B26729">
        <v>4.87</v>
      </c>
    </row>
    <row r="26730" spans="1:2" x14ac:dyDescent="0.25">
      <c r="A26730" s="74">
        <v>31522</v>
      </c>
      <c r="B26730">
        <v>5.82</v>
      </c>
    </row>
    <row r="26731" spans="1:2" x14ac:dyDescent="0.25">
      <c r="A26731" s="74">
        <v>31523</v>
      </c>
      <c r="B26731">
        <v>7.3</v>
      </c>
    </row>
    <row r="26732" spans="1:2" x14ac:dyDescent="0.25">
      <c r="A26732" s="74">
        <v>31524</v>
      </c>
      <c r="B26732">
        <v>7.04</v>
      </c>
    </row>
    <row r="26733" spans="1:2" x14ac:dyDescent="0.25">
      <c r="A26733" s="74">
        <v>31525</v>
      </c>
      <c r="B26733">
        <v>5.85</v>
      </c>
    </row>
    <row r="26734" spans="1:2" x14ac:dyDescent="0.25">
      <c r="A26734" s="74">
        <v>31526</v>
      </c>
      <c r="B26734">
        <v>5.4</v>
      </c>
    </row>
    <row r="26735" spans="1:2" x14ac:dyDescent="0.25">
      <c r="A26735" s="74">
        <v>31527</v>
      </c>
      <c r="B26735">
        <v>5.33</v>
      </c>
    </row>
    <row r="26736" spans="1:2" x14ac:dyDescent="0.25">
      <c r="A26736" s="74">
        <v>31528</v>
      </c>
      <c r="B26736">
        <v>5.7</v>
      </c>
    </row>
    <row r="26737" spans="1:2" x14ac:dyDescent="0.25">
      <c r="A26737" s="74">
        <v>31529</v>
      </c>
      <c r="B26737">
        <v>6.85</v>
      </c>
    </row>
    <row r="26738" spans="1:2" x14ac:dyDescent="0.25">
      <c r="A26738" s="74">
        <v>31530</v>
      </c>
      <c r="B26738">
        <v>6.94</v>
      </c>
    </row>
    <row r="26739" spans="1:2" x14ac:dyDescent="0.25">
      <c r="A26739" s="74">
        <v>31531</v>
      </c>
      <c r="B26739">
        <v>6.7</v>
      </c>
    </row>
    <row r="26740" spans="1:2" x14ac:dyDescent="0.25">
      <c r="A26740" s="74">
        <v>31532</v>
      </c>
      <c r="B26740">
        <v>6.47</v>
      </c>
    </row>
    <row r="26741" spans="1:2" x14ac:dyDescent="0.25">
      <c r="A26741" s="74">
        <v>31533</v>
      </c>
      <c r="B26741">
        <v>6.28</v>
      </c>
    </row>
    <row r="26742" spans="1:2" x14ac:dyDescent="0.25">
      <c r="A26742" s="74">
        <v>31534</v>
      </c>
      <c r="B26742">
        <v>8.24</v>
      </c>
    </row>
    <row r="26743" spans="1:2" x14ac:dyDescent="0.25">
      <c r="A26743" s="74">
        <v>31535</v>
      </c>
      <c r="B26743">
        <v>9.08</v>
      </c>
    </row>
    <row r="26744" spans="1:2" x14ac:dyDescent="0.25">
      <c r="A26744" s="74">
        <v>31536</v>
      </c>
      <c r="B26744">
        <v>8.83</v>
      </c>
    </row>
    <row r="26745" spans="1:2" x14ac:dyDescent="0.25">
      <c r="A26745" s="74">
        <v>31537</v>
      </c>
      <c r="B26745">
        <v>8.34</v>
      </c>
    </row>
    <row r="26746" spans="1:2" x14ac:dyDescent="0.25">
      <c r="A26746" s="74">
        <v>31538</v>
      </c>
      <c r="B26746">
        <v>7.79</v>
      </c>
    </row>
    <row r="26747" spans="1:2" x14ac:dyDescent="0.25">
      <c r="A26747" s="74">
        <v>31539</v>
      </c>
      <c r="B26747">
        <v>7.42</v>
      </c>
    </row>
    <row r="26748" spans="1:2" x14ac:dyDescent="0.25">
      <c r="A26748" s="74">
        <v>31540</v>
      </c>
      <c r="B26748">
        <v>7.09</v>
      </c>
    </row>
    <row r="26749" spans="1:2" x14ac:dyDescent="0.25">
      <c r="A26749" s="74">
        <v>31541</v>
      </c>
      <c r="B26749">
        <v>6.84</v>
      </c>
    </row>
    <row r="26750" spans="1:2" x14ac:dyDescent="0.25">
      <c r="A26750" s="74">
        <v>31542</v>
      </c>
      <c r="B26750">
        <v>6.63</v>
      </c>
    </row>
    <row r="26751" spans="1:2" x14ac:dyDescent="0.25">
      <c r="A26751" s="74">
        <v>31543</v>
      </c>
      <c r="B26751">
        <v>6.33</v>
      </c>
    </row>
    <row r="26752" spans="1:2" x14ac:dyDescent="0.25">
      <c r="A26752" s="74">
        <v>31544</v>
      </c>
      <c r="B26752">
        <v>12.6</v>
      </c>
    </row>
    <row r="26753" spans="1:2" x14ac:dyDescent="0.25">
      <c r="A26753" s="74">
        <v>31545</v>
      </c>
      <c r="B26753">
        <v>25.9</v>
      </c>
    </row>
    <row r="26754" spans="1:2" x14ac:dyDescent="0.25">
      <c r="A26754" s="74">
        <v>31546</v>
      </c>
      <c r="B26754">
        <v>15</v>
      </c>
    </row>
    <row r="26755" spans="1:2" x14ac:dyDescent="0.25">
      <c r="A26755" s="74">
        <v>31547</v>
      </c>
      <c r="B26755">
        <v>11.6</v>
      </c>
    </row>
    <row r="26756" spans="1:2" x14ac:dyDescent="0.25">
      <c r="A26756" s="74">
        <v>31548</v>
      </c>
      <c r="B26756">
        <v>9.8000000000000007</v>
      </c>
    </row>
    <row r="26757" spans="1:2" x14ac:dyDescent="0.25">
      <c r="A26757" s="74">
        <v>31549</v>
      </c>
      <c r="B26757">
        <v>8.68</v>
      </c>
    </row>
    <row r="26758" spans="1:2" x14ac:dyDescent="0.25">
      <c r="A26758" s="74">
        <v>31550</v>
      </c>
      <c r="B26758">
        <v>8.43</v>
      </c>
    </row>
    <row r="26759" spans="1:2" x14ac:dyDescent="0.25">
      <c r="A26759" s="74">
        <v>31551</v>
      </c>
      <c r="B26759">
        <v>9.19</v>
      </c>
    </row>
    <row r="26760" spans="1:2" x14ac:dyDescent="0.25">
      <c r="A26760" s="74">
        <v>31552</v>
      </c>
      <c r="B26760">
        <v>16.8</v>
      </c>
    </row>
    <row r="26761" spans="1:2" x14ac:dyDescent="0.25">
      <c r="A26761" s="74">
        <v>31553</v>
      </c>
      <c r="B26761">
        <v>11.4</v>
      </c>
    </row>
    <row r="26762" spans="1:2" x14ac:dyDescent="0.25">
      <c r="A26762" s="74">
        <v>31554</v>
      </c>
      <c r="B26762">
        <v>9.14</v>
      </c>
    </row>
    <row r="26763" spans="1:2" x14ac:dyDescent="0.25">
      <c r="A26763" s="74">
        <v>31555</v>
      </c>
      <c r="B26763">
        <v>7.91</v>
      </c>
    </row>
    <row r="26764" spans="1:2" x14ac:dyDescent="0.25">
      <c r="A26764" s="74">
        <v>31556</v>
      </c>
      <c r="B26764">
        <v>10.3</v>
      </c>
    </row>
    <row r="26765" spans="1:2" x14ac:dyDescent="0.25">
      <c r="A26765" s="74">
        <v>31557</v>
      </c>
      <c r="B26765">
        <v>23.8</v>
      </c>
    </row>
    <row r="26766" spans="1:2" x14ac:dyDescent="0.25">
      <c r="A26766" s="74">
        <v>31558</v>
      </c>
      <c r="B26766">
        <v>29.5</v>
      </c>
    </row>
    <row r="26767" spans="1:2" x14ac:dyDescent="0.25">
      <c r="A26767" s="74">
        <v>31559</v>
      </c>
      <c r="B26767">
        <v>17.8</v>
      </c>
    </row>
    <row r="26768" spans="1:2" x14ac:dyDescent="0.25">
      <c r="A26768" s="74">
        <v>31560</v>
      </c>
      <c r="B26768">
        <v>12.4</v>
      </c>
    </row>
    <row r="26769" spans="1:2" x14ac:dyDescent="0.25">
      <c r="A26769" s="74">
        <v>31561</v>
      </c>
      <c r="B26769">
        <v>10.1</v>
      </c>
    </row>
    <row r="26770" spans="1:2" x14ac:dyDescent="0.25">
      <c r="A26770" s="74">
        <v>31562</v>
      </c>
      <c r="B26770">
        <v>9.3699999999999992</v>
      </c>
    </row>
    <row r="26771" spans="1:2" x14ac:dyDescent="0.25">
      <c r="A26771" s="74">
        <v>31563</v>
      </c>
      <c r="B26771">
        <v>9.2200000000000006</v>
      </c>
    </row>
    <row r="26772" spans="1:2" x14ac:dyDescent="0.25">
      <c r="A26772" s="74">
        <v>31564</v>
      </c>
      <c r="B26772">
        <v>9.2200000000000006</v>
      </c>
    </row>
    <row r="26773" spans="1:2" x14ac:dyDescent="0.25">
      <c r="A26773" s="74">
        <v>31565</v>
      </c>
      <c r="B26773">
        <v>7.84</v>
      </c>
    </row>
    <row r="26774" spans="1:2" x14ac:dyDescent="0.25">
      <c r="A26774" s="74">
        <v>31566</v>
      </c>
      <c r="B26774">
        <v>7.17</v>
      </c>
    </row>
    <row r="26775" spans="1:2" x14ac:dyDescent="0.25">
      <c r="A26775" s="74">
        <v>31567</v>
      </c>
      <c r="B26775">
        <v>6.85</v>
      </c>
    </row>
    <row r="26776" spans="1:2" x14ac:dyDescent="0.25">
      <c r="A26776" s="74">
        <v>31568</v>
      </c>
      <c r="B26776">
        <v>6.35</v>
      </c>
    </row>
    <row r="26777" spans="1:2" x14ac:dyDescent="0.25">
      <c r="A26777" s="74">
        <v>31569</v>
      </c>
      <c r="B26777">
        <v>5.97</v>
      </c>
    </row>
    <row r="26778" spans="1:2" x14ac:dyDescent="0.25">
      <c r="A26778" s="74">
        <v>31570</v>
      </c>
      <c r="B26778">
        <v>5.58</v>
      </c>
    </row>
    <row r="26779" spans="1:2" x14ac:dyDescent="0.25">
      <c r="A26779" s="74">
        <v>31571</v>
      </c>
      <c r="B26779">
        <v>5.25</v>
      </c>
    </row>
    <row r="26780" spans="1:2" x14ac:dyDescent="0.25">
      <c r="A26780" s="74">
        <v>31572</v>
      </c>
      <c r="B26780">
        <v>5.03</v>
      </c>
    </row>
    <row r="26781" spans="1:2" x14ac:dyDescent="0.25">
      <c r="A26781" s="74">
        <v>31573</v>
      </c>
      <c r="B26781">
        <v>4.7699999999999996</v>
      </c>
    </row>
    <row r="26782" spans="1:2" x14ac:dyDescent="0.25">
      <c r="A26782" s="74">
        <v>31574</v>
      </c>
      <c r="B26782">
        <v>4.51</v>
      </c>
    </row>
    <row r="26783" spans="1:2" x14ac:dyDescent="0.25">
      <c r="A26783" s="74">
        <v>31575</v>
      </c>
      <c r="B26783">
        <v>4.38</v>
      </c>
    </row>
    <row r="26784" spans="1:2" x14ac:dyDescent="0.25">
      <c r="A26784" s="74">
        <v>31576</v>
      </c>
      <c r="B26784">
        <v>4.2300000000000004</v>
      </c>
    </row>
    <row r="26785" spans="1:2" x14ac:dyDescent="0.25">
      <c r="A26785" s="74">
        <v>31577</v>
      </c>
      <c r="B26785">
        <v>3.98</v>
      </c>
    </row>
    <row r="26786" spans="1:2" x14ac:dyDescent="0.25">
      <c r="A26786" s="74">
        <v>31578</v>
      </c>
      <c r="B26786">
        <v>4.53</v>
      </c>
    </row>
    <row r="26787" spans="1:2" x14ac:dyDescent="0.25">
      <c r="A26787" s="74">
        <v>31579</v>
      </c>
      <c r="B26787">
        <v>6.08</v>
      </c>
    </row>
    <row r="26788" spans="1:2" x14ac:dyDescent="0.25">
      <c r="A26788" s="74">
        <v>31580</v>
      </c>
      <c r="B26788">
        <v>5.34</v>
      </c>
    </row>
    <row r="26789" spans="1:2" x14ac:dyDescent="0.25">
      <c r="A26789" s="74">
        <v>31581</v>
      </c>
      <c r="B26789">
        <v>5.33</v>
      </c>
    </row>
    <row r="26790" spans="1:2" x14ac:dyDescent="0.25">
      <c r="A26790" s="74">
        <v>31582</v>
      </c>
      <c r="B26790">
        <v>5.0599999999999996</v>
      </c>
    </row>
    <row r="26791" spans="1:2" x14ac:dyDescent="0.25">
      <c r="A26791" s="74">
        <v>31583</v>
      </c>
      <c r="B26791">
        <v>4.8</v>
      </c>
    </row>
    <row r="26792" spans="1:2" x14ac:dyDescent="0.25">
      <c r="A26792" s="74">
        <v>31584</v>
      </c>
      <c r="B26792">
        <v>4.74</v>
      </c>
    </row>
    <row r="26793" spans="1:2" x14ac:dyDescent="0.25">
      <c r="A26793" s="74">
        <v>31585</v>
      </c>
      <c r="B26793">
        <v>4.2300000000000004</v>
      </c>
    </row>
    <row r="26794" spans="1:2" x14ac:dyDescent="0.25">
      <c r="A26794" s="74">
        <v>31586</v>
      </c>
      <c r="B26794">
        <v>3.91</v>
      </c>
    </row>
    <row r="26795" spans="1:2" x14ac:dyDescent="0.25">
      <c r="A26795" s="74">
        <v>31587</v>
      </c>
      <c r="B26795">
        <v>3.59</v>
      </c>
    </row>
    <row r="26796" spans="1:2" x14ac:dyDescent="0.25">
      <c r="A26796" s="74">
        <v>31588</v>
      </c>
      <c r="B26796">
        <v>3.39</v>
      </c>
    </row>
    <row r="26797" spans="1:2" x14ac:dyDescent="0.25">
      <c r="A26797" s="74">
        <v>31589</v>
      </c>
      <c r="B26797">
        <v>3.22</v>
      </c>
    </row>
    <row r="26798" spans="1:2" x14ac:dyDescent="0.25">
      <c r="A26798" s="74">
        <v>31590</v>
      </c>
      <c r="B26798">
        <v>2.86</v>
      </c>
    </row>
    <row r="26799" spans="1:2" x14ac:dyDescent="0.25">
      <c r="A26799" s="74">
        <v>31591</v>
      </c>
      <c r="B26799">
        <v>2.84</v>
      </c>
    </row>
    <row r="26800" spans="1:2" x14ac:dyDescent="0.25">
      <c r="A26800" s="74">
        <v>31592</v>
      </c>
      <c r="B26800">
        <v>2.85</v>
      </c>
    </row>
    <row r="26801" spans="1:2" x14ac:dyDescent="0.25">
      <c r="A26801" s="74">
        <v>31593</v>
      </c>
      <c r="B26801">
        <v>2.6</v>
      </c>
    </row>
    <row r="26802" spans="1:2" x14ac:dyDescent="0.25">
      <c r="A26802" s="74">
        <v>31594</v>
      </c>
      <c r="B26802">
        <v>2.66</v>
      </c>
    </row>
    <row r="26803" spans="1:2" x14ac:dyDescent="0.25">
      <c r="A26803" s="74">
        <v>31595</v>
      </c>
      <c r="B26803">
        <v>3.57</v>
      </c>
    </row>
    <row r="26804" spans="1:2" x14ac:dyDescent="0.25">
      <c r="A26804" s="74">
        <v>31596</v>
      </c>
      <c r="B26804">
        <v>3.23</v>
      </c>
    </row>
    <row r="26805" spans="1:2" x14ac:dyDescent="0.25">
      <c r="A26805" s="74">
        <v>31597</v>
      </c>
      <c r="B26805">
        <v>2.95</v>
      </c>
    </row>
    <row r="26806" spans="1:2" x14ac:dyDescent="0.25">
      <c r="A26806" s="74">
        <v>31598</v>
      </c>
      <c r="B26806">
        <v>2.63</v>
      </c>
    </row>
    <row r="26807" spans="1:2" x14ac:dyDescent="0.25">
      <c r="A26807" s="74">
        <v>31599</v>
      </c>
      <c r="B26807">
        <v>2.5299999999999998</v>
      </c>
    </row>
    <row r="26808" spans="1:2" x14ac:dyDescent="0.25">
      <c r="A26808" s="74">
        <v>31600</v>
      </c>
      <c r="B26808">
        <v>2.2799999999999998</v>
      </c>
    </row>
    <row r="26809" spans="1:2" x14ac:dyDescent="0.25">
      <c r="A26809" s="74">
        <v>31601</v>
      </c>
      <c r="B26809">
        <v>2</v>
      </c>
    </row>
    <row r="26810" spans="1:2" x14ac:dyDescent="0.25">
      <c r="A26810" s="74">
        <v>31602</v>
      </c>
      <c r="B26810">
        <v>1.91</v>
      </c>
    </row>
    <row r="26811" spans="1:2" x14ac:dyDescent="0.25">
      <c r="A26811" s="74">
        <v>31603</v>
      </c>
      <c r="B26811">
        <v>1.87</v>
      </c>
    </row>
    <row r="26812" spans="1:2" x14ac:dyDescent="0.25">
      <c r="A26812" s="74">
        <v>31604</v>
      </c>
      <c r="B26812">
        <v>1.89</v>
      </c>
    </row>
    <row r="26813" spans="1:2" x14ac:dyDescent="0.25">
      <c r="A26813" s="74">
        <v>31605</v>
      </c>
      <c r="B26813">
        <v>1.96</v>
      </c>
    </row>
    <row r="26814" spans="1:2" x14ac:dyDescent="0.25">
      <c r="A26814" s="74">
        <v>31606</v>
      </c>
      <c r="B26814">
        <v>1.92</v>
      </c>
    </row>
    <row r="26815" spans="1:2" x14ac:dyDescent="0.25">
      <c r="A26815" s="74">
        <v>31607</v>
      </c>
      <c r="B26815">
        <v>1.74</v>
      </c>
    </row>
    <row r="26816" spans="1:2" x14ac:dyDescent="0.25">
      <c r="A26816" s="74">
        <v>31608</v>
      </c>
      <c r="B26816">
        <v>1.76</v>
      </c>
    </row>
    <row r="26817" spans="1:3" x14ac:dyDescent="0.25">
      <c r="A26817" s="74">
        <v>31609</v>
      </c>
      <c r="B26817">
        <v>1.81</v>
      </c>
    </row>
    <row r="26818" spans="1:3" x14ac:dyDescent="0.25">
      <c r="A26818" s="74">
        <v>31610</v>
      </c>
      <c r="B26818">
        <v>1.79</v>
      </c>
    </row>
    <row r="26819" spans="1:3" x14ac:dyDescent="0.25">
      <c r="A26819" s="74">
        <v>31611</v>
      </c>
      <c r="B26819">
        <v>1.63</v>
      </c>
    </row>
    <row r="26820" spans="1:3" x14ac:dyDescent="0.25">
      <c r="A26820" s="74">
        <v>31612</v>
      </c>
      <c r="B26820">
        <v>1.55</v>
      </c>
    </row>
    <row r="26821" spans="1:3" x14ac:dyDescent="0.25">
      <c r="A26821" s="74">
        <v>31613</v>
      </c>
      <c r="B26821">
        <v>1.42</v>
      </c>
    </row>
    <row r="26822" spans="1:3" x14ac:dyDescent="0.25">
      <c r="A26822" s="74">
        <v>31614</v>
      </c>
      <c r="B26822">
        <v>1.35</v>
      </c>
    </row>
    <row r="26823" spans="1:3" x14ac:dyDescent="0.25">
      <c r="A26823" s="74">
        <v>31615</v>
      </c>
      <c r="B26823">
        <v>1.33</v>
      </c>
    </row>
    <row r="26824" spans="1:3" x14ac:dyDescent="0.25">
      <c r="A26824" s="74">
        <v>31616</v>
      </c>
      <c r="B26824">
        <v>1.23</v>
      </c>
    </row>
    <row r="26825" spans="1:3" x14ac:dyDescent="0.25">
      <c r="A26825" s="74">
        <v>31617</v>
      </c>
      <c r="B26825">
        <v>1.28</v>
      </c>
    </row>
    <row r="26826" spans="1:3" x14ac:dyDescent="0.25">
      <c r="A26826" s="74">
        <v>31618</v>
      </c>
      <c r="B26826">
        <v>1.18</v>
      </c>
    </row>
    <row r="26827" spans="1:3" x14ac:dyDescent="0.25">
      <c r="A26827" s="74">
        <v>31619</v>
      </c>
      <c r="B26827">
        <v>1.21</v>
      </c>
    </row>
    <row r="26828" spans="1:3" x14ac:dyDescent="0.25">
      <c r="A26828" s="74">
        <v>31620</v>
      </c>
      <c r="B26828">
        <v>1.08</v>
      </c>
      <c r="C26828" t="s">
        <v>140</v>
      </c>
    </row>
    <row r="26829" spans="1:3" x14ac:dyDescent="0.25">
      <c r="A26829" s="74">
        <v>31621</v>
      </c>
      <c r="B26829">
        <v>1.04</v>
      </c>
      <c r="C26829" t="s">
        <v>141</v>
      </c>
    </row>
    <row r="26830" spans="1:3" x14ac:dyDescent="0.25">
      <c r="A26830" s="74">
        <v>31622</v>
      </c>
      <c r="B26830">
        <v>0.99</v>
      </c>
      <c r="C26830" t="s">
        <v>141</v>
      </c>
    </row>
    <row r="26831" spans="1:3" x14ac:dyDescent="0.25">
      <c r="A26831" s="74">
        <v>31623</v>
      </c>
      <c r="B26831">
        <v>0.89</v>
      </c>
      <c r="C26831" t="s">
        <v>141</v>
      </c>
    </row>
    <row r="26832" spans="1:3" x14ac:dyDescent="0.25">
      <c r="A26832" s="74">
        <v>31624</v>
      </c>
      <c r="B26832">
        <v>0.85</v>
      </c>
      <c r="C26832" t="s">
        <v>141</v>
      </c>
    </row>
    <row r="26833" spans="1:3" x14ac:dyDescent="0.25">
      <c r="A26833" s="74">
        <v>31625</v>
      </c>
      <c r="B26833">
        <v>0.83</v>
      </c>
      <c r="C26833" t="s">
        <v>141</v>
      </c>
    </row>
    <row r="26834" spans="1:3" x14ac:dyDescent="0.25">
      <c r="A26834" s="74">
        <v>31626</v>
      </c>
      <c r="B26834">
        <v>0.82</v>
      </c>
      <c r="C26834" t="s">
        <v>141</v>
      </c>
    </row>
    <row r="26835" spans="1:3" x14ac:dyDescent="0.25">
      <c r="A26835" s="74">
        <v>31627</v>
      </c>
      <c r="B26835">
        <v>0.81</v>
      </c>
      <c r="C26835" t="s">
        <v>141</v>
      </c>
    </row>
    <row r="26836" spans="1:3" x14ac:dyDescent="0.25">
      <c r="A26836" s="74">
        <v>31628</v>
      </c>
      <c r="B26836">
        <v>0.76</v>
      </c>
      <c r="C26836" t="s">
        <v>141</v>
      </c>
    </row>
    <row r="26837" spans="1:3" x14ac:dyDescent="0.25">
      <c r="A26837" s="74">
        <v>31629</v>
      </c>
      <c r="B26837">
        <v>0.71</v>
      </c>
      <c r="C26837" t="s">
        <v>141</v>
      </c>
    </row>
    <row r="26838" spans="1:3" x14ac:dyDescent="0.25">
      <c r="A26838" s="74">
        <v>31630</v>
      </c>
      <c r="B26838">
        <v>0.69</v>
      </c>
      <c r="C26838" t="s">
        <v>141</v>
      </c>
    </row>
    <row r="26839" spans="1:3" x14ac:dyDescent="0.25">
      <c r="A26839" s="74">
        <v>31631</v>
      </c>
      <c r="B26839">
        <v>0.67</v>
      </c>
      <c r="C26839" t="s">
        <v>141</v>
      </c>
    </row>
    <row r="26840" spans="1:3" x14ac:dyDescent="0.25">
      <c r="A26840" s="74">
        <v>31632</v>
      </c>
      <c r="B26840">
        <v>0.6</v>
      </c>
      <c r="C26840" t="s">
        <v>141</v>
      </c>
    </row>
    <row r="26841" spans="1:3" x14ac:dyDescent="0.25">
      <c r="A26841" s="74">
        <v>31633</v>
      </c>
      <c r="B26841">
        <v>0.59</v>
      </c>
      <c r="C26841" t="s">
        <v>141</v>
      </c>
    </row>
    <row r="26842" spans="1:3" x14ac:dyDescent="0.25">
      <c r="A26842" s="74">
        <v>31634</v>
      </c>
      <c r="B26842">
        <v>0.64</v>
      </c>
      <c r="C26842" t="s">
        <v>141</v>
      </c>
    </row>
    <row r="26843" spans="1:3" x14ac:dyDescent="0.25">
      <c r="A26843" s="74">
        <v>31635</v>
      </c>
      <c r="B26843">
        <v>0.62</v>
      </c>
      <c r="C26843" t="s">
        <v>141</v>
      </c>
    </row>
    <row r="26844" spans="1:3" x14ac:dyDescent="0.25">
      <c r="A26844" s="74">
        <v>31636</v>
      </c>
      <c r="B26844">
        <v>0.59</v>
      </c>
      <c r="C26844" t="s">
        <v>141</v>
      </c>
    </row>
    <row r="26845" spans="1:3" x14ac:dyDescent="0.25">
      <c r="A26845" s="74">
        <v>31637</v>
      </c>
      <c r="B26845">
        <v>0.56000000000000005</v>
      </c>
      <c r="C26845" t="s">
        <v>141</v>
      </c>
    </row>
    <row r="26846" spans="1:3" x14ac:dyDescent="0.25">
      <c r="A26846" s="74">
        <v>31638</v>
      </c>
      <c r="B26846">
        <v>0.52</v>
      </c>
      <c r="C26846" t="s">
        <v>141</v>
      </c>
    </row>
    <row r="26847" spans="1:3" x14ac:dyDescent="0.25">
      <c r="A26847" s="74">
        <v>31639</v>
      </c>
      <c r="B26847">
        <v>0.48</v>
      </c>
      <c r="C26847" t="s">
        <v>141</v>
      </c>
    </row>
    <row r="26848" spans="1:3" x14ac:dyDescent="0.25">
      <c r="A26848" s="74">
        <v>31640</v>
      </c>
      <c r="B26848">
        <v>0.45</v>
      </c>
      <c r="C26848" t="s">
        <v>141</v>
      </c>
    </row>
    <row r="26849" spans="1:3" x14ac:dyDescent="0.25">
      <c r="A26849" s="74">
        <v>31641</v>
      </c>
      <c r="B26849">
        <v>0.45</v>
      </c>
      <c r="C26849" t="s">
        <v>141</v>
      </c>
    </row>
    <row r="26850" spans="1:3" x14ac:dyDescent="0.25">
      <c r="A26850" s="74">
        <v>31642</v>
      </c>
      <c r="B26850">
        <v>0.44</v>
      </c>
      <c r="C26850" t="s">
        <v>141</v>
      </c>
    </row>
    <row r="26851" spans="1:3" x14ac:dyDescent="0.25">
      <c r="A26851" s="74">
        <v>31643</v>
      </c>
      <c r="B26851">
        <v>0.41</v>
      </c>
      <c r="C26851" t="s">
        <v>141</v>
      </c>
    </row>
    <row r="26852" spans="1:3" x14ac:dyDescent="0.25">
      <c r="A26852" s="74">
        <v>31644</v>
      </c>
      <c r="B26852">
        <v>0.39</v>
      </c>
      <c r="C26852" t="s">
        <v>141</v>
      </c>
    </row>
    <row r="26853" spans="1:3" x14ac:dyDescent="0.25">
      <c r="A26853" s="74">
        <v>31645</v>
      </c>
      <c r="B26853">
        <v>0.39</v>
      </c>
      <c r="C26853" t="s">
        <v>141</v>
      </c>
    </row>
    <row r="26854" spans="1:3" x14ac:dyDescent="0.25">
      <c r="A26854" s="74">
        <v>31646</v>
      </c>
      <c r="B26854">
        <v>0.41</v>
      </c>
      <c r="C26854" t="s">
        <v>141</v>
      </c>
    </row>
    <row r="26855" spans="1:3" x14ac:dyDescent="0.25">
      <c r="A26855" s="74">
        <v>31647</v>
      </c>
      <c r="B26855">
        <v>0.42</v>
      </c>
      <c r="C26855" t="s">
        <v>141</v>
      </c>
    </row>
    <row r="26856" spans="1:3" x14ac:dyDescent="0.25">
      <c r="A26856" s="74">
        <v>31648</v>
      </c>
      <c r="B26856">
        <v>0.4</v>
      </c>
      <c r="C26856" t="s">
        <v>141</v>
      </c>
    </row>
    <row r="26857" spans="1:3" x14ac:dyDescent="0.25">
      <c r="A26857" s="74">
        <v>31649</v>
      </c>
      <c r="B26857">
        <v>0.42</v>
      </c>
      <c r="C26857" t="s">
        <v>141</v>
      </c>
    </row>
    <row r="26858" spans="1:3" x14ac:dyDescent="0.25">
      <c r="A26858" s="74">
        <v>31650</v>
      </c>
      <c r="B26858">
        <v>0.42</v>
      </c>
      <c r="C26858" t="s">
        <v>141</v>
      </c>
    </row>
    <row r="26859" spans="1:3" x14ac:dyDescent="0.25">
      <c r="A26859" s="74">
        <v>31651</v>
      </c>
      <c r="B26859">
        <v>0.41</v>
      </c>
      <c r="C26859" t="s">
        <v>141</v>
      </c>
    </row>
    <row r="26860" spans="1:3" x14ac:dyDescent="0.25">
      <c r="A26860" s="74">
        <v>31652</v>
      </c>
      <c r="B26860">
        <v>0.38</v>
      </c>
      <c r="C26860" t="s">
        <v>141</v>
      </c>
    </row>
    <row r="26861" spans="1:3" x14ac:dyDescent="0.25">
      <c r="A26861" s="74">
        <v>31653</v>
      </c>
      <c r="B26861">
        <v>0.38</v>
      </c>
      <c r="C26861" t="s">
        <v>141</v>
      </c>
    </row>
    <row r="26862" spans="1:3" x14ac:dyDescent="0.25">
      <c r="A26862" s="74">
        <v>31654</v>
      </c>
      <c r="B26862">
        <v>0.37</v>
      </c>
      <c r="C26862" t="s">
        <v>141</v>
      </c>
    </row>
    <row r="26863" spans="1:3" x14ac:dyDescent="0.25">
      <c r="A26863" s="74">
        <v>31655</v>
      </c>
      <c r="B26863">
        <v>0.37</v>
      </c>
      <c r="C26863" t="s">
        <v>141</v>
      </c>
    </row>
    <row r="26864" spans="1:3" x14ac:dyDescent="0.25">
      <c r="A26864" s="74">
        <v>31656</v>
      </c>
      <c r="B26864">
        <v>0.36</v>
      </c>
      <c r="C26864" t="s">
        <v>141</v>
      </c>
    </row>
    <row r="26865" spans="1:3" x14ac:dyDescent="0.25">
      <c r="A26865" s="74">
        <v>31657</v>
      </c>
      <c r="B26865">
        <v>0.36</v>
      </c>
      <c r="C26865" t="s">
        <v>141</v>
      </c>
    </row>
    <row r="26866" spans="1:3" x14ac:dyDescent="0.25">
      <c r="A26866" s="74">
        <v>31658</v>
      </c>
      <c r="B26866">
        <v>0.36</v>
      </c>
      <c r="C26866" t="s">
        <v>141</v>
      </c>
    </row>
    <row r="26867" spans="1:3" x14ac:dyDescent="0.25">
      <c r="A26867" s="74">
        <v>31659</v>
      </c>
      <c r="B26867">
        <v>0.37</v>
      </c>
      <c r="C26867" t="s">
        <v>141</v>
      </c>
    </row>
    <row r="26868" spans="1:3" x14ac:dyDescent="0.25">
      <c r="A26868" s="74">
        <v>31660</v>
      </c>
      <c r="B26868">
        <v>0.4</v>
      </c>
      <c r="C26868" t="s">
        <v>141</v>
      </c>
    </row>
    <row r="26869" spans="1:3" x14ac:dyDescent="0.25">
      <c r="A26869" s="74">
        <v>31661</v>
      </c>
      <c r="B26869">
        <v>0.4</v>
      </c>
      <c r="C26869" t="s">
        <v>141</v>
      </c>
    </row>
    <row r="26870" spans="1:3" x14ac:dyDescent="0.25">
      <c r="A26870" s="74">
        <v>31662</v>
      </c>
      <c r="B26870">
        <v>0.4</v>
      </c>
      <c r="C26870" t="s">
        <v>141</v>
      </c>
    </row>
    <row r="26871" spans="1:3" x14ac:dyDescent="0.25">
      <c r="A26871" s="74">
        <v>31663</v>
      </c>
      <c r="B26871">
        <v>0.41</v>
      </c>
      <c r="C26871" t="s">
        <v>141</v>
      </c>
    </row>
    <row r="26872" spans="1:3" x14ac:dyDescent="0.25">
      <c r="A26872" s="74">
        <v>31664</v>
      </c>
      <c r="B26872">
        <v>0.41</v>
      </c>
      <c r="C26872" t="s">
        <v>141</v>
      </c>
    </row>
    <row r="26873" spans="1:3" x14ac:dyDescent="0.25">
      <c r="A26873" s="74">
        <v>31665</v>
      </c>
      <c r="B26873">
        <v>0.4</v>
      </c>
      <c r="C26873" t="s">
        <v>141</v>
      </c>
    </row>
    <row r="26874" spans="1:3" x14ac:dyDescent="0.25">
      <c r="A26874" s="74">
        <v>31666</v>
      </c>
      <c r="B26874">
        <v>0.39</v>
      </c>
      <c r="C26874" t="s">
        <v>141</v>
      </c>
    </row>
    <row r="26875" spans="1:3" x14ac:dyDescent="0.25">
      <c r="A26875" s="74">
        <v>31667</v>
      </c>
      <c r="B26875">
        <v>0.39</v>
      </c>
      <c r="C26875" t="s">
        <v>141</v>
      </c>
    </row>
    <row r="26876" spans="1:3" x14ac:dyDescent="0.25">
      <c r="A26876" s="74">
        <v>31668</v>
      </c>
      <c r="B26876">
        <v>0.39</v>
      </c>
      <c r="C26876" t="s">
        <v>141</v>
      </c>
    </row>
    <row r="26877" spans="1:3" x14ac:dyDescent="0.25">
      <c r="A26877" s="74">
        <v>31669</v>
      </c>
      <c r="B26877">
        <v>0.39</v>
      </c>
      <c r="C26877" t="s">
        <v>141</v>
      </c>
    </row>
    <row r="26878" spans="1:3" x14ac:dyDescent="0.25">
      <c r="A26878" s="74">
        <v>31670</v>
      </c>
      <c r="B26878">
        <v>0.39</v>
      </c>
      <c r="C26878" t="s">
        <v>141</v>
      </c>
    </row>
    <row r="26879" spans="1:3" x14ac:dyDescent="0.25">
      <c r="A26879" s="74">
        <v>31671</v>
      </c>
      <c r="B26879">
        <v>0.37</v>
      </c>
      <c r="C26879" t="s">
        <v>141</v>
      </c>
    </row>
    <row r="26880" spans="1:3" x14ac:dyDescent="0.25">
      <c r="A26880" s="74">
        <v>31672</v>
      </c>
      <c r="B26880">
        <v>0.375</v>
      </c>
      <c r="C26880" t="s">
        <v>140</v>
      </c>
    </row>
    <row r="26881" spans="1:3" x14ac:dyDescent="0.25">
      <c r="A26881" s="74">
        <v>31673</v>
      </c>
      <c r="B26881">
        <v>0.315</v>
      </c>
      <c r="C26881" t="s">
        <v>140</v>
      </c>
    </row>
    <row r="26882" spans="1:3" x14ac:dyDescent="0.25">
      <c r="A26882" s="74">
        <v>31674</v>
      </c>
      <c r="B26882">
        <v>0.29199999999999998</v>
      </c>
    </row>
    <row r="26883" spans="1:3" x14ac:dyDescent="0.25">
      <c r="A26883" s="74">
        <v>31675</v>
      </c>
      <c r="B26883">
        <v>0.30099999999999999</v>
      </c>
    </row>
    <row r="26884" spans="1:3" x14ac:dyDescent="0.25">
      <c r="A26884" s="74">
        <v>31676</v>
      </c>
      <c r="B26884">
        <v>0.38800000000000001</v>
      </c>
    </row>
    <row r="26885" spans="1:3" x14ac:dyDescent="0.25">
      <c r="A26885" s="74">
        <v>31677</v>
      </c>
      <c r="B26885">
        <v>0.41499999999999998</v>
      </c>
    </row>
    <row r="26886" spans="1:3" x14ac:dyDescent="0.25">
      <c r="A26886" s="74">
        <v>31678</v>
      </c>
      <c r="B26886">
        <v>0.38</v>
      </c>
    </row>
    <row r="26887" spans="1:3" x14ac:dyDescent="0.25">
      <c r="A26887" s="74">
        <v>31679</v>
      </c>
      <c r="B26887">
        <v>0.52200000000000002</v>
      </c>
    </row>
    <row r="26888" spans="1:3" x14ac:dyDescent="0.25">
      <c r="A26888" s="74">
        <v>31680</v>
      </c>
      <c r="B26888">
        <v>0.64800000000000002</v>
      </c>
    </row>
    <row r="26889" spans="1:3" x14ac:dyDescent="0.25">
      <c r="A26889" s="74">
        <v>31681</v>
      </c>
      <c r="B26889">
        <v>0.58499999999999996</v>
      </c>
    </row>
    <row r="26890" spans="1:3" x14ac:dyDescent="0.25">
      <c r="A26890" s="74">
        <v>31682</v>
      </c>
      <c r="B26890">
        <v>0.51200000000000001</v>
      </c>
    </row>
    <row r="26891" spans="1:3" x14ac:dyDescent="0.25">
      <c r="A26891" s="74">
        <v>31683</v>
      </c>
      <c r="B26891">
        <v>0.49299999999999999</v>
      </c>
    </row>
    <row r="26892" spans="1:3" x14ac:dyDescent="0.25">
      <c r="A26892" s="74">
        <v>31684</v>
      </c>
      <c r="B26892">
        <v>0.53700000000000003</v>
      </c>
    </row>
    <row r="26893" spans="1:3" x14ac:dyDescent="0.25">
      <c r="A26893" s="74">
        <v>31685</v>
      </c>
      <c r="B26893">
        <v>0.54400000000000004</v>
      </c>
    </row>
    <row r="26894" spans="1:3" x14ac:dyDescent="0.25">
      <c r="A26894" s="74">
        <v>31686</v>
      </c>
      <c r="B26894">
        <v>0.57899999999999996</v>
      </c>
    </row>
    <row r="26895" spans="1:3" x14ac:dyDescent="0.25">
      <c r="A26895" s="74">
        <v>31687</v>
      </c>
      <c r="B26895">
        <v>0.57699999999999996</v>
      </c>
    </row>
    <row r="26896" spans="1:3" x14ac:dyDescent="0.25">
      <c r="A26896" s="74">
        <v>31688</v>
      </c>
      <c r="B26896">
        <v>0.56399999999999995</v>
      </c>
    </row>
    <row r="26897" spans="1:2" x14ac:dyDescent="0.25">
      <c r="A26897" s="74">
        <v>31689</v>
      </c>
      <c r="B26897">
        <v>0.57499999999999996</v>
      </c>
    </row>
    <row r="26898" spans="1:2" x14ac:dyDescent="0.25">
      <c r="A26898" s="74">
        <v>31690</v>
      </c>
      <c r="B26898">
        <v>0.59</v>
      </c>
    </row>
    <row r="26899" spans="1:2" x14ac:dyDescent="0.25">
      <c r="A26899" s="74">
        <v>31691</v>
      </c>
      <c r="B26899">
        <v>0.65700000000000003</v>
      </c>
    </row>
    <row r="26900" spans="1:2" x14ac:dyDescent="0.25">
      <c r="A26900" s="74">
        <v>31692</v>
      </c>
      <c r="B26900">
        <v>0.67800000000000005</v>
      </c>
    </row>
    <row r="26901" spans="1:2" x14ac:dyDescent="0.25">
      <c r="A26901" s="74">
        <v>31693</v>
      </c>
      <c r="B26901">
        <v>0.54</v>
      </c>
    </row>
    <row r="26902" spans="1:2" x14ac:dyDescent="0.25">
      <c r="A26902" s="74">
        <v>31694</v>
      </c>
      <c r="B26902">
        <v>0.54200000000000004</v>
      </c>
    </row>
    <row r="26903" spans="1:2" x14ac:dyDescent="0.25">
      <c r="A26903" s="74">
        <v>31695</v>
      </c>
      <c r="B26903">
        <v>0.60699999999999998</v>
      </c>
    </row>
    <row r="26904" spans="1:2" x14ac:dyDescent="0.25">
      <c r="A26904" s="74">
        <v>31696</v>
      </c>
      <c r="B26904">
        <v>0.65500000000000003</v>
      </c>
    </row>
    <row r="26905" spans="1:2" x14ac:dyDescent="0.25">
      <c r="A26905" s="74">
        <v>31697</v>
      </c>
      <c r="B26905">
        <v>0.58899999999999997</v>
      </c>
    </row>
    <row r="26906" spans="1:2" x14ac:dyDescent="0.25">
      <c r="A26906" s="74">
        <v>31698</v>
      </c>
      <c r="B26906">
        <v>0.60399999999999998</v>
      </c>
    </row>
    <row r="26907" spans="1:2" x14ac:dyDescent="0.25">
      <c r="A26907" s="74">
        <v>31699</v>
      </c>
      <c r="B26907">
        <v>0.58399999999999996</v>
      </c>
    </row>
    <row r="26908" spans="1:2" x14ac:dyDescent="0.25">
      <c r="A26908" s="74">
        <v>31700</v>
      </c>
      <c r="B26908">
        <v>0.55500000000000005</v>
      </c>
    </row>
    <row r="26909" spans="1:2" x14ac:dyDescent="0.25">
      <c r="A26909" s="74">
        <v>31701</v>
      </c>
      <c r="B26909">
        <v>0.55100000000000005</v>
      </c>
    </row>
    <row r="26910" spans="1:2" x14ac:dyDescent="0.25">
      <c r="A26910" s="74">
        <v>31702</v>
      </c>
      <c r="B26910">
        <v>0.48</v>
      </c>
    </row>
    <row r="26911" spans="1:2" x14ac:dyDescent="0.25">
      <c r="A26911" s="74">
        <v>31703</v>
      </c>
      <c r="B26911">
        <v>0.54800000000000004</v>
      </c>
    </row>
    <row r="26912" spans="1:2" x14ac:dyDescent="0.25">
      <c r="A26912" s="74">
        <v>31704</v>
      </c>
      <c r="B26912">
        <v>0.51700000000000002</v>
      </c>
    </row>
    <row r="26913" spans="1:2" x14ac:dyDescent="0.25">
      <c r="A26913" s="74">
        <v>31705</v>
      </c>
      <c r="B26913">
        <v>0.56499999999999995</v>
      </c>
    </row>
    <row r="26914" spans="1:2" x14ac:dyDescent="0.25">
      <c r="A26914" s="74">
        <v>31706</v>
      </c>
      <c r="B26914">
        <v>0.61199999999999999</v>
      </c>
    </row>
    <row r="26915" spans="1:2" x14ac:dyDescent="0.25">
      <c r="A26915" s="74">
        <v>31707</v>
      </c>
      <c r="B26915">
        <v>0.57499999999999996</v>
      </c>
    </row>
    <row r="26916" spans="1:2" x14ac:dyDescent="0.25">
      <c r="A26916" s="74">
        <v>31708</v>
      </c>
      <c r="B26916">
        <v>0.57799999999999996</v>
      </c>
    </row>
    <row r="26917" spans="1:2" x14ac:dyDescent="0.25">
      <c r="A26917" s="74">
        <v>31709</v>
      </c>
      <c r="B26917">
        <v>0.56799999999999995</v>
      </c>
    </row>
    <row r="26918" spans="1:2" x14ac:dyDescent="0.25">
      <c r="A26918" s="74">
        <v>31710</v>
      </c>
      <c r="B26918">
        <v>0.56899999999999995</v>
      </c>
    </row>
    <row r="26919" spans="1:2" x14ac:dyDescent="0.25">
      <c r="A26919" s="74">
        <v>31711</v>
      </c>
      <c r="B26919">
        <v>1.04</v>
      </c>
    </row>
    <row r="26920" spans="1:2" x14ac:dyDescent="0.25">
      <c r="A26920" s="74">
        <v>31712</v>
      </c>
      <c r="B26920">
        <v>2.59</v>
      </c>
    </row>
    <row r="26921" spans="1:2" x14ac:dyDescent="0.25">
      <c r="A26921" s="74">
        <v>31713</v>
      </c>
      <c r="B26921">
        <v>4.51</v>
      </c>
    </row>
    <row r="26922" spans="1:2" x14ac:dyDescent="0.25">
      <c r="A26922" s="74">
        <v>31714</v>
      </c>
      <c r="B26922">
        <v>4.3600000000000003</v>
      </c>
    </row>
    <row r="26923" spans="1:2" x14ac:dyDescent="0.25">
      <c r="A26923" s="74">
        <v>31715</v>
      </c>
      <c r="B26923">
        <v>5.84</v>
      </c>
    </row>
    <row r="26924" spans="1:2" x14ac:dyDescent="0.25">
      <c r="A26924" s="74">
        <v>31716</v>
      </c>
      <c r="B26924">
        <v>7.19</v>
      </c>
    </row>
    <row r="26925" spans="1:2" x14ac:dyDescent="0.25">
      <c r="A26925" s="74">
        <v>31717</v>
      </c>
      <c r="B26925">
        <v>4.97</v>
      </c>
    </row>
    <row r="26926" spans="1:2" x14ac:dyDescent="0.25">
      <c r="A26926" s="74">
        <v>31718</v>
      </c>
      <c r="B26926">
        <v>3.91</v>
      </c>
    </row>
    <row r="26927" spans="1:2" x14ac:dyDescent="0.25">
      <c r="A26927" s="74">
        <v>31719</v>
      </c>
      <c r="B26927">
        <v>3.61</v>
      </c>
    </row>
    <row r="26928" spans="1:2" x14ac:dyDescent="0.25">
      <c r="A26928" s="74">
        <v>31720</v>
      </c>
      <c r="B26928">
        <v>3.34</v>
      </c>
    </row>
    <row r="26929" spans="1:2" x14ac:dyDescent="0.25">
      <c r="A26929" s="74">
        <v>31721</v>
      </c>
      <c r="B26929">
        <v>2.85</v>
      </c>
    </row>
    <row r="26930" spans="1:2" x14ac:dyDescent="0.25">
      <c r="A26930" s="74">
        <v>31722</v>
      </c>
      <c r="B26930">
        <v>2.76</v>
      </c>
    </row>
    <row r="26931" spans="1:2" x14ac:dyDescent="0.25">
      <c r="A26931" s="74">
        <v>31723</v>
      </c>
      <c r="B26931">
        <v>2.63</v>
      </c>
    </row>
    <row r="26932" spans="1:2" x14ac:dyDescent="0.25">
      <c r="A26932" s="74">
        <v>31724</v>
      </c>
      <c r="B26932">
        <v>2.56</v>
      </c>
    </row>
    <row r="26933" spans="1:2" x14ac:dyDescent="0.25">
      <c r="A26933" s="74">
        <v>31725</v>
      </c>
      <c r="B26933">
        <v>2.44</v>
      </c>
    </row>
    <row r="26934" spans="1:2" x14ac:dyDescent="0.25">
      <c r="A26934" s="74">
        <v>31726</v>
      </c>
      <c r="B26934">
        <v>2.31</v>
      </c>
    </row>
    <row r="26935" spans="1:2" x14ac:dyDescent="0.25">
      <c r="A26935" s="74">
        <v>31727</v>
      </c>
      <c r="B26935">
        <v>2.2200000000000002</v>
      </c>
    </row>
    <row r="26936" spans="1:2" x14ac:dyDescent="0.25">
      <c r="A26936" s="74">
        <v>31728</v>
      </c>
      <c r="B26936">
        <v>2.17</v>
      </c>
    </row>
    <row r="26937" spans="1:2" x14ac:dyDescent="0.25">
      <c r="A26937" s="74">
        <v>31729</v>
      </c>
      <c r="B26937">
        <v>2.11</v>
      </c>
    </row>
    <row r="26938" spans="1:2" x14ac:dyDescent="0.25">
      <c r="A26938" s="74">
        <v>31730</v>
      </c>
      <c r="B26938">
        <v>2.48</v>
      </c>
    </row>
    <row r="26939" spans="1:2" x14ac:dyDescent="0.25">
      <c r="A26939" s="74">
        <v>31731</v>
      </c>
      <c r="B26939">
        <v>2.46</v>
      </c>
    </row>
    <row r="26940" spans="1:2" x14ac:dyDescent="0.25">
      <c r="A26940" s="74">
        <v>31732</v>
      </c>
      <c r="B26940">
        <v>2.5299999999999998</v>
      </c>
    </row>
    <row r="26941" spans="1:2" x14ac:dyDescent="0.25">
      <c r="A26941" s="74">
        <v>31733</v>
      </c>
      <c r="B26941">
        <v>2.5499999999999998</v>
      </c>
    </row>
    <row r="26942" spans="1:2" x14ac:dyDescent="0.25">
      <c r="A26942" s="74">
        <v>31734</v>
      </c>
      <c r="B26942">
        <v>16.7</v>
      </c>
    </row>
    <row r="26943" spans="1:2" x14ac:dyDescent="0.25">
      <c r="A26943" s="74">
        <v>31735</v>
      </c>
      <c r="B26943">
        <v>36.6</v>
      </c>
    </row>
    <row r="26944" spans="1:2" x14ac:dyDescent="0.25">
      <c r="A26944" s="74">
        <v>31736</v>
      </c>
      <c r="B26944">
        <v>101</v>
      </c>
    </row>
    <row r="26945" spans="1:2" x14ac:dyDescent="0.25">
      <c r="A26945" s="74">
        <v>31737</v>
      </c>
      <c r="B26945">
        <v>43.7</v>
      </c>
    </row>
    <row r="26946" spans="1:2" x14ac:dyDescent="0.25">
      <c r="A26946" s="74">
        <v>31738</v>
      </c>
      <c r="B26946">
        <v>23.8</v>
      </c>
    </row>
    <row r="26947" spans="1:2" x14ac:dyDescent="0.25">
      <c r="A26947" s="74">
        <v>31739</v>
      </c>
      <c r="B26947">
        <v>89.9</v>
      </c>
    </row>
    <row r="26948" spans="1:2" x14ac:dyDescent="0.25">
      <c r="A26948" s="74">
        <v>31740</v>
      </c>
      <c r="B26948">
        <v>45.7</v>
      </c>
    </row>
    <row r="26949" spans="1:2" x14ac:dyDescent="0.25">
      <c r="A26949" s="74">
        <v>31741</v>
      </c>
      <c r="B26949">
        <v>36.1</v>
      </c>
    </row>
    <row r="26950" spans="1:2" x14ac:dyDescent="0.25">
      <c r="A26950" s="74">
        <v>31742</v>
      </c>
      <c r="B26950">
        <v>53.2</v>
      </c>
    </row>
    <row r="26951" spans="1:2" x14ac:dyDescent="0.25">
      <c r="A26951" s="74">
        <v>31743</v>
      </c>
      <c r="B26951">
        <v>36.1</v>
      </c>
    </row>
    <row r="26952" spans="1:2" x14ac:dyDescent="0.25">
      <c r="A26952" s="74">
        <v>31744</v>
      </c>
      <c r="B26952">
        <v>23.4</v>
      </c>
    </row>
    <row r="26953" spans="1:2" x14ac:dyDescent="0.25">
      <c r="A26953" s="74">
        <v>31745</v>
      </c>
      <c r="B26953">
        <v>15.6</v>
      </c>
    </row>
    <row r="26954" spans="1:2" x14ac:dyDescent="0.25">
      <c r="A26954" s="74">
        <v>31746</v>
      </c>
      <c r="B26954">
        <v>17.7</v>
      </c>
    </row>
    <row r="26955" spans="1:2" x14ac:dyDescent="0.25">
      <c r="A26955" s="74">
        <v>31747</v>
      </c>
      <c r="B26955">
        <v>57.3</v>
      </c>
    </row>
    <row r="26956" spans="1:2" x14ac:dyDescent="0.25">
      <c r="A26956" s="74">
        <v>31748</v>
      </c>
      <c r="B26956">
        <v>29.9</v>
      </c>
    </row>
    <row r="26957" spans="1:2" x14ac:dyDescent="0.25">
      <c r="A26957" s="74">
        <v>31749</v>
      </c>
      <c r="B26957">
        <v>18.100000000000001</v>
      </c>
    </row>
    <row r="26958" spans="1:2" x14ac:dyDescent="0.25">
      <c r="A26958" s="74">
        <v>31750</v>
      </c>
      <c r="B26958">
        <v>13.2</v>
      </c>
    </row>
    <row r="26959" spans="1:2" x14ac:dyDescent="0.25">
      <c r="A26959" s="74">
        <v>31751</v>
      </c>
      <c r="B26959">
        <v>10.9</v>
      </c>
    </row>
    <row r="26960" spans="1:2" x14ac:dyDescent="0.25">
      <c r="A26960" s="74">
        <v>31752</v>
      </c>
      <c r="B26960">
        <v>9.26</v>
      </c>
    </row>
    <row r="26961" spans="1:3" x14ac:dyDescent="0.25">
      <c r="A26961" s="74">
        <v>31753</v>
      </c>
      <c r="B26961">
        <v>8.3000000000000007</v>
      </c>
    </row>
    <row r="26962" spans="1:3" x14ac:dyDescent="0.25">
      <c r="A26962" s="74">
        <v>31754</v>
      </c>
      <c r="B26962">
        <v>7.44</v>
      </c>
    </row>
    <row r="26963" spans="1:3" x14ac:dyDescent="0.25">
      <c r="A26963" s="74">
        <v>31755</v>
      </c>
      <c r="B26963">
        <v>6.64</v>
      </c>
    </row>
    <row r="26964" spans="1:3" x14ac:dyDescent="0.25">
      <c r="A26964" s="74">
        <v>31756</v>
      </c>
      <c r="B26964">
        <v>6.15</v>
      </c>
    </row>
    <row r="26965" spans="1:3" x14ac:dyDescent="0.25">
      <c r="A26965" s="74">
        <v>31757</v>
      </c>
      <c r="B26965">
        <v>5.96</v>
      </c>
    </row>
    <row r="26966" spans="1:3" x14ac:dyDescent="0.25">
      <c r="A26966" s="74">
        <v>31758</v>
      </c>
      <c r="B26966">
        <v>5.85</v>
      </c>
    </row>
    <row r="26967" spans="1:3" x14ac:dyDescent="0.25">
      <c r="A26967" s="74">
        <v>31759</v>
      </c>
      <c r="B26967">
        <v>5.78</v>
      </c>
    </row>
    <row r="26968" spans="1:3" x14ac:dyDescent="0.25">
      <c r="A26968" s="74">
        <v>31760</v>
      </c>
      <c r="B26968">
        <v>13.7</v>
      </c>
    </row>
    <row r="26969" spans="1:3" x14ac:dyDescent="0.25">
      <c r="A26969" s="74">
        <v>31761</v>
      </c>
      <c r="B26969">
        <v>31.1</v>
      </c>
    </row>
    <row r="26970" spans="1:3" x14ac:dyDescent="0.25">
      <c r="A26970" s="74">
        <v>31762</v>
      </c>
      <c r="B26970">
        <v>19.399999999999999</v>
      </c>
    </row>
    <row r="26971" spans="1:3" x14ac:dyDescent="0.25">
      <c r="A26971" s="74">
        <v>31763</v>
      </c>
      <c r="B26971">
        <v>14.7</v>
      </c>
      <c r="C26971" t="s">
        <v>140</v>
      </c>
    </row>
    <row r="26972" spans="1:3" x14ac:dyDescent="0.25">
      <c r="A26972" s="74">
        <v>31764</v>
      </c>
      <c r="B26972">
        <v>11.5</v>
      </c>
      <c r="C26972" t="s">
        <v>141</v>
      </c>
    </row>
    <row r="26973" spans="1:3" x14ac:dyDescent="0.25">
      <c r="A26973" s="74">
        <v>31765</v>
      </c>
      <c r="B26973">
        <v>9.8000000000000007</v>
      </c>
      <c r="C26973" t="s">
        <v>141</v>
      </c>
    </row>
    <row r="26974" spans="1:3" x14ac:dyDescent="0.25">
      <c r="A26974" s="74">
        <v>31766</v>
      </c>
      <c r="B26974">
        <v>12.4</v>
      </c>
      <c r="C26974" t="s">
        <v>141</v>
      </c>
    </row>
    <row r="26975" spans="1:3" x14ac:dyDescent="0.25">
      <c r="A26975" s="74">
        <v>31767</v>
      </c>
      <c r="B26975">
        <v>55</v>
      </c>
      <c r="C26975" t="s">
        <v>141</v>
      </c>
    </row>
    <row r="26976" spans="1:3" x14ac:dyDescent="0.25">
      <c r="A26976" s="74">
        <v>31768</v>
      </c>
      <c r="B26976">
        <v>138</v>
      </c>
      <c r="C26976" t="s">
        <v>141</v>
      </c>
    </row>
    <row r="26977" spans="1:3" x14ac:dyDescent="0.25">
      <c r="A26977" s="74">
        <v>31769</v>
      </c>
      <c r="B26977">
        <v>90</v>
      </c>
      <c r="C26977" t="s">
        <v>141</v>
      </c>
    </row>
    <row r="26978" spans="1:3" x14ac:dyDescent="0.25">
      <c r="A26978" s="74">
        <v>31770</v>
      </c>
      <c r="B26978">
        <v>63</v>
      </c>
      <c r="C26978" t="s">
        <v>141</v>
      </c>
    </row>
    <row r="26979" spans="1:3" x14ac:dyDescent="0.25">
      <c r="A26979" s="74">
        <v>31771</v>
      </c>
      <c r="B26979">
        <v>51</v>
      </c>
      <c r="C26979" t="s">
        <v>141</v>
      </c>
    </row>
    <row r="26980" spans="1:3" x14ac:dyDescent="0.25">
      <c r="A26980" s="74">
        <v>31772</v>
      </c>
      <c r="B26980">
        <v>39.799999999999997</v>
      </c>
      <c r="C26980" t="s">
        <v>141</v>
      </c>
    </row>
    <row r="26981" spans="1:3" x14ac:dyDescent="0.25">
      <c r="A26981" s="74">
        <v>31773</v>
      </c>
      <c r="B26981">
        <v>39</v>
      </c>
      <c r="C26981" t="s">
        <v>141</v>
      </c>
    </row>
    <row r="26982" spans="1:3" x14ac:dyDescent="0.25">
      <c r="A26982" s="74">
        <v>31774</v>
      </c>
      <c r="B26982">
        <v>49</v>
      </c>
      <c r="C26982" t="s">
        <v>141</v>
      </c>
    </row>
    <row r="26983" spans="1:3" x14ac:dyDescent="0.25">
      <c r="A26983" s="74">
        <v>31775</v>
      </c>
      <c r="B26983">
        <v>68.099999999999994</v>
      </c>
      <c r="C26983" t="s">
        <v>141</v>
      </c>
    </row>
    <row r="26984" spans="1:3" x14ac:dyDescent="0.25">
      <c r="A26984" s="74">
        <v>31776</v>
      </c>
      <c r="B26984">
        <v>56</v>
      </c>
      <c r="C26984" t="s">
        <v>141</v>
      </c>
    </row>
    <row r="26985" spans="1:3" x14ac:dyDescent="0.25">
      <c r="A26985" s="74">
        <v>31777</v>
      </c>
      <c r="B26985">
        <v>34.5</v>
      </c>
      <c r="C26985" t="s">
        <v>141</v>
      </c>
    </row>
    <row r="26986" spans="1:3" x14ac:dyDescent="0.25">
      <c r="A26986" s="74">
        <v>31778</v>
      </c>
      <c r="B26986">
        <v>34.6</v>
      </c>
      <c r="C26986" t="s">
        <v>141</v>
      </c>
    </row>
    <row r="26987" spans="1:3" x14ac:dyDescent="0.25">
      <c r="A26987" s="74">
        <v>31779</v>
      </c>
      <c r="B26987">
        <v>36.200000000000003</v>
      </c>
      <c r="C26987" t="s">
        <v>141</v>
      </c>
    </row>
    <row r="26988" spans="1:3" x14ac:dyDescent="0.25">
      <c r="A26988" s="74">
        <v>31780</v>
      </c>
      <c r="B26988">
        <v>47.5</v>
      </c>
      <c r="C26988" t="s">
        <v>141</v>
      </c>
    </row>
    <row r="26989" spans="1:3" x14ac:dyDescent="0.25">
      <c r="A26989" s="74">
        <v>31781</v>
      </c>
      <c r="B26989">
        <v>73.5</v>
      </c>
      <c r="C26989" t="s">
        <v>141</v>
      </c>
    </row>
    <row r="26990" spans="1:3" x14ac:dyDescent="0.25">
      <c r="A26990" s="74">
        <v>31782</v>
      </c>
      <c r="B26990">
        <v>55</v>
      </c>
      <c r="C26990" t="s">
        <v>141</v>
      </c>
    </row>
    <row r="26991" spans="1:3" x14ac:dyDescent="0.25">
      <c r="A26991" s="74">
        <v>31783</v>
      </c>
      <c r="B26991">
        <v>36.1</v>
      </c>
      <c r="C26991" t="s">
        <v>141</v>
      </c>
    </row>
    <row r="26992" spans="1:3" x14ac:dyDescent="0.25">
      <c r="A26992" s="74">
        <v>31784</v>
      </c>
      <c r="B26992">
        <v>26.5</v>
      </c>
      <c r="C26992" t="s">
        <v>141</v>
      </c>
    </row>
    <row r="26993" spans="1:3" x14ac:dyDescent="0.25">
      <c r="A26993" s="74">
        <v>31785</v>
      </c>
      <c r="B26993">
        <v>18.5</v>
      </c>
      <c r="C26993" t="s">
        <v>141</v>
      </c>
    </row>
    <row r="26994" spans="1:3" x14ac:dyDescent="0.25">
      <c r="A26994" s="74">
        <v>31786</v>
      </c>
      <c r="B26994">
        <v>13.9</v>
      </c>
      <c r="C26994" t="s">
        <v>141</v>
      </c>
    </row>
    <row r="26995" spans="1:3" x14ac:dyDescent="0.25">
      <c r="A26995" s="74">
        <v>31787</v>
      </c>
      <c r="B26995">
        <v>14.2</v>
      </c>
      <c r="C26995" t="s">
        <v>141</v>
      </c>
    </row>
    <row r="26996" spans="1:3" x14ac:dyDescent="0.25">
      <c r="A26996" s="74">
        <v>31788</v>
      </c>
      <c r="B26996">
        <v>40</v>
      </c>
      <c r="C26996" t="s">
        <v>141</v>
      </c>
    </row>
    <row r="26997" spans="1:3" x14ac:dyDescent="0.25">
      <c r="A26997" s="74">
        <v>31789</v>
      </c>
      <c r="B26997">
        <v>160</v>
      </c>
      <c r="C26997" t="s">
        <v>141</v>
      </c>
    </row>
    <row r="26998" spans="1:3" x14ac:dyDescent="0.25">
      <c r="A26998" s="74">
        <v>31790</v>
      </c>
      <c r="B26998">
        <v>91</v>
      </c>
      <c r="C26998" t="s">
        <v>141</v>
      </c>
    </row>
    <row r="26999" spans="1:3" x14ac:dyDescent="0.25">
      <c r="A26999" s="74">
        <v>31791</v>
      </c>
      <c r="B26999">
        <v>60.2</v>
      </c>
      <c r="C26999" t="s">
        <v>141</v>
      </c>
    </row>
    <row r="27000" spans="1:3" x14ac:dyDescent="0.25">
      <c r="A27000" s="74">
        <v>31792</v>
      </c>
      <c r="B27000">
        <v>35.5</v>
      </c>
      <c r="C27000" t="s">
        <v>141</v>
      </c>
    </row>
    <row r="27001" spans="1:3" x14ac:dyDescent="0.25">
      <c r="A27001" s="74">
        <v>31793</v>
      </c>
      <c r="B27001">
        <v>23</v>
      </c>
      <c r="C27001" t="s">
        <v>141</v>
      </c>
    </row>
    <row r="27002" spans="1:3" x14ac:dyDescent="0.25">
      <c r="A27002" s="74">
        <v>31794</v>
      </c>
      <c r="B27002">
        <v>13</v>
      </c>
      <c r="C27002" t="s">
        <v>141</v>
      </c>
    </row>
    <row r="27003" spans="1:3" x14ac:dyDescent="0.25">
      <c r="A27003" s="74">
        <v>31795</v>
      </c>
      <c r="B27003">
        <v>11.9</v>
      </c>
      <c r="C27003" t="s">
        <v>141</v>
      </c>
    </row>
    <row r="27004" spans="1:3" x14ac:dyDescent="0.25">
      <c r="A27004" s="74">
        <v>31796</v>
      </c>
      <c r="B27004">
        <v>10.9</v>
      </c>
      <c r="C27004" t="s">
        <v>141</v>
      </c>
    </row>
    <row r="27005" spans="1:3" x14ac:dyDescent="0.25">
      <c r="A27005" s="74">
        <v>31797</v>
      </c>
      <c r="B27005">
        <v>9.5</v>
      </c>
      <c r="C27005" t="s">
        <v>141</v>
      </c>
    </row>
    <row r="27006" spans="1:3" x14ac:dyDescent="0.25">
      <c r="A27006" s="74">
        <v>31798</v>
      </c>
      <c r="B27006">
        <v>8.5</v>
      </c>
      <c r="C27006" t="s">
        <v>141</v>
      </c>
    </row>
    <row r="27007" spans="1:3" x14ac:dyDescent="0.25">
      <c r="A27007" s="74">
        <v>31799</v>
      </c>
      <c r="B27007">
        <v>7.7</v>
      </c>
      <c r="C27007" t="s">
        <v>141</v>
      </c>
    </row>
    <row r="27008" spans="1:3" x14ac:dyDescent="0.25">
      <c r="A27008" s="74">
        <v>31800</v>
      </c>
      <c r="B27008">
        <v>6.9</v>
      </c>
      <c r="C27008" t="s">
        <v>141</v>
      </c>
    </row>
    <row r="27009" spans="1:3" x14ac:dyDescent="0.25">
      <c r="A27009" s="74">
        <v>31801</v>
      </c>
      <c r="B27009">
        <v>6.4</v>
      </c>
      <c r="C27009" t="s">
        <v>141</v>
      </c>
    </row>
    <row r="27010" spans="1:3" x14ac:dyDescent="0.25">
      <c r="A27010" s="74">
        <v>31802</v>
      </c>
      <c r="B27010">
        <v>7.3</v>
      </c>
      <c r="C27010" t="s">
        <v>141</v>
      </c>
    </row>
    <row r="27011" spans="1:3" x14ac:dyDescent="0.25">
      <c r="A27011" s="74">
        <v>31803</v>
      </c>
      <c r="B27011">
        <v>14.1</v>
      </c>
      <c r="C27011" t="s">
        <v>141</v>
      </c>
    </row>
    <row r="27012" spans="1:3" x14ac:dyDescent="0.25">
      <c r="A27012" s="74">
        <v>31804</v>
      </c>
      <c r="B27012">
        <v>16.2</v>
      </c>
      <c r="C27012" t="s">
        <v>141</v>
      </c>
    </row>
    <row r="27013" spans="1:3" x14ac:dyDescent="0.25">
      <c r="A27013" s="74">
        <v>31805</v>
      </c>
      <c r="B27013">
        <v>29.2</v>
      </c>
      <c r="C27013" t="s">
        <v>141</v>
      </c>
    </row>
    <row r="27014" spans="1:3" x14ac:dyDescent="0.25">
      <c r="A27014" s="74">
        <v>31806</v>
      </c>
      <c r="B27014">
        <v>65.099999999999994</v>
      </c>
      <c r="C27014" t="s">
        <v>141</v>
      </c>
    </row>
    <row r="27015" spans="1:3" x14ac:dyDescent="0.25">
      <c r="A27015" s="74">
        <v>31807</v>
      </c>
      <c r="B27015">
        <v>66</v>
      </c>
      <c r="C27015" t="s">
        <v>141</v>
      </c>
    </row>
    <row r="27016" spans="1:3" x14ac:dyDescent="0.25">
      <c r="A27016" s="74">
        <v>31808</v>
      </c>
      <c r="B27016">
        <v>51.8</v>
      </c>
      <c r="C27016" t="s">
        <v>141</v>
      </c>
    </row>
    <row r="27017" spans="1:3" x14ac:dyDescent="0.25">
      <c r="A27017" s="74">
        <v>31809</v>
      </c>
      <c r="B27017">
        <v>33</v>
      </c>
      <c r="C27017" t="s">
        <v>141</v>
      </c>
    </row>
    <row r="27018" spans="1:3" x14ac:dyDescent="0.25">
      <c r="A27018" s="74">
        <v>31810</v>
      </c>
      <c r="B27018">
        <v>22</v>
      </c>
      <c r="C27018" t="s">
        <v>141</v>
      </c>
    </row>
    <row r="27019" spans="1:3" x14ac:dyDescent="0.25">
      <c r="A27019" s="74">
        <v>31811</v>
      </c>
      <c r="B27019">
        <v>12.7</v>
      </c>
      <c r="C27019" t="s">
        <v>140</v>
      </c>
    </row>
    <row r="27020" spans="1:3" x14ac:dyDescent="0.25">
      <c r="A27020" s="74">
        <v>31812</v>
      </c>
      <c r="B27020">
        <v>43.5</v>
      </c>
    </row>
    <row r="27021" spans="1:3" x14ac:dyDescent="0.25">
      <c r="A27021" s="74">
        <v>31813</v>
      </c>
      <c r="B27021">
        <v>55.1</v>
      </c>
    </row>
    <row r="27022" spans="1:3" x14ac:dyDescent="0.25">
      <c r="A27022" s="74">
        <v>31814</v>
      </c>
      <c r="B27022">
        <v>39.799999999999997</v>
      </c>
    </row>
    <row r="27023" spans="1:3" x14ac:dyDescent="0.25">
      <c r="A27023" s="74">
        <v>31815</v>
      </c>
      <c r="B27023">
        <v>24.5</v>
      </c>
    </row>
    <row r="27024" spans="1:3" x14ac:dyDescent="0.25">
      <c r="A27024" s="74">
        <v>31816</v>
      </c>
      <c r="B27024">
        <v>16.899999999999999</v>
      </c>
    </row>
    <row r="27025" spans="1:2" x14ac:dyDescent="0.25">
      <c r="A27025" s="74">
        <v>31817</v>
      </c>
      <c r="B27025">
        <v>14.7</v>
      </c>
    </row>
    <row r="27026" spans="1:2" x14ac:dyDescent="0.25">
      <c r="A27026" s="74">
        <v>31818</v>
      </c>
      <c r="B27026">
        <v>25.9</v>
      </c>
    </row>
    <row r="27027" spans="1:2" x14ac:dyDescent="0.25">
      <c r="A27027" s="74">
        <v>31819</v>
      </c>
      <c r="B27027">
        <v>53</v>
      </c>
    </row>
    <row r="27028" spans="1:2" x14ac:dyDescent="0.25">
      <c r="A27028" s="74">
        <v>31820</v>
      </c>
      <c r="B27028">
        <v>37.700000000000003</v>
      </c>
    </row>
    <row r="27029" spans="1:2" x14ac:dyDescent="0.25">
      <c r="A27029" s="74">
        <v>31821</v>
      </c>
      <c r="B27029">
        <v>38</v>
      </c>
    </row>
    <row r="27030" spans="1:2" x14ac:dyDescent="0.25">
      <c r="A27030" s="74">
        <v>31822</v>
      </c>
      <c r="B27030">
        <v>37.6</v>
      </c>
    </row>
    <row r="27031" spans="1:2" x14ac:dyDescent="0.25">
      <c r="A27031" s="74">
        <v>31823</v>
      </c>
      <c r="B27031">
        <v>25.1</v>
      </c>
    </row>
    <row r="27032" spans="1:2" x14ac:dyDescent="0.25">
      <c r="A27032" s="74">
        <v>31824</v>
      </c>
      <c r="B27032">
        <v>19.600000000000001</v>
      </c>
    </row>
    <row r="27033" spans="1:2" x14ac:dyDescent="0.25">
      <c r="A27033" s="74">
        <v>31825</v>
      </c>
      <c r="B27033">
        <v>17.8</v>
      </c>
    </row>
    <row r="27034" spans="1:2" x14ac:dyDescent="0.25">
      <c r="A27034" s="74">
        <v>31826</v>
      </c>
      <c r="B27034">
        <v>14.6</v>
      </c>
    </row>
    <row r="27035" spans="1:2" x14ac:dyDescent="0.25">
      <c r="A27035" s="74">
        <v>31827</v>
      </c>
      <c r="B27035">
        <v>13</v>
      </c>
    </row>
    <row r="27036" spans="1:2" x14ac:dyDescent="0.25">
      <c r="A27036" s="74">
        <v>31828</v>
      </c>
      <c r="B27036">
        <v>12.3</v>
      </c>
    </row>
    <row r="27037" spans="1:2" x14ac:dyDescent="0.25">
      <c r="A27037" s="74">
        <v>31829</v>
      </c>
      <c r="B27037">
        <v>11.9</v>
      </c>
    </row>
    <row r="27038" spans="1:2" x14ac:dyDescent="0.25">
      <c r="A27038" s="74">
        <v>31830</v>
      </c>
      <c r="B27038">
        <v>11.4</v>
      </c>
    </row>
    <row r="27039" spans="1:2" x14ac:dyDescent="0.25">
      <c r="A27039" s="74">
        <v>31831</v>
      </c>
      <c r="B27039">
        <v>10.5</v>
      </c>
    </row>
    <row r="27040" spans="1:2" x14ac:dyDescent="0.25">
      <c r="A27040" s="74">
        <v>31832</v>
      </c>
      <c r="B27040">
        <v>9.64</v>
      </c>
    </row>
    <row r="27041" spans="1:2" x14ac:dyDescent="0.25">
      <c r="A27041" s="74">
        <v>31833</v>
      </c>
      <c r="B27041">
        <v>9.0399999999999991</v>
      </c>
    </row>
    <row r="27042" spans="1:2" x14ac:dyDescent="0.25">
      <c r="A27042" s="74">
        <v>31834</v>
      </c>
      <c r="B27042">
        <v>8.7899999999999991</v>
      </c>
    </row>
    <row r="27043" spans="1:2" x14ac:dyDescent="0.25">
      <c r="A27043" s="74">
        <v>31835</v>
      </c>
      <c r="B27043">
        <v>8.51</v>
      </c>
    </row>
    <row r="27044" spans="1:2" x14ac:dyDescent="0.25">
      <c r="A27044" s="74">
        <v>31836</v>
      </c>
      <c r="B27044">
        <v>8.4700000000000006</v>
      </c>
    </row>
    <row r="27045" spans="1:2" x14ac:dyDescent="0.25">
      <c r="A27045" s="74">
        <v>31837</v>
      </c>
      <c r="B27045">
        <v>8.5399999999999991</v>
      </c>
    </row>
    <row r="27046" spans="1:2" x14ac:dyDescent="0.25">
      <c r="A27046" s="74">
        <v>31838</v>
      </c>
      <c r="B27046">
        <v>8.9</v>
      </c>
    </row>
    <row r="27047" spans="1:2" x14ac:dyDescent="0.25">
      <c r="A27047" s="74">
        <v>31839</v>
      </c>
      <c r="B27047">
        <v>47.7</v>
      </c>
    </row>
    <row r="27048" spans="1:2" x14ac:dyDescent="0.25">
      <c r="A27048" s="74">
        <v>31840</v>
      </c>
      <c r="B27048">
        <v>154</v>
      </c>
    </row>
    <row r="27049" spans="1:2" x14ac:dyDescent="0.25">
      <c r="A27049" s="74">
        <v>31841</v>
      </c>
      <c r="B27049">
        <v>160</v>
      </c>
    </row>
    <row r="27050" spans="1:2" x14ac:dyDescent="0.25">
      <c r="A27050" s="74">
        <v>31842</v>
      </c>
      <c r="B27050">
        <v>85.9</v>
      </c>
    </row>
    <row r="27051" spans="1:2" x14ac:dyDescent="0.25">
      <c r="A27051" s="74">
        <v>31843</v>
      </c>
      <c r="B27051">
        <v>47.6</v>
      </c>
    </row>
    <row r="27052" spans="1:2" x14ac:dyDescent="0.25">
      <c r="A27052" s="74">
        <v>31844</v>
      </c>
      <c r="B27052">
        <v>33.700000000000003</v>
      </c>
    </row>
    <row r="27053" spans="1:2" x14ac:dyDescent="0.25">
      <c r="A27053" s="74">
        <v>31845</v>
      </c>
      <c r="B27053">
        <v>26.1</v>
      </c>
    </row>
    <row r="27054" spans="1:2" x14ac:dyDescent="0.25">
      <c r="A27054" s="74">
        <v>31846</v>
      </c>
      <c r="B27054">
        <v>24.8</v>
      </c>
    </row>
    <row r="27055" spans="1:2" x14ac:dyDescent="0.25">
      <c r="A27055" s="74">
        <v>31847</v>
      </c>
      <c r="B27055">
        <v>28.4</v>
      </c>
    </row>
    <row r="27056" spans="1:2" x14ac:dyDescent="0.25">
      <c r="A27056" s="74">
        <v>31848</v>
      </c>
      <c r="B27056">
        <v>32.9</v>
      </c>
    </row>
    <row r="27057" spans="1:2" x14ac:dyDescent="0.25">
      <c r="A27057" s="74">
        <v>31849</v>
      </c>
      <c r="B27057">
        <v>37.1</v>
      </c>
    </row>
    <row r="27058" spans="1:2" x14ac:dyDescent="0.25">
      <c r="A27058" s="74">
        <v>31850</v>
      </c>
      <c r="B27058">
        <v>32.200000000000003</v>
      </c>
    </row>
    <row r="27059" spans="1:2" x14ac:dyDescent="0.25">
      <c r="A27059" s="74">
        <v>31851</v>
      </c>
      <c r="B27059">
        <v>25.5</v>
      </c>
    </row>
    <row r="27060" spans="1:2" x14ac:dyDescent="0.25">
      <c r="A27060" s="74">
        <v>31852</v>
      </c>
      <c r="B27060">
        <v>21.6</v>
      </c>
    </row>
    <row r="27061" spans="1:2" x14ac:dyDescent="0.25">
      <c r="A27061" s="74">
        <v>31853</v>
      </c>
      <c r="B27061">
        <v>23.5</v>
      </c>
    </row>
    <row r="27062" spans="1:2" x14ac:dyDescent="0.25">
      <c r="A27062" s="74">
        <v>31854</v>
      </c>
      <c r="B27062">
        <v>21.2</v>
      </c>
    </row>
    <row r="27063" spans="1:2" x14ac:dyDescent="0.25">
      <c r="A27063" s="74">
        <v>31855</v>
      </c>
      <c r="B27063">
        <v>17.399999999999999</v>
      </c>
    </row>
    <row r="27064" spans="1:2" x14ac:dyDescent="0.25">
      <c r="A27064" s="74">
        <v>31856</v>
      </c>
      <c r="B27064">
        <v>14.7</v>
      </c>
    </row>
    <row r="27065" spans="1:2" x14ac:dyDescent="0.25">
      <c r="A27065" s="74">
        <v>31857</v>
      </c>
      <c r="B27065">
        <v>12.6</v>
      </c>
    </row>
    <row r="27066" spans="1:2" x14ac:dyDescent="0.25">
      <c r="A27066" s="74">
        <v>31858</v>
      </c>
      <c r="B27066">
        <v>10.8</v>
      </c>
    </row>
    <row r="27067" spans="1:2" x14ac:dyDescent="0.25">
      <c r="A27067" s="74">
        <v>31859</v>
      </c>
      <c r="B27067">
        <v>9.67</v>
      </c>
    </row>
    <row r="27068" spans="1:2" x14ac:dyDescent="0.25">
      <c r="A27068" s="74">
        <v>31860</v>
      </c>
      <c r="B27068">
        <v>9.0299999999999994</v>
      </c>
    </row>
    <row r="27069" spans="1:2" x14ac:dyDescent="0.25">
      <c r="A27069" s="74">
        <v>31861</v>
      </c>
      <c r="B27069">
        <v>8.69</v>
      </c>
    </row>
    <row r="27070" spans="1:2" x14ac:dyDescent="0.25">
      <c r="A27070" s="74">
        <v>31862</v>
      </c>
      <c r="B27070">
        <v>8</v>
      </c>
    </row>
    <row r="27071" spans="1:2" x14ac:dyDescent="0.25">
      <c r="A27071" s="74">
        <v>31863</v>
      </c>
      <c r="B27071">
        <v>7.49</v>
      </c>
    </row>
    <row r="27072" spans="1:2" x14ac:dyDescent="0.25">
      <c r="A27072" s="74">
        <v>31864</v>
      </c>
      <c r="B27072">
        <v>7.03</v>
      </c>
    </row>
    <row r="27073" spans="1:2" x14ac:dyDescent="0.25">
      <c r="A27073" s="74">
        <v>31865</v>
      </c>
      <c r="B27073">
        <v>6.54</v>
      </c>
    </row>
    <row r="27074" spans="1:2" x14ac:dyDescent="0.25">
      <c r="A27074" s="74">
        <v>31866</v>
      </c>
      <c r="B27074">
        <v>6.31</v>
      </c>
    </row>
    <row r="27075" spans="1:2" x14ac:dyDescent="0.25">
      <c r="A27075" s="74">
        <v>31867</v>
      </c>
      <c r="B27075">
        <v>6.1</v>
      </c>
    </row>
    <row r="27076" spans="1:2" x14ac:dyDescent="0.25">
      <c r="A27076" s="74">
        <v>31868</v>
      </c>
      <c r="B27076">
        <v>5.94</v>
      </c>
    </row>
    <row r="27077" spans="1:2" x14ac:dyDescent="0.25">
      <c r="A27077" s="74">
        <v>31869</v>
      </c>
      <c r="B27077">
        <v>6.35</v>
      </c>
    </row>
    <row r="27078" spans="1:2" x14ac:dyDescent="0.25">
      <c r="A27078" s="74">
        <v>31870</v>
      </c>
      <c r="B27078">
        <v>7.83</v>
      </c>
    </row>
    <row r="27079" spans="1:2" x14ac:dyDescent="0.25">
      <c r="A27079" s="74">
        <v>31871</v>
      </c>
      <c r="B27079">
        <v>8.6199999999999992</v>
      </c>
    </row>
    <row r="27080" spans="1:2" x14ac:dyDescent="0.25">
      <c r="A27080" s="74">
        <v>31872</v>
      </c>
      <c r="B27080">
        <v>8.0500000000000007</v>
      </c>
    </row>
    <row r="27081" spans="1:2" x14ac:dyDescent="0.25">
      <c r="A27081" s="74">
        <v>31873</v>
      </c>
      <c r="B27081">
        <v>7.5</v>
      </c>
    </row>
    <row r="27082" spans="1:2" x14ac:dyDescent="0.25">
      <c r="A27082" s="74">
        <v>31874</v>
      </c>
      <c r="B27082">
        <v>8.3699999999999992</v>
      </c>
    </row>
    <row r="27083" spans="1:2" x14ac:dyDescent="0.25">
      <c r="A27083" s="74">
        <v>31875</v>
      </c>
      <c r="B27083">
        <v>11.5</v>
      </c>
    </row>
    <row r="27084" spans="1:2" x14ac:dyDescent="0.25">
      <c r="A27084" s="74">
        <v>31876</v>
      </c>
      <c r="B27084">
        <v>10.4</v>
      </c>
    </row>
    <row r="27085" spans="1:2" x14ac:dyDescent="0.25">
      <c r="A27085" s="74">
        <v>31877</v>
      </c>
      <c r="B27085">
        <v>15.7</v>
      </c>
    </row>
    <row r="27086" spans="1:2" x14ac:dyDescent="0.25">
      <c r="A27086" s="74">
        <v>31878</v>
      </c>
      <c r="B27086">
        <v>12.5</v>
      </c>
    </row>
    <row r="27087" spans="1:2" x14ac:dyDescent="0.25">
      <c r="A27087" s="74">
        <v>31879</v>
      </c>
      <c r="B27087">
        <v>9.82</v>
      </c>
    </row>
    <row r="27088" spans="1:2" x14ac:dyDescent="0.25">
      <c r="A27088" s="74">
        <v>31880</v>
      </c>
      <c r="B27088">
        <v>8.5299999999999994</v>
      </c>
    </row>
    <row r="27089" spans="1:2" x14ac:dyDescent="0.25">
      <c r="A27089" s="74">
        <v>31881</v>
      </c>
      <c r="B27089">
        <v>15.4</v>
      </c>
    </row>
    <row r="27090" spans="1:2" x14ac:dyDescent="0.25">
      <c r="A27090" s="74">
        <v>31882</v>
      </c>
      <c r="B27090">
        <v>16.399999999999999</v>
      </c>
    </row>
    <row r="27091" spans="1:2" x14ac:dyDescent="0.25">
      <c r="A27091" s="74">
        <v>31883</v>
      </c>
      <c r="B27091">
        <v>33.200000000000003</v>
      </c>
    </row>
    <row r="27092" spans="1:2" x14ac:dyDescent="0.25">
      <c r="A27092" s="74">
        <v>31884</v>
      </c>
      <c r="B27092">
        <v>22.8</v>
      </c>
    </row>
    <row r="27093" spans="1:2" x14ac:dyDescent="0.25">
      <c r="A27093" s="74">
        <v>31885</v>
      </c>
      <c r="B27093">
        <v>14.5</v>
      </c>
    </row>
    <row r="27094" spans="1:2" x14ac:dyDescent="0.25">
      <c r="A27094" s="74">
        <v>31886</v>
      </c>
      <c r="B27094">
        <v>10.7</v>
      </c>
    </row>
    <row r="27095" spans="1:2" x14ac:dyDescent="0.25">
      <c r="A27095" s="74">
        <v>31887</v>
      </c>
      <c r="B27095">
        <v>9.18</v>
      </c>
    </row>
    <row r="27096" spans="1:2" x14ac:dyDescent="0.25">
      <c r="A27096" s="74">
        <v>31888</v>
      </c>
      <c r="B27096">
        <v>7.85</v>
      </c>
    </row>
    <row r="27097" spans="1:2" x14ac:dyDescent="0.25">
      <c r="A27097" s="74">
        <v>31889</v>
      </c>
      <c r="B27097">
        <v>6.98</v>
      </c>
    </row>
    <row r="27098" spans="1:2" x14ac:dyDescent="0.25">
      <c r="A27098" s="74">
        <v>31890</v>
      </c>
      <c r="B27098">
        <v>6.39</v>
      </c>
    </row>
    <row r="27099" spans="1:2" x14ac:dyDescent="0.25">
      <c r="A27099" s="74">
        <v>31891</v>
      </c>
      <c r="B27099">
        <v>6.07</v>
      </c>
    </row>
    <row r="27100" spans="1:2" x14ac:dyDescent="0.25">
      <c r="A27100" s="74">
        <v>31892</v>
      </c>
      <c r="B27100">
        <v>5.66</v>
      </c>
    </row>
    <row r="27101" spans="1:2" x14ac:dyDescent="0.25">
      <c r="A27101" s="74">
        <v>31893</v>
      </c>
      <c r="B27101">
        <v>5.46</v>
      </c>
    </row>
    <row r="27102" spans="1:2" x14ac:dyDescent="0.25">
      <c r="A27102" s="74">
        <v>31894</v>
      </c>
      <c r="B27102">
        <v>5.44</v>
      </c>
    </row>
    <row r="27103" spans="1:2" x14ac:dyDescent="0.25">
      <c r="A27103" s="74">
        <v>31895</v>
      </c>
      <c r="B27103">
        <v>8.02</v>
      </c>
    </row>
    <row r="27104" spans="1:2" x14ac:dyDescent="0.25">
      <c r="A27104" s="74">
        <v>31896</v>
      </c>
      <c r="B27104">
        <v>9.4499999999999993</v>
      </c>
    </row>
    <row r="27105" spans="1:2" x14ac:dyDescent="0.25">
      <c r="A27105" s="74">
        <v>31897</v>
      </c>
      <c r="B27105">
        <v>10.9</v>
      </c>
    </row>
    <row r="27106" spans="1:2" x14ac:dyDescent="0.25">
      <c r="A27106" s="74">
        <v>31898</v>
      </c>
      <c r="B27106">
        <v>10.7</v>
      </c>
    </row>
    <row r="27107" spans="1:2" x14ac:dyDescent="0.25">
      <c r="A27107" s="74">
        <v>31899</v>
      </c>
      <c r="B27107">
        <v>9.3000000000000007</v>
      </c>
    </row>
    <row r="27108" spans="1:2" x14ac:dyDescent="0.25">
      <c r="A27108" s="74">
        <v>31900</v>
      </c>
      <c r="B27108">
        <v>8.9</v>
      </c>
    </row>
    <row r="27109" spans="1:2" x14ac:dyDescent="0.25">
      <c r="A27109" s="74">
        <v>31901</v>
      </c>
      <c r="B27109">
        <v>14.5</v>
      </c>
    </row>
    <row r="27110" spans="1:2" x14ac:dyDescent="0.25">
      <c r="A27110" s="74">
        <v>31902</v>
      </c>
      <c r="B27110">
        <v>11.9</v>
      </c>
    </row>
    <row r="27111" spans="1:2" x14ac:dyDescent="0.25">
      <c r="A27111" s="74">
        <v>31903</v>
      </c>
      <c r="B27111">
        <v>10.199999999999999</v>
      </c>
    </row>
    <row r="27112" spans="1:2" x14ac:dyDescent="0.25">
      <c r="A27112" s="74">
        <v>31904</v>
      </c>
      <c r="B27112">
        <v>9.9600000000000009</v>
      </c>
    </row>
    <row r="27113" spans="1:2" x14ac:dyDescent="0.25">
      <c r="A27113" s="74">
        <v>31905</v>
      </c>
      <c r="B27113">
        <v>10.8</v>
      </c>
    </row>
    <row r="27114" spans="1:2" x14ac:dyDescent="0.25">
      <c r="A27114" s="74">
        <v>31906</v>
      </c>
      <c r="B27114">
        <v>10.4</v>
      </c>
    </row>
    <row r="27115" spans="1:2" x14ac:dyDescent="0.25">
      <c r="A27115" s="74">
        <v>31907</v>
      </c>
      <c r="B27115">
        <v>9.15</v>
      </c>
    </row>
    <row r="27116" spans="1:2" x14ac:dyDescent="0.25">
      <c r="A27116" s="74">
        <v>31908</v>
      </c>
      <c r="B27116">
        <v>8.84</v>
      </c>
    </row>
    <row r="27117" spans="1:2" x14ac:dyDescent="0.25">
      <c r="A27117" s="74">
        <v>31909</v>
      </c>
      <c r="B27117">
        <v>10.6</v>
      </c>
    </row>
    <row r="27118" spans="1:2" x14ac:dyDescent="0.25">
      <c r="A27118" s="74">
        <v>31910</v>
      </c>
      <c r="B27118">
        <v>7.18</v>
      </c>
    </row>
    <row r="27119" spans="1:2" x14ac:dyDescent="0.25">
      <c r="A27119" s="74">
        <v>31911</v>
      </c>
      <c r="B27119">
        <v>7.83</v>
      </c>
    </row>
    <row r="27120" spans="1:2" x14ac:dyDescent="0.25">
      <c r="A27120" s="74">
        <v>31912</v>
      </c>
      <c r="B27120">
        <v>6.98</v>
      </c>
    </row>
    <row r="27121" spans="1:2" x14ac:dyDescent="0.25">
      <c r="A27121" s="74">
        <v>31913</v>
      </c>
      <c r="B27121">
        <v>5.93</v>
      </c>
    </row>
    <row r="27122" spans="1:2" x14ac:dyDescent="0.25">
      <c r="A27122" s="74">
        <v>31914</v>
      </c>
      <c r="B27122">
        <v>5.46</v>
      </c>
    </row>
    <row r="27123" spans="1:2" x14ac:dyDescent="0.25">
      <c r="A27123" s="74">
        <v>31915</v>
      </c>
      <c r="B27123">
        <v>4.8899999999999997</v>
      </c>
    </row>
    <row r="27124" spans="1:2" x14ac:dyDescent="0.25">
      <c r="A27124" s="74">
        <v>31916</v>
      </c>
      <c r="B27124">
        <v>4.4800000000000004</v>
      </c>
    </row>
    <row r="27125" spans="1:2" x14ac:dyDescent="0.25">
      <c r="A27125" s="74">
        <v>31917</v>
      </c>
      <c r="B27125">
        <v>4.16</v>
      </c>
    </row>
    <row r="27126" spans="1:2" x14ac:dyDescent="0.25">
      <c r="A27126" s="74">
        <v>31918</v>
      </c>
      <c r="B27126">
        <v>4.13</v>
      </c>
    </row>
    <row r="27127" spans="1:2" x14ac:dyDescent="0.25">
      <c r="A27127" s="74">
        <v>31919</v>
      </c>
      <c r="B27127">
        <v>4.1399999999999997</v>
      </c>
    </row>
    <row r="27128" spans="1:2" x14ac:dyDescent="0.25">
      <c r="A27128" s="74">
        <v>31920</v>
      </c>
      <c r="B27128">
        <v>4.41</v>
      </c>
    </row>
    <row r="27129" spans="1:2" x14ac:dyDescent="0.25">
      <c r="A27129" s="74">
        <v>31921</v>
      </c>
      <c r="B27129">
        <v>4.25</v>
      </c>
    </row>
    <row r="27130" spans="1:2" x14ac:dyDescent="0.25">
      <c r="A27130" s="74">
        <v>31922</v>
      </c>
      <c r="B27130">
        <v>4.54</v>
      </c>
    </row>
    <row r="27131" spans="1:2" x14ac:dyDescent="0.25">
      <c r="A27131" s="74">
        <v>31923</v>
      </c>
      <c r="B27131">
        <v>4.8099999999999996</v>
      </c>
    </row>
    <row r="27132" spans="1:2" x14ac:dyDescent="0.25">
      <c r="A27132" s="74">
        <v>31924</v>
      </c>
      <c r="B27132">
        <v>4.9000000000000004</v>
      </c>
    </row>
    <row r="27133" spans="1:2" x14ac:dyDescent="0.25">
      <c r="A27133" s="74">
        <v>31925</v>
      </c>
      <c r="B27133">
        <v>4.9400000000000004</v>
      </c>
    </row>
    <row r="27134" spans="1:2" x14ac:dyDescent="0.25">
      <c r="A27134" s="74">
        <v>31926</v>
      </c>
      <c r="B27134">
        <v>5.51</v>
      </c>
    </row>
    <row r="27135" spans="1:2" x14ac:dyDescent="0.25">
      <c r="A27135" s="74">
        <v>31927</v>
      </c>
      <c r="B27135">
        <v>18.899999999999999</v>
      </c>
    </row>
    <row r="27136" spans="1:2" x14ac:dyDescent="0.25">
      <c r="A27136" s="74">
        <v>31928</v>
      </c>
      <c r="B27136">
        <v>18.8</v>
      </c>
    </row>
    <row r="27137" spans="1:2" x14ac:dyDescent="0.25">
      <c r="A27137" s="74">
        <v>31929</v>
      </c>
      <c r="B27137">
        <v>11.4</v>
      </c>
    </row>
    <row r="27138" spans="1:2" x14ac:dyDescent="0.25">
      <c r="A27138" s="74">
        <v>31930</v>
      </c>
      <c r="B27138">
        <v>8.3800000000000008</v>
      </c>
    </row>
    <row r="27139" spans="1:2" x14ac:dyDescent="0.25">
      <c r="A27139" s="74">
        <v>31931</v>
      </c>
      <c r="B27139">
        <v>6.93</v>
      </c>
    </row>
    <row r="27140" spans="1:2" x14ac:dyDescent="0.25">
      <c r="A27140" s="74">
        <v>31932</v>
      </c>
      <c r="B27140">
        <v>6.53</v>
      </c>
    </row>
    <row r="27141" spans="1:2" x14ac:dyDescent="0.25">
      <c r="A27141" s="74">
        <v>31933</v>
      </c>
      <c r="B27141">
        <v>6.25</v>
      </c>
    </row>
    <row r="27142" spans="1:2" x14ac:dyDescent="0.25">
      <c r="A27142" s="74">
        <v>31934</v>
      </c>
      <c r="B27142">
        <v>5.93</v>
      </c>
    </row>
    <row r="27143" spans="1:2" x14ac:dyDescent="0.25">
      <c r="A27143" s="74">
        <v>31935</v>
      </c>
      <c r="B27143">
        <v>5.22</v>
      </c>
    </row>
    <row r="27144" spans="1:2" x14ac:dyDescent="0.25">
      <c r="A27144" s="74">
        <v>31936</v>
      </c>
      <c r="B27144">
        <v>5.26</v>
      </c>
    </row>
    <row r="27145" spans="1:2" x14ac:dyDescent="0.25">
      <c r="A27145" s="74">
        <v>31937</v>
      </c>
      <c r="B27145">
        <v>5.0199999999999996</v>
      </c>
    </row>
    <row r="27146" spans="1:2" x14ac:dyDescent="0.25">
      <c r="A27146" s="74">
        <v>31938</v>
      </c>
      <c r="B27146">
        <v>4.53</v>
      </c>
    </row>
    <row r="27147" spans="1:2" x14ac:dyDescent="0.25">
      <c r="A27147" s="74">
        <v>31939</v>
      </c>
      <c r="B27147">
        <v>3.99</v>
      </c>
    </row>
    <row r="27148" spans="1:2" x14ac:dyDescent="0.25">
      <c r="A27148" s="74">
        <v>31940</v>
      </c>
      <c r="B27148">
        <v>11.8</v>
      </c>
    </row>
    <row r="27149" spans="1:2" x14ac:dyDescent="0.25">
      <c r="A27149" s="74">
        <v>31941</v>
      </c>
      <c r="B27149">
        <v>16.100000000000001</v>
      </c>
    </row>
    <row r="27150" spans="1:2" x14ac:dyDescent="0.25">
      <c r="A27150" s="74">
        <v>31942</v>
      </c>
      <c r="B27150">
        <v>10</v>
      </c>
    </row>
    <row r="27151" spans="1:2" x14ac:dyDescent="0.25">
      <c r="A27151" s="74">
        <v>31943</v>
      </c>
      <c r="B27151">
        <v>7.67</v>
      </c>
    </row>
    <row r="27152" spans="1:2" x14ac:dyDescent="0.25">
      <c r="A27152" s="74">
        <v>31944</v>
      </c>
      <c r="B27152">
        <v>6.12</v>
      </c>
    </row>
    <row r="27153" spans="1:2" x14ac:dyDescent="0.25">
      <c r="A27153" s="74">
        <v>31945</v>
      </c>
      <c r="B27153">
        <v>5.38</v>
      </c>
    </row>
    <row r="27154" spans="1:2" x14ac:dyDescent="0.25">
      <c r="A27154" s="74">
        <v>31946</v>
      </c>
      <c r="B27154">
        <v>4.68</v>
      </c>
    </row>
    <row r="27155" spans="1:2" x14ac:dyDescent="0.25">
      <c r="A27155" s="74">
        <v>31947</v>
      </c>
      <c r="B27155">
        <v>4.22</v>
      </c>
    </row>
    <row r="27156" spans="1:2" x14ac:dyDescent="0.25">
      <c r="A27156" s="74">
        <v>31948</v>
      </c>
      <c r="B27156">
        <v>4.3499999999999996</v>
      </c>
    </row>
    <row r="27157" spans="1:2" x14ac:dyDescent="0.25">
      <c r="A27157" s="74">
        <v>31949</v>
      </c>
      <c r="B27157">
        <v>5.2</v>
      </c>
    </row>
    <row r="27158" spans="1:2" x14ac:dyDescent="0.25">
      <c r="A27158" s="74">
        <v>31950</v>
      </c>
      <c r="B27158">
        <v>4.74</v>
      </c>
    </row>
    <row r="27159" spans="1:2" x14ac:dyDescent="0.25">
      <c r="A27159" s="74">
        <v>31951</v>
      </c>
      <c r="B27159">
        <v>4.25</v>
      </c>
    </row>
    <row r="27160" spans="1:2" x14ac:dyDescent="0.25">
      <c r="A27160" s="74">
        <v>31952</v>
      </c>
      <c r="B27160">
        <v>3.8</v>
      </c>
    </row>
    <row r="27161" spans="1:2" x14ac:dyDescent="0.25">
      <c r="A27161" s="74">
        <v>31953</v>
      </c>
      <c r="B27161">
        <v>3.47</v>
      </c>
    </row>
    <row r="27162" spans="1:2" x14ac:dyDescent="0.25">
      <c r="A27162" s="74">
        <v>31954</v>
      </c>
      <c r="B27162">
        <v>3.39</v>
      </c>
    </row>
    <row r="27163" spans="1:2" x14ac:dyDescent="0.25">
      <c r="A27163" s="74">
        <v>31955</v>
      </c>
      <c r="B27163">
        <v>3.46</v>
      </c>
    </row>
    <row r="27164" spans="1:2" x14ac:dyDescent="0.25">
      <c r="A27164" s="74">
        <v>31956</v>
      </c>
      <c r="B27164">
        <v>3.42</v>
      </c>
    </row>
    <row r="27165" spans="1:2" x14ac:dyDescent="0.25">
      <c r="A27165" s="74">
        <v>31957</v>
      </c>
      <c r="B27165">
        <v>3.33</v>
      </c>
    </row>
    <row r="27166" spans="1:2" x14ac:dyDescent="0.25">
      <c r="A27166" s="74">
        <v>31958</v>
      </c>
      <c r="B27166">
        <v>3.37</v>
      </c>
    </row>
    <row r="27167" spans="1:2" x14ac:dyDescent="0.25">
      <c r="A27167" s="74">
        <v>31959</v>
      </c>
      <c r="B27167">
        <v>3.22</v>
      </c>
    </row>
    <row r="27168" spans="1:2" x14ac:dyDescent="0.25">
      <c r="A27168" s="74">
        <v>31960</v>
      </c>
      <c r="B27168">
        <v>3.01</v>
      </c>
    </row>
    <row r="27169" spans="1:2" x14ac:dyDescent="0.25">
      <c r="A27169" s="74">
        <v>31961</v>
      </c>
      <c r="B27169">
        <v>2.75</v>
      </c>
    </row>
    <row r="27170" spans="1:2" x14ac:dyDescent="0.25">
      <c r="A27170" s="74">
        <v>31962</v>
      </c>
      <c r="B27170">
        <v>2.5</v>
      </c>
    </row>
    <row r="27171" spans="1:2" x14ac:dyDescent="0.25">
      <c r="A27171" s="74">
        <v>31963</v>
      </c>
      <c r="B27171">
        <v>2.2599999999999998</v>
      </c>
    </row>
    <row r="27172" spans="1:2" x14ac:dyDescent="0.25">
      <c r="A27172" s="74">
        <v>31964</v>
      </c>
      <c r="B27172">
        <v>2.1</v>
      </c>
    </row>
    <row r="27173" spans="1:2" x14ac:dyDescent="0.25">
      <c r="A27173" s="74">
        <v>31965</v>
      </c>
      <c r="B27173">
        <v>2.09</v>
      </c>
    </row>
    <row r="27174" spans="1:2" x14ac:dyDescent="0.25">
      <c r="A27174" s="74">
        <v>31966</v>
      </c>
      <c r="B27174">
        <v>1.93</v>
      </c>
    </row>
    <row r="27175" spans="1:2" x14ac:dyDescent="0.25">
      <c r="A27175" s="74">
        <v>31967</v>
      </c>
      <c r="B27175">
        <v>1.92</v>
      </c>
    </row>
    <row r="27176" spans="1:2" x14ac:dyDescent="0.25">
      <c r="A27176" s="74">
        <v>31968</v>
      </c>
      <c r="B27176">
        <v>1.75</v>
      </c>
    </row>
    <row r="27177" spans="1:2" x14ac:dyDescent="0.25">
      <c r="A27177" s="74">
        <v>31969</v>
      </c>
      <c r="B27177">
        <v>1.59</v>
      </c>
    </row>
    <row r="27178" spans="1:2" x14ac:dyDescent="0.25">
      <c r="A27178" s="74">
        <v>31970</v>
      </c>
      <c r="B27178">
        <v>1.45</v>
      </c>
    </row>
    <row r="27179" spans="1:2" x14ac:dyDescent="0.25">
      <c r="A27179" s="74">
        <v>31971</v>
      </c>
      <c r="B27179">
        <v>1.38</v>
      </c>
    </row>
    <row r="27180" spans="1:2" x14ac:dyDescent="0.25">
      <c r="A27180" s="74">
        <v>31972</v>
      </c>
      <c r="B27180">
        <v>1.35</v>
      </c>
    </row>
    <row r="27181" spans="1:2" x14ac:dyDescent="0.25">
      <c r="A27181" s="74">
        <v>31973</v>
      </c>
      <c r="B27181">
        <v>1.41</v>
      </c>
    </row>
    <row r="27182" spans="1:2" x14ac:dyDescent="0.25">
      <c r="A27182" s="74">
        <v>31974</v>
      </c>
      <c r="B27182">
        <v>1.23</v>
      </c>
    </row>
    <row r="27183" spans="1:2" x14ac:dyDescent="0.25">
      <c r="A27183" s="74">
        <v>31975</v>
      </c>
      <c r="B27183">
        <v>1.0900000000000001</v>
      </c>
    </row>
    <row r="27184" spans="1:2" x14ac:dyDescent="0.25">
      <c r="A27184" s="74">
        <v>31976</v>
      </c>
      <c r="B27184">
        <v>1.01</v>
      </c>
    </row>
    <row r="27185" spans="1:2" x14ac:dyDescent="0.25">
      <c r="A27185" s="74">
        <v>31977</v>
      </c>
      <c r="B27185">
        <v>0.98599999999999999</v>
      </c>
    </row>
    <row r="27186" spans="1:2" x14ac:dyDescent="0.25">
      <c r="A27186" s="74">
        <v>31978</v>
      </c>
      <c r="B27186">
        <v>0.93899999999999995</v>
      </c>
    </row>
    <row r="27187" spans="1:2" x14ac:dyDescent="0.25">
      <c r="A27187" s="74">
        <v>31979</v>
      </c>
      <c r="B27187">
        <v>0.96299999999999997</v>
      </c>
    </row>
    <row r="27188" spans="1:2" x14ac:dyDescent="0.25">
      <c r="A27188" s="74">
        <v>31980</v>
      </c>
      <c r="B27188">
        <v>0.96</v>
      </c>
    </row>
    <row r="27189" spans="1:2" x14ac:dyDescent="0.25">
      <c r="A27189" s="74">
        <v>31981</v>
      </c>
      <c r="B27189">
        <v>0.92700000000000005</v>
      </c>
    </row>
    <row r="27190" spans="1:2" x14ac:dyDescent="0.25">
      <c r="A27190" s="74">
        <v>31982</v>
      </c>
      <c r="B27190">
        <v>0.92400000000000004</v>
      </c>
    </row>
    <row r="27191" spans="1:2" x14ac:dyDescent="0.25">
      <c r="A27191" s="74">
        <v>31983</v>
      </c>
      <c r="B27191">
        <v>1.39</v>
      </c>
    </row>
    <row r="27192" spans="1:2" x14ac:dyDescent="0.25">
      <c r="A27192" s="74">
        <v>31984</v>
      </c>
      <c r="B27192">
        <v>1.49</v>
      </c>
    </row>
    <row r="27193" spans="1:2" x14ac:dyDescent="0.25">
      <c r="A27193" s="74">
        <v>31985</v>
      </c>
      <c r="B27193">
        <v>1.23</v>
      </c>
    </row>
    <row r="27194" spans="1:2" x14ac:dyDescent="0.25">
      <c r="A27194" s="74">
        <v>31986</v>
      </c>
      <c r="B27194">
        <v>1.1299999999999999</v>
      </c>
    </row>
    <row r="27195" spans="1:2" x14ac:dyDescent="0.25">
      <c r="A27195" s="74">
        <v>31987</v>
      </c>
      <c r="B27195">
        <v>1.03</v>
      </c>
    </row>
    <row r="27196" spans="1:2" x14ac:dyDescent="0.25">
      <c r="A27196" s="74">
        <v>31988</v>
      </c>
      <c r="B27196">
        <v>0.998</v>
      </c>
    </row>
    <row r="27197" spans="1:2" x14ac:dyDescent="0.25">
      <c r="A27197" s="74">
        <v>31989</v>
      </c>
      <c r="B27197">
        <v>0.98699999999999999</v>
      </c>
    </row>
    <row r="27198" spans="1:2" x14ac:dyDescent="0.25">
      <c r="A27198" s="74">
        <v>31990</v>
      </c>
      <c r="B27198">
        <v>0.92</v>
      </c>
    </row>
    <row r="27199" spans="1:2" x14ac:dyDescent="0.25">
      <c r="A27199" s="74">
        <v>31991</v>
      </c>
      <c r="B27199">
        <v>0.83499999999999996</v>
      </c>
    </row>
    <row r="27200" spans="1:2" x14ac:dyDescent="0.25">
      <c r="A27200" s="74">
        <v>31992</v>
      </c>
      <c r="B27200">
        <v>0.78900000000000003</v>
      </c>
    </row>
    <row r="27201" spans="1:2" x14ac:dyDescent="0.25">
      <c r="A27201" s="74">
        <v>31993</v>
      </c>
      <c r="B27201">
        <v>0.79400000000000004</v>
      </c>
    </row>
    <row r="27202" spans="1:2" x14ac:dyDescent="0.25">
      <c r="A27202" s="74">
        <v>31994</v>
      </c>
      <c r="B27202">
        <v>0.75700000000000001</v>
      </c>
    </row>
    <row r="27203" spans="1:2" x14ac:dyDescent="0.25">
      <c r="A27203" s="74">
        <v>31995</v>
      </c>
      <c r="B27203">
        <v>0.72799999999999998</v>
      </c>
    </row>
    <row r="27204" spans="1:2" x14ac:dyDescent="0.25">
      <c r="A27204" s="74">
        <v>31996</v>
      </c>
      <c r="B27204">
        <v>0.70599999999999996</v>
      </c>
    </row>
    <row r="27205" spans="1:2" x14ac:dyDescent="0.25">
      <c r="A27205" s="74">
        <v>31997</v>
      </c>
      <c r="B27205">
        <v>0.67300000000000004</v>
      </c>
    </row>
    <row r="27206" spans="1:2" x14ac:dyDescent="0.25">
      <c r="A27206" s="74">
        <v>31998</v>
      </c>
      <c r="B27206">
        <v>0.629</v>
      </c>
    </row>
    <row r="27207" spans="1:2" x14ac:dyDescent="0.25">
      <c r="A27207" s="74">
        <v>31999</v>
      </c>
      <c r="B27207">
        <v>0.61</v>
      </c>
    </row>
    <row r="27208" spans="1:2" x14ac:dyDescent="0.25">
      <c r="A27208" s="74">
        <v>32000</v>
      </c>
      <c r="B27208">
        <v>0.59199999999999997</v>
      </c>
    </row>
    <row r="27209" spans="1:2" x14ac:dyDescent="0.25">
      <c r="A27209" s="74">
        <v>32001</v>
      </c>
      <c r="B27209">
        <v>0.58299999999999996</v>
      </c>
    </row>
    <row r="27210" spans="1:2" x14ac:dyDescent="0.25">
      <c r="A27210" s="74">
        <v>32002</v>
      </c>
      <c r="B27210">
        <v>0.60399999999999998</v>
      </c>
    </row>
    <row r="27211" spans="1:2" x14ac:dyDescent="0.25">
      <c r="A27211" s="74">
        <v>32003</v>
      </c>
      <c r="B27211">
        <v>0.624</v>
      </c>
    </row>
    <row r="27212" spans="1:2" x14ac:dyDescent="0.25">
      <c r="A27212" s="74">
        <v>32004</v>
      </c>
      <c r="B27212">
        <v>0.61</v>
      </c>
    </row>
    <row r="27213" spans="1:2" x14ac:dyDescent="0.25">
      <c r="A27213" s="74">
        <v>32005</v>
      </c>
      <c r="B27213">
        <v>0.57999999999999996</v>
      </c>
    </row>
    <row r="27214" spans="1:2" x14ac:dyDescent="0.25">
      <c r="A27214" s="74">
        <v>32006</v>
      </c>
      <c r="B27214">
        <v>0.56699999999999995</v>
      </c>
    </row>
    <row r="27215" spans="1:2" x14ac:dyDescent="0.25">
      <c r="A27215" s="74">
        <v>32007</v>
      </c>
      <c r="B27215">
        <v>0.55500000000000005</v>
      </c>
    </row>
    <row r="27216" spans="1:2" x14ac:dyDescent="0.25">
      <c r="A27216" s="74">
        <v>32008</v>
      </c>
      <c r="B27216">
        <v>0.52600000000000002</v>
      </c>
    </row>
    <row r="27217" spans="1:2" x14ac:dyDescent="0.25">
      <c r="A27217" s="74">
        <v>32009</v>
      </c>
      <c r="B27217">
        <v>0.51700000000000002</v>
      </c>
    </row>
    <row r="27218" spans="1:2" x14ac:dyDescent="0.25">
      <c r="A27218" s="74">
        <v>32010</v>
      </c>
      <c r="B27218">
        <v>0.48599999999999999</v>
      </c>
    </row>
    <row r="27219" spans="1:2" x14ac:dyDescent="0.25">
      <c r="A27219" s="74">
        <v>32011</v>
      </c>
      <c r="B27219">
        <v>0.47499999999999998</v>
      </c>
    </row>
    <row r="27220" spans="1:2" x14ac:dyDescent="0.25">
      <c r="A27220" s="74">
        <v>32012</v>
      </c>
      <c r="B27220">
        <v>0.46400000000000002</v>
      </c>
    </row>
    <row r="27221" spans="1:2" x14ac:dyDescent="0.25">
      <c r="A27221" s="74">
        <v>32013</v>
      </c>
      <c r="B27221">
        <v>0.443</v>
      </c>
    </row>
    <row r="27222" spans="1:2" x14ac:dyDescent="0.25">
      <c r="A27222" s="74">
        <v>32014</v>
      </c>
      <c r="B27222">
        <v>0.42199999999999999</v>
      </c>
    </row>
    <row r="27223" spans="1:2" x14ac:dyDescent="0.25">
      <c r="A27223" s="74">
        <v>32015</v>
      </c>
      <c r="B27223">
        <v>0.41899999999999998</v>
      </c>
    </row>
    <row r="27224" spans="1:2" x14ac:dyDescent="0.25">
      <c r="A27224" s="74">
        <v>32016</v>
      </c>
      <c r="B27224">
        <v>0.42099999999999999</v>
      </c>
    </row>
    <row r="27225" spans="1:2" x14ac:dyDescent="0.25">
      <c r="A27225" s="74">
        <v>32017</v>
      </c>
      <c r="B27225">
        <v>0.41799999999999998</v>
      </c>
    </row>
    <row r="27226" spans="1:2" x14ac:dyDescent="0.25">
      <c r="A27226" s="74">
        <v>32018</v>
      </c>
      <c r="B27226">
        <v>0.40400000000000003</v>
      </c>
    </row>
    <row r="27227" spans="1:2" x14ac:dyDescent="0.25">
      <c r="A27227" s="74">
        <v>32019</v>
      </c>
      <c r="B27227">
        <v>0.39500000000000002</v>
      </c>
    </row>
    <row r="27228" spans="1:2" x14ac:dyDescent="0.25">
      <c r="A27228" s="74">
        <v>32020</v>
      </c>
      <c r="B27228">
        <v>0.39100000000000001</v>
      </c>
    </row>
    <row r="27229" spans="1:2" x14ac:dyDescent="0.25">
      <c r="A27229" s="74">
        <v>32021</v>
      </c>
      <c r="B27229">
        <v>0.39100000000000001</v>
      </c>
    </row>
    <row r="27230" spans="1:2" x14ac:dyDescent="0.25">
      <c r="A27230" s="74">
        <v>32022</v>
      </c>
      <c r="B27230">
        <v>0.43</v>
      </c>
    </row>
    <row r="27231" spans="1:2" x14ac:dyDescent="0.25">
      <c r="A27231" s="74">
        <v>32023</v>
      </c>
      <c r="B27231">
        <v>0.40899999999999997</v>
      </c>
    </row>
    <row r="27232" spans="1:2" x14ac:dyDescent="0.25">
      <c r="A27232" s="74">
        <v>32024</v>
      </c>
      <c r="B27232">
        <v>0.38500000000000001</v>
      </c>
    </row>
    <row r="27233" spans="1:2" x14ac:dyDescent="0.25">
      <c r="A27233" s="74">
        <v>32025</v>
      </c>
      <c r="B27233">
        <v>0.36</v>
      </c>
    </row>
    <row r="27234" spans="1:2" x14ac:dyDescent="0.25">
      <c r="A27234" s="74">
        <v>32026</v>
      </c>
      <c r="B27234">
        <v>0.33300000000000002</v>
      </c>
    </row>
    <row r="27235" spans="1:2" x14ac:dyDescent="0.25">
      <c r="A27235" s="74">
        <v>32027</v>
      </c>
      <c r="B27235">
        <v>0.32700000000000001</v>
      </c>
    </row>
    <row r="27236" spans="1:2" x14ac:dyDescent="0.25">
      <c r="A27236" s="74">
        <v>32028</v>
      </c>
      <c r="B27236">
        <v>0.318</v>
      </c>
    </row>
    <row r="27237" spans="1:2" x14ac:dyDescent="0.25">
      <c r="A27237" s="74">
        <v>32029</v>
      </c>
      <c r="B27237">
        <v>0.318</v>
      </c>
    </row>
    <row r="27238" spans="1:2" x14ac:dyDescent="0.25">
      <c r="A27238" s="74">
        <v>32030</v>
      </c>
      <c r="B27238">
        <v>0.314</v>
      </c>
    </row>
    <row r="27239" spans="1:2" x14ac:dyDescent="0.25">
      <c r="A27239" s="74">
        <v>32031</v>
      </c>
      <c r="B27239">
        <v>0.30499999999999999</v>
      </c>
    </row>
    <row r="27240" spans="1:2" x14ac:dyDescent="0.25">
      <c r="A27240" s="74">
        <v>32032</v>
      </c>
      <c r="B27240">
        <v>0.29599999999999999</v>
      </c>
    </row>
    <row r="27241" spans="1:2" x14ac:dyDescent="0.25">
      <c r="A27241" s="74">
        <v>32033</v>
      </c>
      <c r="B27241">
        <v>0.29799999999999999</v>
      </c>
    </row>
    <row r="27242" spans="1:2" x14ac:dyDescent="0.25">
      <c r="A27242" s="74">
        <v>32034</v>
      </c>
      <c r="B27242">
        <v>0.3</v>
      </c>
    </row>
    <row r="27243" spans="1:2" x14ac:dyDescent="0.25">
      <c r="A27243" s="74">
        <v>32035</v>
      </c>
      <c r="B27243">
        <v>0.318</v>
      </c>
    </row>
    <row r="27244" spans="1:2" x14ac:dyDescent="0.25">
      <c r="A27244" s="74">
        <v>32036</v>
      </c>
      <c r="B27244">
        <v>0.33200000000000002</v>
      </c>
    </row>
    <row r="27245" spans="1:2" x14ac:dyDescent="0.25">
      <c r="A27245" s="74">
        <v>32037</v>
      </c>
      <c r="B27245">
        <v>0.33400000000000002</v>
      </c>
    </row>
    <row r="27246" spans="1:2" x14ac:dyDescent="0.25">
      <c r="A27246" s="74">
        <v>32038</v>
      </c>
      <c r="B27246">
        <v>0.33100000000000002</v>
      </c>
    </row>
    <row r="27247" spans="1:2" x14ac:dyDescent="0.25">
      <c r="A27247" s="74">
        <v>32039</v>
      </c>
      <c r="B27247">
        <v>0.33100000000000002</v>
      </c>
    </row>
    <row r="27248" spans="1:2" x14ac:dyDescent="0.25">
      <c r="A27248" s="74">
        <v>32040</v>
      </c>
      <c r="B27248">
        <v>0.33300000000000002</v>
      </c>
    </row>
    <row r="27249" spans="1:2" x14ac:dyDescent="0.25">
      <c r="A27249" s="74">
        <v>32041</v>
      </c>
      <c r="B27249">
        <v>0.33200000000000002</v>
      </c>
    </row>
    <row r="27250" spans="1:2" x14ac:dyDescent="0.25">
      <c r="A27250" s="74">
        <v>32042</v>
      </c>
      <c r="B27250">
        <v>0.33100000000000002</v>
      </c>
    </row>
    <row r="27251" spans="1:2" x14ac:dyDescent="0.25">
      <c r="A27251" s="74">
        <v>32043</v>
      </c>
      <c r="B27251">
        <v>0.33500000000000002</v>
      </c>
    </row>
    <row r="27252" spans="1:2" x14ac:dyDescent="0.25">
      <c r="A27252" s="74">
        <v>32044</v>
      </c>
      <c r="B27252">
        <v>0.33</v>
      </c>
    </row>
    <row r="27253" spans="1:2" x14ac:dyDescent="0.25">
      <c r="A27253" s="74">
        <v>32045</v>
      </c>
      <c r="B27253">
        <v>0.32800000000000001</v>
      </c>
    </row>
    <row r="27254" spans="1:2" x14ac:dyDescent="0.25">
      <c r="A27254" s="74">
        <v>32046</v>
      </c>
      <c r="B27254">
        <v>0.32700000000000001</v>
      </c>
    </row>
    <row r="27255" spans="1:2" x14ac:dyDescent="0.25">
      <c r="A27255" s="74">
        <v>32047</v>
      </c>
      <c r="B27255">
        <v>0.32800000000000001</v>
      </c>
    </row>
    <row r="27256" spans="1:2" x14ac:dyDescent="0.25">
      <c r="A27256" s="74">
        <v>32048</v>
      </c>
      <c r="B27256">
        <v>0.32700000000000001</v>
      </c>
    </row>
    <row r="27257" spans="1:2" x14ac:dyDescent="0.25">
      <c r="A27257" s="74">
        <v>32049</v>
      </c>
      <c r="B27257">
        <v>0.32600000000000001</v>
      </c>
    </row>
    <row r="27258" spans="1:2" x14ac:dyDescent="0.25">
      <c r="A27258" s="74">
        <v>32050</v>
      </c>
      <c r="B27258">
        <v>0.32200000000000001</v>
      </c>
    </row>
    <row r="27259" spans="1:2" x14ac:dyDescent="0.25">
      <c r="A27259" s="74">
        <v>32051</v>
      </c>
      <c r="B27259">
        <v>0.318</v>
      </c>
    </row>
    <row r="27260" spans="1:2" x14ac:dyDescent="0.25">
      <c r="A27260" s="74">
        <v>32052</v>
      </c>
      <c r="B27260">
        <v>0.314</v>
      </c>
    </row>
    <row r="27261" spans="1:2" x14ac:dyDescent="0.25">
      <c r="A27261" s="74">
        <v>32053</v>
      </c>
      <c r="B27261">
        <v>0.313</v>
      </c>
    </row>
    <row r="27262" spans="1:2" x14ac:dyDescent="0.25">
      <c r="A27262" s="74">
        <v>32054</v>
      </c>
      <c r="B27262">
        <v>0.31</v>
      </c>
    </row>
    <row r="27263" spans="1:2" x14ac:dyDescent="0.25">
      <c r="A27263" s="74">
        <v>32055</v>
      </c>
      <c r="B27263">
        <v>0.307</v>
      </c>
    </row>
    <row r="27264" spans="1:2" x14ac:dyDescent="0.25">
      <c r="A27264" s="74">
        <v>32056</v>
      </c>
      <c r="B27264">
        <v>0.30299999999999999</v>
      </c>
    </row>
    <row r="27265" spans="1:2" x14ac:dyDescent="0.25">
      <c r="A27265" s="74">
        <v>32057</v>
      </c>
      <c r="B27265">
        <v>0.30199999999999999</v>
      </c>
    </row>
    <row r="27266" spans="1:2" x14ac:dyDescent="0.25">
      <c r="A27266" s="74">
        <v>32058</v>
      </c>
      <c r="B27266">
        <v>0.28999999999999998</v>
      </c>
    </row>
    <row r="27267" spans="1:2" x14ac:dyDescent="0.25">
      <c r="A27267" s="74">
        <v>32059</v>
      </c>
      <c r="B27267">
        <v>0.30099999999999999</v>
      </c>
    </row>
    <row r="27268" spans="1:2" x14ac:dyDescent="0.25">
      <c r="A27268" s="74">
        <v>32060</v>
      </c>
      <c r="B27268">
        <v>0.28799999999999998</v>
      </c>
    </row>
    <row r="27269" spans="1:2" x14ac:dyDescent="0.25">
      <c r="A27269" s="74">
        <v>32061</v>
      </c>
      <c r="B27269">
        <v>0.27700000000000002</v>
      </c>
    </row>
    <row r="27270" spans="1:2" x14ac:dyDescent="0.25">
      <c r="A27270" s="74">
        <v>32062</v>
      </c>
      <c r="B27270">
        <v>0.27400000000000002</v>
      </c>
    </row>
    <row r="27271" spans="1:2" x14ac:dyDescent="0.25">
      <c r="A27271" s="74">
        <v>32063</v>
      </c>
      <c r="B27271">
        <v>0.28899999999999998</v>
      </c>
    </row>
    <row r="27272" spans="1:2" x14ac:dyDescent="0.25">
      <c r="A27272" s="74">
        <v>32064</v>
      </c>
      <c r="B27272">
        <v>0.28799999999999998</v>
      </c>
    </row>
    <row r="27273" spans="1:2" x14ac:dyDescent="0.25">
      <c r="A27273" s="74">
        <v>32065</v>
      </c>
      <c r="B27273">
        <v>0.29599999999999999</v>
      </c>
    </row>
    <row r="27274" spans="1:2" x14ac:dyDescent="0.25">
      <c r="A27274" s="74">
        <v>32066</v>
      </c>
      <c r="B27274">
        <v>0.26600000000000001</v>
      </c>
    </row>
    <row r="27275" spans="1:2" x14ac:dyDescent="0.25">
      <c r="A27275" s="74">
        <v>32067</v>
      </c>
      <c r="B27275">
        <v>0.27400000000000002</v>
      </c>
    </row>
    <row r="27276" spans="1:2" x14ac:dyDescent="0.25">
      <c r="A27276" s="74">
        <v>32068</v>
      </c>
      <c r="B27276">
        <v>0.28599999999999998</v>
      </c>
    </row>
    <row r="27277" spans="1:2" x14ac:dyDescent="0.25">
      <c r="A27277" s="74">
        <v>32069</v>
      </c>
      <c r="B27277">
        <v>0.26500000000000001</v>
      </c>
    </row>
    <row r="27278" spans="1:2" x14ac:dyDescent="0.25">
      <c r="A27278" s="74">
        <v>32070</v>
      </c>
      <c r="B27278">
        <v>0.27</v>
      </c>
    </row>
    <row r="27279" spans="1:2" x14ac:dyDescent="0.25">
      <c r="A27279" s="74">
        <v>32071</v>
      </c>
      <c r="B27279">
        <v>0.28499999999999998</v>
      </c>
    </row>
    <row r="27280" spans="1:2" x14ac:dyDescent="0.25">
      <c r="A27280" s="74">
        <v>32072</v>
      </c>
      <c r="B27280">
        <v>0.28299999999999997</v>
      </c>
    </row>
    <row r="27281" spans="1:2" x14ac:dyDescent="0.25">
      <c r="A27281" s="74">
        <v>32073</v>
      </c>
      <c r="B27281">
        <v>0.28199999999999997</v>
      </c>
    </row>
    <row r="27282" spans="1:2" x14ac:dyDescent="0.25">
      <c r="A27282" s="74">
        <v>32074</v>
      </c>
      <c r="B27282">
        <v>0.27900000000000003</v>
      </c>
    </row>
    <row r="27283" spans="1:2" x14ac:dyDescent="0.25">
      <c r="A27283" s="74">
        <v>32075</v>
      </c>
      <c r="B27283">
        <v>0.28100000000000003</v>
      </c>
    </row>
    <row r="27284" spans="1:2" x14ac:dyDescent="0.25">
      <c r="A27284" s="74">
        <v>32076</v>
      </c>
      <c r="B27284">
        <v>0.28399999999999997</v>
      </c>
    </row>
    <row r="27285" spans="1:2" x14ac:dyDescent="0.25">
      <c r="A27285" s="74">
        <v>32077</v>
      </c>
      <c r="B27285">
        <v>0.28100000000000003</v>
      </c>
    </row>
    <row r="27286" spans="1:2" x14ac:dyDescent="0.25">
      <c r="A27286" s="74">
        <v>32078</v>
      </c>
      <c r="B27286">
        <v>0.28100000000000003</v>
      </c>
    </row>
    <row r="27287" spans="1:2" x14ac:dyDescent="0.25">
      <c r="A27287" s="74">
        <v>32079</v>
      </c>
      <c r="B27287">
        <v>0.29699999999999999</v>
      </c>
    </row>
    <row r="27288" spans="1:2" x14ac:dyDescent="0.25">
      <c r="A27288" s="74">
        <v>32080</v>
      </c>
      <c r="B27288">
        <v>0.28299999999999997</v>
      </c>
    </row>
    <row r="27289" spans="1:2" x14ac:dyDescent="0.25">
      <c r="A27289" s="74">
        <v>32081</v>
      </c>
      <c r="B27289">
        <v>0.29499999999999998</v>
      </c>
    </row>
    <row r="27290" spans="1:2" x14ac:dyDescent="0.25">
      <c r="A27290" s="74">
        <v>32082</v>
      </c>
      <c r="B27290">
        <v>0.38400000000000001</v>
      </c>
    </row>
    <row r="27291" spans="1:2" x14ac:dyDescent="0.25">
      <c r="A27291" s="74">
        <v>32083</v>
      </c>
      <c r="B27291">
        <v>0.373</v>
      </c>
    </row>
    <row r="27292" spans="1:2" x14ac:dyDescent="0.25">
      <c r="A27292" s="74">
        <v>32084</v>
      </c>
      <c r="B27292">
        <v>0.35099999999999998</v>
      </c>
    </row>
    <row r="27293" spans="1:2" x14ac:dyDescent="0.25">
      <c r="A27293" s="74">
        <v>32085</v>
      </c>
      <c r="B27293">
        <v>0.36299999999999999</v>
      </c>
    </row>
    <row r="27294" spans="1:2" x14ac:dyDescent="0.25">
      <c r="A27294" s="74">
        <v>32086</v>
      </c>
      <c r="B27294">
        <v>0.36099999999999999</v>
      </c>
    </row>
    <row r="27295" spans="1:2" x14ac:dyDescent="0.25">
      <c r="A27295" s="74">
        <v>32087</v>
      </c>
      <c r="B27295">
        <v>0.35599999999999998</v>
      </c>
    </row>
    <row r="27296" spans="1:2" x14ac:dyDescent="0.25">
      <c r="A27296" s="74">
        <v>32088</v>
      </c>
      <c r="B27296">
        <v>0.372</v>
      </c>
    </row>
    <row r="27297" spans="1:2" x14ac:dyDescent="0.25">
      <c r="A27297" s="74">
        <v>32089</v>
      </c>
      <c r="B27297">
        <v>0.36</v>
      </c>
    </row>
    <row r="27298" spans="1:2" x14ac:dyDescent="0.25">
      <c r="A27298" s="74">
        <v>32090</v>
      </c>
      <c r="B27298">
        <v>0.35699999999999998</v>
      </c>
    </row>
    <row r="27299" spans="1:2" x14ac:dyDescent="0.25">
      <c r="A27299" s="74">
        <v>32091</v>
      </c>
      <c r="B27299">
        <v>1.87</v>
      </c>
    </row>
    <row r="27300" spans="1:2" x14ac:dyDescent="0.25">
      <c r="A27300" s="74">
        <v>32092</v>
      </c>
      <c r="B27300">
        <v>8.06</v>
      </c>
    </row>
    <row r="27301" spans="1:2" x14ac:dyDescent="0.25">
      <c r="A27301" s="74">
        <v>32093</v>
      </c>
      <c r="B27301">
        <v>6.05</v>
      </c>
    </row>
    <row r="27302" spans="1:2" x14ac:dyDescent="0.25">
      <c r="A27302" s="74">
        <v>32094</v>
      </c>
      <c r="B27302">
        <v>6.78</v>
      </c>
    </row>
    <row r="27303" spans="1:2" x14ac:dyDescent="0.25">
      <c r="A27303" s="74">
        <v>32095</v>
      </c>
      <c r="B27303">
        <v>5.35</v>
      </c>
    </row>
    <row r="27304" spans="1:2" x14ac:dyDescent="0.25">
      <c r="A27304" s="74">
        <v>32096</v>
      </c>
      <c r="B27304">
        <v>3.88</v>
      </c>
    </row>
    <row r="27305" spans="1:2" x14ac:dyDescent="0.25">
      <c r="A27305" s="74">
        <v>32097</v>
      </c>
      <c r="B27305">
        <v>3.5</v>
      </c>
    </row>
    <row r="27306" spans="1:2" x14ac:dyDescent="0.25">
      <c r="A27306" s="74">
        <v>32098</v>
      </c>
      <c r="B27306">
        <v>2.75</v>
      </c>
    </row>
    <row r="27307" spans="1:2" x14ac:dyDescent="0.25">
      <c r="A27307" s="74">
        <v>32099</v>
      </c>
      <c r="B27307">
        <v>2.38</v>
      </c>
    </row>
    <row r="27308" spans="1:2" x14ac:dyDescent="0.25">
      <c r="A27308" s="74">
        <v>32100</v>
      </c>
      <c r="B27308">
        <v>2.36</v>
      </c>
    </row>
    <row r="27309" spans="1:2" x14ac:dyDescent="0.25">
      <c r="A27309" s="74">
        <v>32101</v>
      </c>
      <c r="B27309">
        <v>3.3</v>
      </c>
    </row>
    <row r="27310" spans="1:2" x14ac:dyDescent="0.25">
      <c r="A27310" s="74">
        <v>32102</v>
      </c>
      <c r="B27310">
        <v>5.36</v>
      </c>
    </row>
    <row r="27311" spans="1:2" x14ac:dyDescent="0.25">
      <c r="A27311" s="74">
        <v>32103</v>
      </c>
      <c r="B27311">
        <v>12.2</v>
      </c>
    </row>
    <row r="27312" spans="1:2" x14ac:dyDescent="0.25">
      <c r="A27312" s="74">
        <v>32104</v>
      </c>
      <c r="B27312">
        <v>10.1</v>
      </c>
    </row>
    <row r="27313" spans="1:2" x14ac:dyDescent="0.25">
      <c r="A27313" s="74">
        <v>32105</v>
      </c>
      <c r="B27313">
        <v>63.6</v>
      </c>
    </row>
    <row r="27314" spans="1:2" x14ac:dyDescent="0.25">
      <c r="A27314" s="74">
        <v>32106</v>
      </c>
      <c r="B27314">
        <v>23.9</v>
      </c>
    </row>
    <row r="27315" spans="1:2" x14ac:dyDescent="0.25">
      <c r="A27315" s="74">
        <v>32107</v>
      </c>
      <c r="B27315">
        <v>12.1</v>
      </c>
    </row>
    <row r="27316" spans="1:2" x14ac:dyDescent="0.25">
      <c r="A27316" s="74">
        <v>32108</v>
      </c>
      <c r="B27316">
        <v>8.4700000000000006</v>
      </c>
    </row>
    <row r="27317" spans="1:2" x14ac:dyDescent="0.25">
      <c r="A27317" s="74">
        <v>32109</v>
      </c>
      <c r="B27317">
        <v>6.56</v>
      </c>
    </row>
    <row r="27318" spans="1:2" x14ac:dyDescent="0.25">
      <c r="A27318" s="74">
        <v>32110</v>
      </c>
      <c r="B27318">
        <v>5.44</v>
      </c>
    </row>
    <row r="27319" spans="1:2" x14ac:dyDescent="0.25">
      <c r="A27319" s="74">
        <v>32111</v>
      </c>
      <c r="B27319">
        <v>7.28</v>
      </c>
    </row>
    <row r="27320" spans="1:2" x14ac:dyDescent="0.25">
      <c r="A27320" s="74">
        <v>32112</v>
      </c>
      <c r="B27320">
        <v>60.5</v>
      </c>
    </row>
    <row r="27321" spans="1:2" x14ac:dyDescent="0.25">
      <c r="A27321" s="74">
        <v>32113</v>
      </c>
      <c r="B27321">
        <v>42.6</v>
      </c>
    </row>
    <row r="27322" spans="1:2" x14ac:dyDescent="0.25">
      <c r="A27322" s="74">
        <v>32114</v>
      </c>
      <c r="B27322">
        <v>46.3</v>
      </c>
    </row>
    <row r="27323" spans="1:2" x14ac:dyDescent="0.25">
      <c r="A27323" s="74">
        <v>32115</v>
      </c>
      <c r="B27323">
        <v>31.4</v>
      </c>
    </row>
    <row r="27324" spans="1:2" x14ac:dyDescent="0.25">
      <c r="A27324" s="74">
        <v>32116</v>
      </c>
      <c r="B27324">
        <v>23</v>
      </c>
    </row>
    <row r="27325" spans="1:2" x14ac:dyDescent="0.25">
      <c r="A27325" s="74">
        <v>32117</v>
      </c>
      <c r="B27325">
        <v>68.599999999999994</v>
      </c>
    </row>
    <row r="27326" spans="1:2" x14ac:dyDescent="0.25">
      <c r="A27326" s="74">
        <v>32118</v>
      </c>
      <c r="B27326">
        <v>42.3</v>
      </c>
    </row>
    <row r="27327" spans="1:2" x14ac:dyDescent="0.25">
      <c r="A27327" s="74">
        <v>32119</v>
      </c>
      <c r="B27327">
        <v>35</v>
      </c>
    </row>
    <row r="27328" spans="1:2" x14ac:dyDescent="0.25">
      <c r="A27328" s="74">
        <v>32120</v>
      </c>
      <c r="B27328">
        <v>65.5</v>
      </c>
    </row>
    <row r="27329" spans="1:2" x14ac:dyDescent="0.25">
      <c r="A27329" s="74">
        <v>32121</v>
      </c>
      <c r="B27329">
        <v>76.7</v>
      </c>
    </row>
    <row r="27330" spans="1:2" x14ac:dyDescent="0.25">
      <c r="A27330" s="74">
        <v>32122</v>
      </c>
      <c r="B27330">
        <v>34.4</v>
      </c>
    </row>
    <row r="27331" spans="1:2" x14ac:dyDescent="0.25">
      <c r="A27331" s="74">
        <v>32123</v>
      </c>
      <c r="B27331">
        <v>20.5</v>
      </c>
    </row>
    <row r="27332" spans="1:2" x14ac:dyDescent="0.25">
      <c r="A27332" s="74">
        <v>32124</v>
      </c>
      <c r="B27332">
        <v>13.5</v>
      </c>
    </row>
    <row r="27333" spans="1:2" x14ac:dyDescent="0.25">
      <c r="A27333" s="74">
        <v>32125</v>
      </c>
      <c r="B27333">
        <v>10.5</v>
      </c>
    </row>
    <row r="27334" spans="1:2" x14ac:dyDescent="0.25">
      <c r="A27334" s="74">
        <v>32126</v>
      </c>
      <c r="B27334">
        <v>8.64</v>
      </c>
    </row>
    <row r="27335" spans="1:2" x14ac:dyDescent="0.25">
      <c r="A27335" s="74">
        <v>32127</v>
      </c>
      <c r="B27335">
        <v>7.49</v>
      </c>
    </row>
    <row r="27336" spans="1:2" x14ac:dyDescent="0.25">
      <c r="A27336" s="74">
        <v>32128</v>
      </c>
      <c r="B27336">
        <v>6.43</v>
      </c>
    </row>
    <row r="27337" spans="1:2" x14ac:dyDescent="0.25">
      <c r="A27337" s="74">
        <v>32129</v>
      </c>
      <c r="B27337">
        <v>5.75</v>
      </c>
    </row>
    <row r="27338" spans="1:2" x14ac:dyDescent="0.25">
      <c r="A27338" s="74">
        <v>32130</v>
      </c>
      <c r="B27338">
        <v>5.27</v>
      </c>
    </row>
    <row r="27339" spans="1:2" x14ac:dyDescent="0.25">
      <c r="A27339" s="74">
        <v>32131</v>
      </c>
      <c r="B27339">
        <v>4.7699999999999996</v>
      </c>
    </row>
    <row r="27340" spans="1:2" x14ac:dyDescent="0.25">
      <c r="A27340" s="74">
        <v>32132</v>
      </c>
      <c r="B27340">
        <v>4.4800000000000004</v>
      </c>
    </row>
    <row r="27341" spans="1:2" x14ac:dyDescent="0.25">
      <c r="A27341" s="74">
        <v>32133</v>
      </c>
      <c r="B27341">
        <v>4.3099999999999996</v>
      </c>
    </row>
    <row r="27342" spans="1:2" x14ac:dyDescent="0.25">
      <c r="A27342" s="74">
        <v>32134</v>
      </c>
      <c r="B27342">
        <v>3.71</v>
      </c>
    </row>
    <row r="27343" spans="1:2" x14ac:dyDescent="0.25">
      <c r="A27343" s="74">
        <v>32135</v>
      </c>
      <c r="B27343">
        <v>3.37</v>
      </c>
    </row>
    <row r="27344" spans="1:2" x14ac:dyDescent="0.25">
      <c r="A27344" s="74">
        <v>32136</v>
      </c>
      <c r="B27344">
        <v>3.19</v>
      </c>
    </row>
    <row r="27345" spans="1:2" x14ac:dyDescent="0.25">
      <c r="A27345" s="74">
        <v>32137</v>
      </c>
      <c r="B27345">
        <v>3.04</v>
      </c>
    </row>
    <row r="27346" spans="1:2" x14ac:dyDescent="0.25">
      <c r="A27346" s="74">
        <v>32138</v>
      </c>
      <c r="B27346">
        <v>3.01</v>
      </c>
    </row>
    <row r="27347" spans="1:2" x14ac:dyDescent="0.25">
      <c r="A27347" s="74">
        <v>32139</v>
      </c>
      <c r="B27347">
        <v>3.01</v>
      </c>
    </row>
    <row r="27348" spans="1:2" x14ac:dyDescent="0.25">
      <c r="A27348" s="74">
        <v>32140</v>
      </c>
      <c r="B27348">
        <v>2.93</v>
      </c>
    </row>
    <row r="27349" spans="1:2" x14ac:dyDescent="0.25">
      <c r="A27349" s="74">
        <v>32141</v>
      </c>
      <c r="B27349">
        <v>3.03</v>
      </c>
    </row>
    <row r="27350" spans="1:2" x14ac:dyDescent="0.25">
      <c r="A27350" s="74">
        <v>32142</v>
      </c>
      <c r="B27350">
        <v>3.19</v>
      </c>
    </row>
    <row r="27351" spans="1:2" x14ac:dyDescent="0.25">
      <c r="A27351" s="74">
        <v>32143</v>
      </c>
      <c r="B27351">
        <v>3.28</v>
      </c>
    </row>
    <row r="27352" spans="1:2" x14ac:dyDescent="0.25">
      <c r="A27352" s="74">
        <v>32144</v>
      </c>
      <c r="B27352">
        <v>3.05</v>
      </c>
    </row>
    <row r="27353" spans="1:2" x14ac:dyDescent="0.25">
      <c r="A27353" s="74">
        <v>32145</v>
      </c>
      <c r="B27353">
        <v>2.72</v>
      </c>
    </row>
    <row r="27354" spans="1:2" x14ac:dyDescent="0.25">
      <c r="A27354" s="74">
        <v>32146</v>
      </c>
      <c r="B27354">
        <v>3.05</v>
      </c>
    </row>
    <row r="27355" spans="1:2" x14ac:dyDescent="0.25">
      <c r="A27355" s="74">
        <v>32147</v>
      </c>
      <c r="B27355">
        <v>2.78</v>
      </c>
    </row>
    <row r="27356" spans="1:2" x14ac:dyDescent="0.25">
      <c r="A27356" s="74">
        <v>32148</v>
      </c>
      <c r="B27356">
        <v>2.54</v>
      </c>
    </row>
    <row r="27357" spans="1:2" x14ac:dyDescent="0.25">
      <c r="A27357" s="74">
        <v>32149</v>
      </c>
      <c r="B27357">
        <v>2.62</v>
      </c>
    </row>
    <row r="27358" spans="1:2" x14ac:dyDescent="0.25">
      <c r="A27358" s="74">
        <v>32150</v>
      </c>
      <c r="B27358">
        <v>2.54</v>
      </c>
    </row>
    <row r="27359" spans="1:2" x14ac:dyDescent="0.25">
      <c r="A27359" s="74">
        <v>32151</v>
      </c>
      <c r="B27359">
        <v>2.46</v>
      </c>
    </row>
    <row r="27360" spans="1:2" x14ac:dyDescent="0.25">
      <c r="A27360" s="74">
        <v>32152</v>
      </c>
      <c r="B27360">
        <v>3.33</v>
      </c>
    </row>
    <row r="27361" spans="1:2" x14ac:dyDescent="0.25">
      <c r="A27361" s="74">
        <v>32153</v>
      </c>
      <c r="B27361">
        <v>3.48</v>
      </c>
    </row>
    <row r="27362" spans="1:2" x14ac:dyDescent="0.25">
      <c r="A27362" s="74">
        <v>32154</v>
      </c>
      <c r="B27362">
        <v>3.79</v>
      </c>
    </row>
    <row r="27363" spans="1:2" x14ac:dyDescent="0.25">
      <c r="A27363" s="74">
        <v>32155</v>
      </c>
      <c r="B27363">
        <v>5.67</v>
      </c>
    </row>
    <row r="27364" spans="1:2" x14ac:dyDescent="0.25">
      <c r="A27364" s="74">
        <v>32156</v>
      </c>
      <c r="B27364">
        <v>109</v>
      </c>
    </row>
    <row r="27365" spans="1:2" x14ac:dyDescent="0.25">
      <c r="A27365" s="74">
        <v>32157</v>
      </c>
      <c r="B27365">
        <v>80.5</v>
      </c>
    </row>
    <row r="27366" spans="1:2" x14ac:dyDescent="0.25">
      <c r="A27366" s="74">
        <v>32158</v>
      </c>
      <c r="B27366">
        <v>38</v>
      </c>
    </row>
    <row r="27367" spans="1:2" x14ac:dyDescent="0.25">
      <c r="A27367" s="74">
        <v>32159</v>
      </c>
      <c r="B27367">
        <v>23.1</v>
      </c>
    </row>
    <row r="27368" spans="1:2" x14ac:dyDescent="0.25">
      <c r="A27368" s="74">
        <v>32160</v>
      </c>
      <c r="B27368">
        <v>16</v>
      </c>
    </row>
    <row r="27369" spans="1:2" x14ac:dyDescent="0.25">
      <c r="A27369" s="74">
        <v>32161</v>
      </c>
      <c r="B27369">
        <v>12</v>
      </c>
    </row>
    <row r="27370" spans="1:2" x14ac:dyDescent="0.25">
      <c r="A27370" s="74">
        <v>32162</v>
      </c>
      <c r="B27370">
        <v>13.8</v>
      </c>
    </row>
    <row r="27371" spans="1:2" x14ac:dyDescent="0.25">
      <c r="A27371" s="74">
        <v>32163</v>
      </c>
      <c r="B27371">
        <v>12.8</v>
      </c>
    </row>
    <row r="27372" spans="1:2" x14ac:dyDescent="0.25">
      <c r="A27372" s="74">
        <v>32164</v>
      </c>
      <c r="B27372">
        <v>14</v>
      </c>
    </row>
    <row r="27373" spans="1:2" x14ac:dyDescent="0.25">
      <c r="A27373" s="74">
        <v>32165</v>
      </c>
      <c r="B27373">
        <v>14.6</v>
      </c>
    </row>
    <row r="27374" spans="1:2" x14ac:dyDescent="0.25">
      <c r="A27374" s="74">
        <v>32166</v>
      </c>
      <c r="B27374">
        <v>11.6</v>
      </c>
    </row>
    <row r="27375" spans="1:2" x14ac:dyDescent="0.25">
      <c r="A27375" s="74">
        <v>32167</v>
      </c>
      <c r="B27375">
        <v>9.9499999999999993</v>
      </c>
    </row>
    <row r="27376" spans="1:2" x14ac:dyDescent="0.25">
      <c r="A27376" s="74">
        <v>32168</v>
      </c>
      <c r="B27376">
        <v>8.76</v>
      </c>
    </row>
    <row r="27377" spans="1:2" x14ac:dyDescent="0.25">
      <c r="A27377" s="74">
        <v>32169</v>
      </c>
      <c r="B27377">
        <v>7.84</v>
      </c>
    </row>
    <row r="27378" spans="1:2" x14ac:dyDescent="0.25">
      <c r="A27378" s="74">
        <v>32170</v>
      </c>
      <c r="B27378">
        <v>28.6</v>
      </c>
    </row>
    <row r="27379" spans="1:2" x14ac:dyDescent="0.25">
      <c r="A27379" s="74">
        <v>32171</v>
      </c>
      <c r="B27379">
        <v>30.3</v>
      </c>
    </row>
    <row r="27380" spans="1:2" x14ac:dyDescent="0.25">
      <c r="A27380" s="74">
        <v>32172</v>
      </c>
      <c r="B27380">
        <v>19.100000000000001</v>
      </c>
    </row>
    <row r="27381" spans="1:2" x14ac:dyDescent="0.25">
      <c r="A27381" s="74">
        <v>32173</v>
      </c>
      <c r="B27381">
        <v>13.5</v>
      </c>
    </row>
    <row r="27382" spans="1:2" x14ac:dyDescent="0.25">
      <c r="A27382" s="74">
        <v>32174</v>
      </c>
      <c r="B27382">
        <v>10.5</v>
      </c>
    </row>
    <row r="27383" spans="1:2" x14ac:dyDescent="0.25">
      <c r="A27383" s="74">
        <v>32175</v>
      </c>
      <c r="B27383">
        <v>8.58</v>
      </c>
    </row>
    <row r="27384" spans="1:2" x14ac:dyDescent="0.25">
      <c r="A27384" s="74">
        <v>32176</v>
      </c>
      <c r="B27384">
        <v>7.73</v>
      </c>
    </row>
    <row r="27385" spans="1:2" x14ac:dyDescent="0.25">
      <c r="A27385" s="74">
        <v>32177</v>
      </c>
      <c r="B27385">
        <v>6.85</v>
      </c>
    </row>
    <row r="27386" spans="1:2" x14ac:dyDescent="0.25">
      <c r="A27386" s="74">
        <v>32178</v>
      </c>
      <c r="B27386">
        <v>6.1</v>
      </c>
    </row>
    <row r="27387" spans="1:2" x14ac:dyDescent="0.25">
      <c r="A27387" s="74">
        <v>32179</v>
      </c>
      <c r="B27387">
        <v>5.48</v>
      </c>
    </row>
    <row r="27388" spans="1:2" x14ac:dyDescent="0.25">
      <c r="A27388" s="74">
        <v>32180</v>
      </c>
      <c r="B27388">
        <v>5.82</v>
      </c>
    </row>
    <row r="27389" spans="1:2" x14ac:dyDescent="0.25">
      <c r="A27389" s="74">
        <v>32181</v>
      </c>
      <c r="B27389">
        <v>5.95</v>
      </c>
    </row>
    <row r="27390" spans="1:2" x14ac:dyDescent="0.25">
      <c r="A27390" s="74">
        <v>32182</v>
      </c>
      <c r="B27390">
        <v>6.51</v>
      </c>
    </row>
    <row r="27391" spans="1:2" x14ac:dyDescent="0.25">
      <c r="A27391" s="74">
        <v>32183</v>
      </c>
      <c r="B27391">
        <v>7.46</v>
      </c>
    </row>
    <row r="27392" spans="1:2" x14ac:dyDescent="0.25">
      <c r="A27392" s="74">
        <v>32184</v>
      </c>
      <c r="B27392">
        <v>12.1</v>
      </c>
    </row>
    <row r="27393" spans="1:2" x14ac:dyDescent="0.25">
      <c r="A27393" s="74">
        <v>32185</v>
      </c>
      <c r="B27393">
        <v>28.1</v>
      </c>
    </row>
    <row r="27394" spans="1:2" x14ac:dyDescent="0.25">
      <c r="A27394" s="74">
        <v>32186</v>
      </c>
      <c r="B27394">
        <v>29.1</v>
      </c>
    </row>
    <row r="27395" spans="1:2" x14ac:dyDescent="0.25">
      <c r="A27395" s="74">
        <v>32187</v>
      </c>
      <c r="B27395">
        <v>25.1</v>
      </c>
    </row>
    <row r="27396" spans="1:2" x14ac:dyDescent="0.25">
      <c r="A27396" s="74">
        <v>32188</v>
      </c>
      <c r="B27396">
        <v>33.799999999999997</v>
      </c>
    </row>
    <row r="27397" spans="1:2" x14ac:dyDescent="0.25">
      <c r="A27397" s="74">
        <v>32189</v>
      </c>
      <c r="B27397">
        <v>19.5</v>
      </c>
    </row>
    <row r="27398" spans="1:2" x14ac:dyDescent="0.25">
      <c r="A27398" s="74">
        <v>32190</v>
      </c>
      <c r="B27398">
        <v>16.399999999999999</v>
      </c>
    </row>
    <row r="27399" spans="1:2" x14ac:dyDescent="0.25">
      <c r="A27399" s="74">
        <v>32191</v>
      </c>
      <c r="B27399">
        <v>13.9</v>
      </c>
    </row>
    <row r="27400" spans="1:2" x14ac:dyDescent="0.25">
      <c r="A27400" s="74">
        <v>32192</v>
      </c>
      <c r="B27400">
        <v>11.2</v>
      </c>
    </row>
    <row r="27401" spans="1:2" x14ac:dyDescent="0.25">
      <c r="A27401" s="74">
        <v>32193</v>
      </c>
      <c r="B27401">
        <v>9.85</v>
      </c>
    </row>
    <row r="27402" spans="1:2" x14ac:dyDescent="0.25">
      <c r="A27402" s="74">
        <v>32194</v>
      </c>
      <c r="B27402">
        <v>8.7100000000000009</v>
      </c>
    </row>
    <row r="27403" spans="1:2" x14ac:dyDescent="0.25">
      <c r="A27403" s="74">
        <v>32195</v>
      </c>
      <c r="B27403">
        <v>7.9</v>
      </c>
    </row>
    <row r="27404" spans="1:2" x14ac:dyDescent="0.25">
      <c r="A27404" s="74">
        <v>32196</v>
      </c>
      <c r="B27404">
        <v>7.12</v>
      </c>
    </row>
    <row r="27405" spans="1:2" x14ac:dyDescent="0.25">
      <c r="A27405" s="74">
        <v>32197</v>
      </c>
      <c r="B27405">
        <v>6.52</v>
      </c>
    </row>
    <row r="27406" spans="1:2" x14ac:dyDescent="0.25">
      <c r="A27406" s="74">
        <v>32198</v>
      </c>
      <c r="B27406">
        <v>6.03</v>
      </c>
    </row>
    <row r="27407" spans="1:2" x14ac:dyDescent="0.25">
      <c r="A27407" s="74">
        <v>32199</v>
      </c>
      <c r="B27407">
        <v>5.86</v>
      </c>
    </row>
    <row r="27408" spans="1:2" x14ac:dyDescent="0.25">
      <c r="A27408" s="74">
        <v>32200</v>
      </c>
      <c r="B27408">
        <v>6.25</v>
      </c>
    </row>
    <row r="27409" spans="1:2" x14ac:dyDescent="0.25">
      <c r="A27409" s="74">
        <v>32201</v>
      </c>
      <c r="B27409">
        <v>6.55</v>
      </c>
    </row>
    <row r="27410" spans="1:2" x14ac:dyDescent="0.25">
      <c r="A27410" s="74">
        <v>32202</v>
      </c>
      <c r="B27410">
        <v>7.35</v>
      </c>
    </row>
    <row r="27411" spans="1:2" x14ac:dyDescent="0.25">
      <c r="A27411" s="74">
        <v>32203</v>
      </c>
      <c r="B27411">
        <v>8.5399999999999991</v>
      </c>
    </row>
    <row r="27412" spans="1:2" x14ac:dyDescent="0.25">
      <c r="A27412" s="74">
        <v>32204</v>
      </c>
      <c r="B27412">
        <v>8.74</v>
      </c>
    </row>
    <row r="27413" spans="1:2" x14ac:dyDescent="0.25">
      <c r="A27413" s="74">
        <v>32205</v>
      </c>
      <c r="B27413">
        <v>9.61</v>
      </c>
    </row>
    <row r="27414" spans="1:2" x14ac:dyDescent="0.25">
      <c r="A27414" s="74">
        <v>32206</v>
      </c>
      <c r="B27414">
        <v>8.9499999999999993</v>
      </c>
    </row>
    <row r="27415" spans="1:2" x14ac:dyDescent="0.25">
      <c r="A27415" s="74">
        <v>32207</v>
      </c>
      <c r="B27415">
        <v>10.3</v>
      </c>
    </row>
    <row r="27416" spans="1:2" x14ac:dyDescent="0.25">
      <c r="A27416" s="74">
        <v>32208</v>
      </c>
      <c r="B27416">
        <v>15.9</v>
      </c>
    </row>
    <row r="27417" spans="1:2" x14ac:dyDescent="0.25">
      <c r="A27417" s="74">
        <v>32209</v>
      </c>
      <c r="B27417">
        <v>15.1</v>
      </c>
    </row>
    <row r="27418" spans="1:2" x14ac:dyDescent="0.25">
      <c r="A27418" s="74">
        <v>32210</v>
      </c>
      <c r="B27418">
        <v>14.3</v>
      </c>
    </row>
    <row r="27419" spans="1:2" x14ac:dyDescent="0.25">
      <c r="A27419" s="74">
        <v>32211</v>
      </c>
      <c r="B27419">
        <v>14.4</v>
      </c>
    </row>
    <row r="27420" spans="1:2" x14ac:dyDescent="0.25">
      <c r="A27420" s="74">
        <v>32212</v>
      </c>
      <c r="B27420">
        <v>11.4</v>
      </c>
    </row>
    <row r="27421" spans="1:2" x14ac:dyDescent="0.25">
      <c r="A27421" s="74">
        <v>32213</v>
      </c>
      <c r="B27421">
        <v>9.4499999999999993</v>
      </c>
    </row>
    <row r="27422" spans="1:2" x14ac:dyDescent="0.25">
      <c r="A27422" s="74">
        <v>32214</v>
      </c>
      <c r="B27422">
        <v>8.33</v>
      </c>
    </row>
    <row r="27423" spans="1:2" x14ac:dyDescent="0.25">
      <c r="A27423" s="74">
        <v>32215</v>
      </c>
      <c r="B27423">
        <v>7.46</v>
      </c>
    </row>
    <row r="27424" spans="1:2" x14ac:dyDescent="0.25">
      <c r="A27424" s="74">
        <v>32216</v>
      </c>
      <c r="B27424">
        <v>6.9</v>
      </c>
    </row>
    <row r="27425" spans="1:2" x14ac:dyDescent="0.25">
      <c r="A27425" s="74">
        <v>32217</v>
      </c>
      <c r="B27425">
        <v>6.37</v>
      </c>
    </row>
    <row r="27426" spans="1:2" x14ac:dyDescent="0.25">
      <c r="A27426" s="74">
        <v>32218</v>
      </c>
      <c r="B27426">
        <v>5.93</v>
      </c>
    </row>
    <row r="27427" spans="1:2" x14ac:dyDescent="0.25">
      <c r="A27427" s="74">
        <v>32219</v>
      </c>
      <c r="B27427">
        <v>5.67</v>
      </c>
    </row>
    <row r="27428" spans="1:2" x14ac:dyDescent="0.25">
      <c r="A27428" s="74">
        <v>32220</v>
      </c>
      <c r="B27428">
        <v>5.53</v>
      </c>
    </row>
    <row r="27429" spans="1:2" x14ac:dyDescent="0.25">
      <c r="A27429" s="74">
        <v>32221</v>
      </c>
      <c r="B27429">
        <v>5.66</v>
      </c>
    </row>
    <row r="27430" spans="1:2" x14ac:dyDescent="0.25">
      <c r="A27430" s="74">
        <v>32222</v>
      </c>
      <c r="B27430">
        <v>19.2</v>
      </c>
    </row>
    <row r="27431" spans="1:2" x14ac:dyDescent="0.25">
      <c r="A27431" s="74">
        <v>32223</v>
      </c>
      <c r="B27431">
        <v>18.600000000000001</v>
      </c>
    </row>
    <row r="27432" spans="1:2" x14ac:dyDescent="0.25">
      <c r="A27432" s="74">
        <v>32224</v>
      </c>
      <c r="B27432">
        <v>17.899999999999999</v>
      </c>
    </row>
    <row r="27433" spans="1:2" x14ac:dyDescent="0.25">
      <c r="A27433" s="74">
        <v>32225</v>
      </c>
      <c r="B27433">
        <v>42.1</v>
      </c>
    </row>
    <row r="27434" spans="1:2" x14ac:dyDescent="0.25">
      <c r="A27434" s="74">
        <v>32226</v>
      </c>
      <c r="B27434">
        <v>28</v>
      </c>
    </row>
    <row r="27435" spans="1:2" x14ac:dyDescent="0.25">
      <c r="A27435" s="74">
        <v>32227</v>
      </c>
      <c r="B27435">
        <v>24.5</v>
      </c>
    </row>
    <row r="27436" spans="1:2" x14ac:dyDescent="0.25">
      <c r="A27436" s="74">
        <v>32228</v>
      </c>
      <c r="B27436">
        <v>32.700000000000003</v>
      </c>
    </row>
    <row r="27437" spans="1:2" x14ac:dyDescent="0.25">
      <c r="A27437" s="74">
        <v>32229</v>
      </c>
      <c r="B27437">
        <v>21.1</v>
      </c>
    </row>
    <row r="27438" spans="1:2" x14ac:dyDescent="0.25">
      <c r="A27438" s="74">
        <v>32230</v>
      </c>
      <c r="B27438">
        <v>15.1</v>
      </c>
    </row>
    <row r="27439" spans="1:2" x14ac:dyDescent="0.25">
      <c r="A27439" s="74">
        <v>32231</v>
      </c>
      <c r="B27439">
        <v>12.5</v>
      </c>
    </row>
    <row r="27440" spans="1:2" x14ac:dyDescent="0.25">
      <c r="A27440" s="74">
        <v>32232</v>
      </c>
      <c r="B27440">
        <v>10.4</v>
      </c>
    </row>
    <row r="27441" spans="1:2" x14ac:dyDescent="0.25">
      <c r="A27441" s="74">
        <v>32233</v>
      </c>
      <c r="B27441">
        <v>9.16</v>
      </c>
    </row>
    <row r="27442" spans="1:2" x14ac:dyDescent="0.25">
      <c r="A27442" s="74">
        <v>32234</v>
      </c>
      <c r="B27442">
        <v>9.39</v>
      </c>
    </row>
    <row r="27443" spans="1:2" x14ac:dyDescent="0.25">
      <c r="A27443" s="74">
        <v>32235</v>
      </c>
      <c r="B27443">
        <v>18</v>
      </c>
    </row>
    <row r="27444" spans="1:2" x14ac:dyDescent="0.25">
      <c r="A27444" s="74">
        <v>32236</v>
      </c>
      <c r="B27444">
        <v>47.2</v>
      </c>
    </row>
    <row r="27445" spans="1:2" x14ac:dyDescent="0.25">
      <c r="A27445" s="74">
        <v>32237</v>
      </c>
      <c r="B27445">
        <v>29</v>
      </c>
    </row>
    <row r="27446" spans="1:2" x14ac:dyDescent="0.25">
      <c r="A27446" s="74">
        <v>32238</v>
      </c>
      <c r="B27446">
        <v>28.8</v>
      </c>
    </row>
    <row r="27447" spans="1:2" x14ac:dyDescent="0.25">
      <c r="A27447" s="74">
        <v>32239</v>
      </c>
      <c r="B27447">
        <v>42.9</v>
      </c>
    </row>
    <row r="27448" spans="1:2" x14ac:dyDescent="0.25">
      <c r="A27448" s="74">
        <v>32240</v>
      </c>
      <c r="B27448">
        <v>30.7</v>
      </c>
    </row>
    <row r="27449" spans="1:2" x14ac:dyDescent="0.25">
      <c r="A27449" s="74">
        <v>32241</v>
      </c>
      <c r="B27449">
        <v>22.2</v>
      </c>
    </row>
    <row r="27450" spans="1:2" x14ac:dyDescent="0.25">
      <c r="A27450" s="74">
        <v>32242</v>
      </c>
      <c r="B27450">
        <v>16.5</v>
      </c>
    </row>
    <row r="27451" spans="1:2" x14ac:dyDescent="0.25">
      <c r="A27451" s="74">
        <v>32243</v>
      </c>
      <c r="B27451">
        <v>13.5</v>
      </c>
    </row>
    <row r="27452" spans="1:2" x14ac:dyDescent="0.25">
      <c r="A27452" s="74">
        <v>32244</v>
      </c>
      <c r="B27452">
        <v>12.9</v>
      </c>
    </row>
    <row r="27453" spans="1:2" x14ac:dyDescent="0.25">
      <c r="A27453" s="74">
        <v>32245</v>
      </c>
      <c r="B27453">
        <v>12.3</v>
      </c>
    </row>
    <row r="27454" spans="1:2" x14ac:dyDescent="0.25">
      <c r="A27454" s="74">
        <v>32246</v>
      </c>
      <c r="B27454">
        <v>14</v>
      </c>
    </row>
    <row r="27455" spans="1:2" x14ac:dyDescent="0.25">
      <c r="A27455" s="74">
        <v>32247</v>
      </c>
      <c r="B27455">
        <v>17.600000000000001</v>
      </c>
    </row>
    <row r="27456" spans="1:2" x14ac:dyDescent="0.25">
      <c r="A27456" s="74">
        <v>32248</v>
      </c>
      <c r="B27456">
        <v>20.399999999999999</v>
      </c>
    </row>
    <row r="27457" spans="1:2" x14ac:dyDescent="0.25">
      <c r="A27457" s="74">
        <v>32249</v>
      </c>
      <c r="B27457">
        <v>20.5</v>
      </c>
    </row>
    <row r="27458" spans="1:2" x14ac:dyDescent="0.25">
      <c r="A27458" s="74">
        <v>32250</v>
      </c>
      <c r="B27458">
        <v>18.8</v>
      </c>
    </row>
    <row r="27459" spans="1:2" x14ac:dyDescent="0.25">
      <c r="A27459" s="74">
        <v>32251</v>
      </c>
      <c r="B27459">
        <v>16.2</v>
      </c>
    </row>
    <row r="27460" spans="1:2" x14ac:dyDescent="0.25">
      <c r="A27460" s="74">
        <v>32252</v>
      </c>
      <c r="B27460">
        <v>13.9</v>
      </c>
    </row>
    <row r="27461" spans="1:2" x14ac:dyDescent="0.25">
      <c r="A27461" s="74">
        <v>32253</v>
      </c>
      <c r="B27461">
        <v>13.2</v>
      </c>
    </row>
    <row r="27462" spans="1:2" x14ac:dyDescent="0.25">
      <c r="A27462" s="74">
        <v>32254</v>
      </c>
      <c r="B27462">
        <v>14.4</v>
      </c>
    </row>
    <row r="27463" spans="1:2" x14ac:dyDescent="0.25">
      <c r="A27463" s="74">
        <v>32255</v>
      </c>
      <c r="B27463">
        <v>14.8</v>
      </c>
    </row>
    <row r="27464" spans="1:2" x14ac:dyDescent="0.25">
      <c r="A27464" s="74">
        <v>32256</v>
      </c>
      <c r="B27464">
        <v>12.6</v>
      </c>
    </row>
    <row r="27465" spans="1:2" x14ac:dyDescent="0.25">
      <c r="A27465" s="74">
        <v>32257</v>
      </c>
      <c r="B27465">
        <v>10.6</v>
      </c>
    </row>
    <row r="27466" spans="1:2" x14ac:dyDescent="0.25">
      <c r="A27466" s="74">
        <v>32258</v>
      </c>
      <c r="B27466">
        <v>9.16</v>
      </c>
    </row>
    <row r="27467" spans="1:2" x14ac:dyDescent="0.25">
      <c r="A27467" s="74">
        <v>32259</v>
      </c>
      <c r="B27467">
        <v>8.09</v>
      </c>
    </row>
    <row r="27468" spans="1:2" x14ac:dyDescent="0.25">
      <c r="A27468" s="74">
        <v>32260</v>
      </c>
      <c r="B27468">
        <v>7.95</v>
      </c>
    </row>
    <row r="27469" spans="1:2" x14ac:dyDescent="0.25">
      <c r="A27469" s="74">
        <v>32261</v>
      </c>
      <c r="B27469">
        <v>19.3</v>
      </c>
    </row>
    <row r="27470" spans="1:2" x14ac:dyDescent="0.25">
      <c r="A27470" s="74">
        <v>32262</v>
      </c>
      <c r="B27470">
        <v>29.6</v>
      </c>
    </row>
    <row r="27471" spans="1:2" x14ac:dyDescent="0.25">
      <c r="A27471" s="74">
        <v>32263</v>
      </c>
      <c r="B27471">
        <v>16.5</v>
      </c>
    </row>
    <row r="27472" spans="1:2" x14ac:dyDescent="0.25">
      <c r="A27472" s="74">
        <v>32264</v>
      </c>
      <c r="B27472">
        <v>12.1</v>
      </c>
    </row>
    <row r="27473" spans="1:2" x14ac:dyDescent="0.25">
      <c r="A27473" s="74">
        <v>32265</v>
      </c>
      <c r="B27473">
        <v>11</v>
      </c>
    </row>
    <row r="27474" spans="1:2" x14ac:dyDescent="0.25">
      <c r="A27474" s="74">
        <v>32266</v>
      </c>
      <c r="B27474">
        <v>11.2</v>
      </c>
    </row>
    <row r="27475" spans="1:2" x14ac:dyDescent="0.25">
      <c r="A27475" s="74">
        <v>32267</v>
      </c>
      <c r="B27475">
        <v>9.7100000000000009</v>
      </c>
    </row>
    <row r="27476" spans="1:2" x14ac:dyDescent="0.25">
      <c r="A27476" s="74">
        <v>32268</v>
      </c>
      <c r="B27476">
        <v>9.1199999999999992</v>
      </c>
    </row>
    <row r="27477" spans="1:2" x14ac:dyDescent="0.25">
      <c r="A27477" s="74">
        <v>32269</v>
      </c>
      <c r="B27477">
        <v>9.14</v>
      </c>
    </row>
    <row r="27478" spans="1:2" x14ac:dyDescent="0.25">
      <c r="A27478" s="74">
        <v>32270</v>
      </c>
      <c r="B27478">
        <v>9.18</v>
      </c>
    </row>
    <row r="27479" spans="1:2" x14ac:dyDescent="0.25">
      <c r="A27479" s="74">
        <v>32271</v>
      </c>
      <c r="B27479">
        <v>9.5399999999999991</v>
      </c>
    </row>
    <row r="27480" spans="1:2" x14ac:dyDescent="0.25">
      <c r="A27480" s="74">
        <v>32272</v>
      </c>
      <c r="B27480">
        <v>10.8</v>
      </c>
    </row>
    <row r="27481" spans="1:2" x14ac:dyDescent="0.25">
      <c r="A27481" s="74">
        <v>32273</v>
      </c>
      <c r="B27481">
        <v>11.5</v>
      </c>
    </row>
    <row r="27482" spans="1:2" x14ac:dyDescent="0.25">
      <c r="A27482" s="74">
        <v>32274</v>
      </c>
      <c r="B27482">
        <v>14.8</v>
      </c>
    </row>
    <row r="27483" spans="1:2" x14ac:dyDescent="0.25">
      <c r="A27483" s="74">
        <v>32275</v>
      </c>
      <c r="B27483">
        <v>20.399999999999999</v>
      </c>
    </row>
    <row r="27484" spans="1:2" x14ac:dyDescent="0.25">
      <c r="A27484" s="74">
        <v>32276</v>
      </c>
      <c r="B27484">
        <v>24.7</v>
      </c>
    </row>
    <row r="27485" spans="1:2" x14ac:dyDescent="0.25">
      <c r="A27485" s="74">
        <v>32277</v>
      </c>
      <c r="B27485">
        <v>16.5</v>
      </c>
    </row>
    <row r="27486" spans="1:2" x14ac:dyDescent="0.25">
      <c r="A27486" s="74">
        <v>32278</v>
      </c>
      <c r="B27486">
        <v>13.4</v>
      </c>
    </row>
    <row r="27487" spans="1:2" x14ac:dyDescent="0.25">
      <c r="A27487" s="74">
        <v>32279</v>
      </c>
      <c r="B27487">
        <v>17.899999999999999</v>
      </c>
    </row>
    <row r="27488" spans="1:2" x14ac:dyDescent="0.25">
      <c r="A27488" s="74">
        <v>32280</v>
      </c>
      <c r="B27488">
        <v>20.2</v>
      </c>
    </row>
    <row r="27489" spans="1:2" x14ac:dyDescent="0.25">
      <c r="A27489" s="74">
        <v>32281</v>
      </c>
      <c r="B27489">
        <v>15</v>
      </c>
    </row>
    <row r="27490" spans="1:2" x14ac:dyDescent="0.25">
      <c r="A27490" s="74">
        <v>32282</v>
      </c>
      <c r="B27490">
        <v>12.4</v>
      </c>
    </row>
    <row r="27491" spans="1:2" x14ac:dyDescent="0.25">
      <c r="A27491" s="74">
        <v>32283</v>
      </c>
      <c r="B27491">
        <v>10.6</v>
      </c>
    </row>
    <row r="27492" spans="1:2" x14ac:dyDescent="0.25">
      <c r="A27492" s="74">
        <v>32284</v>
      </c>
      <c r="B27492">
        <v>10.199999999999999</v>
      </c>
    </row>
    <row r="27493" spans="1:2" x14ac:dyDescent="0.25">
      <c r="A27493" s="74">
        <v>32285</v>
      </c>
      <c r="B27493">
        <v>12.9</v>
      </c>
    </row>
    <row r="27494" spans="1:2" x14ac:dyDescent="0.25">
      <c r="A27494" s="74">
        <v>32286</v>
      </c>
      <c r="B27494">
        <v>13.3</v>
      </c>
    </row>
    <row r="27495" spans="1:2" x14ac:dyDescent="0.25">
      <c r="A27495" s="74">
        <v>32287</v>
      </c>
      <c r="B27495">
        <v>9.6300000000000008</v>
      </c>
    </row>
    <row r="27496" spans="1:2" x14ac:dyDescent="0.25">
      <c r="A27496" s="74">
        <v>32288</v>
      </c>
      <c r="B27496">
        <v>8.4</v>
      </c>
    </row>
    <row r="27497" spans="1:2" x14ac:dyDescent="0.25">
      <c r="A27497" s="74">
        <v>32289</v>
      </c>
      <c r="B27497">
        <v>8.1300000000000008</v>
      </c>
    </row>
    <row r="27498" spans="1:2" x14ac:dyDescent="0.25">
      <c r="A27498" s="74">
        <v>32290</v>
      </c>
      <c r="B27498">
        <v>11.9</v>
      </c>
    </row>
    <row r="27499" spans="1:2" x14ac:dyDescent="0.25">
      <c r="A27499" s="74">
        <v>32291</v>
      </c>
      <c r="B27499">
        <v>22.5</v>
      </c>
    </row>
    <row r="27500" spans="1:2" x14ac:dyDescent="0.25">
      <c r="A27500" s="74">
        <v>32292</v>
      </c>
      <c r="B27500">
        <v>15</v>
      </c>
    </row>
    <row r="27501" spans="1:2" x14ac:dyDescent="0.25">
      <c r="A27501" s="74">
        <v>32293</v>
      </c>
      <c r="B27501">
        <v>10.199999999999999</v>
      </c>
    </row>
    <row r="27502" spans="1:2" x14ac:dyDescent="0.25">
      <c r="A27502" s="74">
        <v>32294</v>
      </c>
      <c r="B27502">
        <v>8.86</v>
      </c>
    </row>
    <row r="27503" spans="1:2" x14ac:dyDescent="0.25">
      <c r="A27503" s="74">
        <v>32295</v>
      </c>
      <c r="B27503">
        <v>8.9600000000000009</v>
      </c>
    </row>
    <row r="27504" spans="1:2" x14ac:dyDescent="0.25">
      <c r="A27504" s="74">
        <v>32296</v>
      </c>
      <c r="B27504">
        <v>9.6199999999999992</v>
      </c>
    </row>
    <row r="27505" spans="1:2" x14ac:dyDescent="0.25">
      <c r="A27505" s="74">
        <v>32297</v>
      </c>
      <c r="B27505">
        <v>25</v>
      </c>
    </row>
    <row r="27506" spans="1:2" x14ac:dyDescent="0.25">
      <c r="A27506" s="74">
        <v>32298</v>
      </c>
      <c r="B27506">
        <v>17.5</v>
      </c>
    </row>
    <row r="27507" spans="1:2" x14ac:dyDescent="0.25">
      <c r="A27507" s="74">
        <v>32299</v>
      </c>
      <c r="B27507">
        <v>13.1</v>
      </c>
    </row>
    <row r="27508" spans="1:2" x14ac:dyDescent="0.25">
      <c r="A27508" s="74">
        <v>32300</v>
      </c>
      <c r="B27508">
        <v>10.5</v>
      </c>
    </row>
    <row r="27509" spans="1:2" x14ac:dyDescent="0.25">
      <c r="A27509" s="74">
        <v>32301</v>
      </c>
      <c r="B27509">
        <v>9.77</v>
      </c>
    </row>
    <row r="27510" spans="1:2" x14ac:dyDescent="0.25">
      <c r="A27510" s="74">
        <v>32302</v>
      </c>
      <c r="B27510">
        <v>9.14</v>
      </c>
    </row>
    <row r="27511" spans="1:2" x14ac:dyDescent="0.25">
      <c r="A27511" s="74">
        <v>32303</v>
      </c>
      <c r="B27511">
        <v>8.48</v>
      </c>
    </row>
    <row r="27512" spans="1:2" x14ac:dyDescent="0.25">
      <c r="A27512" s="74">
        <v>32304</v>
      </c>
      <c r="B27512">
        <v>8.4600000000000009</v>
      </c>
    </row>
    <row r="27513" spans="1:2" x14ac:dyDescent="0.25">
      <c r="A27513" s="74">
        <v>32305</v>
      </c>
      <c r="B27513">
        <v>8.24</v>
      </c>
    </row>
    <row r="27514" spans="1:2" x14ac:dyDescent="0.25">
      <c r="A27514" s="74">
        <v>32306</v>
      </c>
      <c r="B27514">
        <v>7.24</v>
      </c>
    </row>
    <row r="27515" spans="1:2" x14ac:dyDescent="0.25">
      <c r="A27515" s="74">
        <v>32307</v>
      </c>
      <c r="B27515">
        <v>6.93</v>
      </c>
    </row>
    <row r="27516" spans="1:2" x14ac:dyDescent="0.25">
      <c r="A27516" s="74">
        <v>32308</v>
      </c>
      <c r="B27516">
        <v>7.97</v>
      </c>
    </row>
    <row r="27517" spans="1:2" x14ac:dyDescent="0.25">
      <c r="A27517" s="74">
        <v>32309</v>
      </c>
      <c r="B27517">
        <v>9.18</v>
      </c>
    </row>
    <row r="27518" spans="1:2" x14ac:dyDescent="0.25">
      <c r="A27518" s="74">
        <v>32310</v>
      </c>
      <c r="B27518">
        <v>8.93</v>
      </c>
    </row>
    <row r="27519" spans="1:2" x14ac:dyDescent="0.25">
      <c r="A27519" s="74">
        <v>32311</v>
      </c>
      <c r="B27519">
        <v>7.5</v>
      </c>
    </row>
    <row r="27520" spans="1:2" x14ac:dyDescent="0.25">
      <c r="A27520" s="74">
        <v>32312</v>
      </c>
      <c r="B27520">
        <v>8.16</v>
      </c>
    </row>
    <row r="27521" spans="1:2" x14ac:dyDescent="0.25">
      <c r="A27521" s="74">
        <v>32313</v>
      </c>
      <c r="B27521">
        <v>7.22</v>
      </c>
    </row>
    <row r="27522" spans="1:2" x14ac:dyDescent="0.25">
      <c r="A27522" s="74">
        <v>32314</v>
      </c>
      <c r="B27522">
        <v>6.13</v>
      </c>
    </row>
    <row r="27523" spans="1:2" x14ac:dyDescent="0.25">
      <c r="A27523" s="74">
        <v>32315</v>
      </c>
      <c r="B27523">
        <v>6.18</v>
      </c>
    </row>
    <row r="27524" spans="1:2" x14ac:dyDescent="0.25">
      <c r="A27524" s="74">
        <v>32316</v>
      </c>
      <c r="B27524">
        <v>6.52</v>
      </c>
    </row>
    <row r="27525" spans="1:2" x14ac:dyDescent="0.25">
      <c r="A27525" s="74">
        <v>32317</v>
      </c>
      <c r="B27525">
        <v>6.29</v>
      </c>
    </row>
    <row r="27526" spans="1:2" x14ac:dyDescent="0.25">
      <c r="A27526" s="74">
        <v>32318</v>
      </c>
      <c r="B27526">
        <v>5.31</v>
      </c>
    </row>
    <row r="27527" spans="1:2" x14ac:dyDescent="0.25">
      <c r="A27527" s="74">
        <v>32319</v>
      </c>
      <c r="B27527">
        <v>5.07</v>
      </c>
    </row>
    <row r="27528" spans="1:2" x14ac:dyDescent="0.25">
      <c r="A27528" s="74">
        <v>32320</v>
      </c>
      <c r="B27528">
        <v>5.46</v>
      </c>
    </row>
    <row r="27529" spans="1:2" x14ac:dyDescent="0.25">
      <c r="A27529" s="74">
        <v>32321</v>
      </c>
      <c r="B27529">
        <v>4.83</v>
      </c>
    </row>
    <row r="27530" spans="1:2" x14ac:dyDescent="0.25">
      <c r="A27530" s="74">
        <v>32322</v>
      </c>
      <c r="B27530">
        <v>4.38</v>
      </c>
    </row>
    <row r="27531" spans="1:2" x14ac:dyDescent="0.25">
      <c r="A27531" s="74">
        <v>32323</v>
      </c>
      <c r="B27531">
        <v>3.86</v>
      </c>
    </row>
    <row r="27532" spans="1:2" x14ac:dyDescent="0.25">
      <c r="A27532" s="74">
        <v>32324</v>
      </c>
      <c r="B27532">
        <v>3.62</v>
      </c>
    </row>
    <row r="27533" spans="1:2" x14ac:dyDescent="0.25">
      <c r="A27533" s="74">
        <v>32325</v>
      </c>
      <c r="B27533">
        <v>3.5</v>
      </c>
    </row>
    <row r="27534" spans="1:2" x14ac:dyDescent="0.25">
      <c r="A27534" s="74">
        <v>32326</v>
      </c>
      <c r="B27534">
        <v>3.84</v>
      </c>
    </row>
    <row r="27535" spans="1:2" x14ac:dyDescent="0.25">
      <c r="A27535" s="74">
        <v>32327</v>
      </c>
      <c r="B27535">
        <v>3.87</v>
      </c>
    </row>
    <row r="27536" spans="1:2" x14ac:dyDescent="0.25">
      <c r="A27536" s="74">
        <v>32328</v>
      </c>
      <c r="B27536">
        <v>3.62</v>
      </c>
    </row>
    <row r="27537" spans="1:2" x14ac:dyDescent="0.25">
      <c r="A27537" s="74">
        <v>32329</v>
      </c>
      <c r="B27537">
        <v>4.2300000000000004</v>
      </c>
    </row>
    <row r="27538" spans="1:2" x14ac:dyDescent="0.25">
      <c r="A27538" s="74">
        <v>32330</v>
      </c>
      <c r="B27538">
        <v>4.71</v>
      </c>
    </row>
    <row r="27539" spans="1:2" x14ac:dyDescent="0.25">
      <c r="A27539" s="74">
        <v>32331</v>
      </c>
      <c r="B27539">
        <v>4.25</v>
      </c>
    </row>
    <row r="27540" spans="1:2" x14ac:dyDescent="0.25">
      <c r="A27540" s="74">
        <v>32332</v>
      </c>
      <c r="B27540">
        <v>3.84</v>
      </c>
    </row>
    <row r="27541" spans="1:2" x14ac:dyDescent="0.25">
      <c r="A27541" s="74">
        <v>32333</v>
      </c>
      <c r="B27541">
        <v>3.72</v>
      </c>
    </row>
    <row r="27542" spans="1:2" x14ac:dyDescent="0.25">
      <c r="A27542" s="74">
        <v>32334</v>
      </c>
      <c r="B27542">
        <v>3.7</v>
      </c>
    </row>
    <row r="27543" spans="1:2" x14ac:dyDescent="0.25">
      <c r="A27543" s="74">
        <v>32335</v>
      </c>
      <c r="B27543">
        <v>3.8</v>
      </c>
    </row>
    <row r="27544" spans="1:2" x14ac:dyDescent="0.25">
      <c r="A27544" s="74">
        <v>32336</v>
      </c>
      <c r="B27544">
        <v>3.55</v>
      </c>
    </row>
    <row r="27545" spans="1:2" x14ac:dyDescent="0.25">
      <c r="A27545" s="74">
        <v>32337</v>
      </c>
      <c r="B27545">
        <v>3.98</v>
      </c>
    </row>
    <row r="27546" spans="1:2" x14ac:dyDescent="0.25">
      <c r="A27546" s="74">
        <v>32338</v>
      </c>
      <c r="B27546">
        <v>3.69</v>
      </c>
    </row>
    <row r="27547" spans="1:2" x14ac:dyDescent="0.25">
      <c r="A27547" s="74">
        <v>32339</v>
      </c>
      <c r="B27547">
        <v>3.33</v>
      </c>
    </row>
    <row r="27548" spans="1:2" x14ac:dyDescent="0.25">
      <c r="A27548" s="74">
        <v>32340</v>
      </c>
      <c r="B27548">
        <v>3.12</v>
      </c>
    </row>
    <row r="27549" spans="1:2" x14ac:dyDescent="0.25">
      <c r="A27549" s="74">
        <v>32341</v>
      </c>
      <c r="B27549">
        <v>2.91</v>
      </c>
    </row>
    <row r="27550" spans="1:2" x14ac:dyDescent="0.25">
      <c r="A27550" s="74">
        <v>32342</v>
      </c>
      <c r="B27550">
        <v>2.78</v>
      </c>
    </row>
    <row r="27551" spans="1:2" x14ac:dyDescent="0.25">
      <c r="A27551" s="74">
        <v>32343</v>
      </c>
      <c r="B27551">
        <v>2.81</v>
      </c>
    </row>
    <row r="27552" spans="1:2" x14ac:dyDescent="0.25">
      <c r="A27552" s="74">
        <v>32344</v>
      </c>
      <c r="B27552">
        <v>2.85</v>
      </c>
    </row>
    <row r="27553" spans="1:2" x14ac:dyDescent="0.25">
      <c r="A27553" s="74">
        <v>32345</v>
      </c>
      <c r="B27553">
        <v>2.8</v>
      </c>
    </row>
    <row r="27554" spans="1:2" x14ac:dyDescent="0.25">
      <c r="A27554" s="74">
        <v>32346</v>
      </c>
      <c r="B27554">
        <v>2.66</v>
      </c>
    </row>
    <row r="27555" spans="1:2" x14ac:dyDescent="0.25">
      <c r="A27555" s="74">
        <v>32347</v>
      </c>
      <c r="B27555">
        <v>2.38</v>
      </c>
    </row>
    <row r="27556" spans="1:2" x14ac:dyDescent="0.25">
      <c r="A27556" s="74">
        <v>32348</v>
      </c>
      <c r="B27556">
        <v>2.25</v>
      </c>
    </row>
    <row r="27557" spans="1:2" x14ac:dyDescent="0.25">
      <c r="A27557" s="74">
        <v>32349</v>
      </c>
      <c r="B27557">
        <v>2.15</v>
      </c>
    </row>
    <row r="27558" spans="1:2" x14ac:dyDescent="0.25">
      <c r="A27558" s="74">
        <v>32350</v>
      </c>
      <c r="B27558">
        <v>2.16</v>
      </c>
    </row>
    <row r="27559" spans="1:2" x14ac:dyDescent="0.25">
      <c r="A27559" s="74">
        <v>32351</v>
      </c>
      <c r="B27559">
        <v>1.98</v>
      </c>
    </row>
    <row r="27560" spans="1:2" x14ac:dyDescent="0.25">
      <c r="A27560" s="74">
        <v>32352</v>
      </c>
      <c r="B27560">
        <v>1.88</v>
      </c>
    </row>
    <row r="27561" spans="1:2" x14ac:dyDescent="0.25">
      <c r="A27561" s="74">
        <v>32353</v>
      </c>
      <c r="B27561">
        <v>1.74</v>
      </c>
    </row>
    <row r="27562" spans="1:2" x14ac:dyDescent="0.25">
      <c r="A27562" s="74">
        <v>32354</v>
      </c>
      <c r="B27562">
        <v>1.59</v>
      </c>
    </row>
    <row r="27563" spans="1:2" x14ac:dyDescent="0.25">
      <c r="A27563" s="74">
        <v>32355</v>
      </c>
      <c r="B27563">
        <v>1.56</v>
      </c>
    </row>
    <row r="27564" spans="1:2" x14ac:dyDescent="0.25">
      <c r="A27564" s="74">
        <v>32356</v>
      </c>
      <c r="B27564">
        <v>1.49</v>
      </c>
    </row>
    <row r="27565" spans="1:2" x14ac:dyDescent="0.25">
      <c r="A27565" s="74">
        <v>32357</v>
      </c>
      <c r="B27565">
        <v>1.28</v>
      </c>
    </row>
    <row r="27566" spans="1:2" x14ac:dyDescent="0.25">
      <c r="A27566" s="74">
        <v>32358</v>
      </c>
      <c r="B27566">
        <v>1.19</v>
      </c>
    </row>
    <row r="27567" spans="1:2" x14ac:dyDescent="0.25">
      <c r="A27567" s="74">
        <v>32359</v>
      </c>
      <c r="B27567">
        <v>1.1299999999999999</v>
      </c>
    </row>
    <row r="27568" spans="1:2" x14ac:dyDescent="0.25">
      <c r="A27568" s="74">
        <v>32360</v>
      </c>
      <c r="B27568">
        <v>1.17</v>
      </c>
    </row>
    <row r="27569" spans="1:2" x14ac:dyDescent="0.25">
      <c r="A27569" s="74">
        <v>32361</v>
      </c>
      <c r="B27569">
        <v>1.1200000000000001</v>
      </c>
    </row>
    <row r="27570" spans="1:2" x14ac:dyDescent="0.25">
      <c r="A27570" s="74">
        <v>32362</v>
      </c>
      <c r="B27570">
        <v>1.03</v>
      </c>
    </row>
    <row r="27571" spans="1:2" x14ac:dyDescent="0.25">
      <c r="A27571" s="74">
        <v>32363</v>
      </c>
      <c r="B27571">
        <v>1.02</v>
      </c>
    </row>
    <row r="27572" spans="1:2" x14ac:dyDescent="0.25">
      <c r="A27572" s="74">
        <v>32364</v>
      </c>
      <c r="B27572">
        <v>0.90200000000000002</v>
      </c>
    </row>
    <row r="27573" spans="1:2" x14ac:dyDescent="0.25">
      <c r="A27573" s="74">
        <v>32365</v>
      </c>
      <c r="B27573">
        <v>0.879</v>
      </c>
    </row>
    <row r="27574" spans="1:2" x14ac:dyDescent="0.25">
      <c r="A27574" s="74">
        <v>32366</v>
      </c>
      <c r="B27574">
        <v>0.88300000000000001</v>
      </c>
    </row>
    <row r="27575" spans="1:2" x14ac:dyDescent="0.25">
      <c r="A27575" s="74">
        <v>32367</v>
      </c>
      <c r="B27575">
        <v>0.83099999999999996</v>
      </c>
    </row>
    <row r="27576" spans="1:2" x14ac:dyDescent="0.25">
      <c r="A27576" s="74">
        <v>32368</v>
      </c>
      <c r="B27576">
        <v>0.76200000000000001</v>
      </c>
    </row>
    <row r="27577" spans="1:2" x14ac:dyDescent="0.25">
      <c r="A27577" s="74">
        <v>32369</v>
      </c>
      <c r="B27577">
        <v>0.755</v>
      </c>
    </row>
    <row r="27578" spans="1:2" x14ac:dyDescent="0.25">
      <c r="A27578" s="74">
        <v>32370</v>
      </c>
      <c r="B27578">
        <v>0.79700000000000004</v>
      </c>
    </row>
    <row r="27579" spans="1:2" x14ac:dyDescent="0.25">
      <c r="A27579" s="74">
        <v>32371</v>
      </c>
      <c r="B27579">
        <v>0.96</v>
      </c>
    </row>
    <row r="27580" spans="1:2" x14ac:dyDescent="0.25">
      <c r="A27580" s="74">
        <v>32372</v>
      </c>
      <c r="B27580">
        <v>1.05</v>
      </c>
    </row>
    <row r="27581" spans="1:2" x14ac:dyDescent="0.25">
      <c r="A27581" s="74">
        <v>32373</v>
      </c>
      <c r="B27581">
        <v>1.02</v>
      </c>
    </row>
    <row r="27582" spans="1:2" x14ac:dyDescent="0.25">
      <c r="A27582" s="74">
        <v>32374</v>
      </c>
      <c r="B27582">
        <v>0.94</v>
      </c>
    </row>
    <row r="27583" spans="1:2" x14ac:dyDescent="0.25">
      <c r="A27583" s="74">
        <v>32375</v>
      </c>
      <c r="B27583">
        <v>0.84799999999999998</v>
      </c>
    </row>
    <row r="27584" spans="1:2" x14ac:dyDescent="0.25">
      <c r="A27584" s="74">
        <v>32376</v>
      </c>
      <c r="B27584">
        <v>0.76700000000000002</v>
      </c>
    </row>
    <row r="27585" spans="1:3" x14ac:dyDescent="0.25">
      <c r="A27585" s="74">
        <v>32377</v>
      </c>
      <c r="B27585">
        <v>0.72299999999999998</v>
      </c>
    </row>
    <row r="27586" spans="1:3" x14ac:dyDescent="0.25">
      <c r="A27586" s="74">
        <v>32378</v>
      </c>
      <c r="B27586">
        <v>0.69799999999999995</v>
      </c>
    </row>
    <row r="27587" spans="1:3" x14ac:dyDescent="0.25">
      <c r="A27587" s="74">
        <v>32379</v>
      </c>
      <c r="B27587">
        <v>0.65900000000000003</v>
      </c>
    </row>
    <row r="27588" spans="1:3" x14ac:dyDescent="0.25">
      <c r="A27588" s="74">
        <v>32380</v>
      </c>
      <c r="B27588">
        <v>0.63600000000000001</v>
      </c>
    </row>
    <row r="27589" spans="1:3" x14ac:dyDescent="0.25">
      <c r="A27589" s="74">
        <v>32381</v>
      </c>
      <c r="B27589">
        <v>0.61599999999999999</v>
      </c>
    </row>
    <row r="27590" spans="1:3" x14ac:dyDescent="0.25">
      <c r="A27590" s="74">
        <v>32382</v>
      </c>
      <c r="B27590">
        <v>0.57299999999999995</v>
      </c>
    </row>
    <row r="27591" spans="1:3" x14ac:dyDescent="0.25">
      <c r="A27591" s="74">
        <v>32383</v>
      </c>
      <c r="B27591">
        <v>0.56499999999999995</v>
      </c>
    </row>
    <row r="27592" spans="1:3" x14ac:dyDescent="0.25">
      <c r="A27592" s="74">
        <v>32384</v>
      </c>
      <c r="B27592">
        <v>0.55000000000000004</v>
      </c>
      <c r="C27592" t="s">
        <v>140</v>
      </c>
    </row>
    <row r="27593" spans="1:3" x14ac:dyDescent="0.25">
      <c r="A27593" s="74">
        <v>32385</v>
      </c>
      <c r="B27593">
        <v>0.53</v>
      </c>
      <c r="C27593" t="s">
        <v>141</v>
      </c>
    </row>
    <row r="27594" spans="1:3" x14ac:dyDescent="0.25">
      <c r="A27594" s="74">
        <v>32386</v>
      </c>
      <c r="B27594">
        <v>0.51900000000000002</v>
      </c>
      <c r="C27594" t="s">
        <v>141</v>
      </c>
    </row>
    <row r="27595" spans="1:3" x14ac:dyDescent="0.25">
      <c r="A27595" s="74">
        <v>32387</v>
      </c>
      <c r="B27595">
        <v>0.505</v>
      </c>
      <c r="C27595" t="s">
        <v>141</v>
      </c>
    </row>
    <row r="27596" spans="1:3" x14ac:dyDescent="0.25">
      <c r="A27596" s="74">
        <v>32388</v>
      </c>
      <c r="B27596">
        <v>0.498</v>
      </c>
      <c r="C27596" t="s">
        <v>141</v>
      </c>
    </row>
    <row r="27597" spans="1:3" x14ac:dyDescent="0.25">
      <c r="A27597" s="74">
        <v>32389</v>
      </c>
      <c r="B27597">
        <v>0.47799999999999998</v>
      </c>
      <c r="C27597" t="s">
        <v>141</v>
      </c>
    </row>
    <row r="27598" spans="1:3" x14ac:dyDescent="0.25">
      <c r="A27598" s="74">
        <v>32390</v>
      </c>
      <c r="B27598">
        <v>0.46100000000000002</v>
      </c>
      <c r="C27598" t="s">
        <v>141</v>
      </c>
    </row>
    <row r="27599" spans="1:3" x14ac:dyDescent="0.25">
      <c r="A27599" s="74">
        <v>32391</v>
      </c>
      <c r="B27599">
        <v>0.441</v>
      </c>
      <c r="C27599" t="s">
        <v>141</v>
      </c>
    </row>
    <row r="27600" spans="1:3" x14ac:dyDescent="0.25">
      <c r="A27600" s="74">
        <v>32392</v>
      </c>
      <c r="B27600">
        <v>0.41799999999999998</v>
      </c>
      <c r="C27600" t="s">
        <v>141</v>
      </c>
    </row>
    <row r="27601" spans="1:2" x14ac:dyDescent="0.25">
      <c r="A27601" s="74">
        <v>32393</v>
      </c>
      <c r="B27601">
        <v>0.33600000000000002</v>
      </c>
    </row>
    <row r="27602" spans="1:2" x14ac:dyDescent="0.25">
      <c r="A27602" s="74">
        <v>32394</v>
      </c>
      <c r="B27602">
        <v>0.32600000000000001</v>
      </c>
    </row>
    <row r="27603" spans="1:2" x14ac:dyDescent="0.25">
      <c r="A27603" s="74">
        <v>32395</v>
      </c>
      <c r="B27603">
        <v>0.32900000000000001</v>
      </c>
    </row>
    <row r="27604" spans="1:2" x14ac:dyDescent="0.25">
      <c r="A27604" s="74">
        <v>32396</v>
      </c>
      <c r="B27604">
        <v>0.34899999999999998</v>
      </c>
    </row>
    <row r="27605" spans="1:2" x14ac:dyDescent="0.25">
      <c r="A27605" s="74">
        <v>32397</v>
      </c>
      <c r="B27605">
        <v>0.4</v>
      </c>
    </row>
    <row r="27606" spans="1:2" x14ac:dyDescent="0.25">
      <c r="A27606" s="74">
        <v>32398</v>
      </c>
      <c r="B27606">
        <v>0.371</v>
      </c>
    </row>
    <row r="27607" spans="1:2" x14ac:dyDescent="0.25">
      <c r="A27607" s="74">
        <v>32399</v>
      </c>
      <c r="B27607">
        <v>0.29499999999999998</v>
      </c>
    </row>
    <row r="27608" spans="1:2" x14ac:dyDescent="0.25">
      <c r="A27608" s="74">
        <v>32400</v>
      </c>
      <c r="B27608">
        <v>0.26800000000000002</v>
      </c>
    </row>
    <row r="27609" spans="1:2" x14ac:dyDescent="0.25">
      <c r="A27609" s="74">
        <v>32401</v>
      </c>
      <c r="B27609">
        <v>0.27700000000000002</v>
      </c>
    </row>
    <row r="27610" spans="1:2" x14ac:dyDescent="0.25">
      <c r="A27610" s="74">
        <v>32402</v>
      </c>
      <c r="B27610">
        <v>0.29299999999999998</v>
      </c>
    </row>
    <row r="27611" spans="1:2" x14ac:dyDescent="0.25">
      <c r="A27611" s="74">
        <v>32403</v>
      </c>
      <c r="B27611">
        <v>0.29499999999999998</v>
      </c>
    </row>
    <row r="27612" spans="1:2" x14ac:dyDescent="0.25">
      <c r="A27612" s="74">
        <v>32404</v>
      </c>
      <c r="B27612">
        <v>0.315</v>
      </c>
    </row>
    <row r="27613" spans="1:2" x14ac:dyDescent="0.25">
      <c r="A27613" s="74">
        <v>32405</v>
      </c>
      <c r="B27613">
        <v>0.32900000000000001</v>
      </c>
    </row>
    <row r="27614" spans="1:2" x14ac:dyDescent="0.25">
      <c r="A27614" s="74">
        <v>32406</v>
      </c>
      <c r="B27614">
        <v>0.34699999999999998</v>
      </c>
    </row>
    <row r="27615" spans="1:2" x14ac:dyDescent="0.25">
      <c r="A27615" s="74">
        <v>32407</v>
      </c>
      <c r="B27615">
        <v>0.33800000000000002</v>
      </c>
    </row>
    <row r="27616" spans="1:2" x14ac:dyDescent="0.25">
      <c r="A27616" s="74">
        <v>32408</v>
      </c>
      <c r="B27616">
        <v>0.32900000000000001</v>
      </c>
    </row>
    <row r="27617" spans="1:2" x14ac:dyDescent="0.25">
      <c r="A27617" s="74">
        <v>32409</v>
      </c>
      <c r="B27617">
        <v>0.42299999999999999</v>
      </c>
    </row>
    <row r="27618" spans="1:2" x14ac:dyDescent="0.25">
      <c r="A27618" s="74">
        <v>32410</v>
      </c>
      <c r="B27618">
        <v>0.59299999999999997</v>
      </c>
    </row>
    <row r="27619" spans="1:2" x14ac:dyDescent="0.25">
      <c r="A27619" s="74">
        <v>32411</v>
      </c>
      <c r="B27619">
        <v>1.42</v>
      </c>
    </row>
    <row r="27620" spans="1:2" x14ac:dyDescent="0.25">
      <c r="A27620" s="74">
        <v>32412</v>
      </c>
      <c r="B27620">
        <v>1.48</v>
      </c>
    </row>
    <row r="27621" spans="1:2" x14ac:dyDescent="0.25">
      <c r="A27621" s="74">
        <v>32413</v>
      </c>
      <c r="B27621">
        <v>2.59</v>
      </c>
    </row>
    <row r="27622" spans="1:2" x14ac:dyDescent="0.25">
      <c r="A27622" s="74">
        <v>32414</v>
      </c>
      <c r="B27622">
        <v>2.68</v>
      </c>
    </row>
    <row r="27623" spans="1:2" x14ac:dyDescent="0.25">
      <c r="A27623" s="74">
        <v>32415</v>
      </c>
      <c r="B27623">
        <v>2.09</v>
      </c>
    </row>
    <row r="27624" spans="1:2" x14ac:dyDescent="0.25">
      <c r="A27624" s="74">
        <v>32416</v>
      </c>
      <c r="B27624">
        <v>1.76</v>
      </c>
    </row>
    <row r="27625" spans="1:2" x14ac:dyDescent="0.25">
      <c r="A27625" s="74">
        <v>32417</v>
      </c>
      <c r="B27625">
        <v>1.55</v>
      </c>
    </row>
    <row r="27626" spans="1:2" x14ac:dyDescent="0.25">
      <c r="A27626" s="74">
        <v>32418</v>
      </c>
      <c r="B27626">
        <v>1.31</v>
      </c>
    </row>
    <row r="27627" spans="1:2" x14ac:dyDescent="0.25">
      <c r="A27627" s="74">
        <v>32419</v>
      </c>
      <c r="B27627">
        <v>1.17</v>
      </c>
    </row>
    <row r="27628" spans="1:2" x14ac:dyDescent="0.25">
      <c r="A27628" s="74">
        <v>32420</v>
      </c>
      <c r="B27628">
        <v>1.03</v>
      </c>
    </row>
    <row r="27629" spans="1:2" x14ac:dyDescent="0.25">
      <c r="A27629" s="74">
        <v>32421</v>
      </c>
      <c r="B27629">
        <v>1.31</v>
      </c>
    </row>
    <row r="27630" spans="1:2" x14ac:dyDescent="0.25">
      <c r="A27630" s="74">
        <v>32422</v>
      </c>
      <c r="B27630">
        <v>1.41</v>
      </c>
    </row>
    <row r="27631" spans="1:2" x14ac:dyDescent="0.25">
      <c r="A27631" s="74">
        <v>32423</v>
      </c>
      <c r="B27631">
        <v>1.29</v>
      </c>
    </row>
    <row r="27632" spans="1:2" x14ac:dyDescent="0.25">
      <c r="A27632" s="74">
        <v>32424</v>
      </c>
      <c r="B27632">
        <v>1.1399999999999999</v>
      </c>
    </row>
    <row r="27633" spans="1:2" x14ac:dyDescent="0.25">
      <c r="A27633" s="74">
        <v>32425</v>
      </c>
      <c r="B27633">
        <v>0.96</v>
      </c>
    </row>
    <row r="27634" spans="1:2" x14ac:dyDescent="0.25">
      <c r="A27634" s="74">
        <v>32426</v>
      </c>
      <c r="B27634">
        <v>1.02</v>
      </c>
    </row>
    <row r="27635" spans="1:2" x14ac:dyDescent="0.25">
      <c r="A27635" s="74">
        <v>32427</v>
      </c>
      <c r="B27635">
        <v>0.73099999999999998</v>
      </c>
    </row>
    <row r="27636" spans="1:2" x14ac:dyDescent="0.25">
      <c r="A27636" s="74">
        <v>32428</v>
      </c>
      <c r="B27636">
        <v>0.71499999999999997</v>
      </c>
    </row>
    <row r="27637" spans="1:2" x14ac:dyDescent="0.25">
      <c r="A27637" s="74">
        <v>32429</v>
      </c>
      <c r="B27637">
        <v>0.752</v>
      </c>
    </row>
    <row r="27638" spans="1:2" x14ac:dyDescent="0.25">
      <c r="A27638" s="74">
        <v>32430</v>
      </c>
      <c r="B27638">
        <v>0.82099999999999995</v>
      </c>
    </row>
    <row r="27639" spans="1:2" x14ac:dyDescent="0.25">
      <c r="A27639" s="74">
        <v>32431</v>
      </c>
      <c r="B27639">
        <v>1.0900000000000001</v>
      </c>
    </row>
    <row r="27640" spans="1:2" x14ac:dyDescent="0.25">
      <c r="A27640" s="74">
        <v>32432</v>
      </c>
      <c r="B27640">
        <v>2.77</v>
      </c>
    </row>
    <row r="27641" spans="1:2" x14ac:dyDescent="0.25">
      <c r="A27641" s="74">
        <v>32433</v>
      </c>
      <c r="B27641">
        <v>3.04</v>
      </c>
    </row>
    <row r="27642" spans="1:2" x14ac:dyDescent="0.25">
      <c r="A27642" s="74">
        <v>32434</v>
      </c>
      <c r="B27642">
        <v>2.62</v>
      </c>
    </row>
    <row r="27643" spans="1:2" x14ac:dyDescent="0.25">
      <c r="A27643" s="74">
        <v>32435</v>
      </c>
      <c r="B27643">
        <v>3.03</v>
      </c>
    </row>
    <row r="27644" spans="1:2" x14ac:dyDescent="0.25">
      <c r="A27644" s="74">
        <v>32436</v>
      </c>
      <c r="B27644">
        <v>3.09</v>
      </c>
    </row>
    <row r="27645" spans="1:2" x14ac:dyDescent="0.25">
      <c r="A27645" s="74">
        <v>32437</v>
      </c>
      <c r="B27645">
        <v>2.7</v>
      </c>
    </row>
    <row r="27646" spans="1:2" x14ac:dyDescent="0.25">
      <c r="A27646" s="74">
        <v>32438</v>
      </c>
      <c r="B27646">
        <v>2.73</v>
      </c>
    </row>
    <row r="27647" spans="1:2" x14ac:dyDescent="0.25">
      <c r="A27647" s="74">
        <v>32439</v>
      </c>
      <c r="B27647">
        <v>2.64</v>
      </c>
    </row>
    <row r="27648" spans="1:2" x14ac:dyDescent="0.25">
      <c r="A27648" s="74">
        <v>32440</v>
      </c>
      <c r="B27648">
        <v>2.4300000000000002</v>
      </c>
    </row>
    <row r="27649" spans="1:3" x14ac:dyDescent="0.25">
      <c r="A27649" s="74">
        <v>32441</v>
      </c>
      <c r="B27649">
        <v>2.15</v>
      </c>
    </row>
    <row r="27650" spans="1:3" x14ac:dyDescent="0.25">
      <c r="A27650" s="74">
        <v>32442</v>
      </c>
      <c r="B27650">
        <v>1.95</v>
      </c>
    </row>
    <row r="27651" spans="1:3" x14ac:dyDescent="0.25">
      <c r="A27651" s="74">
        <v>32443</v>
      </c>
      <c r="B27651">
        <v>1.79</v>
      </c>
    </row>
    <row r="27652" spans="1:3" x14ac:dyDescent="0.25">
      <c r="A27652" s="74">
        <v>32444</v>
      </c>
      <c r="B27652">
        <v>1.73</v>
      </c>
    </row>
    <row r="27653" spans="1:3" x14ac:dyDescent="0.25">
      <c r="A27653" s="74">
        <v>32445</v>
      </c>
      <c r="B27653">
        <v>1.63</v>
      </c>
    </row>
    <row r="27654" spans="1:3" x14ac:dyDescent="0.25">
      <c r="A27654" s="74">
        <v>32446</v>
      </c>
      <c r="B27654">
        <v>2.0499999999999998</v>
      </c>
    </row>
    <row r="27655" spans="1:3" x14ac:dyDescent="0.25">
      <c r="A27655" s="74">
        <v>32447</v>
      </c>
      <c r="B27655">
        <v>4.4800000000000004</v>
      </c>
    </row>
    <row r="27656" spans="1:3" x14ac:dyDescent="0.25">
      <c r="A27656" s="74">
        <v>32448</v>
      </c>
      <c r="B27656">
        <v>15.1</v>
      </c>
    </row>
    <row r="27657" spans="1:3" x14ac:dyDescent="0.25">
      <c r="A27657" s="74">
        <v>32449</v>
      </c>
      <c r="B27657">
        <v>23.3</v>
      </c>
      <c r="C27657" t="s">
        <v>140</v>
      </c>
    </row>
    <row r="27658" spans="1:3" x14ac:dyDescent="0.25">
      <c r="A27658" s="74">
        <v>32450</v>
      </c>
      <c r="B27658">
        <v>90</v>
      </c>
      <c r="C27658" t="s">
        <v>141</v>
      </c>
    </row>
    <row r="27659" spans="1:3" x14ac:dyDescent="0.25">
      <c r="A27659" s="74">
        <v>32451</v>
      </c>
      <c r="B27659">
        <v>24</v>
      </c>
      <c r="C27659" t="s">
        <v>141</v>
      </c>
    </row>
    <row r="27660" spans="1:3" x14ac:dyDescent="0.25">
      <c r="A27660" s="74">
        <v>32452</v>
      </c>
      <c r="B27660">
        <v>35.5</v>
      </c>
      <c r="C27660" t="s">
        <v>141</v>
      </c>
    </row>
    <row r="27661" spans="1:3" x14ac:dyDescent="0.25">
      <c r="A27661" s="74">
        <v>32453</v>
      </c>
      <c r="B27661">
        <v>60</v>
      </c>
      <c r="C27661" t="s">
        <v>141</v>
      </c>
    </row>
    <row r="27662" spans="1:3" x14ac:dyDescent="0.25">
      <c r="A27662" s="74">
        <v>32454</v>
      </c>
      <c r="B27662">
        <v>20</v>
      </c>
      <c r="C27662" t="s">
        <v>141</v>
      </c>
    </row>
    <row r="27663" spans="1:3" x14ac:dyDescent="0.25">
      <c r="A27663" s="74">
        <v>32455</v>
      </c>
      <c r="B27663">
        <v>15.5</v>
      </c>
      <c r="C27663" t="s">
        <v>141</v>
      </c>
    </row>
    <row r="27664" spans="1:3" x14ac:dyDescent="0.25">
      <c r="A27664" s="74">
        <v>32456</v>
      </c>
      <c r="B27664">
        <v>20.8</v>
      </c>
      <c r="C27664" t="s">
        <v>141</v>
      </c>
    </row>
    <row r="27665" spans="1:3" x14ac:dyDescent="0.25">
      <c r="A27665" s="74">
        <v>32457</v>
      </c>
      <c r="B27665">
        <v>21.2</v>
      </c>
      <c r="C27665" t="s">
        <v>141</v>
      </c>
    </row>
    <row r="27666" spans="1:3" x14ac:dyDescent="0.25">
      <c r="A27666" s="74">
        <v>32458</v>
      </c>
      <c r="B27666">
        <v>19</v>
      </c>
      <c r="C27666" t="s">
        <v>141</v>
      </c>
    </row>
    <row r="27667" spans="1:3" x14ac:dyDescent="0.25">
      <c r="A27667" s="74">
        <v>32459</v>
      </c>
      <c r="B27667">
        <v>17.2</v>
      </c>
      <c r="C27667" t="s">
        <v>141</v>
      </c>
    </row>
    <row r="27668" spans="1:3" x14ac:dyDescent="0.25">
      <c r="A27668" s="74">
        <v>32460</v>
      </c>
      <c r="B27668">
        <v>15.3</v>
      </c>
      <c r="C27668" t="s">
        <v>141</v>
      </c>
    </row>
    <row r="27669" spans="1:3" x14ac:dyDescent="0.25">
      <c r="A27669" s="74">
        <v>32461</v>
      </c>
      <c r="B27669">
        <v>13.9</v>
      </c>
      <c r="C27669" t="s">
        <v>141</v>
      </c>
    </row>
    <row r="27670" spans="1:3" x14ac:dyDescent="0.25">
      <c r="A27670" s="74">
        <v>32462</v>
      </c>
      <c r="B27670">
        <v>12.7</v>
      </c>
      <c r="C27670" t="s">
        <v>140</v>
      </c>
    </row>
    <row r="27671" spans="1:3" x14ac:dyDescent="0.25">
      <c r="A27671" s="74">
        <v>32463</v>
      </c>
      <c r="B27671">
        <v>10.7</v>
      </c>
    </row>
    <row r="27672" spans="1:3" x14ac:dyDescent="0.25">
      <c r="A27672" s="74">
        <v>32464</v>
      </c>
      <c r="B27672">
        <v>9.2799999999999994</v>
      </c>
    </row>
    <row r="27673" spans="1:3" x14ac:dyDescent="0.25">
      <c r="A27673" s="74">
        <v>32465</v>
      </c>
      <c r="B27673">
        <v>7.74</v>
      </c>
      <c r="C27673" t="s">
        <v>140</v>
      </c>
    </row>
    <row r="27674" spans="1:3" x14ac:dyDescent="0.25">
      <c r="A27674" s="74">
        <v>32466</v>
      </c>
      <c r="B27674">
        <v>31.5</v>
      </c>
      <c r="C27674" t="s">
        <v>141</v>
      </c>
    </row>
    <row r="27675" spans="1:3" x14ac:dyDescent="0.25">
      <c r="A27675" s="74">
        <v>32467</v>
      </c>
      <c r="B27675">
        <v>27.3</v>
      </c>
      <c r="C27675" t="s">
        <v>141</v>
      </c>
    </row>
    <row r="27676" spans="1:3" x14ac:dyDescent="0.25">
      <c r="A27676" s="74">
        <v>32468</v>
      </c>
      <c r="B27676">
        <v>18.899999999999999</v>
      </c>
      <c r="C27676" t="s">
        <v>141</v>
      </c>
    </row>
    <row r="27677" spans="1:3" x14ac:dyDescent="0.25">
      <c r="A27677" s="74">
        <v>32469</v>
      </c>
      <c r="B27677">
        <v>26.9</v>
      </c>
      <c r="C27677" t="s">
        <v>141</v>
      </c>
    </row>
    <row r="27678" spans="1:3" x14ac:dyDescent="0.25">
      <c r="A27678" s="74">
        <v>32470</v>
      </c>
      <c r="B27678">
        <v>56.8</v>
      </c>
      <c r="C27678" t="s">
        <v>140</v>
      </c>
    </row>
    <row r="27679" spans="1:3" x14ac:dyDescent="0.25">
      <c r="A27679" s="74">
        <v>32471</v>
      </c>
      <c r="B27679">
        <v>34</v>
      </c>
      <c r="C27679" t="s">
        <v>141</v>
      </c>
    </row>
    <row r="27680" spans="1:3" x14ac:dyDescent="0.25">
      <c r="A27680" s="74">
        <v>32472</v>
      </c>
      <c r="B27680">
        <v>21.8</v>
      </c>
      <c r="C27680" t="s">
        <v>140</v>
      </c>
    </row>
    <row r="27681" spans="1:2" x14ac:dyDescent="0.25">
      <c r="A27681" s="74">
        <v>32473</v>
      </c>
      <c r="B27681">
        <v>16.8</v>
      </c>
    </row>
    <row r="27682" spans="1:2" x14ac:dyDescent="0.25">
      <c r="A27682" s="74">
        <v>32474</v>
      </c>
      <c r="B27682">
        <v>16.5</v>
      </c>
    </row>
    <row r="27683" spans="1:2" x14ac:dyDescent="0.25">
      <c r="A27683" s="74">
        <v>32475</v>
      </c>
      <c r="B27683">
        <v>19.3</v>
      </c>
    </row>
    <row r="27684" spans="1:2" x14ac:dyDescent="0.25">
      <c r="A27684" s="74">
        <v>32476</v>
      </c>
      <c r="B27684">
        <v>16.7</v>
      </c>
    </row>
    <row r="27685" spans="1:2" x14ac:dyDescent="0.25">
      <c r="A27685" s="74">
        <v>32477</v>
      </c>
      <c r="B27685">
        <v>14.5</v>
      </c>
    </row>
    <row r="27686" spans="1:2" x14ac:dyDescent="0.25">
      <c r="A27686" s="74">
        <v>32478</v>
      </c>
      <c r="B27686">
        <v>12.7</v>
      </c>
    </row>
    <row r="27687" spans="1:2" x14ac:dyDescent="0.25">
      <c r="A27687" s="74">
        <v>32479</v>
      </c>
      <c r="B27687">
        <v>24.5</v>
      </c>
    </row>
    <row r="27688" spans="1:2" x14ac:dyDescent="0.25">
      <c r="A27688" s="74">
        <v>32480</v>
      </c>
      <c r="B27688">
        <v>18.7</v>
      </c>
    </row>
    <row r="27689" spans="1:2" x14ac:dyDescent="0.25">
      <c r="A27689" s="74">
        <v>32481</v>
      </c>
      <c r="B27689">
        <v>15.5</v>
      </c>
    </row>
    <row r="27690" spans="1:2" x14ac:dyDescent="0.25">
      <c r="A27690" s="74">
        <v>32482</v>
      </c>
      <c r="B27690">
        <v>16.600000000000001</v>
      </c>
    </row>
    <row r="27691" spans="1:2" x14ac:dyDescent="0.25">
      <c r="A27691" s="74">
        <v>32483</v>
      </c>
      <c r="B27691">
        <v>21.8</v>
      </c>
    </row>
    <row r="27692" spans="1:2" x14ac:dyDescent="0.25">
      <c r="A27692" s="74">
        <v>32484</v>
      </c>
      <c r="B27692">
        <v>21.8</v>
      </c>
    </row>
    <row r="27693" spans="1:2" x14ac:dyDescent="0.25">
      <c r="A27693" s="74">
        <v>32485</v>
      </c>
      <c r="B27693">
        <v>17.100000000000001</v>
      </c>
    </row>
    <row r="27694" spans="1:2" x14ac:dyDescent="0.25">
      <c r="A27694" s="74">
        <v>32486</v>
      </c>
      <c r="B27694">
        <v>14.8</v>
      </c>
    </row>
    <row r="27695" spans="1:2" x14ac:dyDescent="0.25">
      <c r="A27695" s="74">
        <v>32487</v>
      </c>
      <c r="B27695">
        <v>12.6</v>
      </c>
    </row>
    <row r="27696" spans="1:2" x14ac:dyDescent="0.25">
      <c r="A27696" s="74">
        <v>32488</v>
      </c>
      <c r="B27696">
        <v>11.9</v>
      </c>
    </row>
    <row r="27697" spans="1:3" x14ac:dyDescent="0.25">
      <c r="A27697" s="74">
        <v>32489</v>
      </c>
      <c r="B27697">
        <v>33.200000000000003</v>
      </c>
    </row>
    <row r="27698" spans="1:3" x14ac:dyDescent="0.25">
      <c r="A27698" s="74">
        <v>32490</v>
      </c>
      <c r="B27698">
        <v>64.8</v>
      </c>
    </row>
    <row r="27699" spans="1:3" x14ac:dyDescent="0.25">
      <c r="A27699" s="74">
        <v>32491</v>
      </c>
      <c r="B27699">
        <v>31.1</v>
      </c>
    </row>
    <row r="27700" spans="1:3" x14ac:dyDescent="0.25">
      <c r="A27700" s="74">
        <v>32492</v>
      </c>
      <c r="B27700">
        <v>20.2</v>
      </c>
      <c r="C27700" t="s">
        <v>140</v>
      </c>
    </row>
    <row r="27701" spans="1:3" x14ac:dyDescent="0.25">
      <c r="A27701" s="74">
        <v>32493</v>
      </c>
      <c r="B27701">
        <v>16.5</v>
      </c>
    </row>
    <row r="27702" spans="1:3" x14ac:dyDescent="0.25">
      <c r="A27702" s="74">
        <v>32494</v>
      </c>
      <c r="B27702">
        <v>13.6</v>
      </c>
    </row>
    <row r="27703" spans="1:3" x14ac:dyDescent="0.25">
      <c r="A27703" s="74">
        <v>32495</v>
      </c>
      <c r="B27703">
        <v>11.7</v>
      </c>
    </row>
    <row r="27704" spans="1:3" x14ac:dyDescent="0.25">
      <c r="A27704" s="74">
        <v>32496</v>
      </c>
      <c r="B27704">
        <v>11</v>
      </c>
    </row>
    <row r="27705" spans="1:3" x14ac:dyDescent="0.25">
      <c r="A27705" s="74">
        <v>32497</v>
      </c>
      <c r="B27705">
        <v>10</v>
      </c>
    </row>
    <row r="27706" spans="1:3" x14ac:dyDescent="0.25">
      <c r="A27706" s="74">
        <v>32498</v>
      </c>
      <c r="B27706">
        <v>9.6</v>
      </c>
    </row>
    <row r="27707" spans="1:3" x14ac:dyDescent="0.25">
      <c r="A27707" s="74">
        <v>32499</v>
      </c>
      <c r="B27707">
        <v>8.9499999999999993</v>
      </c>
    </row>
    <row r="27708" spans="1:3" x14ac:dyDescent="0.25">
      <c r="A27708" s="74">
        <v>32500</v>
      </c>
      <c r="B27708">
        <v>8.58</v>
      </c>
    </row>
    <row r="27709" spans="1:3" x14ac:dyDescent="0.25">
      <c r="A27709" s="74">
        <v>32501</v>
      </c>
      <c r="B27709">
        <v>7.98</v>
      </c>
    </row>
    <row r="27710" spans="1:3" x14ac:dyDescent="0.25">
      <c r="A27710" s="74">
        <v>32502</v>
      </c>
      <c r="B27710">
        <v>7.65</v>
      </c>
    </row>
    <row r="27711" spans="1:3" x14ac:dyDescent="0.25">
      <c r="A27711" s="74">
        <v>32503</v>
      </c>
      <c r="B27711">
        <v>6.57</v>
      </c>
    </row>
    <row r="27712" spans="1:3" x14ac:dyDescent="0.25">
      <c r="A27712" s="74">
        <v>32504</v>
      </c>
      <c r="B27712">
        <v>6.25</v>
      </c>
    </row>
    <row r="27713" spans="1:2" x14ac:dyDescent="0.25">
      <c r="A27713" s="74">
        <v>32505</v>
      </c>
      <c r="B27713">
        <v>5.91</v>
      </c>
    </row>
    <row r="27714" spans="1:2" x14ac:dyDescent="0.25">
      <c r="A27714" s="74">
        <v>32506</v>
      </c>
      <c r="B27714">
        <v>5.91</v>
      </c>
    </row>
    <row r="27715" spans="1:2" x14ac:dyDescent="0.25">
      <c r="A27715" s="74">
        <v>32507</v>
      </c>
      <c r="B27715">
        <v>25.6</v>
      </c>
    </row>
    <row r="27716" spans="1:2" x14ac:dyDescent="0.25">
      <c r="A27716" s="74">
        <v>32508</v>
      </c>
      <c r="B27716">
        <v>22.7</v>
      </c>
    </row>
    <row r="27717" spans="1:2" x14ac:dyDescent="0.25">
      <c r="A27717" s="74">
        <v>32509</v>
      </c>
      <c r="B27717">
        <v>16</v>
      </c>
    </row>
    <row r="27718" spans="1:2" x14ac:dyDescent="0.25">
      <c r="A27718" s="74">
        <v>32510</v>
      </c>
      <c r="B27718">
        <v>13.2</v>
      </c>
    </row>
    <row r="27719" spans="1:2" x14ac:dyDescent="0.25">
      <c r="A27719" s="74">
        <v>32511</v>
      </c>
      <c r="B27719">
        <v>36.299999999999997</v>
      </c>
    </row>
    <row r="27720" spans="1:2" x14ac:dyDescent="0.25">
      <c r="A27720" s="74">
        <v>32512</v>
      </c>
      <c r="B27720">
        <v>42.5</v>
      </c>
    </row>
    <row r="27721" spans="1:2" x14ac:dyDescent="0.25">
      <c r="A27721" s="74">
        <v>32513</v>
      </c>
      <c r="B27721">
        <v>25.5</v>
      </c>
    </row>
    <row r="27722" spans="1:2" x14ac:dyDescent="0.25">
      <c r="A27722" s="74">
        <v>32514</v>
      </c>
      <c r="B27722">
        <v>17.5</v>
      </c>
    </row>
    <row r="27723" spans="1:2" x14ac:dyDescent="0.25">
      <c r="A27723" s="74">
        <v>32515</v>
      </c>
      <c r="B27723">
        <v>13.5</v>
      </c>
    </row>
    <row r="27724" spans="1:2" x14ac:dyDescent="0.25">
      <c r="A27724" s="74">
        <v>32516</v>
      </c>
      <c r="B27724">
        <v>10.8</v>
      </c>
    </row>
    <row r="27725" spans="1:2" x14ac:dyDescent="0.25">
      <c r="A27725" s="74">
        <v>32517</v>
      </c>
      <c r="B27725">
        <v>9.51</v>
      </c>
    </row>
    <row r="27726" spans="1:2" x14ac:dyDescent="0.25">
      <c r="A27726" s="74">
        <v>32518</v>
      </c>
      <c r="B27726">
        <v>8.65</v>
      </c>
    </row>
    <row r="27727" spans="1:2" x14ac:dyDescent="0.25">
      <c r="A27727" s="74">
        <v>32519</v>
      </c>
      <c r="B27727">
        <v>7.58</v>
      </c>
    </row>
    <row r="27728" spans="1:2" x14ac:dyDescent="0.25">
      <c r="A27728" s="74">
        <v>32520</v>
      </c>
      <c r="B27728">
        <v>8.52</v>
      </c>
    </row>
    <row r="27729" spans="1:2" x14ac:dyDescent="0.25">
      <c r="A27729" s="74">
        <v>32521</v>
      </c>
      <c r="B27729">
        <v>26.1</v>
      </c>
    </row>
    <row r="27730" spans="1:2" x14ac:dyDescent="0.25">
      <c r="A27730" s="74">
        <v>32522</v>
      </c>
      <c r="B27730">
        <v>17.3</v>
      </c>
    </row>
    <row r="27731" spans="1:2" x14ac:dyDescent="0.25">
      <c r="A27731" s="74">
        <v>32523</v>
      </c>
      <c r="B27731">
        <v>13.1</v>
      </c>
    </row>
    <row r="27732" spans="1:2" x14ac:dyDescent="0.25">
      <c r="A27732" s="74">
        <v>32524</v>
      </c>
      <c r="B27732">
        <v>24.1</v>
      </c>
    </row>
    <row r="27733" spans="1:2" x14ac:dyDescent="0.25">
      <c r="A27733" s="74">
        <v>32525</v>
      </c>
      <c r="B27733">
        <v>43.3</v>
      </c>
    </row>
    <row r="27734" spans="1:2" x14ac:dyDescent="0.25">
      <c r="A27734" s="74">
        <v>32526</v>
      </c>
      <c r="B27734">
        <v>36.200000000000003</v>
      </c>
    </row>
    <row r="27735" spans="1:2" x14ac:dyDescent="0.25">
      <c r="A27735" s="74">
        <v>32527</v>
      </c>
      <c r="B27735">
        <v>23.3</v>
      </c>
    </row>
    <row r="27736" spans="1:2" x14ac:dyDescent="0.25">
      <c r="A27736" s="74">
        <v>32528</v>
      </c>
      <c r="B27736">
        <v>16.7</v>
      </c>
    </row>
    <row r="27737" spans="1:2" x14ac:dyDescent="0.25">
      <c r="A27737" s="74">
        <v>32529</v>
      </c>
      <c r="B27737">
        <v>14.3</v>
      </c>
    </row>
    <row r="27738" spans="1:2" x14ac:dyDescent="0.25">
      <c r="A27738" s="74">
        <v>32530</v>
      </c>
      <c r="B27738">
        <v>11.8</v>
      </c>
    </row>
    <row r="27739" spans="1:2" x14ac:dyDescent="0.25">
      <c r="A27739" s="74">
        <v>32531</v>
      </c>
      <c r="B27739">
        <v>9.83</v>
      </c>
    </row>
    <row r="27740" spans="1:2" x14ac:dyDescent="0.25">
      <c r="A27740" s="74">
        <v>32532</v>
      </c>
      <c r="B27740">
        <v>8.77</v>
      </c>
    </row>
    <row r="27741" spans="1:2" x14ac:dyDescent="0.25">
      <c r="A27741" s="74">
        <v>32533</v>
      </c>
      <c r="B27741">
        <v>7.67</v>
      </c>
    </row>
    <row r="27742" spans="1:2" x14ac:dyDescent="0.25">
      <c r="A27742" s="74">
        <v>32534</v>
      </c>
      <c r="B27742">
        <v>6.92</v>
      </c>
    </row>
    <row r="27743" spans="1:2" x14ac:dyDescent="0.25">
      <c r="A27743" s="74">
        <v>32535</v>
      </c>
      <c r="B27743">
        <v>8.1300000000000008</v>
      </c>
    </row>
    <row r="27744" spans="1:2" x14ac:dyDescent="0.25">
      <c r="A27744" s="74">
        <v>32536</v>
      </c>
      <c r="B27744">
        <v>7.41</v>
      </c>
    </row>
    <row r="27745" spans="1:3" x14ac:dyDescent="0.25">
      <c r="A27745" s="74">
        <v>32537</v>
      </c>
      <c r="B27745">
        <v>7.34</v>
      </c>
    </row>
    <row r="27746" spans="1:3" x14ac:dyDescent="0.25">
      <c r="A27746" s="74">
        <v>32538</v>
      </c>
      <c r="B27746">
        <v>35.700000000000003</v>
      </c>
    </row>
    <row r="27747" spans="1:3" x14ac:dyDescent="0.25">
      <c r="A27747" s="74">
        <v>32539</v>
      </c>
      <c r="B27747">
        <v>40.200000000000003</v>
      </c>
    </row>
    <row r="27748" spans="1:3" x14ac:dyDescent="0.25">
      <c r="A27748" s="74">
        <v>32540</v>
      </c>
      <c r="B27748">
        <v>16.100000000000001</v>
      </c>
      <c r="C27748" t="s">
        <v>142</v>
      </c>
    </row>
    <row r="27749" spans="1:3" x14ac:dyDescent="0.25">
      <c r="A27749" s="74">
        <v>32541</v>
      </c>
      <c r="B27749">
        <v>14.2</v>
      </c>
      <c r="C27749" t="s">
        <v>142</v>
      </c>
    </row>
    <row r="27750" spans="1:3" x14ac:dyDescent="0.25">
      <c r="A27750" s="74">
        <v>32542</v>
      </c>
      <c r="B27750">
        <v>11</v>
      </c>
      <c r="C27750" t="s">
        <v>142</v>
      </c>
    </row>
    <row r="27751" spans="1:3" x14ac:dyDescent="0.25">
      <c r="A27751" s="74">
        <v>32543</v>
      </c>
      <c r="B27751">
        <v>9.9</v>
      </c>
      <c r="C27751" t="s">
        <v>142</v>
      </c>
    </row>
    <row r="27752" spans="1:3" x14ac:dyDescent="0.25">
      <c r="A27752" s="74">
        <v>32544</v>
      </c>
      <c r="B27752">
        <v>8.9</v>
      </c>
      <c r="C27752" t="s">
        <v>142</v>
      </c>
    </row>
    <row r="27753" spans="1:3" x14ac:dyDescent="0.25">
      <c r="A27753" s="74">
        <v>32545</v>
      </c>
      <c r="B27753">
        <v>7.41</v>
      </c>
      <c r="C27753" t="s">
        <v>142</v>
      </c>
    </row>
    <row r="27754" spans="1:3" x14ac:dyDescent="0.25">
      <c r="A27754" s="74">
        <v>32546</v>
      </c>
      <c r="B27754">
        <v>6.95</v>
      </c>
      <c r="C27754" t="s">
        <v>142</v>
      </c>
    </row>
    <row r="27755" spans="1:3" x14ac:dyDescent="0.25">
      <c r="A27755" s="74">
        <v>32547</v>
      </c>
      <c r="B27755">
        <v>6.41</v>
      </c>
      <c r="C27755" t="s">
        <v>142</v>
      </c>
    </row>
    <row r="27756" spans="1:3" x14ac:dyDescent="0.25">
      <c r="A27756" s="74">
        <v>32548</v>
      </c>
      <c r="B27756">
        <v>5.95</v>
      </c>
      <c r="C27756" t="s">
        <v>142</v>
      </c>
    </row>
    <row r="27757" spans="1:3" x14ac:dyDescent="0.25">
      <c r="A27757" s="74">
        <v>32549</v>
      </c>
      <c r="B27757">
        <v>5.6</v>
      </c>
      <c r="C27757" t="s">
        <v>142</v>
      </c>
    </row>
    <row r="27758" spans="1:3" x14ac:dyDescent="0.25">
      <c r="A27758" s="74">
        <v>32550</v>
      </c>
      <c r="B27758">
        <v>5.4</v>
      </c>
      <c r="C27758" t="s">
        <v>142</v>
      </c>
    </row>
    <row r="27759" spans="1:3" x14ac:dyDescent="0.25">
      <c r="A27759" s="74">
        <v>32551</v>
      </c>
      <c r="B27759">
        <v>5.05</v>
      </c>
      <c r="C27759" t="s">
        <v>142</v>
      </c>
    </row>
    <row r="27760" spans="1:3" x14ac:dyDescent="0.25">
      <c r="A27760" s="74">
        <v>32552</v>
      </c>
      <c r="B27760">
        <v>4.8099999999999996</v>
      </c>
    </row>
    <row r="27761" spans="1:2" x14ac:dyDescent="0.25">
      <c r="A27761" s="74">
        <v>32553</v>
      </c>
      <c r="B27761">
        <v>4.54</v>
      </c>
    </row>
    <row r="27762" spans="1:2" x14ac:dyDescent="0.25">
      <c r="A27762" s="74">
        <v>32554</v>
      </c>
      <c r="B27762">
        <v>4.2300000000000004</v>
      </c>
    </row>
    <row r="27763" spans="1:2" x14ac:dyDescent="0.25">
      <c r="A27763" s="74">
        <v>32555</v>
      </c>
      <c r="B27763">
        <v>4.09</v>
      </c>
    </row>
    <row r="27764" spans="1:2" x14ac:dyDescent="0.25">
      <c r="A27764" s="74">
        <v>32556</v>
      </c>
      <c r="B27764">
        <v>4.04</v>
      </c>
    </row>
    <row r="27765" spans="1:2" x14ac:dyDescent="0.25">
      <c r="A27765" s="74">
        <v>32557</v>
      </c>
      <c r="B27765">
        <v>4.22</v>
      </c>
    </row>
    <row r="27766" spans="1:2" x14ac:dyDescent="0.25">
      <c r="A27766" s="74">
        <v>32558</v>
      </c>
      <c r="B27766">
        <v>4.3</v>
      </c>
    </row>
    <row r="27767" spans="1:2" x14ac:dyDescent="0.25">
      <c r="A27767" s="74">
        <v>32559</v>
      </c>
      <c r="B27767">
        <v>4.66</v>
      </c>
    </row>
    <row r="27768" spans="1:2" x14ac:dyDescent="0.25">
      <c r="A27768" s="74">
        <v>32560</v>
      </c>
      <c r="B27768">
        <v>5.07</v>
      </c>
    </row>
    <row r="27769" spans="1:2" x14ac:dyDescent="0.25">
      <c r="A27769" s="74">
        <v>32561</v>
      </c>
      <c r="B27769">
        <v>25.5</v>
      </c>
    </row>
    <row r="27770" spans="1:2" x14ac:dyDescent="0.25">
      <c r="A27770" s="74">
        <v>32562</v>
      </c>
      <c r="B27770">
        <v>35.6</v>
      </c>
    </row>
    <row r="27771" spans="1:2" x14ac:dyDescent="0.25">
      <c r="A27771" s="74">
        <v>32563</v>
      </c>
      <c r="B27771">
        <v>25.2</v>
      </c>
    </row>
    <row r="27772" spans="1:2" x14ac:dyDescent="0.25">
      <c r="A27772" s="74">
        <v>32564</v>
      </c>
      <c r="B27772">
        <v>17.8</v>
      </c>
    </row>
    <row r="27773" spans="1:2" x14ac:dyDescent="0.25">
      <c r="A27773" s="74">
        <v>32565</v>
      </c>
      <c r="B27773">
        <v>13.4</v>
      </c>
    </row>
    <row r="27774" spans="1:2" x14ac:dyDescent="0.25">
      <c r="A27774" s="74">
        <v>32566</v>
      </c>
      <c r="B27774">
        <v>10.8</v>
      </c>
    </row>
    <row r="27775" spans="1:2" x14ac:dyDescent="0.25">
      <c r="A27775" s="74">
        <v>32567</v>
      </c>
      <c r="B27775">
        <v>9.8699999999999992</v>
      </c>
    </row>
    <row r="27776" spans="1:2" x14ac:dyDescent="0.25">
      <c r="A27776" s="74">
        <v>32568</v>
      </c>
      <c r="B27776">
        <v>9.08</v>
      </c>
    </row>
    <row r="27777" spans="1:2" x14ac:dyDescent="0.25">
      <c r="A27777" s="74">
        <v>32569</v>
      </c>
      <c r="B27777">
        <v>8.07</v>
      </c>
    </row>
    <row r="27778" spans="1:2" x14ac:dyDescent="0.25">
      <c r="A27778" s="74">
        <v>32570</v>
      </c>
      <c r="B27778">
        <v>6.86</v>
      </c>
    </row>
    <row r="27779" spans="1:2" x14ac:dyDescent="0.25">
      <c r="A27779" s="74">
        <v>32571</v>
      </c>
      <c r="B27779">
        <v>6.55</v>
      </c>
    </row>
    <row r="27780" spans="1:2" x14ac:dyDescent="0.25">
      <c r="A27780" s="74">
        <v>32572</v>
      </c>
      <c r="B27780">
        <v>7.66</v>
      </c>
    </row>
    <row r="27781" spans="1:2" x14ac:dyDescent="0.25">
      <c r="A27781" s="74">
        <v>32573</v>
      </c>
      <c r="B27781">
        <v>13.3</v>
      </c>
    </row>
    <row r="27782" spans="1:2" x14ac:dyDescent="0.25">
      <c r="A27782" s="74">
        <v>32574</v>
      </c>
      <c r="B27782">
        <v>13.5</v>
      </c>
    </row>
    <row r="27783" spans="1:2" x14ac:dyDescent="0.25">
      <c r="A27783" s="74">
        <v>32575</v>
      </c>
      <c r="B27783">
        <v>13.2</v>
      </c>
    </row>
    <row r="27784" spans="1:2" x14ac:dyDescent="0.25">
      <c r="A27784" s="74">
        <v>32576</v>
      </c>
      <c r="B27784">
        <v>14.2</v>
      </c>
    </row>
    <row r="27785" spans="1:2" x14ac:dyDescent="0.25">
      <c r="A27785" s="74">
        <v>32577</v>
      </c>
      <c r="B27785">
        <v>27.6</v>
      </c>
    </row>
    <row r="27786" spans="1:2" x14ac:dyDescent="0.25">
      <c r="A27786" s="74">
        <v>32578</v>
      </c>
      <c r="B27786">
        <v>40.6</v>
      </c>
    </row>
    <row r="27787" spans="1:2" x14ac:dyDescent="0.25">
      <c r="A27787" s="74">
        <v>32579</v>
      </c>
      <c r="B27787">
        <v>43.7</v>
      </c>
    </row>
    <row r="27788" spans="1:2" x14ac:dyDescent="0.25">
      <c r="A27788" s="74">
        <v>32580</v>
      </c>
      <c r="B27788">
        <v>31</v>
      </c>
    </row>
    <row r="27789" spans="1:2" x14ac:dyDescent="0.25">
      <c r="A27789" s="74">
        <v>32581</v>
      </c>
      <c r="B27789">
        <v>21.8</v>
      </c>
    </row>
    <row r="27790" spans="1:2" x14ac:dyDescent="0.25">
      <c r="A27790" s="74">
        <v>32582</v>
      </c>
      <c r="B27790">
        <v>16.5</v>
      </c>
    </row>
    <row r="27791" spans="1:2" x14ac:dyDescent="0.25">
      <c r="A27791" s="74">
        <v>32583</v>
      </c>
      <c r="B27791">
        <v>14</v>
      </c>
    </row>
    <row r="27792" spans="1:2" x14ac:dyDescent="0.25">
      <c r="A27792" s="74">
        <v>32584</v>
      </c>
      <c r="B27792">
        <v>12.9</v>
      </c>
    </row>
    <row r="27793" spans="1:2" x14ac:dyDescent="0.25">
      <c r="A27793" s="74">
        <v>32585</v>
      </c>
      <c r="B27793">
        <v>11.4</v>
      </c>
    </row>
    <row r="27794" spans="1:2" x14ac:dyDescent="0.25">
      <c r="A27794" s="74">
        <v>32586</v>
      </c>
      <c r="B27794">
        <v>10.6</v>
      </c>
    </row>
    <row r="27795" spans="1:2" x14ac:dyDescent="0.25">
      <c r="A27795" s="74">
        <v>32587</v>
      </c>
      <c r="B27795">
        <v>9.94</v>
      </c>
    </row>
    <row r="27796" spans="1:2" x14ac:dyDescent="0.25">
      <c r="A27796" s="74">
        <v>32588</v>
      </c>
      <c r="B27796">
        <v>11.6</v>
      </c>
    </row>
    <row r="27797" spans="1:2" x14ac:dyDescent="0.25">
      <c r="A27797" s="74">
        <v>32589</v>
      </c>
      <c r="B27797">
        <v>13.3</v>
      </c>
    </row>
    <row r="27798" spans="1:2" x14ac:dyDescent="0.25">
      <c r="A27798" s="74">
        <v>32590</v>
      </c>
      <c r="B27798">
        <v>11.4</v>
      </c>
    </row>
    <row r="27799" spans="1:2" x14ac:dyDescent="0.25">
      <c r="A27799" s="74">
        <v>32591</v>
      </c>
      <c r="B27799">
        <v>10.4</v>
      </c>
    </row>
    <row r="27800" spans="1:2" x14ac:dyDescent="0.25">
      <c r="A27800" s="74">
        <v>32592</v>
      </c>
      <c r="B27800">
        <v>9.91</v>
      </c>
    </row>
    <row r="27801" spans="1:2" x14ac:dyDescent="0.25">
      <c r="A27801" s="74">
        <v>32593</v>
      </c>
      <c r="B27801">
        <v>9.9</v>
      </c>
    </row>
    <row r="27802" spans="1:2" x14ac:dyDescent="0.25">
      <c r="A27802" s="74">
        <v>32594</v>
      </c>
      <c r="B27802">
        <v>13.2</v>
      </c>
    </row>
    <row r="27803" spans="1:2" x14ac:dyDescent="0.25">
      <c r="A27803" s="74">
        <v>32595</v>
      </c>
      <c r="B27803">
        <v>16.399999999999999</v>
      </c>
    </row>
    <row r="27804" spans="1:2" x14ac:dyDescent="0.25">
      <c r="A27804" s="74">
        <v>32596</v>
      </c>
      <c r="B27804">
        <v>13.6</v>
      </c>
    </row>
    <row r="27805" spans="1:2" x14ac:dyDescent="0.25">
      <c r="A27805" s="74">
        <v>32597</v>
      </c>
      <c r="B27805">
        <v>11.1</v>
      </c>
    </row>
    <row r="27806" spans="1:2" x14ac:dyDescent="0.25">
      <c r="A27806" s="74">
        <v>32598</v>
      </c>
      <c r="B27806">
        <v>11.7</v>
      </c>
    </row>
    <row r="27807" spans="1:2" x14ac:dyDescent="0.25">
      <c r="A27807" s="74">
        <v>32599</v>
      </c>
      <c r="B27807">
        <v>12.6</v>
      </c>
    </row>
    <row r="27808" spans="1:2" x14ac:dyDescent="0.25">
      <c r="A27808" s="74">
        <v>32600</v>
      </c>
      <c r="B27808">
        <v>15.3</v>
      </c>
    </row>
    <row r="27809" spans="1:2" x14ac:dyDescent="0.25">
      <c r="A27809" s="74">
        <v>32601</v>
      </c>
      <c r="B27809">
        <v>13.4</v>
      </c>
    </row>
    <row r="27810" spans="1:2" x14ac:dyDescent="0.25">
      <c r="A27810" s="74">
        <v>32602</v>
      </c>
      <c r="B27810">
        <v>12.6</v>
      </c>
    </row>
    <row r="27811" spans="1:2" x14ac:dyDescent="0.25">
      <c r="A27811" s="74">
        <v>32603</v>
      </c>
      <c r="B27811">
        <v>18.100000000000001</v>
      </c>
    </row>
    <row r="27812" spans="1:2" x14ac:dyDescent="0.25">
      <c r="A27812" s="74">
        <v>32604</v>
      </c>
      <c r="B27812">
        <v>37.4</v>
      </c>
    </row>
    <row r="27813" spans="1:2" x14ac:dyDescent="0.25">
      <c r="A27813" s="74">
        <v>32605</v>
      </c>
      <c r="B27813">
        <v>39</v>
      </c>
    </row>
    <row r="27814" spans="1:2" x14ac:dyDescent="0.25">
      <c r="A27814" s="74">
        <v>32606</v>
      </c>
      <c r="B27814">
        <v>24.3</v>
      </c>
    </row>
    <row r="27815" spans="1:2" x14ac:dyDescent="0.25">
      <c r="A27815" s="74">
        <v>32607</v>
      </c>
      <c r="B27815">
        <v>18.600000000000001</v>
      </c>
    </row>
    <row r="27816" spans="1:2" x14ac:dyDescent="0.25">
      <c r="A27816" s="74">
        <v>32608</v>
      </c>
      <c r="B27816">
        <v>16.3</v>
      </c>
    </row>
    <row r="27817" spans="1:2" x14ac:dyDescent="0.25">
      <c r="A27817" s="74">
        <v>32609</v>
      </c>
      <c r="B27817">
        <v>15.7</v>
      </c>
    </row>
    <row r="27818" spans="1:2" x14ac:dyDescent="0.25">
      <c r="A27818" s="74">
        <v>32610</v>
      </c>
      <c r="B27818">
        <v>15.9</v>
      </c>
    </row>
    <row r="27819" spans="1:2" x14ac:dyDescent="0.25">
      <c r="A27819" s="74">
        <v>32611</v>
      </c>
      <c r="B27819">
        <v>16.100000000000001</v>
      </c>
    </row>
    <row r="27820" spans="1:2" x14ac:dyDescent="0.25">
      <c r="A27820" s="74">
        <v>32612</v>
      </c>
      <c r="B27820">
        <v>19.2</v>
      </c>
    </row>
    <row r="27821" spans="1:2" x14ac:dyDescent="0.25">
      <c r="A27821" s="74">
        <v>32613</v>
      </c>
      <c r="B27821">
        <v>20.3</v>
      </c>
    </row>
    <row r="27822" spans="1:2" x14ac:dyDescent="0.25">
      <c r="A27822" s="74">
        <v>32614</v>
      </c>
      <c r="B27822">
        <v>16.100000000000001</v>
      </c>
    </row>
    <row r="27823" spans="1:2" x14ac:dyDescent="0.25">
      <c r="A27823" s="74">
        <v>32615</v>
      </c>
      <c r="B27823">
        <v>13.4</v>
      </c>
    </row>
    <row r="27824" spans="1:2" x14ac:dyDescent="0.25">
      <c r="A27824" s="74">
        <v>32616</v>
      </c>
      <c r="B27824">
        <v>12.2</v>
      </c>
    </row>
    <row r="27825" spans="1:2" x14ac:dyDescent="0.25">
      <c r="A27825" s="74">
        <v>32617</v>
      </c>
      <c r="B27825">
        <v>15.9</v>
      </c>
    </row>
    <row r="27826" spans="1:2" x14ac:dyDescent="0.25">
      <c r="A27826" s="74">
        <v>32618</v>
      </c>
      <c r="B27826">
        <v>32.299999999999997</v>
      </c>
    </row>
    <row r="27827" spans="1:2" x14ac:dyDescent="0.25">
      <c r="A27827" s="74">
        <v>32619</v>
      </c>
      <c r="B27827">
        <v>24</v>
      </c>
    </row>
    <row r="27828" spans="1:2" x14ac:dyDescent="0.25">
      <c r="A27828" s="74">
        <v>32620</v>
      </c>
      <c r="B27828">
        <v>15.9</v>
      </c>
    </row>
    <row r="27829" spans="1:2" x14ac:dyDescent="0.25">
      <c r="A27829" s="74">
        <v>32621</v>
      </c>
      <c r="B27829">
        <v>13.5</v>
      </c>
    </row>
    <row r="27830" spans="1:2" x14ac:dyDescent="0.25">
      <c r="A27830" s="74">
        <v>32622</v>
      </c>
      <c r="B27830">
        <v>11.9</v>
      </c>
    </row>
    <row r="27831" spans="1:2" x14ac:dyDescent="0.25">
      <c r="A27831" s="74">
        <v>32623</v>
      </c>
      <c r="B27831">
        <v>11.5</v>
      </c>
    </row>
    <row r="27832" spans="1:2" x14ac:dyDescent="0.25">
      <c r="A27832" s="74">
        <v>32624</v>
      </c>
      <c r="B27832">
        <v>11.7</v>
      </c>
    </row>
    <row r="27833" spans="1:2" x14ac:dyDescent="0.25">
      <c r="A27833" s="74">
        <v>32625</v>
      </c>
      <c r="B27833">
        <v>12.1</v>
      </c>
    </row>
    <row r="27834" spans="1:2" x14ac:dyDescent="0.25">
      <c r="A27834" s="74">
        <v>32626</v>
      </c>
      <c r="B27834">
        <v>11.4</v>
      </c>
    </row>
    <row r="27835" spans="1:2" x14ac:dyDescent="0.25">
      <c r="A27835" s="74">
        <v>32627</v>
      </c>
      <c r="B27835">
        <v>12.5</v>
      </c>
    </row>
    <row r="27836" spans="1:2" x14ac:dyDescent="0.25">
      <c r="A27836" s="74">
        <v>32628</v>
      </c>
      <c r="B27836">
        <v>13.7</v>
      </c>
    </row>
    <row r="27837" spans="1:2" x14ac:dyDescent="0.25">
      <c r="A27837" s="74">
        <v>32629</v>
      </c>
      <c r="B27837">
        <v>15.1</v>
      </c>
    </row>
    <row r="27838" spans="1:2" x14ac:dyDescent="0.25">
      <c r="A27838" s="74">
        <v>32630</v>
      </c>
      <c r="B27838">
        <v>15</v>
      </c>
    </row>
    <row r="27839" spans="1:2" x14ac:dyDescent="0.25">
      <c r="A27839" s="74">
        <v>32631</v>
      </c>
      <c r="B27839">
        <v>12.9</v>
      </c>
    </row>
    <row r="27840" spans="1:2" x14ac:dyDescent="0.25">
      <c r="A27840" s="74">
        <v>32632</v>
      </c>
      <c r="B27840">
        <v>12.9</v>
      </c>
    </row>
    <row r="27841" spans="1:2" x14ac:dyDescent="0.25">
      <c r="A27841" s="74">
        <v>32633</v>
      </c>
      <c r="B27841">
        <v>14</v>
      </c>
    </row>
    <row r="27842" spans="1:2" x14ac:dyDescent="0.25">
      <c r="A27842" s="74">
        <v>32634</v>
      </c>
      <c r="B27842">
        <v>15.2</v>
      </c>
    </row>
    <row r="27843" spans="1:2" x14ac:dyDescent="0.25">
      <c r="A27843" s="74">
        <v>32635</v>
      </c>
      <c r="B27843">
        <v>14.2</v>
      </c>
    </row>
    <row r="27844" spans="1:2" x14ac:dyDescent="0.25">
      <c r="A27844" s="74">
        <v>32636</v>
      </c>
      <c r="B27844">
        <v>12.4</v>
      </c>
    </row>
    <row r="27845" spans="1:2" x14ac:dyDescent="0.25">
      <c r="A27845" s="74">
        <v>32637</v>
      </c>
      <c r="B27845">
        <v>11.2</v>
      </c>
    </row>
    <row r="27846" spans="1:2" x14ac:dyDescent="0.25">
      <c r="A27846" s="74">
        <v>32638</v>
      </c>
      <c r="B27846">
        <v>9.2799999999999994</v>
      </c>
    </row>
    <row r="27847" spans="1:2" x14ac:dyDescent="0.25">
      <c r="A27847" s="74">
        <v>32639</v>
      </c>
      <c r="B27847">
        <v>7.52</v>
      </c>
    </row>
    <row r="27848" spans="1:2" x14ac:dyDescent="0.25">
      <c r="A27848" s="74">
        <v>32640</v>
      </c>
      <c r="B27848">
        <v>6.47</v>
      </c>
    </row>
    <row r="27849" spans="1:2" x14ac:dyDescent="0.25">
      <c r="A27849" s="74">
        <v>32641</v>
      </c>
      <c r="B27849">
        <v>5.9</v>
      </c>
    </row>
    <row r="27850" spans="1:2" x14ac:dyDescent="0.25">
      <c r="A27850" s="74">
        <v>32642</v>
      </c>
      <c r="B27850">
        <v>5.3</v>
      </c>
    </row>
    <row r="27851" spans="1:2" x14ac:dyDescent="0.25">
      <c r="A27851" s="74">
        <v>32643</v>
      </c>
      <c r="B27851">
        <v>5.4</v>
      </c>
    </row>
    <row r="27852" spans="1:2" x14ac:dyDescent="0.25">
      <c r="A27852" s="74">
        <v>32644</v>
      </c>
      <c r="B27852">
        <v>6.43</v>
      </c>
    </row>
    <row r="27853" spans="1:2" x14ac:dyDescent="0.25">
      <c r="A27853" s="74">
        <v>32645</v>
      </c>
      <c r="B27853">
        <v>6.72</v>
      </c>
    </row>
    <row r="27854" spans="1:2" x14ac:dyDescent="0.25">
      <c r="A27854" s="74">
        <v>32646</v>
      </c>
      <c r="B27854">
        <v>5.79</v>
      </c>
    </row>
    <row r="27855" spans="1:2" x14ac:dyDescent="0.25">
      <c r="A27855" s="74">
        <v>32647</v>
      </c>
      <c r="B27855">
        <v>4.83</v>
      </c>
    </row>
    <row r="27856" spans="1:2" x14ac:dyDescent="0.25">
      <c r="A27856" s="74">
        <v>32648</v>
      </c>
      <c r="B27856">
        <v>4.24</v>
      </c>
    </row>
    <row r="27857" spans="1:3" x14ac:dyDescent="0.25">
      <c r="A27857" s="74">
        <v>32649</v>
      </c>
      <c r="B27857">
        <v>4.3499999999999996</v>
      </c>
    </row>
    <row r="27858" spans="1:3" x14ac:dyDescent="0.25">
      <c r="A27858" s="74">
        <v>32650</v>
      </c>
      <c r="B27858">
        <v>4.1900000000000004</v>
      </c>
    </row>
    <row r="27859" spans="1:3" x14ac:dyDescent="0.25">
      <c r="A27859" s="74">
        <v>32651</v>
      </c>
      <c r="B27859">
        <v>4.07</v>
      </c>
    </row>
    <row r="27860" spans="1:3" x14ac:dyDescent="0.25">
      <c r="A27860" s="74">
        <v>32652</v>
      </c>
      <c r="B27860">
        <v>4.1500000000000004</v>
      </c>
    </row>
    <row r="27861" spans="1:3" x14ac:dyDescent="0.25">
      <c r="A27861" s="74">
        <v>32653</v>
      </c>
      <c r="B27861">
        <v>4.03</v>
      </c>
    </row>
    <row r="27862" spans="1:3" x14ac:dyDescent="0.25">
      <c r="A27862" s="74">
        <v>32654</v>
      </c>
      <c r="B27862">
        <v>4.3</v>
      </c>
    </row>
    <row r="27863" spans="1:3" x14ac:dyDescent="0.25">
      <c r="A27863" s="74">
        <v>32655</v>
      </c>
      <c r="B27863">
        <v>5.56</v>
      </c>
      <c r="C27863" t="s">
        <v>140</v>
      </c>
    </row>
    <row r="27864" spans="1:3" x14ac:dyDescent="0.25">
      <c r="A27864" s="74">
        <v>32656</v>
      </c>
      <c r="B27864">
        <v>5.6</v>
      </c>
      <c r="C27864" t="s">
        <v>141</v>
      </c>
    </row>
    <row r="27865" spans="1:3" x14ac:dyDescent="0.25">
      <c r="A27865" s="74">
        <v>32657</v>
      </c>
      <c r="B27865">
        <v>6.1</v>
      </c>
      <c r="C27865" t="s">
        <v>141</v>
      </c>
    </row>
    <row r="27866" spans="1:3" x14ac:dyDescent="0.25">
      <c r="A27866" s="74">
        <v>32658</v>
      </c>
      <c r="B27866">
        <v>6.8</v>
      </c>
      <c r="C27866" t="s">
        <v>141</v>
      </c>
    </row>
    <row r="27867" spans="1:3" x14ac:dyDescent="0.25">
      <c r="A27867" s="74">
        <v>32659</v>
      </c>
      <c r="B27867">
        <v>7.25</v>
      </c>
      <c r="C27867" t="s">
        <v>141</v>
      </c>
    </row>
    <row r="27868" spans="1:3" x14ac:dyDescent="0.25">
      <c r="A27868" s="74">
        <v>32660</v>
      </c>
      <c r="B27868">
        <v>8</v>
      </c>
      <c r="C27868" t="s">
        <v>141</v>
      </c>
    </row>
    <row r="27869" spans="1:3" x14ac:dyDescent="0.25">
      <c r="A27869" s="74">
        <v>32661</v>
      </c>
      <c r="B27869">
        <v>8.65</v>
      </c>
      <c r="C27869" t="s">
        <v>141</v>
      </c>
    </row>
    <row r="27870" spans="1:3" x14ac:dyDescent="0.25">
      <c r="A27870" s="74">
        <v>32662</v>
      </c>
      <c r="B27870">
        <v>8.4499999999999993</v>
      </c>
      <c r="C27870" t="s">
        <v>141</v>
      </c>
    </row>
    <row r="27871" spans="1:3" x14ac:dyDescent="0.25">
      <c r="A27871" s="74">
        <v>32663</v>
      </c>
      <c r="B27871">
        <v>7.95</v>
      </c>
      <c r="C27871" t="s">
        <v>141</v>
      </c>
    </row>
    <row r="27872" spans="1:3" x14ac:dyDescent="0.25">
      <c r="A27872" s="74">
        <v>32664</v>
      </c>
      <c r="B27872">
        <v>7.35</v>
      </c>
      <c r="C27872" t="s">
        <v>141</v>
      </c>
    </row>
    <row r="27873" spans="1:3" x14ac:dyDescent="0.25">
      <c r="A27873" s="74">
        <v>32665</v>
      </c>
      <c r="B27873">
        <v>6.7</v>
      </c>
      <c r="C27873" t="s">
        <v>141</v>
      </c>
    </row>
    <row r="27874" spans="1:3" x14ac:dyDescent="0.25">
      <c r="A27874" s="74">
        <v>32666</v>
      </c>
      <c r="B27874">
        <v>5.95</v>
      </c>
      <c r="C27874" t="s">
        <v>141</v>
      </c>
    </row>
    <row r="27875" spans="1:3" x14ac:dyDescent="0.25">
      <c r="A27875" s="74">
        <v>32667</v>
      </c>
      <c r="B27875">
        <v>5.4</v>
      </c>
      <c r="C27875" t="s">
        <v>141</v>
      </c>
    </row>
    <row r="27876" spans="1:3" x14ac:dyDescent="0.25">
      <c r="A27876" s="74">
        <v>32668</v>
      </c>
      <c r="B27876">
        <v>4.9400000000000004</v>
      </c>
      <c r="C27876" t="s">
        <v>141</v>
      </c>
    </row>
    <row r="27877" spans="1:3" x14ac:dyDescent="0.25">
      <c r="A27877" s="74">
        <v>32669</v>
      </c>
      <c r="B27877">
        <v>4.55</v>
      </c>
      <c r="C27877" t="s">
        <v>141</v>
      </c>
    </row>
    <row r="27878" spans="1:3" x14ac:dyDescent="0.25">
      <c r="A27878" s="74">
        <v>32670</v>
      </c>
      <c r="B27878">
        <v>4.21</v>
      </c>
      <c r="C27878" t="s">
        <v>141</v>
      </c>
    </row>
    <row r="27879" spans="1:3" x14ac:dyDescent="0.25">
      <c r="A27879" s="74">
        <v>32671</v>
      </c>
      <c r="B27879">
        <v>4.1100000000000003</v>
      </c>
      <c r="C27879" t="s">
        <v>141</v>
      </c>
    </row>
    <row r="27880" spans="1:3" x14ac:dyDescent="0.25">
      <c r="A27880" s="74">
        <v>32672</v>
      </c>
      <c r="B27880">
        <v>4</v>
      </c>
      <c r="C27880" t="s">
        <v>141</v>
      </c>
    </row>
    <row r="27881" spans="1:3" x14ac:dyDescent="0.25">
      <c r="A27881" s="74">
        <v>32673</v>
      </c>
      <c r="B27881">
        <v>4.28</v>
      </c>
      <c r="C27881" t="s">
        <v>141</v>
      </c>
    </row>
    <row r="27882" spans="1:3" x14ac:dyDescent="0.25">
      <c r="A27882" s="74">
        <v>32674</v>
      </c>
      <c r="B27882">
        <v>3.91</v>
      </c>
      <c r="C27882" t="s">
        <v>141</v>
      </c>
    </row>
    <row r="27883" spans="1:3" x14ac:dyDescent="0.25">
      <c r="A27883" s="74">
        <v>32675</v>
      </c>
      <c r="B27883">
        <v>3.38</v>
      </c>
      <c r="C27883" t="s">
        <v>141</v>
      </c>
    </row>
    <row r="27884" spans="1:3" x14ac:dyDescent="0.25">
      <c r="A27884" s="74">
        <v>32676</v>
      </c>
      <c r="B27884">
        <v>3.11</v>
      </c>
      <c r="C27884" t="s">
        <v>141</v>
      </c>
    </row>
    <row r="27885" spans="1:3" x14ac:dyDescent="0.25">
      <c r="A27885" s="74">
        <v>32677</v>
      </c>
      <c r="B27885">
        <v>2.95</v>
      </c>
      <c r="C27885" t="s">
        <v>141</v>
      </c>
    </row>
    <row r="27886" spans="1:3" x14ac:dyDescent="0.25">
      <c r="A27886" s="74">
        <v>32678</v>
      </c>
      <c r="B27886">
        <v>2.82</v>
      </c>
      <c r="C27886" t="s">
        <v>141</v>
      </c>
    </row>
    <row r="27887" spans="1:3" x14ac:dyDescent="0.25">
      <c r="A27887" s="74">
        <v>32679</v>
      </c>
      <c r="B27887">
        <v>2.69</v>
      </c>
      <c r="C27887" t="s">
        <v>141</v>
      </c>
    </row>
    <row r="27888" spans="1:3" x14ac:dyDescent="0.25">
      <c r="A27888" s="74">
        <v>32680</v>
      </c>
      <c r="B27888">
        <v>2.5299999999999998</v>
      </c>
      <c r="C27888" t="s">
        <v>141</v>
      </c>
    </row>
    <row r="27889" spans="1:3" x14ac:dyDescent="0.25">
      <c r="A27889" s="74">
        <v>32681</v>
      </c>
      <c r="B27889">
        <v>2.4900000000000002</v>
      </c>
      <c r="C27889" t="s">
        <v>141</v>
      </c>
    </row>
    <row r="27890" spans="1:3" x14ac:dyDescent="0.25">
      <c r="A27890" s="74">
        <v>32682</v>
      </c>
      <c r="B27890">
        <v>2.69</v>
      </c>
      <c r="C27890" t="s">
        <v>141</v>
      </c>
    </row>
    <row r="27891" spans="1:3" x14ac:dyDescent="0.25">
      <c r="A27891" s="74">
        <v>32683</v>
      </c>
      <c r="B27891">
        <v>2.79</v>
      </c>
      <c r="C27891" t="s">
        <v>141</v>
      </c>
    </row>
    <row r="27892" spans="1:3" x14ac:dyDescent="0.25">
      <c r="A27892" s="74">
        <v>32684</v>
      </c>
      <c r="B27892">
        <v>2.78</v>
      </c>
      <c r="C27892" t="s">
        <v>141</v>
      </c>
    </row>
    <row r="27893" spans="1:3" x14ac:dyDescent="0.25">
      <c r="A27893" s="74">
        <v>32685</v>
      </c>
      <c r="B27893">
        <v>2.65</v>
      </c>
      <c r="C27893" t="s">
        <v>140</v>
      </c>
    </row>
    <row r="27894" spans="1:3" x14ac:dyDescent="0.25">
      <c r="A27894" s="74">
        <v>32686</v>
      </c>
      <c r="B27894">
        <v>2.62</v>
      </c>
    </row>
    <row r="27895" spans="1:3" x14ac:dyDescent="0.25">
      <c r="A27895" s="74">
        <v>32687</v>
      </c>
      <c r="B27895">
        <v>2.59</v>
      </c>
    </row>
    <row r="27896" spans="1:3" x14ac:dyDescent="0.25">
      <c r="A27896" s="74">
        <v>32688</v>
      </c>
      <c r="B27896">
        <v>2.56</v>
      </c>
    </row>
    <row r="27897" spans="1:3" x14ac:dyDescent="0.25">
      <c r="A27897" s="74">
        <v>32689</v>
      </c>
      <c r="B27897">
        <v>2.52</v>
      </c>
    </row>
    <row r="27898" spans="1:3" x14ac:dyDescent="0.25">
      <c r="A27898" s="74">
        <v>32690</v>
      </c>
      <c r="B27898">
        <v>2.96</v>
      </c>
    </row>
    <row r="27899" spans="1:3" x14ac:dyDescent="0.25">
      <c r="A27899" s="74">
        <v>32691</v>
      </c>
      <c r="B27899">
        <v>3.72</v>
      </c>
    </row>
    <row r="27900" spans="1:3" x14ac:dyDescent="0.25">
      <c r="A27900" s="74">
        <v>32692</v>
      </c>
      <c r="B27900">
        <v>3.85</v>
      </c>
      <c r="C27900" t="s">
        <v>140</v>
      </c>
    </row>
    <row r="27901" spans="1:3" x14ac:dyDescent="0.25">
      <c r="A27901" s="74">
        <v>32693</v>
      </c>
      <c r="B27901">
        <v>3.7</v>
      </c>
      <c r="C27901" t="s">
        <v>141</v>
      </c>
    </row>
    <row r="27902" spans="1:3" x14ac:dyDescent="0.25">
      <c r="A27902" s="74">
        <v>32694</v>
      </c>
      <c r="B27902">
        <v>3.5</v>
      </c>
      <c r="C27902" t="s">
        <v>141</v>
      </c>
    </row>
    <row r="27903" spans="1:3" x14ac:dyDescent="0.25">
      <c r="A27903" s="74">
        <v>32695</v>
      </c>
      <c r="B27903">
        <v>3.21</v>
      </c>
      <c r="C27903" t="s">
        <v>141</v>
      </c>
    </row>
    <row r="27904" spans="1:3" x14ac:dyDescent="0.25">
      <c r="A27904" s="74">
        <v>32696</v>
      </c>
      <c r="B27904">
        <v>2.99</v>
      </c>
      <c r="C27904" t="s">
        <v>141</v>
      </c>
    </row>
    <row r="27905" spans="1:3" x14ac:dyDescent="0.25">
      <c r="A27905" s="74">
        <v>32697</v>
      </c>
      <c r="B27905">
        <v>2.75</v>
      </c>
      <c r="C27905" t="s">
        <v>141</v>
      </c>
    </row>
    <row r="27906" spans="1:3" x14ac:dyDescent="0.25">
      <c r="A27906" s="74">
        <v>32698</v>
      </c>
      <c r="B27906">
        <v>2.54</v>
      </c>
      <c r="C27906" t="s">
        <v>141</v>
      </c>
    </row>
    <row r="27907" spans="1:3" x14ac:dyDescent="0.25">
      <c r="A27907" s="74">
        <v>32699</v>
      </c>
      <c r="B27907">
        <v>2.42</v>
      </c>
      <c r="C27907" t="s">
        <v>141</v>
      </c>
    </row>
    <row r="27908" spans="1:3" x14ac:dyDescent="0.25">
      <c r="A27908" s="74">
        <v>32700</v>
      </c>
      <c r="B27908">
        <v>2.2999999999999998</v>
      </c>
      <c r="C27908" t="s">
        <v>141</v>
      </c>
    </row>
    <row r="27909" spans="1:3" x14ac:dyDescent="0.25">
      <c r="A27909" s="74">
        <v>32701</v>
      </c>
      <c r="B27909">
        <v>2.17</v>
      </c>
      <c r="C27909" t="s">
        <v>141</v>
      </c>
    </row>
    <row r="27910" spans="1:3" x14ac:dyDescent="0.25">
      <c r="A27910" s="74">
        <v>32702</v>
      </c>
      <c r="B27910">
        <v>1.99</v>
      </c>
      <c r="C27910" t="s">
        <v>141</v>
      </c>
    </row>
    <row r="27911" spans="1:3" x14ac:dyDescent="0.25">
      <c r="A27911" s="74">
        <v>32703</v>
      </c>
      <c r="B27911">
        <v>1.8</v>
      </c>
      <c r="C27911" t="s">
        <v>141</v>
      </c>
    </row>
    <row r="27912" spans="1:3" x14ac:dyDescent="0.25">
      <c r="A27912" s="74">
        <v>32704</v>
      </c>
      <c r="B27912">
        <v>1.51</v>
      </c>
      <c r="C27912" t="s">
        <v>141</v>
      </c>
    </row>
    <row r="27913" spans="1:3" x14ac:dyDescent="0.25">
      <c r="A27913" s="74">
        <v>32705</v>
      </c>
      <c r="B27913">
        <v>1.59</v>
      </c>
      <c r="C27913" t="s">
        <v>141</v>
      </c>
    </row>
    <row r="27914" spans="1:3" x14ac:dyDescent="0.25">
      <c r="A27914" s="74">
        <v>32706</v>
      </c>
      <c r="B27914">
        <v>1.64</v>
      </c>
      <c r="C27914" t="s">
        <v>141</v>
      </c>
    </row>
    <row r="27915" spans="1:3" x14ac:dyDescent="0.25">
      <c r="A27915" s="74">
        <v>32707</v>
      </c>
      <c r="B27915">
        <v>1.6</v>
      </c>
      <c r="C27915" t="s">
        <v>141</v>
      </c>
    </row>
    <row r="27916" spans="1:3" x14ac:dyDescent="0.25">
      <c r="A27916" s="74">
        <v>32708</v>
      </c>
      <c r="B27916">
        <v>1.44</v>
      </c>
      <c r="C27916" t="s">
        <v>141</v>
      </c>
    </row>
    <row r="27917" spans="1:3" x14ac:dyDescent="0.25">
      <c r="A27917" s="74">
        <v>32709</v>
      </c>
      <c r="B27917">
        <v>1.37</v>
      </c>
      <c r="C27917" t="s">
        <v>141</v>
      </c>
    </row>
    <row r="27918" spans="1:3" x14ac:dyDescent="0.25">
      <c r="A27918" s="74">
        <v>32710</v>
      </c>
      <c r="B27918">
        <v>1.23</v>
      </c>
      <c r="C27918" t="s">
        <v>141</v>
      </c>
    </row>
    <row r="27919" spans="1:3" x14ac:dyDescent="0.25">
      <c r="A27919" s="74">
        <v>32711</v>
      </c>
      <c r="B27919">
        <v>1.18</v>
      </c>
      <c r="C27919" t="s">
        <v>141</v>
      </c>
    </row>
    <row r="27920" spans="1:3" x14ac:dyDescent="0.25">
      <c r="A27920" s="74">
        <v>32712</v>
      </c>
      <c r="B27920">
        <v>1.1200000000000001</v>
      </c>
      <c r="C27920" t="s">
        <v>141</v>
      </c>
    </row>
    <row r="27921" spans="1:3" x14ac:dyDescent="0.25">
      <c r="A27921" s="74">
        <v>32713</v>
      </c>
      <c r="B27921">
        <v>1.03</v>
      </c>
      <c r="C27921" t="s">
        <v>141</v>
      </c>
    </row>
    <row r="27922" spans="1:3" x14ac:dyDescent="0.25">
      <c r="A27922" s="74">
        <v>32714</v>
      </c>
      <c r="B27922">
        <v>0.98</v>
      </c>
      <c r="C27922" t="s">
        <v>141</v>
      </c>
    </row>
    <row r="27923" spans="1:3" x14ac:dyDescent="0.25">
      <c r="A27923" s="74">
        <v>32715</v>
      </c>
      <c r="B27923">
        <v>0.93899999999999995</v>
      </c>
      <c r="C27923" t="s">
        <v>141</v>
      </c>
    </row>
    <row r="27924" spans="1:3" x14ac:dyDescent="0.25">
      <c r="A27924" s="74">
        <v>32716</v>
      </c>
      <c r="B27924">
        <v>0.90200000000000002</v>
      </c>
      <c r="C27924" t="s">
        <v>140</v>
      </c>
    </row>
    <row r="27925" spans="1:3" x14ac:dyDescent="0.25">
      <c r="A27925" s="74">
        <v>32717</v>
      </c>
      <c r="B27925">
        <v>0.85799999999999998</v>
      </c>
    </row>
    <row r="27926" spans="1:3" x14ac:dyDescent="0.25">
      <c r="A27926" s="74">
        <v>32718</v>
      </c>
      <c r="B27926">
        <v>0.80300000000000005</v>
      </c>
    </row>
    <row r="27927" spans="1:3" x14ac:dyDescent="0.25">
      <c r="A27927" s="74">
        <v>32719</v>
      </c>
      <c r="B27927">
        <v>0.81599999999999995</v>
      </c>
    </row>
    <row r="27928" spans="1:3" x14ac:dyDescent="0.25">
      <c r="A27928" s="74">
        <v>32720</v>
      </c>
      <c r="B27928">
        <v>0.84</v>
      </c>
    </row>
    <row r="27929" spans="1:3" x14ac:dyDescent="0.25">
      <c r="A27929" s="74">
        <v>32721</v>
      </c>
      <c r="B27929">
        <v>1.05</v>
      </c>
    </row>
    <row r="27930" spans="1:3" x14ac:dyDescent="0.25">
      <c r="A27930" s="74">
        <v>32722</v>
      </c>
      <c r="B27930">
        <v>1.45</v>
      </c>
    </row>
    <row r="27931" spans="1:3" x14ac:dyDescent="0.25">
      <c r="A27931" s="74">
        <v>32723</v>
      </c>
      <c r="B27931">
        <v>1.39</v>
      </c>
    </row>
    <row r="27932" spans="1:3" x14ac:dyDescent="0.25">
      <c r="A27932" s="74">
        <v>32724</v>
      </c>
      <c r="B27932">
        <v>1.2</v>
      </c>
    </row>
    <row r="27933" spans="1:3" x14ac:dyDescent="0.25">
      <c r="A27933" s="74">
        <v>32725</v>
      </c>
      <c r="B27933">
        <v>1.2</v>
      </c>
    </row>
    <row r="27934" spans="1:3" x14ac:dyDescent="0.25">
      <c r="A27934" s="74">
        <v>32726</v>
      </c>
      <c r="B27934">
        <v>1.1000000000000001</v>
      </c>
    </row>
    <row r="27935" spans="1:3" x14ac:dyDescent="0.25">
      <c r="A27935" s="74">
        <v>32727</v>
      </c>
      <c r="B27935">
        <v>0.94</v>
      </c>
    </row>
    <row r="27936" spans="1:3" x14ac:dyDescent="0.25">
      <c r="A27936" s="74">
        <v>32728</v>
      </c>
      <c r="B27936">
        <v>0.88200000000000001</v>
      </c>
    </row>
    <row r="27937" spans="1:2" x14ac:dyDescent="0.25">
      <c r="A27937" s="74">
        <v>32729</v>
      </c>
      <c r="B27937">
        <v>0.86299999999999999</v>
      </c>
    </row>
    <row r="27938" spans="1:2" x14ac:dyDescent="0.25">
      <c r="A27938" s="74">
        <v>32730</v>
      </c>
      <c r="B27938">
        <v>0.83</v>
      </c>
    </row>
    <row r="27939" spans="1:2" x14ac:dyDescent="0.25">
      <c r="A27939" s="74">
        <v>32731</v>
      </c>
      <c r="B27939">
        <v>0.80500000000000005</v>
      </c>
    </row>
    <row r="27940" spans="1:2" x14ac:dyDescent="0.25">
      <c r="A27940" s="74">
        <v>32732</v>
      </c>
      <c r="B27940">
        <v>0.751</v>
      </c>
    </row>
    <row r="27941" spans="1:2" x14ac:dyDescent="0.25">
      <c r="A27941" s="74">
        <v>32733</v>
      </c>
      <c r="B27941">
        <v>0.73799999999999999</v>
      </c>
    </row>
    <row r="27942" spans="1:2" x14ac:dyDescent="0.25">
      <c r="A27942" s="74">
        <v>32734</v>
      </c>
      <c r="B27942">
        <v>0.77400000000000002</v>
      </c>
    </row>
    <row r="27943" spans="1:2" x14ac:dyDescent="0.25">
      <c r="A27943" s="74">
        <v>32735</v>
      </c>
      <c r="B27943">
        <v>0.78900000000000003</v>
      </c>
    </row>
    <row r="27944" spans="1:2" x14ac:dyDescent="0.25">
      <c r="A27944" s="74">
        <v>32736</v>
      </c>
      <c r="B27944">
        <v>0.77600000000000002</v>
      </c>
    </row>
    <row r="27945" spans="1:2" x14ac:dyDescent="0.25">
      <c r="A27945" s="74">
        <v>32737</v>
      </c>
      <c r="B27945">
        <v>0.75</v>
      </c>
    </row>
    <row r="27946" spans="1:2" x14ac:dyDescent="0.25">
      <c r="A27946" s="74">
        <v>32738</v>
      </c>
      <c r="B27946">
        <v>0.72299999999999998</v>
      </c>
    </row>
    <row r="27947" spans="1:2" x14ac:dyDescent="0.25">
      <c r="A27947" s="74">
        <v>32739</v>
      </c>
      <c r="B27947">
        <v>0.67100000000000004</v>
      </c>
    </row>
    <row r="27948" spans="1:2" x14ac:dyDescent="0.25">
      <c r="A27948" s="74">
        <v>32740</v>
      </c>
      <c r="B27948">
        <v>0.65</v>
      </c>
    </row>
    <row r="27949" spans="1:2" x14ac:dyDescent="0.25">
      <c r="A27949" s="74">
        <v>32741</v>
      </c>
      <c r="B27949">
        <v>0.7</v>
      </c>
    </row>
    <row r="27950" spans="1:2" x14ac:dyDescent="0.25">
      <c r="A27950" s="74">
        <v>32742</v>
      </c>
      <c r="B27950">
        <v>0.73299999999999998</v>
      </c>
    </row>
    <row r="27951" spans="1:2" x14ac:dyDescent="0.25">
      <c r="A27951" s="74">
        <v>32743</v>
      </c>
      <c r="B27951">
        <v>0.90800000000000003</v>
      </c>
    </row>
    <row r="27952" spans="1:2" x14ac:dyDescent="0.25">
      <c r="A27952" s="74">
        <v>32744</v>
      </c>
      <c r="B27952">
        <v>1.02</v>
      </c>
    </row>
    <row r="27953" spans="1:2" x14ac:dyDescent="0.25">
      <c r="A27953" s="74">
        <v>32745</v>
      </c>
      <c r="B27953">
        <v>0.93600000000000005</v>
      </c>
    </row>
    <row r="27954" spans="1:2" x14ac:dyDescent="0.25">
      <c r="A27954" s="74">
        <v>32746</v>
      </c>
      <c r="B27954">
        <v>0.83599999999999997</v>
      </c>
    </row>
    <row r="27955" spans="1:2" x14ac:dyDescent="0.25">
      <c r="A27955" s="74">
        <v>32747</v>
      </c>
      <c r="B27955">
        <v>0.77600000000000002</v>
      </c>
    </row>
    <row r="27956" spans="1:2" x14ac:dyDescent="0.25">
      <c r="A27956" s="74">
        <v>32748</v>
      </c>
      <c r="B27956">
        <v>0.745</v>
      </c>
    </row>
    <row r="27957" spans="1:2" x14ac:dyDescent="0.25">
      <c r="A27957" s="74">
        <v>32749</v>
      </c>
      <c r="B27957">
        <v>0.70299999999999996</v>
      </c>
    </row>
    <row r="27958" spans="1:2" x14ac:dyDescent="0.25">
      <c r="A27958" s="74">
        <v>32750</v>
      </c>
      <c r="B27958">
        <v>0.64300000000000002</v>
      </c>
    </row>
    <row r="27959" spans="1:2" x14ac:dyDescent="0.25">
      <c r="A27959" s="74">
        <v>32751</v>
      </c>
      <c r="B27959">
        <v>0.61899999999999999</v>
      </c>
    </row>
    <row r="27960" spans="1:2" x14ac:dyDescent="0.25">
      <c r="A27960" s="74">
        <v>32752</v>
      </c>
      <c r="B27960">
        <v>0.58699999999999997</v>
      </c>
    </row>
    <row r="27961" spans="1:2" x14ac:dyDescent="0.25">
      <c r="A27961" s="74">
        <v>32753</v>
      </c>
      <c r="B27961">
        <v>0.59699999999999998</v>
      </c>
    </row>
    <row r="27962" spans="1:2" x14ac:dyDescent="0.25">
      <c r="A27962" s="74">
        <v>32754</v>
      </c>
      <c r="B27962">
        <v>0.57999999999999996</v>
      </c>
    </row>
    <row r="27963" spans="1:2" x14ac:dyDescent="0.25">
      <c r="A27963" s="74">
        <v>32755</v>
      </c>
      <c r="B27963">
        <v>0.55400000000000005</v>
      </c>
    </row>
    <row r="27964" spans="1:2" x14ac:dyDescent="0.25">
      <c r="A27964" s="74">
        <v>32756</v>
      </c>
      <c r="B27964">
        <v>0.55700000000000005</v>
      </c>
    </row>
    <row r="27965" spans="1:2" x14ac:dyDescent="0.25">
      <c r="A27965" s="74">
        <v>32757</v>
      </c>
      <c r="B27965">
        <v>0.53500000000000003</v>
      </c>
    </row>
    <row r="27966" spans="1:2" x14ac:dyDescent="0.25">
      <c r="A27966" s="74">
        <v>32758</v>
      </c>
      <c r="B27966">
        <v>0.51100000000000001</v>
      </c>
    </row>
    <row r="27967" spans="1:2" x14ac:dyDescent="0.25">
      <c r="A27967" s="74">
        <v>32759</v>
      </c>
      <c r="B27967">
        <v>0.48199999999999998</v>
      </c>
    </row>
    <row r="27968" spans="1:2" x14ac:dyDescent="0.25">
      <c r="A27968" s="74">
        <v>32760</v>
      </c>
      <c r="B27968">
        <v>0.42599999999999999</v>
      </c>
    </row>
    <row r="27969" spans="1:2" x14ac:dyDescent="0.25">
      <c r="A27969" s="74">
        <v>32761</v>
      </c>
      <c r="B27969">
        <v>0.39800000000000002</v>
      </c>
    </row>
    <row r="27970" spans="1:2" x14ac:dyDescent="0.25">
      <c r="A27970" s="74">
        <v>32762</v>
      </c>
      <c r="B27970">
        <v>0.39200000000000002</v>
      </c>
    </row>
    <row r="27971" spans="1:2" x14ac:dyDescent="0.25">
      <c r="A27971" s="74">
        <v>32763</v>
      </c>
      <c r="B27971">
        <v>0.40899999999999997</v>
      </c>
    </row>
    <row r="27972" spans="1:2" x14ac:dyDescent="0.25">
      <c r="A27972" s="74">
        <v>32764</v>
      </c>
      <c r="B27972">
        <v>0.36699999999999999</v>
      </c>
    </row>
    <row r="27973" spans="1:2" x14ac:dyDescent="0.25">
      <c r="A27973" s="74">
        <v>32765</v>
      </c>
      <c r="B27973">
        <v>0.33300000000000002</v>
      </c>
    </row>
    <row r="27974" spans="1:2" x14ac:dyDescent="0.25">
      <c r="A27974" s="74">
        <v>32766</v>
      </c>
      <c r="B27974">
        <v>0.33900000000000002</v>
      </c>
    </row>
    <row r="27975" spans="1:2" x14ac:dyDescent="0.25">
      <c r="A27975" s="74">
        <v>32767</v>
      </c>
      <c r="B27975">
        <v>0.35199999999999998</v>
      </c>
    </row>
    <row r="27976" spans="1:2" x14ac:dyDescent="0.25">
      <c r="A27976" s="74">
        <v>32768</v>
      </c>
      <c r="B27976">
        <v>0.33800000000000002</v>
      </c>
    </row>
    <row r="27977" spans="1:2" x14ac:dyDescent="0.25">
      <c r="A27977" s="74">
        <v>32769</v>
      </c>
      <c r="B27977">
        <v>0.378</v>
      </c>
    </row>
    <row r="27978" spans="1:2" x14ac:dyDescent="0.25">
      <c r="A27978" s="74">
        <v>32770</v>
      </c>
      <c r="B27978">
        <v>0.33600000000000002</v>
      </c>
    </row>
    <row r="27979" spans="1:2" x14ac:dyDescent="0.25">
      <c r="A27979" s="74">
        <v>32771</v>
      </c>
      <c r="B27979">
        <v>0.33500000000000002</v>
      </c>
    </row>
    <row r="27980" spans="1:2" x14ac:dyDescent="0.25">
      <c r="A27980" s="74">
        <v>32772</v>
      </c>
      <c r="B27980">
        <v>0.32300000000000001</v>
      </c>
    </row>
    <row r="27981" spans="1:2" x14ac:dyDescent="0.25">
      <c r="A27981" s="74">
        <v>32773</v>
      </c>
      <c r="B27981">
        <v>0.33300000000000002</v>
      </c>
    </row>
    <row r="27982" spans="1:2" x14ac:dyDescent="0.25">
      <c r="A27982" s="74">
        <v>32774</v>
      </c>
      <c r="B27982">
        <v>0.32800000000000001</v>
      </c>
    </row>
    <row r="27983" spans="1:2" x14ac:dyDescent="0.25">
      <c r="A27983" s="74">
        <v>32775</v>
      </c>
      <c r="B27983">
        <v>0.32400000000000001</v>
      </c>
    </row>
    <row r="27984" spans="1:2" x14ac:dyDescent="0.25">
      <c r="A27984" s="74">
        <v>32776</v>
      </c>
      <c r="B27984">
        <v>0.312</v>
      </c>
    </row>
    <row r="27985" spans="1:2" x14ac:dyDescent="0.25">
      <c r="A27985" s="74">
        <v>32777</v>
      </c>
      <c r="B27985">
        <v>0.32300000000000001</v>
      </c>
    </row>
    <row r="27986" spans="1:2" x14ac:dyDescent="0.25">
      <c r="A27986" s="74">
        <v>32778</v>
      </c>
      <c r="B27986">
        <v>0.33300000000000002</v>
      </c>
    </row>
    <row r="27987" spans="1:2" x14ac:dyDescent="0.25">
      <c r="A27987" s="74">
        <v>32779</v>
      </c>
      <c r="B27987">
        <v>0.33200000000000002</v>
      </c>
    </row>
    <row r="27988" spans="1:2" x14ac:dyDescent="0.25">
      <c r="A27988" s="74">
        <v>32780</v>
      </c>
      <c r="B27988">
        <v>0.32400000000000001</v>
      </c>
    </row>
    <row r="27989" spans="1:2" x14ac:dyDescent="0.25">
      <c r="A27989" s="74">
        <v>32781</v>
      </c>
      <c r="B27989">
        <v>0.32200000000000001</v>
      </c>
    </row>
    <row r="27990" spans="1:2" x14ac:dyDescent="0.25">
      <c r="A27990" s="74">
        <v>32782</v>
      </c>
      <c r="B27990">
        <v>0.316</v>
      </c>
    </row>
    <row r="27991" spans="1:2" x14ac:dyDescent="0.25">
      <c r="A27991" s="74">
        <v>32783</v>
      </c>
      <c r="B27991">
        <v>0.311</v>
      </c>
    </row>
    <row r="27992" spans="1:2" x14ac:dyDescent="0.25">
      <c r="A27992" s="74">
        <v>32784</v>
      </c>
      <c r="B27992">
        <v>0.31</v>
      </c>
    </row>
    <row r="27993" spans="1:2" x14ac:dyDescent="0.25">
      <c r="A27993" s="74">
        <v>32785</v>
      </c>
      <c r="B27993">
        <v>0.32400000000000001</v>
      </c>
    </row>
    <row r="27994" spans="1:2" x14ac:dyDescent="0.25">
      <c r="A27994" s="74">
        <v>32786</v>
      </c>
      <c r="B27994">
        <v>0.32900000000000001</v>
      </c>
    </row>
    <row r="27995" spans="1:2" x14ac:dyDescent="0.25">
      <c r="A27995" s="74">
        <v>32787</v>
      </c>
      <c r="B27995">
        <v>0.32700000000000001</v>
      </c>
    </row>
    <row r="27996" spans="1:2" x14ac:dyDescent="0.25">
      <c r="A27996" s="74">
        <v>32788</v>
      </c>
      <c r="B27996">
        <v>0.33500000000000002</v>
      </c>
    </row>
    <row r="27997" spans="1:2" x14ac:dyDescent="0.25">
      <c r="A27997" s="74">
        <v>32789</v>
      </c>
      <c r="B27997">
        <v>0.33300000000000002</v>
      </c>
    </row>
    <row r="27998" spans="1:2" x14ac:dyDescent="0.25">
      <c r="A27998" s="74">
        <v>32790</v>
      </c>
      <c r="B27998">
        <v>0.34</v>
      </c>
    </row>
    <row r="27999" spans="1:2" x14ac:dyDescent="0.25">
      <c r="A27999" s="74">
        <v>32791</v>
      </c>
      <c r="B27999">
        <v>0.34</v>
      </c>
    </row>
    <row r="28000" spans="1:2" x14ac:dyDescent="0.25">
      <c r="A28000" s="74">
        <v>32792</v>
      </c>
      <c r="B28000">
        <v>0.34899999999999998</v>
      </c>
    </row>
    <row r="28001" spans="1:2" x14ac:dyDescent="0.25">
      <c r="A28001" s="74">
        <v>32793</v>
      </c>
      <c r="B28001">
        <v>0.65500000000000003</v>
      </c>
    </row>
    <row r="28002" spans="1:2" x14ac:dyDescent="0.25">
      <c r="A28002" s="74">
        <v>32794</v>
      </c>
      <c r="B28002">
        <v>0.81599999999999995</v>
      </c>
    </row>
    <row r="28003" spans="1:2" x14ac:dyDescent="0.25">
      <c r="A28003" s="74">
        <v>32795</v>
      </c>
      <c r="B28003">
        <v>0.75600000000000001</v>
      </c>
    </row>
    <row r="28004" spans="1:2" x14ac:dyDescent="0.25">
      <c r="A28004" s="74">
        <v>32796</v>
      </c>
      <c r="B28004">
        <v>0.72799999999999998</v>
      </c>
    </row>
    <row r="28005" spans="1:2" x14ac:dyDescent="0.25">
      <c r="A28005" s="74">
        <v>32797</v>
      </c>
      <c r="B28005">
        <v>0.753</v>
      </c>
    </row>
    <row r="28006" spans="1:2" x14ac:dyDescent="0.25">
      <c r="A28006" s="74">
        <v>32798</v>
      </c>
      <c r="B28006">
        <v>0.73299999999999998</v>
      </c>
    </row>
    <row r="28007" spans="1:2" x14ac:dyDescent="0.25">
      <c r="A28007" s="74">
        <v>32799</v>
      </c>
      <c r="B28007">
        <v>0.77600000000000002</v>
      </c>
    </row>
    <row r="28008" spans="1:2" x14ac:dyDescent="0.25">
      <c r="A28008" s="74">
        <v>32800</v>
      </c>
      <c r="B28008">
        <v>1.57</v>
      </c>
    </row>
    <row r="28009" spans="1:2" x14ac:dyDescent="0.25">
      <c r="A28009" s="74">
        <v>32801</v>
      </c>
      <c r="B28009">
        <v>2.0299999999999998</v>
      </c>
    </row>
    <row r="28010" spans="1:2" x14ac:dyDescent="0.25">
      <c r="A28010" s="74">
        <v>32802</v>
      </c>
      <c r="B28010">
        <v>14.9</v>
      </c>
    </row>
    <row r="28011" spans="1:2" x14ac:dyDescent="0.25">
      <c r="A28011" s="74">
        <v>32803</v>
      </c>
      <c r="B28011">
        <v>20.5</v>
      </c>
    </row>
    <row r="28012" spans="1:2" x14ac:dyDescent="0.25">
      <c r="A28012" s="74">
        <v>32804</v>
      </c>
      <c r="B28012">
        <v>33.1</v>
      </c>
    </row>
    <row r="28013" spans="1:2" x14ac:dyDescent="0.25">
      <c r="A28013" s="74">
        <v>32805</v>
      </c>
      <c r="B28013">
        <v>20.100000000000001</v>
      </c>
    </row>
    <row r="28014" spans="1:2" x14ac:dyDescent="0.25">
      <c r="A28014" s="74">
        <v>32806</v>
      </c>
      <c r="B28014">
        <v>11.9</v>
      </c>
    </row>
    <row r="28015" spans="1:2" x14ac:dyDescent="0.25">
      <c r="A28015" s="74">
        <v>32807</v>
      </c>
      <c r="B28015">
        <v>24.5</v>
      </c>
    </row>
    <row r="28016" spans="1:2" x14ac:dyDescent="0.25">
      <c r="A28016" s="74">
        <v>32808</v>
      </c>
      <c r="B28016">
        <v>14.4</v>
      </c>
    </row>
    <row r="28017" spans="1:2" x14ac:dyDescent="0.25">
      <c r="A28017" s="74">
        <v>32809</v>
      </c>
      <c r="B28017">
        <v>9.68</v>
      </c>
    </row>
    <row r="28018" spans="1:2" x14ac:dyDescent="0.25">
      <c r="A28018" s="74">
        <v>32810</v>
      </c>
      <c r="B28018">
        <v>7.15</v>
      </c>
    </row>
    <row r="28019" spans="1:2" x14ac:dyDescent="0.25">
      <c r="A28019" s="74">
        <v>32811</v>
      </c>
      <c r="B28019">
        <v>5.82</v>
      </c>
    </row>
    <row r="28020" spans="1:2" x14ac:dyDescent="0.25">
      <c r="A28020" s="74">
        <v>32812</v>
      </c>
      <c r="B28020">
        <v>4.95</v>
      </c>
    </row>
    <row r="28021" spans="1:2" x14ac:dyDescent="0.25">
      <c r="A28021" s="74">
        <v>32813</v>
      </c>
      <c r="B28021">
        <v>4.18</v>
      </c>
    </row>
    <row r="28022" spans="1:2" x14ac:dyDescent="0.25">
      <c r="A28022" s="74">
        <v>32814</v>
      </c>
      <c r="B28022">
        <v>3.79</v>
      </c>
    </row>
    <row r="28023" spans="1:2" x14ac:dyDescent="0.25">
      <c r="A28023" s="74">
        <v>32815</v>
      </c>
      <c r="B28023">
        <v>3.75</v>
      </c>
    </row>
    <row r="28024" spans="1:2" x14ac:dyDescent="0.25">
      <c r="A28024" s="74">
        <v>32816</v>
      </c>
      <c r="B28024">
        <v>9.7899999999999991</v>
      </c>
    </row>
    <row r="28025" spans="1:2" x14ac:dyDescent="0.25">
      <c r="A28025" s="74">
        <v>32817</v>
      </c>
      <c r="B28025">
        <v>7.47</v>
      </c>
    </row>
    <row r="28026" spans="1:2" x14ac:dyDescent="0.25">
      <c r="A28026" s="74">
        <v>32818</v>
      </c>
      <c r="B28026">
        <v>6.17</v>
      </c>
    </row>
    <row r="28027" spans="1:2" x14ac:dyDescent="0.25">
      <c r="A28027" s="74">
        <v>32819</v>
      </c>
      <c r="B28027">
        <v>5.56</v>
      </c>
    </row>
    <row r="28028" spans="1:2" x14ac:dyDescent="0.25">
      <c r="A28028" s="74">
        <v>32820</v>
      </c>
      <c r="B28028">
        <v>7</v>
      </c>
    </row>
    <row r="28029" spans="1:2" x14ac:dyDescent="0.25">
      <c r="A28029" s="74">
        <v>32821</v>
      </c>
      <c r="B28029">
        <v>28.6</v>
      </c>
    </row>
    <row r="28030" spans="1:2" x14ac:dyDescent="0.25">
      <c r="A28030" s="74">
        <v>32822</v>
      </c>
      <c r="B28030">
        <v>47.6</v>
      </c>
    </row>
    <row r="28031" spans="1:2" x14ac:dyDescent="0.25">
      <c r="A28031" s="74">
        <v>32823</v>
      </c>
      <c r="B28031">
        <v>21</v>
      </c>
    </row>
    <row r="28032" spans="1:2" x14ac:dyDescent="0.25">
      <c r="A28032" s="74">
        <v>32824</v>
      </c>
      <c r="B28032">
        <v>13.5</v>
      </c>
    </row>
    <row r="28033" spans="1:2" x14ac:dyDescent="0.25">
      <c r="A28033" s="74">
        <v>32825</v>
      </c>
      <c r="B28033">
        <v>10.4</v>
      </c>
    </row>
    <row r="28034" spans="1:2" x14ac:dyDescent="0.25">
      <c r="A28034" s="74">
        <v>32826</v>
      </c>
      <c r="B28034">
        <v>8.65</v>
      </c>
    </row>
    <row r="28035" spans="1:2" x14ac:dyDescent="0.25">
      <c r="A28035" s="74">
        <v>32827</v>
      </c>
      <c r="B28035">
        <v>7.07</v>
      </c>
    </row>
    <row r="28036" spans="1:2" x14ac:dyDescent="0.25">
      <c r="A28036" s="74">
        <v>32828</v>
      </c>
      <c r="B28036">
        <v>6.67</v>
      </c>
    </row>
    <row r="28037" spans="1:2" x14ac:dyDescent="0.25">
      <c r="A28037" s="74">
        <v>32829</v>
      </c>
      <c r="B28037">
        <v>8.4600000000000009</v>
      </c>
    </row>
    <row r="28038" spans="1:2" x14ac:dyDescent="0.25">
      <c r="A28038" s="74">
        <v>32830</v>
      </c>
      <c r="B28038">
        <v>8.0399999999999991</v>
      </c>
    </row>
    <row r="28039" spans="1:2" x14ac:dyDescent="0.25">
      <c r="A28039" s="74">
        <v>32831</v>
      </c>
      <c r="B28039">
        <v>8.3800000000000008</v>
      </c>
    </row>
    <row r="28040" spans="1:2" x14ac:dyDescent="0.25">
      <c r="A28040" s="74">
        <v>32832</v>
      </c>
      <c r="B28040">
        <v>11.9</v>
      </c>
    </row>
    <row r="28041" spans="1:2" x14ac:dyDescent="0.25">
      <c r="A28041" s="74">
        <v>32833</v>
      </c>
      <c r="B28041">
        <v>15.5</v>
      </c>
    </row>
    <row r="28042" spans="1:2" x14ac:dyDescent="0.25">
      <c r="A28042" s="74">
        <v>32834</v>
      </c>
      <c r="B28042">
        <v>12.2</v>
      </c>
    </row>
    <row r="28043" spans="1:2" x14ac:dyDescent="0.25">
      <c r="A28043" s="74">
        <v>32835</v>
      </c>
      <c r="B28043">
        <v>12.1</v>
      </c>
    </row>
    <row r="28044" spans="1:2" x14ac:dyDescent="0.25">
      <c r="A28044" s="74">
        <v>32836</v>
      </c>
      <c r="B28044">
        <v>12</v>
      </c>
    </row>
    <row r="28045" spans="1:2" x14ac:dyDescent="0.25">
      <c r="A28045" s="74">
        <v>32837</v>
      </c>
      <c r="B28045">
        <v>10.1</v>
      </c>
    </row>
    <row r="28046" spans="1:2" x14ac:dyDescent="0.25">
      <c r="A28046" s="74">
        <v>32838</v>
      </c>
      <c r="B28046">
        <v>9.2799999999999994</v>
      </c>
    </row>
    <row r="28047" spans="1:2" x14ac:dyDescent="0.25">
      <c r="A28047" s="74">
        <v>32839</v>
      </c>
      <c r="B28047">
        <v>8.49</v>
      </c>
    </row>
    <row r="28048" spans="1:2" x14ac:dyDescent="0.25">
      <c r="A28048" s="74">
        <v>32840</v>
      </c>
      <c r="B28048">
        <v>8.2799999999999994</v>
      </c>
    </row>
    <row r="28049" spans="1:2" x14ac:dyDescent="0.25">
      <c r="A28049" s="74">
        <v>32841</v>
      </c>
      <c r="B28049">
        <v>7.91</v>
      </c>
    </row>
    <row r="28050" spans="1:2" x14ac:dyDescent="0.25">
      <c r="A28050" s="74">
        <v>32842</v>
      </c>
      <c r="B28050">
        <v>6.99</v>
      </c>
    </row>
    <row r="28051" spans="1:2" x14ac:dyDescent="0.25">
      <c r="A28051" s="74">
        <v>32843</v>
      </c>
      <c r="B28051">
        <v>6.44</v>
      </c>
    </row>
    <row r="28052" spans="1:2" x14ac:dyDescent="0.25">
      <c r="A28052" s="74">
        <v>32844</v>
      </c>
      <c r="B28052">
        <v>12.8</v>
      </c>
    </row>
    <row r="28053" spans="1:2" x14ac:dyDescent="0.25">
      <c r="A28053" s="74">
        <v>32845</v>
      </c>
      <c r="B28053">
        <v>47.9</v>
      </c>
    </row>
    <row r="28054" spans="1:2" x14ac:dyDescent="0.25">
      <c r="A28054" s="74">
        <v>32846</v>
      </c>
      <c r="B28054">
        <v>119</v>
      </c>
    </row>
    <row r="28055" spans="1:2" x14ac:dyDescent="0.25">
      <c r="A28055" s="74">
        <v>32847</v>
      </c>
      <c r="B28055">
        <v>38.9</v>
      </c>
    </row>
    <row r="28056" spans="1:2" x14ac:dyDescent="0.25">
      <c r="A28056" s="74">
        <v>32848</v>
      </c>
      <c r="B28056">
        <v>26.4</v>
      </c>
    </row>
    <row r="28057" spans="1:2" x14ac:dyDescent="0.25">
      <c r="A28057" s="74">
        <v>32849</v>
      </c>
      <c r="B28057">
        <v>27.3</v>
      </c>
    </row>
    <row r="28058" spans="1:2" x14ac:dyDescent="0.25">
      <c r="A28058" s="74">
        <v>32850</v>
      </c>
      <c r="B28058">
        <v>42.9</v>
      </c>
    </row>
    <row r="28059" spans="1:2" x14ac:dyDescent="0.25">
      <c r="A28059" s="74">
        <v>32851</v>
      </c>
      <c r="B28059">
        <v>25.8</v>
      </c>
    </row>
    <row r="28060" spans="1:2" x14ac:dyDescent="0.25">
      <c r="A28060" s="74">
        <v>32852</v>
      </c>
      <c r="B28060">
        <v>18.600000000000001</v>
      </c>
    </row>
    <row r="28061" spans="1:2" x14ac:dyDescent="0.25">
      <c r="A28061" s="74">
        <v>32853</v>
      </c>
      <c r="B28061">
        <v>14.8</v>
      </c>
    </row>
    <row r="28062" spans="1:2" x14ac:dyDescent="0.25">
      <c r="A28062" s="74">
        <v>32854</v>
      </c>
      <c r="B28062">
        <v>12.4</v>
      </c>
    </row>
    <row r="28063" spans="1:2" x14ac:dyDescent="0.25">
      <c r="A28063" s="74">
        <v>32855</v>
      </c>
      <c r="B28063">
        <v>10.5</v>
      </c>
    </row>
    <row r="28064" spans="1:2" x14ac:dyDescent="0.25">
      <c r="A28064" s="74">
        <v>32856</v>
      </c>
      <c r="B28064">
        <v>9.1999999999999993</v>
      </c>
    </row>
    <row r="28065" spans="1:2" x14ac:dyDescent="0.25">
      <c r="A28065" s="74">
        <v>32857</v>
      </c>
      <c r="B28065">
        <v>8.18</v>
      </c>
    </row>
    <row r="28066" spans="1:2" x14ac:dyDescent="0.25">
      <c r="A28066" s="74">
        <v>32858</v>
      </c>
      <c r="B28066">
        <v>7.34</v>
      </c>
    </row>
    <row r="28067" spans="1:2" x14ac:dyDescent="0.25">
      <c r="A28067" s="74">
        <v>32859</v>
      </c>
      <c r="B28067">
        <v>6.78</v>
      </c>
    </row>
    <row r="28068" spans="1:2" x14ac:dyDescent="0.25">
      <c r="A28068" s="74">
        <v>32860</v>
      </c>
      <c r="B28068">
        <v>6.42</v>
      </c>
    </row>
    <row r="28069" spans="1:2" x14ac:dyDescent="0.25">
      <c r="A28069" s="74">
        <v>32861</v>
      </c>
      <c r="B28069">
        <v>6.01</v>
      </c>
    </row>
    <row r="28070" spans="1:2" x14ac:dyDescent="0.25">
      <c r="A28070" s="74">
        <v>32862</v>
      </c>
      <c r="B28070">
        <v>5.57</v>
      </c>
    </row>
    <row r="28071" spans="1:2" x14ac:dyDescent="0.25">
      <c r="A28071" s="74">
        <v>32863</v>
      </c>
      <c r="B28071">
        <v>5.47</v>
      </c>
    </row>
    <row r="28072" spans="1:2" x14ac:dyDescent="0.25">
      <c r="A28072" s="74">
        <v>32864</v>
      </c>
      <c r="B28072">
        <v>5.88</v>
      </c>
    </row>
    <row r="28073" spans="1:2" x14ac:dyDescent="0.25">
      <c r="A28073" s="74">
        <v>32865</v>
      </c>
      <c r="B28073">
        <v>5.74</v>
      </c>
    </row>
    <row r="28074" spans="1:2" x14ac:dyDescent="0.25">
      <c r="A28074" s="74">
        <v>32866</v>
      </c>
      <c r="B28074">
        <v>5.56</v>
      </c>
    </row>
    <row r="28075" spans="1:2" x14ac:dyDescent="0.25">
      <c r="A28075" s="74">
        <v>32867</v>
      </c>
      <c r="B28075">
        <v>5.34</v>
      </c>
    </row>
    <row r="28076" spans="1:2" x14ac:dyDescent="0.25">
      <c r="A28076" s="74">
        <v>32868</v>
      </c>
      <c r="B28076">
        <v>5.12</v>
      </c>
    </row>
    <row r="28077" spans="1:2" x14ac:dyDescent="0.25">
      <c r="A28077" s="74">
        <v>32869</v>
      </c>
      <c r="B28077">
        <v>4.95</v>
      </c>
    </row>
    <row r="28078" spans="1:2" x14ac:dyDescent="0.25">
      <c r="A28078" s="74">
        <v>32870</v>
      </c>
      <c r="B28078">
        <v>4.84</v>
      </c>
    </row>
    <row r="28079" spans="1:2" x14ac:dyDescent="0.25">
      <c r="A28079" s="74">
        <v>32871</v>
      </c>
      <c r="B28079">
        <v>4.57</v>
      </c>
    </row>
    <row r="28080" spans="1:2" x14ac:dyDescent="0.25">
      <c r="A28080" s="74">
        <v>32872</v>
      </c>
      <c r="B28080">
        <v>4.4400000000000004</v>
      </c>
    </row>
    <row r="28081" spans="1:2" x14ac:dyDescent="0.25">
      <c r="A28081" s="74">
        <v>32873</v>
      </c>
      <c r="B28081">
        <v>4.54</v>
      </c>
    </row>
    <row r="28082" spans="1:2" x14ac:dyDescent="0.25">
      <c r="A28082" s="74">
        <v>32874</v>
      </c>
      <c r="B28082">
        <v>7.21</v>
      </c>
    </row>
    <row r="28083" spans="1:2" x14ac:dyDescent="0.25">
      <c r="A28083" s="74">
        <v>32875</v>
      </c>
      <c r="B28083">
        <v>6.98</v>
      </c>
    </row>
    <row r="28084" spans="1:2" x14ac:dyDescent="0.25">
      <c r="A28084" s="74">
        <v>32876</v>
      </c>
      <c r="B28084">
        <v>6.65</v>
      </c>
    </row>
    <row r="28085" spans="1:2" x14ac:dyDescent="0.25">
      <c r="A28085" s="74">
        <v>32877</v>
      </c>
      <c r="B28085">
        <v>8.6999999999999993</v>
      </c>
    </row>
    <row r="28086" spans="1:2" x14ac:dyDescent="0.25">
      <c r="A28086" s="74">
        <v>32878</v>
      </c>
      <c r="B28086">
        <v>24.6</v>
      </c>
    </row>
    <row r="28087" spans="1:2" x14ac:dyDescent="0.25">
      <c r="A28087" s="74">
        <v>32879</v>
      </c>
      <c r="B28087">
        <v>44.6</v>
      </c>
    </row>
    <row r="28088" spans="1:2" x14ac:dyDescent="0.25">
      <c r="A28088" s="74">
        <v>32880</v>
      </c>
      <c r="B28088">
        <v>68.2</v>
      </c>
    </row>
    <row r="28089" spans="1:2" x14ac:dyDescent="0.25">
      <c r="A28089" s="74">
        <v>32881</v>
      </c>
      <c r="B28089">
        <v>43.1</v>
      </c>
    </row>
    <row r="28090" spans="1:2" x14ac:dyDescent="0.25">
      <c r="A28090" s="74">
        <v>32882</v>
      </c>
      <c r="B28090">
        <v>37.700000000000003</v>
      </c>
    </row>
    <row r="28091" spans="1:2" x14ac:dyDescent="0.25">
      <c r="A28091" s="74">
        <v>32883</v>
      </c>
      <c r="B28091">
        <v>28.7</v>
      </c>
    </row>
    <row r="28092" spans="1:2" x14ac:dyDescent="0.25">
      <c r="A28092" s="74">
        <v>32884</v>
      </c>
      <c r="B28092">
        <v>20.6</v>
      </c>
    </row>
    <row r="28093" spans="1:2" x14ac:dyDescent="0.25">
      <c r="A28093" s="74">
        <v>32885</v>
      </c>
      <c r="B28093">
        <v>17.3</v>
      </c>
    </row>
    <row r="28094" spans="1:2" x14ac:dyDescent="0.25">
      <c r="A28094" s="74">
        <v>32886</v>
      </c>
      <c r="B28094">
        <v>17</v>
      </c>
    </row>
    <row r="28095" spans="1:2" x14ac:dyDescent="0.25">
      <c r="A28095" s="74">
        <v>32887</v>
      </c>
      <c r="B28095">
        <v>20.100000000000001</v>
      </c>
    </row>
    <row r="28096" spans="1:2" x14ac:dyDescent="0.25">
      <c r="A28096" s="74">
        <v>32888</v>
      </c>
      <c r="B28096">
        <v>18.100000000000001</v>
      </c>
    </row>
    <row r="28097" spans="1:2" x14ac:dyDescent="0.25">
      <c r="A28097" s="74">
        <v>32889</v>
      </c>
      <c r="B28097">
        <v>16.7</v>
      </c>
    </row>
    <row r="28098" spans="1:2" x14ac:dyDescent="0.25">
      <c r="A28098" s="74">
        <v>32890</v>
      </c>
      <c r="B28098">
        <v>14.7</v>
      </c>
    </row>
    <row r="28099" spans="1:2" x14ac:dyDescent="0.25">
      <c r="A28099" s="74">
        <v>32891</v>
      </c>
      <c r="B28099">
        <v>12.8</v>
      </c>
    </row>
    <row r="28100" spans="1:2" x14ac:dyDescent="0.25">
      <c r="A28100" s="74">
        <v>32892</v>
      </c>
      <c r="B28100">
        <v>11.2</v>
      </c>
    </row>
    <row r="28101" spans="1:2" x14ac:dyDescent="0.25">
      <c r="A28101" s="74">
        <v>32893</v>
      </c>
      <c r="B28101">
        <v>10.3</v>
      </c>
    </row>
    <row r="28102" spans="1:2" x14ac:dyDescent="0.25">
      <c r="A28102" s="74">
        <v>32894</v>
      </c>
      <c r="B28102">
        <v>9.33</v>
      </c>
    </row>
    <row r="28103" spans="1:2" x14ac:dyDescent="0.25">
      <c r="A28103" s="74">
        <v>32895</v>
      </c>
      <c r="B28103">
        <v>10.9</v>
      </c>
    </row>
    <row r="28104" spans="1:2" x14ac:dyDescent="0.25">
      <c r="A28104" s="74">
        <v>32896</v>
      </c>
      <c r="B28104">
        <v>11.7</v>
      </c>
    </row>
    <row r="28105" spans="1:2" x14ac:dyDescent="0.25">
      <c r="A28105" s="74">
        <v>32897</v>
      </c>
      <c r="B28105">
        <v>10.9</v>
      </c>
    </row>
    <row r="28106" spans="1:2" x14ac:dyDescent="0.25">
      <c r="A28106" s="74">
        <v>32898</v>
      </c>
      <c r="B28106">
        <v>21.6</v>
      </c>
    </row>
    <row r="28107" spans="1:2" x14ac:dyDescent="0.25">
      <c r="A28107" s="74">
        <v>32899</v>
      </c>
      <c r="B28107">
        <v>22.3</v>
      </c>
    </row>
    <row r="28108" spans="1:2" x14ac:dyDescent="0.25">
      <c r="A28108" s="74">
        <v>32900</v>
      </c>
      <c r="B28108">
        <v>18.5</v>
      </c>
    </row>
    <row r="28109" spans="1:2" x14ac:dyDescent="0.25">
      <c r="A28109" s="74">
        <v>32901</v>
      </c>
      <c r="B28109">
        <v>19.600000000000001</v>
      </c>
    </row>
    <row r="28110" spans="1:2" x14ac:dyDescent="0.25">
      <c r="A28110" s="74">
        <v>32902</v>
      </c>
      <c r="B28110">
        <v>22.8</v>
      </c>
    </row>
    <row r="28111" spans="1:2" x14ac:dyDescent="0.25">
      <c r="A28111" s="74">
        <v>32903</v>
      </c>
      <c r="B28111">
        <v>18.7</v>
      </c>
    </row>
    <row r="28112" spans="1:2" x14ac:dyDescent="0.25">
      <c r="A28112" s="74">
        <v>32904</v>
      </c>
      <c r="B28112">
        <v>15.1</v>
      </c>
    </row>
    <row r="28113" spans="1:2" x14ac:dyDescent="0.25">
      <c r="A28113" s="74">
        <v>32905</v>
      </c>
      <c r="B28113">
        <v>13.2</v>
      </c>
    </row>
    <row r="28114" spans="1:2" x14ac:dyDescent="0.25">
      <c r="A28114" s="74">
        <v>32906</v>
      </c>
      <c r="B28114">
        <v>18.3</v>
      </c>
    </row>
    <row r="28115" spans="1:2" x14ac:dyDescent="0.25">
      <c r="A28115" s="74">
        <v>32907</v>
      </c>
      <c r="B28115">
        <v>107</v>
      </c>
    </row>
    <row r="28116" spans="1:2" x14ac:dyDescent="0.25">
      <c r="A28116" s="74">
        <v>32908</v>
      </c>
      <c r="B28116">
        <v>42</v>
      </c>
    </row>
    <row r="28117" spans="1:2" x14ac:dyDescent="0.25">
      <c r="A28117" s="74">
        <v>32909</v>
      </c>
      <c r="B28117">
        <v>39.799999999999997</v>
      </c>
    </row>
    <row r="28118" spans="1:2" x14ac:dyDescent="0.25">
      <c r="A28118" s="74">
        <v>32910</v>
      </c>
      <c r="B28118">
        <v>29.6</v>
      </c>
    </row>
    <row r="28119" spans="1:2" x14ac:dyDescent="0.25">
      <c r="A28119" s="74">
        <v>32911</v>
      </c>
      <c r="B28119">
        <v>21.1</v>
      </c>
    </row>
    <row r="28120" spans="1:2" x14ac:dyDescent="0.25">
      <c r="A28120" s="74">
        <v>32912</v>
      </c>
      <c r="B28120">
        <v>16.8</v>
      </c>
    </row>
    <row r="28121" spans="1:2" x14ac:dyDescent="0.25">
      <c r="A28121" s="74">
        <v>32913</v>
      </c>
      <c r="B28121">
        <v>14.1</v>
      </c>
    </row>
    <row r="28122" spans="1:2" x14ac:dyDescent="0.25">
      <c r="A28122" s="74">
        <v>32914</v>
      </c>
      <c r="B28122">
        <v>17.399999999999999</v>
      </c>
    </row>
    <row r="28123" spans="1:2" x14ac:dyDescent="0.25">
      <c r="A28123" s="74">
        <v>32915</v>
      </c>
      <c r="B28123">
        <v>32.700000000000003</v>
      </c>
    </row>
    <row r="28124" spans="1:2" x14ac:dyDescent="0.25">
      <c r="A28124" s="74">
        <v>32916</v>
      </c>
      <c r="B28124">
        <v>24.6</v>
      </c>
    </row>
    <row r="28125" spans="1:2" x14ac:dyDescent="0.25">
      <c r="A28125" s="74">
        <v>32917</v>
      </c>
      <c r="B28125">
        <v>18.399999999999999</v>
      </c>
    </row>
    <row r="28126" spans="1:2" x14ac:dyDescent="0.25">
      <c r="A28126" s="74">
        <v>32918</v>
      </c>
      <c r="B28126">
        <v>14.4</v>
      </c>
    </row>
    <row r="28127" spans="1:2" x14ac:dyDescent="0.25">
      <c r="A28127" s="74">
        <v>32919</v>
      </c>
      <c r="B28127">
        <v>12.7</v>
      </c>
    </row>
    <row r="28128" spans="1:2" x14ac:dyDescent="0.25">
      <c r="A28128" s="74">
        <v>32920</v>
      </c>
      <c r="B28128">
        <v>10.7</v>
      </c>
    </row>
    <row r="28129" spans="1:2" x14ac:dyDescent="0.25">
      <c r="A28129" s="74">
        <v>32921</v>
      </c>
      <c r="B28129">
        <v>8.9700000000000006</v>
      </c>
    </row>
    <row r="28130" spans="1:2" x14ac:dyDescent="0.25">
      <c r="A28130" s="74">
        <v>32922</v>
      </c>
      <c r="B28130">
        <v>7.6</v>
      </c>
    </row>
    <row r="28131" spans="1:2" x14ac:dyDescent="0.25">
      <c r="A28131" s="74">
        <v>32923</v>
      </c>
      <c r="B28131">
        <v>6.9</v>
      </c>
    </row>
    <row r="28132" spans="1:2" x14ac:dyDescent="0.25">
      <c r="A28132" s="74">
        <v>32924</v>
      </c>
      <c r="B28132">
        <v>6.87</v>
      </c>
    </row>
    <row r="28133" spans="1:2" x14ac:dyDescent="0.25">
      <c r="A28133" s="74">
        <v>32925</v>
      </c>
      <c r="B28133">
        <v>7.03</v>
      </c>
    </row>
    <row r="28134" spans="1:2" x14ac:dyDescent="0.25">
      <c r="A28134" s="74">
        <v>32926</v>
      </c>
      <c r="B28134">
        <v>6.79</v>
      </c>
    </row>
    <row r="28135" spans="1:2" x14ac:dyDescent="0.25">
      <c r="A28135" s="74">
        <v>32927</v>
      </c>
      <c r="B28135">
        <v>6.5</v>
      </c>
    </row>
    <row r="28136" spans="1:2" x14ac:dyDescent="0.25">
      <c r="A28136" s="74">
        <v>32928</v>
      </c>
      <c r="B28136">
        <v>7.58</v>
      </c>
    </row>
    <row r="28137" spans="1:2" x14ac:dyDescent="0.25">
      <c r="A28137" s="74">
        <v>32929</v>
      </c>
      <c r="B28137">
        <v>9.57</v>
      </c>
    </row>
    <row r="28138" spans="1:2" x14ac:dyDescent="0.25">
      <c r="A28138" s="74">
        <v>32930</v>
      </c>
      <c r="B28138">
        <v>9.85</v>
      </c>
    </row>
    <row r="28139" spans="1:2" x14ac:dyDescent="0.25">
      <c r="A28139" s="74">
        <v>32931</v>
      </c>
      <c r="B28139">
        <v>9.44</v>
      </c>
    </row>
    <row r="28140" spans="1:2" x14ac:dyDescent="0.25">
      <c r="A28140" s="74">
        <v>32932</v>
      </c>
      <c r="B28140">
        <v>8.6999999999999993</v>
      </c>
    </row>
    <row r="28141" spans="1:2" x14ac:dyDescent="0.25">
      <c r="A28141" s="74">
        <v>32933</v>
      </c>
      <c r="B28141">
        <v>8.33</v>
      </c>
    </row>
    <row r="28142" spans="1:2" x14ac:dyDescent="0.25">
      <c r="A28142" s="74">
        <v>32934</v>
      </c>
      <c r="B28142">
        <v>8.2100000000000009</v>
      </c>
    </row>
    <row r="28143" spans="1:2" x14ac:dyDescent="0.25">
      <c r="A28143" s="74">
        <v>32935</v>
      </c>
      <c r="B28143">
        <v>8.1300000000000008</v>
      </c>
    </row>
    <row r="28144" spans="1:2" x14ac:dyDescent="0.25">
      <c r="A28144" s="74">
        <v>32936</v>
      </c>
      <c r="B28144">
        <v>9.24</v>
      </c>
    </row>
    <row r="28145" spans="1:2" x14ac:dyDescent="0.25">
      <c r="A28145" s="74">
        <v>32937</v>
      </c>
      <c r="B28145">
        <v>10.7</v>
      </c>
    </row>
    <row r="28146" spans="1:2" x14ac:dyDescent="0.25">
      <c r="A28146" s="74">
        <v>32938</v>
      </c>
      <c r="B28146">
        <v>12.5</v>
      </c>
    </row>
    <row r="28147" spans="1:2" x14ac:dyDescent="0.25">
      <c r="A28147" s="74">
        <v>32939</v>
      </c>
      <c r="B28147">
        <v>13.7</v>
      </c>
    </row>
    <row r="28148" spans="1:2" x14ac:dyDescent="0.25">
      <c r="A28148" s="74">
        <v>32940</v>
      </c>
      <c r="B28148">
        <v>12.4</v>
      </c>
    </row>
    <row r="28149" spans="1:2" x14ac:dyDescent="0.25">
      <c r="A28149" s="74">
        <v>32941</v>
      </c>
      <c r="B28149">
        <v>12.1</v>
      </c>
    </row>
    <row r="28150" spans="1:2" x14ac:dyDescent="0.25">
      <c r="A28150" s="74">
        <v>32942</v>
      </c>
      <c r="B28150">
        <v>20.6</v>
      </c>
    </row>
    <row r="28151" spans="1:2" x14ac:dyDescent="0.25">
      <c r="A28151" s="74">
        <v>32943</v>
      </c>
      <c r="B28151">
        <v>16.600000000000001</v>
      </c>
    </row>
    <row r="28152" spans="1:2" x14ac:dyDescent="0.25">
      <c r="A28152" s="74">
        <v>32944</v>
      </c>
      <c r="B28152">
        <v>12.9</v>
      </c>
    </row>
    <row r="28153" spans="1:2" x14ac:dyDescent="0.25">
      <c r="A28153" s="74">
        <v>32945</v>
      </c>
      <c r="B28153">
        <v>10.8</v>
      </c>
    </row>
    <row r="28154" spans="1:2" x14ac:dyDescent="0.25">
      <c r="A28154" s="74">
        <v>32946</v>
      </c>
      <c r="B28154">
        <v>12.6</v>
      </c>
    </row>
    <row r="28155" spans="1:2" x14ac:dyDescent="0.25">
      <c r="A28155" s="74">
        <v>32947</v>
      </c>
      <c r="B28155">
        <v>12.8</v>
      </c>
    </row>
    <row r="28156" spans="1:2" x14ac:dyDescent="0.25">
      <c r="A28156" s="74">
        <v>32948</v>
      </c>
      <c r="B28156">
        <v>12.1</v>
      </c>
    </row>
    <row r="28157" spans="1:2" x14ac:dyDescent="0.25">
      <c r="A28157" s="74">
        <v>32949</v>
      </c>
      <c r="B28157">
        <v>15.4</v>
      </c>
    </row>
    <row r="28158" spans="1:2" x14ac:dyDescent="0.25">
      <c r="A28158" s="74">
        <v>32950</v>
      </c>
      <c r="B28158">
        <v>22.6</v>
      </c>
    </row>
    <row r="28159" spans="1:2" x14ac:dyDescent="0.25">
      <c r="A28159" s="74">
        <v>32951</v>
      </c>
      <c r="B28159">
        <v>20.2</v>
      </c>
    </row>
    <row r="28160" spans="1:2" x14ac:dyDescent="0.25">
      <c r="A28160" s="74">
        <v>32952</v>
      </c>
      <c r="B28160">
        <v>19.100000000000001</v>
      </c>
    </row>
    <row r="28161" spans="1:2" x14ac:dyDescent="0.25">
      <c r="A28161" s="74">
        <v>32953</v>
      </c>
      <c r="B28161">
        <v>19</v>
      </c>
    </row>
    <row r="28162" spans="1:2" x14ac:dyDescent="0.25">
      <c r="A28162" s="74">
        <v>32954</v>
      </c>
      <c r="B28162">
        <v>17.7</v>
      </c>
    </row>
    <row r="28163" spans="1:2" x14ac:dyDescent="0.25">
      <c r="A28163" s="74">
        <v>32955</v>
      </c>
      <c r="B28163">
        <v>15.8</v>
      </c>
    </row>
    <row r="28164" spans="1:2" x14ac:dyDescent="0.25">
      <c r="A28164" s="74">
        <v>32956</v>
      </c>
      <c r="B28164">
        <v>13.2</v>
      </c>
    </row>
    <row r="28165" spans="1:2" x14ac:dyDescent="0.25">
      <c r="A28165" s="74">
        <v>32957</v>
      </c>
      <c r="B28165">
        <v>11.2</v>
      </c>
    </row>
    <row r="28166" spans="1:2" x14ac:dyDescent="0.25">
      <c r="A28166" s="74">
        <v>32958</v>
      </c>
      <c r="B28166">
        <v>10.4</v>
      </c>
    </row>
    <row r="28167" spans="1:2" x14ac:dyDescent="0.25">
      <c r="A28167" s="74">
        <v>32959</v>
      </c>
      <c r="B28167">
        <v>9.7200000000000006</v>
      </c>
    </row>
    <row r="28168" spans="1:2" x14ac:dyDescent="0.25">
      <c r="A28168" s="74">
        <v>32960</v>
      </c>
      <c r="B28168">
        <v>10.1</v>
      </c>
    </row>
    <row r="28169" spans="1:2" x14ac:dyDescent="0.25">
      <c r="A28169" s="74">
        <v>32961</v>
      </c>
      <c r="B28169">
        <v>11.1</v>
      </c>
    </row>
    <row r="28170" spans="1:2" x14ac:dyDescent="0.25">
      <c r="A28170" s="74">
        <v>32962</v>
      </c>
      <c r="B28170">
        <v>12.4</v>
      </c>
    </row>
    <row r="28171" spans="1:2" x14ac:dyDescent="0.25">
      <c r="A28171" s="74">
        <v>32963</v>
      </c>
      <c r="B28171">
        <v>14.2</v>
      </c>
    </row>
    <row r="28172" spans="1:2" x14ac:dyDescent="0.25">
      <c r="A28172" s="74">
        <v>32964</v>
      </c>
      <c r="B28172">
        <v>15.7</v>
      </c>
    </row>
    <row r="28173" spans="1:2" x14ac:dyDescent="0.25">
      <c r="A28173" s="74">
        <v>32965</v>
      </c>
      <c r="B28173">
        <v>16.100000000000001</v>
      </c>
    </row>
    <row r="28174" spans="1:2" x14ac:dyDescent="0.25">
      <c r="A28174" s="74">
        <v>32966</v>
      </c>
      <c r="B28174">
        <v>14.9</v>
      </c>
    </row>
    <row r="28175" spans="1:2" x14ac:dyDescent="0.25">
      <c r="A28175" s="74">
        <v>32967</v>
      </c>
      <c r="B28175">
        <v>13.3</v>
      </c>
    </row>
    <row r="28176" spans="1:2" x14ac:dyDescent="0.25">
      <c r="A28176" s="74">
        <v>32968</v>
      </c>
      <c r="B28176">
        <v>12.2</v>
      </c>
    </row>
    <row r="28177" spans="1:2" x14ac:dyDescent="0.25">
      <c r="A28177" s="74">
        <v>32969</v>
      </c>
      <c r="B28177">
        <v>11.6</v>
      </c>
    </row>
    <row r="28178" spans="1:2" x14ac:dyDescent="0.25">
      <c r="A28178" s="74">
        <v>32970</v>
      </c>
      <c r="B28178">
        <v>11.6</v>
      </c>
    </row>
    <row r="28179" spans="1:2" x14ac:dyDescent="0.25">
      <c r="A28179" s="74">
        <v>32971</v>
      </c>
      <c r="B28179">
        <v>11.9</v>
      </c>
    </row>
    <row r="28180" spans="1:2" x14ac:dyDescent="0.25">
      <c r="A28180" s="74">
        <v>32972</v>
      </c>
      <c r="B28180">
        <v>10.199999999999999</v>
      </c>
    </row>
    <row r="28181" spans="1:2" x14ac:dyDescent="0.25">
      <c r="A28181" s="74">
        <v>32973</v>
      </c>
      <c r="B28181">
        <v>9.34</v>
      </c>
    </row>
    <row r="28182" spans="1:2" x14ac:dyDescent="0.25">
      <c r="A28182" s="74">
        <v>32974</v>
      </c>
      <c r="B28182">
        <v>10.1</v>
      </c>
    </row>
    <row r="28183" spans="1:2" x14ac:dyDescent="0.25">
      <c r="A28183" s="74">
        <v>32975</v>
      </c>
      <c r="B28183">
        <v>11.8</v>
      </c>
    </row>
    <row r="28184" spans="1:2" x14ac:dyDescent="0.25">
      <c r="A28184" s="74">
        <v>32976</v>
      </c>
      <c r="B28184">
        <v>11.1</v>
      </c>
    </row>
    <row r="28185" spans="1:2" x14ac:dyDescent="0.25">
      <c r="A28185" s="74">
        <v>32977</v>
      </c>
      <c r="B28185">
        <v>12.5</v>
      </c>
    </row>
    <row r="28186" spans="1:2" x14ac:dyDescent="0.25">
      <c r="A28186" s="74">
        <v>32978</v>
      </c>
      <c r="B28186">
        <v>12.8</v>
      </c>
    </row>
    <row r="28187" spans="1:2" x14ac:dyDescent="0.25">
      <c r="A28187" s="74">
        <v>32979</v>
      </c>
      <c r="B28187">
        <v>15.5</v>
      </c>
    </row>
    <row r="28188" spans="1:2" x14ac:dyDescent="0.25">
      <c r="A28188" s="74">
        <v>32980</v>
      </c>
      <c r="B28188">
        <v>19</v>
      </c>
    </row>
    <row r="28189" spans="1:2" x14ac:dyDescent="0.25">
      <c r="A28189" s="74">
        <v>32981</v>
      </c>
      <c r="B28189">
        <v>16</v>
      </c>
    </row>
    <row r="28190" spans="1:2" x14ac:dyDescent="0.25">
      <c r="A28190" s="74">
        <v>32982</v>
      </c>
      <c r="B28190">
        <v>13.6</v>
      </c>
    </row>
    <row r="28191" spans="1:2" x14ac:dyDescent="0.25">
      <c r="A28191" s="74">
        <v>32983</v>
      </c>
      <c r="B28191">
        <v>14.4</v>
      </c>
    </row>
    <row r="28192" spans="1:2" x14ac:dyDescent="0.25">
      <c r="A28192" s="74">
        <v>32984</v>
      </c>
      <c r="B28192">
        <v>12.3</v>
      </c>
    </row>
    <row r="28193" spans="1:2" x14ac:dyDescent="0.25">
      <c r="A28193" s="74">
        <v>32985</v>
      </c>
      <c r="B28193">
        <v>10.5</v>
      </c>
    </row>
    <row r="28194" spans="1:2" x14ac:dyDescent="0.25">
      <c r="A28194" s="74">
        <v>32986</v>
      </c>
      <c r="B28194">
        <v>14.4</v>
      </c>
    </row>
    <row r="28195" spans="1:2" x14ac:dyDescent="0.25">
      <c r="A28195" s="74">
        <v>32987</v>
      </c>
      <c r="B28195">
        <v>15.4</v>
      </c>
    </row>
    <row r="28196" spans="1:2" x14ac:dyDescent="0.25">
      <c r="A28196" s="74">
        <v>32988</v>
      </c>
      <c r="B28196">
        <v>12.5</v>
      </c>
    </row>
    <row r="28197" spans="1:2" x14ac:dyDescent="0.25">
      <c r="A28197" s="74">
        <v>32989</v>
      </c>
      <c r="B28197">
        <v>10.5</v>
      </c>
    </row>
    <row r="28198" spans="1:2" x14ac:dyDescent="0.25">
      <c r="A28198" s="74">
        <v>32990</v>
      </c>
      <c r="B28198">
        <v>9.15</v>
      </c>
    </row>
    <row r="28199" spans="1:2" x14ac:dyDescent="0.25">
      <c r="A28199" s="74">
        <v>32991</v>
      </c>
      <c r="B28199">
        <v>8.2899999999999991</v>
      </c>
    </row>
    <row r="28200" spans="1:2" x14ac:dyDescent="0.25">
      <c r="A28200" s="74">
        <v>32992</v>
      </c>
      <c r="B28200">
        <v>7.05</v>
      </c>
    </row>
    <row r="28201" spans="1:2" x14ac:dyDescent="0.25">
      <c r="A28201" s="74">
        <v>32993</v>
      </c>
      <c r="B28201">
        <v>6.51</v>
      </c>
    </row>
    <row r="28202" spans="1:2" x14ac:dyDescent="0.25">
      <c r="A28202" s="74">
        <v>32994</v>
      </c>
      <c r="B28202">
        <v>6.59</v>
      </c>
    </row>
    <row r="28203" spans="1:2" x14ac:dyDescent="0.25">
      <c r="A28203" s="74">
        <v>32995</v>
      </c>
      <c r="B28203">
        <v>8.4600000000000009</v>
      </c>
    </row>
    <row r="28204" spans="1:2" x14ac:dyDescent="0.25">
      <c r="A28204" s="74">
        <v>32996</v>
      </c>
      <c r="B28204">
        <v>9.25</v>
      </c>
    </row>
    <row r="28205" spans="1:2" x14ac:dyDescent="0.25">
      <c r="A28205" s="74">
        <v>32997</v>
      </c>
      <c r="B28205">
        <v>10</v>
      </c>
    </row>
    <row r="28206" spans="1:2" x14ac:dyDescent="0.25">
      <c r="A28206" s="74">
        <v>32998</v>
      </c>
      <c r="B28206">
        <v>11.7</v>
      </c>
    </row>
    <row r="28207" spans="1:2" x14ac:dyDescent="0.25">
      <c r="A28207" s="74">
        <v>32999</v>
      </c>
      <c r="B28207">
        <v>10.6</v>
      </c>
    </row>
    <row r="28208" spans="1:2" x14ac:dyDescent="0.25">
      <c r="A28208" s="74">
        <v>33000</v>
      </c>
      <c r="B28208">
        <v>7.66</v>
      </c>
    </row>
    <row r="28209" spans="1:2" x14ac:dyDescent="0.25">
      <c r="A28209" s="74">
        <v>33001</v>
      </c>
      <c r="B28209">
        <v>6.27</v>
      </c>
    </row>
    <row r="28210" spans="1:2" x14ac:dyDescent="0.25">
      <c r="A28210" s="74">
        <v>33002</v>
      </c>
      <c r="B28210">
        <v>5.46</v>
      </c>
    </row>
    <row r="28211" spans="1:2" x14ac:dyDescent="0.25">
      <c r="A28211" s="74">
        <v>33003</v>
      </c>
      <c r="B28211">
        <v>5.44</v>
      </c>
    </row>
    <row r="28212" spans="1:2" x14ac:dyDescent="0.25">
      <c r="A28212" s="74">
        <v>33004</v>
      </c>
      <c r="B28212">
        <v>5.69</v>
      </c>
    </row>
    <row r="28213" spans="1:2" x14ac:dyDescent="0.25">
      <c r="A28213" s="74">
        <v>33005</v>
      </c>
      <c r="B28213">
        <v>6.14</v>
      </c>
    </row>
    <row r="28214" spans="1:2" x14ac:dyDescent="0.25">
      <c r="A28214" s="74">
        <v>33006</v>
      </c>
      <c r="B28214">
        <v>5.72</v>
      </c>
    </row>
    <row r="28215" spans="1:2" x14ac:dyDescent="0.25">
      <c r="A28215" s="74">
        <v>33007</v>
      </c>
      <c r="B28215">
        <v>5.69</v>
      </c>
    </row>
    <row r="28216" spans="1:2" x14ac:dyDescent="0.25">
      <c r="A28216" s="74">
        <v>33008</v>
      </c>
      <c r="B28216">
        <v>5.35</v>
      </c>
    </row>
    <row r="28217" spans="1:2" x14ac:dyDescent="0.25">
      <c r="A28217" s="74">
        <v>33009</v>
      </c>
      <c r="B28217">
        <v>5.16</v>
      </c>
    </row>
    <row r="28218" spans="1:2" x14ac:dyDescent="0.25">
      <c r="A28218" s="74">
        <v>33010</v>
      </c>
      <c r="B28218">
        <v>5.0999999999999996</v>
      </c>
    </row>
    <row r="28219" spans="1:2" x14ac:dyDescent="0.25">
      <c r="A28219" s="74">
        <v>33011</v>
      </c>
      <c r="B28219">
        <v>5.19</v>
      </c>
    </row>
    <row r="28220" spans="1:2" x14ac:dyDescent="0.25">
      <c r="A28220" s="74">
        <v>33012</v>
      </c>
      <c r="B28220">
        <v>5.28</v>
      </c>
    </row>
    <row r="28221" spans="1:2" x14ac:dyDescent="0.25">
      <c r="A28221" s="74">
        <v>33013</v>
      </c>
      <c r="B28221">
        <v>5</v>
      </c>
    </row>
    <row r="28222" spans="1:2" x14ac:dyDescent="0.25">
      <c r="A28222" s="74">
        <v>33014</v>
      </c>
      <c r="B28222">
        <v>4.84</v>
      </c>
    </row>
    <row r="28223" spans="1:2" x14ac:dyDescent="0.25">
      <c r="A28223" s="74">
        <v>33015</v>
      </c>
      <c r="B28223">
        <v>8.17</v>
      </c>
    </row>
    <row r="28224" spans="1:2" x14ac:dyDescent="0.25">
      <c r="A28224" s="74">
        <v>33016</v>
      </c>
      <c r="B28224">
        <v>7.65</v>
      </c>
    </row>
    <row r="28225" spans="1:2" x14ac:dyDescent="0.25">
      <c r="A28225" s="74">
        <v>33017</v>
      </c>
      <c r="B28225">
        <v>6.18</v>
      </c>
    </row>
    <row r="28226" spans="1:2" x14ac:dyDescent="0.25">
      <c r="A28226" s="74">
        <v>33018</v>
      </c>
      <c r="B28226">
        <v>5.22</v>
      </c>
    </row>
    <row r="28227" spans="1:2" x14ac:dyDescent="0.25">
      <c r="A28227" s="74">
        <v>33019</v>
      </c>
      <c r="B28227">
        <v>4.68</v>
      </c>
    </row>
    <row r="28228" spans="1:2" x14ac:dyDescent="0.25">
      <c r="A28228" s="74">
        <v>33020</v>
      </c>
      <c r="B28228">
        <v>4.6500000000000004</v>
      </c>
    </row>
    <row r="28229" spans="1:2" x14ac:dyDescent="0.25">
      <c r="A28229" s="74">
        <v>33021</v>
      </c>
      <c r="B28229">
        <v>4.97</v>
      </c>
    </row>
    <row r="28230" spans="1:2" x14ac:dyDescent="0.25">
      <c r="A28230" s="74">
        <v>33022</v>
      </c>
      <c r="B28230">
        <v>5.05</v>
      </c>
    </row>
    <row r="28231" spans="1:2" x14ac:dyDescent="0.25">
      <c r="A28231" s="74">
        <v>33023</v>
      </c>
      <c r="B28231">
        <v>4.8899999999999997</v>
      </c>
    </row>
    <row r="28232" spans="1:2" x14ac:dyDescent="0.25">
      <c r="A28232" s="74">
        <v>33024</v>
      </c>
      <c r="B28232">
        <v>4.6500000000000004</v>
      </c>
    </row>
    <row r="28233" spans="1:2" x14ac:dyDescent="0.25">
      <c r="A28233" s="74">
        <v>33025</v>
      </c>
      <c r="B28233">
        <v>4.8499999999999996</v>
      </c>
    </row>
    <row r="28234" spans="1:2" x14ac:dyDescent="0.25">
      <c r="A28234" s="74">
        <v>33026</v>
      </c>
      <c r="B28234">
        <v>4.9000000000000004</v>
      </c>
    </row>
    <row r="28235" spans="1:2" x14ac:dyDescent="0.25">
      <c r="A28235" s="74">
        <v>33027</v>
      </c>
      <c r="B28235">
        <v>18.100000000000001</v>
      </c>
    </row>
    <row r="28236" spans="1:2" x14ac:dyDescent="0.25">
      <c r="A28236" s="74">
        <v>33028</v>
      </c>
      <c r="B28236">
        <v>16.100000000000001</v>
      </c>
    </row>
    <row r="28237" spans="1:2" x14ac:dyDescent="0.25">
      <c r="A28237" s="74">
        <v>33029</v>
      </c>
      <c r="B28237">
        <v>11.8</v>
      </c>
    </row>
    <row r="28238" spans="1:2" x14ac:dyDescent="0.25">
      <c r="A28238" s="74">
        <v>33030</v>
      </c>
      <c r="B28238">
        <v>8.99</v>
      </c>
    </row>
    <row r="28239" spans="1:2" x14ac:dyDescent="0.25">
      <c r="A28239" s="74">
        <v>33031</v>
      </c>
      <c r="B28239">
        <v>8.24</v>
      </c>
    </row>
    <row r="28240" spans="1:2" x14ac:dyDescent="0.25">
      <c r="A28240" s="74">
        <v>33032</v>
      </c>
      <c r="B28240">
        <v>7.53</v>
      </c>
    </row>
    <row r="28241" spans="1:2" x14ac:dyDescent="0.25">
      <c r="A28241" s="74">
        <v>33033</v>
      </c>
      <c r="B28241">
        <v>7.34</v>
      </c>
    </row>
    <row r="28242" spans="1:2" x14ac:dyDescent="0.25">
      <c r="A28242" s="74">
        <v>33034</v>
      </c>
      <c r="B28242">
        <v>10.6</v>
      </c>
    </row>
    <row r="28243" spans="1:2" x14ac:dyDescent="0.25">
      <c r="A28243" s="74">
        <v>33035</v>
      </c>
      <c r="B28243">
        <v>12.2</v>
      </c>
    </row>
    <row r="28244" spans="1:2" x14ac:dyDescent="0.25">
      <c r="A28244" s="74">
        <v>33036</v>
      </c>
      <c r="B28244">
        <v>9.7200000000000006</v>
      </c>
    </row>
    <row r="28245" spans="1:2" x14ac:dyDescent="0.25">
      <c r="A28245" s="74">
        <v>33037</v>
      </c>
      <c r="B28245">
        <v>8.48</v>
      </c>
    </row>
    <row r="28246" spans="1:2" x14ac:dyDescent="0.25">
      <c r="A28246" s="74">
        <v>33038</v>
      </c>
      <c r="B28246">
        <v>7.44</v>
      </c>
    </row>
    <row r="28247" spans="1:2" x14ac:dyDescent="0.25">
      <c r="A28247" s="74">
        <v>33039</v>
      </c>
      <c r="B28247">
        <v>6.7</v>
      </c>
    </row>
    <row r="28248" spans="1:2" x14ac:dyDescent="0.25">
      <c r="A28248" s="74">
        <v>33040</v>
      </c>
      <c r="B28248">
        <v>6.21</v>
      </c>
    </row>
    <row r="28249" spans="1:2" x14ac:dyDescent="0.25">
      <c r="A28249" s="74">
        <v>33041</v>
      </c>
      <c r="B28249">
        <v>5.09</v>
      </c>
    </row>
    <row r="28250" spans="1:2" x14ac:dyDescent="0.25">
      <c r="A28250" s="74">
        <v>33042</v>
      </c>
      <c r="B28250">
        <v>4.87</v>
      </c>
    </row>
    <row r="28251" spans="1:2" x14ac:dyDescent="0.25">
      <c r="A28251" s="74">
        <v>33043</v>
      </c>
      <c r="B28251">
        <v>4.74</v>
      </c>
    </row>
    <row r="28252" spans="1:2" x14ac:dyDescent="0.25">
      <c r="A28252" s="74">
        <v>33044</v>
      </c>
      <c r="B28252">
        <v>4.59</v>
      </c>
    </row>
    <row r="28253" spans="1:2" x14ac:dyDescent="0.25">
      <c r="A28253" s="74">
        <v>33045</v>
      </c>
      <c r="B28253">
        <v>3.88</v>
      </c>
    </row>
    <row r="28254" spans="1:2" x14ac:dyDescent="0.25">
      <c r="A28254" s="74">
        <v>33046</v>
      </c>
      <c r="B28254">
        <v>3.71</v>
      </c>
    </row>
    <row r="28255" spans="1:2" x14ac:dyDescent="0.25">
      <c r="A28255" s="74">
        <v>33047</v>
      </c>
      <c r="B28255">
        <v>3.53</v>
      </c>
    </row>
    <row r="28256" spans="1:2" x14ac:dyDescent="0.25">
      <c r="A28256" s="74">
        <v>33048</v>
      </c>
      <c r="B28256">
        <v>3.15</v>
      </c>
    </row>
    <row r="28257" spans="1:2" x14ac:dyDescent="0.25">
      <c r="A28257" s="74">
        <v>33049</v>
      </c>
      <c r="B28257">
        <v>2.84</v>
      </c>
    </row>
    <row r="28258" spans="1:2" x14ac:dyDescent="0.25">
      <c r="A28258" s="74">
        <v>33050</v>
      </c>
      <c r="B28258">
        <v>2.59</v>
      </c>
    </row>
    <row r="28259" spans="1:2" x14ac:dyDescent="0.25">
      <c r="A28259" s="74">
        <v>33051</v>
      </c>
      <c r="B28259">
        <v>2.44</v>
      </c>
    </row>
    <row r="28260" spans="1:2" x14ac:dyDescent="0.25">
      <c r="A28260" s="74">
        <v>33052</v>
      </c>
      <c r="B28260">
        <v>2.5099999999999998</v>
      </c>
    </row>
    <row r="28261" spans="1:2" x14ac:dyDescent="0.25">
      <c r="A28261" s="74">
        <v>33053</v>
      </c>
      <c r="B28261">
        <v>2.95</v>
      </c>
    </row>
    <row r="28262" spans="1:2" x14ac:dyDescent="0.25">
      <c r="A28262" s="74">
        <v>33054</v>
      </c>
      <c r="B28262">
        <v>3.39</v>
      </c>
    </row>
    <row r="28263" spans="1:2" x14ac:dyDescent="0.25">
      <c r="A28263" s="74">
        <v>33055</v>
      </c>
      <c r="B28263">
        <v>3.32</v>
      </c>
    </row>
    <row r="28264" spans="1:2" x14ac:dyDescent="0.25">
      <c r="A28264" s="74">
        <v>33056</v>
      </c>
      <c r="B28264">
        <v>3.03</v>
      </c>
    </row>
    <row r="28265" spans="1:2" x14ac:dyDescent="0.25">
      <c r="A28265" s="74">
        <v>33057</v>
      </c>
      <c r="B28265">
        <v>2.4500000000000002</v>
      </c>
    </row>
    <row r="28266" spans="1:2" x14ac:dyDescent="0.25">
      <c r="A28266" s="74">
        <v>33058</v>
      </c>
      <c r="B28266">
        <v>2.11</v>
      </c>
    </row>
    <row r="28267" spans="1:2" x14ac:dyDescent="0.25">
      <c r="A28267" s="74">
        <v>33059</v>
      </c>
      <c r="B28267">
        <v>2.2000000000000002</v>
      </c>
    </row>
    <row r="28268" spans="1:2" x14ac:dyDescent="0.25">
      <c r="A28268" s="74">
        <v>33060</v>
      </c>
      <c r="B28268">
        <v>2.1800000000000002</v>
      </c>
    </row>
    <row r="28269" spans="1:2" x14ac:dyDescent="0.25">
      <c r="A28269" s="74">
        <v>33061</v>
      </c>
      <c r="B28269">
        <v>2.13</v>
      </c>
    </row>
    <row r="28270" spans="1:2" x14ac:dyDescent="0.25">
      <c r="A28270" s="74">
        <v>33062</v>
      </c>
      <c r="B28270">
        <v>1.94</v>
      </c>
    </row>
    <row r="28271" spans="1:2" x14ac:dyDescent="0.25">
      <c r="A28271" s="74">
        <v>33063</v>
      </c>
      <c r="B28271">
        <v>1.87</v>
      </c>
    </row>
    <row r="28272" spans="1:2" x14ac:dyDescent="0.25">
      <c r="A28272" s="74">
        <v>33064</v>
      </c>
      <c r="B28272">
        <v>1.62</v>
      </c>
    </row>
    <row r="28273" spans="1:2" x14ac:dyDescent="0.25">
      <c r="A28273" s="74">
        <v>33065</v>
      </c>
      <c r="B28273">
        <v>1.59</v>
      </c>
    </row>
    <row r="28274" spans="1:2" x14ac:dyDescent="0.25">
      <c r="A28274" s="74">
        <v>33066</v>
      </c>
      <c r="B28274">
        <v>1.56</v>
      </c>
    </row>
    <row r="28275" spans="1:2" x14ac:dyDescent="0.25">
      <c r="A28275" s="74">
        <v>33067</v>
      </c>
      <c r="B28275">
        <v>1.44</v>
      </c>
    </row>
    <row r="28276" spans="1:2" x14ac:dyDescent="0.25">
      <c r="A28276" s="74">
        <v>33068</v>
      </c>
      <c r="B28276">
        <v>1.17</v>
      </c>
    </row>
    <row r="28277" spans="1:2" x14ac:dyDescent="0.25">
      <c r="A28277" s="74">
        <v>33069</v>
      </c>
      <c r="B28277">
        <v>1.1499999999999999</v>
      </c>
    </row>
    <row r="28278" spans="1:2" x14ac:dyDescent="0.25">
      <c r="A28278" s="74">
        <v>33070</v>
      </c>
      <c r="B28278">
        <v>1.07</v>
      </c>
    </row>
    <row r="28279" spans="1:2" x14ac:dyDescent="0.25">
      <c r="A28279" s="74">
        <v>33071</v>
      </c>
      <c r="B28279">
        <v>1.02</v>
      </c>
    </row>
    <row r="28280" spans="1:2" x14ac:dyDescent="0.25">
      <c r="A28280" s="74">
        <v>33072</v>
      </c>
      <c r="B28280">
        <v>0.86299999999999999</v>
      </c>
    </row>
    <row r="28281" spans="1:2" x14ac:dyDescent="0.25">
      <c r="A28281" s="74">
        <v>33073</v>
      </c>
      <c r="B28281">
        <v>0.81200000000000006</v>
      </c>
    </row>
    <row r="28282" spans="1:2" x14ac:dyDescent="0.25">
      <c r="A28282" s="74">
        <v>33074</v>
      </c>
      <c r="B28282">
        <v>0.77</v>
      </c>
    </row>
    <row r="28283" spans="1:2" x14ac:dyDescent="0.25">
      <c r="A28283" s="74">
        <v>33075</v>
      </c>
      <c r="B28283">
        <v>0.69799999999999995</v>
      </c>
    </row>
    <row r="28284" spans="1:2" x14ac:dyDescent="0.25">
      <c r="A28284" s="74">
        <v>33076</v>
      </c>
      <c r="B28284">
        <v>0.72499999999999998</v>
      </c>
    </row>
    <row r="28285" spans="1:2" x14ac:dyDescent="0.25">
      <c r="A28285" s="74">
        <v>33077</v>
      </c>
      <c r="B28285">
        <v>0.66500000000000004</v>
      </c>
    </row>
    <row r="28286" spans="1:2" x14ac:dyDescent="0.25">
      <c r="A28286" s="74">
        <v>33078</v>
      </c>
      <c r="B28286">
        <v>0.61699999999999999</v>
      </c>
    </row>
    <row r="28287" spans="1:2" x14ac:dyDescent="0.25">
      <c r="A28287" s="74">
        <v>33079</v>
      </c>
      <c r="B28287">
        <v>0.58299999999999996</v>
      </c>
    </row>
    <row r="28288" spans="1:2" x14ac:dyDescent="0.25">
      <c r="A28288" s="74">
        <v>33080</v>
      </c>
      <c r="B28288">
        <v>0.58699999999999997</v>
      </c>
    </row>
    <row r="28289" spans="1:2" x14ac:dyDescent="0.25">
      <c r="A28289" s="74">
        <v>33081</v>
      </c>
      <c r="B28289">
        <v>0.60599999999999998</v>
      </c>
    </row>
    <row r="28290" spans="1:2" x14ac:dyDescent="0.25">
      <c r="A28290" s="74">
        <v>33082</v>
      </c>
      <c r="B28290">
        <v>0.59799999999999998</v>
      </c>
    </row>
    <row r="28291" spans="1:2" x14ac:dyDescent="0.25">
      <c r="A28291" s="74">
        <v>33083</v>
      </c>
      <c r="B28291">
        <v>0.53700000000000003</v>
      </c>
    </row>
    <row r="28292" spans="1:2" x14ac:dyDescent="0.25">
      <c r="A28292" s="74">
        <v>33084</v>
      </c>
      <c r="B28292">
        <v>0.44800000000000001</v>
      </c>
    </row>
    <row r="28293" spans="1:2" x14ac:dyDescent="0.25">
      <c r="A28293" s="74">
        <v>33085</v>
      </c>
      <c r="B28293">
        <v>0.498</v>
      </c>
    </row>
    <row r="28294" spans="1:2" x14ac:dyDescent="0.25">
      <c r="A28294" s="74">
        <v>33086</v>
      </c>
      <c r="B28294">
        <v>0.57499999999999996</v>
      </c>
    </row>
    <row r="28295" spans="1:2" x14ac:dyDescent="0.25">
      <c r="A28295" s="74">
        <v>33087</v>
      </c>
      <c r="B28295">
        <v>0.56100000000000005</v>
      </c>
    </row>
    <row r="28296" spans="1:2" x14ac:dyDescent="0.25">
      <c r="A28296" s="74">
        <v>33088</v>
      </c>
      <c r="B28296">
        <v>0.52700000000000002</v>
      </c>
    </row>
    <row r="28297" spans="1:2" x14ac:dyDescent="0.25">
      <c r="A28297" s="74">
        <v>33089</v>
      </c>
      <c r="B28297">
        <v>0.47699999999999998</v>
      </c>
    </row>
    <row r="28298" spans="1:2" x14ac:dyDescent="0.25">
      <c r="A28298" s="74">
        <v>33090</v>
      </c>
      <c r="B28298">
        <v>0.436</v>
      </c>
    </row>
    <row r="28299" spans="1:2" x14ac:dyDescent="0.25">
      <c r="A28299" s="74">
        <v>33091</v>
      </c>
      <c r="B28299">
        <v>0.39700000000000002</v>
      </c>
    </row>
    <row r="28300" spans="1:2" x14ac:dyDescent="0.25">
      <c r="A28300" s="74">
        <v>33092</v>
      </c>
      <c r="B28300">
        <v>0.36399999999999999</v>
      </c>
    </row>
    <row r="28301" spans="1:2" x14ac:dyDescent="0.25">
      <c r="A28301" s="74">
        <v>33093</v>
      </c>
      <c r="B28301">
        <v>0.40799999999999997</v>
      </c>
    </row>
    <row r="28302" spans="1:2" x14ac:dyDescent="0.25">
      <c r="A28302" s="74">
        <v>33094</v>
      </c>
      <c r="B28302">
        <v>0.40200000000000002</v>
      </c>
    </row>
    <row r="28303" spans="1:2" x14ac:dyDescent="0.25">
      <c r="A28303" s="74">
        <v>33095</v>
      </c>
      <c r="B28303">
        <v>0.371</v>
      </c>
    </row>
    <row r="28304" spans="1:2" x14ac:dyDescent="0.25">
      <c r="A28304" s="74">
        <v>33096</v>
      </c>
      <c r="B28304">
        <v>0.34300000000000003</v>
      </c>
    </row>
    <row r="28305" spans="1:2" x14ac:dyDescent="0.25">
      <c r="A28305" s="74">
        <v>33097</v>
      </c>
      <c r="B28305">
        <v>0.31</v>
      </c>
    </row>
    <row r="28306" spans="1:2" x14ac:dyDescent="0.25">
      <c r="A28306" s="74">
        <v>33098</v>
      </c>
      <c r="B28306">
        <v>0.311</v>
      </c>
    </row>
    <row r="28307" spans="1:2" x14ac:dyDescent="0.25">
      <c r="A28307" s="74">
        <v>33099</v>
      </c>
      <c r="B28307">
        <v>0.33900000000000002</v>
      </c>
    </row>
    <row r="28308" spans="1:2" x14ac:dyDescent="0.25">
      <c r="A28308" s="74">
        <v>33100</v>
      </c>
      <c r="B28308">
        <v>0.33900000000000002</v>
      </c>
    </row>
    <row r="28309" spans="1:2" x14ac:dyDescent="0.25">
      <c r="A28309" s="74">
        <v>33101</v>
      </c>
      <c r="B28309">
        <v>0.372</v>
      </c>
    </row>
    <row r="28310" spans="1:2" x14ac:dyDescent="0.25">
      <c r="A28310" s="74">
        <v>33102</v>
      </c>
      <c r="B28310">
        <v>0.39600000000000002</v>
      </c>
    </row>
    <row r="28311" spans="1:2" x14ac:dyDescent="0.25">
      <c r="A28311" s="74">
        <v>33103</v>
      </c>
      <c r="B28311">
        <v>0.40400000000000003</v>
      </c>
    </row>
    <row r="28312" spans="1:2" x14ac:dyDescent="0.25">
      <c r="A28312" s="74">
        <v>33104</v>
      </c>
      <c r="B28312">
        <v>0.41299999999999998</v>
      </c>
    </row>
    <row r="28313" spans="1:2" x14ac:dyDescent="0.25">
      <c r="A28313" s="74">
        <v>33105</v>
      </c>
      <c r="B28313">
        <v>0.374</v>
      </c>
    </row>
    <row r="28314" spans="1:2" x14ac:dyDescent="0.25">
      <c r="A28314" s="74">
        <v>33106</v>
      </c>
      <c r="B28314">
        <v>0.34100000000000003</v>
      </c>
    </row>
    <row r="28315" spans="1:2" x14ac:dyDescent="0.25">
      <c r="A28315" s="74">
        <v>33107</v>
      </c>
      <c r="B28315">
        <v>0.36399999999999999</v>
      </c>
    </row>
    <row r="28316" spans="1:2" x14ac:dyDescent="0.25">
      <c r="A28316" s="74">
        <v>33108</v>
      </c>
      <c r="B28316">
        <v>0.378</v>
      </c>
    </row>
    <row r="28317" spans="1:2" x14ac:dyDescent="0.25">
      <c r="A28317" s="74">
        <v>33109</v>
      </c>
      <c r="B28317">
        <v>0.35599999999999998</v>
      </c>
    </row>
    <row r="28318" spans="1:2" x14ac:dyDescent="0.25">
      <c r="A28318" s="74">
        <v>33110</v>
      </c>
      <c r="B28318">
        <v>0.313</v>
      </c>
    </row>
    <row r="28319" spans="1:2" x14ac:dyDescent="0.25">
      <c r="A28319" s="74">
        <v>33111</v>
      </c>
      <c r="B28319">
        <v>0.27</v>
      </c>
    </row>
    <row r="28320" spans="1:2" x14ac:dyDescent="0.25">
      <c r="A28320" s="74">
        <v>33112</v>
      </c>
      <c r="B28320">
        <v>0.27300000000000002</v>
      </c>
    </row>
    <row r="28321" spans="1:2" x14ac:dyDescent="0.25">
      <c r="A28321" s="74">
        <v>33113</v>
      </c>
      <c r="B28321">
        <v>0.28899999999999998</v>
      </c>
    </row>
    <row r="28322" spans="1:2" x14ac:dyDescent="0.25">
      <c r="A28322" s="74">
        <v>33114</v>
      </c>
      <c r="B28322">
        <v>0.216</v>
      </c>
    </row>
    <row r="28323" spans="1:2" x14ac:dyDescent="0.25">
      <c r="A28323" s="74">
        <v>33115</v>
      </c>
      <c r="B28323">
        <v>0.26700000000000002</v>
      </c>
    </row>
    <row r="28324" spans="1:2" x14ac:dyDescent="0.25">
      <c r="A28324" s="74">
        <v>33116</v>
      </c>
      <c r="B28324">
        <v>0.46500000000000002</v>
      </c>
    </row>
    <row r="28325" spans="1:2" x14ac:dyDescent="0.25">
      <c r="A28325" s="74">
        <v>33117</v>
      </c>
      <c r="B28325">
        <v>0.60599999999999998</v>
      </c>
    </row>
    <row r="28326" spans="1:2" x14ac:dyDescent="0.25">
      <c r="A28326" s="74">
        <v>33118</v>
      </c>
      <c r="B28326">
        <v>0.50800000000000001</v>
      </c>
    </row>
    <row r="28327" spans="1:2" x14ac:dyDescent="0.25">
      <c r="A28327" s="74">
        <v>33119</v>
      </c>
      <c r="B28327">
        <v>0.45600000000000002</v>
      </c>
    </row>
    <row r="28328" spans="1:2" x14ac:dyDescent="0.25">
      <c r="A28328" s="74">
        <v>33120</v>
      </c>
      <c r="B28328">
        <v>0.49299999999999999</v>
      </c>
    </row>
    <row r="28329" spans="1:2" x14ac:dyDescent="0.25">
      <c r="A28329" s="74">
        <v>33121</v>
      </c>
      <c r="B28329">
        <v>0.54700000000000004</v>
      </c>
    </row>
    <row r="28330" spans="1:2" x14ac:dyDescent="0.25">
      <c r="A28330" s="74">
        <v>33122</v>
      </c>
      <c r="B28330">
        <v>0.56100000000000005</v>
      </c>
    </row>
    <row r="28331" spans="1:2" x14ac:dyDescent="0.25">
      <c r="A28331" s="74">
        <v>33123</v>
      </c>
      <c r="B28331">
        <v>0.59099999999999997</v>
      </c>
    </row>
    <row r="28332" spans="1:2" x14ac:dyDescent="0.25">
      <c r="A28332" s="74">
        <v>33124</v>
      </c>
      <c r="B28332">
        <v>0.54800000000000004</v>
      </c>
    </row>
    <row r="28333" spans="1:2" x14ac:dyDescent="0.25">
      <c r="A28333" s="74">
        <v>33125</v>
      </c>
      <c r="B28333">
        <v>0.60699999999999998</v>
      </c>
    </row>
    <row r="28334" spans="1:2" x14ac:dyDescent="0.25">
      <c r="A28334" s="74">
        <v>33126</v>
      </c>
      <c r="B28334">
        <v>0.68100000000000005</v>
      </c>
    </row>
    <row r="28335" spans="1:2" x14ac:dyDescent="0.25">
      <c r="A28335" s="74">
        <v>33127</v>
      </c>
      <c r="B28335">
        <v>0.746</v>
      </c>
    </row>
    <row r="28336" spans="1:2" x14ac:dyDescent="0.25">
      <c r="A28336" s="74">
        <v>33128</v>
      </c>
      <c r="B28336">
        <v>0.76600000000000001</v>
      </c>
    </row>
    <row r="28337" spans="1:2" x14ac:dyDescent="0.25">
      <c r="A28337" s="74">
        <v>33129</v>
      </c>
      <c r="B28337">
        <v>0.78300000000000003</v>
      </c>
    </row>
    <row r="28338" spans="1:2" x14ac:dyDescent="0.25">
      <c r="A28338" s="74">
        <v>33130</v>
      </c>
      <c r="B28338">
        <v>0.80100000000000005</v>
      </c>
    </row>
    <row r="28339" spans="1:2" x14ac:dyDescent="0.25">
      <c r="A28339" s="74">
        <v>33131</v>
      </c>
      <c r="B28339">
        <v>0.83299999999999996</v>
      </c>
    </row>
    <row r="28340" spans="1:2" x14ac:dyDescent="0.25">
      <c r="A28340" s="74">
        <v>33132</v>
      </c>
      <c r="B28340">
        <v>0.99</v>
      </c>
    </row>
    <row r="28341" spans="1:2" x14ac:dyDescent="0.25">
      <c r="A28341" s="74">
        <v>33133</v>
      </c>
      <c r="B28341">
        <v>1.17</v>
      </c>
    </row>
    <row r="28342" spans="1:2" x14ac:dyDescent="0.25">
      <c r="A28342" s="74">
        <v>33134</v>
      </c>
      <c r="B28342">
        <v>1.22</v>
      </c>
    </row>
    <row r="28343" spans="1:2" x14ac:dyDescent="0.25">
      <c r="A28343" s="74">
        <v>33135</v>
      </c>
      <c r="B28343">
        <v>1.26</v>
      </c>
    </row>
    <row r="28344" spans="1:2" x14ac:dyDescent="0.25">
      <c r="A28344" s="74">
        <v>33136</v>
      </c>
      <c r="B28344">
        <v>1.32</v>
      </c>
    </row>
    <row r="28345" spans="1:2" x14ac:dyDescent="0.25">
      <c r="A28345" s="74">
        <v>33137</v>
      </c>
      <c r="B28345">
        <v>1.31</v>
      </c>
    </row>
    <row r="28346" spans="1:2" x14ac:dyDescent="0.25">
      <c r="A28346" s="74">
        <v>33138</v>
      </c>
      <c r="B28346">
        <v>1.28</v>
      </c>
    </row>
    <row r="28347" spans="1:2" x14ac:dyDescent="0.25">
      <c r="A28347" s="74">
        <v>33139</v>
      </c>
      <c r="B28347">
        <v>1.38</v>
      </c>
    </row>
    <row r="28348" spans="1:2" x14ac:dyDescent="0.25">
      <c r="A28348" s="74">
        <v>33140</v>
      </c>
      <c r="B28348">
        <v>1.43</v>
      </c>
    </row>
    <row r="28349" spans="1:2" x14ac:dyDescent="0.25">
      <c r="A28349" s="74">
        <v>33141</v>
      </c>
      <c r="B28349">
        <v>1.37</v>
      </c>
    </row>
    <row r="28350" spans="1:2" x14ac:dyDescent="0.25">
      <c r="A28350" s="74">
        <v>33142</v>
      </c>
      <c r="B28350">
        <v>1.45</v>
      </c>
    </row>
    <row r="28351" spans="1:2" x14ac:dyDescent="0.25">
      <c r="A28351" s="74">
        <v>33143</v>
      </c>
      <c r="B28351">
        <v>1.71</v>
      </c>
    </row>
    <row r="28352" spans="1:2" x14ac:dyDescent="0.25">
      <c r="A28352" s="74">
        <v>33144</v>
      </c>
      <c r="B28352">
        <v>1.72</v>
      </c>
    </row>
    <row r="28353" spans="1:2" x14ac:dyDescent="0.25">
      <c r="A28353" s="74">
        <v>33145</v>
      </c>
      <c r="B28353">
        <v>1.75</v>
      </c>
    </row>
    <row r="28354" spans="1:2" x14ac:dyDescent="0.25">
      <c r="A28354" s="74">
        <v>33146</v>
      </c>
      <c r="B28354">
        <v>1.84</v>
      </c>
    </row>
    <row r="28355" spans="1:2" x14ac:dyDescent="0.25">
      <c r="A28355" s="74">
        <v>33147</v>
      </c>
      <c r="B28355">
        <v>1.97</v>
      </c>
    </row>
    <row r="28356" spans="1:2" x14ac:dyDescent="0.25">
      <c r="A28356" s="74">
        <v>33148</v>
      </c>
      <c r="B28356">
        <v>2.15</v>
      </c>
    </row>
    <row r="28357" spans="1:2" x14ac:dyDescent="0.25">
      <c r="A28357" s="74">
        <v>33149</v>
      </c>
      <c r="B28357">
        <v>2.39</v>
      </c>
    </row>
    <row r="28358" spans="1:2" x14ac:dyDescent="0.25">
      <c r="A28358" s="74">
        <v>33150</v>
      </c>
      <c r="B28358">
        <v>7.04</v>
      </c>
    </row>
    <row r="28359" spans="1:2" x14ac:dyDescent="0.25">
      <c r="A28359" s="74">
        <v>33151</v>
      </c>
      <c r="B28359">
        <v>8.7100000000000009</v>
      </c>
    </row>
    <row r="28360" spans="1:2" x14ac:dyDescent="0.25">
      <c r="A28360" s="74">
        <v>33152</v>
      </c>
      <c r="B28360">
        <v>6.64</v>
      </c>
    </row>
    <row r="28361" spans="1:2" x14ac:dyDescent="0.25">
      <c r="A28361" s="74">
        <v>33153</v>
      </c>
      <c r="B28361">
        <v>5.83</v>
      </c>
    </row>
    <row r="28362" spans="1:2" x14ac:dyDescent="0.25">
      <c r="A28362" s="74">
        <v>33154</v>
      </c>
      <c r="B28362">
        <v>5.44</v>
      </c>
    </row>
    <row r="28363" spans="1:2" x14ac:dyDescent="0.25">
      <c r="A28363" s="74">
        <v>33155</v>
      </c>
      <c r="B28363">
        <v>5.09</v>
      </c>
    </row>
    <row r="28364" spans="1:2" x14ac:dyDescent="0.25">
      <c r="A28364" s="74">
        <v>33156</v>
      </c>
      <c r="B28364">
        <v>5.6</v>
      </c>
    </row>
    <row r="28365" spans="1:2" x14ac:dyDescent="0.25">
      <c r="A28365" s="74">
        <v>33157</v>
      </c>
      <c r="B28365">
        <v>6.1</v>
      </c>
    </row>
    <row r="28366" spans="1:2" x14ac:dyDescent="0.25">
      <c r="A28366" s="74">
        <v>33158</v>
      </c>
      <c r="B28366">
        <v>9.11</v>
      </c>
    </row>
    <row r="28367" spans="1:2" x14ac:dyDescent="0.25">
      <c r="A28367" s="74">
        <v>33159</v>
      </c>
      <c r="B28367">
        <v>8.86</v>
      </c>
    </row>
    <row r="28368" spans="1:2" x14ac:dyDescent="0.25">
      <c r="A28368" s="74">
        <v>33160</v>
      </c>
      <c r="B28368">
        <v>8.02</v>
      </c>
    </row>
    <row r="28369" spans="1:2" x14ac:dyDescent="0.25">
      <c r="A28369" s="74">
        <v>33161</v>
      </c>
      <c r="B28369">
        <v>7.99</v>
      </c>
    </row>
    <row r="28370" spans="1:2" x14ac:dyDescent="0.25">
      <c r="A28370" s="74">
        <v>33162</v>
      </c>
      <c r="B28370">
        <v>7.83</v>
      </c>
    </row>
    <row r="28371" spans="1:2" x14ac:dyDescent="0.25">
      <c r="A28371" s="74">
        <v>33163</v>
      </c>
      <c r="B28371">
        <v>7.73</v>
      </c>
    </row>
    <row r="28372" spans="1:2" x14ac:dyDescent="0.25">
      <c r="A28372" s="74">
        <v>33164</v>
      </c>
      <c r="B28372">
        <v>11.8</v>
      </c>
    </row>
    <row r="28373" spans="1:2" x14ac:dyDescent="0.25">
      <c r="A28373" s="74">
        <v>33165</v>
      </c>
      <c r="B28373">
        <v>13.1</v>
      </c>
    </row>
    <row r="28374" spans="1:2" x14ac:dyDescent="0.25">
      <c r="A28374" s="74">
        <v>33166</v>
      </c>
      <c r="B28374">
        <v>11.5</v>
      </c>
    </row>
    <row r="28375" spans="1:2" x14ac:dyDescent="0.25">
      <c r="A28375" s="74">
        <v>33167</v>
      </c>
      <c r="B28375">
        <v>17.3</v>
      </c>
    </row>
    <row r="28376" spans="1:2" x14ac:dyDescent="0.25">
      <c r="A28376" s="74">
        <v>33168</v>
      </c>
      <c r="B28376">
        <v>18.600000000000001</v>
      </c>
    </row>
    <row r="28377" spans="1:2" x14ac:dyDescent="0.25">
      <c r="A28377" s="74">
        <v>33169</v>
      </c>
      <c r="B28377">
        <v>16.600000000000001</v>
      </c>
    </row>
    <row r="28378" spans="1:2" x14ac:dyDescent="0.25">
      <c r="A28378" s="74">
        <v>33170</v>
      </c>
      <c r="B28378">
        <v>18.5</v>
      </c>
    </row>
    <row r="28379" spans="1:2" x14ac:dyDescent="0.25">
      <c r="A28379" s="74">
        <v>33171</v>
      </c>
      <c r="B28379">
        <v>104</v>
      </c>
    </row>
    <row r="28380" spans="1:2" x14ac:dyDescent="0.25">
      <c r="A28380" s="74">
        <v>33172</v>
      </c>
      <c r="B28380">
        <v>69.3</v>
      </c>
    </row>
    <row r="28381" spans="1:2" x14ac:dyDescent="0.25">
      <c r="A28381" s="74">
        <v>33173</v>
      </c>
      <c r="B28381">
        <v>46.7</v>
      </c>
    </row>
    <row r="28382" spans="1:2" x14ac:dyDescent="0.25">
      <c r="A28382" s="74">
        <v>33174</v>
      </c>
      <c r="B28382">
        <v>66.900000000000006</v>
      </c>
    </row>
    <row r="28383" spans="1:2" x14ac:dyDescent="0.25">
      <c r="A28383" s="74">
        <v>33175</v>
      </c>
      <c r="B28383">
        <v>55.4</v>
      </c>
    </row>
    <row r="28384" spans="1:2" x14ac:dyDescent="0.25">
      <c r="A28384" s="74">
        <v>33176</v>
      </c>
      <c r="B28384">
        <v>65.8</v>
      </c>
    </row>
    <row r="28385" spans="1:2" x14ac:dyDescent="0.25">
      <c r="A28385" s="74">
        <v>33177</v>
      </c>
      <c r="B28385">
        <v>47.6</v>
      </c>
    </row>
    <row r="28386" spans="1:2" x14ac:dyDescent="0.25">
      <c r="A28386" s="74">
        <v>33178</v>
      </c>
      <c r="B28386">
        <v>36</v>
      </c>
    </row>
    <row r="28387" spans="1:2" x14ac:dyDescent="0.25">
      <c r="A28387" s="74">
        <v>33179</v>
      </c>
      <c r="B28387">
        <v>29.2</v>
      </c>
    </row>
    <row r="28388" spans="1:2" x14ac:dyDescent="0.25">
      <c r="A28388" s="74">
        <v>33180</v>
      </c>
      <c r="B28388">
        <v>27.8</v>
      </c>
    </row>
    <row r="28389" spans="1:2" x14ac:dyDescent="0.25">
      <c r="A28389" s="74">
        <v>33181</v>
      </c>
      <c r="B28389">
        <v>30</v>
      </c>
    </row>
    <row r="28390" spans="1:2" x14ac:dyDescent="0.25">
      <c r="A28390" s="74">
        <v>33182</v>
      </c>
      <c r="B28390">
        <v>28.6</v>
      </c>
    </row>
    <row r="28391" spans="1:2" x14ac:dyDescent="0.25">
      <c r="A28391" s="74">
        <v>33183</v>
      </c>
      <c r="B28391">
        <v>26.3</v>
      </c>
    </row>
    <row r="28392" spans="1:2" x14ac:dyDescent="0.25">
      <c r="A28392" s="74">
        <v>33184</v>
      </c>
      <c r="B28392">
        <v>27.6</v>
      </c>
    </row>
    <row r="28393" spans="1:2" x14ac:dyDescent="0.25">
      <c r="A28393" s="74">
        <v>33185</v>
      </c>
      <c r="B28393">
        <v>28</v>
      </c>
    </row>
    <row r="28394" spans="1:2" x14ac:dyDescent="0.25">
      <c r="A28394" s="74">
        <v>33186</v>
      </c>
      <c r="B28394">
        <v>91.2</v>
      </c>
    </row>
    <row r="28395" spans="1:2" x14ac:dyDescent="0.25">
      <c r="A28395" s="74">
        <v>33187</v>
      </c>
      <c r="B28395">
        <v>227</v>
      </c>
    </row>
    <row r="28396" spans="1:2" x14ac:dyDescent="0.25">
      <c r="A28396" s="74">
        <v>33188</v>
      </c>
      <c r="B28396">
        <v>233</v>
      </c>
    </row>
    <row r="28397" spans="1:2" x14ac:dyDescent="0.25">
      <c r="A28397" s="74">
        <v>33189</v>
      </c>
      <c r="B28397">
        <v>124</v>
      </c>
    </row>
    <row r="28398" spans="1:2" x14ac:dyDescent="0.25">
      <c r="A28398" s="74">
        <v>33190</v>
      </c>
      <c r="B28398">
        <v>121</v>
      </c>
    </row>
    <row r="28399" spans="1:2" x14ac:dyDescent="0.25">
      <c r="A28399" s="74">
        <v>33191</v>
      </c>
      <c r="B28399">
        <v>76.400000000000006</v>
      </c>
    </row>
    <row r="28400" spans="1:2" x14ac:dyDescent="0.25">
      <c r="A28400" s="74">
        <v>33192</v>
      </c>
      <c r="B28400">
        <v>61.6</v>
      </c>
    </row>
    <row r="28401" spans="1:2" x14ac:dyDescent="0.25">
      <c r="A28401" s="74">
        <v>33193</v>
      </c>
      <c r="B28401">
        <v>67.2</v>
      </c>
    </row>
    <row r="28402" spans="1:2" x14ac:dyDescent="0.25">
      <c r="A28402" s="74">
        <v>33194</v>
      </c>
      <c r="B28402">
        <v>73</v>
      </c>
    </row>
    <row r="28403" spans="1:2" x14ac:dyDescent="0.25">
      <c r="A28403" s="74">
        <v>33195</v>
      </c>
      <c r="B28403">
        <v>52.5</v>
      </c>
    </row>
    <row r="28404" spans="1:2" x14ac:dyDescent="0.25">
      <c r="A28404" s="74">
        <v>33196</v>
      </c>
      <c r="B28404">
        <v>43.4</v>
      </c>
    </row>
    <row r="28405" spans="1:2" x14ac:dyDescent="0.25">
      <c r="A28405" s="74">
        <v>33197</v>
      </c>
      <c r="B28405">
        <v>38.5</v>
      </c>
    </row>
    <row r="28406" spans="1:2" x14ac:dyDescent="0.25">
      <c r="A28406" s="74">
        <v>33198</v>
      </c>
      <c r="B28406">
        <v>34.4</v>
      </c>
    </row>
    <row r="28407" spans="1:2" x14ac:dyDescent="0.25">
      <c r="A28407" s="74">
        <v>33199</v>
      </c>
      <c r="B28407">
        <v>57.8</v>
      </c>
    </row>
    <row r="28408" spans="1:2" x14ac:dyDescent="0.25">
      <c r="A28408" s="74">
        <v>33200</v>
      </c>
      <c r="B28408">
        <v>310</v>
      </c>
    </row>
    <row r="28409" spans="1:2" x14ac:dyDescent="0.25">
      <c r="A28409" s="74">
        <v>33201</v>
      </c>
      <c r="B28409">
        <v>165</v>
      </c>
    </row>
    <row r="28410" spans="1:2" x14ac:dyDescent="0.25">
      <c r="A28410" s="74">
        <v>33202</v>
      </c>
      <c r="B28410">
        <v>81.2</v>
      </c>
    </row>
    <row r="28411" spans="1:2" x14ac:dyDescent="0.25">
      <c r="A28411" s="74">
        <v>33203</v>
      </c>
      <c r="B28411">
        <v>57.1</v>
      </c>
    </row>
    <row r="28412" spans="1:2" x14ac:dyDescent="0.25">
      <c r="A28412" s="74">
        <v>33204</v>
      </c>
      <c r="B28412">
        <v>46.3</v>
      </c>
    </row>
    <row r="28413" spans="1:2" x14ac:dyDescent="0.25">
      <c r="A28413" s="74">
        <v>33205</v>
      </c>
      <c r="B28413">
        <v>44.5</v>
      </c>
    </row>
    <row r="28414" spans="1:2" x14ac:dyDescent="0.25">
      <c r="A28414" s="74">
        <v>33206</v>
      </c>
      <c r="B28414">
        <v>167</v>
      </c>
    </row>
    <row r="28415" spans="1:2" x14ac:dyDescent="0.25">
      <c r="A28415" s="74">
        <v>33207</v>
      </c>
      <c r="B28415">
        <v>86.6</v>
      </c>
    </row>
    <row r="28416" spans="1:2" x14ac:dyDescent="0.25">
      <c r="A28416" s="74">
        <v>33208</v>
      </c>
      <c r="B28416">
        <v>59.8</v>
      </c>
    </row>
    <row r="28417" spans="1:3" x14ac:dyDescent="0.25">
      <c r="A28417" s="74">
        <v>33209</v>
      </c>
      <c r="B28417">
        <v>49</v>
      </c>
    </row>
    <row r="28418" spans="1:3" x14ac:dyDescent="0.25">
      <c r="A28418" s="74">
        <v>33210</v>
      </c>
      <c r="B28418">
        <v>192</v>
      </c>
    </row>
    <row r="28419" spans="1:3" x14ac:dyDescent="0.25">
      <c r="A28419" s="74">
        <v>33211</v>
      </c>
      <c r="B28419">
        <v>259</v>
      </c>
      <c r="C28419" t="s">
        <v>140</v>
      </c>
    </row>
    <row r="28420" spans="1:3" x14ac:dyDescent="0.25">
      <c r="A28420" s="74">
        <v>33212</v>
      </c>
      <c r="B28420">
        <v>141</v>
      </c>
      <c r="C28420" t="s">
        <v>141</v>
      </c>
    </row>
    <row r="28421" spans="1:3" x14ac:dyDescent="0.25">
      <c r="A28421" s="74">
        <v>33213</v>
      </c>
      <c r="B28421">
        <v>98</v>
      </c>
      <c r="C28421" t="s">
        <v>141</v>
      </c>
    </row>
    <row r="28422" spans="1:3" x14ac:dyDescent="0.25">
      <c r="A28422" s="74">
        <v>33214</v>
      </c>
      <c r="B28422">
        <v>77.5</v>
      </c>
      <c r="C28422" t="s">
        <v>141</v>
      </c>
    </row>
    <row r="28423" spans="1:3" x14ac:dyDescent="0.25">
      <c r="A28423" s="74">
        <v>33215</v>
      </c>
      <c r="B28423">
        <v>90</v>
      </c>
      <c r="C28423" t="s">
        <v>141</v>
      </c>
    </row>
    <row r="28424" spans="1:3" x14ac:dyDescent="0.25">
      <c r="A28424" s="74">
        <v>33216</v>
      </c>
      <c r="B28424">
        <v>112</v>
      </c>
      <c r="C28424" t="s">
        <v>141</v>
      </c>
    </row>
    <row r="28425" spans="1:3" x14ac:dyDescent="0.25">
      <c r="A28425" s="74">
        <v>33217</v>
      </c>
      <c r="B28425">
        <v>92.2</v>
      </c>
      <c r="C28425" t="s">
        <v>141</v>
      </c>
    </row>
    <row r="28426" spans="1:3" x14ac:dyDescent="0.25">
      <c r="A28426" s="74">
        <v>33218</v>
      </c>
      <c r="B28426">
        <v>73.099999999999994</v>
      </c>
      <c r="C28426" t="s">
        <v>141</v>
      </c>
    </row>
    <row r="28427" spans="1:3" x14ac:dyDescent="0.25">
      <c r="A28427" s="74">
        <v>33219</v>
      </c>
      <c r="B28427">
        <v>55.5</v>
      </c>
      <c r="C28427" t="s">
        <v>141</v>
      </c>
    </row>
    <row r="28428" spans="1:3" x14ac:dyDescent="0.25">
      <c r="A28428" s="74">
        <v>33220</v>
      </c>
      <c r="B28428">
        <v>43.8</v>
      </c>
      <c r="C28428" t="s">
        <v>141</v>
      </c>
    </row>
    <row r="28429" spans="1:3" x14ac:dyDescent="0.25">
      <c r="A28429" s="74">
        <v>33221</v>
      </c>
      <c r="B28429">
        <v>37.1</v>
      </c>
      <c r="C28429" t="s">
        <v>141</v>
      </c>
    </row>
    <row r="28430" spans="1:3" x14ac:dyDescent="0.25">
      <c r="A28430" s="74">
        <v>33222</v>
      </c>
      <c r="B28430">
        <v>42.7</v>
      </c>
      <c r="C28430" t="s">
        <v>141</v>
      </c>
    </row>
    <row r="28431" spans="1:3" x14ac:dyDescent="0.25">
      <c r="A28431" s="74">
        <v>33223</v>
      </c>
      <c r="B28431">
        <v>41.8</v>
      </c>
      <c r="C28431" t="s">
        <v>141</v>
      </c>
    </row>
    <row r="28432" spans="1:3" x14ac:dyDescent="0.25">
      <c r="A28432" s="74">
        <v>33224</v>
      </c>
      <c r="B28432">
        <v>38.1</v>
      </c>
      <c r="C28432" t="s">
        <v>141</v>
      </c>
    </row>
    <row r="28433" spans="1:3" x14ac:dyDescent="0.25">
      <c r="A28433" s="74">
        <v>33225</v>
      </c>
      <c r="B28433">
        <v>38.299999999999997</v>
      </c>
      <c r="C28433" t="s">
        <v>141</v>
      </c>
    </row>
    <row r="28434" spans="1:3" x14ac:dyDescent="0.25">
      <c r="A28434" s="74">
        <v>33226</v>
      </c>
      <c r="B28434">
        <v>35</v>
      </c>
      <c r="C28434" t="s">
        <v>141</v>
      </c>
    </row>
    <row r="28435" spans="1:3" x14ac:dyDescent="0.25">
      <c r="A28435" s="74">
        <v>33227</v>
      </c>
      <c r="B28435">
        <v>29.4</v>
      </c>
      <c r="C28435" t="s">
        <v>141</v>
      </c>
    </row>
    <row r="28436" spans="1:3" x14ac:dyDescent="0.25">
      <c r="A28436" s="74">
        <v>33228</v>
      </c>
      <c r="B28436">
        <v>25.2</v>
      </c>
      <c r="C28436" t="s">
        <v>141</v>
      </c>
    </row>
    <row r="28437" spans="1:3" x14ac:dyDescent="0.25">
      <c r="A28437" s="74">
        <v>33229</v>
      </c>
      <c r="B28437">
        <v>22.8</v>
      </c>
      <c r="C28437" t="s">
        <v>141</v>
      </c>
    </row>
    <row r="28438" spans="1:3" x14ac:dyDescent="0.25">
      <c r="A28438" s="74">
        <v>33230</v>
      </c>
      <c r="B28438">
        <v>20.3</v>
      </c>
      <c r="C28438" t="s">
        <v>141</v>
      </c>
    </row>
    <row r="28439" spans="1:3" x14ac:dyDescent="0.25">
      <c r="A28439" s="74">
        <v>33231</v>
      </c>
      <c r="B28439">
        <v>17.7</v>
      </c>
      <c r="C28439" t="s">
        <v>141</v>
      </c>
    </row>
    <row r="28440" spans="1:3" x14ac:dyDescent="0.25">
      <c r="A28440" s="74">
        <v>33232</v>
      </c>
      <c r="B28440">
        <v>16.8</v>
      </c>
      <c r="C28440" t="s">
        <v>141</v>
      </c>
    </row>
    <row r="28441" spans="1:3" x14ac:dyDescent="0.25">
      <c r="A28441" s="74">
        <v>33233</v>
      </c>
      <c r="B28441">
        <v>15.4</v>
      </c>
      <c r="C28441" t="s">
        <v>141</v>
      </c>
    </row>
    <row r="28442" spans="1:3" x14ac:dyDescent="0.25">
      <c r="A28442" s="74">
        <v>33234</v>
      </c>
      <c r="B28442">
        <v>14.3</v>
      </c>
      <c r="C28442" t="s">
        <v>141</v>
      </c>
    </row>
    <row r="28443" spans="1:3" x14ac:dyDescent="0.25">
      <c r="A28443" s="74">
        <v>33235</v>
      </c>
      <c r="B28443">
        <v>13.2</v>
      </c>
      <c r="C28443" t="s">
        <v>141</v>
      </c>
    </row>
    <row r="28444" spans="1:3" x14ac:dyDescent="0.25">
      <c r="A28444" s="74">
        <v>33236</v>
      </c>
      <c r="B28444">
        <v>12.4</v>
      </c>
      <c r="C28444" t="s">
        <v>141</v>
      </c>
    </row>
    <row r="28445" spans="1:3" x14ac:dyDescent="0.25">
      <c r="A28445" s="74">
        <v>33237</v>
      </c>
      <c r="B28445">
        <v>12.2</v>
      </c>
      <c r="C28445" t="s">
        <v>141</v>
      </c>
    </row>
    <row r="28446" spans="1:3" x14ac:dyDescent="0.25">
      <c r="A28446" s="74">
        <v>33238</v>
      </c>
      <c r="B28446">
        <v>11.9</v>
      </c>
      <c r="C28446" t="s">
        <v>141</v>
      </c>
    </row>
    <row r="28447" spans="1:3" x14ac:dyDescent="0.25">
      <c r="A28447" s="74">
        <v>33239</v>
      </c>
      <c r="B28447">
        <v>11.8</v>
      </c>
      <c r="C28447" t="s">
        <v>141</v>
      </c>
    </row>
    <row r="28448" spans="1:3" x14ac:dyDescent="0.25">
      <c r="A28448" s="74">
        <v>33240</v>
      </c>
      <c r="B28448">
        <v>11.6</v>
      </c>
      <c r="C28448" t="s">
        <v>141</v>
      </c>
    </row>
    <row r="28449" spans="1:3" x14ac:dyDescent="0.25">
      <c r="A28449" s="74">
        <v>33241</v>
      </c>
      <c r="B28449">
        <v>11.1</v>
      </c>
      <c r="C28449" t="s">
        <v>141</v>
      </c>
    </row>
    <row r="28450" spans="1:3" x14ac:dyDescent="0.25">
      <c r="A28450" s="74">
        <v>33242</v>
      </c>
      <c r="B28450">
        <v>10.7</v>
      </c>
      <c r="C28450" t="s">
        <v>141</v>
      </c>
    </row>
    <row r="28451" spans="1:3" x14ac:dyDescent="0.25">
      <c r="A28451" s="74">
        <v>33243</v>
      </c>
      <c r="B28451">
        <v>10.3</v>
      </c>
      <c r="C28451" t="s">
        <v>141</v>
      </c>
    </row>
    <row r="28452" spans="1:3" x14ac:dyDescent="0.25">
      <c r="A28452" s="74">
        <v>33244</v>
      </c>
      <c r="B28452">
        <v>10.1</v>
      </c>
      <c r="C28452" t="s">
        <v>141</v>
      </c>
    </row>
    <row r="28453" spans="1:3" x14ac:dyDescent="0.25">
      <c r="A28453" s="74">
        <v>33245</v>
      </c>
      <c r="B28453">
        <v>9.8000000000000007</v>
      </c>
      <c r="C28453" t="s">
        <v>141</v>
      </c>
    </row>
    <row r="28454" spans="1:3" x14ac:dyDescent="0.25">
      <c r="A28454" s="74">
        <v>33246</v>
      </c>
      <c r="B28454">
        <v>9.8000000000000007</v>
      </c>
      <c r="C28454" t="s">
        <v>141</v>
      </c>
    </row>
    <row r="28455" spans="1:3" x14ac:dyDescent="0.25">
      <c r="A28455" s="74">
        <v>33247</v>
      </c>
      <c r="B28455">
        <v>10.9</v>
      </c>
      <c r="C28455" t="s">
        <v>141</v>
      </c>
    </row>
    <row r="28456" spans="1:3" x14ac:dyDescent="0.25">
      <c r="A28456" s="74">
        <v>33248</v>
      </c>
      <c r="B28456">
        <v>19</v>
      </c>
      <c r="C28456" t="s">
        <v>141</v>
      </c>
    </row>
    <row r="28457" spans="1:3" x14ac:dyDescent="0.25">
      <c r="A28457" s="74">
        <v>33249</v>
      </c>
      <c r="B28457">
        <v>30</v>
      </c>
      <c r="C28457" t="s">
        <v>141</v>
      </c>
    </row>
    <row r="28458" spans="1:3" x14ac:dyDescent="0.25">
      <c r="A28458" s="74">
        <v>33250</v>
      </c>
      <c r="B28458">
        <v>57</v>
      </c>
      <c r="C28458" t="s">
        <v>141</v>
      </c>
    </row>
    <row r="28459" spans="1:3" x14ac:dyDescent="0.25">
      <c r="A28459" s="74">
        <v>33251</v>
      </c>
      <c r="B28459">
        <v>55</v>
      </c>
      <c r="C28459" t="s">
        <v>141</v>
      </c>
    </row>
    <row r="28460" spans="1:3" x14ac:dyDescent="0.25">
      <c r="A28460" s="74">
        <v>33252</v>
      </c>
      <c r="B28460">
        <v>49</v>
      </c>
      <c r="C28460" t="s">
        <v>141</v>
      </c>
    </row>
    <row r="28461" spans="1:3" x14ac:dyDescent="0.25">
      <c r="A28461" s="74">
        <v>33253</v>
      </c>
      <c r="B28461">
        <v>43</v>
      </c>
      <c r="C28461" t="s">
        <v>141</v>
      </c>
    </row>
    <row r="28462" spans="1:3" x14ac:dyDescent="0.25">
      <c r="A28462" s="74">
        <v>33254</v>
      </c>
      <c r="B28462">
        <v>38</v>
      </c>
      <c r="C28462" t="s">
        <v>141</v>
      </c>
    </row>
    <row r="28463" spans="1:3" x14ac:dyDescent="0.25">
      <c r="A28463" s="74">
        <v>33255</v>
      </c>
      <c r="B28463">
        <v>20.9</v>
      </c>
      <c r="C28463" t="s">
        <v>140</v>
      </c>
    </row>
    <row r="28464" spans="1:3" x14ac:dyDescent="0.25">
      <c r="A28464" s="74">
        <v>33256</v>
      </c>
      <c r="B28464">
        <v>22.4</v>
      </c>
    </row>
    <row r="28465" spans="1:2" x14ac:dyDescent="0.25">
      <c r="A28465" s="74">
        <v>33257</v>
      </c>
      <c r="B28465">
        <v>19.7</v>
      </c>
    </row>
    <row r="28466" spans="1:2" x14ac:dyDescent="0.25">
      <c r="A28466" s="74">
        <v>33258</v>
      </c>
      <c r="B28466">
        <v>15.4</v>
      </c>
    </row>
    <row r="28467" spans="1:2" x14ac:dyDescent="0.25">
      <c r="A28467" s="74">
        <v>33259</v>
      </c>
      <c r="B28467">
        <v>13.1</v>
      </c>
    </row>
    <row r="28468" spans="1:2" x14ac:dyDescent="0.25">
      <c r="A28468" s="74">
        <v>33260</v>
      </c>
      <c r="B28468">
        <v>10.8</v>
      </c>
    </row>
    <row r="28469" spans="1:2" x14ac:dyDescent="0.25">
      <c r="A28469" s="74">
        <v>33261</v>
      </c>
      <c r="B28469">
        <v>9.5500000000000007</v>
      </c>
    </row>
    <row r="28470" spans="1:2" x14ac:dyDescent="0.25">
      <c r="A28470" s="74">
        <v>33262</v>
      </c>
      <c r="B28470">
        <v>8.66</v>
      </c>
    </row>
    <row r="28471" spans="1:2" x14ac:dyDescent="0.25">
      <c r="A28471" s="74">
        <v>33263</v>
      </c>
      <c r="B28471">
        <v>7.78</v>
      </c>
    </row>
    <row r="28472" spans="1:2" x14ac:dyDescent="0.25">
      <c r="A28472" s="74">
        <v>33264</v>
      </c>
      <c r="B28472">
        <v>6.97</v>
      </c>
    </row>
    <row r="28473" spans="1:2" x14ac:dyDescent="0.25">
      <c r="A28473" s="74">
        <v>33265</v>
      </c>
      <c r="B28473">
        <v>6.6</v>
      </c>
    </row>
    <row r="28474" spans="1:2" x14ac:dyDescent="0.25">
      <c r="A28474" s="74">
        <v>33266</v>
      </c>
      <c r="B28474">
        <v>6.45</v>
      </c>
    </row>
    <row r="28475" spans="1:2" x14ac:dyDescent="0.25">
      <c r="A28475" s="74">
        <v>33267</v>
      </c>
      <c r="B28475">
        <v>6</v>
      </c>
    </row>
    <row r="28476" spans="1:2" x14ac:dyDescent="0.25">
      <c r="A28476" s="74">
        <v>33268</v>
      </c>
      <c r="B28476">
        <v>6.07</v>
      </c>
    </row>
    <row r="28477" spans="1:2" x14ac:dyDescent="0.25">
      <c r="A28477" s="74">
        <v>33269</v>
      </c>
      <c r="B28477">
        <v>6.32</v>
      </c>
    </row>
    <row r="28478" spans="1:2" x14ac:dyDescent="0.25">
      <c r="A28478" s="74">
        <v>33270</v>
      </c>
      <c r="B28478">
        <v>132</v>
      </c>
    </row>
    <row r="28479" spans="1:2" x14ac:dyDescent="0.25">
      <c r="A28479" s="74">
        <v>33271</v>
      </c>
      <c r="B28479">
        <v>244</v>
      </c>
    </row>
    <row r="28480" spans="1:2" x14ac:dyDescent="0.25">
      <c r="A28480" s="74">
        <v>33272</v>
      </c>
      <c r="B28480">
        <v>87.3</v>
      </c>
    </row>
    <row r="28481" spans="1:2" x14ac:dyDescent="0.25">
      <c r="A28481" s="74">
        <v>33273</v>
      </c>
      <c r="B28481">
        <v>164</v>
      </c>
    </row>
    <row r="28482" spans="1:2" x14ac:dyDescent="0.25">
      <c r="A28482" s="74">
        <v>33274</v>
      </c>
      <c r="B28482">
        <v>89.8</v>
      </c>
    </row>
    <row r="28483" spans="1:2" x14ac:dyDescent="0.25">
      <c r="A28483" s="74">
        <v>33275</v>
      </c>
      <c r="B28483">
        <v>38.1</v>
      </c>
    </row>
    <row r="28484" spans="1:2" x14ac:dyDescent="0.25">
      <c r="A28484" s="74">
        <v>33276</v>
      </c>
      <c r="B28484">
        <v>31.1</v>
      </c>
    </row>
    <row r="28485" spans="1:2" x14ac:dyDescent="0.25">
      <c r="A28485" s="74">
        <v>33277</v>
      </c>
      <c r="B28485">
        <v>37.700000000000003</v>
      </c>
    </row>
    <row r="28486" spans="1:2" x14ac:dyDescent="0.25">
      <c r="A28486" s="74">
        <v>33278</v>
      </c>
      <c r="B28486">
        <v>35.700000000000003</v>
      </c>
    </row>
    <row r="28487" spans="1:2" x14ac:dyDescent="0.25">
      <c r="A28487" s="74">
        <v>33279</v>
      </c>
      <c r="B28487">
        <v>26.7</v>
      </c>
    </row>
    <row r="28488" spans="1:2" x14ac:dyDescent="0.25">
      <c r="A28488" s="74">
        <v>33280</v>
      </c>
      <c r="B28488">
        <v>21.5</v>
      </c>
    </row>
    <row r="28489" spans="1:2" x14ac:dyDescent="0.25">
      <c r="A28489" s="74">
        <v>33281</v>
      </c>
      <c r="B28489">
        <v>21.7</v>
      </c>
    </row>
    <row r="28490" spans="1:2" x14ac:dyDescent="0.25">
      <c r="A28490" s="74">
        <v>33282</v>
      </c>
      <c r="B28490">
        <v>19.2</v>
      </c>
    </row>
    <row r="28491" spans="1:2" x14ac:dyDescent="0.25">
      <c r="A28491" s="74">
        <v>33283</v>
      </c>
      <c r="B28491">
        <v>19.5</v>
      </c>
    </row>
    <row r="28492" spans="1:2" x14ac:dyDescent="0.25">
      <c r="A28492" s="74">
        <v>33284</v>
      </c>
      <c r="B28492">
        <v>22.2</v>
      </c>
    </row>
    <row r="28493" spans="1:2" x14ac:dyDescent="0.25">
      <c r="A28493" s="74">
        <v>33285</v>
      </c>
      <c r="B28493">
        <v>17.600000000000001</v>
      </c>
    </row>
    <row r="28494" spans="1:2" x14ac:dyDescent="0.25">
      <c r="A28494" s="74">
        <v>33286</v>
      </c>
      <c r="B28494">
        <v>14.4</v>
      </c>
    </row>
    <row r="28495" spans="1:2" x14ac:dyDescent="0.25">
      <c r="A28495" s="74">
        <v>33287</v>
      </c>
      <c r="B28495">
        <v>12.6</v>
      </c>
    </row>
    <row r="28496" spans="1:2" x14ac:dyDescent="0.25">
      <c r="A28496" s="74">
        <v>33288</v>
      </c>
      <c r="B28496">
        <v>28.2</v>
      </c>
    </row>
    <row r="28497" spans="1:2" x14ac:dyDescent="0.25">
      <c r="A28497" s="74">
        <v>33289</v>
      </c>
      <c r="B28497">
        <v>24.6</v>
      </c>
    </row>
    <row r="28498" spans="1:2" x14ac:dyDescent="0.25">
      <c r="A28498" s="74">
        <v>33290</v>
      </c>
      <c r="B28498">
        <v>19.100000000000001</v>
      </c>
    </row>
    <row r="28499" spans="1:2" x14ac:dyDescent="0.25">
      <c r="A28499" s="74">
        <v>33291</v>
      </c>
      <c r="B28499">
        <v>15</v>
      </c>
    </row>
    <row r="28500" spans="1:2" x14ac:dyDescent="0.25">
      <c r="A28500" s="74">
        <v>33292</v>
      </c>
      <c r="B28500">
        <v>12.4</v>
      </c>
    </row>
    <row r="28501" spans="1:2" x14ac:dyDescent="0.25">
      <c r="A28501" s="74">
        <v>33293</v>
      </c>
      <c r="B28501">
        <v>10.199999999999999</v>
      </c>
    </row>
    <row r="28502" spans="1:2" x14ac:dyDescent="0.25">
      <c r="A28502" s="74">
        <v>33294</v>
      </c>
      <c r="B28502">
        <v>8.76</v>
      </c>
    </row>
    <row r="28503" spans="1:2" x14ac:dyDescent="0.25">
      <c r="A28503" s="74">
        <v>33295</v>
      </c>
      <c r="B28503">
        <v>8.24</v>
      </c>
    </row>
    <row r="28504" spans="1:2" x14ac:dyDescent="0.25">
      <c r="A28504" s="74">
        <v>33296</v>
      </c>
      <c r="B28504">
        <v>7.59</v>
      </c>
    </row>
    <row r="28505" spans="1:2" x14ac:dyDescent="0.25">
      <c r="A28505" s="74">
        <v>33297</v>
      </c>
      <c r="B28505">
        <v>7.13</v>
      </c>
    </row>
    <row r="28506" spans="1:2" x14ac:dyDescent="0.25">
      <c r="A28506" s="74">
        <v>33298</v>
      </c>
      <c r="B28506">
        <v>6.91</v>
      </c>
    </row>
    <row r="28507" spans="1:2" x14ac:dyDescent="0.25">
      <c r="A28507" s="74">
        <v>33299</v>
      </c>
      <c r="B28507">
        <v>6.68</v>
      </c>
    </row>
    <row r="28508" spans="1:2" x14ac:dyDescent="0.25">
      <c r="A28508" s="74">
        <v>33300</v>
      </c>
      <c r="B28508">
        <v>8.4600000000000009</v>
      </c>
    </row>
    <row r="28509" spans="1:2" x14ac:dyDescent="0.25">
      <c r="A28509" s="74">
        <v>33301</v>
      </c>
      <c r="B28509">
        <v>8.76</v>
      </c>
    </row>
    <row r="28510" spans="1:2" x14ac:dyDescent="0.25">
      <c r="A28510" s="74">
        <v>33302</v>
      </c>
      <c r="B28510">
        <v>7.69</v>
      </c>
    </row>
    <row r="28511" spans="1:2" x14ac:dyDescent="0.25">
      <c r="A28511" s="74">
        <v>33303</v>
      </c>
      <c r="B28511">
        <v>7.11</v>
      </c>
    </row>
    <row r="28512" spans="1:2" x14ac:dyDescent="0.25">
      <c r="A28512" s="74">
        <v>33304</v>
      </c>
      <c r="B28512">
        <v>7.19</v>
      </c>
    </row>
    <row r="28513" spans="1:2" x14ac:dyDescent="0.25">
      <c r="A28513" s="74">
        <v>33305</v>
      </c>
      <c r="B28513">
        <v>7.02</v>
      </c>
    </row>
    <row r="28514" spans="1:2" x14ac:dyDescent="0.25">
      <c r="A28514" s="74">
        <v>33306</v>
      </c>
      <c r="B28514">
        <v>7.09</v>
      </c>
    </row>
    <row r="28515" spans="1:2" x14ac:dyDescent="0.25">
      <c r="A28515" s="74">
        <v>33307</v>
      </c>
      <c r="B28515">
        <v>7.34</v>
      </c>
    </row>
    <row r="28516" spans="1:2" x14ac:dyDescent="0.25">
      <c r="A28516" s="74">
        <v>33308</v>
      </c>
      <c r="B28516">
        <v>7.22</v>
      </c>
    </row>
    <row r="28517" spans="1:2" x14ac:dyDescent="0.25">
      <c r="A28517" s="74">
        <v>33309</v>
      </c>
      <c r="B28517">
        <v>7.11</v>
      </c>
    </row>
    <row r="28518" spans="1:2" x14ac:dyDescent="0.25">
      <c r="A28518" s="74">
        <v>33310</v>
      </c>
      <c r="B28518">
        <v>6.95</v>
      </c>
    </row>
    <row r="28519" spans="1:2" x14ac:dyDescent="0.25">
      <c r="A28519" s="74">
        <v>33311</v>
      </c>
      <c r="B28519">
        <v>6.74</v>
      </c>
    </row>
    <row r="28520" spans="1:2" x14ac:dyDescent="0.25">
      <c r="A28520" s="74">
        <v>33312</v>
      </c>
      <c r="B28520">
        <v>6.41</v>
      </c>
    </row>
    <row r="28521" spans="1:2" x14ac:dyDescent="0.25">
      <c r="A28521" s="74">
        <v>33313</v>
      </c>
      <c r="B28521">
        <v>6.25</v>
      </c>
    </row>
    <row r="28522" spans="1:2" x14ac:dyDescent="0.25">
      <c r="A28522" s="74">
        <v>33314</v>
      </c>
      <c r="B28522">
        <v>5.86</v>
      </c>
    </row>
    <row r="28523" spans="1:2" x14ac:dyDescent="0.25">
      <c r="A28523" s="74">
        <v>33315</v>
      </c>
      <c r="B28523">
        <v>5.67</v>
      </c>
    </row>
    <row r="28524" spans="1:2" x14ac:dyDescent="0.25">
      <c r="A28524" s="74">
        <v>33316</v>
      </c>
      <c r="B28524">
        <v>6.18</v>
      </c>
    </row>
    <row r="28525" spans="1:2" x14ac:dyDescent="0.25">
      <c r="A28525" s="74">
        <v>33317</v>
      </c>
      <c r="B28525">
        <v>6.86</v>
      </c>
    </row>
    <row r="28526" spans="1:2" x14ac:dyDescent="0.25">
      <c r="A28526" s="74">
        <v>33318</v>
      </c>
      <c r="B28526">
        <v>6.88</v>
      </c>
    </row>
    <row r="28527" spans="1:2" x14ac:dyDescent="0.25">
      <c r="A28527" s="74">
        <v>33319</v>
      </c>
      <c r="B28527">
        <v>7</v>
      </c>
    </row>
    <row r="28528" spans="1:2" x14ac:dyDescent="0.25">
      <c r="A28528" s="74">
        <v>33320</v>
      </c>
      <c r="B28528">
        <v>6.79</v>
      </c>
    </row>
    <row r="28529" spans="1:2" x14ac:dyDescent="0.25">
      <c r="A28529" s="74">
        <v>33321</v>
      </c>
      <c r="B28529">
        <v>6.83</v>
      </c>
    </row>
    <row r="28530" spans="1:2" x14ac:dyDescent="0.25">
      <c r="A28530" s="74">
        <v>33322</v>
      </c>
      <c r="B28530">
        <v>6.34</v>
      </c>
    </row>
    <row r="28531" spans="1:2" x14ac:dyDescent="0.25">
      <c r="A28531" s="74">
        <v>33323</v>
      </c>
      <c r="B28531">
        <v>5.69</v>
      </c>
    </row>
    <row r="28532" spans="1:2" x14ac:dyDescent="0.25">
      <c r="A28532" s="74">
        <v>33324</v>
      </c>
      <c r="B28532">
        <v>5.24</v>
      </c>
    </row>
    <row r="28533" spans="1:2" x14ac:dyDescent="0.25">
      <c r="A28533" s="74">
        <v>33325</v>
      </c>
      <c r="B28533">
        <v>4.63</v>
      </c>
    </row>
    <row r="28534" spans="1:2" x14ac:dyDescent="0.25">
      <c r="A28534" s="74">
        <v>33326</v>
      </c>
      <c r="B28534">
        <v>4.6500000000000004</v>
      </c>
    </row>
    <row r="28535" spans="1:2" x14ac:dyDescent="0.25">
      <c r="A28535" s="74">
        <v>33327</v>
      </c>
      <c r="B28535">
        <v>4.88</v>
      </c>
    </row>
    <row r="28536" spans="1:2" x14ac:dyDescent="0.25">
      <c r="A28536" s="74">
        <v>33328</v>
      </c>
      <c r="B28536">
        <v>6.17</v>
      </c>
    </row>
    <row r="28537" spans="1:2" x14ac:dyDescent="0.25">
      <c r="A28537" s="74">
        <v>33329</v>
      </c>
      <c r="B28537">
        <v>8.06</v>
      </c>
    </row>
    <row r="28538" spans="1:2" x14ac:dyDescent="0.25">
      <c r="A28538" s="74">
        <v>33330</v>
      </c>
      <c r="B28538">
        <v>7.65</v>
      </c>
    </row>
    <row r="28539" spans="1:2" x14ac:dyDescent="0.25">
      <c r="A28539" s="74">
        <v>33331</v>
      </c>
      <c r="B28539">
        <v>13.2</v>
      </c>
    </row>
    <row r="28540" spans="1:2" x14ac:dyDescent="0.25">
      <c r="A28540" s="74">
        <v>33332</v>
      </c>
      <c r="B28540">
        <v>40.9</v>
      </c>
    </row>
    <row r="28541" spans="1:2" x14ac:dyDescent="0.25">
      <c r="A28541" s="74">
        <v>33333</v>
      </c>
      <c r="B28541">
        <v>31.8</v>
      </c>
    </row>
    <row r="28542" spans="1:2" x14ac:dyDescent="0.25">
      <c r="A28542" s="74">
        <v>33334</v>
      </c>
      <c r="B28542">
        <v>25</v>
      </c>
    </row>
    <row r="28543" spans="1:2" x14ac:dyDescent="0.25">
      <c r="A28543" s="74">
        <v>33335</v>
      </c>
      <c r="B28543">
        <v>18.600000000000001</v>
      </c>
    </row>
    <row r="28544" spans="1:2" x14ac:dyDescent="0.25">
      <c r="A28544" s="74">
        <v>33336</v>
      </c>
      <c r="B28544">
        <v>14.2</v>
      </c>
    </row>
    <row r="28545" spans="1:2" x14ac:dyDescent="0.25">
      <c r="A28545" s="74">
        <v>33337</v>
      </c>
      <c r="B28545">
        <v>12.8</v>
      </c>
    </row>
    <row r="28546" spans="1:2" x14ac:dyDescent="0.25">
      <c r="A28546" s="74">
        <v>33338</v>
      </c>
      <c r="B28546">
        <v>10.6</v>
      </c>
    </row>
    <row r="28547" spans="1:2" x14ac:dyDescent="0.25">
      <c r="A28547" s="74">
        <v>33339</v>
      </c>
      <c r="B28547">
        <v>9.18</v>
      </c>
    </row>
    <row r="28548" spans="1:2" x14ac:dyDescent="0.25">
      <c r="A28548" s="74">
        <v>33340</v>
      </c>
      <c r="B28548">
        <v>8.36</v>
      </c>
    </row>
    <row r="28549" spans="1:2" x14ac:dyDescent="0.25">
      <c r="A28549" s="74">
        <v>33341</v>
      </c>
      <c r="B28549">
        <v>7.74</v>
      </c>
    </row>
    <row r="28550" spans="1:2" x14ac:dyDescent="0.25">
      <c r="A28550" s="74">
        <v>33342</v>
      </c>
      <c r="B28550">
        <v>7.1</v>
      </c>
    </row>
    <row r="28551" spans="1:2" x14ac:dyDescent="0.25">
      <c r="A28551" s="74">
        <v>33343</v>
      </c>
      <c r="B28551">
        <v>7.5</v>
      </c>
    </row>
    <row r="28552" spans="1:2" x14ac:dyDescent="0.25">
      <c r="A28552" s="74">
        <v>33344</v>
      </c>
      <c r="B28552">
        <v>7.6</v>
      </c>
    </row>
    <row r="28553" spans="1:2" x14ac:dyDescent="0.25">
      <c r="A28553" s="74">
        <v>33345</v>
      </c>
      <c r="B28553">
        <v>7.88</v>
      </c>
    </row>
    <row r="28554" spans="1:2" x14ac:dyDescent="0.25">
      <c r="A28554" s="74">
        <v>33346</v>
      </c>
      <c r="B28554">
        <v>8.17</v>
      </c>
    </row>
    <row r="28555" spans="1:2" x14ac:dyDescent="0.25">
      <c r="A28555" s="74">
        <v>33347</v>
      </c>
      <c r="B28555">
        <v>8.48</v>
      </c>
    </row>
    <row r="28556" spans="1:2" x14ac:dyDescent="0.25">
      <c r="A28556" s="74">
        <v>33348</v>
      </c>
      <c r="B28556">
        <v>9.2200000000000006</v>
      </c>
    </row>
    <row r="28557" spans="1:2" x14ac:dyDescent="0.25">
      <c r="A28557" s="74">
        <v>33349</v>
      </c>
      <c r="B28557">
        <v>9.82</v>
      </c>
    </row>
    <row r="28558" spans="1:2" x14ac:dyDescent="0.25">
      <c r="A28558" s="74">
        <v>33350</v>
      </c>
      <c r="B28558">
        <v>9.9600000000000009</v>
      </c>
    </row>
    <row r="28559" spans="1:2" x14ac:dyDescent="0.25">
      <c r="A28559" s="74">
        <v>33351</v>
      </c>
      <c r="B28559">
        <v>9.1300000000000008</v>
      </c>
    </row>
    <row r="28560" spans="1:2" x14ac:dyDescent="0.25">
      <c r="A28560" s="74">
        <v>33352</v>
      </c>
      <c r="B28560">
        <v>9.73</v>
      </c>
    </row>
    <row r="28561" spans="1:2" x14ac:dyDescent="0.25">
      <c r="A28561" s="74">
        <v>33353</v>
      </c>
      <c r="B28561">
        <v>7.76</v>
      </c>
    </row>
    <row r="28562" spans="1:2" x14ac:dyDescent="0.25">
      <c r="A28562" s="74">
        <v>33354</v>
      </c>
      <c r="B28562">
        <v>6.5</v>
      </c>
    </row>
    <row r="28563" spans="1:2" x14ac:dyDescent="0.25">
      <c r="A28563" s="74">
        <v>33355</v>
      </c>
      <c r="B28563">
        <v>5.86</v>
      </c>
    </row>
    <row r="28564" spans="1:2" x14ac:dyDescent="0.25">
      <c r="A28564" s="74">
        <v>33356</v>
      </c>
      <c r="B28564">
        <v>5.46</v>
      </c>
    </row>
    <row r="28565" spans="1:2" x14ac:dyDescent="0.25">
      <c r="A28565" s="74">
        <v>33357</v>
      </c>
      <c r="B28565">
        <v>5.14</v>
      </c>
    </row>
    <row r="28566" spans="1:2" x14ac:dyDescent="0.25">
      <c r="A28566" s="74">
        <v>33358</v>
      </c>
      <c r="B28566">
        <v>4.68</v>
      </c>
    </row>
    <row r="28567" spans="1:2" x14ac:dyDescent="0.25">
      <c r="A28567" s="74">
        <v>33359</v>
      </c>
      <c r="B28567">
        <v>4.51</v>
      </c>
    </row>
    <row r="28568" spans="1:2" x14ac:dyDescent="0.25">
      <c r="A28568" s="74">
        <v>33360</v>
      </c>
      <c r="B28568">
        <v>4.79</v>
      </c>
    </row>
    <row r="28569" spans="1:2" x14ac:dyDescent="0.25">
      <c r="A28569" s="74">
        <v>33361</v>
      </c>
      <c r="B28569">
        <v>5</v>
      </c>
    </row>
    <row r="28570" spans="1:2" x14ac:dyDescent="0.25">
      <c r="A28570" s="74">
        <v>33362</v>
      </c>
      <c r="B28570">
        <v>5.42</v>
      </c>
    </row>
    <row r="28571" spans="1:2" x14ac:dyDescent="0.25">
      <c r="A28571" s="74">
        <v>33363</v>
      </c>
      <c r="B28571">
        <v>5.41</v>
      </c>
    </row>
    <row r="28572" spans="1:2" x14ac:dyDescent="0.25">
      <c r="A28572" s="74">
        <v>33364</v>
      </c>
      <c r="B28572">
        <v>6.63</v>
      </c>
    </row>
    <row r="28573" spans="1:2" x14ac:dyDescent="0.25">
      <c r="A28573" s="74">
        <v>33365</v>
      </c>
      <c r="B28573">
        <v>7.64</v>
      </c>
    </row>
    <row r="28574" spans="1:2" x14ac:dyDescent="0.25">
      <c r="A28574" s="74">
        <v>33366</v>
      </c>
      <c r="B28574">
        <v>8.67</v>
      </c>
    </row>
    <row r="28575" spans="1:2" x14ac:dyDescent="0.25">
      <c r="A28575" s="74">
        <v>33367</v>
      </c>
      <c r="B28575">
        <v>6.44</v>
      </c>
    </row>
    <row r="28576" spans="1:2" x14ac:dyDescent="0.25">
      <c r="A28576" s="74">
        <v>33368</v>
      </c>
      <c r="B28576">
        <v>5.14</v>
      </c>
    </row>
    <row r="28577" spans="1:2" x14ac:dyDescent="0.25">
      <c r="A28577" s="74">
        <v>33369</v>
      </c>
      <c r="B28577">
        <v>4.63</v>
      </c>
    </row>
    <row r="28578" spans="1:2" x14ac:dyDescent="0.25">
      <c r="A28578" s="74">
        <v>33370</v>
      </c>
      <c r="B28578">
        <v>5.14</v>
      </c>
    </row>
    <row r="28579" spans="1:2" x14ac:dyDescent="0.25">
      <c r="A28579" s="74">
        <v>33371</v>
      </c>
      <c r="B28579">
        <v>5</v>
      </c>
    </row>
    <row r="28580" spans="1:2" x14ac:dyDescent="0.25">
      <c r="A28580" s="74">
        <v>33372</v>
      </c>
      <c r="B28580">
        <v>4.41</v>
      </c>
    </row>
    <row r="28581" spans="1:2" x14ac:dyDescent="0.25">
      <c r="A28581" s="74">
        <v>33373</v>
      </c>
      <c r="B28581">
        <v>4.12</v>
      </c>
    </row>
    <row r="28582" spans="1:2" x14ac:dyDescent="0.25">
      <c r="A28582" s="74">
        <v>33374</v>
      </c>
      <c r="B28582">
        <v>4.0599999999999996</v>
      </c>
    </row>
    <row r="28583" spans="1:2" x14ac:dyDescent="0.25">
      <c r="A28583" s="74">
        <v>33375</v>
      </c>
      <c r="B28583">
        <v>4.05</v>
      </c>
    </row>
    <row r="28584" spans="1:2" x14ac:dyDescent="0.25">
      <c r="A28584" s="74">
        <v>33376</v>
      </c>
      <c r="B28584">
        <v>3.96</v>
      </c>
    </row>
    <row r="28585" spans="1:2" x14ac:dyDescent="0.25">
      <c r="A28585" s="74">
        <v>33377</v>
      </c>
      <c r="B28585">
        <v>4.68</v>
      </c>
    </row>
    <row r="28586" spans="1:2" x14ac:dyDescent="0.25">
      <c r="A28586" s="74">
        <v>33378</v>
      </c>
      <c r="B28586">
        <v>5.18</v>
      </c>
    </row>
    <row r="28587" spans="1:2" x14ac:dyDescent="0.25">
      <c r="A28587" s="74">
        <v>33379</v>
      </c>
      <c r="B28587">
        <v>4.4800000000000004</v>
      </c>
    </row>
    <row r="28588" spans="1:2" x14ac:dyDescent="0.25">
      <c r="A28588" s="74">
        <v>33380</v>
      </c>
      <c r="B28588">
        <v>3.87</v>
      </c>
    </row>
    <row r="28589" spans="1:2" x14ac:dyDescent="0.25">
      <c r="A28589" s="74">
        <v>33381</v>
      </c>
      <c r="B28589">
        <v>3.24</v>
      </c>
    </row>
    <row r="28590" spans="1:2" x14ac:dyDescent="0.25">
      <c r="A28590" s="74">
        <v>33382</v>
      </c>
      <c r="B28590">
        <v>3.19</v>
      </c>
    </row>
    <row r="28591" spans="1:2" x14ac:dyDescent="0.25">
      <c r="A28591" s="74">
        <v>33383</v>
      </c>
      <c r="B28591">
        <v>3.71</v>
      </c>
    </row>
    <row r="28592" spans="1:2" x14ac:dyDescent="0.25">
      <c r="A28592" s="74">
        <v>33384</v>
      </c>
      <c r="B28592">
        <v>3.48</v>
      </c>
    </row>
    <row r="28593" spans="1:2" x14ac:dyDescent="0.25">
      <c r="A28593" s="74">
        <v>33385</v>
      </c>
      <c r="B28593">
        <v>3.09</v>
      </c>
    </row>
    <row r="28594" spans="1:2" x14ac:dyDescent="0.25">
      <c r="A28594" s="74">
        <v>33386</v>
      </c>
      <c r="B28594">
        <v>2.81</v>
      </c>
    </row>
    <row r="28595" spans="1:2" x14ac:dyDescent="0.25">
      <c r="A28595" s="74">
        <v>33387</v>
      </c>
      <c r="B28595">
        <v>2.68</v>
      </c>
    </row>
    <row r="28596" spans="1:2" x14ac:dyDescent="0.25">
      <c r="A28596" s="74">
        <v>33388</v>
      </c>
      <c r="B28596">
        <v>2.79</v>
      </c>
    </row>
    <row r="28597" spans="1:2" x14ac:dyDescent="0.25">
      <c r="A28597" s="74">
        <v>33389</v>
      </c>
      <c r="B28597">
        <v>2.76</v>
      </c>
    </row>
    <row r="28598" spans="1:2" x14ac:dyDescent="0.25">
      <c r="A28598" s="74">
        <v>33390</v>
      </c>
      <c r="B28598">
        <v>2.5499999999999998</v>
      </c>
    </row>
    <row r="28599" spans="1:2" x14ac:dyDescent="0.25">
      <c r="A28599" s="74">
        <v>33391</v>
      </c>
      <c r="B28599">
        <v>2.54</v>
      </c>
    </row>
    <row r="28600" spans="1:2" x14ac:dyDescent="0.25">
      <c r="A28600" s="74">
        <v>33392</v>
      </c>
      <c r="B28600">
        <v>2.56</v>
      </c>
    </row>
    <row r="28601" spans="1:2" x14ac:dyDescent="0.25">
      <c r="A28601" s="74">
        <v>33393</v>
      </c>
      <c r="B28601">
        <v>2.34</v>
      </c>
    </row>
    <row r="28602" spans="1:2" x14ac:dyDescent="0.25">
      <c r="A28602" s="74">
        <v>33394</v>
      </c>
      <c r="B28602">
        <v>2.14</v>
      </c>
    </row>
    <row r="28603" spans="1:2" x14ac:dyDescent="0.25">
      <c r="A28603" s="74">
        <v>33395</v>
      </c>
      <c r="B28603">
        <v>1.93</v>
      </c>
    </row>
    <row r="28604" spans="1:2" x14ac:dyDescent="0.25">
      <c r="A28604" s="74">
        <v>33396</v>
      </c>
      <c r="B28604">
        <v>2.27</v>
      </c>
    </row>
    <row r="28605" spans="1:2" x14ac:dyDescent="0.25">
      <c r="A28605" s="74">
        <v>33397</v>
      </c>
      <c r="B28605">
        <v>2.42</v>
      </c>
    </row>
    <row r="28606" spans="1:2" x14ac:dyDescent="0.25">
      <c r="A28606" s="74">
        <v>33398</v>
      </c>
      <c r="B28606">
        <v>2.35</v>
      </c>
    </row>
    <row r="28607" spans="1:2" x14ac:dyDescent="0.25">
      <c r="A28607" s="74">
        <v>33399</v>
      </c>
      <c r="B28607">
        <v>2.4</v>
      </c>
    </row>
    <row r="28608" spans="1:2" x14ac:dyDescent="0.25">
      <c r="A28608" s="74">
        <v>33400</v>
      </c>
      <c r="B28608">
        <v>2.67</v>
      </c>
    </row>
    <row r="28609" spans="1:2" x14ac:dyDescent="0.25">
      <c r="A28609" s="74">
        <v>33401</v>
      </c>
      <c r="B28609">
        <v>2.13</v>
      </c>
    </row>
    <row r="28610" spans="1:2" x14ac:dyDescent="0.25">
      <c r="A28610" s="74">
        <v>33402</v>
      </c>
      <c r="B28610">
        <v>1.98</v>
      </c>
    </row>
    <row r="28611" spans="1:2" x14ac:dyDescent="0.25">
      <c r="A28611" s="74">
        <v>33403</v>
      </c>
      <c r="B28611">
        <v>2.0099999999999998</v>
      </c>
    </row>
    <row r="28612" spans="1:2" x14ac:dyDescent="0.25">
      <c r="A28612" s="74">
        <v>33404</v>
      </c>
      <c r="B28612">
        <v>1.93</v>
      </c>
    </row>
    <row r="28613" spans="1:2" x14ac:dyDescent="0.25">
      <c r="A28613" s="74">
        <v>33405</v>
      </c>
      <c r="B28613">
        <v>1.87</v>
      </c>
    </row>
    <row r="28614" spans="1:2" x14ac:dyDescent="0.25">
      <c r="A28614" s="74">
        <v>33406</v>
      </c>
      <c r="B28614">
        <v>1.88</v>
      </c>
    </row>
    <row r="28615" spans="1:2" x14ac:dyDescent="0.25">
      <c r="A28615" s="74">
        <v>33407</v>
      </c>
      <c r="B28615">
        <v>1.92</v>
      </c>
    </row>
    <row r="28616" spans="1:2" x14ac:dyDescent="0.25">
      <c r="A28616" s="74">
        <v>33408</v>
      </c>
      <c r="B28616">
        <v>1.98</v>
      </c>
    </row>
    <row r="28617" spans="1:2" x14ac:dyDescent="0.25">
      <c r="A28617" s="74">
        <v>33409</v>
      </c>
      <c r="B28617">
        <v>1.9</v>
      </c>
    </row>
    <row r="28618" spans="1:2" x14ac:dyDescent="0.25">
      <c r="A28618" s="74">
        <v>33410</v>
      </c>
      <c r="B28618">
        <v>2.04</v>
      </c>
    </row>
    <row r="28619" spans="1:2" x14ac:dyDescent="0.25">
      <c r="A28619" s="74">
        <v>33411</v>
      </c>
      <c r="B28619">
        <v>2.21</v>
      </c>
    </row>
    <row r="28620" spans="1:2" x14ac:dyDescent="0.25">
      <c r="A28620" s="74">
        <v>33412</v>
      </c>
      <c r="B28620">
        <v>2.2400000000000002</v>
      </c>
    </row>
    <row r="28621" spans="1:2" x14ac:dyDescent="0.25">
      <c r="A28621" s="74">
        <v>33413</v>
      </c>
      <c r="B28621">
        <v>2.33</v>
      </c>
    </row>
    <row r="28622" spans="1:2" x14ac:dyDescent="0.25">
      <c r="A28622" s="74">
        <v>33414</v>
      </c>
      <c r="B28622">
        <v>2.31</v>
      </c>
    </row>
    <row r="28623" spans="1:2" x14ac:dyDescent="0.25">
      <c r="A28623" s="74">
        <v>33415</v>
      </c>
      <c r="B28623">
        <v>2.34</v>
      </c>
    </row>
    <row r="28624" spans="1:2" x14ac:dyDescent="0.25">
      <c r="A28624" s="74">
        <v>33416</v>
      </c>
      <c r="B28624">
        <v>2.08</v>
      </c>
    </row>
    <row r="28625" spans="1:2" x14ac:dyDescent="0.25">
      <c r="A28625" s="74">
        <v>33417</v>
      </c>
      <c r="B28625">
        <v>1.84</v>
      </c>
    </row>
    <row r="28626" spans="1:2" x14ac:dyDescent="0.25">
      <c r="A28626" s="74">
        <v>33418</v>
      </c>
      <c r="B28626">
        <v>1.72</v>
      </c>
    </row>
    <row r="28627" spans="1:2" x14ac:dyDescent="0.25">
      <c r="A28627" s="74">
        <v>33419</v>
      </c>
      <c r="B28627">
        <v>1.73</v>
      </c>
    </row>
    <row r="28628" spans="1:2" x14ac:dyDescent="0.25">
      <c r="A28628" s="74">
        <v>33420</v>
      </c>
      <c r="B28628">
        <v>1.63</v>
      </c>
    </row>
    <row r="28629" spans="1:2" x14ac:dyDescent="0.25">
      <c r="A28629" s="74">
        <v>33421</v>
      </c>
      <c r="B28629">
        <v>1.58</v>
      </c>
    </row>
    <row r="28630" spans="1:2" x14ac:dyDescent="0.25">
      <c r="A28630" s="74">
        <v>33422</v>
      </c>
      <c r="B28630">
        <v>1.72</v>
      </c>
    </row>
    <row r="28631" spans="1:2" x14ac:dyDescent="0.25">
      <c r="A28631" s="74">
        <v>33423</v>
      </c>
      <c r="B28631">
        <v>1.75</v>
      </c>
    </row>
    <row r="28632" spans="1:2" x14ac:dyDescent="0.25">
      <c r="A28632" s="74">
        <v>33424</v>
      </c>
      <c r="B28632">
        <v>1.35</v>
      </c>
    </row>
    <row r="28633" spans="1:2" x14ac:dyDescent="0.25">
      <c r="A28633" s="74">
        <v>33425</v>
      </c>
      <c r="B28633">
        <v>1.2</v>
      </c>
    </row>
    <row r="28634" spans="1:2" x14ac:dyDescent="0.25">
      <c r="A28634" s="74">
        <v>33426</v>
      </c>
      <c r="B28634">
        <v>1.1200000000000001</v>
      </c>
    </row>
    <row r="28635" spans="1:2" x14ac:dyDescent="0.25">
      <c r="A28635" s="74">
        <v>33427</v>
      </c>
      <c r="B28635">
        <v>1.03</v>
      </c>
    </row>
    <row r="28636" spans="1:2" x14ac:dyDescent="0.25">
      <c r="A28636" s="74">
        <v>33428</v>
      </c>
      <c r="B28636">
        <v>0.94</v>
      </c>
    </row>
    <row r="28637" spans="1:2" x14ac:dyDescent="0.25">
      <c r="A28637" s="74">
        <v>33429</v>
      </c>
      <c r="B28637">
        <v>0.88100000000000001</v>
      </c>
    </row>
    <row r="28638" spans="1:2" x14ac:dyDescent="0.25">
      <c r="A28638" s="74">
        <v>33430</v>
      </c>
      <c r="B28638">
        <v>0.90800000000000003</v>
      </c>
    </row>
    <row r="28639" spans="1:2" x14ac:dyDescent="0.25">
      <c r="A28639" s="74">
        <v>33431</v>
      </c>
      <c r="B28639">
        <v>0.91600000000000004</v>
      </c>
    </row>
    <row r="28640" spans="1:2" x14ac:dyDescent="0.25">
      <c r="A28640" s="74">
        <v>33432</v>
      </c>
      <c r="B28640">
        <v>0.82299999999999995</v>
      </c>
    </row>
    <row r="28641" spans="1:2" x14ac:dyDescent="0.25">
      <c r="A28641" s="74">
        <v>33433</v>
      </c>
      <c r="B28641">
        <v>0.80400000000000005</v>
      </c>
    </row>
    <row r="28642" spans="1:2" x14ac:dyDescent="0.25">
      <c r="A28642" s="74">
        <v>33434</v>
      </c>
      <c r="B28642">
        <v>0.81499999999999995</v>
      </c>
    </row>
    <row r="28643" spans="1:2" x14ac:dyDescent="0.25">
      <c r="A28643" s="74">
        <v>33435</v>
      </c>
      <c r="B28643">
        <v>0.82799999999999996</v>
      </c>
    </row>
    <row r="28644" spans="1:2" x14ac:dyDescent="0.25">
      <c r="A28644" s="74">
        <v>33436</v>
      </c>
      <c r="B28644">
        <v>0.85599999999999998</v>
      </c>
    </row>
    <row r="28645" spans="1:2" x14ac:dyDescent="0.25">
      <c r="A28645" s="74">
        <v>33437</v>
      </c>
      <c r="B28645">
        <v>0.73699999999999999</v>
      </c>
    </row>
    <row r="28646" spans="1:2" x14ac:dyDescent="0.25">
      <c r="A28646" s="74">
        <v>33438</v>
      </c>
      <c r="B28646">
        <v>0.70399999999999996</v>
      </c>
    </row>
    <row r="28647" spans="1:2" x14ac:dyDescent="0.25">
      <c r="A28647" s="74">
        <v>33439</v>
      </c>
      <c r="B28647">
        <v>0.72099999999999997</v>
      </c>
    </row>
    <row r="28648" spans="1:2" x14ac:dyDescent="0.25">
      <c r="A28648" s="74">
        <v>33440</v>
      </c>
      <c r="B28648">
        <v>0.67600000000000005</v>
      </c>
    </row>
    <row r="28649" spans="1:2" x14ac:dyDescent="0.25">
      <c r="A28649" s="74">
        <v>33441</v>
      </c>
      <c r="B28649">
        <v>0.66600000000000004</v>
      </c>
    </row>
    <row r="28650" spans="1:2" x14ac:dyDescent="0.25">
      <c r="A28650" s="74">
        <v>33442</v>
      </c>
      <c r="B28650">
        <v>0.63700000000000001</v>
      </c>
    </row>
    <row r="28651" spans="1:2" x14ac:dyDescent="0.25">
      <c r="A28651" s="74">
        <v>33443</v>
      </c>
      <c r="B28651">
        <v>0.57699999999999996</v>
      </c>
    </row>
    <row r="28652" spans="1:2" x14ac:dyDescent="0.25">
      <c r="A28652" s="74">
        <v>33444</v>
      </c>
      <c r="B28652">
        <v>0.58799999999999997</v>
      </c>
    </row>
    <row r="28653" spans="1:2" x14ac:dyDescent="0.25">
      <c r="A28653" s="74">
        <v>33445</v>
      </c>
      <c r="B28653">
        <v>0.56599999999999995</v>
      </c>
    </row>
    <row r="28654" spans="1:2" x14ac:dyDescent="0.25">
      <c r="A28654" s="74">
        <v>33446</v>
      </c>
      <c r="B28654">
        <v>0.57099999999999995</v>
      </c>
    </row>
    <row r="28655" spans="1:2" x14ac:dyDescent="0.25">
      <c r="A28655" s="74">
        <v>33447</v>
      </c>
      <c r="B28655">
        <v>0.61799999999999999</v>
      </c>
    </row>
    <row r="28656" spans="1:2" x14ac:dyDescent="0.25">
      <c r="A28656" s="74">
        <v>33448</v>
      </c>
      <c r="B28656">
        <v>0.58199999999999996</v>
      </c>
    </row>
    <row r="28657" spans="1:2" x14ac:dyDescent="0.25">
      <c r="A28657" s="74">
        <v>33449</v>
      </c>
      <c r="B28657">
        <v>0.44400000000000001</v>
      </c>
    </row>
    <row r="28658" spans="1:2" x14ac:dyDescent="0.25">
      <c r="A28658" s="74">
        <v>33450</v>
      </c>
      <c r="B28658">
        <v>0.38100000000000001</v>
      </c>
    </row>
    <row r="28659" spans="1:2" x14ac:dyDescent="0.25">
      <c r="A28659" s="74">
        <v>33451</v>
      </c>
      <c r="B28659">
        <v>0.48399999999999999</v>
      </c>
    </row>
    <row r="28660" spans="1:2" x14ac:dyDescent="0.25">
      <c r="A28660" s="74">
        <v>33452</v>
      </c>
      <c r="B28660">
        <v>0.39600000000000002</v>
      </c>
    </row>
    <row r="28661" spans="1:2" x14ac:dyDescent="0.25">
      <c r="A28661" s="74">
        <v>33453</v>
      </c>
      <c r="B28661">
        <v>0.33</v>
      </c>
    </row>
    <row r="28662" spans="1:2" x14ac:dyDescent="0.25">
      <c r="A28662" s="74">
        <v>33454</v>
      </c>
      <c r="B28662">
        <v>0.311</v>
      </c>
    </row>
    <row r="28663" spans="1:2" x14ac:dyDescent="0.25">
      <c r="A28663" s="74">
        <v>33455</v>
      </c>
      <c r="B28663">
        <v>0.28999999999999998</v>
      </c>
    </row>
    <row r="28664" spans="1:2" x14ac:dyDescent="0.25">
      <c r="A28664" s="74">
        <v>33456</v>
      </c>
      <c r="B28664">
        <v>0.3</v>
      </c>
    </row>
    <row r="28665" spans="1:2" x14ac:dyDescent="0.25">
      <c r="A28665" s="74">
        <v>33457</v>
      </c>
      <c r="B28665">
        <v>0.32100000000000001</v>
      </c>
    </row>
    <row r="28666" spans="1:2" x14ac:dyDescent="0.25">
      <c r="A28666" s="74">
        <v>33458</v>
      </c>
      <c r="B28666">
        <v>8.5</v>
      </c>
    </row>
    <row r="28667" spans="1:2" x14ac:dyDescent="0.25">
      <c r="A28667" s="74">
        <v>33459</v>
      </c>
      <c r="B28667">
        <v>10.7</v>
      </c>
    </row>
    <row r="28668" spans="1:2" x14ac:dyDescent="0.25">
      <c r="A28668" s="74">
        <v>33460</v>
      </c>
      <c r="B28668">
        <v>6.79</v>
      </c>
    </row>
    <row r="28669" spans="1:2" x14ac:dyDescent="0.25">
      <c r="A28669" s="74">
        <v>33461</v>
      </c>
      <c r="B28669">
        <v>4.45</v>
      </c>
    </row>
    <row r="28670" spans="1:2" x14ac:dyDescent="0.25">
      <c r="A28670" s="74">
        <v>33462</v>
      </c>
      <c r="B28670">
        <v>3.17</v>
      </c>
    </row>
    <row r="28671" spans="1:2" x14ac:dyDescent="0.25">
      <c r="A28671" s="74">
        <v>33463</v>
      </c>
      <c r="B28671">
        <v>2.52</v>
      </c>
    </row>
    <row r="28672" spans="1:2" x14ac:dyDescent="0.25">
      <c r="A28672" s="74">
        <v>33464</v>
      </c>
      <c r="B28672">
        <v>2.14</v>
      </c>
    </row>
    <row r="28673" spans="1:2" x14ac:dyDescent="0.25">
      <c r="A28673" s="74">
        <v>33465</v>
      </c>
      <c r="B28673">
        <v>1.79</v>
      </c>
    </row>
    <row r="28674" spans="1:2" x14ac:dyDescent="0.25">
      <c r="A28674" s="74">
        <v>33466</v>
      </c>
      <c r="B28674">
        <v>1.57</v>
      </c>
    </row>
    <row r="28675" spans="1:2" x14ac:dyDescent="0.25">
      <c r="A28675" s="74">
        <v>33467</v>
      </c>
      <c r="B28675">
        <v>1.41</v>
      </c>
    </row>
    <row r="28676" spans="1:2" x14ac:dyDescent="0.25">
      <c r="A28676" s="74">
        <v>33468</v>
      </c>
      <c r="B28676">
        <v>1.24</v>
      </c>
    </row>
    <row r="28677" spans="1:2" x14ac:dyDescent="0.25">
      <c r="A28677" s="74">
        <v>33469</v>
      </c>
      <c r="B28677">
        <v>1.0900000000000001</v>
      </c>
    </row>
    <row r="28678" spans="1:2" x14ac:dyDescent="0.25">
      <c r="A28678" s="74">
        <v>33470</v>
      </c>
      <c r="B28678">
        <v>0.93100000000000005</v>
      </c>
    </row>
    <row r="28679" spans="1:2" x14ac:dyDescent="0.25">
      <c r="A28679" s="74">
        <v>33471</v>
      </c>
      <c r="B28679">
        <v>0.81699999999999995</v>
      </c>
    </row>
    <row r="28680" spans="1:2" x14ac:dyDescent="0.25">
      <c r="A28680" s="74">
        <v>33472</v>
      </c>
      <c r="B28680">
        <v>0.69199999999999995</v>
      </c>
    </row>
    <row r="28681" spans="1:2" x14ac:dyDescent="0.25">
      <c r="A28681" s="74">
        <v>33473</v>
      </c>
      <c r="B28681">
        <v>0.63400000000000001</v>
      </c>
    </row>
    <row r="28682" spans="1:2" x14ac:dyDescent="0.25">
      <c r="A28682" s="74">
        <v>33474</v>
      </c>
      <c r="B28682">
        <v>0.63800000000000001</v>
      </c>
    </row>
    <row r="28683" spans="1:2" x14ac:dyDescent="0.25">
      <c r="A28683" s="74">
        <v>33475</v>
      </c>
      <c r="B28683">
        <v>0.63400000000000001</v>
      </c>
    </row>
    <row r="28684" spans="1:2" x14ac:dyDescent="0.25">
      <c r="A28684" s="74">
        <v>33476</v>
      </c>
      <c r="B28684">
        <v>0.59399999999999997</v>
      </c>
    </row>
    <row r="28685" spans="1:2" x14ac:dyDescent="0.25">
      <c r="A28685" s="74">
        <v>33477</v>
      </c>
      <c r="B28685">
        <v>0.81299999999999994</v>
      </c>
    </row>
    <row r="28686" spans="1:2" x14ac:dyDescent="0.25">
      <c r="A28686" s="74">
        <v>33478</v>
      </c>
      <c r="B28686">
        <v>2.39</v>
      </c>
    </row>
    <row r="28687" spans="1:2" x14ac:dyDescent="0.25">
      <c r="A28687" s="74">
        <v>33479</v>
      </c>
      <c r="B28687">
        <v>51.7</v>
      </c>
    </row>
    <row r="28688" spans="1:2" x14ac:dyDescent="0.25">
      <c r="A28688" s="74">
        <v>33480</v>
      </c>
      <c r="B28688">
        <v>80.400000000000006</v>
      </c>
    </row>
    <row r="28689" spans="1:2" x14ac:dyDescent="0.25">
      <c r="A28689" s="74">
        <v>33481</v>
      </c>
      <c r="B28689">
        <v>32.1</v>
      </c>
    </row>
    <row r="28690" spans="1:2" x14ac:dyDescent="0.25">
      <c r="A28690" s="74">
        <v>33482</v>
      </c>
      <c r="B28690">
        <v>17.899999999999999</v>
      </c>
    </row>
    <row r="28691" spans="1:2" x14ac:dyDescent="0.25">
      <c r="A28691" s="74">
        <v>33483</v>
      </c>
      <c r="B28691">
        <v>11.4</v>
      </c>
    </row>
    <row r="28692" spans="1:2" x14ac:dyDescent="0.25">
      <c r="A28692" s="74">
        <v>33484</v>
      </c>
      <c r="B28692">
        <v>8.0399999999999991</v>
      </c>
    </row>
    <row r="28693" spans="1:2" x14ac:dyDescent="0.25">
      <c r="A28693" s="74">
        <v>33485</v>
      </c>
      <c r="B28693">
        <v>6.29</v>
      </c>
    </row>
    <row r="28694" spans="1:2" x14ac:dyDescent="0.25">
      <c r="A28694" s="74">
        <v>33486</v>
      </c>
      <c r="B28694">
        <v>5.21</v>
      </c>
    </row>
    <row r="28695" spans="1:2" x14ac:dyDescent="0.25">
      <c r="A28695" s="74">
        <v>33487</v>
      </c>
      <c r="B28695">
        <v>4.45</v>
      </c>
    </row>
    <row r="28696" spans="1:2" x14ac:dyDescent="0.25">
      <c r="A28696" s="74">
        <v>33488</v>
      </c>
      <c r="B28696">
        <v>3.86</v>
      </c>
    </row>
    <row r="28697" spans="1:2" x14ac:dyDescent="0.25">
      <c r="A28697" s="74">
        <v>33489</v>
      </c>
      <c r="B28697">
        <v>3.34</v>
      </c>
    </row>
    <row r="28698" spans="1:2" x14ac:dyDescent="0.25">
      <c r="A28698" s="74">
        <v>33490</v>
      </c>
      <c r="B28698">
        <v>2.94</v>
      </c>
    </row>
    <row r="28699" spans="1:2" x14ac:dyDescent="0.25">
      <c r="A28699" s="74">
        <v>33491</v>
      </c>
      <c r="B28699">
        <v>2.59</v>
      </c>
    </row>
    <row r="28700" spans="1:2" x14ac:dyDescent="0.25">
      <c r="A28700" s="74">
        <v>33492</v>
      </c>
      <c r="B28700">
        <v>2.4300000000000002</v>
      </c>
    </row>
    <row r="28701" spans="1:2" x14ac:dyDescent="0.25">
      <c r="A28701" s="74">
        <v>33493</v>
      </c>
      <c r="B28701">
        <v>2.2000000000000002</v>
      </c>
    </row>
    <row r="28702" spans="1:2" x14ac:dyDescent="0.25">
      <c r="A28702" s="74">
        <v>33494</v>
      </c>
      <c r="B28702">
        <v>2.06</v>
      </c>
    </row>
    <row r="28703" spans="1:2" x14ac:dyDescent="0.25">
      <c r="A28703" s="74">
        <v>33495</v>
      </c>
      <c r="B28703">
        <v>1.9</v>
      </c>
    </row>
    <row r="28704" spans="1:2" x14ac:dyDescent="0.25">
      <c r="A28704" s="74">
        <v>33496</v>
      </c>
      <c r="B28704">
        <v>1.9</v>
      </c>
    </row>
    <row r="28705" spans="1:2" x14ac:dyDescent="0.25">
      <c r="A28705" s="74">
        <v>33497</v>
      </c>
      <c r="B28705">
        <v>1.7</v>
      </c>
    </row>
    <row r="28706" spans="1:2" x14ac:dyDescent="0.25">
      <c r="A28706" s="74">
        <v>33498</v>
      </c>
      <c r="B28706">
        <v>1.5</v>
      </c>
    </row>
    <row r="28707" spans="1:2" x14ac:dyDescent="0.25">
      <c r="A28707" s="74">
        <v>33499</v>
      </c>
      <c r="B28707">
        <v>1.37</v>
      </c>
    </row>
    <row r="28708" spans="1:2" x14ac:dyDescent="0.25">
      <c r="A28708" s="74">
        <v>33500</v>
      </c>
      <c r="B28708">
        <v>1.3</v>
      </c>
    </row>
    <row r="28709" spans="1:2" x14ac:dyDescent="0.25">
      <c r="A28709" s="74">
        <v>33501</v>
      </c>
      <c r="B28709">
        <v>1.23</v>
      </c>
    </row>
    <row r="28710" spans="1:2" x14ac:dyDescent="0.25">
      <c r="A28710" s="74">
        <v>33502</v>
      </c>
      <c r="B28710">
        <v>1.1499999999999999</v>
      </c>
    </row>
    <row r="28711" spans="1:2" x14ac:dyDescent="0.25">
      <c r="A28711" s="74">
        <v>33503</v>
      </c>
      <c r="B28711">
        <v>1.1200000000000001</v>
      </c>
    </row>
    <row r="28712" spans="1:2" x14ac:dyDescent="0.25">
      <c r="A28712" s="74">
        <v>33504</v>
      </c>
      <c r="B28712">
        <v>1.1000000000000001</v>
      </c>
    </row>
    <row r="28713" spans="1:2" x14ac:dyDescent="0.25">
      <c r="A28713" s="74">
        <v>33505</v>
      </c>
      <c r="B28713">
        <v>0.96</v>
      </c>
    </row>
    <row r="28714" spans="1:2" x14ac:dyDescent="0.25">
      <c r="A28714" s="74">
        <v>33506</v>
      </c>
      <c r="B28714">
        <v>0.91600000000000004</v>
      </c>
    </row>
    <row r="28715" spans="1:2" x14ac:dyDescent="0.25">
      <c r="A28715" s="74">
        <v>33507</v>
      </c>
      <c r="B28715">
        <v>0.96699999999999997</v>
      </c>
    </row>
    <row r="28716" spans="1:2" x14ac:dyDescent="0.25">
      <c r="A28716" s="74">
        <v>33508</v>
      </c>
      <c r="B28716">
        <v>0.84899999999999998</v>
      </c>
    </row>
    <row r="28717" spans="1:2" x14ac:dyDescent="0.25">
      <c r="A28717" s="74">
        <v>33509</v>
      </c>
      <c r="B28717">
        <v>0.77200000000000002</v>
      </c>
    </row>
    <row r="28718" spans="1:2" x14ac:dyDescent="0.25">
      <c r="A28718" s="74">
        <v>33510</v>
      </c>
      <c r="B28718">
        <v>0.73199999999999998</v>
      </c>
    </row>
    <row r="28719" spans="1:2" x14ac:dyDescent="0.25">
      <c r="A28719" s="74">
        <v>33511</v>
      </c>
      <c r="B28719">
        <v>0.76100000000000001</v>
      </c>
    </row>
    <row r="28720" spans="1:2" x14ac:dyDescent="0.25">
      <c r="A28720" s="74">
        <v>33512</v>
      </c>
      <c r="B28720">
        <v>0.68799999999999994</v>
      </c>
    </row>
    <row r="28721" spans="1:2" x14ac:dyDescent="0.25">
      <c r="A28721" s="74">
        <v>33513</v>
      </c>
      <c r="B28721">
        <v>0.69899999999999995</v>
      </c>
    </row>
    <row r="28722" spans="1:2" x14ac:dyDescent="0.25">
      <c r="A28722" s="74">
        <v>33514</v>
      </c>
      <c r="B28722">
        <v>0.67100000000000004</v>
      </c>
    </row>
    <row r="28723" spans="1:2" x14ac:dyDescent="0.25">
      <c r="A28723" s="74">
        <v>33515</v>
      </c>
      <c r="B28723">
        <v>0.65700000000000003</v>
      </c>
    </row>
    <row r="28724" spans="1:2" x14ac:dyDescent="0.25">
      <c r="A28724" s="74">
        <v>33516</v>
      </c>
      <c r="B28724">
        <v>0.61099999999999999</v>
      </c>
    </row>
    <row r="28725" spans="1:2" x14ac:dyDescent="0.25">
      <c r="A28725" s="74">
        <v>33517</v>
      </c>
      <c r="B28725">
        <v>0.52500000000000002</v>
      </c>
    </row>
    <row r="28726" spans="1:2" x14ac:dyDescent="0.25">
      <c r="A28726" s="74">
        <v>33518</v>
      </c>
      <c r="B28726">
        <v>0.437</v>
      </c>
    </row>
    <row r="28727" spans="1:2" x14ac:dyDescent="0.25">
      <c r="A28727" s="74">
        <v>33519</v>
      </c>
      <c r="B28727">
        <v>0.49099999999999999</v>
      </c>
    </row>
    <row r="28728" spans="1:2" x14ac:dyDescent="0.25">
      <c r="A28728" s="74">
        <v>33520</v>
      </c>
      <c r="B28728">
        <v>0.48699999999999999</v>
      </c>
    </row>
    <row r="28729" spans="1:2" x14ac:dyDescent="0.25">
      <c r="A28729" s="74">
        <v>33521</v>
      </c>
      <c r="B28729">
        <v>0.51900000000000002</v>
      </c>
    </row>
    <row r="28730" spans="1:2" x14ac:dyDescent="0.25">
      <c r="A28730" s="74">
        <v>33522</v>
      </c>
      <c r="B28730">
        <v>0.51100000000000001</v>
      </c>
    </row>
    <row r="28731" spans="1:2" x14ac:dyDescent="0.25">
      <c r="A28731" s="74">
        <v>33523</v>
      </c>
      <c r="B28731">
        <v>0.497</v>
      </c>
    </row>
    <row r="28732" spans="1:2" x14ac:dyDescent="0.25">
      <c r="A28732" s="74">
        <v>33524</v>
      </c>
      <c r="B28732">
        <v>0.44</v>
      </c>
    </row>
    <row r="28733" spans="1:2" x14ac:dyDescent="0.25">
      <c r="A28733" s="74">
        <v>33525</v>
      </c>
      <c r="B28733">
        <v>0.42899999999999999</v>
      </c>
    </row>
    <row r="28734" spans="1:2" x14ac:dyDescent="0.25">
      <c r="A28734" s="74">
        <v>33526</v>
      </c>
      <c r="B28734">
        <v>0.442</v>
      </c>
    </row>
    <row r="28735" spans="1:2" x14ac:dyDescent="0.25">
      <c r="A28735" s="74">
        <v>33527</v>
      </c>
      <c r="B28735">
        <v>0.63100000000000001</v>
      </c>
    </row>
    <row r="28736" spans="1:2" x14ac:dyDescent="0.25">
      <c r="A28736" s="74">
        <v>33528</v>
      </c>
      <c r="B28736">
        <v>0.98899999999999999</v>
      </c>
    </row>
    <row r="28737" spans="1:2" x14ac:dyDescent="0.25">
      <c r="A28737" s="74">
        <v>33529</v>
      </c>
      <c r="B28737">
        <v>0.77400000000000002</v>
      </c>
    </row>
    <row r="28738" spans="1:2" x14ac:dyDescent="0.25">
      <c r="A28738" s="74">
        <v>33530</v>
      </c>
      <c r="B28738">
        <v>0.76400000000000001</v>
      </c>
    </row>
    <row r="28739" spans="1:2" x14ac:dyDescent="0.25">
      <c r="A28739" s="74">
        <v>33531</v>
      </c>
      <c r="B28739">
        <v>0.68799999999999994</v>
      </c>
    </row>
    <row r="28740" spans="1:2" x14ac:dyDescent="0.25">
      <c r="A28740" s="74">
        <v>33532</v>
      </c>
      <c r="B28740">
        <v>0.60499999999999998</v>
      </c>
    </row>
    <row r="28741" spans="1:2" x14ac:dyDescent="0.25">
      <c r="A28741" s="74">
        <v>33533</v>
      </c>
      <c r="B28741">
        <v>0.70799999999999996</v>
      </c>
    </row>
    <row r="28742" spans="1:2" x14ac:dyDescent="0.25">
      <c r="A28742" s="74">
        <v>33534</v>
      </c>
      <c r="B28742">
        <v>0.82399999999999995</v>
      </c>
    </row>
    <row r="28743" spans="1:2" x14ac:dyDescent="0.25">
      <c r="A28743" s="74">
        <v>33535</v>
      </c>
      <c r="B28743">
        <v>0.82399999999999995</v>
      </c>
    </row>
    <row r="28744" spans="1:2" x14ac:dyDescent="0.25">
      <c r="A28744" s="74">
        <v>33536</v>
      </c>
      <c r="B28744">
        <v>0.78500000000000003</v>
      </c>
    </row>
    <row r="28745" spans="1:2" x14ac:dyDescent="0.25">
      <c r="A28745" s="74">
        <v>33537</v>
      </c>
      <c r="B28745">
        <v>0.73799999999999999</v>
      </c>
    </row>
    <row r="28746" spans="1:2" x14ac:dyDescent="0.25">
      <c r="A28746" s="74">
        <v>33538</v>
      </c>
      <c r="B28746">
        <v>0.79700000000000004</v>
      </c>
    </row>
    <row r="28747" spans="1:2" x14ac:dyDescent="0.25">
      <c r="A28747" s="74">
        <v>33539</v>
      </c>
      <c r="B28747">
        <v>0.68200000000000005</v>
      </c>
    </row>
    <row r="28748" spans="1:2" x14ac:dyDescent="0.25">
      <c r="A28748" s="74">
        <v>33540</v>
      </c>
      <c r="B28748">
        <v>0.66100000000000003</v>
      </c>
    </row>
    <row r="28749" spans="1:2" x14ac:dyDescent="0.25">
      <c r="A28749" s="74">
        <v>33541</v>
      </c>
      <c r="B28749">
        <v>0.59499999999999997</v>
      </c>
    </row>
    <row r="28750" spans="1:2" x14ac:dyDescent="0.25">
      <c r="A28750" s="74">
        <v>33542</v>
      </c>
      <c r="B28750">
        <v>0.53400000000000003</v>
      </c>
    </row>
    <row r="28751" spans="1:2" x14ac:dyDescent="0.25">
      <c r="A28751" s="74">
        <v>33543</v>
      </c>
      <c r="B28751">
        <v>0.54</v>
      </c>
    </row>
    <row r="28752" spans="1:2" x14ac:dyDescent="0.25">
      <c r="A28752" s="74">
        <v>33544</v>
      </c>
      <c r="B28752">
        <v>0.63600000000000001</v>
      </c>
    </row>
    <row r="28753" spans="1:3" x14ac:dyDescent="0.25">
      <c r="A28753" s="74">
        <v>33545</v>
      </c>
      <c r="B28753">
        <v>0.71399999999999997</v>
      </c>
    </row>
    <row r="28754" spans="1:3" x14ac:dyDescent="0.25">
      <c r="A28754" s="74">
        <v>33546</v>
      </c>
      <c r="B28754">
        <v>1.05</v>
      </c>
    </row>
    <row r="28755" spans="1:3" x14ac:dyDescent="0.25">
      <c r="A28755" s="74">
        <v>33547</v>
      </c>
      <c r="B28755">
        <v>2.4</v>
      </c>
    </row>
    <row r="28756" spans="1:3" x14ac:dyDescent="0.25">
      <c r="A28756" s="74">
        <v>33548</v>
      </c>
      <c r="B28756">
        <v>2.7</v>
      </c>
    </row>
    <row r="28757" spans="1:3" x14ac:dyDescent="0.25">
      <c r="A28757" s="74">
        <v>33549</v>
      </c>
      <c r="B28757">
        <v>2.54</v>
      </c>
    </row>
    <row r="28758" spans="1:3" x14ac:dyDescent="0.25">
      <c r="A28758" s="74">
        <v>33550</v>
      </c>
      <c r="B28758">
        <v>3.51</v>
      </c>
    </row>
    <row r="28759" spans="1:3" x14ac:dyDescent="0.25">
      <c r="A28759" s="74">
        <v>33551</v>
      </c>
      <c r="B28759">
        <v>3.86</v>
      </c>
    </row>
    <row r="28760" spans="1:3" x14ac:dyDescent="0.25">
      <c r="A28760" s="74">
        <v>33552</v>
      </c>
      <c r="B28760">
        <v>4.08</v>
      </c>
    </row>
    <row r="28761" spans="1:3" x14ac:dyDescent="0.25">
      <c r="A28761" s="74">
        <v>33553</v>
      </c>
      <c r="B28761">
        <v>16.100000000000001</v>
      </c>
      <c r="C28761" t="s">
        <v>140</v>
      </c>
    </row>
    <row r="28762" spans="1:3" x14ac:dyDescent="0.25">
      <c r="A28762" s="74">
        <v>33554</v>
      </c>
      <c r="B28762">
        <v>40</v>
      </c>
      <c r="C28762" t="s">
        <v>141</v>
      </c>
    </row>
    <row r="28763" spans="1:3" x14ac:dyDescent="0.25">
      <c r="A28763" s="74">
        <v>33555</v>
      </c>
      <c r="B28763">
        <v>26.9</v>
      </c>
      <c r="C28763" t="s">
        <v>140</v>
      </c>
    </row>
    <row r="28764" spans="1:3" x14ac:dyDescent="0.25">
      <c r="A28764" s="74">
        <v>33556</v>
      </c>
      <c r="B28764">
        <v>15.1</v>
      </c>
      <c r="C28764" t="s">
        <v>140</v>
      </c>
    </row>
    <row r="28765" spans="1:3" x14ac:dyDescent="0.25">
      <c r="A28765" s="74">
        <v>33557</v>
      </c>
      <c r="B28765">
        <v>12.6</v>
      </c>
    </row>
    <row r="28766" spans="1:3" x14ac:dyDescent="0.25">
      <c r="A28766" s="74">
        <v>33558</v>
      </c>
      <c r="B28766">
        <v>26.2</v>
      </c>
    </row>
    <row r="28767" spans="1:3" x14ac:dyDescent="0.25">
      <c r="A28767" s="74">
        <v>33559</v>
      </c>
      <c r="B28767">
        <v>58</v>
      </c>
      <c r="C28767" t="s">
        <v>141</v>
      </c>
    </row>
    <row r="28768" spans="1:3" x14ac:dyDescent="0.25">
      <c r="A28768" s="74">
        <v>33560</v>
      </c>
      <c r="B28768">
        <v>41.7</v>
      </c>
    </row>
    <row r="28769" spans="1:3" x14ac:dyDescent="0.25">
      <c r="A28769" s="74">
        <v>33561</v>
      </c>
      <c r="B28769">
        <v>38.6</v>
      </c>
      <c r="C28769" t="s">
        <v>140</v>
      </c>
    </row>
    <row r="28770" spans="1:3" x14ac:dyDescent="0.25">
      <c r="A28770" s="74">
        <v>33562</v>
      </c>
      <c r="B28770">
        <v>80</v>
      </c>
      <c r="C28770" t="s">
        <v>141</v>
      </c>
    </row>
    <row r="28771" spans="1:3" x14ac:dyDescent="0.25">
      <c r="A28771" s="74">
        <v>33563</v>
      </c>
      <c r="B28771">
        <v>34.799999999999997</v>
      </c>
      <c r="C28771" t="s">
        <v>140</v>
      </c>
    </row>
    <row r="28772" spans="1:3" x14ac:dyDescent="0.25">
      <c r="A28772" s="74">
        <v>33564</v>
      </c>
      <c r="B28772">
        <v>23.5</v>
      </c>
    </row>
    <row r="28773" spans="1:3" x14ac:dyDescent="0.25">
      <c r="A28773" s="74">
        <v>33565</v>
      </c>
      <c r="B28773">
        <v>17.2</v>
      </c>
    </row>
    <row r="28774" spans="1:3" x14ac:dyDescent="0.25">
      <c r="A28774" s="74">
        <v>33566</v>
      </c>
      <c r="B28774">
        <v>17.899999999999999</v>
      </c>
    </row>
    <row r="28775" spans="1:3" x14ac:dyDescent="0.25">
      <c r="A28775" s="74">
        <v>33567</v>
      </c>
      <c r="B28775">
        <v>31.1</v>
      </c>
    </row>
    <row r="28776" spans="1:3" x14ac:dyDescent="0.25">
      <c r="A28776" s="74">
        <v>33568</v>
      </c>
      <c r="B28776">
        <v>21</v>
      </c>
    </row>
    <row r="28777" spans="1:3" x14ac:dyDescent="0.25">
      <c r="A28777" s="74">
        <v>33569</v>
      </c>
      <c r="B28777">
        <v>16.899999999999999</v>
      </c>
    </row>
    <row r="28778" spans="1:3" x14ac:dyDescent="0.25">
      <c r="A28778" s="74">
        <v>33570</v>
      </c>
      <c r="B28778">
        <v>13.9</v>
      </c>
    </row>
    <row r="28779" spans="1:3" x14ac:dyDescent="0.25">
      <c r="A28779" s="74">
        <v>33571</v>
      </c>
      <c r="B28779">
        <v>11.7</v>
      </c>
    </row>
    <row r="28780" spans="1:3" x14ac:dyDescent="0.25">
      <c r="A28780" s="74">
        <v>33572</v>
      </c>
      <c r="B28780">
        <v>10.5</v>
      </c>
    </row>
    <row r="28781" spans="1:3" x14ac:dyDescent="0.25">
      <c r="A28781" s="74">
        <v>33573</v>
      </c>
      <c r="B28781">
        <v>9.25</v>
      </c>
    </row>
    <row r="28782" spans="1:3" x14ac:dyDescent="0.25">
      <c r="A28782" s="74">
        <v>33574</v>
      </c>
      <c r="B28782">
        <v>8.6999999999999993</v>
      </c>
    </row>
    <row r="28783" spans="1:3" x14ac:dyDescent="0.25">
      <c r="A28783" s="74">
        <v>33575</v>
      </c>
      <c r="B28783">
        <v>7.63</v>
      </c>
    </row>
    <row r="28784" spans="1:3" x14ac:dyDescent="0.25">
      <c r="A28784" s="74">
        <v>33576</v>
      </c>
      <c r="B28784">
        <v>7.27</v>
      </c>
      <c r="C28784" t="s">
        <v>140</v>
      </c>
    </row>
    <row r="28785" spans="1:3" x14ac:dyDescent="0.25">
      <c r="A28785" s="74">
        <v>33577</v>
      </c>
      <c r="B28785">
        <v>11</v>
      </c>
      <c r="C28785" t="s">
        <v>141</v>
      </c>
    </row>
    <row r="28786" spans="1:3" x14ac:dyDescent="0.25">
      <c r="A28786" s="74">
        <v>33578</v>
      </c>
      <c r="B28786">
        <v>17.5</v>
      </c>
      <c r="C28786" t="s">
        <v>141</v>
      </c>
    </row>
    <row r="28787" spans="1:3" x14ac:dyDescent="0.25">
      <c r="A28787" s="74">
        <v>33579</v>
      </c>
      <c r="B28787">
        <v>13.2</v>
      </c>
      <c r="C28787" t="s">
        <v>141</v>
      </c>
    </row>
    <row r="28788" spans="1:3" x14ac:dyDescent="0.25">
      <c r="A28788" s="74">
        <v>33580</v>
      </c>
      <c r="B28788">
        <v>23</v>
      </c>
      <c r="C28788" t="s">
        <v>141</v>
      </c>
    </row>
    <row r="28789" spans="1:3" x14ac:dyDescent="0.25">
      <c r="A28789" s="74">
        <v>33581</v>
      </c>
      <c r="B28789">
        <v>42</v>
      </c>
      <c r="C28789" t="s">
        <v>141</v>
      </c>
    </row>
    <row r="28790" spans="1:3" x14ac:dyDescent="0.25">
      <c r="A28790" s="74">
        <v>33582</v>
      </c>
      <c r="B28790">
        <v>41</v>
      </c>
      <c r="C28790" t="s">
        <v>141</v>
      </c>
    </row>
    <row r="28791" spans="1:3" x14ac:dyDescent="0.25">
      <c r="A28791" s="74">
        <v>33583</v>
      </c>
      <c r="B28791">
        <v>39</v>
      </c>
      <c r="C28791" t="s">
        <v>141</v>
      </c>
    </row>
    <row r="28792" spans="1:3" x14ac:dyDescent="0.25">
      <c r="A28792" s="74">
        <v>33584</v>
      </c>
      <c r="B28792">
        <v>37.6</v>
      </c>
      <c r="C28792" t="s">
        <v>140</v>
      </c>
    </row>
    <row r="28793" spans="1:3" x14ac:dyDescent="0.25">
      <c r="A28793" s="74">
        <v>33585</v>
      </c>
      <c r="B28793">
        <v>30</v>
      </c>
      <c r="C28793" t="s">
        <v>141</v>
      </c>
    </row>
    <row r="28794" spans="1:3" x14ac:dyDescent="0.25">
      <c r="A28794" s="74">
        <v>33586</v>
      </c>
      <c r="B28794">
        <v>23</v>
      </c>
      <c r="C28794" t="s">
        <v>141</v>
      </c>
    </row>
    <row r="28795" spans="1:3" x14ac:dyDescent="0.25">
      <c r="A28795" s="74">
        <v>33587</v>
      </c>
      <c r="B28795">
        <v>17.5</v>
      </c>
      <c r="C28795" t="s">
        <v>141</v>
      </c>
    </row>
    <row r="28796" spans="1:3" x14ac:dyDescent="0.25">
      <c r="A28796" s="74">
        <v>33588</v>
      </c>
      <c r="B28796">
        <v>13.8</v>
      </c>
      <c r="C28796" t="s">
        <v>141</v>
      </c>
    </row>
    <row r="28797" spans="1:3" x14ac:dyDescent="0.25">
      <c r="A28797" s="74">
        <v>33589</v>
      </c>
      <c r="B28797">
        <v>10.3</v>
      </c>
      <c r="C28797" t="s">
        <v>140</v>
      </c>
    </row>
    <row r="28798" spans="1:3" x14ac:dyDescent="0.25">
      <c r="A28798" s="74">
        <v>33590</v>
      </c>
      <c r="B28798">
        <v>10</v>
      </c>
      <c r="C28798" t="s">
        <v>141</v>
      </c>
    </row>
    <row r="28799" spans="1:3" x14ac:dyDescent="0.25">
      <c r="A28799" s="74">
        <v>33591</v>
      </c>
      <c r="B28799">
        <v>9.1999999999999993</v>
      </c>
      <c r="C28799" t="s">
        <v>141</v>
      </c>
    </row>
    <row r="28800" spans="1:3" x14ac:dyDescent="0.25">
      <c r="A28800" s="74">
        <v>33592</v>
      </c>
      <c r="B28800">
        <v>8.3000000000000007</v>
      </c>
      <c r="C28800" t="s">
        <v>141</v>
      </c>
    </row>
    <row r="28801" spans="1:3" x14ac:dyDescent="0.25">
      <c r="A28801" s="74">
        <v>33593</v>
      </c>
      <c r="B28801">
        <v>7.8</v>
      </c>
      <c r="C28801" t="s">
        <v>141</v>
      </c>
    </row>
    <row r="28802" spans="1:3" x14ac:dyDescent="0.25">
      <c r="A28802" s="74">
        <v>33594</v>
      </c>
      <c r="B28802">
        <v>7.6</v>
      </c>
      <c r="C28802" t="s">
        <v>141</v>
      </c>
    </row>
    <row r="28803" spans="1:3" x14ac:dyDescent="0.25">
      <c r="A28803" s="74">
        <v>33595</v>
      </c>
      <c r="B28803">
        <v>20.2</v>
      </c>
      <c r="C28803" t="s">
        <v>140</v>
      </c>
    </row>
    <row r="28804" spans="1:3" x14ac:dyDescent="0.25">
      <c r="A28804" s="74">
        <v>33596</v>
      </c>
      <c r="B28804">
        <v>19.899999999999999</v>
      </c>
    </row>
    <row r="28805" spans="1:3" x14ac:dyDescent="0.25">
      <c r="A28805" s="74">
        <v>33597</v>
      </c>
      <c r="B28805">
        <v>21</v>
      </c>
    </row>
    <row r="28806" spans="1:3" x14ac:dyDescent="0.25">
      <c r="A28806" s="74">
        <v>33598</v>
      </c>
      <c r="B28806">
        <v>50.5</v>
      </c>
      <c r="C28806" t="s">
        <v>140</v>
      </c>
    </row>
    <row r="28807" spans="1:3" x14ac:dyDescent="0.25">
      <c r="A28807" s="74">
        <v>33599</v>
      </c>
      <c r="B28807">
        <v>57</v>
      </c>
      <c r="C28807" t="s">
        <v>140</v>
      </c>
    </row>
    <row r="28808" spans="1:3" x14ac:dyDescent="0.25">
      <c r="A28808" s="74">
        <v>33600</v>
      </c>
      <c r="B28808">
        <v>36.1</v>
      </c>
    </row>
    <row r="28809" spans="1:3" x14ac:dyDescent="0.25">
      <c r="A28809" s="74">
        <v>33601</v>
      </c>
      <c r="B28809">
        <v>23.7</v>
      </c>
    </row>
    <row r="28810" spans="1:3" x14ac:dyDescent="0.25">
      <c r="A28810" s="74">
        <v>33602</v>
      </c>
      <c r="B28810">
        <v>18.3</v>
      </c>
    </row>
    <row r="28811" spans="1:3" x14ac:dyDescent="0.25">
      <c r="A28811" s="74">
        <v>33603</v>
      </c>
      <c r="B28811">
        <v>15.2</v>
      </c>
    </row>
    <row r="28812" spans="1:3" x14ac:dyDescent="0.25">
      <c r="A28812" s="74">
        <v>33604</v>
      </c>
      <c r="B28812">
        <v>47.6</v>
      </c>
    </row>
    <row r="28813" spans="1:3" x14ac:dyDescent="0.25">
      <c r="A28813" s="74">
        <v>33605</v>
      </c>
      <c r="B28813">
        <v>67.400000000000006</v>
      </c>
    </row>
    <row r="28814" spans="1:3" x14ac:dyDescent="0.25">
      <c r="A28814" s="74">
        <v>33606</v>
      </c>
      <c r="B28814">
        <v>34.200000000000003</v>
      </c>
    </row>
    <row r="28815" spans="1:3" x14ac:dyDescent="0.25">
      <c r="A28815" s="74">
        <v>33607</v>
      </c>
      <c r="B28815">
        <v>33.1</v>
      </c>
    </row>
    <row r="28816" spans="1:3" x14ac:dyDescent="0.25">
      <c r="A28816" s="74">
        <v>33608</v>
      </c>
      <c r="B28816">
        <v>24.7</v>
      </c>
    </row>
    <row r="28817" spans="1:3" x14ac:dyDescent="0.25">
      <c r="A28817" s="74">
        <v>33609</v>
      </c>
      <c r="B28817">
        <v>19</v>
      </c>
    </row>
    <row r="28818" spans="1:3" x14ac:dyDescent="0.25">
      <c r="A28818" s="74">
        <v>33610</v>
      </c>
      <c r="B28818">
        <v>15.4</v>
      </c>
    </row>
    <row r="28819" spans="1:3" x14ac:dyDescent="0.25">
      <c r="A28819" s="74">
        <v>33611</v>
      </c>
      <c r="B28819">
        <v>13.4</v>
      </c>
    </row>
    <row r="28820" spans="1:3" x14ac:dyDescent="0.25">
      <c r="A28820" s="74">
        <v>33612</v>
      </c>
      <c r="B28820">
        <v>12.4</v>
      </c>
    </row>
    <row r="28821" spans="1:3" x14ac:dyDescent="0.25">
      <c r="A28821" s="74">
        <v>33613</v>
      </c>
      <c r="B28821">
        <v>40.799999999999997</v>
      </c>
    </row>
    <row r="28822" spans="1:3" x14ac:dyDescent="0.25">
      <c r="A28822" s="74">
        <v>33614</v>
      </c>
      <c r="B28822">
        <v>47.6</v>
      </c>
    </row>
    <row r="28823" spans="1:3" x14ac:dyDescent="0.25">
      <c r="A28823" s="74">
        <v>33615</v>
      </c>
      <c r="B28823">
        <v>29.6</v>
      </c>
    </row>
    <row r="28824" spans="1:3" x14ac:dyDescent="0.25">
      <c r="A28824" s="74">
        <v>33616</v>
      </c>
      <c r="B28824">
        <v>20.8</v>
      </c>
    </row>
    <row r="28825" spans="1:3" x14ac:dyDescent="0.25">
      <c r="A28825" s="74">
        <v>33617</v>
      </c>
      <c r="B28825">
        <v>16.399999999999999</v>
      </c>
    </row>
    <row r="28826" spans="1:3" x14ac:dyDescent="0.25">
      <c r="A28826" s="74">
        <v>33618</v>
      </c>
      <c r="B28826">
        <v>15</v>
      </c>
    </row>
    <row r="28827" spans="1:3" x14ac:dyDescent="0.25">
      <c r="A28827" s="74">
        <v>33619</v>
      </c>
      <c r="B28827">
        <v>20.5</v>
      </c>
    </row>
    <row r="28828" spans="1:3" x14ac:dyDescent="0.25">
      <c r="A28828" s="74">
        <v>33620</v>
      </c>
      <c r="B28828">
        <v>17.5</v>
      </c>
    </row>
    <row r="28829" spans="1:3" x14ac:dyDescent="0.25">
      <c r="A28829" s="74">
        <v>33621</v>
      </c>
      <c r="B28829">
        <v>15.1</v>
      </c>
    </row>
    <row r="28830" spans="1:3" x14ac:dyDescent="0.25">
      <c r="A28830" s="74">
        <v>33622</v>
      </c>
      <c r="B28830">
        <v>13.1</v>
      </c>
    </row>
    <row r="28831" spans="1:3" x14ac:dyDescent="0.25">
      <c r="A28831" s="74">
        <v>33623</v>
      </c>
      <c r="B28831">
        <v>12.2</v>
      </c>
      <c r="C28831" t="s">
        <v>140</v>
      </c>
    </row>
    <row r="28832" spans="1:3" x14ac:dyDescent="0.25">
      <c r="A28832" s="74">
        <v>33624</v>
      </c>
      <c r="B28832">
        <v>23</v>
      </c>
    </row>
    <row r="28833" spans="1:3" x14ac:dyDescent="0.25">
      <c r="A28833" s="74">
        <v>33625</v>
      </c>
      <c r="B28833">
        <v>22.6</v>
      </c>
    </row>
    <row r="28834" spans="1:3" x14ac:dyDescent="0.25">
      <c r="A28834" s="74">
        <v>33626</v>
      </c>
      <c r="B28834">
        <v>161</v>
      </c>
      <c r="C28834" t="s">
        <v>141</v>
      </c>
    </row>
    <row r="28835" spans="1:3" x14ac:dyDescent="0.25">
      <c r="A28835" s="74">
        <v>33627</v>
      </c>
      <c r="B28835">
        <v>98.2</v>
      </c>
      <c r="C28835" t="s">
        <v>141</v>
      </c>
    </row>
    <row r="28836" spans="1:3" x14ac:dyDescent="0.25">
      <c r="A28836" s="74">
        <v>33628</v>
      </c>
      <c r="B28836">
        <v>55.5</v>
      </c>
      <c r="C28836" t="s">
        <v>141</v>
      </c>
    </row>
    <row r="28837" spans="1:3" x14ac:dyDescent="0.25">
      <c r="A28837" s="74">
        <v>33629</v>
      </c>
      <c r="B28837">
        <v>80.2</v>
      </c>
      <c r="C28837" t="s">
        <v>141</v>
      </c>
    </row>
    <row r="28838" spans="1:3" x14ac:dyDescent="0.25">
      <c r="A28838" s="74">
        <v>33630</v>
      </c>
      <c r="B28838">
        <v>108</v>
      </c>
      <c r="C28838" t="s">
        <v>141</v>
      </c>
    </row>
    <row r="28839" spans="1:3" x14ac:dyDescent="0.25">
      <c r="A28839" s="74">
        <v>33631</v>
      </c>
      <c r="B28839">
        <v>90.8</v>
      </c>
      <c r="C28839" t="s">
        <v>140</v>
      </c>
    </row>
    <row r="28840" spans="1:3" x14ac:dyDescent="0.25">
      <c r="A28840" s="74">
        <v>33632</v>
      </c>
      <c r="B28840">
        <v>147</v>
      </c>
      <c r="C28840" t="s">
        <v>141</v>
      </c>
    </row>
    <row r="28841" spans="1:3" x14ac:dyDescent="0.25">
      <c r="A28841" s="74">
        <v>33633</v>
      </c>
      <c r="B28841">
        <v>241</v>
      </c>
      <c r="C28841" t="s">
        <v>141</v>
      </c>
    </row>
    <row r="28842" spans="1:3" x14ac:dyDescent="0.25">
      <c r="A28842" s="74">
        <v>33634</v>
      </c>
      <c r="B28842">
        <v>160</v>
      </c>
      <c r="C28842" t="s">
        <v>140</v>
      </c>
    </row>
    <row r="28843" spans="1:3" x14ac:dyDescent="0.25">
      <c r="A28843" s="74">
        <v>33635</v>
      </c>
      <c r="B28843">
        <v>117</v>
      </c>
      <c r="C28843" t="s">
        <v>141</v>
      </c>
    </row>
    <row r="28844" spans="1:3" x14ac:dyDescent="0.25">
      <c r="A28844" s="74">
        <v>33636</v>
      </c>
      <c r="B28844">
        <v>108</v>
      </c>
      <c r="C28844" t="s">
        <v>141</v>
      </c>
    </row>
    <row r="28845" spans="1:3" x14ac:dyDescent="0.25">
      <c r="A28845" s="74">
        <v>33637</v>
      </c>
      <c r="B28845">
        <v>146</v>
      </c>
    </row>
    <row r="28846" spans="1:3" x14ac:dyDescent="0.25">
      <c r="A28846" s="74">
        <v>33638</v>
      </c>
      <c r="B28846">
        <v>43.5</v>
      </c>
      <c r="C28846" t="s">
        <v>141</v>
      </c>
    </row>
    <row r="28847" spans="1:3" x14ac:dyDescent="0.25">
      <c r="A28847" s="74">
        <v>33639</v>
      </c>
      <c r="B28847">
        <v>29.5</v>
      </c>
      <c r="C28847" t="s">
        <v>141</v>
      </c>
    </row>
    <row r="28848" spans="1:3" x14ac:dyDescent="0.25">
      <c r="A28848" s="74">
        <v>33640</v>
      </c>
      <c r="B28848">
        <v>22.5</v>
      </c>
      <c r="C28848" t="s">
        <v>141</v>
      </c>
    </row>
    <row r="28849" spans="1:3" x14ac:dyDescent="0.25">
      <c r="A28849" s="74">
        <v>33641</v>
      </c>
      <c r="B28849">
        <v>15.3</v>
      </c>
      <c r="C28849" t="s">
        <v>141</v>
      </c>
    </row>
    <row r="28850" spans="1:3" x14ac:dyDescent="0.25">
      <c r="A28850" s="74">
        <v>33642</v>
      </c>
      <c r="B28850">
        <v>12.1</v>
      </c>
      <c r="C28850" t="s">
        <v>141</v>
      </c>
    </row>
    <row r="28851" spans="1:3" x14ac:dyDescent="0.25">
      <c r="A28851" s="74">
        <v>33643</v>
      </c>
      <c r="B28851">
        <v>11.7</v>
      </c>
      <c r="C28851" t="s">
        <v>141</v>
      </c>
    </row>
    <row r="28852" spans="1:3" x14ac:dyDescent="0.25">
      <c r="A28852" s="74">
        <v>33644</v>
      </c>
      <c r="B28852">
        <v>10.4</v>
      </c>
      <c r="C28852" t="s">
        <v>141</v>
      </c>
    </row>
    <row r="28853" spans="1:3" x14ac:dyDescent="0.25">
      <c r="A28853" s="74">
        <v>33645</v>
      </c>
      <c r="B28853">
        <v>9.25</v>
      </c>
      <c r="C28853" t="s">
        <v>141</v>
      </c>
    </row>
    <row r="28854" spans="1:3" x14ac:dyDescent="0.25">
      <c r="A28854" s="74">
        <v>33646</v>
      </c>
      <c r="B28854">
        <v>8.83</v>
      </c>
      <c r="C28854" t="s">
        <v>141</v>
      </c>
    </row>
    <row r="28855" spans="1:3" x14ac:dyDescent="0.25">
      <c r="A28855" s="74">
        <v>33647</v>
      </c>
      <c r="B28855">
        <v>10.4</v>
      </c>
      <c r="C28855" t="s">
        <v>140</v>
      </c>
    </row>
    <row r="28856" spans="1:3" x14ac:dyDescent="0.25">
      <c r="A28856" s="74">
        <v>33648</v>
      </c>
      <c r="B28856">
        <v>10.1</v>
      </c>
    </row>
    <row r="28857" spans="1:3" x14ac:dyDescent="0.25">
      <c r="A28857" s="74">
        <v>33649</v>
      </c>
      <c r="B28857">
        <v>9.69</v>
      </c>
    </row>
    <row r="28858" spans="1:3" x14ac:dyDescent="0.25">
      <c r="A28858" s="74">
        <v>33650</v>
      </c>
      <c r="B28858">
        <v>8.9600000000000009</v>
      </c>
    </row>
    <row r="28859" spans="1:3" x14ac:dyDescent="0.25">
      <c r="A28859" s="74">
        <v>33651</v>
      </c>
      <c r="B28859">
        <v>8.67</v>
      </c>
    </row>
    <row r="28860" spans="1:3" x14ac:dyDescent="0.25">
      <c r="A28860" s="74">
        <v>33652</v>
      </c>
      <c r="B28860">
        <v>8.67</v>
      </c>
    </row>
    <row r="28861" spans="1:3" x14ac:dyDescent="0.25">
      <c r="A28861" s="74">
        <v>33653</v>
      </c>
      <c r="B28861">
        <v>8.7200000000000006</v>
      </c>
    </row>
    <row r="28862" spans="1:3" x14ac:dyDescent="0.25">
      <c r="A28862" s="74">
        <v>33654</v>
      </c>
      <c r="B28862">
        <v>8.31</v>
      </c>
    </row>
    <row r="28863" spans="1:3" x14ac:dyDescent="0.25">
      <c r="A28863" s="74">
        <v>33655</v>
      </c>
      <c r="B28863">
        <v>21.8</v>
      </c>
    </row>
    <row r="28864" spans="1:3" x14ac:dyDescent="0.25">
      <c r="A28864" s="74">
        <v>33656</v>
      </c>
      <c r="B28864">
        <v>50.7</v>
      </c>
    </row>
    <row r="28865" spans="1:3" x14ac:dyDescent="0.25">
      <c r="A28865" s="74">
        <v>33657</v>
      </c>
      <c r="B28865">
        <v>31.9</v>
      </c>
    </row>
    <row r="28866" spans="1:3" x14ac:dyDescent="0.25">
      <c r="A28866" s="74">
        <v>33658</v>
      </c>
      <c r="B28866">
        <v>28.6</v>
      </c>
      <c r="C28866" t="s">
        <v>141</v>
      </c>
    </row>
    <row r="28867" spans="1:3" x14ac:dyDescent="0.25">
      <c r="A28867" s="74">
        <v>33659</v>
      </c>
      <c r="B28867">
        <v>25.3</v>
      </c>
    </row>
    <row r="28868" spans="1:3" x14ac:dyDescent="0.25">
      <c r="A28868" s="74">
        <v>33660</v>
      </c>
      <c r="B28868">
        <v>23.8</v>
      </c>
    </row>
    <row r="28869" spans="1:3" x14ac:dyDescent="0.25">
      <c r="A28869" s="74">
        <v>33661</v>
      </c>
      <c r="B28869">
        <v>22.6</v>
      </c>
    </row>
    <row r="28870" spans="1:3" x14ac:dyDescent="0.25">
      <c r="A28870" s="74">
        <v>33662</v>
      </c>
      <c r="B28870">
        <v>21</v>
      </c>
    </row>
    <row r="28871" spans="1:3" x14ac:dyDescent="0.25">
      <c r="A28871" s="74">
        <v>33663</v>
      </c>
      <c r="B28871">
        <v>19.7</v>
      </c>
    </row>
    <row r="28872" spans="1:3" x14ac:dyDescent="0.25">
      <c r="A28872" s="74">
        <v>33664</v>
      </c>
      <c r="B28872">
        <v>18</v>
      </c>
    </row>
    <row r="28873" spans="1:3" x14ac:dyDescent="0.25">
      <c r="A28873" s="74">
        <v>33665</v>
      </c>
      <c r="B28873">
        <v>17.399999999999999</v>
      </c>
    </row>
    <row r="28874" spans="1:3" x14ac:dyDescent="0.25">
      <c r="A28874" s="74">
        <v>33666</v>
      </c>
      <c r="B28874">
        <v>16</v>
      </c>
    </row>
    <row r="28875" spans="1:3" x14ac:dyDescent="0.25">
      <c r="A28875" s="74">
        <v>33667</v>
      </c>
      <c r="B28875">
        <v>14.7</v>
      </c>
    </row>
    <row r="28876" spans="1:3" x14ac:dyDescent="0.25">
      <c r="A28876" s="74">
        <v>33668</v>
      </c>
      <c r="B28876">
        <v>14.3</v>
      </c>
    </row>
    <row r="28877" spans="1:3" x14ac:dyDescent="0.25">
      <c r="A28877" s="74">
        <v>33669</v>
      </c>
      <c r="B28877">
        <v>13.4</v>
      </c>
    </row>
    <row r="28878" spans="1:3" x14ac:dyDescent="0.25">
      <c r="A28878" s="74">
        <v>33670</v>
      </c>
      <c r="B28878">
        <v>12</v>
      </c>
    </row>
    <row r="28879" spans="1:3" x14ac:dyDescent="0.25">
      <c r="A28879" s="74">
        <v>33671</v>
      </c>
      <c r="B28879">
        <v>10.8</v>
      </c>
    </row>
    <row r="28880" spans="1:3" x14ac:dyDescent="0.25">
      <c r="A28880" s="74">
        <v>33672</v>
      </c>
      <c r="B28880">
        <v>10</v>
      </c>
    </row>
    <row r="28881" spans="1:2" x14ac:dyDescent="0.25">
      <c r="A28881" s="74">
        <v>33673</v>
      </c>
      <c r="B28881">
        <v>8.65</v>
      </c>
    </row>
    <row r="28882" spans="1:2" x14ac:dyDescent="0.25">
      <c r="A28882" s="74">
        <v>33674</v>
      </c>
      <c r="B28882">
        <v>7.81</v>
      </c>
    </row>
    <row r="28883" spans="1:2" x14ac:dyDescent="0.25">
      <c r="A28883" s="74">
        <v>33675</v>
      </c>
      <c r="B28883">
        <v>7.35</v>
      </c>
    </row>
    <row r="28884" spans="1:2" x14ac:dyDescent="0.25">
      <c r="A28884" s="74">
        <v>33676</v>
      </c>
      <c r="B28884">
        <v>7.1</v>
      </c>
    </row>
    <row r="28885" spans="1:2" x14ac:dyDescent="0.25">
      <c r="A28885" s="74">
        <v>33677</v>
      </c>
      <c r="B28885">
        <v>6.93</v>
      </c>
    </row>
    <row r="28886" spans="1:2" x14ac:dyDescent="0.25">
      <c r="A28886" s="74">
        <v>33678</v>
      </c>
      <c r="B28886">
        <v>6.55</v>
      </c>
    </row>
    <row r="28887" spans="1:2" x14ac:dyDescent="0.25">
      <c r="A28887" s="74">
        <v>33679</v>
      </c>
      <c r="B28887">
        <v>6.28</v>
      </c>
    </row>
    <row r="28888" spans="1:2" x14ac:dyDescent="0.25">
      <c r="A28888" s="74">
        <v>33680</v>
      </c>
      <c r="B28888">
        <v>6.17</v>
      </c>
    </row>
    <row r="28889" spans="1:2" x14ac:dyDescent="0.25">
      <c r="A28889" s="74">
        <v>33681</v>
      </c>
      <c r="B28889">
        <v>5.97</v>
      </c>
    </row>
    <row r="28890" spans="1:2" x14ac:dyDescent="0.25">
      <c r="A28890" s="74">
        <v>33682</v>
      </c>
      <c r="B28890">
        <v>5.89</v>
      </c>
    </row>
    <row r="28891" spans="1:2" x14ac:dyDescent="0.25">
      <c r="A28891" s="74">
        <v>33683</v>
      </c>
      <c r="B28891">
        <v>5.74</v>
      </c>
    </row>
    <row r="28892" spans="1:2" x14ac:dyDescent="0.25">
      <c r="A28892" s="74">
        <v>33684</v>
      </c>
      <c r="B28892">
        <v>5.38</v>
      </c>
    </row>
    <row r="28893" spans="1:2" x14ac:dyDescent="0.25">
      <c r="A28893" s="74">
        <v>33685</v>
      </c>
      <c r="B28893">
        <v>5.15</v>
      </c>
    </row>
    <row r="28894" spans="1:2" x14ac:dyDescent="0.25">
      <c r="A28894" s="74">
        <v>33686</v>
      </c>
      <c r="B28894">
        <v>4.9000000000000004</v>
      </c>
    </row>
    <row r="28895" spans="1:2" x14ac:dyDescent="0.25">
      <c r="A28895" s="74">
        <v>33687</v>
      </c>
      <c r="B28895">
        <v>5.15</v>
      </c>
    </row>
    <row r="28896" spans="1:2" x14ac:dyDescent="0.25">
      <c r="A28896" s="74">
        <v>33688</v>
      </c>
      <c r="B28896">
        <v>4.82</v>
      </c>
    </row>
    <row r="28897" spans="1:2" x14ac:dyDescent="0.25">
      <c r="A28897" s="74">
        <v>33689</v>
      </c>
      <c r="B28897">
        <v>4.7300000000000004</v>
      </c>
    </row>
    <row r="28898" spans="1:2" x14ac:dyDescent="0.25">
      <c r="A28898" s="74">
        <v>33690</v>
      </c>
      <c r="B28898">
        <v>4.51</v>
      </c>
    </row>
    <row r="28899" spans="1:2" x14ac:dyDescent="0.25">
      <c r="A28899" s="74">
        <v>33691</v>
      </c>
      <c r="B28899">
        <v>4.22</v>
      </c>
    </row>
    <row r="28900" spans="1:2" x14ac:dyDescent="0.25">
      <c r="A28900" s="74">
        <v>33692</v>
      </c>
      <c r="B28900">
        <v>4.07</v>
      </c>
    </row>
    <row r="28901" spans="1:2" x14ac:dyDescent="0.25">
      <c r="A28901" s="74">
        <v>33693</v>
      </c>
      <c r="B28901">
        <v>4.03</v>
      </c>
    </row>
    <row r="28902" spans="1:2" x14ac:dyDescent="0.25">
      <c r="A28902" s="74">
        <v>33694</v>
      </c>
      <c r="B28902">
        <v>3.8</v>
      </c>
    </row>
    <row r="28903" spans="1:2" x14ac:dyDescent="0.25">
      <c r="A28903" s="74">
        <v>33695</v>
      </c>
      <c r="B28903">
        <v>3.63</v>
      </c>
    </row>
    <row r="28904" spans="1:2" x14ac:dyDescent="0.25">
      <c r="A28904" s="74">
        <v>33696</v>
      </c>
      <c r="B28904">
        <v>3.47</v>
      </c>
    </row>
    <row r="28905" spans="1:2" x14ac:dyDescent="0.25">
      <c r="A28905" s="74">
        <v>33697</v>
      </c>
      <c r="B28905">
        <v>3.27</v>
      </c>
    </row>
    <row r="28906" spans="1:2" x14ac:dyDescent="0.25">
      <c r="A28906" s="74">
        <v>33698</v>
      </c>
      <c r="B28906">
        <v>3.06</v>
      </c>
    </row>
    <row r="28907" spans="1:2" x14ac:dyDescent="0.25">
      <c r="A28907" s="74">
        <v>33699</v>
      </c>
      <c r="B28907">
        <v>2.9</v>
      </c>
    </row>
    <row r="28908" spans="1:2" x14ac:dyDescent="0.25">
      <c r="A28908" s="74">
        <v>33700</v>
      </c>
      <c r="B28908">
        <v>2.86</v>
      </c>
    </row>
    <row r="28909" spans="1:2" x14ac:dyDescent="0.25">
      <c r="A28909" s="74">
        <v>33701</v>
      </c>
      <c r="B28909">
        <v>2.8</v>
      </c>
    </row>
    <row r="28910" spans="1:2" x14ac:dyDescent="0.25">
      <c r="A28910" s="74">
        <v>33702</v>
      </c>
      <c r="B28910">
        <v>2.72</v>
      </c>
    </row>
    <row r="28911" spans="1:2" x14ac:dyDescent="0.25">
      <c r="A28911" s="74">
        <v>33703</v>
      </c>
      <c r="B28911">
        <v>2.6</v>
      </c>
    </row>
    <row r="28912" spans="1:2" x14ac:dyDescent="0.25">
      <c r="A28912" s="74">
        <v>33704</v>
      </c>
      <c r="B28912">
        <v>2.8</v>
      </c>
    </row>
    <row r="28913" spans="1:2" x14ac:dyDescent="0.25">
      <c r="A28913" s="74">
        <v>33705</v>
      </c>
      <c r="B28913">
        <v>2.89</v>
      </c>
    </row>
    <row r="28914" spans="1:2" x14ac:dyDescent="0.25">
      <c r="A28914" s="74">
        <v>33706</v>
      </c>
      <c r="B28914">
        <v>2.88</v>
      </c>
    </row>
    <row r="28915" spans="1:2" x14ac:dyDescent="0.25">
      <c r="A28915" s="74">
        <v>33707</v>
      </c>
      <c r="B28915">
        <v>3.01</v>
      </c>
    </row>
    <row r="28916" spans="1:2" x14ac:dyDescent="0.25">
      <c r="A28916" s="74">
        <v>33708</v>
      </c>
      <c r="B28916">
        <v>3.12</v>
      </c>
    </row>
    <row r="28917" spans="1:2" x14ac:dyDescent="0.25">
      <c r="A28917" s="74">
        <v>33709</v>
      </c>
      <c r="B28917">
        <v>3.13</v>
      </c>
    </row>
    <row r="28918" spans="1:2" x14ac:dyDescent="0.25">
      <c r="A28918" s="74">
        <v>33710</v>
      </c>
      <c r="B28918">
        <v>15.6</v>
      </c>
    </row>
    <row r="28919" spans="1:2" x14ac:dyDescent="0.25">
      <c r="A28919" s="74">
        <v>33711</v>
      </c>
      <c r="B28919">
        <v>20.100000000000001</v>
      </c>
    </row>
    <row r="28920" spans="1:2" x14ac:dyDescent="0.25">
      <c r="A28920" s="74">
        <v>33712</v>
      </c>
      <c r="B28920">
        <v>10.8</v>
      </c>
    </row>
    <row r="28921" spans="1:2" x14ac:dyDescent="0.25">
      <c r="A28921" s="74">
        <v>33713</v>
      </c>
      <c r="B28921">
        <v>7.78</v>
      </c>
    </row>
    <row r="28922" spans="1:2" x14ac:dyDescent="0.25">
      <c r="A28922" s="74">
        <v>33714</v>
      </c>
      <c r="B28922">
        <v>6.59</v>
      </c>
    </row>
    <row r="28923" spans="1:2" x14ac:dyDescent="0.25">
      <c r="A28923" s="74">
        <v>33715</v>
      </c>
      <c r="B28923">
        <v>5.66</v>
      </c>
    </row>
    <row r="28924" spans="1:2" x14ac:dyDescent="0.25">
      <c r="A28924" s="74">
        <v>33716</v>
      </c>
      <c r="B28924">
        <v>5.65</v>
      </c>
    </row>
    <row r="28925" spans="1:2" x14ac:dyDescent="0.25">
      <c r="A28925" s="74">
        <v>33717</v>
      </c>
      <c r="B28925">
        <v>5.3</v>
      </c>
    </row>
    <row r="28926" spans="1:2" x14ac:dyDescent="0.25">
      <c r="A28926" s="74">
        <v>33718</v>
      </c>
      <c r="B28926">
        <v>4.83</v>
      </c>
    </row>
    <row r="28927" spans="1:2" x14ac:dyDescent="0.25">
      <c r="A28927" s="74">
        <v>33719</v>
      </c>
      <c r="B28927">
        <v>4.71</v>
      </c>
    </row>
    <row r="28928" spans="1:2" x14ac:dyDescent="0.25">
      <c r="A28928" s="74">
        <v>33720</v>
      </c>
      <c r="B28928">
        <v>5.36</v>
      </c>
    </row>
    <row r="28929" spans="1:3" x14ac:dyDescent="0.25">
      <c r="A28929" s="74">
        <v>33721</v>
      </c>
      <c r="B28929">
        <v>12.4</v>
      </c>
    </row>
    <row r="28930" spans="1:3" x14ac:dyDescent="0.25">
      <c r="A28930" s="74">
        <v>33722</v>
      </c>
      <c r="B28930">
        <v>12.1</v>
      </c>
    </row>
    <row r="28931" spans="1:3" x14ac:dyDescent="0.25">
      <c r="A28931" s="74">
        <v>33723</v>
      </c>
      <c r="B28931">
        <v>25</v>
      </c>
    </row>
    <row r="28932" spans="1:3" x14ac:dyDescent="0.25">
      <c r="A28932" s="74">
        <v>33724</v>
      </c>
      <c r="B28932">
        <v>39.4</v>
      </c>
    </row>
    <row r="28933" spans="1:3" x14ac:dyDescent="0.25">
      <c r="A28933" s="74">
        <v>33725</v>
      </c>
      <c r="B28933">
        <v>17</v>
      </c>
      <c r="C28933" t="s">
        <v>141</v>
      </c>
    </row>
    <row r="28934" spans="1:3" x14ac:dyDescent="0.25">
      <c r="A28934" s="74">
        <v>33726</v>
      </c>
      <c r="B28934">
        <v>13.4</v>
      </c>
      <c r="C28934" t="s">
        <v>141</v>
      </c>
    </row>
    <row r="28935" spans="1:3" x14ac:dyDescent="0.25">
      <c r="A28935" s="74">
        <v>33727</v>
      </c>
      <c r="B28935">
        <v>10.199999999999999</v>
      </c>
      <c r="C28935" t="s">
        <v>141</v>
      </c>
    </row>
    <row r="28936" spans="1:3" x14ac:dyDescent="0.25">
      <c r="A28936" s="74">
        <v>33728</v>
      </c>
      <c r="B28936">
        <v>8.41</v>
      </c>
      <c r="C28936" t="s">
        <v>141</v>
      </c>
    </row>
    <row r="28937" spans="1:3" x14ac:dyDescent="0.25">
      <c r="A28937" s="74">
        <v>33729</v>
      </c>
      <c r="B28937">
        <v>7.3</v>
      </c>
      <c r="C28937" t="s">
        <v>141</v>
      </c>
    </row>
    <row r="28938" spans="1:3" x14ac:dyDescent="0.25">
      <c r="A28938" s="74">
        <v>33730</v>
      </c>
      <c r="B28938">
        <v>6.63</v>
      </c>
      <c r="C28938" t="s">
        <v>141</v>
      </c>
    </row>
    <row r="28939" spans="1:3" x14ac:dyDescent="0.25">
      <c r="A28939" s="74">
        <v>33731</v>
      </c>
      <c r="B28939">
        <v>6.18</v>
      </c>
      <c r="C28939" t="s">
        <v>141</v>
      </c>
    </row>
    <row r="28940" spans="1:3" x14ac:dyDescent="0.25">
      <c r="A28940" s="74">
        <v>33732</v>
      </c>
      <c r="B28940">
        <v>5.62</v>
      </c>
      <c r="C28940" t="s">
        <v>141</v>
      </c>
    </row>
    <row r="28941" spans="1:3" x14ac:dyDescent="0.25">
      <c r="A28941" s="74">
        <v>33733</v>
      </c>
      <c r="B28941">
        <v>5.37</v>
      </c>
      <c r="C28941" t="s">
        <v>141</v>
      </c>
    </row>
    <row r="28942" spans="1:3" x14ac:dyDescent="0.25">
      <c r="A28942" s="74">
        <v>33734</v>
      </c>
      <c r="B28942">
        <v>5.0199999999999996</v>
      </c>
      <c r="C28942" t="s">
        <v>141</v>
      </c>
    </row>
    <row r="28943" spans="1:3" x14ac:dyDescent="0.25">
      <c r="A28943" s="74">
        <v>33735</v>
      </c>
      <c r="B28943">
        <v>4.63</v>
      </c>
      <c r="C28943" t="s">
        <v>141</v>
      </c>
    </row>
    <row r="28944" spans="1:3" x14ac:dyDescent="0.25">
      <c r="A28944" s="74">
        <v>33736</v>
      </c>
      <c r="B28944">
        <v>4.41</v>
      </c>
      <c r="C28944" t="s">
        <v>141</v>
      </c>
    </row>
    <row r="28945" spans="1:3" x14ac:dyDescent="0.25">
      <c r="A28945" s="74">
        <v>33737</v>
      </c>
      <c r="B28945">
        <v>4.21</v>
      </c>
      <c r="C28945" t="s">
        <v>141</v>
      </c>
    </row>
    <row r="28946" spans="1:3" x14ac:dyDescent="0.25">
      <c r="A28946" s="74">
        <v>33738</v>
      </c>
      <c r="B28946">
        <v>4.07</v>
      </c>
      <c r="C28946" t="s">
        <v>141</v>
      </c>
    </row>
    <row r="28947" spans="1:3" x14ac:dyDescent="0.25">
      <c r="A28947" s="74">
        <v>33739</v>
      </c>
      <c r="B28947">
        <v>3.79</v>
      </c>
      <c r="C28947" t="s">
        <v>141</v>
      </c>
    </row>
    <row r="28948" spans="1:3" x14ac:dyDescent="0.25">
      <c r="A28948" s="74">
        <v>33740</v>
      </c>
      <c r="B28948">
        <v>3.49</v>
      </c>
      <c r="C28948" t="s">
        <v>141</v>
      </c>
    </row>
    <row r="28949" spans="1:3" x14ac:dyDescent="0.25">
      <c r="A28949" s="74">
        <v>33741</v>
      </c>
      <c r="B28949">
        <v>3.25</v>
      </c>
      <c r="C28949" t="s">
        <v>141</v>
      </c>
    </row>
    <row r="28950" spans="1:3" x14ac:dyDescent="0.25">
      <c r="A28950" s="74">
        <v>33742</v>
      </c>
      <c r="B28950">
        <v>3</v>
      </c>
      <c r="C28950" t="s">
        <v>141</v>
      </c>
    </row>
    <row r="28951" spans="1:3" x14ac:dyDescent="0.25">
      <c r="A28951" s="74">
        <v>33743</v>
      </c>
      <c r="B28951">
        <v>2.78</v>
      </c>
      <c r="C28951" t="s">
        <v>141</v>
      </c>
    </row>
    <row r="28952" spans="1:3" x14ac:dyDescent="0.25">
      <c r="A28952" s="74">
        <v>33744</v>
      </c>
      <c r="B28952">
        <v>2.67</v>
      </c>
      <c r="C28952" t="s">
        <v>141</v>
      </c>
    </row>
    <row r="28953" spans="1:3" x14ac:dyDescent="0.25">
      <c r="A28953" s="74">
        <v>33745</v>
      </c>
      <c r="B28953">
        <v>2.35</v>
      </c>
      <c r="C28953" t="s">
        <v>141</v>
      </c>
    </row>
    <row r="28954" spans="1:3" x14ac:dyDescent="0.25">
      <c r="A28954" s="74">
        <v>33746</v>
      </c>
      <c r="B28954">
        <v>2.2799999999999998</v>
      </c>
      <c r="C28954" t="s">
        <v>140</v>
      </c>
    </row>
    <row r="28955" spans="1:3" x14ac:dyDescent="0.25">
      <c r="A28955" s="74">
        <v>33747</v>
      </c>
      <c r="B28955">
        <v>2.21</v>
      </c>
      <c r="C28955" t="s">
        <v>141</v>
      </c>
    </row>
    <row r="28956" spans="1:3" x14ac:dyDescent="0.25">
      <c r="A28956" s="74">
        <v>33748</v>
      </c>
      <c r="B28956">
        <v>2.14</v>
      </c>
      <c r="C28956" t="s">
        <v>141</v>
      </c>
    </row>
    <row r="28957" spans="1:3" x14ac:dyDescent="0.25">
      <c r="A28957" s="74">
        <v>33749</v>
      </c>
      <c r="B28957">
        <v>2.11</v>
      </c>
      <c r="C28957" t="s">
        <v>141</v>
      </c>
    </row>
    <row r="28958" spans="1:3" x14ac:dyDescent="0.25">
      <c r="A28958" s="74">
        <v>33750</v>
      </c>
      <c r="B28958">
        <v>2.06</v>
      </c>
      <c r="C28958" t="s">
        <v>141</v>
      </c>
    </row>
    <row r="28959" spans="1:3" x14ac:dyDescent="0.25">
      <c r="A28959" s="74">
        <v>33751</v>
      </c>
      <c r="B28959">
        <v>2</v>
      </c>
      <c r="C28959" t="s">
        <v>141</v>
      </c>
    </row>
    <row r="28960" spans="1:3" x14ac:dyDescent="0.25">
      <c r="A28960" s="74">
        <v>33752</v>
      </c>
      <c r="B28960">
        <v>1.97</v>
      </c>
      <c r="C28960" t="s">
        <v>141</v>
      </c>
    </row>
    <row r="28961" spans="1:3" x14ac:dyDescent="0.25">
      <c r="A28961" s="74">
        <v>33753</v>
      </c>
      <c r="B28961">
        <v>1.94</v>
      </c>
      <c r="C28961" t="s">
        <v>141</v>
      </c>
    </row>
    <row r="28962" spans="1:3" x14ac:dyDescent="0.25">
      <c r="A28962" s="74">
        <v>33754</v>
      </c>
      <c r="B28962">
        <v>1.87</v>
      </c>
      <c r="C28962" t="s">
        <v>141</v>
      </c>
    </row>
    <row r="28963" spans="1:3" x14ac:dyDescent="0.25">
      <c r="A28963" s="74">
        <v>33755</v>
      </c>
      <c r="B28963">
        <v>1.83</v>
      </c>
      <c r="C28963" t="s">
        <v>141</v>
      </c>
    </row>
    <row r="28964" spans="1:3" x14ac:dyDescent="0.25">
      <c r="A28964" s="74">
        <v>33756</v>
      </c>
      <c r="B28964">
        <v>1.79</v>
      </c>
      <c r="C28964" t="s">
        <v>141</v>
      </c>
    </row>
    <row r="28965" spans="1:3" x14ac:dyDescent="0.25">
      <c r="A28965" s="74">
        <v>33757</v>
      </c>
      <c r="B28965">
        <v>1.74</v>
      </c>
      <c r="C28965" t="s">
        <v>141</v>
      </c>
    </row>
    <row r="28966" spans="1:3" x14ac:dyDescent="0.25">
      <c r="A28966" s="74">
        <v>33758</v>
      </c>
      <c r="B28966">
        <v>1.7</v>
      </c>
      <c r="C28966" t="s">
        <v>140</v>
      </c>
    </row>
    <row r="28967" spans="1:3" x14ac:dyDescent="0.25">
      <c r="A28967" s="74">
        <v>33759</v>
      </c>
      <c r="B28967">
        <v>1.63</v>
      </c>
    </row>
    <row r="28968" spans="1:3" x14ac:dyDescent="0.25">
      <c r="A28968" s="74">
        <v>33760</v>
      </c>
      <c r="B28968">
        <v>1.53</v>
      </c>
    </row>
    <row r="28969" spans="1:3" x14ac:dyDescent="0.25">
      <c r="A28969" s="74">
        <v>33761</v>
      </c>
      <c r="B28969">
        <v>1.45</v>
      </c>
    </row>
    <row r="28970" spans="1:3" x14ac:dyDescent="0.25">
      <c r="A28970" s="74">
        <v>33762</v>
      </c>
      <c r="B28970">
        <v>1.41</v>
      </c>
    </row>
    <row r="28971" spans="1:3" x14ac:dyDescent="0.25">
      <c r="A28971" s="74">
        <v>33763</v>
      </c>
      <c r="B28971">
        <v>1.34</v>
      </c>
    </row>
    <row r="28972" spans="1:3" x14ac:dyDescent="0.25">
      <c r="A28972" s="74">
        <v>33764</v>
      </c>
      <c r="B28972">
        <v>1.31</v>
      </c>
    </row>
    <row r="28973" spans="1:3" x14ac:dyDescent="0.25">
      <c r="A28973" s="74">
        <v>33765</v>
      </c>
      <c r="B28973">
        <v>1.34</v>
      </c>
      <c r="C28973" t="s">
        <v>140</v>
      </c>
    </row>
    <row r="28974" spans="1:3" x14ac:dyDescent="0.25">
      <c r="A28974" s="74">
        <v>33766</v>
      </c>
      <c r="B28974">
        <v>1.43</v>
      </c>
      <c r="C28974" t="s">
        <v>141</v>
      </c>
    </row>
    <row r="28975" spans="1:3" x14ac:dyDescent="0.25">
      <c r="A28975" s="74">
        <v>33767</v>
      </c>
      <c r="B28975">
        <v>1.39</v>
      </c>
    </row>
    <row r="28976" spans="1:3" x14ac:dyDescent="0.25">
      <c r="A28976" s="74">
        <v>33768</v>
      </c>
      <c r="B28976">
        <v>1.62</v>
      </c>
    </row>
    <row r="28977" spans="1:2" x14ac:dyDescent="0.25">
      <c r="A28977" s="74">
        <v>33769</v>
      </c>
      <c r="B28977">
        <v>2.16</v>
      </c>
    </row>
    <row r="28978" spans="1:2" x14ac:dyDescent="0.25">
      <c r="A28978" s="74">
        <v>33770</v>
      </c>
      <c r="B28978">
        <v>2.1800000000000002</v>
      </c>
    </row>
    <row r="28979" spans="1:2" x14ac:dyDescent="0.25">
      <c r="A28979" s="74">
        <v>33771</v>
      </c>
      <c r="B28979">
        <v>1.89</v>
      </c>
    </row>
    <row r="28980" spans="1:2" x14ac:dyDescent="0.25">
      <c r="A28980" s="74">
        <v>33772</v>
      </c>
      <c r="B28980">
        <v>1.7</v>
      </c>
    </row>
    <row r="28981" spans="1:2" x14ac:dyDescent="0.25">
      <c r="A28981" s="74">
        <v>33773</v>
      </c>
      <c r="B28981">
        <v>1.35</v>
      </c>
    </row>
    <row r="28982" spans="1:2" x14ac:dyDescent="0.25">
      <c r="A28982" s="74">
        <v>33774</v>
      </c>
      <c r="B28982">
        <v>1.21</v>
      </c>
    </row>
    <row r="28983" spans="1:2" x14ac:dyDescent="0.25">
      <c r="A28983" s="74">
        <v>33775</v>
      </c>
      <c r="B28983">
        <v>1.1499999999999999</v>
      </c>
    </row>
    <row r="28984" spans="1:2" x14ac:dyDescent="0.25">
      <c r="A28984" s="74">
        <v>33776</v>
      </c>
      <c r="B28984">
        <v>1.01</v>
      </c>
    </row>
    <row r="28985" spans="1:2" x14ac:dyDescent="0.25">
      <c r="A28985" s="74">
        <v>33777</v>
      </c>
      <c r="B28985">
        <v>0.878</v>
      </c>
    </row>
    <row r="28986" spans="1:2" x14ac:dyDescent="0.25">
      <c r="A28986" s="74">
        <v>33778</v>
      </c>
      <c r="B28986">
        <v>0.74099999999999999</v>
      </c>
    </row>
    <row r="28987" spans="1:2" x14ac:dyDescent="0.25">
      <c r="A28987" s="74">
        <v>33779</v>
      </c>
      <c r="B28987">
        <v>0.77900000000000003</v>
      </c>
    </row>
    <row r="28988" spans="1:2" x14ac:dyDescent="0.25">
      <c r="A28988" s="74">
        <v>33780</v>
      </c>
      <c r="B28988">
        <v>0.70199999999999996</v>
      </c>
    </row>
    <row r="28989" spans="1:2" x14ac:dyDescent="0.25">
      <c r="A28989" s="74">
        <v>33781</v>
      </c>
      <c r="B28989">
        <v>0.69</v>
      </c>
    </row>
    <row r="28990" spans="1:2" x14ac:dyDescent="0.25">
      <c r="A28990" s="74">
        <v>33782</v>
      </c>
      <c r="B28990">
        <v>0.65300000000000002</v>
      </c>
    </row>
    <row r="28991" spans="1:2" x14ac:dyDescent="0.25">
      <c r="A28991" s="74">
        <v>33783</v>
      </c>
      <c r="B28991">
        <v>0.61799999999999999</v>
      </c>
    </row>
    <row r="28992" spans="1:2" x14ac:dyDescent="0.25">
      <c r="A28992" s="74">
        <v>33784</v>
      </c>
      <c r="B28992">
        <v>0.878</v>
      </c>
    </row>
    <row r="28993" spans="1:2" x14ac:dyDescent="0.25">
      <c r="A28993" s="74">
        <v>33785</v>
      </c>
      <c r="B28993">
        <v>1.03</v>
      </c>
    </row>
    <row r="28994" spans="1:2" x14ac:dyDescent="0.25">
      <c r="A28994" s="74">
        <v>33786</v>
      </c>
      <c r="B28994">
        <v>1.04</v>
      </c>
    </row>
    <row r="28995" spans="1:2" x14ac:dyDescent="0.25">
      <c r="A28995" s="74">
        <v>33787</v>
      </c>
      <c r="B28995">
        <v>1.01</v>
      </c>
    </row>
    <row r="28996" spans="1:2" x14ac:dyDescent="0.25">
      <c r="A28996" s="74">
        <v>33788</v>
      </c>
      <c r="B28996">
        <v>1.0900000000000001</v>
      </c>
    </row>
    <row r="28997" spans="1:2" x14ac:dyDescent="0.25">
      <c r="A28997" s="74">
        <v>33789</v>
      </c>
      <c r="B28997">
        <v>1.3</v>
      </c>
    </row>
    <row r="28998" spans="1:2" x14ac:dyDescent="0.25">
      <c r="A28998" s="74">
        <v>33790</v>
      </c>
      <c r="B28998">
        <v>2.0499999999999998</v>
      </c>
    </row>
    <row r="28999" spans="1:2" x14ac:dyDescent="0.25">
      <c r="A28999" s="74">
        <v>33791</v>
      </c>
      <c r="B28999">
        <v>2.34</v>
      </c>
    </row>
    <row r="29000" spans="1:2" x14ac:dyDescent="0.25">
      <c r="A29000" s="74">
        <v>33792</v>
      </c>
      <c r="B29000">
        <v>2.04</v>
      </c>
    </row>
    <row r="29001" spans="1:2" x14ac:dyDescent="0.25">
      <c r="A29001" s="74">
        <v>33793</v>
      </c>
      <c r="B29001">
        <v>1.85</v>
      </c>
    </row>
    <row r="29002" spans="1:2" x14ac:dyDescent="0.25">
      <c r="A29002" s="74">
        <v>33794</v>
      </c>
      <c r="B29002">
        <v>1.66</v>
      </c>
    </row>
    <row r="29003" spans="1:2" x14ac:dyDescent="0.25">
      <c r="A29003" s="74">
        <v>33795</v>
      </c>
      <c r="B29003">
        <v>1.57</v>
      </c>
    </row>
    <row r="29004" spans="1:2" x14ac:dyDescent="0.25">
      <c r="A29004" s="74">
        <v>33796</v>
      </c>
      <c r="B29004">
        <v>1.94</v>
      </c>
    </row>
    <row r="29005" spans="1:2" x14ac:dyDescent="0.25">
      <c r="A29005" s="74">
        <v>33797</v>
      </c>
      <c r="B29005">
        <v>1.79</v>
      </c>
    </row>
    <row r="29006" spans="1:2" x14ac:dyDescent="0.25">
      <c r="A29006" s="74">
        <v>33798</v>
      </c>
      <c r="B29006">
        <v>1.56</v>
      </c>
    </row>
    <row r="29007" spans="1:2" x14ac:dyDescent="0.25">
      <c r="A29007" s="74">
        <v>33799</v>
      </c>
      <c r="B29007">
        <v>1.32</v>
      </c>
    </row>
    <row r="29008" spans="1:2" x14ac:dyDescent="0.25">
      <c r="A29008" s="74">
        <v>33800</v>
      </c>
      <c r="B29008">
        <v>1.1200000000000001</v>
      </c>
    </row>
    <row r="29009" spans="1:2" x14ac:dyDescent="0.25">
      <c r="A29009" s="74">
        <v>33801</v>
      </c>
      <c r="B29009">
        <v>0.90800000000000003</v>
      </c>
    </row>
    <row r="29010" spans="1:2" x14ac:dyDescent="0.25">
      <c r="A29010" s="74">
        <v>33802</v>
      </c>
      <c r="B29010">
        <v>0.68400000000000005</v>
      </c>
    </row>
    <row r="29011" spans="1:2" x14ac:dyDescent="0.25">
      <c r="A29011" s="74">
        <v>33803</v>
      </c>
      <c r="B29011">
        <v>0.70699999999999996</v>
      </c>
    </row>
    <row r="29012" spans="1:2" x14ac:dyDescent="0.25">
      <c r="A29012" s="74">
        <v>33804</v>
      </c>
      <c r="B29012">
        <v>0.61699999999999999</v>
      </c>
    </row>
    <row r="29013" spans="1:2" x14ac:dyDescent="0.25">
      <c r="A29013" s="74">
        <v>33805</v>
      </c>
      <c r="B29013">
        <v>0.61699999999999999</v>
      </c>
    </row>
    <row r="29014" spans="1:2" x14ac:dyDescent="0.25">
      <c r="A29014" s="74">
        <v>33806</v>
      </c>
      <c r="B29014">
        <v>0.61699999999999999</v>
      </c>
    </row>
    <row r="29015" spans="1:2" x14ac:dyDescent="0.25">
      <c r="A29015" s="74">
        <v>33807</v>
      </c>
      <c r="B29015">
        <v>0.61199999999999999</v>
      </c>
    </row>
    <row r="29016" spans="1:2" x14ac:dyDescent="0.25">
      <c r="A29016" s="74">
        <v>33808</v>
      </c>
      <c r="B29016">
        <v>0.59499999999999997</v>
      </c>
    </row>
    <row r="29017" spans="1:2" x14ac:dyDescent="0.25">
      <c r="A29017" s="74">
        <v>33809</v>
      </c>
      <c r="B29017">
        <v>0.54300000000000004</v>
      </c>
    </row>
    <row r="29018" spans="1:2" x14ac:dyDescent="0.25">
      <c r="A29018" s="74">
        <v>33810</v>
      </c>
      <c r="B29018">
        <v>0.496</v>
      </c>
    </row>
    <row r="29019" spans="1:2" x14ac:dyDescent="0.25">
      <c r="A29019" s="74">
        <v>33811</v>
      </c>
      <c r="B29019">
        <v>0.44800000000000001</v>
      </c>
    </row>
    <row r="29020" spans="1:2" x14ac:dyDescent="0.25">
      <c r="A29020" s="74">
        <v>33812</v>
      </c>
      <c r="B29020">
        <v>0.46500000000000002</v>
      </c>
    </row>
    <row r="29021" spans="1:2" x14ac:dyDescent="0.25">
      <c r="A29021" s="74">
        <v>33813</v>
      </c>
      <c r="B29021">
        <v>0.39600000000000002</v>
      </c>
    </row>
    <row r="29022" spans="1:2" x14ac:dyDescent="0.25">
      <c r="A29022" s="74">
        <v>33814</v>
      </c>
      <c r="B29022">
        <v>0.32300000000000001</v>
      </c>
    </row>
    <row r="29023" spans="1:2" x14ac:dyDescent="0.25">
      <c r="A29023" s="74">
        <v>33815</v>
      </c>
      <c r="B29023">
        <v>0.31900000000000001</v>
      </c>
    </row>
    <row r="29024" spans="1:2" x14ac:dyDescent="0.25">
      <c r="A29024" s="74">
        <v>33816</v>
      </c>
      <c r="B29024">
        <v>0.29299999999999998</v>
      </c>
    </row>
    <row r="29025" spans="1:2" x14ac:dyDescent="0.25">
      <c r="A29025" s="74">
        <v>33817</v>
      </c>
      <c r="B29025">
        <v>0.26500000000000001</v>
      </c>
    </row>
    <row r="29026" spans="1:2" x14ac:dyDescent="0.25">
      <c r="A29026" s="74">
        <v>33818</v>
      </c>
      <c r="B29026">
        <v>0.27500000000000002</v>
      </c>
    </row>
    <row r="29027" spans="1:2" x14ac:dyDescent="0.25">
      <c r="A29027" s="74">
        <v>33819</v>
      </c>
      <c r="B29027">
        <v>0.25700000000000001</v>
      </c>
    </row>
    <row r="29028" spans="1:2" x14ac:dyDescent="0.25">
      <c r="A29028" s="74">
        <v>33820</v>
      </c>
      <c r="B29028">
        <v>0.25800000000000001</v>
      </c>
    </row>
    <row r="29029" spans="1:2" x14ac:dyDescent="0.25">
      <c r="A29029" s="74">
        <v>33821</v>
      </c>
      <c r="B29029">
        <v>0.26300000000000001</v>
      </c>
    </row>
    <row r="29030" spans="1:2" x14ac:dyDescent="0.25">
      <c r="A29030" s="74">
        <v>33822</v>
      </c>
      <c r="B29030">
        <v>0.26100000000000001</v>
      </c>
    </row>
    <row r="29031" spans="1:2" x14ac:dyDescent="0.25">
      <c r="A29031" s="74">
        <v>33823</v>
      </c>
      <c r="B29031">
        <v>0.28299999999999997</v>
      </c>
    </row>
    <row r="29032" spans="1:2" x14ac:dyDescent="0.25">
      <c r="A29032" s="74">
        <v>33824</v>
      </c>
      <c r="B29032">
        <v>0.309</v>
      </c>
    </row>
    <row r="29033" spans="1:2" x14ac:dyDescent="0.25">
      <c r="A29033" s="74">
        <v>33825</v>
      </c>
      <c r="B29033">
        <v>0.63700000000000001</v>
      </c>
    </row>
    <row r="29034" spans="1:2" x14ac:dyDescent="0.25">
      <c r="A29034" s="74">
        <v>33826</v>
      </c>
      <c r="B29034">
        <v>0.73</v>
      </c>
    </row>
    <row r="29035" spans="1:2" x14ac:dyDescent="0.25">
      <c r="A29035" s="74">
        <v>33827</v>
      </c>
      <c r="B29035">
        <v>0.504</v>
      </c>
    </row>
    <row r="29036" spans="1:2" x14ac:dyDescent="0.25">
      <c r="A29036" s="74">
        <v>33828</v>
      </c>
      <c r="B29036">
        <v>0.38500000000000001</v>
      </c>
    </row>
    <row r="29037" spans="1:2" x14ac:dyDescent="0.25">
      <c r="A29037" s="74">
        <v>33829</v>
      </c>
      <c r="B29037">
        <v>0.34399999999999997</v>
      </c>
    </row>
    <row r="29038" spans="1:2" x14ac:dyDescent="0.25">
      <c r="A29038" s="74">
        <v>33830</v>
      </c>
      <c r="B29038">
        <v>0.309</v>
      </c>
    </row>
    <row r="29039" spans="1:2" x14ac:dyDescent="0.25">
      <c r="A29039" s="74">
        <v>33831</v>
      </c>
      <c r="B29039">
        <v>0.316</v>
      </c>
    </row>
    <row r="29040" spans="1:2" x14ac:dyDescent="0.25">
      <c r="A29040" s="74">
        <v>33832</v>
      </c>
      <c r="B29040">
        <v>0.252</v>
      </c>
    </row>
    <row r="29041" spans="1:2" x14ac:dyDescent="0.25">
      <c r="A29041" s="74">
        <v>33833</v>
      </c>
      <c r="B29041">
        <v>0.27200000000000002</v>
      </c>
    </row>
    <row r="29042" spans="1:2" x14ac:dyDescent="0.25">
      <c r="A29042" s="74">
        <v>33834</v>
      </c>
      <c r="B29042">
        <v>0.28100000000000003</v>
      </c>
    </row>
    <row r="29043" spans="1:2" x14ac:dyDescent="0.25">
      <c r="A29043" s="74">
        <v>33835</v>
      </c>
      <c r="B29043">
        <v>0.36299999999999999</v>
      </c>
    </row>
    <row r="29044" spans="1:2" x14ac:dyDescent="0.25">
      <c r="A29044" s="74">
        <v>33836</v>
      </c>
      <c r="B29044">
        <v>0.32</v>
      </c>
    </row>
    <row r="29045" spans="1:2" x14ac:dyDescent="0.25">
      <c r="A29045" s="74">
        <v>33837</v>
      </c>
      <c r="B29045">
        <v>0.44500000000000001</v>
      </c>
    </row>
    <row r="29046" spans="1:2" x14ac:dyDescent="0.25">
      <c r="A29046" s="74">
        <v>33838</v>
      </c>
      <c r="B29046">
        <v>0.32100000000000001</v>
      </c>
    </row>
    <row r="29047" spans="1:2" x14ac:dyDescent="0.25">
      <c r="A29047" s="74">
        <v>33839</v>
      </c>
      <c r="B29047">
        <v>0.54500000000000004</v>
      </c>
    </row>
    <row r="29048" spans="1:2" x14ac:dyDescent="0.25">
      <c r="A29048" s="74">
        <v>33840</v>
      </c>
      <c r="B29048">
        <v>0.54500000000000004</v>
      </c>
    </row>
    <row r="29049" spans="1:2" x14ac:dyDescent="0.25">
      <c r="A29049" s="74">
        <v>33841</v>
      </c>
      <c r="B29049">
        <v>0.58599999999999997</v>
      </c>
    </row>
    <row r="29050" spans="1:2" x14ac:dyDescent="0.25">
      <c r="A29050" s="74">
        <v>33842</v>
      </c>
      <c r="B29050">
        <v>0.6</v>
      </c>
    </row>
    <row r="29051" spans="1:2" x14ac:dyDescent="0.25">
      <c r="A29051" s="74">
        <v>33843</v>
      </c>
      <c r="B29051">
        <v>0.61499999999999999</v>
      </c>
    </row>
    <row r="29052" spans="1:2" x14ac:dyDescent="0.25">
      <c r="A29052" s="74">
        <v>33844</v>
      </c>
      <c r="B29052">
        <v>0.58799999999999997</v>
      </c>
    </row>
    <row r="29053" spans="1:2" x14ac:dyDescent="0.25">
      <c r="A29053" s="74">
        <v>33845</v>
      </c>
      <c r="B29053">
        <v>0.57399999999999995</v>
      </c>
    </row>
    <row r="29054" spans="1:2" x14ac:dyDescent="0.25">
      <c r="A29054" s="74">
        <v>33846</v>
      </c>
      <c r="B29054">
        <v>0.56999999999999995</v>
      </c>
    </row>
    <row r="29055" spans="1:2" x14ac:dyDescent="0.25">
      <c r="A29055" s="74">
        <v>33847</v>
      </c>
      <c r="B29055">
        <v>0.58199999999999996</v>
      </c>
    </row>
    <row r="29056" spans="1:2" x14ac:dyDescent="0.25">
      <c r="A29056" s="74">
        <v>33848</v>
      </c>
      <c r="B29056">
        <v>0.59699999999999998</v>
      </c>
    </row>
    <row r="29057" spans="1:3" x14ac:dyDescent="0.25">
      <c r="A29057" s="74">
        <v>33849</v>
      </c>
      <c r="B29057">
        <v>0.63300000000000001</v>
      </c>
    </row>
    <row r="29058" spans="1:3" x14ac:dyDescent="0.25">
      <c r="A29058" s="74">
        <v>33850</v>
      </c>
      <c r="B29058">
        <v>0.59899999999999998</v>
      </c>
    </row>
    <row r="29059" spans="1:3" x14ac:dyDescent="0.25">
      <c r="A29059" s="74">
        <v>33851</v>
      </c>
      <c r="B29059">
        <v>0.57899999999999996</v>
      </c>
    </row>
    <row r="29060" spans="1:3" x14ac:dyDescent="0.25">
      <c r="A29060" s="74">
        <v>33852</v>
      </c>
      <c r="B29060">
        <v>0.61499999999999999</v>
      </c>
    </row>
    <row r="29061" spans="1:3" x14ac:dyDescent="0.25">
      <c r="A29061" s="74">
        <v>33853</v>
      </c>
      <c r="B29061">
        <v>0.63800000000000001</v>
      </c>
    </row>
    <row r="29062" spans="1:3" x14ac:dyDescent="0.25">
      <c r="A29062" s="74">
        <v>33854</v>
      </c>
      <c r="B29062">
        <v>0.64200000000000002</v>
      </c>
    </row>
    <row r="29063" spans="1:3" x14ac:dyDescent="0.25">
      <c r="A29063" s="74">
        <v>33855</v>
      </c>
      <c r="B29063">
        <v>0.59599999999999997</v>
      </c>
    </row>
    <row r="29064" spans="1:3" x14ac:dyDescent="0.25">
      <c r="A29064" s="74">
        <v>33856</v>
      </c>
      <c r="B29064">
        <v>0.66</v>
      </c>
      <c r="C29064" t="s">
        <v>140</v>
      </c>
    </row>
    <row r="29065" spans="1:3" x14ac:dyDescent="0.25">
      <c r="A29065" s="74">
        <v>33857</v>
      </c>
      <c r="B29065">
        <v>0.59</v>
      </c>
      <c r="C29065" t="s">
        <v>140</v>
      </c>
    </row>
    <row r="29066" spans="1:3" x14ac:dyDescent="0.25">
      <c r="A29066" s="74">
        <v>33858</v>
      </c>
      <c r="B29066">
        <v>0.57899999999999996</v>
      </c>
    </row>
    <row r="29067" spans="1:3" x14ac:dyDescent="0.25">
      <c r="A29067" s="74">
        <v>33859</v>
      </c>
      <c r="B29067">
        <v>0.55800000000000005</v>
      </c>
    </row>
    <row r="29068" spans="1:3" x14ac:dyDescent="0.25">
      <c r="A29068" s="74">
        <v>33860</v>
      </c>
      <c r="B29068">
        <v>0.47</v>
      </c>
    </row>
    <row r="29069" spans="1:3" x14ac:dyDescent="0.25">
      <c r="A29069" s="74">
        <v>33861</v>
      </c>
      <c r="B29069">
        <v>0.41699999999999998</v>
      </c>
    </row>
    <row r="29070" spans="1:3" x14ac:dyDescent="0.25">
      <c r="A29070" s="74">
        <v>33862</v>
      </c>
      <c r="B29070">
        <v>0.441</v>
      </c>
    </row>
    <row r="29071" spans="1:3" x14ac:dyDescent="0.25">
      <c r="A29071" s="74">
        <v>33863</v>
      </c>
      <c r="B29071">
        <v>0.46500000000000002</v>
      </c>
    </row>
    <row r="29072" spans="1:3" x14ac:dyDescent="0.25">
      <c r="A29072" s="74">
        <v>33864</v>
      </c>
      <c r="B29072">
        <v>0.46</v>
      </c>
    </row>
    <row r="29073" spans="1:2" x14ac:dyDescent="0.25">
      <c r="A29073" s="74">
        <v>33865</v>
      </c>
      <c r="B29073">
        <v>0.317</v>
      </c>
    </row>
    <row r="29074" spans="1:2" x14ac:dyDescent="0.25">
      <c r="A29074" s="74">
        <v>33866</v>
      </c>
      <c r="B29074">
        <v>0.33500000000000002</v>
      </c>
    </row>
    <row r="29075" spans="1:2" x14ac:dyDescent="0.25">
      <c r="A29075" s="74">
        <v>33867</v>
      </c>
      <c r="B29075">
        <v>0.26900000000000002</v>
      </c>
    </row>
    <row r="29076" spans="1:2" x14ac:dyDescent="0.25">
      <c r="A29076" s="74">
        <v>33868</v>
      </c>
      <c r="B29076">
        <v>0.27500000000000002</v>
      </c>
    </row>
    <row r="29077" spans="1:2" x14ac:dyDescent="0.25">
      <c r="A29077" s="74">
        <v>33869</v>
      </c>
      <c r="B29077">
        <v>0.32</v>
      </c>
    </row>
    <row r="29078" spans="1:2" x14ac:dyDescent="0.25">
      <c r="A29078" s="74">
        <v>33870</v>
      </c>
      <c r="B29078">
        <v>0.36599999999999999</v>
      </c>
    </row>
    <row r="29079" spans="1:2" x14ac:dyDescent="0.25">
      <c r="A29079" s="74">
        <v>33871</v>
      </c>
      <c r="B29079">
        <v>2.04</v>
      </c>
    </row>
    <row r="29080" spans="1:2" x14ac:dyDescent="0.25">
      <c r="A29080" s="74">
        <v>33872</v>
      </c>
      <c r="B29080">
        <v>2.39</v>
      </c>
    </row>
    <row r="29081" spans="1:2" x14ac:dyDescent="0.25">
      <c r="A29081" s="74">
        <v>33873</v>
      </c>
      <c r="B29081">
        <v>1.94</v>
      </c>
    </row>
    <row r="29082" spans="1:2" x14ac:dyDescent="0.25">
      <c r="A29082" s="74">
        <v>33874</v>
      </c>
      <c r="B29082">
        <v>2.61</v>
      </c>
    </row>
    <row r="29083" spans="1:2" x14ac:dyDescent="0.25">
      <c r="A29083" s="74">
        <v>33875</v>
      </c>
      <c r="B29083">
        <v>1.9</v>
      </c>
    </row>
    <row r="29084" spans="1:2" x14ac:dyDescent="0.25">
      <c r="A29084" s="74">
        <v>33876</v>
      </c>
      <c r="B29084">
        <v>1.68</v>
      </c>
    </row>
    <row r="29085" spans="1:2" x14ac:dyDescent="0.25">
      <c r="A29085" s="74">
        <v>33877</v>
      </c>
      <c r="B29085">
        <v>1.29</v>
      </c>
    </row>
    <row r="29086" spans="1:2" x14ac:dyDescent="0.25">
      <c r="A29086" s="74">
        <v>33878</v>
      </c>
      <c r="B29086">
        <v>1.06</v>
      </c>
    </row>
    <row r="29087" spans="1:2" x14ac:dyDescent="0.25">
      <c r="A29087" s="74">
        <v>33879</v>
      </c>
      <c r="B29087">
        <v>0.94299999999999995</v>
      </c>
    </row>
    <row r="29088" spans="1:2" x14ac:dyDescent="0.25">
      <c r="A29088" s="74">
        <v>33880</v>
      </c>
      <c r="B29088">
        <v>0.88300000000000001</v>
      </c>
    </row>
    <row r="29089" spans="1:2" x14ac:dyDescent="0.25">
      <c r="A29089" s="74">
        <v>33881</v>
      </c>
      <c r="B29089">
        <v>0.89900000000000002</v>
      </c>
    </row>
    <row r="29090" spans="1:2" x14ac:dyDescent="0.25">
      <c r="A29090" s="74">
        <v>33882</v>
      </c>
      <c r="B29090">
        <v>0.81899999999999995</v>
      </c>
    </row>
    <row r="29091" spans="1:2" x14ac:dyDescent="0.25">
      <c r="A29091" s="74">
        <v>33883</v>
      </c>
      <c r="B29091">
        <v>0.77</v>
      </c>
    </row>
    <row r="29092" spans="1:2" x14ac:dyDescent="0.25">
      <c r="A29092" s="74">
        <v>33884</v>
      </c>
      <c r="B29092">
        <v>0.70399999999999996</v>
      </c>
    </row>
    <row r="29093" spans="1:2" x14ac:dyDescent="0.25">
      <c r="A29093" s="74">
        <v>33885</v>
      </c>
      <c r="B29093">
        <v>0.75800000000000001</v>
      </c>
    </row>
    <row r="29094" spans="1:2" x14ac:dyDescent="0.25">
      <c r="A29094" s="74">
        <v>33886</v>
      </c>
      <c r="B29094">
        <v>0.71399999999999997</v>
      </c>
    </row>
    <row r="29095" spans="1:2" x14ac:dyDescent="0.25">
      <c r="A29095" s="74">
        <v>33887</v>
      </c>
      <c r="B29095">
        <v>0.64900000000000002</v>
      </c>
    </row>
    <row r="29096" spans="1:2" x14ac:dyDescent="0.25">
      <c r="A29096" s="74">
        <v>33888</v>
      </c>
      <c r="B29096">
        <v>0.66700000000000004</v>
      </c>
    </row>
    <row r="29097" spans="1:2" x14ac:dyDescent="0.25">
      <c r="A29097" s="74">
        <v>33889</v>
      </c>
      <c r="B29097">
        <v>0.66300000000000003</v>
      </c>
    </row>
    <row r="29098" spans="1:2" x14ac:dyDescent="0.25">
      <c r="A29098" s="74">
        <v>33890</v>
      </c>
      <c r="B29098">
        <v>0.63600000000000001</v>
      </c>
    </row>
    <row r="29099" spans="1:2" x14ac:dyDescent="0.25">
      <c r="A29099" s="74">
        <v>33891</v>
      </c>
      <c r="B29099">
        <v>0.61299999999999999</v>
      </c>
    </row>
    <row r="29100" spans="1:2" x14ac:dyDescent="0.25">
      <c r="A29100" s="74">
        <v>33892</v>
      </c>
      <c r="B29100">
        <v>0.58499999999999996</v>
      </c>
    </row>
    <row r="29101" spans="1:2" x14ac:dyDescent="0.25">
      <c r="A29101" s="74">
        <v>33893</v>
      </c>
      <c r="B29101">
        <v>0.54900000000000004</v>
      </c>
    </row>
    <row r="29102" spans="1:2" x14ac:dyDescent="0.25">
      <c r="A29102" s="74">
        <v>33894</v>
      </c>
      <c r="B29102">
        <v>0.48599999999999999</v>
      </c>
    </row>
    <row r="29103" spans="1:2" x14ac:dyDescent="0.25">
      <c r="A29103" s="74">
        <v>33895</v>
      </c>
      <c r="B29103">
        <v>2.4900000000000002</v>
      </c>
    </row>
    <row r="29104" spans="1:2" x14ac:dyDescent="0.25">
      <c r="A29104" s="74">
        <v>33896</v>
      </c>
      <c r="B29104">
        <v>4.93</v>
      </c>
    </row>
    <row r="29105" spans="1:2" x14ac:dyDescent="0.25">
      <c r="A29105" s="74">
        <v>33897</v>
      </c>
      <c r="B29105">
        <v>28.3</v>
      </c>
    </row>
    <row r="29106" spans="1:2" x14ac:dyDescent="0.25">
      <c r="A29106" s="74">
        <v>33898</v>
      </c>
      <c r="B29106">
        <v>16.899999999999999</v>
      </c>
    </row>
    <row r="29107" spans="1:2" x14ac:dyDescent="0.25">
      <c r="A29107" s="74">
        <v>33899</v>
      </c>
      <c r="B29107">
        <v>19.399999999999999</v>
      </c>
    </row>
    <row r="29108" spans="1:2" x14ac:dyDescent="0.25">
      <c r="A29108" s="74">
        <v>33900</v>
      </c>
      <c r="B29108">
        <v>29.4</v>
      </c>
    </row>
    <row r="29109" spans="1:2" x14ac:dyDescent="0.25">
      <c r="A29109" s="74">
        <v>33901</v>
      </c>
      <c r="B29109">
        <v>25.4</v>
      </c>
    </row>
    <row r="29110" spans="1:2" x14ac:dyDescent="0.25">
      <c r="A29110" s="74">
        <v>33902</v>
      </c>
      <c r="B29110">
        <v>15.2</v>
      </c>
    </row>
    <row r="29111" spans="1:2" x14ac:dyDescent="0.25">
      <c r="A29111" s="74">
        <v>33903</v>
      </c>
      <c r="B29111">
        <v>9.26</v>
      </c>
    </row>
    <row r="29112" spans="1:2" x14ac:dyDescent="0.25">
      <c r="A29112" s="74">
        <v>33904</v>
      </c>
      <c r="B29112">
        <v>6.42</v>
      </c>
    </row>
    <row r="29113" spans="1:2" x14ac:dyDescent="0.25">
      <c r="A29113" s="74">
        <v>33905</v>
      </c>
      <c r="B29113">
        <v>5.47</v>
      </c>
    </row>
    <row r="29114" spans="1:2" x14ac:dyDescent="0.25">
      <c r="A29114" s="74">
        <v>33906</v>
      </c>
      <c r="B29114">
        <v>5.38</v>
      </c>
    </row>
    <row r="29115" spans="1:2" x14ac:dyDescent="0.25">
      <c r="A29115" s="74">
        <v>33907</v>
      </c>
      <c r="B29115">
        <v>8.69</v>
      </c>
    </row>
    <row r="29116" spans="1:2" x14ac:dyDescent="0.25">
      <c r="A29116" s="74">
        <v>33908</v>
      </c>
      <c r="B29116">
        <v>23.3</v>
      </c>
    </row>
    <row r="29117" spans="1:2" x14ac:dyDescent="0.25">
      <c r="A29117" s="74">
        <v>33909</v>
      </c>
      <c r="B29117">
        <v>36.799999999999997</v>
      </c>
    </row>
    <row r="29118" spans="1:2" x14ac:dyDescent="0.25">
      <c r="A29118" s="74">
        <v>33910</v>
      </c>
      <c r="B29118">
        <v>25.5</v>
      </c>
    </row>
    <row r="29119" spans="1:2" x14ac:dyDescent="0.25">
      <c r="A29119" s="74">
        <v>33911</v>
      </c>
      <c r="B29119">
        <v>16.2</v>
      </c>
    </row>
    <row r="29120" spans="1:2" x14ac:dyDescent="0.25">
      <c r="A29120" s="74">
        <v>33912</v>
      </c>
      <c r="B29120">
        <v>19.7</v>
      </c>
    </row>
    <row r="29121" spans="1:2" x14ac:dyDescent="0.25">
      <c r="A29121" s="74">
        <v>33913</v>
      </c>
      <c r="B29121">
        <v>16.3</v>
      </c>
    </row>
    <row r="29122" spans="1:2" x14ac:dyDescent="0.25">
      <c r="A29122" s="74">
        <v>33914</v>
      </c>
      <c r="B29122">
        <v>12.5</v>
      </c>
    </row>
    <row r="29123" spans="1:2" x14ac:dyDescent="0.25">
      <c r="A29123" s="74">
        <v>33915</v>
      </c>
      <c r="B29123">
        <v>25.9</v>
      </c>
    </row>
    <row r="29124" spans="1:2" x14ac:dyDescent="0.25">
      <c r="A29124" s="74">
        <v>33916</v>
      </c>
      <c r="B29124">
        <v>18.5</v>
      </c>
    </row>
    <row r="29125" spans="1:2" x14ac:dyDescent="0.25">
      <c r="A29125" s="74">
        <v>33917</v>
      </c>
      <c r="B29125">
        <v>13</v>
      </c>
    </row>
    <row r="29126" spans="1:2" x14ac:dyDescent="0.25">
      <c r="A29126" s="74">
        <v>33918</v>
      </c>
      <c r="B29126">
        <v>10.1</v>
      </c>
    </row>
    <row r="29127" spans="1:2" x14ac:dyDescent="0.25">
      <c r="A29127" s="74">
        <v>33919</v>
      </c>
      <c r="B29127">
        <v>8.9</v>
      </c>
    </row>
    <row r="29128" spans="1:2" x14ac:dyDescent="0.25">
      <c r="A29128" s="74">
        <v>33920</v>
      </c>
      <c r="B29128">
        <v>7.74</v>
      </c>
    </row>
    <row r="29129" spans="1:2" x14ac:dyDescent="0.25">
      <c r="A29129" s="74">
        <v>33921</v>
      </c>
      <c r="B29129">
        <v>6.43</v>
      </c>
    </row>
    <row r="29130" spans="1:2" x14ac:dyDescent="0.25">
      <c r="A29130" s="74">
        <v>33922</v>
      </c>
      <c r="B29130">
        <v>5.72</v>
      </c>
    </row>
    <row r="29131" spans="1:2" x14ac:dyDescent="0.25">
      <c r="A29131" s="74">
        <v>33923</v>
      </c>
      <c r="B29131">
        <v>5.19</v>
      </c>
    </row>
    <row r="29132" spans="1:2" x14ac:dyDescent="0.25">
      <c r="A29132" s="74">
        <v>33924</v>
      </c>
      <c r="B29132">
        <v>4.7300000000000004</v>
      </c>
    </row>
    <row r="29133" spans="1:2" x14ac:dyDescent="0.25">
      <c r="A29133" s="74">
        <v>33925</v>
      </c>
      <c r="B29133">
        <v>4.47</v>
      </c>
    </row>
    <row r="29134" spans="1:2" x14ac:dyDescent="0.25">
      <c r="A29134" s="74">
        <v>33926</v>
      </c>
      <c r="B29134">
        <v>4.5599999999999996</v>
      </c>
    </row>
    <row r="29135" spans="1:2" x14ac:dyDescent="0.25">
      <c r="A29135" s="74">
        <v>33927</v>
      </c>
      <c r="B29135">
        <v>18.2</v>
      </c>
    </row>
    <row r="29136" spans="1:2" x14ac:dyDescent="0.25">
      <c r="A29136" s="74">
        <v>33928</v>
      </c>
      <c r="B29136">
        <v>13.7</v>
      </c>
    </row>
    <row r="29137" spans="1:2" x14ac:dyDescent="0.25">
      <c r="A29137" s="74">
        <v>33929</v>
      </c>
      <c r="B29137">
        <v>22</v>
      </c>
    </row>
    <row r="29138" spans="1:2" x14ac:dyDescent="0.25">
      <c r="A29138" s="74">
        <v>33930</v>
      </c>
      <c r="B29138">
        <v>34.1</v>
      </c>
    </row>
    <row r="29139" spans="1:2" x14ac:dyDescent="0.25">
      <c r="A29139" s="74">
        <v>33931</v>
      </c>
      <c r="B29139">
        <v>21.6</v>
      </c>
    </row>
    <row r="29140" spans="1:2" x14ac:dyDescent="0.25">
      <c r="A29140" s="74">
        <v>33932</v>
      </c>
      <c r="B29140">
        <v>13.8</v>
      </c>
    </row>
    <row r="29141" spans="1:2" x14ac:dyDescent="0.25">
      <c r="A29141" s="74">
        <v>33933</v>
      </c>
      <c r="B29141">
        <v>9.9499999999999993</v>
      </c>
    </row>
    <row r="29142" spans="1:2" x14ac:dyDescent="0.25">
      <c r="A29142" s="74">
        <v>33934</v>
      </c>
      <c r="B29142">
        <v>7.77</v>
      </c>
    </row>
    <row r="29143" spans="1:2" x14ac:dyDescent="0.25">
      <c r="A29143" s="74">
        <v>33935</v>
      </c>
      <c r="B29143">
        <v>26.8</v>
      </c>
    </row>
    <row r="29144" spans="1:2" x14ac:dyDescent="0.25">
      <c r="A29144" s="74">
        <v>33936</v>
      </c>
      <c r="B29144">
        <v>24</v>
      </c>
    </row>
    <row r="29145" spans="1:2" x14ac:dyDescent="0.25">
      <c r="A29145" s="74">
        <v>33937</v>
      </c>
      <c r="B29145">
        <v>16.2</v>
      </c>
    </row>
    <row r="29146" spans="1:2" x14ac:dyDescent="0.25">
      <c r="A29146" s="74">
        <v>33938</v>
      </c>
      <c r="B29146">
        <v>30.3</v>
      </c>
    </row>
    <row r="29147" spans="1:2" x14ac:dyDescent="0.25">
      <c r="A29147" s="74">
        <v>33939</v>
      </c>
      <c r="B29147">
        <v>24</v>
      </c>
    </row>
    <row r="29148" spans="1:2" x14ac:dyDescent="0.25">
      <c r="A29148" s="74">
        <v>33940</v>
      </c>
      <c r="B29148">
        <v>16.5</v>
      </c>
    </row>
    <row r="29149" spans="1:2" x14ac:dyDescent="0.25">
      <c r="A29149" s="74">
        <v>33941</v>
      </c>
      <c r="B29149">
        <v>12.1</v>
      </c>
    </row>
    <row r="29150" spans="1:2" x14ac:dyDescent="0.25">
      <c r="A29150" s="74">
        <v>33942</v>
      </c>
      <c r="B29150">
        <v>9.35</v>
      </c>
    </row>
    <row r="29151" spans="1:2" x14ac:dyDescent="0.25">
      <c r="A29151" s="74">
        <v>33943</v>
      </c>
      <c r="B29151">
        <v>8.08</v>
      </c>
    </row>
    <row r="29152" spans="1:2" x14ac:dyDescent="0.25">
      <c r="A29152" s="74">
        <v>33944</v>
      </c>
      <c r="B29152">
        <v>7.22</v>
      </c>
    </row>
    <row r="29153" spans="1:2" x14ac:dyDescent="0.25">
      <c r="A29153" s="74">
        <v>33945</v>
      </c>
      <c r="B29153">
        <v>6.29</v>
      </c>
    </row>
    <row r="29154" spans="1:2" x14ac:dyDescent="0.25">
      <c r="A29154" s="74">
        <v>33946</v>
      </c>
      <c r="B29154">
        <v>6.74</v>
      </c>
    </row>
    <row r="29155" spans="1:2" x14ac:dyDescent="0.25">
      <c r="A29155" s="74">
        <v>33947</v>
      </c>
      <c r="B29155">
        <v>8.1199999999999992</v>
      </c>
    </row>
    <row r="29156" spans="1:2" x14ac:dyDescent="0.25">
      <c r="A29156" s="74">
        <v>33948</v>
      </c>
      <c r="B29156">
        <v>7.87</v>
      </c>
    </row>
    <row r="29157" spans="1:2" x14ac:dyDescent="0.25">
      <c r="A29157" s="74">
        <v>33949</v>
      </c>
      <c r="B29157">
        <v>7.28</v>
      </c>
    </row>
    <row r="29158" spans="1:2" x14ac:dyDescent="0.25">
      <c r="A29158" s="74">
        <v>33950</v>
      </c>
      <c r="B29158">
        <v>6.09</v>
      </c>
    </row>
    <row r="29159" spans="1:2" x14ac:dyDescent="0.25">
      <c r="A29159" s="74">
        <v>33951</v>
      </c>
      <c r="B29159">
        <v>5.61</v>
      </c>
    </row>
    <row r="29160" spans="1:2" x14ac:dyDescent="0.25">
      <c r="A29160" s="74">
        <v>33952</v>
      </c>
      <c r="B29160">
        <v>15.8</v>
      </c>
    </row>
    <row r="29161" spans="1:2" x14ac:dyDescent="0.25">
      <c r="A29161" s="74">
        <v>33953</v>
      </c>
      <c r="B29161">
        <v>13.5</v>
      </c>
    </row>
    <row r="29162" spans="1:2" x14ac:dyDescent="0.25">
      <c r="A29162" s="74">
        <v>33954</v>
      </c>
      <c r="B29162">
        <v>10.6</v>
      </c>
    </row>
    <row r="29163" spans="1:2" x14ac:dyDescent="0.25">
      <c r="A29163" s="74">
        <v>33955</v>
      </c>
      <c r="B29163">
        <v>9.4499999999999993</v>
      </c>
    </row>
    <row r="29164" spans="1:2" x14ac:dyDescent="0.25">
      <c r="A29164" s="74">
        <v>33956</v>
      </c>
      <c r="B29164">
        <v>8.17</v>
      </c>
    </row>
    <row r="29165" spans="1:2" x14ac:dyDescent="0.25">
      <c r="A29165" s="74">
        <v>33957</v>
      </c>
      <c r="B29165">
        <v>7.21</v>
      </c>
    </row>
    <row r="29166" spans="1:2" x14ac:dyDescent="0.25">
      <c r="A29166" s="74">
        <v>33958</v>
      </c>
      <c r="B29166">
        <v>7.42</v>
      </c>
    </row>
    <row r="29167" spans="1:2" x14ac:dyDescent="0.25">
      <c r="A29167" s="74">
        <v>33959</v>
      </c>
      <c r="B29167">
        <v>7.08</v>
      </c>
    </row>
    <row r="29168" spans="1:2" x14ac:dyDescent="0.25">
      <c r="A29168" s="74">
        <v>33960</v>
      </c>
      <c r="B29168">
        <v>6.23</v>
      </c>
    </row>
    <row r="29169" spans="1:3" x14ac:dyDescent="0.25">
      <c r="A29169" s="74">
        <v>33961</v>
      </c>
      <c r="B29169">
        <v>6.36</v>
      </c>
    </row>
    <row r="29170" spans="1:3" x14ac:dyDescent="0.25">
      <c r="A29170" s="74">
        <v>33962</v>
      </c>
      <c r="B29170">
        <v>7.14</v>
      </c>
    </row>
    <row r="29171" spans="1:3" x14ac:dyDescent="0.25">
      <c r="A29171" s="74">
        <v>33963</v>
      </c>
      <c r="B29171">
        <v>7.22</v>
      </c>
    </row>
    <row r="29172" spans="1:3" x14ac:dyDescent="0.25">
      <c r="A29172" s="74">
        <v>33964</v>
      </c>
      <c r="B29172">
        <v>7.06</v>
      </c>
    </row>
    <row r="29173" spans="1:3" x14ac:dyDescent="0.25">
      <c r="A29173" s="74">
        <v>33965</v>
      </c>
      <c r="B29173">
        <v>6.77</v>
      </c>
    </row>
    <row r="29174" spans="1:3" x14ac:dyDescent="0.25">
      <c r="A29174" s="74">
        <v>33966</v>
      </c>
      <c r="B29174">
        <v>6.25</v>
      </c>
    </row>
    <row r="29175" spans="1:3" x14ac:dyDescent="0.25">
      <c r="A29175" s="74">
        <v>33967</v>
      </c>
      <c r="B29175">
        <v>5.67</v>
      </c>
    </row>
    <row r="29176" spans="1:3" x14ac:dyDescent="0.25">
      <c r="A29176" s="74">
        <v>33968</v>
      </c>
      <c r="B29176">
        <v>5.16</v>
      </c>
    </row>
    <row r="29177" spans="1:3" x14ac:dyDescent="0.25">
      <c r="A29177" s="74">
        <v>33969</v>
      </c>
      <c r="B29177">
        <v>4.74</v>
      </c>
    </row>
    <row r="29178" spans="1:3" x14ac:dyDescent="0.25">
      <c r="A29178" s="74">
        <v>33970</v>
      </c>
      <c r="B29178">
        <v>3.97</v>
      </c>
      <c r="C29178" t="s">
        <v>142</v>
      </c>
    </row>
    <row r="29179" spans="1:3" x14ac:dyDescent="0.25">
      <c r="A29179" s="74">
        <v>33971</v>
      </c>
      <c r="B29179">
        <v>3.54</v>
      </c>
      <c r="C29179" t="s">
        <v>142</v>
      </c>
    </row>
    <row r="29180" spans="1:3" x14ac:dyDescent="0.25">
      <c r="A29180" s="74">
        <v>33972</v>
      </c>
      <c r="B29180">
        <v>3.42</v>
      </c>
      <c r="C29180" t="s">
        <v>142</v>
      </c>
    </row>
    <row r="29181" spans="1:3" x14ac:dyDescent="0.25">
      <c r="A29181" s="74">
        <v>33973</v>
      </c>
      <c r="B29181">
        <v>2.98</v>
      </c>
      <c r="C29181" t="s">
        <v>142</v>
      </c>
    </row>
    <row r="29182" spans="1:3" x14ac:dyDescent="0.25">
      <c r="A29182" s="74">
        <v>33974</v>
      </c>
      <c r="B29182">
        <v>2.85</v>
      </c>
      <c r="C29182" t="s">
        <v>142</v>
      </c>
    </row>
    <row r="29183" spans="1:3" x14ac:dyDescent="0.25">
      <c r="A29183" s="74">
        <v>33975</v>
      </c>
      <c r="B29183">
        <v>2.62</v>
      </c>
      <c r="C29183" t="s">
        <v>142</v>
      </c>
    </row>
    <row r="29184" spans="1:3" x14ac:dyDescent="0.25">
      <c r="A29184" s="74">
        <v>33976</v>
      </c>
      <c r="B29184">
        <v>2.5299999999999998</v>
      </c>
      <c r="C29184" t="s">
        <v>142</v>
      </c>
    </row>
    <row r="29185" spans="1:3" x14ac:dyDescent="0.25">
      <c r="A29185" s="74">
        <v>33977</v>
      </c>
      <c r="B29185">
        <v>2.4900000000000002</v>
      </c>
      <c r="C29185" t="s">
        <v>142</v>
      </c>
    </row>
    <row r="29186" spans="1:3" x14ac:dyDescent="0.25">
      <c r="A29186" s="74">
        <v>33978</v>
      </c>
      <c r="B29186">
        <v>2.4500000000000002</v>
      </c>
      <c r="C29186" t="s">
        <v>142</v>
      </c>
    </row>
    <row r="29187" spans="1:3" x14ac:dyDescent="0.25">
      <c r="A29187" s="74">
        <v>33979</v>
      </c>
      <c r="B29187">
        <v>2.21</v>
      </c>
    </row>
    <row r="29188" spans="1:3" x14ac:dyDescent="0.25">
      <c r="A29188" s="74">
        <v>33980</v>
      </c>
      <c r="B29188">
        <v>2.2400000000000002</v>
      </c>
    </row>
    <row r="29189" spans="1:3" x14ac:dyDescent="0.25">
      <c r="A29189" s="74">
        <v>33981</v>
      </c>
      <c r="B29189">
        <v>2.1800000000000002</v>
      </c>
    </row>
    <row r="29190" spans="1:3" x14ac:dyDescent="0.25">
      <c r="A29190" s="74">
        <v>33982</v>
      </c>
      <c r="B29190">
        <v>2.35</v>
      </c>
    </row>
    <row r="29191" spans="1:3" x14ac:dyDescent="0.25">
      <c r="A29191" s="74">
        <v>33983</v>
      </c>
      <c r="B29191">
        <v>2.0499999999999998</v>
      </c>
    </row>
    <row r="29192" spans="1:3" x14ac:dyDescent="0.25">
      <c r="A29192" s="74">
        <v>33984</v>
      </c>
      <c r="B29192">
        <v>2.36</v>
      </c>
    </row>
    <row r="29193" spans="1:3" x14ac:dyDescent="0.25">
      <c r="A29193" s="74">
        <v>33985</v>
      </c>
      <c r="B29193">
        <v>2.0699999999999998</v>
      </c>
    </row>
    <row r="29194" spans="1:3" x14ac:dyDescent="0.25">
      <c r="A29194" s="74">
        <v>33986</v>
      </c>
      <c r="B29194">
        <v>1.85</v>
      </c>
    </row>
    <row r="29195" spans="1:3" x14ac:dyDescent="0.25">
      <c r="A29195" s="74">
        <v>33987</v>
      </c>
      <c r="B29195">
        <v>1.62</v>
      </c>
    </row>
    <row r="29196" spans="1:3" x14ac:dyDescent="0.25">
      <c r="A29196" s="74">
        <v>33988</v>
      </c>
      <c r="B29196">
        <v>2</v>
      </c>
    </row>
    <row r="29197" spans="1:3" x14ac:dyDescent="0.25">
      <c r="A29197" s="74">
        <v>33989</v>
      </c>
      <c r="B29197">
        <v>3.71</v>
      </c>
    </row>
    <row r="29198" spans="1:3" x14ac:dyDescent="0.25">
      <c r="A29198" s="74">
        <v>33990</v>
      </c>
      <c r="B29198">
        <v>5.49</v>
      </c>
    </row>
    <row r="29199" spans="1:3" x14ac:dyDescent="0.25">
      <c r="A29199" s="74">
        <v>33991</v>
      </c>
      <c r="B29199">
        <v>5.07</v>
      </c>
    </row>
    <row r="29200" spans="1:3" x14ac:dyDescent="0.25">
      <c r="A29200" s="74">
        <v>33992</v>
      </c>
      <c r="B29200">
        <v>4.74</v>
      </c>
      <c r="C29200" t="s">
        <v>140</v>
      </c>
    </row>
    <row r="29201" spans="1:3" x14ac:dyDescent="0.25">
      <c r="A29201" s="74">
        <v>33993</v>
      </c>
      <c r="B29201">
        <v>22.5</v>
      </c>
      <c r="C29201" t="s">
        <v>141</v>
      </c>
    </row>
    <row r="29202" spans="1:3" x14ac:dyDescent="0.25">
      <c r="A29202" s="74">
        <v>33994</v>
      </c>
      <c r="B29202">
        <v>47.1</v>
      </c>
      <c r="C29202" t="s">
        <v>141</v>
      </c>
    </row>
    <row r="29203" spans="1:3" x14ac:dyDescent="0.25">
      <c r="A29203" s="74">
        <v>33995</v>
      </c>
      <c r="B29203">
        <v>63.5</v>
      </c>
      <c r="C29203" t="s">
        <v>141</v>
      </c>
    </row>
    <row r="29204" spans="1:3" x14ac:dyDescent="0.25">
      <c r="A29204" s="74">
        <v>33996</v>
      </c>
      <c r="B29204">
        <v>56.4</v>
      </c>
      <c r="C29204" t="s">
        <v>140</v>
      </c>
    </row>
    <row r="29205" spans="1:3" x14ac:dyDescent="0.25">
      <c r="A29205" s="74">
        <v>33997</v>
      </c>
      <c r="B29205">
        <v>45.8</v>
      </c>
    </row>
    <row r="29206" spans="1:3" x14ac:dyDescent="0.25">
      <c r="A29206" s="74">
        <v>33998</v>
      </c>
      <c r="B29206">
        <v>35.5</v>
      </c>
    </row>
    <row r="29207" spans="1:3" x14ac:dyDescent="0.25">
      <c r="A29207" s="74">
        <v>33999</v>
      </c>
      <c r="B29207">
        <v>29.2</v>
      </c>
    </row>
    <row r="29208" spans="1:3" x14ac:dyDescent="0.25">
      <c r="A29208" s="74">
        <v>34000</v>
      </c>
      <c r="B29208">
        <v>24</v>
      </c>
    </row>
    <row r="29209" spans="1:3" x14ac:dyDescent="0.25">
      <c r="A29209" s="74">
        <v>34001</v>
      </c>
      <c r="B29209">
        <v>19.5</v>
      </c>
    </row>
    <row r="29210" spans="1:3" x14ac:dyDescent="0.25">
      <c r="A29210" s="74">
        <v>34002</v>
      </c>
      <c r="B29210">
        <v>17.399999999999999</v>
      </c>
    </row>
    <row r="29211" spans="1:3" x14ac:dyDescent="0.25">
      <c r="A29211" s="74">
        <v>34003</v>
      </c>
      <c r="B29211">
        <v>16.5</v>
      </c>
    </row>
    <row r="29212" spans="1:3" x14ac:dyDescent="0.25">
      <c r="A29212" s="74">
        <v>34004</v>
      </c>
      <c r="B29212">
        <v>16.2</v>
      </c>
    </row>
    <row r="29213" spans="1:3" x14ac:dyDescent="0.25">
      <c r="A29213" s="74">
        <v>34005</v>
      </c>
      <c r="B29213">
        <v>21.9</v>
      </c>
    </row>
    <row r="29214" spans="1:3" x14ac:dyDescent="0.25">
      <c r="A29214" s="74">
        <v>34006</v>
      </c>
      <c r="B29214">
        <v>31</v>
      </c>
    </row>
    <row r="29215" spans="1:3" x14ac:dyDescent="0.25">
      <c r="A29215" s="74">
        <v>34007</v>
      </c>
      <c r="B29215">
        <v>27</v>
      </c>
    </row>
    <row r="29216" spans="1:3" x14ac:dyDescent="0.25">
      <c r="A29216" s="74">
        <v>34008</v>
      </c>
      <c r="B29216">
        <v>21.2</v>
      </c>
    </row>
    <row r="29217" spans="1:3" x14ac:dyDescent="0.25">
      <c r="A29217" s="74">
        <v>34009</v>
      </c>
      <c r="B29217">
        <v>17.5</v>
      </c>
    </row>
    <row r="29218" spans="1:3" x14ac:dyDescent="0.25">
      <c r="A29218" s="74">
        <v>34010</v>
      </c>
      <c r="B29218">
        <v>17.100000000000001</v>
      </c>
    </row>
    <row r="29219" spans="1:3" x14ac:dyDescent="0.25">
      <c r="A29219" s="74">
        <v>34011</v>
      </c>
      <c r="B29219">
        <v>14.4</v>
      </c>
    </row>
    <row r="29220" spans="1:3" x14ac:dyDescent="0.25">
      <c r="A29220" s="74">
        <v>34012</v>
      </c>
      <c r="B29220">
        <v>12.2</v>
      </c>
    </row>
    <row r="29221" spans="1:3" x14ac:dyDescent="0.25">
      <c r="A29221" s="74">
        <v>34013</v>
      </c>
      <c r="B29221">
        <v>9.84</v>
      </c>
    </row>
    <row r="29222" spans="1:3" x14ac:dyDescent="0.25">
      <c r="A29222" s="74">
        <v>34014</v>
      </c>
      <c r="B29222">
        <v>8.75</v>
      </c>
    </row>
    <row r="29223" spans="1:3" x14ac:dyDescent="0.25">
      <c r="A29223" s="74">
        <v>34015</v>
      </c>
      <c r="B29223">
        <v>8.31</v>
      </c>
      <c r="C29223" t="s">
        <v>140</v>
      </c>
    </row>
    <row r="29224" spans="1:3" x14ac:dyDescent="0.25">
      <c r="A29224" s="74">
        <v>34016</v>
      </c>
      <c r="B29224">
        <v>6.2</v>
      </c>
      <c r="C29224" t="s">
        <v>141</v>
      </c>
    </row>
    <row r="29225" spans="1:3" x14ac:dyDescent="0.25">
      <c r="A29225" s="74">
        <v>34017</v>
      </c>
      <c r="B29225">
        <v>5.72</v>
      </c>
      <c r="C29225" t="s">
        <v>141</v>
      </c>
    </row>
    <row r="29226" spans="1:3" x14ac:dyDescent="0.25">
      <c r="A29226" s="74">
        <v>34018</v>
      </c>
      <c r="B29226">
        <v>5.1100000000000003</v>
      </c>
      <c r="C29226" t="s">
        <v>141</v>
      </c>
    </row>
    <row r="29227" spans="1:3" x14ac:dyDescent="0.25">
      <c r="A29227" s="74">
        <v>34019</v>
      </c>
      <c r="B29227">
        <v>4.4800000000000004</v>
      </c>
      <c r="C29227" t="s">
        <v>141</v>
      </c>
    </row>
    <row r="29228" spans="1:3" x14ac:dyDescent="0.25">
      <c r="A29228" s="74">
        <v>34020</v>
      </c>
      <c r="B29228">
        <v>4.03</v>
      </c>
      <c r="C29228" t="s">
        <v>141</v>
      </c>
    </row>
    <row r="29229" spans="1:3" x14ac:dyDescent="0.25">
      <c r="A29229" s="74">
        <v>34021</v>
      </c>
      <c r="B29229">
        <v>3.99</v>
      </c>
      <c r="C29229" t="s">
        <v>141</v>
      </c>
    </row>
    <row r="29230" spans="1:3" x14ac:dyDescent="0.25">
      <c r="A29230" s="74">
        <v>34022</v>
      </c>
      <c r="B29230">
        <v>3.67</v>
      </c>
      <c r="C29230" t="s">
        <v>141</v>
      </c>
    </row>
    <row r="29231" spans="1:3" x14ac:dyDescent="0.25">
      <c r="A29231" s="74">
        <v>34023</v>
      </c>
      <c r="B29231">
        <v>3.32</v>
      </c>
      <c r="C29231" t="s">
        <v>141</v>
      </c>
    </row>
    <row r="29232" spans="1:3" x14ac:dyDescent="0.25">
      <c r="A29232" s="74">
        <v>34024</v>
      </c>
      <c r="B29232">
        <v>2.77</v>
      </c>
      <c r="C29232" t="s">
        <v>141</v>
      </c>
    </row>
    <row r="29233" spans="1:3" x14ac:dyDescent="0.25">
      <c r="A29233" s="74">
        <v>34025</v>
      </c>
      <c r="B29233">
        <v>2.68</v>
      </c>
      <c r="C29233" t="s">
        <v>141</v>
      </c>
    </row>
    <row r="29234" spans="1:3" x14ac:dyDescent="0.25">
      <c r="A29234" s="74">
        <v>34026</v>
      </c>
      <c r="B29234">
        <v>2.5299999999999998</v>
      </c>
      <c r="C29234" t="s">
        <v>141</v>
      </c>
    </row>
    <row r="29235" spans="1:3" x14ac:dyDescent="0.25">
      <c r="A29235" s="74">
        <v>34027</v>
      </c>
      <c r="B29235">
        <v>2.52</v>
      </c>
      <c r="C29235" t="s">
        <v>141</v>
      </c>
    </row>
    <row r="29236" spans="1:3" x14ac:dyDescent="0.25">
      <c r="A29236" s="74">
        <v>34028</v>
      </c>
      <c r="B29236">
        <v>2.54</v>
      </c>
      <c r="C29236" t="s">
        <v>141</v>
      </c>
    </row>
    <row r="29237" spans="1:3" x14ac:dyDescent="0.25">
      <c r="A29237" s="74">
        <v>34029</v>
      </c>
      <c r="B29237">
        <v>2.5099999999999998</v>
      </c>
      <c r="C29237" t="s">
        <v>141</v>
      </c>
    </row>
    <row r="29238" spans="1:3" x14ac:dyDescent="0.25">
      <c r="A29238" s="74">
        <v>34030</v>
      </c>
      <c r="B29238">
        <v>2.97</v>
      </c>
      <c r="C29238" t="s">
        <v>141</v>
      </c>
    </row>
    <row r="29239" spans="1:3" x14ac:dyDescent="0.25">
      <c r="A29239" s="74">
        <v>34031</v>
      </c>
      <c r="B29239">
        <v>9.65</v>
      </c>
      <c r="C29239" t="s">
        <v>141</v>
      </c>
    </row>
    <row r="29240" spans="1:3" x14ac:dyDescent="0.25">
      <c r="A29240" s="74">
        <v>34032</v>
      </c>
      <c r="B29240">
        <v>13.7</v>
      </c>
      <c r="C29240" t="s">
        <v>141</v>
      </c>
    </row>
    <row r="29241" spans="1:3" x14ac:dyDescent="0.25">
      <c r="A29241" s="74">
        <v>34033</v>
      </c>
      <c r="B29241">
        <v>42</v>
      </c>
      <c r="C29241" t="s">
        <v>141</v>
      </c>
    </row>
    <row r="29242" spans="1:3" x14ac:dyDescent="0.25">
      <c r="A29242" s="74">
        <v>34034</v>
      </c>
      <c r="B29242">
        <v>34.1</v>
      </c>
      <c r="C29242" t="s">
        <v>141</v>
      </c>
    </row>
    <row r="29243" spans="1:3" x14ac:dyDescent="0.25">
      <c r="A29243" s="74">
        <v>34035</v>
      </c>
      <c r="B29243">
        <v>32.5</v>
      </c>
      <c r="C29243" t="s">
        <v>141</v>
      </c>
    </row>
    <row r="29244" spans="1:3" x14ac:dyDescent="0.25">
      <c r="A29244" s="74">
        <v>34036</v>
      </c>
      <c r="B29244">
        <v>16.2</v>
      </c>
      <c r="C29244" t="s">
        <v>141</v>
      </c>
    </row>
    <row r="29245" spans="1:3" x14ac:dyDescent="0.25">
      <c r="A29245" s="74">
        <v>34037</v>
      </c>
      <c r="B29245">
        <v>14.7</v>
      </c>
      <c r="C29245" t="s">
        <v>140</v>
      </c>
    </row>
    <row r="29246" spans="1:3" x14ac:dyDescent="0.25">
      <c r="A29246" s="74">
        <v>34038</v>
      </c>
      <c r="B29246">
        <v>12.8</v>
      </c>
    </row>
    <row r="29247" spans="1:3" x14ac:dyDescent="0.25">
      <c r="A29247" s="74">
        <v>34039</v>
      </c>
      <c r="B29247">
        <v>10.6</v>
      </c>
    </row>
    <row r="29248" spans="1:3" x14ac:dyDescent="0.25">
      <c r="A29248" s="74">
        <v>34040</v>
      </c>
      <c r="B29248">
        <v>9.61</v>
      </c>
    </row>
    <row r="29249" spans="1:2" x14ac:dyDescent="0.25">
      <c r="A29249" s="74">
        <v>34041</v>
      </c>
      <c r="B29249">
        <v>8.4600000000000009</v>
      </c>
    </row>
    <row r="29250" spans="1:2" x14ac:dyDescent="0.25">
      <c r="A29250" s="74">
        <v>34042</v>
      </c>
      <c r="B29250">
        <v>8.0500000000000007</v>
      </c>
    </row>
    <row r="29251" spans="1:2" x14ac:dyDescent="0.25">
      <c r="A29251" s="74">
        <v>34043</v>
      </c>
      <c r="B29251">
        <v>8.75</v>
      </c>
    </row>
    <row r="29252" spans="1:2" x14ac:dyDescent="0.25">
      <c r="A29252" s="74">
        <v>34044</v>
      </c>
      <c r="B29252">
        <v>7.94</v>
      </c>
    </row>
    <row r="29253" spans="1:2" x14ac:dyDescent="0.25">
      <c r="A29253" s="74">
        <v>34045</v>
      </c>
      <c r="B29253">
        <v>8.9</v>
      </c>
    </row>
    <row r="29254" spans="1:2" x14ac:dyDescent="0.25">
      <c r="A29254" s="74">
        <v>34046</v>
      </c>
      <c r="B29254">
        <v>12.6</v>
      </c>
    </row>
    <row r="29255" spans="1:2" x14ac:dyDescent="0.25">
      <c r="A29255" s="74">
        <v>34047</v>
      </c>
      <c r="B29255">
        <v>11.6</v>
      </c>
    </row>
    <row r="29256" spans="1:2" x14ac:dyDescent="0.25">
      <c r="A29256" s="74">
        <v>34048</v>
      </c>
      <c r="B29256">
        <v>15</v>
      </c>
    </row>
    <row r="29257" spans="1:2" x14ac:dyDescent="0.25">
      <c r="A29257" s="74">
        <v>34049</v>
      </c>
      <c r="B29257">
        <v>39.6</v>
      </c>
    </row>
    <row r="29258" spans="1:2" x14ac:dyDescent="0.25">
      <c r="A29258" s="74">
        <v>34050</v>
      </c>
      <c r="B29258">
        <v>130</v>
      </c>
    </row>
    <row r="29259" spans="1:2" x14ac:dyDescent="0.25">
      <c r="A29259" s="74">
        <v>34051</v>
      </c>
      <c r="B29259">
        <v>90</v>
      </c>
    </row>
    <row r="29260" spans="1:2" x14ac:dyDescent="0.25">
      <c r="A29260" s="74">
        <v>34052</v>
      </c>
      <c r="B29260">
        <v>41.5</v>
      </c>
    </row>
    <row r="29261" spans="1:2" x14ac:dyDescent="0.25">
      <c r="A29261" s="74">
        <v>34053</v>
      </c>
      <c r="B29261">
        <v>23.5</v>
      </c>
    </row>
    <row r="29262" spans="1:2" x14ac:dyDescent="0.25">
      <c r="A29262" s="74">
        <v>34054</v>
      </c>
      <c r="B29262">
        <v>17.100000000000001</v>
      </c>
    </row>
    <row r="29263" spans="1:2" x14ac:dyDescent="0.25">
      <c r="A29263" s="74">
        <v>34055</v>
      </c>
      <c r="B29263">
        <v>13.8</v>
      </c>
    </row>
    <row r="29264" spans="1:2" x14ac:dyDescent="0.25">
      <c r="A29264" s="74">
        <v>34056</v>
      </c>
      <c r="B29264">
        <v>11.5</v>
      </c>
    </row>
    <row r="29265" spans="1:2" x14ac:dyDescent="0.25">
      <c r="A29265" s="74">
        <v>34057</v>
      </c>
      <c r="B29265">
        <v>9.9</v>
      </c>
    </row>
    <row r="29266" spans="1:2" x14ac:dyDescent="0.25">
      <c r="A29266" s="74">
        <v>34058</v>
      </c>
      <c r="B29266">
        <v>9.2799999999999994</v>
      </c>
    </row>
    <row r="29267" spans="1:2" x14ac:dyDescent="0.25">
      <c r="A29267" s="74">
        <v>34059</v>
      </c>
      <c r="B29267">
        <v>8.3800000000000008</v>
      </c>
    </row>
    <row r="29268" spans="1:2" x14ac:dyDescent="0.25">
      <c r="A29268" s="74">
        <v>34060</v>
      </c>
      <c r="B29268">
        <v>7.95</v>
      </c>
    </row>
    <row r="29269" spans="1:2" x14ac:dyDescent="0.25">
      <c r="A29269" s="74">
        <v>34061</v>
      </c>
      <c r="B29269">
        <v>8.44</v>
      </c>
    </row>
    <row r="29270" spans="1:2" x14ac:dyDescent="0.25">
      <c r="A29270" s="74">
        <v>34062</v>
      </c>
      <c r="B29270">
        <v>8.6199999999999992</v>
      </c>
    </row>
    <row r="29271" spans="1:2" x14ac:dyDescent="0.25">
      <c r="A29271" s="74">
        <v>34063</v>
      </c>
      <c r="B29271">
        <v>8.64</v>
      </c>
    </row>
    <row r="29272" spans="1:2" x14ac:dyDescent="0.25">
      <c r="A29272" s="74">
        <v>34064</v>
      </c>
      <c r="B29272">
        <v>7.99</v>
      </c>
    </row>
    <row r="29273" spans="1:2" x14ac:dyDescent="0.25">
      <c r="A29273" s="74">
        <v>34065</v>
      </c>
      <c r="B29273">
        <v>7.85</v>
      </c>
    </row>
    <row r="29274" spans="1:2" x14ac:dyDescent="0.25">
      <c r="A29274" s="74">
        <v>34066</v>
      </c>
      <c r="B29274">
        <v>7.89</v>
      </c>
    </row>
    <row r="29275" spans="1:2" x14ac:dyDescent="0.25">
      <c r="A29275" s="74">
        <v>34067</v>
      </c>
      <c r="B29275">
        <v>15.6</v>
      </c>
    </row>
    <row r="29276" spans="1:2" x14ac:dyDescent="0.25">
      <c r="A29276" s="74">
        <v>34068</v>
      </c>
      <c r="B29276">
        <v>19.7</v>
      </c>
    </row>
    <row r="29277" spans="1:2" x14ac:dyDescent="0.25">
      <c r="A29277" s="74">
        <v>34069</v>
      </c>
      <c r="B29277">
        <v>16.100000000000001</v>
      </c>
    </row>
    <row r="29278" spans="1:2" x14ac:dyDescent="0.25">
      <c r="A29278" s="74">
        <v>34070</v>
      </c>
      <c r="B29278">
        <v>13.6</v>
      </c>
    </row>
    <row r="29279" spans="1:2" x14ac:dyDescent="0.25">
      <c r="A29279" s="74">
        <v>34071</v>
      </c>
      <c r="B29279">
        <v>11.8</v>
      </c>
    </row>
    <row r="29280" spans="1:2" x14ac:dyDescent="0.25">
      <c r="A29280" s="74">
        <v>34072</v>
      </c>
      <c r="B29280">
        <v>10.1</v>
      </c>
    </row>
    <row r="29281" spans="1:2" x14ac:dyDescent="0.25">
      <c r="A29281" s="74">
        <v>34073</v>
      </c>
      <c r="B29281">
        <v>9.07</v>
      </c>
    </row>
    <row r="29282" spans="1:2" x14ac:dyDescent="0.25">
      <c r="A29282" s="74">
        <v>34074</v>
      </c>
      <c r="B29282">
        <v>8.18</v>
      </c>
    </row>
    <row r="29283" spans="1:2" x14ac:dyDescent="0.25">
      <c r="A29283" s="74">
        <v>34075</v>
      </c>
      <c r="B29283">
        <v>8.68</v>
      </c>
    </row>
    <row r="29284" spans="1:2" x14ac:dyDescent="0.25">
      <c r="A29284" s="74">
        <v>34076</v>
      </c>
      <c r="B29284">
        <v>12.9</v>
      </c>
    </row>
    <row r="29285" spans="1:2" x14ac:dyDescent="0.25">
      <c r="A29285" s="74">
        <v>34077</v>
      </c>
      <c r="B29285">
        <v>16.399999999999999</v>
      </c>
    </row>
    <row r="29286" spans="1:2" x14ac:dyDescent="0.25">
      <c r="A29286" s="74">
        <v>34078</v>
      </c>
      <c r="B29286">
        <v>13.8</v>
      </c>
    </row>
    <row r="29287" spans="1:2" x14ac:dyDescent="0.25">
      <c r="A29287" s="74">
        <v>34079</v>
      </c>
      <c r="B29287">
        <v>12.4</v>
      </c>
    </row>
    <row r="29288" spans="1:2" x14ac:dyDescent="0.25">
      <c r="A29288" s="74">
        <v>34080</v>
      </c>
      <c r="B29288">
        <v>11.4</v>
      </c>
    </row>
    <row r="29289" spans="1:2" x14ac:dyDescent="0.25">
      <c r="A29289" s="74">
        <v>34081</v>
      </c>
      <c r="B29289">
        <v>12.7</v>
      </c>
    </row>
    <row r="29290" spans="1:2" x14ac:dyDescent="0.25">
      <c r="A29290" s="74">
        <v>34082</v>
      </c>
      <c r="B29290">
        <v>12.1</v>
      </c>
    </row>
    <row r="29291" spans="1:2" x14ac:dyDescent="0.25">
      <c r="A29291" s="74">
        <v>34083</v>
      </c>
      <c r="B29291">
        <v>11.8</v>
      </c>
    </row>
    <row r="29292" spans="1:2" x14ac:dyDescent="0.25">
      <c r="A29292" s="74">
        <v>34084</v>
      </c>
      <c r="B29292">
        <v>19.7</v>
      </c>
    </row>
    <row r="29293" spans="1:2" x14ac:dyDescent="0.25">
      <c r="A29293" s="74">
        <v>34085</v>
      </c>
      <c r="B29293">
        <v>47.2</v>
      </c>
    </row>
    <row r="29294" spans="1:2" x14ac:dyDescent="0.25">
      <c r="A29294" s="74">
        <v>34086</v>
      </c>
      <c r="B29294">
        <v>32.9</v>
      </c>
    </row>
    <row r="29295" spans="1:2" x14ac:dyDescent="0.25">
      <c r="A29295" s="74">
        <v>34087</v>
      </c>
      <c r="B29295">
        <v>21.3</v>
      </c>
    </row>
    <row r="29296" spans="1:2" x14ac:dyDescent="0.25">
      <c r="A29296" s="74">
        <v>34088</v>
      </c>
      <c r="B29296">
        <v>16.899999999999999</v>
      </c>
    </row>
    <row r="29297" spans="1:2" x14ac:dyDescent="0.25">
      <c r="A29297" s="74">
        <v>34089</v>
      </c>
      <c r="B29297">
        <v>14.2</v>
      </c>
    </row>
    <row r="29298" spans="1:2" x14ac:dyDescent="0.25">
      <c r="A29298" s="74">
        <v>34090</v>
      </c>
      <c r="B29298">
        <v>12.7</v>
      </c>
    </row>
    <row r="29299" spans="1:2" x14ac:dyDescent="0.25">
      <c r="A29299" s="74">
        <v>34091</v>
      </c>
      <c r="B29299">
        <v>12.9</v>
      </c>
    </row>
    <row r="29300" spans="1:2" x14ac:dyDescent="0.25">
      <c r="A29300" s="74">
        <v>34092</v>
      </c>
      <c r="B29300">
        <v>12.1</v>
      </c>
    </row>
    <row r="29301" spans="1:2" x14ac:dyDescent="0.25">
      <c r="A29301" s="74">
        <v>34093</v>
      </c>
      <c r="B29301">
        <v>11.2</v>
      </c>
    </row>
    <row r="29302" spans="1:2" x14ac:dyDescent="0.25">
      <c r="A29302" s="74">
        <v>34094</v>
      </c>
      <c r="B29302">
        <v>10.8</v>
      </c>
    </row>
    <row r="29303" spans="1:2" x14ac:dyDescent="0.25">
      <c r="A29303" s="74">
        <v>34095</v>
      </c>
      <c r="B29303">
        <v>12.5</v>
      </c>
    </row>
    <row r="29304" spans="1:2" x14ac:dyDescent="0.25">
      <c r="A29304" s="74">
        <v>34096</v>
      </c>
      <c r="B29304">
        <v>11.9</v>
      </c>
    </row>
    <row r="29305" spans="1:2" x14ac:dyDescent="0.25">
      <c r="A29305" s="74">
        <v>34097</v>
      </c>
      <c r="B29305">
        <v>11.3</v>
      </c>
    </row>
    <row r="29306" spans="1:2" x14ac:dyDescent="0.25">
      <c r="A29306" s="74">
        <v>34098</v>
      </c>
      <c r="B29306">
        <v>9.9499999999999993</v>
      </c>
    </row>
    <row r="29307" spans="1:2" x14ac:dyDescent="0.25">
      <c r="A29307" s="74">
        <v>34099</v>
      </c>
      <c r="B29307">
        <v>11.5</v>
      </c>
    </row>
    <row r="29308" spans="1:2" x14ac:dyDescent="0.25">
      <c r="A29308" s="74">
        <v>34100</v>
      </c>
      <c r="B29308">
        <v>15.9</v>
      </c>
    </row>
    <row r="29309" spans="1:2" x14ac:dyDescent="0.25">
      <c r="A29309" s="74">
        <v>34101</v>
      </c>
      <c r="B29309">
        <v>16.2</v>
      </c>
    </row>
    <row r="29310" spans="1:2" x14ac:dyDescent="0.25">
      <c r="A29310" s="74">
        <v>34102</v>
      </c>
      <c r="B29310">
        <v>15.4</v>
      </c>
    </row>
    <row r="29311" spans="1:2" x14ac:dyDescent="0.25">
      <c r="A29311" s="74">
        <v>34103</v>
      </c>
      <c r="B29311">
        <v>13.2</v>
      </c>
    </row>
    <row r="29312" spans="1:2" x14ac:dyDescent="0.25">
      <c r="A29312" s="74">
        <v>34104</v>
      </c>
      <c r="B29312">
        <v>11.2</v>
      </c>
    </row>
    <row r="29313" spans="1:2" x14ac:dyDescent="0.25">
      <c r="A29313" s="74">
        <v>34105</v>
      </c>
      <c r="B29313">
        <v>9.61</v>
      </c>
    </row>
    <row r="29314" spans="1:2" x14ac:dyDescent="0.25">
      <c r="A29314" s="74">
        <v>34106</v>
      </c>
      <c r="B29314">
        <v>9.11</v>
      </c>
    </row>
    <row r="29315" spans="1:2" x14ac:dyDescent="0.25">
      <c r="A29315" s="74">
        <v>34107</v>
      </c>
      <c r="B29315">
        <v>9.34</v>
      </c>
    </row>
    <row r="29316" spans="1:2" x14ac:dyDescent="0.25">
      <c r="A29316" s="74">
        <v>34108</v>
      </c>
      <c r="B29316">
        <v>9.6199999999999992</v>
      </c>
    </row>
    <row r="29317" spans="1:2" x14ac:dyDescent="0.25">
      <c r="A29317" s="74">
        <v>34109</v>
      </c>
      <c r="B29317">
        <v>11.2</v>
      </c>
    </row>
    <row r="29318" spans="1:2" x14ac:dyDescent="0.25">
      <c r="A29318" s="74">
        <v>34110</v>
      </c>
      <c r="B29318">
        <v>13.2</v>
      </c>
    </row>
    <row r="29319" spans="1:2" x14ac:dyDescent="0.25">
      <c r="A29319" s="74">
        <v>34111</v>
      </c>
      <c r="B29319">
        <v>13.7</v>
      </c>
    </row>
    <row r="29320" spans="1:2" x14ac:dyDescent="0.25">
      <c r="A29320" s="74">
        <v>34112</v>
      </c>
      <c r="B29320">
        <v>11.5</v>
      </c>
    </row>
    <row r="29321" spans="1:2" x14ac:dyDescent="0.25">
      <c r="A29321" s="74">
        <v>34113</v>
      </c>
      <c r="B29321">
        <v>9.86</v>
      </c>
    </row>
    <row r="29322" spans="1:2" x14ac:dyDescent="0.25">
      <c r="A29322" s="74">
        <v>34114</v>
      </c>
      <c r="B29322">
        <v>8.84</v>
      </c>
    </row>
    <row r="29323" spans="1:2" x14ac:dyDescent="0.25">
      <c r="A29323" s="74">
        <v>34115</v>
      </c>
      <c r="B29323">
        <v>7.99</v>
      </c>
    </row>
    <row r="29324" spans="1:2" x14ac:dyDescent="0.25">
      <c r="A29324" s="74">
        <v>34116</v>
      </c>
      <c r="B29324">
        <v>7.55</v>
      </c>
    </row>
    <row r="29325" spans="1:2" x14ac:dyDescent="0.25">
      <c r="A29325" s="74">
        <v>34117</v>
      </c>
      <c r="B29325">
        <v>8.14</v>
      </c>
    </row>
    <row r="29326" spans="1:2" x14ac:dyDescent="0.25">
      <c r="A29326" s="74">
        <v>34118</v>
      </c>
      <c r="B29326">
        <v>8.36</v>
      </c>
    </row>
    <row r="29327" spans="1:2" x14ac:dyDescent="0.25">
      <c r="A29327" s="74">
        <v>34119</v>
      </c>
      <c r="B29327">
        <v>7.74</v>
      </c>
    </row>
    <row r="29328" spans="1:2" x14ac:dyDescent="0.25">
      <c r="A29328" s="74">
        <v>34120</v>
      </c>
      <c r="B29328">
        <v>8.73</v>
      </c>
    </row>
    <row r="29329" spans="1:2" x14ac:dyDescent="0.25">
      <c r="A29329" s="74">
        <v>34121</v>
      </c>
      <c r="B29329">
        <v>9.66</v>
      </c>
    </row>
    <row r="29330" spans="1:2" x14ac:dyDescent="0.25">
      <c r="A29330" s="74">
        <v>34122</v>
      </c>
      <c r="B29330">
        <v>9.9700000000000006</v>
      </c>
    </row>
    <row r="29331" spans="1:2" x14ac:dyDescent="0.25">
      <c r="A29331" s="74">
        <v>34123</v>
      </c>
      <c r="B29331">
        <v>8.85</v>
      </c>
    </row>
    <row r="29332" spans="1:2" x14ac:dyDescent="0.25">
      <c r="A29332" s="74">
        <v>34124</v>
      </c>
      <c r="B29332">
        <v>8.44</v>
      </c>
    </row>
    <row r="29333" spans="1:2" x14ac:dyDescent="0.25">
      <c r="A29333" s="74">
        <v>34125</v>
      </c>
      <c r="B29333">
        <v>7.94</v>
      </c>
    </row>
    <row r="29334" spans="1:2" x14ac:dyDescent="0.25">
      <c r="A29334" s="74">
        <v>34126</v>
      </c>
      <c r="B29334">
        <v>7.05</v>
      </c>
    </row>
    <row r="29335" spans="1:2" x14ac:dyDescent="0.25">
      <c r="A29335" s="74">
        <v>34127</v>
      </c>
      <c r="B29335">
        <v>6.6</v>
      </c>
    </row>
    <row r="29336" spans="1:2" x14ac:dyDescent="0.25">
      <c r="A29336" s="74">
        <v>34128</v>
      </c>
      <c r="B29336">
        <v>5.99</v>
      </c>
    </row>
    <row r="29337" spans="1:2" x14ac:dyDescent="0.25">
      <c r="A29337" s="74">
        <v>34129</v>
      </c>
      <c r="B29337">
        <v>8.77</v>
      </c>
    </row>
    <row r="29338" spans="1:2" x14ac:dyDescent="0.25">
      <c r="A29338" s="74">
        <v>34130</v>
      </c>
      <c r="B29338">
        <v>13.1</v>
      </c>
    </row>
    <row r="29339" spans="1:2" x14ac:dyDescent="0.25">
      <c r="A29339" s="74">
        <v>34131</v>
      </c>
      <c r="B29339">
        <v>10.5</v>
      </c>
    </row>
    <row r="29340" spans="1:2" x14ac:dyDescent="0.25">
      <c r="A29340" s="74">
        <v>34132</v>
      </c>
      <c r="B29340">
        <v>8.41</v>
      </c>
    </row>
    <row r="29341" spans="1:2" x14ac:dyDescent="0.25">
      <c r="A29341" s="74">
        <v>34133</v>
      </c>
      <c r="B29341">
        <v>7.35</v>
      </c>
    </row>
    <row r="29342" spans="1:2" x14ac:dyDescent="0.25">
      <c r="A29342" s="74">
        <v>34134</v>
      </c>
      <c r="B29342">
        <v>6.9</v>
      </c>
    </row>
    <row r="29343" spans="1:2" x14ac:dyDescent="0.25">
      <c r="A29343" s="74">
        <v>34135</v>
      </c>
      <c r="B29343">
        <v>7</v>
      </c>
    </row>
    <row r="29344" spans="1:2" x14ac:dyDescent="0.25">
      <c r="A29344" s="74">
        <v>34136</v>
      </c>
      <c r="B29344">
        <v>6.96</v>
      </c>
    </row>
    <row r="29345" spans="1:2" x14ac:dyDescent="0.25">
      <c r="A29345" s="74">
        <v>34137</v>
      </c>
      <c r="B29345">
        <v>6.41</v>
      </c>
    </row>
    <row r="29346" spans="1:2" x14ac:dyDescent="0.25">
      <c r="A29346" s="74">
        <v>34138</v>
      </c>
      <c r="B29346">
        <v>5.5</v>
      </c>
    </row>
    <row r="29347" spans="1:2" x14ac:dyDescent="0.25">
      <c r="A29347" s="74">
        <v>34139</v>
      </c>
      <c r="B29347">
        <v>5</v>
      </c>
    </row>
    <row r="29348" spans="1:2" x14ac:dyDescent="0.25">
      <c r="A29348" s="74">
        <v>34140</v>
      </c>
      <c r="B29348">
        <v>4.4000000000000004</v>
      </c>
    </row>
    <row r="29349" spans="1:2" x14ac:dyDescent="0.25">
      <c r="A29349" s="74">
        <v>34141</v>
      </c>
      <c r="B29349">
        <v>4.0199999999999996</v>
      </c>
    </row>
    <row r="29350" spans="1:2" x14ac:dyDescent="0.25">
      <c r="A29350" s="74">
        <v>34142</v>
      </c>
      <c r="B29350">
        <v>3.74</v>
      </c>
    </row>
    <row r="29351" spans="1:2" x14ac:dyDescent="0.25">
      <c r="A29351" s="74">
        <v>34143</v>
      </c>
      <c r="B29351">
        <v>3.43</v>
      </c>
    </row>
    <row r="29352" spans="1:2" x14ac:dyDescent="0.25">
      <c r="A29352" s="74">
        <v>34144</v>
      </c>
      <c r="B29352">
        <v>3.18</v>
      </c>
    </row>
    <row r="29353" spans="1:2" x14ac:dyDescent="0.25">
      <c r="A29353" s="74">
        <v>34145</v>
      </c>
      <c r="B29353">
        <v>3.02</v>
      </c>
    </row>
    <row r="29354" spans="1:2" x14ac:dyDescent="0.25">
      <c r="A29354" s="74">
        <v>34146</v>
      </c>
      <c r="B29354">
        <v>2.76</v>
      </c>
    </row>
    <row r="29355" spans="1:2" x14ac:dyDescent="0.25">
      <c r="A29355" s="74">
        <v>34147</v>
      </c>
      <c r="B29355">
        <v>2.8</v>
      </c>
    </row>
    <row r="29356" spans="1:2" x14ac:dyDescent="0.25">
      <c r="A29356" s="74">
        <v>34148</v>
      </c>
      <c r="B29356">
        <v>2.63</v>
      </c>
    </row>
    <row r="29357" spans="1:2" x14ac:dyDescent="0.25">
      <c r="A29357" s="74">
        <v>34149</v>
      </c>
      <c r="B29357">
        <v>2.48</v>
      </c>
    </row>
    <row r="29358" spans="1:2" x14ac:dyDescent="0.25">
      <c r="A29358" s="74">
        <v>34150</v>
      </c>
      <c r="B29358">
        <v>2.36</v>
      </c>
    </row>
    <row r="29359" spans="1:2" x14ac:dyDescent="0.25">
      <c r="A29359" s="74">
        <v>34151</v>
      </c>
      <c r="B29359">
        <v>2.2000000000000002</v>
      </c>
    </row>
    <row r="29360" spans="1:2" x14ac:dyDescent="0.25">
      <c r="A29360" s="74">
        <v>34152</v>
      </c>
      <c r="B29360">
        <v>2.21</v>
      </c>
    </row>
    <row r="29361" spans="1:2" x14ac:dyDescent="0.25">
      <c r="A29361" s="74">
        <v>34153</v>
      </c>
      <c r="B29361">
        <v>2.0099999999999998</v>
      </c>
    </row>
    <row r="29362" spans="1:2" x14ac:dyDescent="0.25">
      <c r="A29362" s="74">
        <v>34154</v>
      </c>
      <c r="B29362">
        <v>1.85</v>
      </c>
    </row>
    <row r="29363" spans="1:2" x14ac:dyDescent="0.25">
      <c r="A29363" s="74">
        <v>34155</v>
      </c>
      <c r="B29363">
        <v>1.77</v>
      </c>
    </row>
    <row r="29364" spans="1:2" x14ac:dyDescent="0.25">
      <c r="A29364" s="74">
        <v>34156</v>
      </c>
      <c r="B29364">
        <v>1.68</v>
      </c>
    </row>
    <row r="29365" spans="1:2" x14ac:dyDescent="0.25">
      <c r="A29365" s="74">
        <v>34157</v>
      </c>
      <c r="B29365">
        <v>1.6</v>
      </c>
    </row>
    <row r="29366" spans="1:2" x14ac:dyDescent="0.25">
      <c r="A29366" s="74">
        <v>34158</v>
      </c>
      <c r="B29366">
        <v>1.55</v>
      </c>
    </row>
    <row r="29367" spans="1:2" x14ac:dyDescent="0.25">
      <c r="A29367" s="74">
        <v>34159</v>
      </c>
      <c r="B29367">
        <v>1.52</v>
      </c>
    </row>
    <row r="29368" spans="1:2" x14ac:dyDescent="0.25">
      <c r="A29368" s="74">
        <v>34160</v>
      </c>
      <c r="B29368">
        <v>1.47</v>
      </c>
    </row>
    <row r="29369" spans="1:2" x14ac:dyDescent="0.25">
      <c r="A29369" s="74">
        <v>34161</v>
      </c>
      <c r="B29369">
        <v>1.37</v>
      </c>
    </row>
    <row r="29370" spans="1:2" x14ac:dyDescent="0.25">
      <c r="A29370" s="74">
        <v>34162</v>
      </c>
      <c r="B29370">
        <v>1.31</v>
      </c>
    </row>
    <row r="29371" spans="1:2" x14ac:dyDescent="0.25">
      <c r="A29371" s="74">
        <v>34163</v>
      </c>
      <c r="B29371">
        <v>1.34</v>
      </c>
    </row>
    <row r="29372" spans="1:2" x14ac:dyDescent="0.25">
      <c r="A29372" s="74">
        <v>34164</v>
      </c>
      <c r="B29372">
        <v>1.28</v>
      </c>
    </row>
    <row r="29373" spans="1:2" x14ac:dyDescent="0.25">
      <c r="A29373" s="74">
        <v>34165</v>
      </c>
      <c r="B29373">
        <v>1.34</v>
      </c>
    </row>
    <row r="29374" spans="1:2" x14ac:dyDescent="0.25">
      <c r="A29374" s="74">
        <v>34166</v>
      </c>
      <c r="B29374">
        <v>1.29</v>
      </c>
    </row>
    <row r="29375" spans="1:2" x14ac:dyDescent="0.25">
      <c r="A29375" s="74">
        <v>34167</v>
      </c>
      <c r="B29375">
        <v>1.24</v>
      </c>
    </row>
    <row r="29376" spans="1:2" x14ac:dyDescent="0.25">
      <c r="A29376" s="74">
        <v>34168</v>
      </c>
      <c r="B29376">
        <v>1.19</v>
      </c>
    </row>
    <row r="29377" spans="1:2" x14ac:dyDescent="0.25">
      <c r="A29377" s="74">
        <v>34169</v>
      </c>
      <c r="B29377">
        <v>1.24</v>
      </c>
    </row>
    <row r="29378" spans="1:2" x14ac:dyDescent="0.25">
      <c r="A29378" s="74">
        <v>34170</v>
      </c>
      <c r="B29378">
        <v>1.19</v>
      </c>
    </row>
    <row r="29379" spans="1:2" x14ac:dyDescent="0.25">
      <c r="A29379" s="74">
        <v>34171</v>
      </c>
      <c r="B29379">
        <v>1.2</v>
      </c>
    </row>
    <row r="29380" spans="1:2" x14ac:dyDescent="0.25">
      <c r="A29380" s="74">
        <v>34172</v>
      </c>
      <c r="B29380">
        <v>1.1100000000000001</v>
      </c>
    </row>
    <row r="29381" spans="1:2" x14ac:dyDescent="0.25">
      <c r="A29381" s="74">
        <v>34173</v>
      </c>
      <c r="B29381">
        <v>1.1000000000000001</v>
      </c>
    </row>
    <row r="29382" spans="1:2" x14ac:dyDescent="0.25">
      <c r="A29382" s="74">
        <v>34174</v>
      </c>
      <c r="B29382">
        <v>1.01</v>
      </c>
    </row>
    <row r="29383" spans="1:2" x14ac:dyDescent="0.25">
      <c r="A29383" s="74">
        <v>34175</v>
      </c>
      <c r="B29383">
        <v>1.01</v>
      </c>
    </row>
    <row r="29384" spans="1:2" x14ac:dyDescent="0.25">
      <c r="A29384" s="74">
        <v>34176</v>
      </c>
      <c r="B29384">
        <v>1</v>
      </c>
    </row>
    <row r="29385" spans="1:2" x14ac:dyDescent="0.25">
      <c r="A29385" s="74">
        <v>34177</v>
      </c>
      <c r="B29385">
        <v>0.91400000000000003</v>
      </c>
    </row>
    <row r="29386" spans="1:2" x14ac:dyDescent="0.25">
      <c r="A29386" s="74">
        <v>34178</v>
      </c>
      <c r="B29386">
        <v>0.85899999999999999</v>
      </c>
    </row>
    <row r="29387" spans="1:2" x14ac:dyDescent="0.25">
      <c r="A29387" s="74">
        <v>34179</v>
      </c>
      <c r="B29387">
        <v>0.84</v>
      </c>
    </row>
    <row r="29388" spans="1:2" x14ac:dyDescent="0.25">
      <c r="A29388" s="74">
        <v>34180</v>
      </c>
      <c r="B29388">
        <v>0.85</v>
      </c>
    </row>
    <row r="29389" spans="1:2" x14ac:dyDescent="0.25">
      <c r="A29389" s="74">
        <v>34181</v>
      </c>
      <c r="B29389">
        <v>0.90100000000000002</v>
      </c>
    </row>
    <row r="29390" spans="1:2" x14ac:dyDescent="0.25">
      <c r="A29390" s="74">
        <v>34182</v>
      </c>
      <c r="B29390">
        <v>0.90300000000000002</v>
      </c>
    </row>
    <row r="29391" spans="1:2" x14ac:dyDescent="0.25">
      <c r="A29391" s="74">
        <v>34183</v>
      </c>
      <c r="B29391">
        <v>0.85399999999999998</v>
      </c>
    </row>
    <row r="29392" spans="1:2" x14ac:dyDescent="0.25">
      <c r="A29392" s="74">
        <v>34184</v>
      </c>
      <c r="B29392">
        <v>0.84199999999999997</v>
      </c>
    </row>
    <row r="29393" spans="1:2" x14ac:dyDescent="0.25">
      <c r="A29393" s="74">
        <v>34185</v>
      </c>
      <c r="B29393">
        <v>0.82</v>
      </c>
    </row>
    <row r="29394" spans="1:2" x14ac:dyDescent="0.25">
      <c r="A29394" s="74">
        <v>34186</v>
      </c>
      <c r="B29394">
        <v>0.73299999999999998</v>
      </c>
    </row>
    <row r="29395" spans="1:2" x14ac:dyDescent="0.25">
      <c r="A29395" s="74">
        <v>34187</v>
      </c>
      <c r="B29395">
        <v>0.64800000000000002</v>
      </c>
    </row>
    <row r="29396" spans="1:2" x14ac:dyDescent="0.25">
      <c r="A29396" s="74">
        <v>34188</v>
      </c>
      <c r="B29396">
        <v>0.56699999999999995</v>
      </c>
    </row>
    <row r="29397" spans="1:2" x14ac:dyDescent="0.25">
      <c r="A29397" s="74">
        <v>34189</v>
      </c>
      <c r="B29397">
        <v>0.52700000000000002</v>
      </c>
    </row>
    <row r="29398" spans="1:2" x14ac:dyDescent="0.25">
      <c r="A29398" s="74">
        <v>34190</v>
      </c>
      <c r="B29398">
        <v>0.54100000000000004</v>
      </c>
    </row>
    <row r="29399" spans="1:2" x14ac:dyDescent="0.25">
      <c r="A29399" s="74">
        <v>34191</v>
      </c>
      <c r="B29399">
        <v>0.52800000000000002</v>
      </c>
    </row>
    <row r="29400" spans="1:2" x14ac:dyDescent="0.25">
      <c r="A29400" s="74">
        <v>34192</v>
      </c>
      <c r="B29400">
        <v>0.55500000000000005</v>
      </c>
    </row>
    <row r="29401" spans="1:2" x14ac:dyDescent="0.25">
      <c r="A29401" s="74">
        <v>34193</v>
      </c>
      <c r="B29401">
        <v>0.58699999999999997</v>
      </c>
    </row>
    <row r="29402" spans="1:2" x14ac:dyDescent="0.25">
      <c r="A29402" s="74">
        <v>34194</v>
      </c>
      <c r="B29402">
        <v>0.65500000000000003</v>
      </c>
    </row>
    <row r="29403" spans="1:2" x14ac:dyDescent="0.25">
      <c r="A29403" s="74">
        <v>34195</v>
      </c>
      <c r="B29403">
        <v>0.57899999999999996</v>
      </c>
    </row>
    <row r="29404" spans="1:2" x14ac:dyDescent="0.25">
      <c r="A29404" s="74">
        <v>34196</v>
      </c>
      <c r="B29404">
        <v>0.47</v>
      </c>
    </row>
    <row r="29405" spans="1:2" x14ac:dyDescent="0.25">
      <c r="A29405" s="74">
        <v>34197</v>
      </c>
      <c r="B29405">
        <v>0.51700000000000002</v>
      </c>
    </row>
    <row r="29406" spans="1:2" x14ac:dyDescent="0.25">
      <c r="A29406" s="74">
        <v>34198</v>
      </c>
      <c r="B29406">
        <v>0.57999999999999996</v>
      </c>
    </row>
    <row r="29407" spans="1:2" x14ac:dyDescent="0.25">
      <c r="A29407" s="74">
        <v>34199</v>
      </c>
      <c r="B29407">
        <v>0.46700000000000003</v>
      </c>
    </row>
    <row r="29408" spans="1:2" x14ac:dyDescent="0.25">
      <c r="A29408" s="74">
        <v>34200</v>
      </c>
      <c r="B29408">
        <v>0.41299999999999998</v>
      </c>
    </row>
    <row r="29409" spans="1:2" x14ac:dyDescent="0.25">
      <c r="A29409" s="74">
        <v>34201</v>
      </c>
      <c r="B29409">
        <v>0.38700000000000001</v>
      </c>
    </row>
    <row r="29410" spans="1:2" x14ac:dyDescent="0.25">
      <c r="A29410" s="74">
        <v>34202</v>
      </c>
      <c r="B29410">
        <v>0.36699999999999999</v>
      </c>
    </row>
    <row r="29411" spans="1:2" x14ac:dyDescent="0.25">
      <c r="A29411" s="74">
        <v>34203</v>
      </c>
      <c r="B29411">
        <v>0.34</v>
      </c>
    </row>
    <row r="29412" spans="1:2" x14ac:dyDescent="0.25">
      <c r="A29412" s="74">
        <v>34204</v>
      </c>
      <c r="B29412">
        <v>0.28699999999999998</v>
      </c>
    </row>
    <row r="29413" spans="1:2" x14ac:dyDescent="0.25">
      <c r="A29413" s="74">
        <v>34205</v>
      </c>
      <c r="B29413">
        <v>0.31900000000000001</v>
      </c>
    </row>
    <row r="29414" spans="1:2" x14ac:dyDescent="0.25">
      <c r="A29414" s="74">
        <v>34206</v>
      </c>
      <c r="B29414">
        <v>0.29899999999999999</v>
      </c>
    </row>
    <row r="29415" spans="1:2" x14ac:dyDescent="0.25">
      <c r="A29415" s="74">
        <v>34207</v>
      </c>
      <c r="B29415">
        <v>0.27100000000000002</v>
      </c>
    </row>
    <row r="29416" spans="1:2" x14ac:dyDescent="0.25">
      <c r="A29416" s="74">
        <v>34208</v>
      </c>
      <c r="B29416">
        <v>0.249</v>
      </c>
    </row>
    <row r="29417" spans="1:2" x14ac:dyDescent="0.25">
      <c r="A29417" s="74">
        <v>34209</v>
      </c>
      <c r="B29417">
        <v>0.26600000000000001</v>
      </c>
    </row>
    <row r="29418" spans="1:2" x14ac:dyDescent="0.25">
      <c r="A29418" s="74">
        <v>34210</v>
      </c>
      <c r="B29418">
        <v>0.26700000000000002</v>
      </c>
    </row>
    <row r="29419" spans="1:2" x14ac:dyDescent="0.25">
      <c r="A29419" s="74">
        <v>34211</v>
      </c>
      <c r="B29419">
        <v>0.30599999999999999</v>
      </c>
    </row>
    <row r="29420" spans="1:2" x14ac:dyDescent="0.25">
      <c r="A29420" s="74">
        <v>34212</v>
      </c>
      <c r="B29420">
        <v>0.30599999999999999</v>
      </c>
    </row>
    <row r="29421" spans="1:2" x14ac:dyDescent="0.25">
      <c r="A29421" s="74">
        <v>34213</v>
      </c>
      <c r="B29421">
        <v>0.36299999999999999</v>
      </c>
    </row>
    <row r="29422" spans="1:2" x14ac:dyDescent="0.25">
      <c r="A29422" s="74">
        <v>34214</v>
      </c>
      <c r="B29422">
        <v>0.34</v>
      </c>
    </row>
    <row r="29423" spans="1:2" x14ac:dyDescent="0.25">
      <c r="A29423" s="74">
        <v>34215</v>
      </c>
      <c r="B29423">
        <v>0.314</v>
      </c>
    </row>
    <row r="29424" spans="1:2" x14ac:dyDescent="0.25">
      <c r="A29424" s="74">
        <v>34216</v>
      </c>
      <c r="B29424">
        <v>0.33100000000000002</v>
      </c>
    </row>
    <row r="29425" spans="1:2" x14ac:dyDescent="0.25">
      <c r="A29425" s="74">
        <v>34217</v>
      </c>
      <c r="B29425">
        <v>0.33800000000000002</v>
      </c>
    </row>
    <row r="29426" spans="1:2" x14ac:dyDescent="0.25">
      <c r="A29426" s="74">
        <v>34218</v>
      </c>
      <c r="B29426">
        <v>0.308</v>
      </c>
    </row>
    <row r="29427" spans="1:2" x14ac:dyDescent="0.25">
      <c r="A29427" s="74">
        <v>34219</v>
      </c>
      <c r="B29427">
        <v>0.26400000000000001</v>
      </c>
    </row>
    <row r="29428" spans="1:2" x14ac:dyDescent="0.25">
      <c r="A29428" s="74">
        <v>34220</v>
      </c>
      <c r="B29428">
        <v>0.32100000000000001</v>
      </c>
    </row>
    <row r="29429" spans="1:2" x14ac:dyDescent="0.25">
      <c r="A29429" s="74">
        <v>34221</v>
      </c>
      <c r="B29429">
        <v>0.312</v>
      </c>
    </row>
    <row r="29430" spans="1:2" x14ac:dyDescent="0.25">
      <c r="A29430" s="74">
        <v>34222</v>
      </c>
      <c r="B29430">
        <v>0.28499999999999998</v>
      </c>
    </row>
    <row r="29431" spans="1:2" x14ac:dyDescent="0.25">
      <c r="A29431" s="74">
        <v>34223</v>
      </c>
      <c r="B29431">
        <v>0.24299999999999999</v>
      </c>
    </row>
    <row r="29432" spans="1:2" x14ac:dyDescent="0.25">
      <c r="A29432" s="74">
        <v>34224</v>
      </c>
      <c r="B29432">
        <v>0.221</v>
      </c>
    </row>
    <row r="29433" spans="1:2" x14ac:dyDescent="0.25">
      <c r="A29433" s="74">
        <v>34225</v>
      </c>
      <c r="B29433">
        <v>0.23499999999999999</v>
      </c>
    </row>
    <row r="29434" spans="1:2" x14ac:dyDescent="0.25">
      <c r="A29434" s="74">
        <v>34226</v>
      </c>
      <c r="B29434">
        <v>0.21299999999999999</v>
      </c>
    </row>
    <row r="29435" spans="1:2" x14ac:dyDescent="0.25">
      <c r="A29435" s="74">
        <v>34227</v>
      </c>
      <c r="B29435">
        <v>0.245</v>
      </c>
    </row>
    <row r="29436" spans="1:2" x14ac:dyDescent="0.25">
      <c r="A29436" s="74">
        <v>34228</v>
      </c>
      <c r="B29436">
        <v>0.245</v>
      </c>
    </row>
    <row r="29437" spans="1:2" x14ac:dyDescent="0.25">
      <c r="A29437" s="74">
        <v>34229</v>
      </c>
      <c r="B29437">
        <v>0.223</v>
      </c>
    </row>
    <row r="29438" spans="1:2" x14ac:dyDescent="0.25">
      <c r="A29438" s="74">
        <v>34230</v>
      </c>
      <c r="B29438">
        <v>0.23300000000000001</v>
      </c>
    </row>
    <row r="29439" spans="1:2" x14ac:dyDescent="0.25">
      <c r="A29439" s="74">
        <v>34231</v>
      </c>
      <c r="B29439">
        <v>0.214</v>
      </c>
    </row>
    <row r="29440" spans="1:2" x14ac:dyDescent="0.25">
      <c r="A29440" s="74">
        <v>34232</v>
      </c>
      <c r="B29440">
        <v>0.17199999999999999</v>
      </c>
    </row>
    <row r="29441" spans="1:2" x14ac:dyDescent="0.25">
      <c r="A29441" s="74">
        <v>34233</v>
      </c>
      <c r="B29441">
        <v>0.19600000000000001</v>
      </c>
    </row>
    <row r="29442" spans="1:2" x14ac:dyDescent="0.25">
      <c r="A29442" s="74">
        <v>34234</v>
      </c>
      <c r="B29442">
        <v>0.24099999999999999</v>
      </c>
    </row>
    <row r="29443" spans="1:2" x14ac:dyDescent="0.25">
      <c r="A29443" s="74">
        <v>34235</v>
      </c>
      <c r="B29443">
        <v>0.22500000000000001</v>
      </c>
    </row>
    <row r="29444" spans="1:2" x14ac:dyDescent="0.25">
      <c r="A29444" s="74">
        <v>34236</v>
      </c>
      <c r="B29444">
        <v>0.22</v>
      </c>
    </row>
    <row r="29445" spans="1:2" x14ac:dyDescent="0.25">
      <c r="A29445" s="74">
        <v>34237</v>
      </c>
      <c r="B29445">
        <v>0.23499999999999999</v>
      </c>
    </row>
    <row r="29446" spans="1:2" x14ac:dyDescent="0.25">
      <c r="A29446" s="74">
        <v>34238</v>
      </c>
      <c r="B29446">
        <v>0.223</v>
      </c>
    </row>
    <row r="29447" spans="1:2" x14ac:dyDescent="0.25">
      <c r="A29447" s="74">
        <v>34239</v>
      </c>
      <c r="B29447">
        <v>0.217</v>
      </c>
    </row>
    <row r="29448" spans="1:2" x14ac:dyDescent="0.25">
      <c r="A29448" s="74">
        <v>34240</v>
      </c>
      <c r="B29448">
        <v>0.16600000000000001</v>
      </c>
    </row>
    <row r="29449" spans="1:2" x14ac:dyDescent="0.25">
      <c r="A29449" s="74">
        <v>34241</v>
      </c>
      <c r="B29449">
        <v>0.161</v>
      </c>
    </row>
    <row r="29450" spans="1:2" x14ac:dyDescent="0.25">
      <c r="A29450" s="74">
        <v>34242</v>
      </c>
      <c r="B29450">
        <v>0.14399999999999999</v>
      </c>
    </row>
    <row r="29451" spans="1:2" x14ac:dyDescent="0.25">
      <c r="A29451" s="74">
        <v>34243</v>
      </c>
      <c r="B29451">
        <v>0.151</v>
      </c>
    </row>
    <row r="29452" spans="1:2" x14ac:dyDescent="0.25">
      <c r="A29452" s="74">
        <v>34244</v>
      </c>
      <c r="B29452">
        <v>0.155</v>
      </c>
    </row>
    <row r="29453" spans="1:2" x14ac:dyDescent="0.25">
      <c r="A29453" s="74">
        <v>34245</v>
      </c>
      <c r="B29453">
        <v>0.154</v>
      </c>
    </row>
    <row r="29454" spans="1:2" x14ac:dyDescent="0.25">
      <c r="A29454" s="74">
        <v>34246</v>
      </c>
      <c r="B29454">
        <v>0.18</v>
      </c>
    </row>
    <row r="29455" spans="1:2" x14ac:dyDescent="0.25">
      <c r="A29455" s="74">
        <v>34247</v>
      </c>
      <c r="B29455">
        <v>0.193</v>
      </c>
    </row>
    <row r="29456" spans="1:2" x14ac:dyDescent="0.25">
      <c r="A29456" s="74">
        <v>34248</v>
      </c>
      <c r="B29456">
        <v>0.19600000000000001</v>
      </c>
    </row>
    <row r="29457" spans="1:2" x14ac:dyDescent="0.25">
      <c r="A29457" s="74">
        <v>34249</v>
      </c>
      <c r="B29457">
        <v>0.216</v>
      </c>
    </row>
    <row r="29458" spans="1:2" x14ac:dyDescent="0.25">
      <c r="A29458" s="74">
        <v>34250</v>
      </c>
      <c r="B29458">
        <v>0.21299999999999999</v>
      </c>
    </row>
    <row r="29459" spans="1:2" x14ac:dyDescent="0.25">
      <c r="A29459" s="74">
        <v>34251</v>
      </c>
      <c r="B29459">
        <v>0.22</v>
      </c>
    </row>
    <row r="29460" spans="1:2" x14ac:dyDescent="0.25">
      <c r="A29460" s="74">
        <v>34252</v>
      </c>
      <c r="B29460">
        <v>0.247</v>
      </c>
    </row>
    <row r="29461" spans="1:2" x14ac:dyDescent="0.25">
      <c r="A29461" s="74">
        <v>34253</v>
      </c>
      <c r="B29461">
        <v>0.24299999999999999</v>
      </c>
    </row>
    <row r="29462" spans="1:2" x14ac:dyDescent="0.25">
      <c r="A29462" s="74">
        <v>34254</v>
      </c>
      <c r="B29462">
        <v>0.255</v>
      </c>
    </row>
    <row r="29463" spans="1:2" x14ac:dyDescent="0.25">
      <c r="A29463" s="74">
        <v>34255</v>
      </c>
      <c r="B29463">
        <v>0.26900000000000002</v>
      </c>
    </row>
    <row r="29464" spans="1:2" x14ac:dyDescent="0.25">
      <c r="A29464" s="74">
        <v>34256</v>
      </c>
      <c r="B29464">
        <v>0.313</v>
      </c>
    </row>
    <row r="29465" spans="1:2" x14ac:dyDescent="0.25">
      <c r="A29465" s="74">
        <v>34257</v>
      </c>
      <c r="B29465">
        <v>0.374</v>
      </c>
    </row>
    <row r="29466" spans="1:2" x14ac:dyDescent="0.25">
      <c r="A29466" s="74">
        <v>34258</v>
      </c>
      <c r="B29466">
        <v>0.375</v>
      </c>
    </row>
    <row r="29467" spans="1:2" x14ac:dyDescent="0.25">
      <c r="A29467" s="74">
        <v>34259</v>
      </c>
      <c r="B29467">
        <v>0.30499999999999999</v>
      </c>
    </row>
    <row r="29468" spans="1:2" x14ac:dyDescent="0.25">
      <c r="A29468" s="74">
        <v>34260</v>
      </c>
      <c r="B29468">
        <v>0.30099999999999999</v>
      </c>
    </row>
    <row r="29469" spans="1:2" x14ac:dyDescent="0.25">
      <c r="A29469" s="74">
        <v>34261</v>
      </c>
      <c r="B29469">
        <v>0.33</v>
      </c>
    </row>
    <row r="29470" spans="1:2" x14ac:dyDescent="0.25">
      <c r="A29470" s="74">
        <v>34262</v>
      </c>
      <c r="B29470">
        <v>0.29699999999999999</v>
      </c>
    </row>
    <row r="29471" spans="1:2" x14ac:dyDescent="0.25">
      <c r="A29471" s="74">
        <v>34263</v>
      </c>
      <c r="B29471">
        <v>0.35599999999999998</v>
      </c>
    </row>
    <row r="29472" spans="1:2" x14ac:dyDescent="0.25">
      <c r="A29472" s="74">
        <v>34264</v>
      </c>
      <c r="B29472">
        <v>0.79</v>
      </c>
    </row>
    <row r="29473" spans="1:2" x14ac:dyDescent="0.25">
      <c r="A29473" s="74">
        <v>34265</v>
      </c>
      <c r="B29473">
        <v>3.33</v>
      </c>
    </row>
    <row r="29474" spans="1:2" x14ac:dyDescent="0.25">
      <c r="A29474" s="74">
        <v>34266</v>
      </c>
      <c r="B29474">
        <v>9.5399999999999991</v>
      </c>
    </row>
    <row r="29475" spans="1:2" x14ac:dyDescent="0.25">
      <c r="A29475" s="74">
        <v>34267</v>
      </c>
      <c r="B29475">
        <v>4.47</v>
      </c>
    </row>
    <row r="29476" spans="1:2" x14ac:dyDescent="0.25">
      <c r="A29476" s="74">
        <v>34268</v>
      </c>
      <c r="B29476">
        <v>2.81</v>
      </c>
    </row>
    <row r="29477" spans="1:2" x14ac:dyDescent="0.25">
      <c r="A29477" s="74">
        <v>34269</v>
      </c>
      <c r="B29477">
        <v>2.2599999999999998</v>
      </c>
    </row>
    <row r="29478" spans="1:2" x14ac:dyDescent="0.25">
      <c r="A29478" s="74">
        <v>34270</v>
      </c>
      <c r="B29478">
        <v>1.93</v>
      </c>
    </row>
    <row r="29479" spans="1:2" x14ac:dyDescent="0.25">
      <c r="A29479" s="74">
        <v>34271</v>
      </c>
      <c r="B29479">
        <v>1.7</v>
      </c>
    </row>
    <row r="29480" spans="1:2" x14ac:dyDescent="0.25">
      <c r="A29480" s="74">
        <v>34272</v>
      </c>
      <c r="B29480">
        <v>1.52</v>
      </c>
    </row>
    <row r="29481" spans="1:2" x14ac:dyDescent="0.25">
      <c r="A29481" s="74">
        <v>34273</v>
      </c>
      <c r="B29481">
        <v>1.46</v>
      </c>
    </row>
    <row r="29482" spans="1:2" x14ac:dyDescent="0.25">
      <c r="A29482" s="74">
        <v>34274</v>
      </c>
      <c r="B29482">
        <v>1.34</v>
      </c>
    </row>
    <row r="29483" spans="1:2" x14ac:dyDescent="0.25">
      <c r="A29483" s="74">
        <v>34275</v>
      </c>
      <c r="B29483">
        <v>1.26</v>
      </c>
    </row>
    <row r="29484" spans="1:2" x14ac:dyDescent="0.25">
      <c r="A29484" s="74">
        <v>34276</v>
      </c>
      <c r="B29484">
        <v>3.73</v>
      </c>
    </row>
    <row r="29485" spans="1:2" x14ac:dyDescent="0.25">
      <c r="A29485" s="74">
        <v>34277</v>
      </c>
      <c r="B29485">
        <v>3.54</v>
      </c>
    </row>
    <row r="29486" spans="1:2" x14ac:dyDescent="0.25">
      <c r="A29486" s="74">
        <v>34278</v>
      </c>
      <c r="B29486">
        <v>2.67</v>
      </c>
    </row>
    <row r="29487" spans="1:2" x14ac:dyDescent="0.25">
      <c r="A29487" s="74">
        <v>34279</v>
      </c>
      <c r="B29487">
        <v>2.06</v>
      </c>
    </row>
    <row r="29488" spans="1:2" x14ac:dyDescent="0.25">
      <c r="A29488" s="74">
        <v>34280</v>
      </c>
      <c r="B29488">
        <v>1.94</v>
      </c>
    </row>
    <row r="29489" spans="1:2" x14ac:dyDescent="0.25">
      <c r="A29489" s="74">
        <v>34281</v>
      </c>
      <c r="B29489">
        <v>1.73</v>
      </c>
    </row>
    <row r="29490" spans="1:2" x14ac:dyDescent="0.25">
      <c r="A29490" s="74">
        <v>34282</v>
      </c>
      <c r="B29490">
        <v>1.69</v>
      </c>
    </row>
    <row r="29491" spans="1:2" x14ac:dyDescent="0.25">
      <c r="A29491" s="74">
        <v>34283</v>
      </c>
      <c r="B29491">
        <v>1.52</v>
      </c>
    </row>
    <row r="29492" spans="1:2" x14ac:dyDescent="0.25">
      <c r="A29492" s="74">
        <v>34284</v>
      </c>
      <c r="B29492">
        <v>1.46</v>
      </c>
    </row>
    <row r="29493" spans="1:2" x14ac:dyDescent="0.25">
      <c r="A29493" s="74">
        <v>34285</v>
      </c>
      <c r="B29493">
        <v>1.36</v>
      </c>
    </row>
    <row r="29494" spans="1:2" x14ac:dyDescent="0.25">
      <c r="A29494" s="74">
        <v>34286</v>
      </c>
      <c r="B29494">
        <v>1.36</v>
      </c>
    </row>
    <row r="29495" spans="1:2" x14ac:dyDescent="0.25">
      <c r="A29495" s="74">
        <v>34287</v>
      </c>
      <c r="B29495">
        <v>1.29</v>
      </c>
    </row>
    <row r="29496" spans="1:2" x14ac:dyDescent="0.25">
      <c r="A29496" s="74">
        <v>34288</v>
      </c>
      <c r="B29496">
        <v>2.9</v>
      </c>
    </row>
    <row r="29497" spans="1:2" x14ac:dyDescent="0.25">
      <c r="A29497" s="74">
        <v>34289</v>
      </c>
      <c r="B29497">
        <v>4.43</v>
      </c>
    </row>
    <row r="29498" spans="1:2" x14ac:dyDescent="0.25">
      <c r="A29498" s="74">
        <v>34290</v>
      </c>
      <c r="B29498">
        <v>3.55</v>
      </c>
    </row>
    <row r="29499" spans="1:2" x14ac:dyDescent="0.25">
      <c r="A29499" s="74">
        <v>34291</v>
      </c>
      <c r="B29499">
        <v>2.93</v>
      </c>
    </row>
    <row r="29500" spans="1:2" x14ac:dyDescent="0.25">
      <c r="A29500" s="74">
        <v>34292</v>
      </c>
      <c r="B29500">
        <v>2.59</v>
      </c>
    </row>
    <row r="29501" spans="1:2" x14ac:dyDescent="0.25">
      <c r="A29501" s="74">
        <v>34293</v>
      </c>
      <c r="B29501">
        <v>2.35</v>
      </c>
    </row>
    <row r="29502" spans="1:2" x14ac:dyDescent="0.25">
      <c r="A29502" s="74">
        <v>34294</v>
      </c>
      <c r="B29502">
        <v>7.07</v>
      </c>
    </row>
    <row r="29503" spans="1:2" x14ac:dyDescent="0.25">
      <c r="A29503" s="74">
        <v>34295</v>
      </c>
      <c r="B29503">
        <v>5.81</v>
      </c>
    </row>
    <row r="29504" spans="1:2" x14ac:dyDescent="0.25">
      <c r="A29504" s="74">
        <v>34296</v>
      </c>
      <c r="B29504">
        <v>4.4400000000000004</v>
      </c>
    </row>
    <row r="29505" spans="1:2" x14ac:dyDescent="0.25">
      <c r="A29505" s="74">
        <v>34297</v>
      </c>
      <c r="B29505">
        <v>3.62</v>
      </c>
    </row>
    <row r="29506" spans="1:2" x14ac:dyDescent="0.25">
      <c r="A29506" s="74">
        <v>34298</v>
      </c>
      <c r="B29506">
        <v>3.35</v>
      </c>
    </row>
    <row r="29507" spans="1:2" x14ac:dyDescent="0.25">
      <c r="A29507" s="74">
        <v>34299</v>
      </c>
      <c r="B29507">
        <v>3.06</v>
      </c>
    </row>
    <row r="29508" spans="1:2" x14ac:dyDescent="0.25">
      <c r="A29508" s="74">
        <v>34300</v>
      </c>
      <c r="B29508">
        <v>3.36</v>
      </c>
    </row>
    <row r="29509" spans="1:2" x14ac:dyDescent="0.25">
      <c r="A29509" s="74">
        <v>34301</v>
      </c>
      <c r="B29509">
        <v>4.2</v>
      </c>
    </row>
    <row r="29510" spans="1:2" x14ac:dyDescent="0.25">
      <c r="A29510" s="74">
        <v>34302</v>
      </c>
      <c r="B29510">
        <v>13.1</v>
      </c>
    </row>
    <row r="29511" spans="1:2" x14ac:dyDescent="0.25">
      <c r="A29511" s="74">
        <v>34303</v>
      </c>
      <c r="B29511">
        <v>13.9</v>
      </c>
    </row>
    <row r="29512" spans="1:2" x14ac:dyDescent="0.25">
      <c r="A29512" s="74">
        <v>34304</v>
      </c>
      <c r="B29512">
        <v>13.8</v>
      </c>
    </row>
    <row r="29513" spans="1:2" x14ac:dyDescent="0.25">
      <c r="A29513" s="74">
        <v>34305</v>
      </c>
      <c r="B29513">
        <v>14.8</v>
      </c>
    </row>
    <row r="29514" spans="1:2" x14ac:dyDescent="0.25">
      <c r="A29514" s="74">
        <v>34306</v>
      </c>
      <c r="B29514">
        <v>43.2</v>
      </c>
    </row>
    <row r="29515" spans="1:2" x14ac:dyDescent="0.25">
      <c r="A29515" s="74">
        <v>34307</v>
      </c>
      <c r="B29515">
        <v>57.1</v>
      </c>
    </row>
    <row r="29516" spans="1:2" x14ac:dyDescent="0.25">
      <c r="A29516" s="74">
        <v>34308</v>
      </c>
      <c r="B29516">
        <v>22</v>
      </c>
    </row>
    <row r="29517" spans="1:2" x14ac:dyDescent="0.25">
      <c r="A29517" s="74">
        <v>34309</v>
      </c>
      <c r="B29517">
        <v>14.7</v>
      </c>
    </row>
    <row r="29518" spans="1:2" x14ac:dyDescent="0.25">
      <c r="A29518" s="74">
        <v>34310</v>
      </c>
      <c r="B29518">
        <v>12</v>
      </c>
    </row>
    <row r="29519" spans="1:2" x14ac:dyDescent="0.25">
      <c r="A29519" s="74">
        <v>34311</v>
      </c>
      <c r="B29519">
        <v>12</v>
      </c>
    </row>
    <row r="29520" spans="1:2" x14ac:dyDescent="0.25">
      <c r="A29520" s="74">
        <v>34312</v>
      </c>
      <c r="B29520">
        <v>39.700000000000003</v>
      </c>
    </row>
    <row r="29521" spans="1:2" x14ac:dyDescent="0.25">
      <c r="A29521" s="74">
        <v>34313</v>
      </c>
      <c r="B29521">
        <v>169</v>
      </c>
    </row>
    <row r="29522" spans="1:2" x14ac:dyDescent="0.25">
      <c r="A29522" s="74">
        <v>34314</v>
      </c>
      <c r="B29522">
        <v>59.3</v>
      </c>
    </row>
    <row r="29523" spans="1:2" x14ac:dyDescent="0.25">
      <c r="A29523" s="74">
        <v>34315</v>
      </c>
      <c r="B29523">
        <v>34.6</v>
      </c>
    </row>
    <row r="29524" spans="1:2" x14ac:dyDescent="0.25">
      <c r="A29524" s="74">
        <v>34316</v>
      </c>
      <c r="B29524">
        <v>86.2</v>
      </c>
    </row>
    <row r="29525" spans="1:2" x14ac:dyDescent="0.25">
      <c r="A29525" s="74">
        <v>34317</v>
      </c>
      <c r="B29525">
        <v>55.7</v>
      </c>
    </row>
    <row r="29526" spans="1:2" x14ac:dyDescent="0.25">
      <c r="A29526" s="74">
        <v>34318</v>
      </c>
      <c r="B29526">
        <v>27</v>
      </c>
    </row>
    <row r="29527" spans="1:2" x14ac:dyDescent="0.25">
      <c r="A29527" s="74">
        <v>34319</v>
      </c>
      <c r="B29527">
        <v>18.399999999999999</v>
      </c>
    </row>
    <row r="29528" spans="1:2" x14ac:dyDescent="0.25">
      <c r="A29528" s="74">
        <v>34320</v>
      </c>
      <c r="B29528">
        <v>14.3</v>
      </c>
    </row>
    <row r="29529" spans="1:2" x14ac:dyDescent="0.25">
      <c r="A29529" s="74">
        <v>34321</v>
      </c>
      <c r="B29529">
        <v>11.8</v>
      </c>
    </row>
    <row r="29530" spans="1:2" x14ac:dyDescent="0.25">
      <c r="A29530" s="74">
        <v>34322</v>
      </c>
      <c r="B29530">
        <v>10.3</v>
      </c>
    </row>
    <row r="29531" spans="1:2" x14ac:dyDescent="0.25">
      <c r="A29531" s="74">
        <v>34323</v>
      </c>
      <c r="B29531">
        <v>9.1199999999999992</v>
      </c>
    </row>
    <row r="29532" spans="1:2" x14ac:dyDescent="0.25">
      <c r="A29532" s="74">
        <v>34324</v>
      </c>
      <c r="B29532">
        <v>8.0299999999999994</v>
      </c>
    </row>
    <row r="29533" spans="1:2" x14ac:dyDescent="0.25">
      <c r="A29533" s="74">
        <v>34325</v>
      </c>
      <c r="B29533">
        <v>7.09</v>
      </c>
    </row>
    <row r="29534" spans="1:2" x14ac:dyDescent="0.25">
      <c r="A29534" s="74">
        <v>34326</v>
      </c>
      <c r="B29534">
        <v>6.39</v>
      </c>
    </row>
    <row r="29535" spans="1:2" x14ac:dyDescent="0.25">
      <c r="A29535" s="74">
        <v>34327</v>
      </c>
      <c r="B29535">
        <v>5.8</v>
      </c>
    </row>
    <row r="29536" spans="1:2" x14ac:dyDescent="0.25">
      <c r="A29536" s="74">
        <v>34328</v>
      </c>
      <c r="B29536">
        <v>5.35</v>
      </c>
    </row>
    <row r="29537" spans="1:3" x14ac:dyDescent="0.25">
      <c r="A29537" s="74">
        <v>34329</v>
      </c>
      <c r="B29537">
        <v>4.76</v>
      </c>
    </row>
    <row r="29538" spans="1:3" x14ac:dyDescent="0.25">
      <c r="A29538" s="74">
        <v>34330</v>
      </c>
      <c r="B29538">
        <v>4.6399999999999997</v>
      </c>
    </row>
    <row r="29539" spans="1:3" x14ac:dyDescent="0.25">
      <c r="A29539" s="74">
        <v>34331</v>
      </c>
      <c r="B29539">
        <v>4.5</v>
      </c>
    </row>
    <row r="29540" spans="1:3" x14ac:dyDescent="0.25">
      <c r="A29540" s="74">
        <v>34332</v>
      </c>
      <c r="B29540">
        <v>4.32</v>
      </c>
    </row>
    <row r="29541" spans="1:3" x14ac:dyDescent="0.25">
      <c r="A29541" s="74">
        <v>34333</v>
      </c>
      <c r="B29541">
        <v>6.8</v>
      </c>
    </row>
    <row r="29542" spans="1:3" x14ac:dyDescent="0.25">
      <c r="A29542" s="74">
        <v>34334</v>
      </c>
      <c r="B29542">
        <v>9.0500000000000007</v>
      </c>
    </row>
    <row r="29543" spans="1:3" x14ac:dyDescent="0.25">
      <c r="A29543" s="74">
        <v>34335</v>
      </c>
      <c r="B29543">
        <v>20.5</v>
      </c>
    </row>
    <row r="29544" spans="1:3" x14ac:dyDescent="0.25">
      <c r="A29544" s="74">
        <v>34336</v>
      </c>
      <c r="B29544">
        <v>24.7</v>
      </c>
    </row>
    <row r="29545" spans="1:3" x14ac:dyDescent="0.25">
      <c r="A29545" s="74">
        <v>34337</v>
      </c>
      <c r="B29545">
        <v>26</v>
      </c>
    </row>
    <row r="29546" spans="1:3" x14ac:dyDescent="0.25">
      <c r="A29546" s="74">
        <v>34338</v>
      </c>
      <c r="B29546">
        <v>121</v>
      </c>
    </row>
    <row r="29547" spans="1:3" x14ac:dyDescent="0.25">
      <c r="A29547" s="74">
        <v>34339</v>
      </c>
      <c r="B29547">
        <v>59.9</v>
      </c>
    </row>
    <row r="29548" spans="1:3" x14ac:dyDescent="0.25">
      <c r="A29548" s="74">
        <v>34340</v>
      </c>
      <c r="B29548">
        <v>29</v>
      </c>
    </row>
    <row r="29549" spans="1:3" x14ac:dyDescent="0.25">
      <c r="A29549" s="74">
        <v>34341</v>
      </c>
      <c r="B29549">
        <v>19.8</v>
      </c>
    </row>
    <row r="29550" spans="1:3" x14ac:dyDescent="0.25">
      <c r="A29550" s="74">
        <v>34342</v>
      </c>
      <c r="B29550">
        <v>17.100000000000001</v>
      </c>
    </row>
    <row r="29551" spans="1:3" x14ac:dyDescent="0.25">
      <c r="A29551" s="74">
        <v>34343</v>
      </c>
      <c r="B29551">
        <v>16.2</v>
      </c>
    </row>
    <row r="29552" spans="1:3" x14ac:dyDescent="0.25">
      <c r="A29552" s="74">
        <v>34344</v>
      </c>
      <c r="B29552">
        <v>15.2</v>
      </c>
      <c r="C29552" t="s">
        <v>140</v>
      </c>
    </row>
    <row r="29553" spans="1:3" x14ac:dyDescent="0.25">
      <c r="A29553" s="74">
        <v>34345</v>
      </c>
      <c r="B29553">
        <v>15</v>
      </c>
      <c r="C29553" t="s">
        <v>141</v>
      </c>
    </row>
    <row r="29554" spans="1:3" x14ac:dyDescent="0.25">
      <c r="A29554" s="74">
        <v>34346</v>
      </c>
      <c r="B29554">
        <v>14.7</v>
      </c>
      <c r="C29554" t="s">
        <v>141</v>
      </c>
    </row>
    <row r="29555" spans="1:3" x14ac:dyDescent="0.25">
      <c r="A29555" s="74">
        <v>34347</v>
      </c>
      <c r="B29555">
        <v>13.8</v>
      </c>
      <c r="C29555" t="s">
        <v>140</v>
      </c>
    </row>
    <row r="29556" spans="1:3" x14ac:dyDescent="0.25">
      <c r="A29556" s="74">
        <v>34348</v>
      </c>
      <c r="B29556">
        <v>25.5</v>
      </c>
      <c r="C29556" t="s">
        <v>141</v>
      </c>
    </row>
    <row r="29557" spans="1:3" x14ac:dyDescent="0.25">
      <c r="A29557" s="74">
        <v>34349</v>
      </c>
      <c r="B29557">
        <v>29.8</v>
      </c>
      <c r="C29557" t="s">
        <v>141</v>
      </c>
    </row>
    <row r="29558" spans="1:3" x14ac:dyDescent="0.25">
      <c r="A29558" s="74">
        <v>34350</v>
      </c>
      <c r="B29558">
        <v>20.9</v>
      </c>
      <c r="C29558" t="s">
        <v>141</v>
      </c>
    </row>
    <row r="29559" spans="1:3" x14ac:dyDescent="0.25">
      <c r="A29559" s="74">
        <v>34351</v>
      </c>
      <c r="B29559">
        <v>16.2</v>
      </c>
      <c r="C29559" t="s">
        <v>141</v>
      </c>
    </row>
    <row r="29560" spans="1:3" x14ac:dyDescent="0.25">
      <c r="A29560" s="74">
        <v>34352</v>
      </c>
      <c r="B29560">
        <v>13.3</v>
      </c>
      <c r="C29560" t="s">
        <v>141</v>
      </c>
    </row>
    <row r="29561" spans="1:3" x14ac:dyDescent="0.25">
      <c r="A29561" s="74">
        <v>34353</v>
      </c>
      <c r="B29561">
        <v>12.4</v>
      </c>
      <c r="C29561" t="s">
        <v>141</v>
      </c>
    </row>
    <row r="29562" spans="1:3" x14ac:dyDescent="0.25">
      <c r="A29562" s="74">
        <v>34354</v>
      </c>
      <c r="B29562">
        <v>11.8</v>
      </c>
      <c r="C29562" t="s">
        <v>141</v>
      </c>
    </row>
    <row r="29563" spans="1:3" x14ac:dyDescent="0.25">
      <c r="A29563" s="74">
        <v>34355</v>
      </c>
      <c r="B29563">
        <v>11.6</v>
      </c>
      <c r="C29563" t="s">
        <v>141</v>
      </c>
    </row>
    <row r="29564" spans="1:3" x14ac:dyDescent="0.25">
      <c r="A29564" s="74">
        <v>34356</v>
      </c>
      <c r="B29564">
        <v>26.2</v>
      </c>
      <c r="C29564" t="s">
        <v>141</v>
      </c>
    </row>
    <row r="29565" spans="1:3" x14ac:dyDescent="0.25">
      <c r="A29565" s="74">
        <v>34357</v>
      </c>
      <c r="B29565">
        <v>47.1</v>
      </c>
      <c r="C29565" t="s">
        <v>141</v>
      </c>
    </row>
    <row r="29566" spans="1:3" x14ac:dyDescent="0.25">
      <c r="A29566" s="74">
        <v>34358</v>
      </c>
      <c r="B29566">
        <v>54.2</v>
      </c>
      <c r="C29566" t="s">
        <v>141</v>
      </c>
    </row>
    <row r="29567" spans="1:3" x14ac:dyDescent="0.25">
      <c r="A29567" s="74">
        <v>34359</v>
      </c>
      <c r="B29567">
        <v>33.5</v>
      </c>
      <c r="C29567" t="s">
        <v>141</v>
      </c>
    </row>
    <row r="29568" spans="1:3" x14ac:dyDescent="0.25">
      <c r="A29568" s="74">
        <v>34360</v>
      </c>
      <c r="B29568">
        <v>19.899999999999999</v>
      </c>
      <c r="C29568" t="s">
        <v>141</v>
      </c>
    </row>
    <row r="29569" spans="1:3" x14ac:dyDescent="0.25">
      <c r="A29569" s="74">
        <v>34361</v>
      </c>
      <c r="B29569">
        <v>17.899999999999999</v>
      </c>
      <c r="C29569" t="s">
        <v>141</v>
      </c>
    </row>
    <row r="29570" spans="1:3" x14ac:dyDescent="0.25">
      <c r="A29570" s="74">
        <v>34362</v>
      </c>
      <c r="B29570">
        <v>16.399999999999999</v>
      </c>
      <c r="C29570" t="s">
        <v>141</v>
      </c>
    </row>
    <row r="29571" spans="1:3" x14ac:dyDescent="0.25">
      <c r="A29571" s="74">
        <v>34363</v>
      </c>
      <c r="B29571">
        <v>15.9</v>
      </c>
      <c r="C29571" t="s">
        <v>141</v>
      </c>
    </row>
    <row r="29572" spans="1:3" x14ac:dyDescent="0.25">
      <c r="A29572" s="74">
        <v>34364</v>
      </c>
      <c r="B29572">
        <v>14.7</v>
      </c>
      <c r="C29572" t="s">
        <v>141</v>
      </c>
    </row>
    <row r="29573" spans="1:3" x14ac:dyDescent="0.25">
      <c r="A29573" s="74">
        <v>34365</v>
      </c>
      <c r="B29573">
        <v>14.2</v>
      </c>
      <c r="C29573" t="s">
        <v>141</v>
      </c>
    </row>
    <row r="29574" spans="1:3" x14ac:dyDescent="0.25">
      <c r="A29574" s="74">
        <v>34366</v>
      </c>
      <c r="B29574">
        <v>13.8</v>
      </c>
      <c r="C29574" t="s">
        <v>141</v>
      </c>
    </row>
    <row r="29575" spans="1:3" x14ac:dyDescent="0.25">
      <c r="A29575" s="74">
        <v>34367</v>
      </c>
      <c r="B29575">
        <v>12.8</v>
      </c>
      <c r="C29575" t="s">
        <v>141</v>
      </c>
    </row>
    <row r="29576" spans="1:3" x14ac:dyDescent="0.25">
      <c r="A29576" s="74">
        <v>34368</v>
      </c>
      <c r="B29576">
        <v>12.2</v>
      </c>
      <c r="C29576" t="s">
        <v>141</v>
      </c>
    </row>
    <row r="29577" spans="1:3" x14ac:dyDescent="0.25">
      <c r="A29577" s="74">
        <v>34369</v>
      </c>
      <c r="B29577">
        <v>11.4</v>
      </c>
      <c r="C29577" t="s">
        <v>141</v>
      </c>
    </row>
    <row r="29578" spans="1:3" x14ac:dyDescent="0.25">
      <c r="A29578" s="74">
        <v>34370</v>
      </c>
      <c r="B29578">
        <v>10.9</v>
      </c>
      <c r="C29578" t="s">
        <v>141</v>
      </c>
    </row>
    <row r="29579" spans="1:3" x14ac:dyDescent="0.25">
      <c r="A29579" s="74">
        <v>34371</v>
      </c>
      <c r="B29579">
        <v>10.7</v>
      </c>
      <c r="C29579" t="s">
        <v>141</v>
      </c>
    </row>
    <row r="29580" spans="1:3" x14ac:dyDescent="0.25">
      <c r="A29580" s="74">
        <v>34372</v>
      </c>
      <c r="B29580">
        <v>10.199999999999999</v>
      </c>
      <c r="C29580" t="s">
        <v>141</v>
      </c>
    </row>
    <row r="29581" spans="1:3" x14ac:dyDescent="0.25">
      <c r="A29581" s="74">
        <v>34373</v>
      </c>
      <c r="B29581">
        <v>9.8000000000000007</v>
      </c>
      <c r="C29581" t="s">
        <v>141</v>
      </c>
    </row>
    <row r="29582" spans="1:3" x14ac:dyDescent="0.25">
      <c r="A29582" s="74">
        <v>34374</v>
      </c>
      <c r="B29582">
        <v>9.6</v>
      </c>
      <c r="C29582" t="s">
        <v>141</v>
      </c>
    </row>
    <row r="29583" spans="1:3" x14ac:dyDescent="0.25">
      <c r="A29583" s="74">
        <v>34375</v>
      </c>
      <c r="B29583">
        <v>9.5</v>
      </c>
      <c r="C29583" t="s">
        <v>141</v>
      </c>
    </row>
    <row r="29584" spans="1:3" x14ac:dyDescent="0.25">
      <c r="A29584" s="74">
        <v>34376</v>
      </c>
      <c r="B29584">
        <v>10.3</v>
      </c>
      <c r="C29584" t="s">
        <v>141</v>
      </c>
    </row>
    <row r="29585" spans="1:3" x14ac:dyDescent="0.25">
      <c r="A29585" s="74">
        <v>34377</v>
      </c>
      <c r="B29585">
        <v>12.7</v>
      </c>
      <c r="C29585" t="s">
        <v>141</v>
      </c>
    </row>
    <row r="29586" spans="1:3" x14ac:dyDescent="0.25">
      <c r="A29586" s="74">
        <v>34378</v>
      </c>
      <c r="B29586">
        <v>13.8</v>
      </c>
      <c r="C29586" t="s">
        <v>141</v>
      </c>
    </row>
    <row r="29587" spans="1:3" x14ac:dyDescent="0.25">
      <c r="A29587" s="74">
        <v>34379</v>
      </c>
      <c r="B29587">
        <v>13.9</v>
      </c>
      <c r="C29587" t="s">
        <v>141</v>
      </c>
    </row>
    <row r="29588" spans="1:3" x14ac:dyDescent="0.25">
      <c r="A29588" s="74">
        <v>34380</v>
      </c>
      <c r="B29588">
        <v>16.8</v>
      </c>
      <c r="C29588" t="s">
        <v>141</v>
      </c>
    </row>
    <row r="29589" spans="1:3" x14ac:dyDescent="0.25">
      <c r="A29589" s="74">
        <v>34381</v>
      </c>
      <c r="B29589">
        <v>17.7</v>
      </c>
      <c r="C29589" t="s">
        <v>141</v>
      </c>
    </row>
    <row r="29590" spans="1:3" x14ac:dyDescent="0.25">
      <c r="A29590" s="74">
        <v>34382</v>
      </c>
      <c r="B29590">
        <v>16.8</v>
      </c>
      <c r="C29590" t="s">
        <v>141</v>
      </c>
    </row>
    <row r="29591" spans="1:3" x14ac:dyDescent="0.25">
      <c r="A29591" s="74">
        <v>34383</v>
      </c>
      <c r="B29591">
        <v>15.4</v>
      </c>
      <c r="C29591" t="s">
        <v>141</v>
      </c>
    </row>
    <row r="29592" spans="1:3" x14ac:dyDescent="0.25">
      <c r="A29592" s="74">
        <v>34384</v>
      </c>
      <c r="B29592">
        <v>14.8</v>
      </c>
      <c r="C29592" t="s">
        <v>141</v>
      </c>
    </row>
    <row r="29593" spans="1:3" x14ac:dyDescent="0.25">
      <c r="A29593" s="74">
        <v>34385</v>
      </c>
      <c r="B29593">
        <v>13.7</v>
      </c>
      <c r="C29593" t="s">
        <v>141</v>
      </c>
    </row>
    <row r="29594" spans="1:3" x14ac:dyDescent="0.25">
      <c r="A29594" s="74">
        <v>34386</v>
      </c>
      <c r="B29594">
        <v>12.9</v>
      </c>
      <c r="C29594" t="s">
        <v>141</v>
      </c>
    </row>
    <row r="29595" spans="1:3" x14ac:dyDescent="0.25">
      <c r="A29595" s="74">
        <v>34387</v>
      </c>
      <c r="B29595">
        <v>12</v>
      </c>
      <c r="C29595" t="s">
        <v>141</v>
      </c>
    </row>
    <row r="29596" spans="1:3" x14ac:dyDescent="0.25">
      <c r="A29596" s="74">
        <v>34388</v>
      </c>
      <c r="B29596">
        <v>11.2</v>
      </c>
      <c r="C29596" t="s">
        <v>141</v>
      </c>
    </row>
    <row r="29597" spans="1:3" x14ac:dyDescent="0.25">
      <c r="A29597" s="74">
        <v>34389</v>
      </c>
      <c r="B29597">
        <v>10.8</v>
      </c>
      <c r="C29597" t="s">
        <v>141</v>
      </c>
    </row>
    <row r="29598" spans="1:3" x14ac:dyDescent="0.25">
      <c r="A29598" s="74">
        <v>34390</v>
      </c>
      <c r="B29598">
        <v>10</v>
      </c>
      <c r="C29598" t="s">
        <v>141</v>
      </c>
    </row>
    <row r="29599" spans="1:3" x14ac:dyDescent="0.25">
      <c r="A29599" s="74">
        <v>34391</v>
      </c>
      <c r="B29599">
        <v>25.5</v>
      </c>
      <c r="C29599" t="s">
        <v>141</v>
      </c>
    </row>
    <row r="29600" spans="1:3" x14ac:dyDescent="0.25">
      <c r="A29600" s="74">
        <v>34392</v>
      </c>
      <c r="B29600">
        <v>54.9</v>
      </c>
      <c r="C29600" t="s">
        <v>141</v>
      </c>
    </row>
    <row r="29601" spans="1:3" x14ac:dyDescent="0.25">
      <c r="A29601" s="74">
        <v>34393</v>
      </c>
      <c r="B29601">
        <v>185</v>
      </c>
      <c r="C29601" t="s">
        <v>140</v>
      </c>
    </row>
    <row r="29602" spans="1:3" x14ac:dyDescent="0.25">
      <c r="A29602" s="74">
        <v>34394</v>
      </c>
      <c r="B29602">
        <v>187</v>
      </c>
    </row>
    <row r="29603" spans="1:3" x14ac:dyDescent="0.25">
      <c r="A29603" s="74">
        <v>34395</v>
      </c>
      <c r="B29603">
        <v>234</v>
      </c>
    </row>
    <row r="29604" spans="1:3" x14ac:dyDescent="0.25">
      <c r="A29604" s="74">
        <v>34396</v>
      </c>
      <c r="B29604">
        <v>90.9</v>
      </c>
    </row>
    <row r="29605" spans="1:3" x14ac:dyDescent="0.25">
      <c r="A29605" s="74">
        <v>34397</v>
      </c>
      <c r="B29605">
        <v>67.5</v>
      </c>
    </row>
    <row r="29606" spans="1:3" x14ac:dyDescent="0.25">
      <c r="A29606" s="74">
        <v>34398</v>
      </c>
      <c r="B29606">
        <v>38.700000000000003</v>
      </c>
    </row>
    <row r="29607" spans="1:3" x14ac:dyDescent="0.25">
      <c r="A29607" s="74">
        <v>34399</v>
      </c>
      <c r="B29607">
        <v>23.8</v>
      </c>
    </row>
    <row r="29608" spans="1:3" x14ac:dyDescent="0.25">
      <c r="A29608" s="74">
        <v>34400</v>
      </c>
      <c r="B29608">
        <v>17.7</v>
      </c>
    </row>
    <row r="29609" spans="1:3" x14ac:dyDescent="0.25">
      <c r="A29609" s="74">
        <v>34401</v>
      </c>
      <c r="B29609">
        <v>14.6</v>
      </c>
    </row>
    <row r="29610" spans="1:3" x14ac:dyDescent="0.25">
      <c r="A29610" s="74">
        <v>34402</v>
      </c>
      <c r="B29610">
        <v>12.4</v>
      </c>
    </row>
    <row r="29611" spans="1:3" x14ac:dyDescent="0.25">
      <c r="A29611" s="74">
        <v>34403</v>
      </c>
      <c r="B29611">
        <v>10.9</v>
      </c>
    </row>
    <row r="29612" spans="1:3" x14ac:dyDescent="0.25">
      <c r="A29612" s="74">
        <v>34404</v>
      </c>
      <c r="B29612">
        <v>10.5</v>
      </c>
    </row>
    <row r="29613" spans="1:3" x14ac:dyDescent="0.25">
      <c r="A29613" s="74">
        <v>34405</v>
      </c>
      <c r="B29613">
        <v>9.6999999999999993</v>
      </c>
    </row>
    <row r="29614" spans="1:3" x14ac:dyDescent="0.25">
      <c r="A29614" s="74">
        <v>34406</v>
      </c>
      <c r="B29614">
        <v>9.64</v>
      </c>
    </row>
    <row r="29615" spans="1:3" x14ac:dyDescent="0.25">
      <c r="A29615" s="74">
        <v>34407</v>
      </c>
      <c r="B29615">
        <v>10.4</v>
      </c>
    </row>
    <row r="29616" spans="1:3" x14ac:dyDescent="0.25">
      <c r="A29616" s="74">
        <v>34408</v>
      </c>
      <c r="B29616">
        <v>10.3</v>
      </c>
    </row>
    <row r="29617" spans="1:2" x14ac:dyDescent="0.25">
      <c r="A29617" s="74">
        <v>34409</v>
      </c>
      <c r="B29617">
        <v>12.1</v>
      </c>
    </row>
    <row r="29618" spans="1:2" x14ac:dyDescent="0.25">
      <c r="A29618" s="74">
        <v>34410</v>
      </c>
      <c r="B29618">
        <v>15.5</v>
      </c>
    </row>
    <row r="29619" spans="1:2" x14ac:dyDescent="0.25">
      <c r="A29619" s="74">
        <v>34411</v>
      </c>
      <c r="B29619">
        <v>24.7</v>
      </c>
    </row>
    <row r="29620" spans="1:2" x14ac:dyDescent="0.25">
      <c r="A29620" s="74">
        <v>34412</v>
      </c>
      <c r="B29620">
        <v>17.600000000000001</v>
      </c>
    </row>
    <row r="29621" spans="1:2" x14ac:dyDescent="0.25">
      <c r="A29621" s="74">
        <v>34413</v>
      </c>
      <c r="B29621">
        <v>15.2</v>
      </c>
    </row>
    <row r="29622" spans="1:2" x14ac:dyDescent="0.25">
      <c r="A29622" s="74">
        <v>34414</v>
      </c>
      <c r="B29622">
        <v>22.5</v>
      </c>
    </row>
    <row r="29623" spans="1:2" x14ac:dyDescent="0.25">
      <c r="A29623" s="74">
        <v>34415</v>
      </c>
      <c r="B29623">
        <v>20.100000000000001</v>
      </c>
    </row>
    <row r="29624" spans="1:2" x14ac:dyDescent="0.25">
      <c r="A29624" s="74">
        <v>34416</v>
      </c>
      <c r="B29624">
        <v>15.8</v>
      </c>
    </row>
    <row r="29625" spans="1:2" x14ac:dyDescent="0.25">
      <c r="A29625" s="74">
        <v>34417</v>
      </c>
      <c r="B29625">
        <v>12.9</v>
      </c>
    </row>
    <row r="29626" spans="1:2" x14ac:dyDescent="0.25">
      <c r="A29626" s="74">
        <v>34418</v>
      </c>
      <c r="B29626">
        <v>11.1</v>
      </c>
    </row>
    <row r="29627" spans="1:2" x14ac:dyDescent="0.25">
      <c r="A29627" s="74">
        <v>34419</v>
      </c>
      <c r="B29627">
        <v>10.5</v>
      </c>
    </row>
    <row r="29628" spans="1:2" x14ac:dyDescent="0.25">
      <c r="A29628" s="74">
        <v>34420</v>
      </c>
      <c r="B29628">
        <v>11.5</v>
      </c>
    </row>
    <row r="29629" spans="1:2" x14ac:dyDescent="0.25">
      <c r="A29629" s="74">
        <v>34421</v>
      </c>
      <c r="B29629">
        <v>14.3</v>
      </c>
    </row>
    <row r="29630" spans="1:2" x14ac:dyDescent="0.25">
      <c r="A29630" s="74">
        <v>34422</v>
      </c>
      <c r="B29630">
        <v>16.899999999999999</v>
      </c>
    </row>
    <row r="29631" spans="1:2" x14ac:dyDescent="0.25">
      <c r="A29631" s="74">
        <v>34423</v>
      </c>
      <c r="B29631">
        <v>17.399999999999999</v>
      </c>
    </row>
    <row r="29632" spans="1:2" x14ac:dyDescent="0.25">
      <c r="A29632" s="74">
        <v>34424</v>
      </c>
      <c r="B29632">
        <v>16.8</v>
      </c>
    </row>
    <row r="29633" spans="1:2" x14ac:dyDescent="0.25">
      <c r="A29633" s="74">
        <v>34425</v>
      </c>
      <c r="B29633">
        <v>16.399999999999999</v>
      </c>
    </row>
    <row r="29634" spans="1:2" x14ac:dyDescent="0.25">
      <c r="A29634" s="74">
        <v>34426</v>
      </c>
      <c r="B29634">
        <v>15.3</v>
      </c>
    </row>
    <row r="29635" spans="1:2" x14ac:dyDescent="0.25">
      <c r="A29635" s="74">
        <v>34427</v>
      </c>
      <c r="B29635">
        <v>15.4</v>
      </c>
    </row>
    <row r="29636" spans="1:2" x14ac:dyDescent="0.25">
      <c r="A29636" s="74">
        <v>34428</v>
      </c>
      <c r="B29636">
        <v>14</v>
      </c>
    </row>
    <row r="29637" spans="1:2" x14ac:dyDescent="0.25">
      <c r="A29637" s="74">
        <v>34429</v>
      </c>
      <c r="B29637">
        <v>11.8</v>
      </c>
    </row>
    <row r="29638" spans="1:2" x14ac:dyDescent="0.25">
      <c r="A29638" s="74">
        <v>34430</v>
      </c>
      <c r="B29638">
        <v>11</v>
      </c>
    </row>
    <row r="29639" spans="1:2" x14ac:dyDescent="0.25">
      <c r="A29639" s="74">
        <v>34431</v>
      </c>
      <c r="B29639">
        <v>10.6</v>
      </c>
    </row>
    <row r="29640" spans="1:2" x14ac:dyDescent="0.25">
      <c r="A29640" s="74">
        <v>34432</v>
      </c>
      <c r="B29640">
        <v>12.3</v>
      </c>
    </row>
    <row r="29641" spans="1:2" x14ac:dyDescent="0.25">
      <c r="A29641" s="74">
        <v>34433</v>
      </c>
      <c r="B29641">
        <v>14.7</v>
      </c>
    </row>
    <row r="29642" spans="1:2" x14ac:dyDescent="0.25">
      <c r="A29642" s="74">
        <v>34434</v>
      </c>
      <c r="B29642">
        <v>13.3</v>
      </c>
    </row>
    <row r="29643" spans="1:2" x14ac:dyDescent="0.25">
      <c r="A29643" s="74">
        <v>34435</v>
      </c>
      <c r="B29643">
        <v>11.8</v>
      </c>
    </row>
    <row r="29644" spans="1:2" x14ac:dyDescent="0.25">
      <c r="A29644" s="74">
        <v>34436</v>
      </c>
      <c r="B29644">
        <v>12.7</v>
      </c>
    </row>
    <row r="29645" spans="1:2" x14ac:dyDescent="0.25">
      <c r="A29645" s="74">
        <v>34437</v>
      </c>
      <c r="B29645">
        <v>11.1</v>
      </c>
    </row>
    <row r="29646" spans="1:2" x14ac:dyDescent="0.25">
      <c r="A29646" s="74">
        <v>34438</v>
      </c>
      <c r="B29646">
        <v>9.7899999999999991</v>
      </c>
    </row>
    <row r="29647" spans="1:2" x14ac:dyDescent="0.25">
      <c r="A29647" s="74">
        <v>34439</v>
      </c>
      <c r="B29647">
        <v>9.49</v>
      </c>
    </row>
    <row r="29648" spans="1:2" x14ac:dyDescent="0.25">
      <c r="A29648" s="74">
        <v>34440</v>
      </c>
      <c r="B29648">
        <v>9.6199999999999992</v>
      </c>
    </row>
    <row r="29649" spans="1:2" x14ac:dyDescent="0.25">
      <c r="A29649" s="74">
        <v>34441</v>
      </c>
      <c r="B29649">
        <v>10.8</v>
      </c>
    </row>
    <row r="29650" spans="1:2" x14ac:dyDescent="0.25">
      <c r="A29650" s="74">
        <v>34442</v>
      </c>
      <c r="B29650">
        <v>13</v>
      </c>
    </row>
    <row r="29651" spans="1:2" x14ac:dyDescent="0.25">
      <c r="A29651" s="74">
        <v>34443</v>
      </c>
      <c r="B29651">
        <v>15.6</v>
      </c>
    </row>
    <row r="29652" spans="1:2" x14ac:dyDescent="0.25">
      <c r="A29652" s="74">
        <v>34444</v>
      </c>
      <c r="B29652">
        <v>13.7</v>
      </c>
    </row>
    <row r="29653" spans="1:2" x14ac:dyDescent="0.25">
      <c r="A29653" s="74">
        <v>34445</v>
      </c>
      <c r="B29653">
        <v>12.3</v>
      </c>
    </row>
    <row r="29654" spans="1:2" x14ac:dyDescent="0.25">
      <c r="A29654" s="74">
        <v>34446</v>
      </c>
      <c r="B29654">
        <v>12.1</v>
      </c>
    </row>
    <row r="29655" spans="1:2" x14ac:dyDescent="0.25">
      <c r="A29655" s="74">
        <v>34447</v>
      </c>
      <c r="B29655">
        <v>9.85</v>
      </c>
    </row>
    <row r="29656" spans="1:2" x14ac:dyDescent="0.25">
      <c r="A29656" s="74">
        <v>34448</v>
      </c>
      <c r="B29656">
        <v>9.5399999999999991</v>
      </c>
    </row>
    <row r="29657" spans="1:2" x14ac:dyDescent="0.25">
      <c r="A29657" s="74">
        <v>34449</v>
      </c>
      <c r="B29657">
        <v>8.77</v>
      </c>
    </row>
    <row r="29658" spans="1:2" x14ac:dyDescent="0.25">
      <c r="A29658" s="74">
        <v>34450</v>
      </c>
      <c r="B29658">
        <v>7.69</v>
      </c>
    </row>
    <row r="29659" spans="1:2" x14ac:dyDescent="0.25">
      <c r="A29659" s="74">
        <v>34451</v>
      </c>
      <c r="B29659">
        <v>7.21</v>
      </c>
    </row>
    <row r="29660" spans="1:2" x14ac:dyDescent="0.25">
      <c r="A29660" s="74">
        <v>34452</v>
      </c>
      <c r="B29660">
        <v>8.11</v>
      </c>
    </row>
    <row r="29661" spans="1:2" x14ac:dyDescent="0.25">
      <c r="A29661" s="74">
        <v>34453</v>
      </c>
      <c r="B29661">
        <v>8.59</v>
      </c>
    </row>
    <row r="29662" spans="1:2" x14ac:dyDescent="0.25">
      <c r="A29662" s="74">
        <v>34454</v>
      </c>
      <c r="B29662">
        <v>8.0299999999999994</v>
      </c>
    </row>
    <row r="29663" spans="1:2" x14ac:dyDescent="0.25">
      <c r="A29663" s="74">
        <v>34455</v>
      </c>
      <c r="B29663">
        <v>7.07</v>
      </c>
    </row>
    <row r="29664" spans="1:2" x14ac:dyDescent="0.25">
      <c r="A29664" s="74">
        <v>34456</v>
      </c>
      <c r="B29664">
        <v>5.99</v>
      </c>
    </row>
    <row r="29665" spans="1:2" x14ac:dyDescent="0.25">
      <c r="A29665" s="74">
        <v>34457</v>
      </c>
      <c r="B29665">
        <v>5.39</v>
      </c>
    </row>
    <row r="29666" spans="1:2" x14ac:dyDescent="0.25">
      <c r="A29666" s="74">
        <v>34458</v>
      </c>
      <c r="B29666">
        <v>7.17</v>
      </c>
    </row>
    <row r="29667" spans="1:2" x14ac:dyDescent="0.25">
      <c r="A29667" s="74">
        <v>34459</v>
      </c>
      <c r="B29667">
        <v>8.2799999999999994</v>
      </c>
    </row>
    <row r="29668" spans="1:2" x14ac:dyDescent="0.25">
      <c r="A29668" s="74">
        <v>34460</v>
      </c>
      <c r="B29668">
        <v>7.94</v>
      </c>
    </row>
    <row r="29669" spans="1:2" x14ac:dyDescent="0.25">
      <c r="A29669" s="74">
        <v>34461</v>
      </c>
      <c r="B29669">
        <v>9.0299999999999994</v>
      </c>
    </row>
    <row r="29670" spans="1:2" x14ac:dyDescent="0.25">
      <c r="A29670" s="74">
        <v>34462</v>
      </c>
      <c r="B29670">
        <v>9.3000000000000007</v>
      </c>
    </row>
    <row r="29671" spans="1:2" x14ac:dyDescent="0.25">
      <c r="A29671" s="74">
        <v>34463</v>
      </c>
      <c r="B29671">
        <v>8.73</v>
      </c>
    </row>
    <row r="29672" spans="1:2" x14ac:dyDescent="0.25">
      <c r="A29672" s="74">
        <v>34464</v>
      </c>
      <c r="B29672">
        <v>7.56</v>
      </c>
    </row>
    <row r="29673" spans="1:2" x14ac:dyDescent="0.25">
      <c r="A29673" s="74">
        <v>34465</v>
      </c>
      <c r="B29673">
        <v>7.48</v>
      </c>
    </row>
    <row r="29674" spans="1:2" x14ac:dyDescent="0.25">
      <c r="A29674" s="74">
        <v>34466</v>
      </c>
      <c r="B29674">
        <v>6.91</v>
      </c>
    </row>
    <row r="29675" spans="1:2" x14ac:dyDescent="0.25">
      <c r="A29675" s="74">
        <v>34467</v>
      </c>
      <c r="B29675">
        <v>5.5</v>
      </c>
    </row>
    <row r="29676" spans="1:2" x14ac:dyDescent="0.25">
      <c r="A29676" s="74">
        <v>34468</v>
      </c>
      <c r="B29676">
        <v>4.87</v>
      </c>
    </row>
    <row r="29677" spans="1:2" x14ac:dyDescent="0.25">
      <c r="A29677" s="74">
        <v>34469</v>
      </c>
      <c r="B29677">
        <v>4.47</v>
      </c>
    </row>
    <row r="29678" spans="1:2" x14ac:dyDescent="0.25">
      <c r="A29678" s="74">
        <v>34470</v>
      </c>
      <c r="B29678">
        <v>4.4000000000000004</v>
      </c>
    </row>
    <row r="29679" spans="1:2" x14ac:dyDescent="0.25">
      <c r="A29679" s="74">
        <v>34471</v>
      </c>
      <c r="B29679">
        <v>4.3499999999999996</v>
      </c>
    </row>
    <row r="29680" spans="1:2" x14ac:dyDescent="0.25">
      <c r="A29680" s="74">
        <v>34472</v>
      </c>
      <c r="B29680">
        <v>4.1399999999999997</v>
      </c>
    </row>
    <row r="29681" spans="1:2" x14ac:dyDescent="0.25">
      <c r="A29681" s="74">
        <v>34473</v>
      </c>
      <c r="B29681">
        <v>4.46</v>
      </c>
    </row>
    <row r="29682" spans="1:2" x14ac:dyDescent="0.25">
      <c r="A29682" s="74">
        <v>34474</v>
      </c>
      <c r="B29682">
        <v>4.4000000000000004</v>
      </c>
    </row>
    <row r="29683" spans="1:2" x14ac:dyDescent="0.25">
      <c r="A29683" s="74">
        <v>34475</v>
      </c>
      <c r="B29683">
        <v>4.17</v>
      </c>
    </row>
    <row r="29684" spans="1:2" x14ac:dyDescent="0.25">
      <c r="A29684" s="74">
        <v>34476</v>
      </c>
      <c r="B29684">
        <v>4.1900000000000004</v>
      </c>
    </row>
    <row r="29685" spans="1:2" x14ac:dyDescent="0.25">
      <c r="A29685" s="74">
        <v>34477</v>
      </c>
      <c r="B29685">
        <v>3.9</v>
      </c>
    </row>
    <row r="29686" spans="1:2" x14ac:dyDescent="0.25">
      <c r="A29686" s="74">
        <v>34478</v>
      </c>
      <c r="B29686">
        <v>3.76</v>
      </c>
    </row>
    <row r="29687" spans="1:2" x14ac:dyDescent="0.25">
      <c r="A29687" s="74">
        <v>34479</v>
      </c>
      <c r="B29687">
        <v>3.96</v>
      </c>
    </row>
    <row r="29688" spans="1:2" x14ac:dyDescent="0.25">
      <c r="A29688" s="74">
        <v>34480</v>
      </c>
      <c r="B29688">
        <v>3.85</v>
      </c>
    </row>
    <row r="29689" spans="1:2" x14ac:dyDescent="0.25">
      <c r="A29689" s="74">
        <v>34481</v>
      </c>
      <c r="B29689">
        <v>3.15</v>
      </c>
    </row>
    <row r="29690" spans="1:2" x14ac:dyDescent="0.25">
      <c r="A29690" s="74">
        <v>34482</v>
      </c>
      <c r="B29690">
        <v>2.87</v>
      </c>
    </row>
    <row r="29691" spans="1:2" x14ac:dyDescent="0.25">
      <c r="A29691" s="74">
        <v>34483</v>
      </c>
      <c r="B29691">
        <v>5.0999999999999996</v>
      </c>
    </row>
    <row r="29692" spans="1:2" x14ac:dyDescent="0.25">
      <c r="A29692" s="74">
        <v>34484</v>
      </c>
      <c r="B29692">
        <v>5.47</v>
      </c>
    </row>
    <row r="29693" spans="1:2" x14ac:dyDescent="0.25">
      <c r="A29693" s="74">
        <v>34485</v>
      </c>
      <c r="B29693">
        <v>4.2</v>
      </c>
    </row>
    <row r="29694" spans="1:2" x14ac:dyDescent="0.25">
      <c r="A29694" s="74">
        <v>34486</v>
      </c>
      <c r="B29694">
        <v>3.75</v>
      </c>
    </row>
    <row r="29695" spans="1:2" x14ac:dyDescent="0.25">
      <c r="A29695" s="74">
        <v>34487</v>
      </c>
      <c r="B29695">
        <v>3.54</v>
      </c>
    </row>
    <row r="29696" spans="1:2" x14ac:dyDescent="0.25">
      <c r="A29696" s="74">
        <v>34488</v>
      </c>
      <c r="B29696">
        <v>3.16</v>
      </c>
    </row>
    <row r="29697" spans="1:2" x14ac:dyDescent="0.25">
      <c r="A29697" s="74">
        <v>34489</v>
      </c>
      <c r="B29697">
        <v>3</v>
      </c>
    </row>
    <row r="29698" spans="1:2" x14ac:dyDescent="0.25">
      <c r="A29698" s="74">
        <v>34490</v>
      </c>
      <c r="B29698">
        <v>2.99</v>
      </c>
    </row>
    <row r="29699" spans="1:2" x14ac:dyDescent="0.25">
      <c r="A29699" s="74">
        <v>34491</v>
      </c>
      <c r="B29699">
        <v>3.14</v>
      </c>
    </row>
    <row r="29700" spans="1:2" x14ac:dyDescent="0.25">
      <c r="A29700" s="74">
        <v>34492</v>
      </c>
      <c r="B29700">
        <v>3.08</v>
      </c>
    </row>
    <row r="29701" spans="1:2" x14ac:dyDescent="0.25">
      <c r="A29701" s="74">
        <v>34493</v>
      </c>
      <c r="B29701">
        <v>2.88</v>
      </c>
    </row>
    <row r="29702" spans="1:2" x14ac:dyDescent="0.25">
      <c r="A29702" s="74">
        <v>34494</v>
      </c>
      <c r="B29702">
        <v>2.58</v>
      </c>
    </row>
    <row r="29703" spans="1:2" x14ac:dyDescent="0.25">
      <c r="A29703" s="74">
        <v>34495</v>
      </c>
      <c r="B29703">
        <v>2.36</v>
      </c>
    </row>
    <row r="29704" spans="1:2" x14ac:dyDescent="0.25">
      <c r="A29704" s="74">
        <v>34496</v>
      </c>
      <c r="B29704">
        <v>2.46</v>
      </c>
    </row>
    <row r="29705" spans="1:2" x14ac:dyDescent="0.25">
      <c r="A29705" s="74">
        <v>34497</v>
      </c>
      <c r="B29705">
        <v>3.31</v>
      </c>
    </row>
    <row r="29706" spans="1:2" x14ac:dyDescent="0.25">
      <c r="A29706" s="74">
        <v>34498</v>
      </c>
      <c r="B29706">
        <v>8.4499999999999993</v>
      </c>
    </row>
    <row r="29707" spans="1:2" x14ac:dyDescent="0.25">
      <c r="A29707" s="74">
        <v>34499</v>
      </c>
      <c r="B29707">
        <v>10.3</v>
      </c>
    </row>
    <row r="29708" spans="1:2" x14ac:dyDescent="0.25">
      <c r="A29708" s="74">
        <v>34500</v>
      </c>
      <c r="B29708">
        <v>7.78</v>
      </c>
    </row>
    <row r="29709" spans="1:2" x14ac:dyDescent="0.25">
      <c r="A29709" s="74">
        <v>34501</v>
      </c>
      <c r="B29709">
        <v>5.87</v>
      </c>
    </row>
    <row r="29710" spans="1:2" x14ac:dyDescent="0.25">
      <c r="A29710" s="74">
        <v>34502</v>
      </c>
      <c r="B29710">
        <v>5.19</v>
      </c>
    </row>
    <row r="29711" spans="1:2" x14ac:dyDescent="0.25">
      <c r="A29711" s="74">
        <v>34503</v>
      </c>
      <c r="B29711">
        <v>5.44</v>
      </c>
    </row>
    <row r="29712" spans="1:2" x14ac:dyDescent="0.25">
      <c r="A29712" s="74">
        <v>34504</v>
      </c>
      <c r="B29712">
        <v>6.37</v>
      </c>
    </row>
    <row r="29713" spans="1:2" x14ac:dyDescent="0.25">
      <c r="A29713" s="74">
        <v>34505</v>
      </c>
      <c r="B29713">
        <v>5.27</v>
      </c>
    </row>
    <row r="29714" spans="1:2" x14ac:dyDescent="0.25">
      <c r="A29714" s="74">
        <v>34506</v>
      </c>
      <c r="B29714">
        <v>4.45</v>
      </c>
    </row>
    <row r="29715" spans="1:2" x14ac:dyDescent="0.25">
      <c r="A29715" s="74">
        <v>34507</v>
      </c>
      <c r="B29715">
        <v>3.93</v>
      </c>
    </row>
    <row r="29716" spans="1:2" x14ac:dyDescent="0.25">
      <c r="A29716" s="74">
        <v>34508</v>
      </c>
      <c r="B29716">
        <v>3.64</v>
      </c>
    </row>
    <row r="29717" spans="1:2" x14ac:dyDescent="0.25">
      <c r="A29717" s="74">
        <v>34509</v>
      </c>
      <c r="B29717">
        <v>3.5</v>
      </c>
    </row>
    <row r="29718" spans="1:2" x14ac:dyDescent="0.25">
      <c r="A29718" s="74">
        <v>34510</v>
      </c>
      <c r="B29718">
        <v>3.17</v>
      </c>
    </row>
    <row r="29719" spans="1:2" x14ac:dyDescent="0.25">
      <c r="A29719" s="74">
        <v>34511</v>
      </c>
      <c r="B29719">
        <v>2.78</v>
      </c>
    </row>
    <row r="29720" spans="1:2" x14ac:dyDescent="0.25">
      <c r="A29720" s="74">
        <v>34512</v>
      </c>
      <c r="B29720">
        <v>2.63</v>
      </c>
    </row>
    <row r="29721" spans="1:2" x14ac:dyDescent="0.25">
      <c r="A29721" s="74">
        <v>34513</v>
      </c>
      <c r="B29721">
        <v>2.38</v>
      </c>
    </row>
    <row r="29722" spans="1:2" x14ac:dyDescent="0.25">
      <c r="A29722" s="74">
        <v>34514</v>
      </c>
      <c r="B29722">
        <v>2.23</v>
      </c>
    </row>
    <row r="29723" spans="1:2" x14ac:dyDescent="0.25">
      <c r="A29723" s="74">
        <v>34515</v>
      </c>
      <c r="B29723">
        <v>2.09</v>
      </c>
    </row>
    <row r="29724" spans="1:2" x14ac:dyDescent="0.25">
      <c r="A29724" s="74">
        <v>34516</v>
      </c>
      <c r="B29724">
        <v>2.1</v>
      </c>
    </row>
    <row r="29725" spans="1:2" x14ac:dyDescent="0.25">
      <c r="A29725" s="74">
        <v>34517</v>
      </c>
      <c r="B29725">
        <v>2.36</v>
      </c>
    </row>
    <row r="29726" spans="1:2" x14ac:dyDescent="0.25">
      <c r="A29726" s="74">
        <v>34518</v>
      </c>
      <c r="B29726">
        <v>2.0099999999999998</v>
      </c>
    </row>
    <row r="29727" spans="1:2" x14ac:dyDescent="0.25">
      <c r="A29727" s="74">
        <v>34519</v>
      </c>
      <c r="B29727">
        <v>1.82</v>
      </c>
    </row>
    <row r="29728" spans="1:2" x14ac:dyDescent="0.25">
      <c r="A29728" s="74">
        <v>34520</v>
      </c>
      <c r="B29728">
        <v>2.0299999999999998</v>
      </c>
    </row>
    <row r="29729" spans="1:2" x14ac:dyDescent="0.25">
      <c r="A29729" s="74">
        <v>34521</v>
      </c>
      <c r="B29729">
        <v>1.93</v>
      </c>
    </row>
    <row r="29730" spans="1:2" x14ac:dyDescent="0.25">
      <c r="A29730" s="74">
        <v>34522</v>
      </c>
      <c r="B29730">
        <v>1.79</v>
      </c>
    </row>
    <row r="29731" spans="1:2" x14ac:dyDescent="0.25">
      <c r="A29731" s="74">
        <v>34523</v>
      </c>
      <c r="B29731">
        <v>1.68</v>
      </c>
    </row>
    <row r="29732" spans="1:2" x14ac:dyDescent="0.25">
      <c r="A29732" s="74">
        <v>34524</v>
      </c>
      <c r="B29732">
        <v>1.45</v>
      </c>
    </row>
    <row r="29733" spans="1:2" x14ac:dyDescent="0.25">
      <c r="A29733" s="74">
        <v>34525</v>
      </c>
      <c r="B29733">
        <v>1.32</v>
      </c>
    </row>
    <row r="29734" spans="1:2" x14ac:dyDescent="0.25">
      <c r="A29734" s="74">
        <v>34526</v>
      </c>
      <c r="B29734">
        <v>1.26</v>
      </c>
    </row>
    <row r="29735" spans="1:2" x14ac:dyDescent="0.25">
      <c r="A29735" s="74">
        <v>34527</v>
      </c>
      <c r="B29735">
        <v>1.23</v>
      </c>
    </row>
    <row r="29736" spans="1:2" x14ac:dyDescent="0.25">
      <c r="A29736" s="74">
        <v>34528</v>
      </c>
      <c r="B29736">
        <v>1.1399999999999999</v>
      </c>
    </row>
    <row r="29737" spans="1:2" x14ac:dyDescent="0.25">
      <c r="A29737" s="74">
        <v>34529</v>
      </c>
      <c r="B29737">
        <v>1.04</v>
      </c>
    </row>
    <row r="29738" spans="1:2" x14ac:dyDescent="0.25">
      <c r="A29738" s="74">
        <v>34530</v>
      </c>
      <c r="B29738">
        <v>0.98599999999999999</v>
      </c>
    </row>
    <row r="29739" spans="1:2" x14ac:dyDescent="0.25">
      <c r="A29739" s="74">
        <v>34531</v>
      </c>
      <c r="B29739">
        <v>0.94199999999999995</v>
      </c>
    </row>
    <row r="29740" spans="1:2" x14ac:dyDescent="0.25">
      <c r="A29740" s="74">
        <v>34532</v>
      </c>
      <c r="B29740">
        <v>0.91100000000000003</v>
      </c>
    </row>
    <row r="29741" spans="1:2" x14ac:dyDescent="0.25">
      <c r="A29741" s="74">
        <v>34533</v>
      </c>
      <c r="B29741">
        <v>0.90200000000000002</v>
      </c>
    </row>
    <row r="29742" spans="1:2" x14ac:dyDescent="0.25">
      <c r="A29742" s="74">
        <v>34534</v>
      </c>
      <c r="B29742">
        <v>0.84599999999999997</v>
      </c>
    </row>
    <row r="29743" spans="1:2" x14ac:dyDescent="0.25">
      <c r="A29743" s="74">
        <v>34535</v>
      </c>
      <c r="B29743">
        <v>0.79700000000000004</v>
      </c>
    </row>
    <row r="29744" spans="1:2" x14ac:dyDescent="0.25">
      <c r="A29744" s="74">
        <v>34536</v>
      </c>
      <c r="B29744">
        <v>0.74099999999999999</v>
      </c>
    </row>
    <row r="29745" spans="1:2" x14ac:dyDescent="0.25">
      <c r="A29745" s="74">
        <v>34537</v>
      </c>
      <c r="B29745">
        <v>0.68600000000000005</v>
      </c>
    </row>
    <row r="29746" spans="1:2" x14ac:dyDescent="0.25">
      <c r="A29746" s="74">
        <v>34538</v>
      </c>
      <c r="B29746">
        <v>0.67900000000000005</v>
      </c>
    </row>
    <row r="29747" spans="1:2" x14ac:dyDescent="0.25">
      <c r="A29747" s="74">
        <v>34539</v>
      </c>
      <c r="B29747">
        <v>0.64800000000000002</v>
      </c>
    </row>
    <row r="29748" spans="1:2" x14ac:dyDescent="0.25">
      <c r="A29748" s="74">
        <v>34540</v>
      </c>
      <c r="B29748">
        <v>0.61399999999999999</v>
      </c>
    </row>
    <row r="29749" spans="1:2" x14ac:dyDescent="0.25">
      <c r="A29749" s="74">
        <v>34541</v>
      </c>
      <c r="B29749">
        <v>0.628</v>
      </c>
    </row>
    <row r="29750" spans="1:2" x14ac:dyDescent="0.25">
      <c r="A29750" s="74">
        <v>34542</v>
      </c>
      <c r="B29750">
        <v>0.60799999999999998</v>
      </c>
    </row>
    <row r="29751" spans="1:2" x14ac:dyDescent="0.25">
      <c r="A29751" s="74">
        <v>34543</v>
      </c>
      <c r="B29751">
        <v>0.55900000000000005</v>
      </c>
    </row>
    <row r="29752" spans="1:2" x14ac:dyDescent="0.25">
      <c r="A29752" s="74">
        <v>34544</v>
      </c>
      <c r="B29752">
        <v>0.56000000000000005</v>
      </c>
    </row>
    <row r="29753" spans="1:2" x14ac:dyDescent="0.25">
      <c r="A29753" s="74">
        <v>34545</v>
      </c>
      <c r="B29753">
        <v>0.53200000000000003</v>
      </c>
    </row>
    <row r="29754" spans="1:2" x14ac:dyDescent="0.25">
      <c r="A29754" s="74">
        <v>34546</v>
      </c>
      <c r="B29754">
        <v>0.502</v>
      </c>
    </row>
    <row r="29755" spans="1:2" x14ac:dyDescent="0.25">
      <c r="A29755" s="74">
        <v>34547</v>
      </c>
      <c r="B29755">
        <v>0.46600000000000003</v>
      </c>
    </row>
    <row r="29756" spans="1:2" x14ac:dyDescent="0.25">
      <c r="A29756" s="74">
        <v>34548</v>
      </c>
      <c r="B29756">
        <v>0.46800000000000003</v>
      </c>
    </row>
    <row r="29757" spans="1:2" x14ac:dyDescent="0.25">
      <c r="A29757" s="74">
        <v>34549</v>
      </c>
      <c r="B29757">
        <v>0.47099999999999997</v>
      </c>
    </row>
    <row r="29758" spans="1:2" x14ac:dyDescent="0.25">
      <c r="A29758" s="74">
        <v>34550</v>
      </c>
      <c r="B29758">
        <v>0.44700000000000001</v>
      </c>
    </row>
    <row r="29759" spans="1:2" x14ac:dyDescent="0.25">
      <c r="A29759" s="74">
        <v>34551</v>
      </c>
      <c r="B29759">
        <v>0.41599999999999998</v>
      </c>
    </row>
    <row r="29760" spans="1:2" x14ac:dyDescent="0.25">
      <c r="A29760" s="74">
        <v>34552</v>
      </c>
      <c r="B29760">
        <v>0.38900000000000001</v>
      </c>
    </row>
    <row r="29761" spans="1:2" x14ac:dyDescent="0.25">
      <c r="A29761" s="74">
        <v>34553</v>
      </c>
      <c r="B29761">
        <v>0.435</v>
      </c>
    </row>
    <row r="29762" spans="1:2" x14ac:dyDescent="0.25">
      <c r="A29762" s="74">
        <v>34554</v>
      </c>
      <c r="B29762">
        <v>0.67900000000000005</v>
      </c>
    </row>
    <row r="29763" spans="1:2" x14ac:dyDescent="0.25">
      <c r="A29763" s="74">
        <v>34555</v>
      </c>
      <c r="B29763">
        <v>0.68400000000000005</v>
      </c>
    </row>
    <row r="29764" spans="1:2" x14ac:dyDescent="0.25">
      <c r="A29764" s="74">
        <v>34556</v>
      </c>
      <c r="B29764">
        <v>0.65300000000000002</v>
      </c>
    </row>
    <row r="29765" spans="1:2" x14ac:dyDescent="0.25">
      <c r="A29765" s="74">
        <v>34557</v>
      </c>
      <c r="B29765">
        <v>0.57899999999999996</v>
      </c>
    </row>
    <row r="29766" spans="1:2" x14ac:dyDescent="0.25">
      <c r="A29766" s="74">
        <v>34558</v>
      </c>
      <c r="B29766">
        <v>0.54300000000000004</v>
      </c>
    </row>
    <row r="29767" spans="1:2" x14ac:dyDescent="0.25">
      <c r="A29767" s="74">
        <v>34559</v>
      </c>
      <c r="B29767">
        <v>0.52700000000000002</v>
      </c>
    </row>
    <row r="29768" spans="1:2" x14ac:dyDescent="0.25">
      <c r="A29768" s="74">
        <v>34560</v>
      </c>
      <c r="B29768">
        <v>0.50900000000000001</v>
      </c>
    </row>
    <row r="29769" spans="1:2" x14ac:dyDescent="0.25">
      <c r="A29769" s="74">
        <v>34561</v>
      </c>
      <c r="B29769">
        <v>0.48</v>
      </c>
    </row>
    <row r="29770" spans="1:2" x14ac:dyDescent="0.25">
      <c r="A29770" s="74">
        <v>34562</v>
      </c>
      <c r="B29770">
        <v>0.48199999999999998</v>
      </c>
    </row>
    <row r="29771" spans="1:2" x14ac:dyDescent="0.25">
      <c r="A29771" s="74">
        <v>34563</v>
      </c>
      <c r="B29771">
        <v>0.498</v>
      </c>
    </row>
    <row r="29772" spans="1:2" x14ac:dyDescent="0.25">
      <c r="A29772" s="74">
        <v>34564</v>
      </c>
      <c r="B29772">
        <v>0.47599999999999998</v>
      </c>
    </row>
    <row r="29773" spans="1:2" x14ac:dyDescent="0.25">
      <c r="A29773" s="74">
        <v>34565</v>
      </c>
      <c r="B29773">
        <v>0.503</v>
      </c>
    </row>
    <row r="29774" spans="1:2" x14ac:dyDescent="0.25">
      <c r="A29774" s="74">
        <v>34566</v>
      </c>
      <c r="B29774">
        <v>0.505</v>
      </c>
    </row>
    <row r="29775" spans="1:2" x14ac:dyDescent="0.25">
      <c r="A29775" s="74">
        <v>34567</v>
      </c>
      <c r="B29775">
        <v>0.46700000000000003</v>
      </c>
    </row>
    <row r="29776" spans="1:2" x14ac:dyDescent="0.25">
      <c r="A29776" s="74">
        <v>34568</v>
      </c>
      <c r="B29776">
        <v>0.46300000000000002</v>
      </c>
    </row>
    <row r="29777" spans="1:2" x14ac:dyDescent="0.25">
      <c r="A29777" s="74">
        <v>34569</v>
      </c>
      <c r="B29777">
        <v>0.46100000000000002</v>
      </c>
    </row>
    <row r="29778" spans="1:2" x14ac:dyDescent="0.25">
      <c r="A29778" s="74">
        <v>34570</v>
      </c>
      <c r="B29778">
        <v>0.439</v>
      </c>
    </row>
    <row r="29779" spans="1:2" x14ac:dyDescent="0.25">
      <c r="A29779" s="74">
        <v>34571</v>
      </c>
      <c r="B29779">
        <v>0.435</v>
      </c>
    </row>
    <row r="29780" spans="1:2" x14ac:dyDescent="0.25">
      <c r="A29780" s="74">
        <v>34572</v>
      </c>
      <c r="B29780">
        <v>0.40400000000000003</v>
      </c>
    </row>
    <row r="29781" spans="1:2" x14ac:dyDescent="0.25">
      <c r="A29781" s="74">
        <v>34573</v>
      </c>
      <c r="B29781">
        <v>0.38500000000000001</v>
      </c>
    </row>
    <row r="29782" spans="1:2" x14ac:dyDescent="0.25">
      <c r="A29782" s="74">
        <v>34574</v>
      </c>
      <c r="B29782">
        <v>0.371</v>
      </c>
    </row>
    <row r="29783" spans="1:2" x14ac:dyDescent="0.25">
      <c r="A29783" s="74">
        <v>34575</v>
      </c>
      <c r="B29783">
        <v>0.38900000000000001</v>
      </c>
    </row>
    <row r="29784" spans="1:2" x14ac:dyDescent="0.25">
      <c r="A29784" s="74">
        <v>34576</v>
      </c>
      <c r="B29784">
        <v>0.38800000000000001</v>
      </c>
    </row>
    <row r="29785" spans="1:2" x14ac:dyDescent="0.25">
      <c r="A29785" s="74">
        <v>34577</v>
      </c>
      <c r="B29785">
        <v>0.36799999999999999</v>
      </c>
    </row>
    <row r="29786" spans="1:2" x14ac:dyDescent="0.25">
      <c r="A29786" s="74">
        <v>34578</v>
      </c>
      <c r="B29786">
        <v>0.35</v>
      </c>
    </row>
    <row r="29787" spans="1:2" x14ac:dyDescent="0.25">
      <c r="A29787" s="74">
        <v>34579</v>
      </c>
      <c r="B29787">
        <v>0.33800000000000002</v>
      </c>
    </row>
    <row r="29788" spans="1:2" x14ac:dyDescent="0.25">
      <c r="A29788" s="74">
        <v>34580</v>
      </c>
      <c r="B29788">
        <v>0.34300000000000003</v>
      </c>
    </row>
    <row r="29789" spans="1:2" x14ac:dyDescent="0.25">
      <c r="A29789" s="74">
        <v>34581</v>
      </c>
      <c r="B29789">
        <v>0.36199999999999999</v>
      </c>
    </row>
    <row r="29790" spans="1:2" x14ac:dyDescent="0.25">
      <c r="A29790" s="74">
        <v>34582</v>
      </c>
      <c r="B29790">
        <v>0.36299999999999999</v>
      </c>
    </row>
    <row r="29791" spans="1:2" x14ac:dyDescent="0.25">
      <c r="A29791" s="74">
        <v>34583</v>
      </c>
      <c r="B29791">
        <v>0.36199999999999999</v>
      </c>
    </row>
    <row r="29792" spans="1:2" x14ac:dyDescent="0.25">
      <c r="A29792" s="74">
        <v>34584</v>
      </c>
      <c r="B29792">
        <v>0.35199999999999998</v>
      </c>
    </row>
    <row r="29793" spans="1:2" x14ac:dyDescent="0.25">
      <c r="A29793" s="74">
        <v>34585</v>
      </c>
      <c r="B29793">
        <v>0.39300000000000002</v>
      </c>
    </row>
    <row r="29794" spans="1:2" x14ac:dyDescent="0.25">
      <c r="A29794" s="74">
        <v>34586</v>
      </c>
      <c r="B29794">
        <v>0.55800000000000005</v>
      </c>
    </row>
    <row r="29795" spans="1:2" x14ac:dyDescent="0.25">
      <c r="A29795" s="74">
        <v>34587</v>
      </c>
      <c r="B29795">
        <v>0.60099999999999998</v>
      </c>
    </row>
    <row r="29796" spans="1:2" x14ac:dyDescent="0.25">
      <c r="A29796" s="74">
        <v>34588</v>
      </c>
      <c r="B29796">
        <v>0.56100000000000005</v>
      </c>
    </row>
    <row r="29797" spans="1:2" x14ac:dyDescent="0.25">
      <c r="A29797" s="74">
        <v>34589</v>
      </c>
      <c r="B29797">
        <v>0.54300000000000004</v>
      </c>
    </row>
    <row r="29798" spans="1:2" x14ac:dyDescent="0.25">
      <c r="A29798" s="74">
        <v>34590</v>
      </c>
      <c r="B29798">
        <v>0.56599999999999995</v>
      </c>
    </row>
    <row r="29799" spans="1:2" x14ac:dyDescent="0.25">
      <c r="A29799" s="74">
        <v>34591</v>
      </c>
      <c r="B29799">
        <v>0.56699999999999995</v>
      </c>
    </row>
    <row r="29800" spans="1:2" x14ac:dyDescent="0.25">
      <c r="A29800" s="74">
        <v>34592</v>
      </c>
      <c r="B29800">
        <v>0.52600000000000002</v>
      </c>
    </row>
    <row r="29801" spans="1:2" x14ac:dyDescent="0.25">
      <c r="A29801" s="74">
        <v>34593</v>
      </c>
      <c r="B29801">
        <v>0.55100000000000005</v>
      </c>
    </row>
    <row r="29802" spans="1:2" x14ac:dyDescent="0.25">
      <c r="A29802" s="74">
        <v>34594</v>
      </c>
      <c r="B29802">
        <v>0.57499999999999996</v>
      </c>
    </row>
    <row r="29803" spans="1:2" x14ac:dyDescent="0.25">
      <c r="A29803" s="74">
        <v>34595</v>
      </c>
      <c r="B29803">
        <v>0.56200000000000006</v>
      </c>
    </row>
    <row r="29804" spans="1:2" x14ac:dyDescent="0.25">
      <c r="A29804" s="74">
        <v>34596</v>
      </c>
      <c r="B29804">
        <v>0.53900000000000003</v>
      </c>
    </row>
    <row r="29805" spans="1:2" x14ac:dyDescent="0.25">
      <c r="A29805" s="74">
        <v>34597</v>
      </c>
      <c r="B29805">
        <v>0.54100000000000004</v>
      </c>
    </row>
    <row r="29806" spans="1:2" x14ac:dyDescent="0.25">
      <c r="A29806" s="74">
        <v>34598</v>
      </c>
      <c r="B29806">
        <v>0.52700000000000002</v>
      </c>
    </row>
    <row r="29807" spans="1:2" x14ac:dyDescent="0.25">
      <c r="A29807" s="74">
        <v>34599</v>
      </c>
      <c r="B29807">
        <v>0.50800000000000001</v>
      </c>
    </row>
    <row r="29808" spans="1:2" x14ac:dyDescent="0.25">
      <c r="A29808" s="74">
        <v>34600</v>
      </c>
      <c r="B29808">
        <v>0.48499999999999999</v>
      </c>
    </row>
    <row r="29809" spans="1:2" x14ac:dyDescent="0.25">
      <c r="A29809" s="74">
        <v>34601</v>
      </c>
      <c r="B29809">
        <v>0.46400000000000002</v>
      </c>
    </row>
    <row r="29810" spans="1:2" x14ac:dyDescent="0.25">
      <c r="A29810" s="74">
        <v>34602</v>
      </c>
      <c r="B29810">
        <v>0.42199999999999999</v>
      </c>
    </row>
    <row r="29811" spans="1:2" x14ac:dyDescent="0.25">
      <c r="A29811" s="74">
        <v>34603</v>
      </c>
      <c r="B29811">
        <v>0.42099999999999999</v>
      </c>
    </row>
    <row r="29812" spans="1:2" x14ac:dyDescent="0.25">
      <c r="A29812" s="74">
        <v>34604</v>
      </c>
      <c r="B29812">
        <v>0.39100000000000001</v>
      </c>
    </row>
    <row r="29813" spans="1:2" x14ac:dyDescent="0.25">
      <c r="A29813" s="74">
        <v>34605</v>
      </c>
      <c r="B29813">
        <v>0.36299999999999999</v>
      </c>
    </row>
    <row r="29814" spans="1:2" x14ac:dyDescent="0.25">
      <c r="A29814" s="74">
        <v>34606</v>
      </c>
      <c r="B29814">
        <v>0.35399999999999998</v>
      </c>
    </row>
    <row r="29815" spans="1:2" x14ac:dyDescent="0.25">
      <c r="A29815" s="74">
        <v>34607</v>
      </c>
      <c r="B29815">
        <v>0.36899999999999999</v>
      </c>
    </row>
    <row r="29816" spans="1:2" x14ac:dyDescent="0.25">
      <c r="A29816" s="74">
        <v>34608</v>
      </c>
      <c r="B29816">
        <v>0.39600000000000002</v>
      </c>
    </row>
    <row r="29817" spans="1:2" x14ac:dyDescent="0.25">
      <c r="A29817" s="74">
        <v>34609</v>
      </c>
      <c r="B29817">
        <v>0.41799999999999998</v>
      </c>
    </row>
    <row r="29818" spans="1:2" x14ac:dyDescent="0.25">
      <c r="A29818" s="74">
        <v>34610</v>
      </c>
      <c r="B29818">
        <v>0.46300000000000002</v>
      </c>
    </row>
    <row r="29819" spans="1:2" x14ac:dyDescent="0.25">
      <c r="A29819" s="74">
        <v>34611</v>
      </c>
      <c r="B29819">
        <v>0.46500000000000002</v>
      </c>
    </row>
    <row r="29820" spans="1:2" x14ac:dyDescent="0.25">
      <c r="A29820" s="74">
        <v>34612</v>
      </c>
      <c r="B29820">
        <v>0.435</v>
      </c>
    </row>
    <row r="29821" spans="1:2" x14ac:dyDescent="0.25">
      <c r="A29821" s="74">
        <v>34613</v>
      </c>
      <c r="B29821">
        <v>0.40600000000000003</v>
      </c>
    </row>
    <row r="29822" spans="1:2" x14ac:dyDescent="0.25">
      <c r="A29822" s="74">
        <v>34614</v>
      </c>
      <c r="B29822">
        <v>0.39600000000000002</v>
      </c>
    </row>
    <row r="29823" spans="1:2" x14ac:dyDescent="0.25">
      <c r="A29823" s="74">
        <v>34615</v>
      </c>
      <c r="B29823">
        <v>0.40100000000000002</v>
      </c>
    </row>
    <row r="29824" spans="1:2" x14ac:dyDescent="0.25">
      <c r="A29824" s="74">
        <v>34616</v>
      </c>
      <c r="B29824">
        <v>0.38500000000000001</v>
      </c>
    </row>
    <row r="29825" spans="1:2" x14ac:dyDescent="0.25">
      <c r="A29825" s="74">
        <v>34617</v>
      </c>
      <c r="B29825">
        <v>0.38800000000000001</v>
      </c>
    </row>
    <row r="29826" spans="1:2" x14ac:dyDescent="0.25">
      <c r="A29826" s="74">
        <v>34618</v>
      </c>
      <c r="B29826">
        <v>0.435</v>
      </c>
    </row>
    <row r="29827" spans="1:2" x14ac:dyDescent="0.25">
      <c r="A29827" s="74">
        <v>34619</v>
      </c>
      <c r="B29827">
        <v>0.40300000000000002</v>
      </c>
    </row>
    <row r="29828" spans="1:2" x14ac:dyDescent="0.25">
      <c r="A29828" s="74">
        <v>34620</v>
      </c>
      <c r="B29828">
        <v>0.40200000000000002</v>
      </c>
    </row>
    <row r="29829" spans="1:2" x14ac:dyDescent="0.25">
      <c r="A29829" s="74">
        <v>34621</v>
      </c>
      <c r="B29829">
        <v>0.52500000000000002</v>
      </c>
    </row>
    <row r="29830" spans="1:2" x14ac:dyDescent="0.25">
      <c r="A29830" s="74">
        <v>34622</v>
      </c>
      <c r="B29830">
        <v>0.63900000000000001</v>
      </c>
    </row>
    <row r="29831" spans="1:2" x14ac:dyDescent="0.25">
      <c r="A29831" s="74">
        <v>34623</v>
      </c>
      <c r="B29831">
        <v>0.61399999999999999</v>
      </c>
    </row>
    <row r="29832" spans="1:2" x14ac:dyDescent="0.25">
      <c r="A29832" s="74">
        <v>34624</v>
      </c>
      <c r="B29832">
        <v>0.58799999999999997</v>
      </c>
    </row>
    <row r="29833" spans="1:2" x14ac:dyDescent="0.25">
      <c r="A29833" s="74">
        <v>34625</v>
      </c>
      <c r="B29833">
        <v>0.56899999999999995</v>
      </c>
    </row>
    <row r="29834" spans="1:2" x14ac:dyDescent="0.25">
      <c r="A29834" s="74">
        <v>34626</v>
      </c>
      <c r="B29834">
        <v>0.54100000000000004</v>
      </c>
    </row>
    <row r="29835" spans="1:2" x14ac:dyDescent="0.25">
      <c r="A29835" s="74">
        <v>34627</v>
      </c>
      <c r="B29835">
        <v>0.58799999999999997</v>
      </c>
    </row>
    <row r="29836" spans="1:2" x14ac:dyDescent="0.25">
      <c r="A29836" s="74">
        <v>34628</v>
      </c>
      <c r="B29836">
        <v>2.67</v>
      </c>
    </row>
    <row r="29837" spans="1:2" x14ac:dyDescent="0.25">
      <c r="A29837" s="74">
        <v>34629</v>
      </c>
      <c r="B29837">
        <v>1.97</v>
      </c>
    </row>
    <row r="29838" spans="1:2" x14ac:dyDescent="0.25">
      <c r="A29838" s="74">
        <v>34630</v>
      </c>
      <c r="B29838">
        <v>2.2799999999999998</v>
      </c>
    </row>
    <row r="29839" spans="1:2" x14ac:dyDescent="0.25">
      <c r="A29839" s="74">
        <v>34631</v>
      </c>
      <c r="B29839">
        <v>2.23</v>
      </c>
    </row>
    <row r="29840" spans="1:2" x14ac:dyDescent="0.25">
      <c r="A29840" s="74">
        <v>34632</v>
      </c>
      <c r="B29840">
        <v>1.86</v>
      </c>
    </row>
    <row r="29841" spans="1:2" x14ac:dyDescent="0.25">
      <c r="A29841" s="74">
        <v>34633</v>
      </c>
      <c r="B29841">
        <v>18.5</v>
      </c>
    </row>
    <row r="29842" spans="1:2" x14ac:dyDescent="0.25">
      <c r="A29842" s="74">
        <v>34634</v>
      </c>
      <c r="B29842">
        <v>17.8</v>
      </c>
    </row>
    <row r="29843" spans="1:2" x14ac:dyDescent="0.25">
      <c r="A29843" s="74">
        <v>34635</v>
      </c>
      <c r="B29843">
        <v>11.2</v>
      </c>
    </row>
    <row r="29844" spans="1:2" x14ac:dyDescent="0.25">
      <c r="A29844" s="74">
        <v>34636</v>
      </c>
      <c r="B29844">
        <v>7.39</v>
      </c>
    </row>
    <row r="29845" spans="1:2" x14ac:dyDescent="0.25">
      <c r="A29845" s="74">
        <v>34637</v>
      </c>
      <c r="B29845">
        <v>11.3</v>
      </c>
    </row>
    <row r="29846" spans="1:2" x14ac:dyDescent="0.25">
      <c r="A29846" s="74">
        <v>34638</v>
      </c>
      <c r="B29846">
        <v>17.5</v>
      </c>
    </row>
    <row r="29847" spans="1:2" x14ac:dyDescent="0.25">
      <c r="A29847" s="74">
        <v>34639</v>
      </c>
      <c r="B29847">
        <v>15.5</v>
      </c>
    </row>
    <row r="29848" spans="1:2" x14ac:dyDescent="0.25">
      <c r="A29848" s="74">
        <v>34640</v>
      </c>
      <c r="B29848">
        <v>10.1</v>
      </c>
    </row>
    <row r="29849" spans="1:2" x14ac:dyDescent="0.25">
      <c r="A29849" s="74">
        <v>34641</v>
      </c>
      <c r="B29849">
        <v>7.36</v>
      </c>
    </row>
    <row r="29850" spans="1:2" x14ac:dyDescent="0.25">
      <c r="A29850" s="74">
        <v>34642</v>
      </c>
      <c r="B29850">
        <v>10.6</v>
      </c>
    </row>
    <row r="29851" spans="1:2" x14ac:dyDescent="0.25">
      <c r="A29851" s="74">
        <v>34643</v>
      </c>
      <c r="B29851">
        <v>8.73</v>
      </c>
    </row>
    <row r="29852" spans="1:2" x14ac:dyDescent="0.25">
      <c r="A29852" s="74">
        <v>34644</v>
      </c>
      <c r="B29852">
        <v>7.2</v>
      </c>
    </row>
    <row r="29853" spans="1:2" x14ac:dyDescent="0.25">
      <c r="A29853" s="74">
        <v>34645</v>
      </c>
      <c r="B29853">
        <v>6.04</v>
      </c>
    </row>
    <row r="29854" spans="1:2" x14ac:dyDescent="0.25">
      <c r="A29854" s="74">
        <v>34646</v>
      </c>
      <c r="B29854">
        <v>6.07</v>
      </c>
    </row>
    <row r="29855" spans="1:2" x14ac:dyDescent="0.25">
      <c r="A29855" s="74">
        <v>34647</v>
      </c>
      <c r="B29855">
        <v>16</v>
      </c>
    </row>
    <row r="29856" spans="1:2" x14ac:dyDescent="0.25">
      <c r="A29856" s="74">
        <v>34648</v>
      </c>
      <c r="B29856">
        <v>15.7</v>
      </c>
    </row>
    <row r="29857" spans="1:2" x14ac:dyDescent="0.25">
      <c r="A29857" s="74">
        <v>34649</v>
      </c>
      <c r="B29857">
        <v>12.4</v>
      </c>
    </row>
    <row r="29858" spans="1:2" x14ac:dyDescent="0.25">
      <c r="A29858" s="74">
        <v>34650</v>
      </c>
      <c r="B29858">
        <v>12.9</v>
      </c>
    </row>
    <row r="29859" spans="1:2" x14ac:dyDescent="0.25">
      <c r="A29859" s="74">
        <v>34651</v>
      </c>
      <c r="B29859">
        <v>9.91</v>
      </c>
    </row>
    <row r="29860" spans="1:2" x14ac:dyDescent="0.25">
      <c r="A29860" s="74">
        <v>34652</v>
      </c>
      <c r="B29860">
        <v>24.1</v>
      </c>
    </row>
    <row r="29861" spans="1:2" x14ac:dyDescent="0.25">
      <c r="A29861" s="74">
        <v>34653</v>
      </c>
      <c r="B29861">
        <v>26.6</v>
      </c>
    </row>
    <row r="29862" spans="1:2" x14ac:dyDescent="0.25">
      <c r="A29862" s="74">
        <v>34654</v>
      </c>
      <c r="B29862">
        <v>17.399999999999999</v>
      </c>
    </row>
    <row r="29863" spans="1:2" x14ac:dyDescent="0.25">
      <c r="A29863" s="74">
        <v>34655</v>
      </c>
      <c r="B29863">
        <v>12.1</v>
      </c>
    </row>
    <row r="29864" spans="1:2" x14ac:dyDescent="0.25">
      <c r="A29864" s="74">
        <v>34656</v>
      </c>
      <c r="B29864">
        <v>9.2200000000000006</v>
      </c>
    </row>
    <row r="29865" spans="1:2" x14ac:dyDescent="0.25">
      <c r="A29865" s="74">
        <v>34657</v>
      </c>
      <c r="B29865">
        <v>22.2</v>
      </c>
    </row>
    <row r="29866" spans="1:2" x14ac:dyDescent="0.25">
      <c r="A29866" s="74">
        <v>34658</v>
      </c>
      <c r="B29866">
        <v>27.8</v>
      </c>
    </row>
    <row r="29867" spans="1:2" x14ac:dyDescent="0.25">
      <c r="A29867" s="74">
        <v>34659</v>
      </c>
      <c r="B29867">
        <v>16.5</v>
      </c>
    </row>
    <row r="29868" spans="1:2" x14ac:dyDescent="0.25">
      <c r="A29868" s="74">
        <v>34660</v>
      </c>
      <c r="B29868">
        <v>12.4</v>
      </c>
    </row>
    <row r="29869" spans="1:2" x14ac:dyDescent="0.25">
      <c r="A29869" s="74">
        <v>34661</v>
      </c>
      <c r="B29869">
        <v>11.3</v>
      </c>
    </row>
    <row r="29870" spans="1:2" x14ac:dyDescent="0.25">
      <c r="A29870" s="74">
        <v>34662</v>
      </c>
      <c r="B29870">
        <v>9.48</v>
      </c>
    </row>
    <row r="29871" spans="1:2" x14ac:dyDescent="0.25">
      <c r="A29871" s="74">
        <v>34663</v>
      </c>
      <c r="B29871">
        <v>9.24</v>
      </c>
    </row>
    <row r="29872" spans="1:2" x14ac:dyDescent="0.25">
      <c r="A29872" s="74">
        <v>34664</v>
      </c>
      <c r="B29872">
        <v>8.0500000000000007</v>
      </c>
    </row>
    <row r="29873" spans="1:2" x14ac:dyDescent="0.25">
      <c r="A29873" s="74">
        <v>34665</v>
      </c>
      <c r="B29873">
        <v>7.2</v>
      </c>
    </row>
    <row r="29874" spans="1:2" x14ac:dyDescent="0.25">
      <c r="A29874" s="74">
        <v>34666</v>
      </c>
      <c r="B29874">
        <v>6.44</v>
      </c>
    </row>
    <row r="29875" spans="1:2" x14ac:dyDescent="0.25">
      <c r="A29875" s="74">
        <v>34667</v>
      </c>
      <c r="B29875">
        <v>7.52</v>
      </c>
    </row>
    <row r="29876" spans="1:2" x14ac:dyDescent="0.25">
      <c r="A29876" s="74">
        <v>34668</v>
      </c>
      <c r="B29876">
        <v>101</v>
      </c>
    </row>
    <row r="29877" spans="1:2" x14ac:dyDescent="0.25">
      <c r="A29877" s="74">
        <v>34669</v>
      </c>
      <c r="B29877">
        <v>61.5</v>
      </c>
    </row>
    <row r="29878" spans="1:2" x14ac:dyDescent="0.25">
      <c r="A29878" s="74">
        <v>34670</v>
      </c>
      <c r="B29878">
        <v>29.3</v>
      </c>
    </row>
    <row r="29879" spans="1:2" x14ac:dyDescent="0.25">
      <c r="A29879" s="74">
        <v>34671</v>
      </c>
      <c r="B29879">
        <v>18.100000000000001</v>
      </c>
    </row>
    <row r="29880" spans="1:2" x14ac:dyDescent="0.25">
      <c r="A29880" s="74">
        <v>34672</v>
      </c>
      <c r="B29880">
        <v>12.5</v>
      </c>
    </row>
    <row r="29881" spans="1:2" x14ac:dyDescent="0.25">
      <c r="A29881" s="74">
        <v>34673</v>
      </c>
      <c r="B29881">
        <v>10</v>
      </c>
    </row>
    <row r="29882" spans="1:2" x14ac:dyDescent="0.25">
      <c r="A29882" s="74">
        <v>34674</v>
      </c>
      <c r="B29882">
        <v>8.09</v>
      </c>
    </row>
    <row r="29883" spans="1:2" x14ac:dyDescent="0.25">
      <c r="A29883" s="74">
        <v>34675</v>
      </c>
      <c r="B29883">
        <v>6.8</v>
      </c>
    </row>
    <row r="29884" spans="1:2" x14ac:dyDescent="0.25">
      <c r="A29884" s="74">
        <v>34676</v>
      </c>
      <c r="B29884">
        <v>7.06</v>
      </c>
    </row>
    <row r="29885" spans="1:2" x14ac:dyDescent="0.25">
      <c r="A29885" s="74">
        <v>34677</v>
      </c>
      <c r="B29885">
        <v>8.33</v>
      </c>
    </row>
    <row r="29886" spans="1:2" x14ac:dyDescent="0.25">
      <c r="A29886" s="74">
        <v>34678</v>
      </c>
      <c r="B29886">
        <v>7.73</v>
      </c>
    </row>
    <row r="29887" spans="1:2" x14ac:dyDescent="0.25">
      <c r="A29887" s="74">
        <v>34679</v>
      </c>
      <c r="B29887">
        <v>7.48</v>
      </c>
    </row>
    <row r="29888" spans="1:2" x14ac:dyDescent="0.25">
      <c r="A29888" s="74">
        <v>34680</v>
      </c>
      <c r="B29888">
        <v>7.29</v>
      </c>
    </row>
    <row r="29889" spans="1:2" x14ac:dyDescent="0.25">
      <c r="A29889" s="74">
        <v>34681</v>
      </c>
      <c r="B29889">
        <v>6.78</v>
      </c>
    </row>
    <row r="29890" spans="1:2" x14ac:dyDescent="0.25">
      <c r="A29890" s="74">
        <v>34682</v>
      </c>
      <c r="B29890">
        <v>6.1</v>
      </c>
    </row>
    <row r="29891" spans="1:2" x14ac:dyDescent="0.25">
      <c r="A29891" s="74">
        <v>34683</v>
      </c>
      <c r="B29891">
        <v>5.81</v>
      </c>
    </row>
    <row r="29892" spans="1:2" x14ac:dyDescent="0.25">
      <c r="A29892" s="74">
        <v>34684</v>
      </c>
      <c r="B29892">
        <v>17.3</v>
      </c>
    </row>
    <row r="29893" spans="1:2" x14ac:dyDescent="0.25">
      <c r="A29893" s="74">
        <v>34685</v>
      </c>
      <c r="B29893">
        <v>78.8</v>
      </c>
    </row>
    <row r="29894" spans="1:2" x14ac:dyDescent="0.25">
      <c r="A29894" s="74">
        <v>34686</v>
      </c>
      <c r="B29894">
        <v>95.2</v>
      </c>
    </row>
    <row r="29895" spans="1:2" x14ac:dyDescent="0.25">
      <c r="A29895" s="74">
        <v>34687</v>
      </c>
      <c r="B29895">
        <v>211</v>
      </c>
    </row>
    <row r="29896" spans="1:2" x14ac:dyDescent="0.25">
      <c r="A29896" s="74">
        <v>34688</v>
      </c>
      <c r="B29896">
        <v>168</v>
      </c>
    </row>
    <row r="29897" spans="1:2" x14ac:dyDescent="0.25">
      <c r="A29897" s="74">
        <v>34689</v>
      </c>
      <c r="B29897">
        <v>62.6</v>
      </c>
    </row>
    <row r="29898" spans="1:2" x14ac:dyDescent="0.25">
      <c r="A29898" s="74">
        <v>34690</v>
      </c>
      <c r="B29898">
        <v>35.9</v>
      </c>
    </row>
    <row r="29899" spans="1:2" x14ac:dyDescent="0.25">
      <c r="A29899" s="74">
        <v>34691</v>
      </c>
      <c r="B29899">
        <v>25.1</v>
      </c>
    </row>
    <row r="29900" spans="1:2" x14ac:dyDescent="0.25">
      <c r="A29900" s="74">
        <v>34692</v>
      </c>
      <c r="B29900">
        <v>19.5</v>
      </c>
    </row>
    <row r="29901" spans="1:2" x14ac:dyDescent="0.25">
      <c r="A29901" s="74">
        <v>34693</v>
      </c>
      <c r="B29901">
        <v>18.100000000000001</v>
      </c>
    </row>
    <row r="29902" spans="1:2" x14ac:dyDescent="0.25">
      <c r="A29902" s="74">
        <v>34694</v>
      </c>
      <c r="B29902">
        <v>112</v>
      </c>
    </row>
    <row r="29903" spans="1:2" x14ac:dyDescent="0.25">
      <c r="A29903" s="74">
        <v>34695</v>
      </c>
      <c r="B29903">
        <v>99.2</v>
      </c>
    </row>
    <row r="29904" spans="1:2" x14ac:dyDescent="0.25">
      <c r="A29904" s="74">
        <v>34696</v>
      </c>
      <c r="B29904">
        <v>77</v>
      </c>
    </row>
    <row r="29905" spans="1:2" x14ac:dyDescent="0.25">
      <c r="A29905" s="74">
        <v>34697</v>
      </c>
      <c r="B29905">
        <v>36.799999999999997</v>
      </c>
    </row>
    <row r="29906" spans="1:2" x14ac:dyDescent="0.25">
      <c r="A29906" s="74">
        <v>34698</v>
      </c>
      <c r="B29906">
        <v>21.2</v>
      </c>
    </row>
    <row r="29907" spans="1:2" x14ac:dyDescent="0.25">
      <c r="A29907" s="74">
        <v>34699</v>
      </c>
      <c r="B29907">
        <v>15.4</v>
      </c>
    </row>
    <row r="29908" spans="1:2" x14ac:dyDescent="0.25">
      <c r="A29908" s="74">
        <v>34700</v>
      </c>
      <c r="B29908">
        <v>12.3</v>
      </c>
    </row>
    <row r="29909" spans="1:2" x14ac:dyDescent="0.25">
      <c r="A29909" s="74">
        <v>34701</v>
      </c>
      <c r="B29909">
        <v>10.1</v>
      </c>
    </row>
    <row r="29910" spans="1:2" x14ac:dyDescent="0.25">
      <c r="A29910" s="74">
        <v>34702</v>
      </c>
      <c r="B29910">
        <v>8.3000000000000007</v>
      </c>
    </row>
    <row r="29911" spans="1:2" x14ac:dyDescent="0.25">
      <c r="A29911" s="74">
        <v>34703</v>
      </c>
      <c r="B29911">
        <v>7.15</v>
      </c>
    </row>
    <row r="29912" spans="1:2" x14ac:dyDescent="0.25">
      <c r="A29912" s="74">
        <v>34704</v>
      </c>
      <c r="B29912">
        <v>6.32</v>
      </c>
    </row>
    <row r="29913" spans="1:2" x14ac:dyDescent="0.25">
      <c r="A29913" s="74">
        <v>34705</v>
      </c>
      <c r="B29913">
        <v>5.49</v>
      </c>
    </row>
    <row r="29914" spans="1:2" x14ac:dyDescent="0.25">
      <c r="A29914" s="74">
        <v>34706</v>
      </c>
      <c r="B29914">
        <v>5</v>
      </c>
    </row>
    <row r="29915" spans="1:2" x14ac:dyDescent="0.25">
      <c r="A29915" s="74">
        <v>34707</v>
      </c>
      <c r="B29915">
        <v>8.6300000000000008</v>
      </c>
    </row>
    <row r="29916" spans="1:2" x14ac:dyDescent="0.25">
      <c r="A29916" s="74">
        <v>34708</v>
      </c>
      <c r="B29916">
        <v>19.899999999999999</v>
      </c>
    </row>
    <row r="29917" spans="1:2" x14ac:dyDescent="0.25">
      <c r="A29917" s="74">
        <v>34709</v>
      </c>
      <c r="B29917">
        <v>49.4</v>
      </c>
    </row>
    <row r="29918" spans="1:2" x14ac:dyDescent="0.25">
      <c r="A29918" s="74">
        <v>34710</v>
      </c>
      <c r="B29918">
        <v>43.7</v>
      </c>
    </row>
    <row r="29919" spans="1:2" x14ac:dyDescent="0.25">
      <c r="A29919" s="74">
        <v>34711</v>
      </c>
      <c r="B29919">
        <v>31.8</v>
      </c>
    </row>
    <row r="29920" spans="1:2" x14ac:dyDescent="0.25">
      <c r="A29920" s="74">
        <v>34712</v>
      </c>
      <c r="B29920">
        <v>25.8</v>
      </c>
    </row>
    <row r="29921" spans="1:3" x14ac:dyDescent="0.25">
      <c r="A29921" s="74">
        <v>34713</v>
      </c>
      <c r="B29921">
        <v>32.6</v>
      </c>
    </row>
    <row r="29922" spans="1:3" x14ac:dyDescent="0.25">
      <c r="A29922" s="74">
        <v>34714</v>
      </c>
      <c r="B29922">
        <v>32.700000000000003</v>
      </c>
    </row>
    <row r="29923" spans="1:3" x14ac:dyDescent="0.25">
      <c r="A29923" s="74">
        <v>34715</v>
      </c>
      <c r="B29923">
        <v>22.3</v>
      </c>
    </row>
    <row r="29924" spans="1:3" x14ac:dyDescent="0.25">
      <c r="A29924" s="74">
        <v>34716</v>
      </c>
      <c r="B29924">
        <v>16.899999999999999</v>
      </c>
    </row>
    <row r="29925" spans="1:3" x14ac:dyDescent="0.25">
      <c r="A29925" s="74">
        <v>34717</v>
      </c>
      <c r="B29925">
        <v>59.3</v>
      </c>
    </row>
    <row r="29926" spans="1:3" x14ac:dyDescent="0.25">
      <c r="A29926" s="74">
        <v>34718</v>
      </c>
      <c r="B29926">
        <v>57.9</v>
      </c>
    </row>
    <row r="29927" spans="1:3" x14ac:dyDescent="0.25">
      <c r="A29927" s="74">
        <v>34719</v>
      </c>
      <c r="B29927">
        <v>30.5</v>
      </c>
    </row>
    <row r="29928" spans="1:3" x14ac:dyDescent="0.25">
      <c r="A29928" s="74">
        <v>34720</v>
      </c>
      <c r="B29928">
        <v>19.600000000000001</v>
      </c>
    </row>
    <row r="29929" spans="1:3" x14ac:dyDescent="0.25">
      <c r="A29929" s="74">
        <v>34721</v>
      </c>
      <c r="B29929">
        <v>15.2</v>
      </c>
    </row>
    <row r="29930" spans="1:3" x14ac:dyDescent="0.25">
      <c r="A29930" s="74">
        <v>34722</v>
      </c>
      <c r="B29930">
        <v>12.6</v>
      </c>
    </row>
    <row r="29931" spans="1:3" x14ac:dyDescent="0.25">
      <c r="A29931" s="74">
        <v>34723</v>
      </c>
      <c r="B29931">
        <v>11.1</v>
      </c>
    </row>
    <row r="29932" spans="1:3" x14ac:dyDescent="0.25">
      <c r="A29932" s="74">
        <v>34724</v>
      </c>
      <c r="B29932">
        <v>9.4600000000000009</v>
      </c>
    </row>
    <row r="29933" spans="1:3" x14ac:dyDescent="0.25">
      <c r="A29933" s="74">
        <v>34725</v>
      </c>
      <c r="B29933">
        <v>8.75</v>
      </c>
    </row>
    <row r="29934" spans="1:3" x14ac:dyDescent="0.25">
      <c r="A29934" s="74">
        <v>34726</v>
      </c>
      <c r="B29934">
        <v>8.08</v>
      </c>
    </row>
    <row r="29935" spans="1:3" x14ac:dyDescent="0.25">
      <c r="A29935" s="74">
        <v>34727</v>
      </c>
      <c r="B29935">
        <v>8.06</v>
      </c>
    </row>
    <row r="29936" spans="1:3" x14ac:dyDescent="0.25">
      <c r="A29936" s="74">
        <v>34728</v>
      </c>
      <c r="B29936">
        <v>78.099999999999994</v>
      </c>
      <c r="C29936" t="s">
        <v>140</v>
      </c>
    </row>
    <row r="29937" spans="1:3" x14ac:dyDescent="0.25">
      <c r="A29937" s="74">
        <v>34729</v>
      </c>
      <c r="B29937">
        <v>44.5</v>
      </c>
      <c r="C29937" t="s">
        <v>141</v>
      </c>
    </row>
    <row r="29938" spans="1:3" x14ac:dyDescent="0.25">
      <c r="A29938" s="74">
        <v>34730</v>
      </c>
      <c r="B29938">
        <v>81</v>
      </c>
      <c r="C29938" t="s">
        <v>141</v>
      </c>
    </row>
    <row r="29939" spans="1:3" x14ac:dyDescent="0.25">
      <c r="A29939" s="74">
        <v>34731</v>
      </c>
      <c r="B29939">
        <v>107</v>
      </c>
      <c r="C29939" t="s">
        <v>141</v>
      </c>
    </row>
    <row r="29940" spans="1:3" x14ac:dyDescent="0.25">
      <c r="A29940" s="74">
        <v>34732</v>
      </c>
      <c r="B29940">
        <v>64.2</v>
      </c>
      <c r="C29940" t="s">
        <v>141</v>
      </c>
    </row>
    <row r="29941" spans="1:3" x14ac:dyDescent="0.25">
      <c r="A29941" s="74">
        <v>34733</v>
      </c>
      <c r="B29941">
        <v>54.5</v>
      </c>
      <c r="C29941" t="s">
        <v>141</v>
      </c>
    </row>
    <row r="29942" spans="1:3" x14ac:dyDescent="0.25">
      <c r="A29942" s="74">
        <v>34734</v>
      </c>
      <c r="B29942">
        <v>43.4</v>
      </c>
      <c r="C29942" t="s">
        <v>141</v>
      </c>
    </row>
    <row r="29943" spans="1:3" x14ac:dyDescent="0.25">
      <c r="A29943" s="74">
        <v>34735</v>
      </c>
      <c r="B29943">
        <v>33.1</v>
      </c>
      <c r="C29943" t="s">
        <v>141</v>
      </c>
    </row>
    <row r="29944" spans="1:3" x14ac:dyDescent="0.25">
      <c r="A29944" s="74">
        <v>34736</v>
      </c>
      <c r="B29944">
        <v>37.5</v>
      </c>
      <c r="C29944" t="s">
        <v>141</v>
      </c>
    </row>
    <row r="29945" spans="1:3" x14ac:dyDescent="0.25">
      <c r="A29945" s="74">
        <v>34737</v>
      </c>
      <c r="B29945">
        <v>29</v>
      </c>
      <c r="C29945" t="s">
        <v>141</v>
      </c>
    </row>
    <row r="29946" spans="1:3" x14ac:dyDescent="0.25">
      <c r="A29946" s="74">
        <v>34738</v>
      </c>
      <c r="B29946">
        <v>25</v>
      </c>
      <c r="C29946" t="s">
        <v>141</v>
      </c>
    </row>
    <row r="29947" spans="1:3" x14ac:dyDescent="0.25">
      <c r="A29947" s="74">
        <v>34739</v>
      </c>
      <c r="B29947">
        <v>19.100000000000001</v>
      </c>
      <c r="C29947" t="s">
        <v>141</v>
      </c>
    </row>
    <row r="29948" spans="1:3" x14ac:dyDescent="0.25">
      <c r="A29948" s="74">
        <v>34740</v>
      </c>
      <c r="B29948">
        <v>18.3</v>
      </c>
      <c r="C29948" t="s">
        <v>141</v>
      </c>
    </row>
    <row r="29949" spans="1:3" x14ac:dyDescent="0.25">
      <c r="A29949" s="74">
        <v>34741</v>
      </c>
      <c r="B29949">
        <v>17.100000000000001</v>
      </c>
      <c r="C29949" t="s">
        <v>141</v>
      </c>
    </row>
    <row r="29950" spans="1:3" x14ac:dyDescent="0.25">
      <c r="A29950" s="74">
        <v>34742</v>
      </c>
      <c r="B29950">
        <v>13.2</v>
      </c>
      <c r="C29950" t="s">
        <v>141</v>
      </c>
    </row>
    <row r="29951" spans="1:3" x14ac:dyDescent="0.25">
      <c r="A29951" s="74">
        <v>34743</v>
      </c>
      <c r="B29951">
        <v>10</v>
      </c>
      <c r="C29951" t="s">
        <v>141</v>
      </c>
    </row>
    <row r="29952" spans="1:3" x14ac:dyDescent="0.25">
      <c r="A29952" s="74">
        <v>34744</v>
      </c>
      <c r="B29952">
        <v>7.73</v>
      </c>
      <c r="C29952" t="s">
        <v>140</v>
      </c>
    </row>
    <row r="29953" spans="1:2" x14ac:dyDescent="0.25">
      <c r="A29953" s="74">
        <v>34745</v>
      </c>
      <c r="B29953">
        <v>7.61</v>
      </c>
    </row>
    <row r="29954" spans="1:2" x14ac:dyDescent="0.25">
      <c r="A29954" s="74">
        <v>34746</v>
      </c>
      <c r="B29954">
        <v>7.4</v>
      </c>
    </row>
    <row r="29955" spans="1:2" x14ac:dyDescent="0.25">
      <c r="A29955" s="74">
        <v>34747</v>
      </c>
      <c r="B29955">
        <v>14.4</v>
      </c>
    </row>
    <row r="29956" spans="1:2" x14ac:dyDescent="0.25">
      <c r="A29956" s="74">
        <v>34748</v>
      </c>
      <c r="B29956">
        <v>61.7</v>
      </c>
    </row>
    <row r="29957" spans="1:2" x14ac:dyDescent="0.25">
      <c r="A29957" s="74">
        <v>34749</v>
      </c>
      <c r="B29957">
        <v>94.8</v>
      </c>
    </row>
    <row r="29958" spans="1:2" x14ac:dyDescent="0.25">
      <c r="A29958" s="74">
        <v>34750</v>
      </c>
      <c r="B29958">
        <v>110</v>
      </c>
    </row>
    <row r="29959" spans="1:2" x14ac:dyDescent="0.25">
      <c r="A29959" s="74">
        <v>34751</v>
      </c>
      <c r="B29959">
        <v>62.3</v>
      </c>
    </row>
    <row r="29960" spans="1:2" x14ac:dyDescent="0.25">
      <c r="A29960" s="74">
        <v>34752</v>
      </c>
      <c r="B29960">
        <v>29.2</v>
      </c>
    </row>
    <row r="29961" spans="1:2" x14ac:dyDescent="0.25">
      <c r="A29961" s="74">
        <v>34753</v>
      </c>
      <c r="B29961">
        <v>19.3</v>
      </c>
    </row>
    <row r="29962" spans="1:2" x14ac:dyDescent="0.25">
      <c r="A29962" s="74">
        <v>34754</v>
      </c>
      <c r="B29962">
        <v>16.5</v>
      </c>
    </row>
    <row r="29963" spans="1:2" x14ac:dyDescent="0.25">
      <c r="A29963" s="74">
        <v>34755</v>
      </c>
      <c r="B29963">
        <v>16.399999999999999</v>
      </c>
    </row>
    <row r="29964" spans="1:2" x14ac:dyDescent="0.25">
      <c r="A29964" s="74">
        <v>34756</v>
      </c>
      <c r="B29964">
        <v>13.9</v>
      </c>
    </row>
    <row r="29965" spans="1:2" x14ac:dyDescent="0.25">
      <c r="A29965" s="74">
        <v>34757</v>
      </c>
      <c r="B29965">
        <v>11.9</v>
      </c>
    </row>
    <row r="29966" spans="1:2" x14ac:dyDescent="0.25">
      <c r="A29966" s="74">
        <v>34758</v>
      </c>
      <c r="B29966">
        <v>10.4</v>
      </c>
    </row>
    <row r="29967" spans="1:2" x14ac:dyDescent="0.25">
      <c r="A29967" s="74">
        <v>34759</v>
      </c>
      <c r="B29967">
        <v>9.43</v>
      </c>
    </row>
    <row r="29968" spans="1:2" x14ac:dyDescent="0.25">
      <c r="A29968" s="74">
        <v>34760</v>
      </c>
      <c r="B29968">
        <v>8.6300000000000008</v>
      </c>
    </row>
    <row r="29969" spans="1:2" x14ac:dyDescent="0.25">
      <c r="A29969" s="74">
        <v>34761</v>
      </c>
      <c r="B29969">
        <v>7.9</v>
      </c>
    </row>
    <row r="29970" spans="1:2" x14ac:dyDescent="0.25">
      <c r="A29970" s="74">
        <v>34762</v>
      </c>
      <c r="B29970">
        <v>7.66</v>
      </c>
    </row>
    <row r="29971" spans="1:2" x14ac:dyDescent="0.25">
      <c r="A29971" s="74">
        <v>34763</v>
      </c>
      <c r="B29971">
        <v>7.48</v>
      </c>
    </row>
    <row r="29972" spans="1:2" x14ac:dyDescent="0.25">
      <c r="A29972" s="74">
        <v>34764</v>
      </c>
      <c r="B29972">
        <v>6.83</v>
      </c>
    </row>
    <row r="29973" spans="1:2" x14ac:dyDescent="0.25">
      <c r="A29973" s="74">
        <v>34765</v>
      </c>
      <c r="B29973">
        <v>6.41</v>
      </c>
    </row>
    <row r="29974" spans="1:2" x14ac:dyDescent="0.25">
      <c r="A29974" s="74">
        <v>34766</v>
      </c>
      <c r="B29974">
        <v>6.86</v>
      </c>
    </row>
    <row r="29975" spans="1:2" x14ac:dyDescent="0.25">
      <c r="A29975" s="74">
        <v>34767</v>
      </c>
      <c r="B29975">
        <v>34.200000000000003</v>
      </c>
    </row>
    <row r="29976" spans="1:2" x14ac:dyDescent="0.25">
      <c r="A29976" s="74">
        <v>34768</v>
      </c>
      <c r="B29976">
        <v>87.5</v>
      </c>
    </row>
    <row r="29977" spans="1:2" x14ac:dyDescent="0.25">
      <c r="A29977" s="74">
        <v>34769</v>
      </c>
      <c r="B29977">
        <v>50.9</v>
      </c>
    </row>
    <row r="29978" spans="1:2" x14ac:dyDescent="0.25">
      <c r="A29978" s="74">
        <v>34770</v>
      </c>
      <c r="B29978">
        <v>34.1</v>
      </c>
    </row>
    <row r="29979" spans="1:2" x14ac:dyDescent="0.25">
      <c r="A29979" s="74">
        <v>34771</v>
      </c>
      <c r="B29979">
        <v>30.5</v>
      </c>
    </row>
    <row r="29980" spans="1:2" x14ac:dyDescent="0.25">
      <c r="A29980" s="74">
        <v>34772</v>
      </c>
      <c r="B29980">
        <v>69.3</v>
      </c>
    </row>
    <row r="29981" spans="1:2" x14ac:dyDescent="0.25">
      <c r="A29981" s="74">
        <v>34773</v>
      </c>
      <c r="B29981">
        <v>51.3</v>
      </c>
    </row>
    <row r="29982" spans="1:2" x14ac:dyDescent="0.25">
      <c r="A29982" s="74">
        <v>34774</v>
      </c>
      <c r="B29982">
        <v>26.9</v>
      </c>
    </row>
    <row r="29983" spans="1:2" x14ac:dyDescent="0.25">
      <c r="A29983" s="74">
        <v>34775</v>
      </c>
      <c r="B29983">
        <v>18.600000000000001</v>
      </c>
    </row>
    <row r="29984" spans="1:2" x14ac:dyDescent="0.25">
      <c r="A29984" s="74">
        <v>34776</v>
      </c>
      <c r="B29984">
        <v>16.5</v>
      </c>
    </row>
    <row r="29985" spans="1:2" x14ac:dyDescent="0.25">
      <c r="A29985" s="74">
        <v>34777</v>
      </c>
      <c r="B29985">
        <v>14.8</v>
      </c>
    </row>
    <row r="29986" spans="1:2" x14ac:dyDescent="0.25">
      <c r="A29986" s="74">
        <v>34778</v>
      </c>
      <c r="B29986">
        <v>18.3</v>
      </c>
    </row>
    <row r="29987" spans="1:2" x14ac:dyDescent="0.25">
      <c r="A29987" s="74">
        <v>34779</v>
      </c>
      <c r="B29987">
        <v>30.1</v>
      </c>
    </row>
    <row r="29988" spans="1:2" x14ac:dyDescent="0.25">
      <c r="A29988" s="74">
        <v>34780</v>
      </c>
      <c r="B29988">
        <v>24.2</v>
      </c>
    </row>
    <row r="29989" spans="1:2" x14ac:dyDescent="0.25">
      <c r="A29989" s="74">
        <v>34781</v>
      </c>
      <c r="B29989">
        <v>19.399999999999999</v>
      </c>
    </row>
    <row r="29990" spans="1:2" x14ac:dyDescent="0.25">
      <c r="A29990" s="74">
        <v>34782</v>
      </c>
      <c r="B29990">
        <v>15.9</v>
      </c>
    </row>
    <row r="29991" spans="1:2" x14ac:dyDescent="0.25">
      <c r="A29991" s="74">
        <v>34783</v>
      </c>
      <c r="B29991">
        <v>13.3</v>
      </c>
    </row>
    <row r="29992" spans="1:2" x14ac:dyDescent="0.25">
      <c r="A29992" s="74">
        <v>34784</v>
      </c>
      <c r="B29992">
        <v>11.3</v>
      </c>
    </row>
    <row r="29993" spans="1:2" x14ac:dyDescent="0.25">
      <c r="A29993" s="74">
        <v>34785</v>
      </c>
      <c r="B29993">
        <v>10.3</v>
      </c>
    </row>
    <row r="29994" spans="1:2" x14ac:dyDescent="0.25">
      <c r="A29994" s="74">
        <v>34786</v>
      </c>
      <c r="B29994">
        <v>10.199999999999999</v>
      </c>
    </row>
    <row r="29995" spans="1:2" x14ac:dyDescent="0.25">
      <c r="A29995" s="74">
        <v>34787</v>
      </c>
      <c r="B29995">
        <v>10</v>
      </c>
    </row>
    <row r="29996" spans="1:2" x14ac:dyDescent="0.25">
      <c r="A29996" s="74">
        <v>34788</v>
      </c>
      <c r="B29996">
        <v>10.4</v>
      </c>
    </row>
    <row r="29997" spans="1:2" x14ac:dyDescent="0.25">
      <c r="A29997" s="74">
        <v>34789</v>
      </c>
      <c r="B29997">
        <v>10.199999999999999</v>
      </c>
    </row>
    <row r="29998" spans="1:2" x14ac:dyDescent="0.25">
      <c r="A29998" s="74">
        <v>34790</v>
      </c>
      <c r="B29998">
        <v>10.1</v>
      </c>
    </row>
    <row r="29999" spans="1:2" x14ac:dyDescent="0.25">
      <c r="A29999" s="74">
        <v>34791</v>
      </c>
      <c r="B29999">
        <v>9.5399999999999991</v>
      </c>
    </row>
    <row r="30000" spans="1:2" x14ac:dyDescent="0.25">
      <c r="A30000" s="74">
        <v>34792</v>
      </c>
      <c r="B30000">
        <v>9.07</v>
      </c>
    </row>
    <row r="30001" spans="1:2" x14ac:dyDescent="0.25">
      <c r="A30001" s="74">
        <v>34793</v>
      </c>
      <c r="B30001">
        <v>9.31</v>
      </c>
    </row>
    <row r="30002" spans="1:2" x14ac:dyDescent="0.25">
      <c r="A30002" s="74">
        <v>34794</v>
      </c>
      <c r="B30002">
        <v>8.69</v>
      </c>
    </row>
    <row r="30003" spans="1:2" x14ac:dyDescent="0.25">
      <c r="A30003" s="74">
        <v>34795</v>
      </c>
      <c r="B30003">
        <v>8.41</v>
      </c>
    </row>
    <row r="30004" spans="1:2" x14ac:dyDescent="0.25">
      <c r="A30004" s="74">
        <v>34796</v>
      </c>
      <c r="B30004">
        <v>17.100000000000001</v>
      </c>
    </row>
    <row r="30005" spans="1:2" x14ac:dyDescent="0.25">
      <c r="A30005" s="74">
        <v>34797</v>
      </c>
      <c r="B30005">
        <v>18</v>
      </c>
    </row>
    <row r="30006" spans="1:2" x14ac:dyDescent="0.25">
      <c r="A30006" s="74">
        <v>34798</v>
      </c>
      <c r="B30006">
        <v>13.3</v>
      </c>
    </row>
    <row r="30007" spans="1:2" x14ac:dyDescent="0.25">
      <c r="A30007" s="74">
        <v>34799</v>
      </c>
      <c r="B30007">
        <v>11.3</v>
      </c>
    </row>
    <row r="30008" spans="1:2" x14ac:dyDescent="0.25">
      <c r="A30008" s="74">
        <v>34800</v>
      </c>
      <c r="B30008">
        <v>10.7</v>
      </c>
    </row>
    <row r="30009" spans="1:2" x14ac:dyDescent="0.25">
      <c r="A30009" s="74">
        <v>34801</v>
      </c>
      <c r="B30009">
        <v>9.74</v>
      </c>
    </row>
    <row r="30010" spans="1:2" x14ac:dyDescent="0.25">
      <c r="A30010" s="74">
        <v>34802</v>
      </c>
      <c r="B30010">
        <v>10.1</v>
      </c>
    </row>
    <row r="30011" spans="1:2" x14ac:dyDescent="0.25">
      <c r="A30011" s="74">
        <v>34803</v>
      </c>
      <c r="B30011">
        <v>9.7200000000000006</v>
      </c>
    </row>
    <row r="30012" spans="1:2" x14ac:dyDescent="0.25">
      <c r="A30012" s="74">
        <v>34804</v>
      </c>
      <c r="B30012">
        <v>8.9499999999999993</v>
      </c>
    </row>
    <row r="30013" spans="1:2" x14ac:dyDescent="0.25">
      <c r="A30013" s="74">
        <v>34805</v>
      </c>
      <c r="B30013">
        <v>8.2200000000000006</v>
      </c>
    </row>
    <row r="30014" spans="1:2" x14ac:dyDescent="0.25">
      <c r="A30014" s="74">
        <v>34806</v>
      </c>
      <c r="B30014">
        <v>7.72</v>
      </c>
    </row>
    <row r="30015" spans="1:2" x14ac:dyDescent="0.25">
      <c r="A30015" s="74">
        <v>34807</v>
      </c>
      <c r="B30015">
        <v>7.62</v>
      </c>
    </row>
    <row r="30016" spans="1:2" x14ac:dyDescent="0.25">
      <c r="A30016" s="74">
        <v>34808</v>
      </c>
      <c r="B30016">
        <v>7.1</v>
      </c>
    </row>
    <row r="30017" spans="1:2" x14ac:dyDescent="0.25">
      <c r="A30017" s="74">
        <v>34809</v>
      </c>
      <c r="B30017">
        <v>6.84</v>
      </c>
    </row>
    <row r="30018" spans="1:2" x14ac:dyDescent="0.25">
      <c r="A30018" s="74">
        <v>34810</v>
      </c>
      <c r="B30018">
        <v>6.58</v>
      </c>
    </row>
    <row r="30019" spans="1:2" x14ac:dyDescent="0.25">
      <c r="A30019" s="74">
        <v>34811</v>
      </c>
      <c r="B30019">
        <v>6.01</v>
      </c>
    </row>
    <row r="30020" spans="1:2" x14ac:dyDescent="0.25">
      <c r="A30020" s="74">
        <v>34812</v>
      </c>
      <c r="B30020">
        <v>6.02</v>
      </c>
    </row>
    <row r="30021" spans="1:2" x14ac:dyDescent="0.25">
      <c r="A30021" s="74">
        <v>34813</v>
      </c>
      <c r="B30021">
        <v>6.52</v>
      </c>
    </row>
    <row r="30022" spans="1:2" x14ac:dyDescent="0.25">
      <c r="A30022" s="74">
        <v>34814</v>
      </c>
      <c r="B30022">
        <v>7.49</v>
      </c>
    </row>
    <row r="30023" spans="1:2" x14ac:dyDescent="0.25">
      <c r="A30023" s="74">
        <v>34815</v>
      </c>
      <c r="B30023">
        <v>7.94</v>
      </c>
    </row>
    <row r="30024" spans="1:2" x14ac:dyDescent="0.25">
      <c r="A30024" s="74">
        <v>34816</v>
      </c>
      <c r="B30024">
        <v>8.4600000000000009</v>
      </c>
    </row>
    <row r="30025" spans="1:2" x14ac:dyDescent="0.25">
      <c r="A30025" s="74">
        <v>34817</v>
      </c>
      <c r="B30025">
        <v>9.58</v>
      </c>
    </row>
    <row r="30026" spans="1:2" x14ac:dyDescent="0.25">
      <c r="A30026" s="74">
        <v>34818</v>
      </c>
      <c r="B30026">
        <v>9.74</v>
      </c>
    </row>
    <row r="30027" spans="1:2" x14ac:dyDescent="0.25">
      <c r="A30027" s="74">
        <v>34819</v>
      </c>
      <c r="B30027">
        <v>9.93</v>
      </c>
    </row>
    <row r="30028" spans="1:2" x14ac:dyDescent="0.25">
      <c r="A30028" s="74">
        <v>34820</v>
      </c>
      <c r="B30028">
        <v>9.48</v>
      </c>
    </row>
    <row r="30029" spans="1:2" x14ac:dyDescent="0.25">
      <c r="A30029" s="74">
        <v>34821</v>
      </c>
      <c r="B30029">
        <v>9.9600000000000009</v>
      </c>
    </row>
    <row r="30030" spans="1:2" x14ac:dyDescent="0.25">
      <c r="A30030" s="74">
        <v>34822</v>
      </c>
      <c r="B30030">
        <v>9.68</v>
      </c>
    </row>
    <row r="30031" spans="1:2" x14ac:dyDescent="0.25">
      <c r="A30031" s="74">
        <v>34823</v>
      </c>
      <c r="B30031">
        <v>8.8000000000000007</v>
      </c>
    </row>
    <row r="30032" spans="1:2" x14ac:dyDescent="0.25">
      <c r="A30032" s="74">
        <v>34824</v>
      </c>
      <c r="B30032">
        <v>8.06</v>
      </c>
    </row>
    <row r="30033" spans="1:2" x14ac:dyDescent="0.25">
      <c r="A30033" s="74">
        <v>34825</v>
      </c>
      <c r="B30033">
        <v>8.08</v>
      </c>
    </row>
    <row r="30034" spans="1:2" x14ac:dyDescent="0.25">
      <c r="A30034" s="74">
        <v>34826</v>
      </c>
      <c r="B30034">
        <v>8.44</v>
      </c>
    </row>
    <row r="30035" spans="1:2" x14ac:dyDescent="0.25">
      <c r="A30035" s="74">
        <v>34827</v>
      </c>
      <c r="B30035">
        <v>8.86</v>
      </c>
    </row>
    <row r="30036" spans="1:2" x14ac:dyDescent="0.25">
      <c r="A30036" s="74">
        <v>34828</v>
      </c>
      <c r="B30036">
        <v>9.82</v>
      </c>
    </row>
    <row r="30037" spans="1:2" x14ac:dyDescent="0.25">
      <c r="A30037" s="74">
        <v>34829</v>
      </c>
      <c r="B30037">
        <v>10.7</v>
      </c>
    </row>
    <row r="30038" spans="1:2" x14ac:dyDescent="0.25">
      <c r="A30038" s="74">
        <v>34830</v>
      </c>
      <c r="B30038">
        <v>9.66</v>
      </c>
    </row>
    <row r="30039" spans="1:2" x14ac:dyDescent="0.25">
      <c r="A30039" s="74">
        <v>34831</v>
      </c>
      <c r="B30039">
        <v>8.48</v>
      </c>
    </row>
    <row r="30040" spans="1:2" x14ac:dyDescent="0.25">
      <c r="A30040" s="74">
        <v>34832</v>
      </c>
      <c r="B30040">
        <v>7.11</v>
      </c>
    </row>
    <row r="30041" spans="1:2" x14ac:dyDescent="0.25">
      <c r="A30041" s="74">
        <v>34833</v>
      </c>
      <c r="B30041">
        <v>8.11</v>
      </c>
    </row>
    <row r="30042" spans="1:2" x14ac:dyDescent="0.25">
      <c r="A30042" s="74">
        <v>34834</v>
      </c>
      <c r="B30042">
        <v>9.98</v>
      </c>
    </row>
    <row r="30043" spans="1:2" x14ac:dyDescent="0.25">
      <c r="A30043" s="74">
        <v>34835</v>
      </c>
      <c r="B30043">
        <v>10.1</v>
      </c>
    </row>
    <row r="30044" spans="1:2" x14ac:dyDescent="0.25">
      <c r="A30044" s="74">
        <v>34836</v>
      </c>
      <c r="B30044">
        <v>8.9</v>
      </c>
    </row>
    <row r="30045" spans="1:2" x14ac:dyDescent="0.25">
      <c r="A30045" s="74">
        <v>34837</v>
      </c>
      <c r="B30045">
        <v>7.74</v>
      </c>
    </row>
    <row r="30046" spans="1:2" x14ac:dyDescent="0.25">
      <c r="A30046" s="74">
        <v>34838</v>
      </c>
      <c r="B30046">
        <v>6.67</v>
      </c>
    </row>
    <row r="30047" spans="1:2" x14ac:dyDescent="0.25">
      <c r="A30047" s="74">
        <v>34839</v>
      </c>
      <c r="B30047">
        <v>6.25</v>
      </c>
    </row>
    <row r="30048" spans="1:2" x14ac:dyDescent="0.25">
      <c r="A30048" s="74">
        <v>34840</v>
      </c>
      <c r="B30048">
        <v>6.14</v>
      </c>
    </row>
    <row r="30049" spans="1:2" x14ac:dyDescent="0.25">
      <c r="A30049" s="74">
        <v>34841</v>
      </c>
      <c r="B30049">
        <v>6.02</v>
      </c>
    </row>
    <row r="30050" spans="1:2" x14ac:dyDescent="0.25">
      <c r="A30050" s="74">
        <v>34842</v>
      </c>
      <c r="B30050">
        <v>6.07</v>
      </c>
    </row>
    <row r="30051" spans="1:2" x14ac:dyDescent="0.25">
      <c r="A30051" s="74">
        <v>34843</v>
      </c>
      <c r="B30051">
        <v>6.35</v>
      </c>
    </row>
    <row r="30052" spans="1:2" x14ac:dyDescent="0.25">
      <c r="A30052" s="74">
        <v>34844</v>
      </c>
      <c r="B30052">
        <v>6.98</v>
      </c>
    </row>
    <row r="30053" spans="1:2" x14ac:dyDescent="0.25">
      <c r="A30053" s="74">
        <v>34845</v>
      </c>
      <c r="B30053">
        <v>7.17</v>
      </c>
    </row>
    <row r="30054" spans="1:2" x14ac:dyDescent="0.25">
      <c r="A30054" s="74">
        <v>34846</v>
      </c>
      <c r="B30054">
        <v>6.99</v>
      </c>
    </row>
    <row r="30055" spans="1:2" x14ac:dyDescent="0.25">
      <c r="A30055" s="74">
        <v>34847</v>
      </c>
      <c r="B30055">
        <v>6.7</v>
      </c>
    </row>
    <row r="30056" spans="1:2" x14ac:dyDescent="0.25">
      <c r="A30056" s="74">
        <v>34848</v>
      </c>
      <c r="B30056">
        <v>6.42</v>
      </c>
    </row>
    <row r="30057" spans="1:2" x14ac:dyDescent="0.25">
      <c r="A30057" s="74">
        <v>34849</v>
      </c>
      <c r="B30057">
        <v>6.5</v>
      </c>
    </row>
    <row r="30058" spans="1:2" x14ac:dyDescent="0.25">
      <c r="A30058" s="74">
        <v>34850</v>
      </c>
      <c r="B30058">
        <v>6.2</v>
      </c>
    </row>
    <row r="30059" spans="1:2" x14ac:dyDescent="0.25">
      <c r="A30059" s="74">
        <v>34851</v>
      </c>
      <c r="B30059">
        <v>5.37</v>
      </c>
    </row>
    <row r="30060" spans="1:2" x14ac:dyDescent="0.25">
      <c r="A30060" s="74">
        <v>34852</v>
      </c>
      <c r="B30060">
        <v>5.29</v>
      </c>
    </row>
    <row r="30061" spans="1:2" x14ac:dyDescent="0.25">
      <c r="A30061" s="74">
        <v>34853</v>
      </c>
      <c r="B30061">
        <v>5.05</v>
      </c>
    </row>
    <row r="30062" spans="1:2" x14ac:dyDescent="0.25">
      <c r="A30062" s="74">
        <v>34854</v>
      </c>
      <c r="B30062">
        <v>4.75</v>
      </c>
    </row>
    <row r="30063" spans="1:2" x14ac:dyDescent="0.25">
      <c r="A30063" s="74">
        <v>34855</v>
      </c>
      <c r="B30063">
        <v>4.4400000000000004</v>
      </c>
    </row>
    <row r="30064" spans="1:2" x14ac:dyDescent="0.25">
      <c r="A30064" s="74">
        <v>34856</v>
      </c>
      <c r="B30064">
        <v>3.81</v>
      </c>
    </row>
    <row r="30065" spans="1:2" x14ac:dyDescent="0.25">
      <c r="A30065" s="74">
        <v>34857</v>
      </c>
      <c r="B30065">
        <v>3.47</v>
      </c>
    </row>
    <row r="30066" spans="1:2" x14ac:dyDescent="0.25">
      <c r="A30066" s="74">
        <v>34858</v>
      </c>
      <c r="B30066">
        <v>3.67</v>
      </c>
    </row>
    <row r="30067" spans="1:2" x14ac:dyDescent="0.25">
      <c r="A30067" s="74">
        <v>34859</v>
      </c>
      <c r="B30067">
        <v>3.98</v>
      </c>
    </row>
    <row r="30068" spans="1:2" x14ac:dyDescent="0.25">
      <c r="A30068" s="74">
        <v>34860</v>
      </c>
      <c r="B30068">
        <v>4.9000000000000004</v>
      </c>
    </row>
    <row r="30069" spans="1:2" x14ac:dyDescent="0.25">
      <c r="A30069" s="74">
        <v>34861</v>
      </c>
      <c r="B30069">
        <v>5.55</v>
      </c>
    </row>
    <row r="30070" spans="1:2" x14ac:dyDescent="0.25">
      <c r="A30070" s="74">
        <v>34862</v>
      </c>
      <c r="B30070">
        <v>4.62</v>
      </c>
    </row>
    <row r="30071" spans="1:2" x14ac:dyDescent="0.25">
      <c r="A30071" s="74">
        <v>34863</v>
      </c>
      <c r="B30071">
        <v>6.32</v>
      </c>
    </row>
    <row r="30072" spans="1:2" x14ac:dyDescent="0.25">
      <c r="A30072" s="74">
        <v>34864</v>
      </c>
      <c r="B30072">
        <v>5.65</v>
      </c>
    </row>
    <row r="30073" spans="1:2" x14ac:dyDescent="0.25">
      <c r="A30073" s="74">
        <v>34865</v>
      </c>
      <c r="B30073">
        <v>4.54</v>
      </c>
    </row>
    <row r="30074" spans="1:2" x14ac:dyDescent="0.25">
      <c r="A30074" s="74">
        <v>34866</v>
      </c>
      <c r="B30074">
        <v>4.0599999999999996</v>
      </c>
    </row>
    <row r="30075" spans="1:2" x14ac:dyDescent="0.25">
      <c r="A30075" s="74">
        <v>34867</v>
      </c>
      <c r="B30075">
        <v>4.1500000000000004</v>
      </c>
    </row>
    <row r="30076" spans="1:2" x14ac:dyDescent="0.25">
      <c r="A30076" s="74">
        <v>34868</v>
      </c>
      <c r="B30076">
        <v>4.3499999999999996</v>
      </c>
    </row>
    <row r="30077" spans="1:2" x14ac:dyDescent="0.25">
      <c r="A30077" s="74">
        <v>34869</v>
      </c>
      <c r="B30077">
        <v>3.9</v>
      </c>
    </row>
    <row r="30078" spans="1:2" x14ac:dyDescent="0.25">
      <c r="A30078" s="74">
        <v>34870</v>
      </c>
      <c r="B30078">
        <v>3.57</v>
      </c>
    </row>
    <row r="30079" spans="1:2" x14ac:dyDescent="0.25">
      <c r="A30079" s="74">
        <v>34871</v>
      </c>
      <c r="B30079">
        <v>3.46</v>
      </c>
    </row>
    <row r="30080" spans="1:2" x14ac:dyDescent="0.25">
      <c r="A30080" s="74">
        <v>34872</v>
      </c>
      <c r="B30080">
        <v>3.34</v>
      </c>
    </row>
    <row r="30081" spans="1:2" x14ac:dyDescent="0.25">
      <c r="A30081" s="74">
        <v>34873</v>
      </c>
      <c r="B30081">
        <v>3.24</v>
      </c>
    </row>
    <row r="30082" spans="1:2" x14ac:dyDescent="0.25">
      <c r="A30082" s="74">
        <v>34874</v>
      </c>
      <c r="B30082">
        <v>3.1</v>
      </c>
    </row>
    <row r="30083" spans="1:2" x14ac:dyDescent="0.25">
      <c r="A30083" s="74">
        <v>34875</v>
      </c>
      <c r="B30083">
        <v>2.91</v>
      </c>
    </row>
    <row r="30084" spans="1:2" x14ac:dyDescent="0.25">
      <c r="A30084" s="74">
        <v>34876</v>
      </c>
      <c r="B30084">
        <v>2.69</v>
      </c>
    </row>
    <row r="30085" spans="1:2" x14ac:dyDescent="0.25">
      <c r="A30085" s="74">
        <v>34877</v>
      </c>
      <c r="B30085">
        <v>2.67</v>
      </c>
    </row>
    <row r="30086" spans="1:2" x14ac:dyDescent="0.25">
      <c r="A30086" s="74">
        <v>34878</v>
      </c>
      <c r="B30086">
        <v>3.33</v>
      </c>
    </row>
    <row r="30087" spans="1:2" x14ac:dyDescent="0.25">
      <c r="A30087" s="74">
        <v>34879</v>
      </c>
      <c r="B30087">
        <v>3.27</v>
      </c>
    </row>
    <row r="30088" spans="1:2" x14ac:dyDescent="0.25">
      <c r="A30088" s="74">
        <v>34880</v>
      </c>
      <c r="B30088">
        <v>3.1</v>
      </c>
    </row>
    <row r="30089" spans="1:2" x14ac:dyDescent="0.25">
      <c r="A30089" s="74">
        <v>34881</v>
      </c>
      <c r="B30089">
        <v>3.02</v>
      </c>
    </row>
    <row r="30090" spans="1:2" x14ac:dyDescent="0.25">
      <c r="A30090" s="74">
        <v>34882</v>
      </c>
      <c r="B30090">
        <v>2.97</v>
      </c>
    </row>
    <row r="30091" spans="1:2" x14ac:dyDescent="0.25">
      <c r="A30091" s="74">
        <v>34883</v>
      </c>
      <c r="B30091">
        <v>2.91</v>
      </c>
    </row>
    <row r="30092" spans="1:2" x14ac:dyDescent="0.25">
      <c r="A30092" s="74">
        <v>34884</v>
      </c>
      <c r="B30092">
        <v>2.64</v>
      </c>
    </row>
    <row r="30093" spans="1:2" x14ac:dyDescent="0.25">
      <c r="A30093" s="74">
        <v>34885</v>
      </c>
      <c r="B30093">
        <v>2.4500000000000002</v>
      </c>
    </row>
    <row r="30094" spans="1:2" x14ac:dyDescent="0.25">
      <c r="A30094" s="74">
        <v>34886</v>
      </c>
      <c r="B30094">
        <v>2.21</v>
      </c>
    </row>
    <row r="30095" spans="1:2" x14ac:dyDescent="0.25">
      <c r="A30095" s="74">
        <v>34887</v>
      </c>
      <c r="B30095">
        <v>2.04</v>
      </c>
    </row>
    <row r="30096" spans="1:2" x14ac:dyDescent="0.25">
      <c r="A30096" s="74">
        <v>34888</v>
      </c>
      <c r="B30096">
        <v>1.93</v>
      </c>
    </row>
    <row r="30097" spans="1:2" x14ac:dyDescent="0.25">
      <c r="A30097" s="74">
        <v>34889</v>
      </c>
      <c r="B30097">
        <v>1.87</v>
      </c>
    </row>
    <row r="30098" spans="1:2" x14ac:dyDescent="0.25">
      <c r="A30098" s="74">
        <v>34890</v>
      </c>
      <c r="B30098">
        <v>2.3199999999999998</v>
      </c>
    </row>
    <row r="30099" spans="1:2" x14ac:dyDescent="0.25">
      <c r="A30099" s="74">
        <v>34891</v>
      </c>
      <c r="B30099">
        <v>2.11</v>
      </c>
    </row>
    <row r="30100" spans="1:2" x14ac:dyDescent="0.25">
      <c r="A30100" s="74">
        <v>34892</v>
      </c>
      <c r="B30100">
        <v>2</v>
      </c>
    </row>
    <row r="30101" spans="1:2" x14ac:dyDescent="0.25">
      <c r="A30101" s="74">
        <v>34893</v>
      </c>
      <c r="B30101">
        <v>1.79</v>
      </c>
    </row>
    <row r="30102" spans="1:2" x14ac:dyDescent="0.25">
      <c r="A30102" s="74">
        <v>34894</v>
      </c>
      <c r="B30102">
        <v>1.66</v>
      </c>
    </row>
    <row r="30103" spans="1:2" x14ac:dyDescent="0.25">
      <c r="A30103" s="74">
        <v>34895</v>
      </c>
      <c r="B30103">
        <v>1.5</v>
      </c>
    </row>
    <row r="30104" spans="1:2" x14ac:dyDescent="0.25">
      <c r="A30104" s="74">
        <v>34896</v>
      </c>
      <c r="B30104">
        <v>1.44</v>
      </c>
    </row>
    <row r="30105" spans="1:2" x14ac:dyDescent="0.25">
      <c r="A30105" s="74">
        <v>34897</v>
      </c>
      <c r="B30105">
        <v>1.28</v>
      </c>
    </row>
    <row r="30106" spans="1:2" x14ac:dyDescent="0.25">
      <c r="A30106" s="74">
        <v>34898</v>
      </c>
      <c r="B30106">
        <v>1.21</v>
      </c>
    </row>
    <row r="30107" spans="1:2" x14ac:dyDescent="0.25">
      <c r="A30107" s="74">
        <v>34899</v>
      </c>
      <c r="B30107">
        <v>1.1399999999999999</v>
      </c>
    </row>
    <row r="30108" spans="1:2" x14ac:dyDescent="0.25">
      <c r="A30108" s="74">
        <v>34900</v>
      </c>
      <c r="B30108">
        <v>1.08</v>
      </c>
    </row>
    <row r="30109" spans="1:2" x14ac:dyDescent="0.25">
      <c r="A30109" s="74">
        <v>34901</v>
      </c>
      <c r="B30109">
        <v>1.03</v>
      </c>
    </row>
    <row r="30110" spans="1:2" x14ac:dyDescent="0.25">
      <c r="A30110" s="74">
        <v>34902</v>
      </c>
      <c r="B30110">
        <v>0.96199999999999997</v>
      </c>
    </row>
    <row r="30111" spans="1:2" x14ac:dyDescent="0.25">
      <c r="A30111" s="74">
        <v>34903</v>
      </c>
      <c r="B30111">
        <v>0.92900000000000005</v>
      </c>
    </row>
    <row r="30112" spans="1:2" x14ac:dyDescent="0.25">
      <c r="A30112" s="74">
        <v>34904</v>
      </c>
      <c r="B30112">
        <v>0.88200000000000001</v>
      </c>
    </row>
    <row r="30113" spans="1:2" x14ac:dyDescent="0.25">
      <c r="A30113" s="74">
        <v>34905</v>
      </c>
      <c r="B30113">
        <v>0.95199999999999996</v>
      </c>
    </row>
    <row r="30114" spans="1:2" x14ac:dyDescent="0.25">
      <c r="A30114" s="74">
        <v>34906</v>
      </c>
      <c r="B30114">
        <v>1.03</v>
      </c>
    </row>
    <row r="30115" spans="1:2" x14ac:dyDescent="0.25">
      <c r="A30115" s="74">
        <v>34907</v>
      </c>
      <c r="B30115">
        <v>1.1000000000000001</v>
      </c>
    </row>
    <row r="30116" spans="1:2" x14ac:dyDescent="0.25">
      <c r="A30116" s="74">
        <v>34908</v>
      </c>
      <c r="B30116">
        <v>1.0900000000000001</v>
      </c>
    </row>
    <row r="30117" spans="1:2" x14ac:dyDescent="0.25">
      <c r="A30117" s="74">
        <v>34909</v>
      </c>
      <c r="B30117">
        <v>0.90600000000000003</v>
      </c>
    </row>
    <row r="30118" spans="1:2" x14ac:dyDescent="0.25">
      <c r="A30118" s="74">
        <v>34910</v>
      </c>
      <c r="B30118">
        <v>0.84</v>
      </c>
    </row>
    <row r="30119" spans="1:2" x14ac:dyDescent="0.25">
      <c r="A30119" s="74">
        <v>34911</v>
      </c>
      <c r="B30119">
        <v>0.81899999999999995</v>
      </c>
    </row>
    <row r="30120" spans="1:2" x14ac:dyDescent="0.25">
      <c r="A30120" s="74">
        <v>34912</v>
      </c>
      <c r="B30120">
        <v>0.77200000000000002</v>
      </c>
    </row>
    <row r="30121" spans="1:2" x14ac:dyDescent="0.25">
      <c r="A30121" s="74">
        <v>34913</v>
      </c>
      <c r="B30121">
        <v>0.71</v>
      </c>
    </row>
    <row r="30122" spans="1:2" x14ac:dyDescent="0.25">
      <c r="A30122" s="74">
        <v>34914</v>
      </c>
      <c r="B30122">
        <v>0.64</v>
      </c>
    </row>
    <row r="30123" spans="1:2" x14ac:dyDescent="0.25">
      <c r="A30123" s="74">
        <v>34915</v>
      </c>
      <c r="B30123">
        <v>0.61299999999999999</v>
      </c>
    </row>
    <row r="30124" spans="1:2" x14ac:dyDescent="0.25">
      <c r="A30124" s="74">
        <v>34916</v>
      </c>
      <c r="B30124">
        <v>0.55600000000000005</v>
      </c>
    </row>
    <row r="30125" spans="1:2" x14ac:dyDescent="0.25">
      <c r="A30125" s="74">
        <v>34917</v>
      </c>
      <c r="B30125">
        <v>0.67600000000000005</v>
      </c>
    </row>
    <row r="30126" spans="1:2" x14ac:dyDescent="0.25">
      <c r="A30126" s="74">
        <v>34918</v>
      </c>
      <c r="B30126">
        <v>2</v>
      </c>
    </row>
    <row r="30127" spans="1:2" x14ac:dyDescent="0.25">
      <c r="A30127" s="74">
        <v>34919</v>
      </c>
      <c r="B30127">
        <v>2.64</v>
      </c>
    </row>
    <row r="30128" spans="1:2" x14ac:dyDescent="0.25">
      <c r="A30128" s="74">
        <v>34920</v>
      </c>
      <c r="B30128">
        <v>1.86</v>
      </c>
    </row>
    <row r="30129" spans="1:2" x14ac:dyDescent="0.25">
      <c r="A30129" s="74">
        <v>34921</v>
      </c>
      <c r="B30129">
        <v>1.38</v>
      </c>
    </row>
    <row r="30130" spans="1:2" x14ac:dyDescent="0.25">
      <c r="A30130" s="74">
        <v>34922</v>
      </c>
      <c r="B30130">
        <v>1.21</v>
      </c>
    </row>
    <row r="30131" spans="1:2" x14ac:dyDescent="0.25">
      <c r="A30131" s="74">
        <v>34923</v>
      </c>
      <c r="B30131">
        <v>1.02</v>
      </c>
    </row>
    <row r="30132" spans="1:2" x14ac:dyDescent="0.25">
      <c r="A30132" s="74">
        <v>34924</v>
      </c>
      <c r="B30132">
        <v>0.90800000000000003</v>
      </c>
    </row>
    <row r="30133" spans="1:2" x14ac:dyDescent="0.25">
      <c r="A30133" s="74">
        <v>34925</v>
      </c>
      <c r="B30133">
        <v>0.84099999999999997</v>
      </c>
    </row>
    <row r="30134" spans="1:2" x14ac:dyDescent="0.25">
      <c r="A30134" s="74">
        <v>34926</v>
      </c>
      <c r="B30134">
        <v>0.81499999999999995</v>
      </c>
    </row>
    <row r="30135" spans="1:2" x14ac:dyDescent="0.25">
      <c r="A30135" s="74">
        <v>34927</v>
      </c>
      <c r="B30135">
        <v>0.84299999999999997</v>
      </c>
    </row>
    <row r="30136" spans="1:2" x14ac:dyDescent="0.25">
      <c r="A30136" s="74">
        <v>34928</v>
      </c>
      <c r="B30136">
        <v>0.83099999999999996</v>
      </c>
    </row>
    <row r="30137" spans="1:2" x14ac:dyDescent="0.25">
      <c r="A30137" s="74">
        <v>34929</v>
      </c>
      <c r="B30137">
        <v>0.73499999999999999</v>
      </c>
    </row>
    <row r="30138" spans="1:2" x14ac:dyDescent="0.25">
      <c r="A30138" s="74">
        <v>34930</v>
      </c>
      <c r="B30138">
        <v>0.78800000000000003</v>
      </c>
    </row>
    <row r="30139" spans="1:2" x14ac:dyDescent="0.25">
      <c r="A30139" s="74">
        <v>34931</v>
      </c>
      <c r="B30139">
        <v>0.98899999999999999</v>
      </c>
    </row>
    <row r="30140" spans="1:2" x14ac:dyDescent="0.25">
      <c r="A30140" s="74">
        <v>34932</v>
      </c>
      <c r="B30140">
        <v>1.02</v>
      </c>
    </row>
    <row r="30141" spans="1:2" x14ac:dyDescent="0.25">
      <c r="A30141" s="74">
        <v>34933</v>
      </c>
      <c r="B30141">
        <v>0.89600000000000002</v>
      </c>
    </row>
    <row r="30142" spans="1:2" x14ac:dyDescent="0.25">
      <c r="A30142" s="74">
        <v>34934</v>
      </c>
      <c r="B30142">
        <v>0.80500000000000005</v>
      </c>
    </row>
    <row r="30143" spans="1:2" x14ac:dyDescent="0.25">
      <c r="A30143" s="74">
        <v>34935</v>
      </c>
      <c r="B30143">
        <v>0.71099999999999997</v>
      </c>
    </row>
    <row r="30144" spans="1:2" x14ac:dyDescent="0.25">
      <c r="A30144" s="74">
        <v>34936</v>
      </c>
      <c r="B30144">
        <v>0.64100000000000001</v>
      </c>
    </row>
    <row r="30145" spans="1:2" x14ac:dyDescent="0.25">
      <c r="A30145" s="74">
        <v>34937</v>
      </c>
      <c r="B30145">
        <v>0.50700000000000001</v>
      </c>
    </row>
    <row r="30146" spans="1:2" x14ac:dyDescent="0.25">
      <c r="A30146" s="74">
        <v>34938</v>
      </c>
      <c r="B30146">
        <v>0.53500000000000003</v>
      </c>
    </row>
    <row r="30147" spans="1:2" x14ac:dyDescent="0.25">
      <c r="A30147" s="74">
        <v>34939</v>
      </c>
      <c r="B30147">
        <v>0.48799999999999999</v>
      </c>
    </row>
    <row r="30148" spans="1:2" x14ac:dyDescent="0.25">
      <c r="A30148" s="74">
        <v>34940</v>
      </c>
      <c r="B30148">
        <v>0.55200000000000005</v>
      </c>
    </row>
    <row r="30149" spans="1:2" x14ac:dyDescent="0.25">
      <c r="A30149" s="74">
        <v>34941</v>
      </c>
      <c r="B30149">
        <v>0.57699999999999996</v>
      </c>
    </row>
    <row r="30150" spans="1:2" x14ac:dyDescent="0.25">
      <c r="A30150" s="74">
        <v>34942</v>
      </c>
      <c r="B30150">
        <v>0.49199999999999999</v>
      </c>
    </row>
    <row r="30151" spans="1:2" x14ac:dyDescent="0.25">
      <c r="A30151" s="74">
        <v>34943</v>
      </c>
      <c r="B30151">
        <v>0.47299999999999998</v>
      </c>
    </row>
    <row r="30152" spans="1:2" x14ac:dyDescent="0.25">
      <c r="A30152" s="74">
        <v>34944</v>
      </c>
      <c r="B30152">
        <v>0.439</v>
      </c>
    </row>
    <row r="30153" spans="1:2" x14ac:dyDescent="0.25">
      <c r="A30153" s="74">
        <v>34945</v>
      </c>
      <c r="B30153">
        <v>0.41699999999999998</v>
      </c>
    </row>
    <row r="30154" spans="1:2" x14ac:dyDescent="0.25">
      <c r="A30154" s="74">
        <v>34946</v>
      </c>
      <c r="B30154">
        <v>0.38200000000000001</v>
      </c>
    </row>
    <row r="30155" spans="1:2" x14ac:dyDescent="0.25">
      <c r="A30155" s="74">
        <v>34947</v>
      </c>
      <c r="B30155">
        <v>0.39600000000000002</v>
      </c>
    </row>
    <row r="30156" spans="1:2" x14ac:dyDescent="0.25">
      <c r="A30156" s="74">
        <v>34948</v>
      </c>
      <c r="B30156">
        <v>0.47199999999999998</v>
      </c>
    </row>
    <row r="30157" spans="1:2" x14ac:dyDescent="0.25">
      <c r="A30157" s="74">
        <v>34949</v>
      </c>
      <c r="B30157">
        <v>0.58099999999999996</v>
      </c>
    </row>
    <row r="30158" spans="1:2" x14ac:dyDescent="0.25">
      <c r="A30158" s="74">
        <v>34950</v>
      </c>
      <c r="B30158">
        <v>0.48499999999999999</v>
      </c>
    </row>
    <row r="30159" spans="1:2" x14ac:dyDescent="0.25">
      <c r="A30159" s="74">
        <v>34951</v>
      </c>
      <c r="B30159">
        <v>0.41499999999999998</v>
      </c>
    </row>
    <row r="30160" spans="1:2" x14ac:dyDescent="0.25">
      <c r="A30160" s="74">
        <v>34952</v>
      </c>
      <c r="B30160">
        <v>0.39400000000000002</v>
      </c>
    </row>
    <row r="30161" spans="1:2" x14ac:dyDescent="0.25">
      <c r="A30161" s="74">
        <v>34953</v>
      </c>
      <c r="B30161">
        <v>0.38</v>
      </c>
    </row>
    <row r="30162" spans="1:2" x14ac:dyDescent="0.25">
      <c r="A30162" s="74">
        <v>34954</v>
      </c>
      <c r="B30162">
        <v>0.35199999999999998</v>
      </c>
    </row>
    <row r="30163" spans="1:2" x14ac:dyDescent="0.25">
      <c r="A30163" s="74">
        <v>34955</v>
      </c>
      <c r="B30163">
        <v>0.32700000000000001</v>
      </c>
    </row>
    <row r="30164" spans="1:2" x14ac:dyDescent="0.25">
      <c r="A30164" s="74">
        <v>34956</v>
      </c>
      <c r="B30164">
        <v>0.32900000000000001</v>
      </c>
    </row>
    <row r="30165" spans="1:2" x14ac:dyDescent="0.25">
      <c r="A30165" s="74">
        <v>34957</v>
      </c>
      <c r="B30165">
        <v>0.32700000000000001</v>
      </c>
    </row>
    <row r="30166" spans="1:2" x14ac:dyDescent="0.25">
      <c r="A30166" s="74">
        <v>34958</v>
      </c>
      <c r="B30166">
        <v>0.313</v>
      </c>
    </row>
    <row r="30167" spans="1:2" x14ac:dyDescent="0.25">
      <c r="A30167" s="74">
        <v>34959</v>
      </c>
      <c r="B30167">
        <v>0.29799999999999999</v>
      </c>
    </row>
    <row r="30168" spans="1:2" x14ac:dyDescent="0.25">
      <c r="A30168" s="74">
        <v>34960</v>
      </c>
      <c r="B30168">
        <v>0.28799999999999998</v>
      </c>
    </row>
    <row r="30169" spans="1:2" x14ac:dyDescent="0.25">
      <c r="A30169" s="74">
        <v>34961</v>
      </c>
      <c r="B30169">
        <v>0.28299999999999997</v>
      </c>
    </row>
    <row r="30170" spans="1:2" x14ac:dyDescent="0.25">
      <c r="A30170" s="74">
        <v>34962</v>
      </c>
      <c r="B30170">
        <v>0.27800000000000002</v>
      </c>
    </row>
    <row r="30171" spans="1:2" x14ac:dyDescent="0.25">
      <c r="A30171" s="74">
        <v>34963</v>
      </c>
      <c r="B30171">
        <v>0.29099999999999998</v>
      </c>
    </row>
    <row r="30172" spans="1:2" x14ac:dyDescent="0.25">
      <c r="A30172" s="74">
        <v>34964</v>
      </c>
      <c r="B30172">
        <v>0.27300000000000002</v>
      </c>
    </row>
    <row r="30173" spans="1:2" x14ac:dyDescent="0.25">
      <c r="A30173" s="74">
        <v>34965</v>
      </c>
      <c r="B30173">
        <v>0.26400000000000001</v>
      </c>
    </row>
    <row r="30174" spans="1:2" x14ac:dyDescent="0.25">
      <c r="A30174" s="74">
        <v>34966</v>
      </c>
      <c r="B30174">
        <v>0.254</v>
      </c>
    </row>
    <row r="30175" spans="1:2" x14ac:dyDescent="0.25">
      <c r="A30175" s="74">
        <v>34967</v>
      </c>
      <c r="B30175">
        <v>0.249</v>
      </c>
    </row>
    <row r="30176" spans="1:2" x14ac:dyDescent="0.25">
      <c r="A30176" s="74">
        <v>34968</v>
      </c>
      <c r="B30176">
        <v>0.25800000000000001</v>
      </c>
    </row>
    <row r="30177" spans="1:2" x14ac:dyDescent="0.25">
      <c r="A30177" s="74">
        <v>34969</v>
      </c>
      <c r="B30177">
        <v>0.27300000000000002</v>
      </c>
    </row>
    <row r="30178" spans="1:2" x14ac:dyDescent="0.25">
      <c r="A30178" s="74">
        <v>34970</v>
      </c>
      <c r="B30178">
        <v>0.27600000000000002</v>
      </c>
    </row>
    <row r="30179" spans="1:2" x14ac:dyDescent="0.25">
      <c r="A30179" s="74">
        <v>34971</v>
      </c>
      <c r="B30179">
        <v>0.27900000000000003</v>
      </c>
    </row>
    <row r="30180" spans="1:2" x14ac:dyDescent="0.25">
      <c r="A30180" s="74">
        <v>34972</v>
      </c>
      <c r="B30180">
        <v>0.29899999999999999</v>
      </c>
    </row>
    <row r="30181" spans="1:2" x14ac:dyDescent="0.25">
      <c r="A30181" s="74">
        <v>34973</v>
      </c>
      <c r="B30181">
        <v>0.33700000000000002</v>
      </c>
    </row>
    <row r="30182" spans="1:2" x14ac:dyDescent="0.25">
      <c r="A30182" s="74">
        <v>34974</v>
      </c>
      <c r="B30182">
        <v>0.42699999999999999</v>
      </c>
    </row>
    <row r="30183" spans="1:2" x14ac:dyDescent="0.25">
      <c r="A30183" s="74">
        <v>34975</v>
      </c>
      <c r="B30183">
        <v>0.55900000000000005</v>
      </c>
    </row>
    <row r="30184" spans="1:2" x14ac:dyDescent="0.25">
      <c r="A30184" s="74">
        <v>34976</v>
      </c>
      <c r="B30184">
        <v>0.51100000000000001</v>
      </c>
    </row>
    <row r="30185" spans="1:2" x14ac:dyDescent="0.25">
      <c r="A30185" s="74">
        <v>34977</v>
      </c>
      <c r="B30185">
        <v>0.45</v>
      </c>
    </row>
    <row r="30186" spans="1:2" x14ac:dyDescent="0.25">
      <c r="A30186" s="74">
        <v>34978</v>
      </c>
      <c r="B30186">
        <v>0.48799999999999999</v>
      </c>
    </row>
    <row r="30187" spans="1:2" x14ac:dyDescent="0.25">
      <c r="A30187" s="74">
        <v>34979</v>
      </c>
      <c r="B30187">
        <v>0.57299999999999995</v>
      </c>
    </row>
    <row r="30188" spans="1:2" x14ac:dyDescent="0.25">
      <c r="A30188" s="74">
        <v>34980</v>
      </c>
      <c r="B30188">
        <v>0.98099999999999998</v>
      </c>
    </row>
    <row r="30189" spans="1:2" x14ac:dyDescent="0.25">
      <c r="A30189" s="74">
        <v>34981</v>
      </c>
      <c r="B30189">
        <v>1.45</v>
      </c>
    </row>
    <row r="30190" spans="1:2" x14ac:dyDescent="0.25">
      <c r="A30190" s="74">
        <v>34982</v>
      </c>
      <c r="B30190">
        <v>11.1</v>
      </c>
    </row>
    <row r="30191" spans="1:2" x14ac:dyDescent="0.25">
      <c r="A30191" s="74">
        <v>34983</v>
      </c>
      <c r="B30191">
        <v>8.24</v>
      </c>
    </row>
    <row r="30192" spans="1:2" x14ac:dyDescent="0.25">
      <c r="A30192" s="74">
        <v>34984</v>
      </c>
      <c r="B30192">
        <v>5.87</v>
      </c>
    </row>
    <row r="30193" spans="1:2" x14ac:dyDescent="0.25">
      <c r="A30193" s="74">
        <v>34985</v>
      </c>
      <c r="B30193">
        <v>4.67</v>
      </c>
    </row>
    <row r="30194" spans="1:2" x14ac:dyDescent="0.25">
      <c r="A30194" s="74">
        <v>34986</v>
      </c>
      <c r="B30194">
        <v>7.74</v>
      </c>
    </row>
    <row r="30195" spans="1:2" x14ac:dyDescent="0.25">
      <c r="A30195" s="74">
        <v>34987</v>
      </c>
      <c r="B30195">
        <v>7.14</v>
      </c>
    </row>
    <row r="30196" spans="1:2" x14ac:dyDescent="0.25">
      <c r="A30196" s="74">
        <v>34988</v>
      </c>
      <c r="B30196">
        <v>9.25</v>
      </c>
    </row>
    <row r="30197" spans="1:2" x14ac:dyDescent="0.25">
      <c r="A30197" s="74">
        <v>34989</v>
      </c>
      <c r="B30197">
        <v>19.3</v>
      </c>
    </row>
    <row r="30198" spans="1:2" x14ac:dyDescent="0.25">
      <c r="A30198" s="74">
        <v>34990</v>
      </c>
      <c r="B30198">
        <v>13.1</v>
      </c>
    </row>
    <row r="30199" spans="1:2" x14ac:dyDescent="0.25">
      <c r="A30199" s="74">
        <v>34991</v>
      </c>
      <c r="B30199">
        <v>8.73</v>
      </c>
    </row>
    <row r="30200" spans="1:2" x14ac:dyDescent="0.25">
      <c r="A30200" s="74">
        <v>34992</v>
      </c>
      <c r="B30200">
        <v>7.7</v>
      </c>
    </row>
    <row r="30201" spans="1:2" x14ac:dyDescent="0.25">
      <c r="A30201" s="74">
        <v>34993</v>
      </c>
      <c r="B30201">
        <v>7.07</v>
      </c>
    </row>
    <row r="30202" spans="1:2" x14ac:dyDescent="0.25">
      <c r="A30202" s="74">
        <v>34994</v>
      </c>
      <c r="B30202">
        <v>6.02</v>
      </c>
    </row>
    <row r="30203" spans="1:2" x14ac:dyDescent="0.25">
      <c r="A30203" s="74">
        <v>34995</v>
      </c>
      <c r="B30203">
        <v>5.28</v>
      </c>
    </row>
    <row r="30204" spans="1:2" x14ac:dyDescent="0.25">
      <c r="A30204" s="74">
        <v>34996</v>
      </c>
      <c r="B30204">
        <v>5</v>
      </c>
    </row>
    <row r="30205" spans="1:2" x14ac:dyDescent="0.25">
      <c r="A30205" s="74">
        <v>34997</v>
      </c>
      <c r="B30205">
        <v>25.2</v>
      </c>
    </row>
    <row r="30206" spans="1:2" x14ac:dyDescent="0.25">
      <c r="A30206" s="74">
        <v>34998</v>
      </c>
      <c r="B30206">
        <v>30.1</v>
      </c>
    </row>
    <row r="30207" spans="1:2" x14ac:dyDescent="0.25">
      <c r="A30207" s="74">
        <v>34999</v>
      </c>
      <c r="B30207">
        <v>14.1</v>
      </c>
    </row>
    <row r="30208" spans="1:2" x14ac:dyDescent="0.25">
      <c r="A30208" s="74">
        <v>35000</v>
      </c>
      <c r="B30208">
        <v>10.1</v>
      </c>
    </row>
    <row r="30209" spans="1:2" x14ac:dyDescent="0.25">
      <c r="A30209" s="74">
        <v>35001</v>
      </c>
      <c r="B30209">
        <v>8.1199999999999992</v>
      </c>
    </row>
    <row r="30210" spans="1:2" x14ac:dyDescent="0.25">
      <c r="A30210" s="74">
        <v>35002</v>
      </c>
      <c r="B30210">
        <v>6.79</v>
      </c>
    </row>
    <row r="30211" spans="1:2" x14ac:dyDescent="0.25">
      <c r="A30211" s="74">
        <v>35003</v>
      </c>
      <c r="B30211">
        <v>5.82</v>
      </c>
    </row>
    <row r="30212" spans="1:2" x14ac:dyDescent="0.25">
      <c r="A30212" s="74">
        <v>35004</v>
      </c>
      <c r="B30212">
        <v>5.03</v>
      </c>
    </row>
    <row r="30213" spans="1:2" x14ac:dyDescent="0.25">
      <c r="A30213" s="74">
        <v>35005</v>
      </c>
      <c r="B30213">
        <v>4.46</v>
      </c>
    </row>
    <row r="30214" spans="1:2" x14ac:dyDescent="0.25">
      <c r="A30214" s="74">
        <v>35006</v>
      </c>
      <c r="B30214">
        <v>4.13</v>
      </c>
    </row>
    <row r="30215" spans="1:2" x14ac:dyDescent="0.25">
      <c r="A30215" s="74">
        <v>35007</v>
      </c>
      <c r="B30215">
        <v>3.87</v>
      </c>
    </row>
    <row r="30216" spans="1:2" x14ac:dyDescent="0.25">
      <c r="A30216" s="74">
        <v>35008</v>
      </c>
      <c r="B30216">
        <v>3.79</v>
      </c>
    </row>
    <row r="30217" spans="1:2" x14ac:dyDescent="0.25">
      <c r="A30217" s="74">
        <v>35009</v>
      </c>
      <c r="B30217">
        <v>3.49</v>
      </c>
    </row>
    <row r="30218" spans="1:2" x14ac:dyDescent="0.25">
      <c r="A30218" s="74">
        <v>35010</v>
      </c>
      <c r="B30218">
        <v>22.3</v>
      </c>
    </row>
    <row r="30219" spans="1:2" x14ac:dyDescent="0.25">
      <c r="A30219" s="74">
        <v>35011</v>
      </c>
      <c r="B30219">
        <v>142</v>
      </c>
    </row>
    <row r="30220" spans="1:2" x14ac:dyDescent="0.25">
      <c r="A30220" s="74">
        <v>35012</v>
      </c>
      <c r="B30220">
        <v>42.1</v>
      </c>
    </row>
    <row r="30221" spans="1:2" x14ac:dyDescent="0.25">
      <c r="A30221" s="74">
        <v>35013</v>
      </c>
      <c r="B30221">
        <v>20.5</v>
      </c>
    </row>
    <row r="30222" spans="1:2" x14ac:dyDescent="0.25">
      <c r="A30222" s="74">
        <v>35014</v>
      </c>
      <c r="B30222">
        <v>41.7</v>
      </c>
    </row>
    <row r="30223" spans="1:2" x14ac:dyDescent="0.25">
      <c r="A30223" s="74">
        <v>35015</v>
      </c>
      <c r="B30223">
        <v>24.3</v>
      </c>
    </row>
    <row r="30224" spans="1:2" x14ac:dyDescent="0.25">
      <c r="A30224" s="74">
        <v>35016</v>
      </c>
      <c r="B30224">
        <v>22.3</v>
      </c>
    </row>
    <row r="30225" spans="1:2" x14ac:dyDescent="0.25">
      <c r="A30225" s="74">
        <v>35017</v>
      </c>
      <c r="B30225">
        <v>53.9</v>
      </c>
    </row>
    <row r="30226" spans="1:2" x14ac:dyDescent="0.25">
      <c r="A30226" s="74">
        <v>35018</v>
      </c>
      <c r="B30226">
        <v>31.3</v>
      </c>
    </row>
    <row r="30227" spans="1:2" x14ac:dyDescent="0.25">
      <c r="A30227" s="74">
        <v>35019</v>
      </c>
      <c r="B30227">
        <v>23.8</v>
      </c>
    </row>
    <row r="30228" spans="1:2" x14ac:dyDescent="0.25">
      <c r="A30228" s="74">
        <v>35020</v>
      </c>
      <c r="B30228">
        <v>119</v>
      </c>
    </row>
    <row r="30229" spans="1:2" x14ac:dyDescent="0.25">
      <c r="A30229" s="74">
        <v>35021</v>
      </c>
      <c r="B30229">
        <v>125</v>
      </c>
    </row>
    <row r="30230" spans="1:2" x14ac:dyDescent="0.25">
      <c r="A30230" s="74">
        <v>35022</v>
      </c>
      <c r="B30230">
        <v>46</v>
      </c>
    </row>
    <row r="30231" spans="1:2" x14ac:dyDescent="0.25">
      <c r="A30231" s="74">
        <v>35023</v>
      </c>
      <c r="B30231">
        <v>29.3</v>
      </c>
    </row>
    <row r="30232" spans="1:2" x14ac:dyDescent="0.25">
      <c r="A30232" s="74">
        <v>35024</v>
      </c>
      <c r="B30232">
        <v>22.1</v>
      </c>
    </row>
    <row r="30233" spans="1:2" x14ac:dyDescent="0.25">
      <c r="A30233" s="74">
        <v>35025</v>
      </c>
      <c r="B30233">
        <v>21.7</v>
      </c>
    </row>
    <row r="30234" spans="1:2" x14ac:dyDescent="0.25">
      <c r="A30234" s="74">
        <v>35026</v>
      </c>
      <c r="B30234">
        <v>62.5</v>
      </c>
    </row>
    <row r="30235" spans="1:2" x14ac:dyDescent="0.25">
      <c r="A30235" s="74">
        <v>35027</v>
      </c>
      <c r="B30235">
        <v>75.2</v>
      </c>
    </row>
    <row r="30236" spans="1:2" x14ac:dyDescent="0.25">
      <c r="A30236" s="74">
        <v>35028</v>
      </c>
      <c r="B30236">
        <v>78.8</v>
      </c>
    </row>
    <row r="30237" spans="1:2" x14ac:dyDescent="0.25">
      <c r="A30237" s="74">
        <v>35029</v>
      </c>
      <c r="B30237">
        <v>49.1</v>
      </c>
    </row>
    <row r="30238" spans="1:2" x14ac:dyDescent="0.25">
      <c r="A30238" s="74">
        <v>35030</v>
      </c>
      <c r="B30238">
        <v>33.4</v>
      </c>
    </row>
    <row r="30239" spans="1:2" x14ac:dyDescent="0.25">
      <c r="A30239" s="74">
        <v>35031</v>
      </c>
      <c r="B30239">
        <v>48</v>
      </c>
    </row>
    <row r="30240" spans="1:2" x14ac:dyDescent="0.25">
      <c r="A30240" s="74">
        <v>35032</v>
      </c>
      <c r="B30240">
        <v>106</v>
      </c>
    </row>
    <row r="30241" spans="1:2" x14ac:dyDescent="0.25">
      <c r="A30241" s="74">
        <v>35033</v>
      </c>
      <c r="B30241">
        <v>73.400000000000006</v>
      </c>
    </row>
    <row r="30242" spans="1:2" x14ac:dyDescent="0.25">
      <c r="A30242" s="74">
        <v>35034</v>
      </c>
      <c r="B30242">
        <v>42</v>
      </c>
    </row>
    <row r="30243" spans="1:2" x14ac:dyDescent="0.25">
      <c r="A30243" s="74">
        <v>35035</v>
      </c>
      <c r="B30243">
        <v>31.8</v>
      </c>
    </row>
    <row r="30244" spans="1:2" x14ac:dyDescent="0.25">
      <c r="A30244" s="74">
        <v>35036</v>
      </c>
      <c r="B30244">
        <v>34</v>
      </c>
    </row>
    <row r="30245" spans="1:2" x14ac:dyDescent="0.25">
      <c r="A30245" s="74">
        <v>35037</v>
      </c>
      <c r="B30245">
        <v>44.2</v>
      </c>
    </row>
    <row r="30246" spans="1:2" x14ac:dyDescent="0.25">
      <c r="A30246" s="74">
        <v>35038</v>
      </c>
      <c r="B30246">
        <v>28.5</v>
      </c>
    </row>
    <row r="30247" spans="1:2" x14ac:dyDescent="0.25">
      <c r="A30247" s="74">
        <v>35039</v>
      </c>
      <c r="B30247">
        <v>21.4</v>
      </c>
    </row>
    <row r="30248" spans="1:2" x14ac:dyDescent="0.25">
      <c r="A30248" s="74">
        <v>35040</v>
      </c>
      <c r="B30248">
        <v>17.8</v>
      </c>
    </row>
    <row r="30249" spans="1:2" x14ac:dyDescent="0.25">
      <c r="A30249" s="74">
        <v>35041</v>
      </c>
      <c r="B30249">
        <v>15.2</v>
      </c>
    </row>
    <row r="30250" spans="1:2" x14ac:dyDescent="0.25">
      <c r="A30250" s="74">
        <v>35042</v>
      </c>
      <c r="B30250">
        <v>13.9</v>
      </c>
    </row>
    <row r="30251" spans="1:2" x14ac:dyDescent="0.25">
      <c r="A30251" s="74">
        <v>35043</v>
      </c>
      <c r="B30251">
        <v>115</v>
      </c>
    </row>
    <row r="30252" spans="1:2" x14ac:dyDescent="0.25">
      <c r="A30252" s="74">
        <v>35044</v>
      </c>
      <c r="B30252">
        <v>108</v>
      </c>
    </row>
    <row r="30253" spans="1:2" x14ac:dyDescent="0.25">
      <c r="A30253" s="74">
        <v>35045</v>
      </c>
      <c r="B30253">
        <v>91.9</v>
      </c>
    </row>
    <row r="30254" spans="1:2" x14ac:dyDescent="0.25">
      <c r="A30254" s="74">
        <v>35046</v>
      </c>
      <c r="B30254">
        <v>90.5</v>
      </c>
    </row>
    <row r="30255" spans="1:2" x14ac:dyDescent="0.25">
      <c r="A30255" s="74">
        <v>35047</v>
      </c>
      <c r="B30255">
        <v>89.1</v>
      </c>
    </row>
    <row r="30256" spans="1:2" x14ac:dyDescent="0.25">
      <c r="A30256" s="74">
        <v>35048</v>
      </c>
      <c r="B30256">
        <v>92.2</v>
      </c>
    </row>
    <row r="30257" spans="1:2" x14ac:dyDescent="0.25">
      <c r="A30257" s="74">
        <v>35049</v>
      </c>
      <c r="B30257">
        <v>52.9</v>
      </c>
    </row>
    <row r="30258" spans="1:2" x14ac:dyDescent="0.25">
      <c r="A30258" s="74">
        <v>35050</v>
      </c>
      <c r="B30258">
        <v>39.6</v>
      </c>
    </row>
    <row r="30259" spans="1:2" x14ac:dyDescent="0.25">
      <c r="A30259" s="74">
        <v>35051</v>
      </c>
      <c r="B30259">
        <v>70.8</v>
      </c>
    </row>
    <row r="30260" spans="1:2" x14ac:dyDescent="0.25">
      <c r="A30260" s="74">
        <v>35052</v>
      </c>
      <c r="B30260">
        <v>46</v>
      </c>
    </row>
    <row r="30261" spans="1:2" x14ac:dyDescent="0.25">
      <c r="A30261" s="74">
        <v>35053</v>
      </c>
      <c r="B30261">
        <v>31.7</v>
      </c>
    </row>
    <row r="30262" spans="1:2" x14ac:dyDescent="0.25">
      <c r="A30262" s="74">
        <v>35054</v>
      </c>
      <c r="B30262">
        <v>25.2</v>
      </c>
    </row>
    <row r="30263" spans="1:2" x14ac:dyDescent="0.25">
      <c r="A30263" s="74">
        <v>35055</v>
      </c>
      <c r="B30263">
        <v>21.1</v>
      </c>
    </row>
    <row r="30264" spans="1:2" x14ac:dyDescent="0.25">
      <c r="A30264" s="74">
        <v>35056</v>
      </c>
      <c r="B30264">
        <v>18.2</v>
      </c>
    </row>
    <row r="30265" spans="1:2" x14ac:dyDescent="0.25">
      <c r="A30265" s="74">
        <v>35057</v>
      </c>
      <c r="B30265">
        <v>16.399999999999999</v>
      </c>
    </row>
    <row r="30266" spans="1:2" x14ac:dyDescent="0.25">
      <c r="A30266" s="74">
        <v>35058</v>
      </c>
      <c r="B30266">
        <v>14.6</v>
      </c>
    </row>
    <row r="30267" spans="1:2" x14ac:dyDescent="0.25">
      <c r="A30267" s="74">
        <v>35059</v>
      </c>
      <c r="B30267">
        <v>13.5</v>
      </c>
    </row>
    <row r="30268" spans="1:2" x14ac:dyDescent="0.25">
      <c r="A30268" s="74">
        <v>35060</v>
      </c>
      <c r="B30268">
        <v>13.1</v>
      </c>
    </row>
    <row r="30269" spans="1:2" x14ac:dyDescent="0.25">
      <c r="A30269" s="74">
        <v>35061</v>
      </c>
      <c r="B30269">
        <v>12.6</v>
      </c>
    </row>
    <row r="30270" spans="1:2" x14ac:dyDescent="0.25">
      <c r="A30270" s="74">
        <v>35062</v>
      </c>
      <c r="B30270">
        <v>16.899999999999999</v>
      </c>
    </row>
    <row r="30271" spans="1:2" x14ac:dyDescent="0.25">
      <c r="A30271" s="74">
        <v>35063</v>
      </c>
      <c r="B30271">
        <v>23.4</v>
      </c>
    </row>
    <row r="30272" spans="1:2" x14ac:dyDescent="0.25">
      <c r="A30272" s="74">
        <v>35064</v>
      </c>
      <c r="B30272">
        <v>24.4</v>
      </c>
    </row>
    <row r="30273" spans="1:2" x14ac:dyDescent="0.25">
      <c r="A30273" s="74">
        <v>35065</v>
      </c>
      <c r="B30273">
        <v>21.3</v>
      </c>
    </row>
    <row r="30274" spans="1:2" x14ac:dyDescent="0.25">
      <c r="A30274" s="74">
        <v>35066</v>
      </c>
      <c r="B30274">
        <v>23.3</v>
      </c>
    </row>
    <row r="30275" spans="1:2" x14ac:dyDescent="0.25">
      <c r="A30275" s="74">
        <v>35067</v>
      </c>
      <c r="B30275">
        <v>28.9</v>
      </c>
    </row>
    <row r="30276" spans="1:2" x14ac:dyDescent="0.25">
      <c r="A30276" s="74">
        <v>35068</v>
      </c>
      <c r="B30276">
        <v>21.8</v>
      </c>
    </row>
    <row r="30277" spans="1:2" x14ac:dyDescent="0.25">
      <c r="A30277" s="74">
        <v>35069</v>
      </c>
      <c r="B30277">
        <v>18.100000000000001</v>
      </c>
    </row>
    <row r="30278" spans="1:2" x14ac:dyDescent="0.25">
      <c r="A30278" s="74">
        <v>35070</v>
      </c>
      <c r="B30278">
        <v>36.700000000000003</v>
      </c>
    </row>
    <row r="30279" spans="1:2" x14ac:dyDescent="0.25">
      <c r="A30279" s="74">
        <v>35071</v>
      </c>
      <c r="B30279">
        <v>61.2</v>
      </c>
    </row>
    <row r="30280" spans="1:2" x14ac:dyDescent="0.25">
      <c r="A30280" s="74">
        <v>35072</v>
      </c>
      <c r="B30280">
        <v>62.9</v>
      </c>
    </row>
    <row r="30281" spans="1:2" x14ac:dyDescent="0.25">
      <c r="A30281" s="74">
        <v>35073</v>
      </c>
      <c r="B30281">
        <v>70.5</v>
      </c>
    </row>
    <row r="30282" spans="1:2" x14ac:dyDescent="0.25">
      <c r="A30282" s="74">
        <v>35074</v>
      </c>
      <c r="B30282">
        <v>49.6</v>
      </c>
    </row>
    <row r="30283" spans="1:2" x14ac:dyDescent="0.25">
      <c r="A30283" s="74">
        <v>35075</v>
      </c>
      <c r="B30283">
        <v>54.7</v>
      </c>
    </row>
    <row r="30284" spans="1:2" x14ac:dyDescent="0.25">
      <c r="A30284" s="74">
        <v>35076</v>
      </c>
      <c r="B30284">
        <v>39</v>
      </c>
    </row>
    <row r="30285" spans="1:2" x14ac:dyDescent="0.25">
      <c r="A30285" s="74">
        <v>35077</v>
      </c>
      <c r="B30285">
        <v>32.1</v>
      </c>
    </row>
    <row r="30286" spans="1:2" x14ac:dyDescent="0.25">
      <c r="A30286" s="74">
        <v>35078</v>
      </c>
      <c r="B30286">
        <v>46.8</v>
      </c>
    </row>
    <row r="30287" spans="1:2" x14ac:dyDescent="0.25">
      <c r="A30287" s="74">
        <v>35079</v>
      </c>
      <c r="B30287">
        <v>102</v>
      </c>
    </row>
    <row r="30288" spans="1:2" x14ac:dyDescent="0.25">
      <c r="A30288" s="74">
        <v>35080</v>
      </c>
      <c r="B30288">
        <v>56.3</v>
      </c>
    </row>
    <row r="30289" spans="1:3" x14ac:dyDescent="0.25">
      <c r="A30289" s="74">
        <v>35081</v>
      </c>
      <c r="B30289">
        <v>30</v>
      </c>
    </row>
    <row r="30290" spans="1:3" x14ac:dyDescent="0.25">
      <c r="A30290" s="74">
        <v>35082</v>
      </c>
      <c r="B30290">
        <v>17.899999999999999</v>
      </c>
    </row>
    <row r="30291" spans="1:3" x14ac:dyDescent="0.25">
      <c r="A30291" s="74">
        <v>35083</v>
      </c>
      <c r="B30291">
        <v>14.3</v>
      </c>
    </row>
    <row r="30292" spans="1:3" x14ac:dyDescent="0.25">
      <c r="A30292" s="74">
        <v>35084</v>
      </c>
      <c r="B30292">
        <v>13.4</v>
      </c>
    </row>
    <row r="30293" spans="1:3" x14ac:dyDescent="0.25">
      <c r="A30293" s="74">
        <v>35085</v>
      </c>
      <c r="B30293">
        <v>11.8</v>
      </c>
    </row>
    <row r="30294" spans="1:3" x14ac:dyDescent="0.25">
      <c r="A30294" s="74">
        <v>35086</v>
      </c>
      <c r="B30294">
        <v>10.199999999999999</v>
      </c>
    </row>
    <row r="30295" spans="1:3" x14ac:dyDescent="0.25">
      <c r="A30295" s="74">
        <v>35087</v>
      </c>
      <c r="B30295">
        <v>9.33</v>
      </c>
    </row>
    <row r="30296" spans="1:3" x14ac:dyDescent="0.25">
      <c r="A30296" s="74">
        <v>35088</v>
      </c>
      <c r="B30296">
        <v>8.61</v>
      </c>
    </row>
    <row r="30297" spans="1:3" x14ac:dyDescent="0.25">
      <c r="A30297" s="74">
        <v>35089</v>
      </c>
      <c r="B30297">
        <v>7.97</v>
      </c>
    </row>
    <row r="30298" spans="1:3" x14ac:dyDescent="0.25">
      <c r="A30298" s="74">
        <v>35090</v>
      </c>
      <c r="B30298">
        <v>7.34</v>
      </c>
    </row>
    <row r="30299" spans="1:3" x14ac:dyDescent="0.25">
      <c r="A30299" s="74">
        <v>35091</v>
      </c>
      <c r="B30299">
        <v>6.77</v>
      </c>
    </row>
    <row r="30300" spans="1:3" x14ac:dyDescent="0.25">
      <c r="A30300" s="74">
        <v>35092</v>
      </c>
      <c r="B30300">
        <v>6.17</v>
      </c>
    </row>
    <row r="30301" spans="1:3" x14ac:dyDescent="0.25">
      <c r="A30301" s="74">
        <v>35093</v>
      </c>
      <c r="B30301">
        <v>5.56</v>
      </c>
    </row>
    <row r="30302" spans="1:3" x14ac:dyDescent="0.25">
      <c r="A30302" s="74">
        <v>35094</v>
      </c>
      <c r="B30302">
        <v>4.0999999999999996</v>
      </c>
      <c r="C30302" t="s">
        <v>142</v>
      </c>
    </row>
    <row r="30303" spans="1:3" x14ac:dyDescent="0.25">
      <c r="A30303" s="74">
        <v>35095</v>
      </c>
      <c r="B30303">
        <v>3.9</v>
      </c>
      <c r="C30303" t="s">
        <v>142</v>
      </c>
    </row>
    <row r="30304" spans="1:3" x14ac:dyDescent="0.25">
      <c r="A30304" s="74">
        <v>35096</v>
      </c>
      <c r="B30304">
        <v>4.2</v>
      </c>
      <c r="C30304" t="s">
        <v>142</v>
      </c>
    </row>
    <row r="30305" spans="1:2" x14ac:dyDescent="0.25">
      <c r="A30305" s="74">
        <v>35097</v>
      </c>
      <c r="B30305">
        <v>4.38</v>
      </c>
    </row>
    <row r="30306" spans="1:2" x14ac:dyDescent="0.25">
      <c r="A30306" s="74">
        <v>35098</v>
      </c>
      <c r="B30306">
        <v>4.2300000000000004</v>
      </c>
    </row>
    <row r="30307" spans="1:2" x14ac:dyDescent="0.25">
      <c r="A30307" s="74">
        <v>35099</v>
      </c>
      <c r="B30307">
        <v>4.8600000000000003</v>
      </c>
    </row>
    <row r="30308" spans="1:2" x14ac:dyDescent="0.25">
      <c r="A30308" s="74">
        <v>35100</v>
      </c>
      <c r="B30308">
        <v>43.7</v>
      </c>
    </row>
    <row r="30309" spans="1:2" x14ac:dyDescent="0.25">
      <c r="A30309" s="74">
        <v>35101</v>
      </c>
      <c r="B30309">
        <v>77.2</v>
      </c>
    </row>
    <row r="30310" spans="1:2" x14ac:dyDescent="0.25">
      <c r="A30310" s="74">
        <v>35102</v>
      </c>
      <c r="B30310">
        <v>64.599999999999994</v>
      </c>
    </row>
    <row r="30311" spans="1:2" x14ac:dyDescent="0.25">
      <c r="A30311" s="74">
        <v>35103</v>
      </c>
      <c r="B30311">
        <v>49.7</v>
      </c>
    </row>
    <row r="30312" spans="1:2" x14ac:dyDescent="0.25">
      <c r="A30312" s="74">
        <v>35104</v>
      </c>
      <c r="B30312">
        <v>36.200000000000003</v>
      </c>
    </row>
    <row r="30313" spans="1:2" x14ac:dyDescent="0.25">
      <c r="A30313" s="74">
        <v>35105</v>
      </c>
      <c r="B30313">
        <v>22.9</v>
      </c>
    </row>
    <row r="30314" spans="1:2" x14ac:dyDescent="0.25">
      <c r="A30314" s="74">
        <v>35106</v>
      </c>
      <c r="B30314">
        <v>14.9</v>
      </c>
    </row>
    <row r="30315" spans="1:2" x14ac:dyDescent="0.25">
      <c r="A30315" s="74">
        <v>35107</v>
      </c>
      <c r="B30315">
        <v>14</v>
      </c>
    </row>
    <row r="30316" spans="1:2" x14ac:dyDescent="0.25">
      <c r="A30316" s="74">
        <v>35108</v>
      </c>
      <c r="B30316">
        <v>12.5</v>
      </c>
    </row>
    <row r="30317" spans="1:2" x14ac:dyDescent="0.25">
      <c r="A30317" s="74">
        <v>35109</v>
      </c>
      <c r="B30317">
        <v>11.3</v>
      </c>
    </row>
    <row r="30318" spans="1:2" x14ac:dyDescent="0.25">
      <c r="A30318" s="74">
        <v>35110</v>
      </c>
      <c r="B30318">
        <v>10.6</v>
      </c>
    </row>
    <row r="30319" spans="1:2" x14ac:dyDescent="0.25">
      <c r="A30319" s="74">
        <v>35111</v>
      </c>
      <c r="B30319">
        <v>10.199999999999999</v>
      </c>
    </row>
    <row r="30320" spans="1:2" x14ac:dyDescent="0.25">
      <c r="A30320" s="74">
        <v>35112</v>
      </c>
      <c r="B30320">
        <v>14.6</v>
      </c>
    </row>
    <row r="30321" spans="1:2" x14ac:dyDescent="0.25">
      <c r="A30321" s="74">
        <v>35113</v>
      </c>
      <c r="B30321">
        <v>111</v>
      </c>
    </row>
    <row r="30322" spans="1:2" x14ac:dyDescent="0.25">
      <c r="A30322" s="74">
        <v>35114</v>
      </c>
      <c r="B30322">
        <v>69.900000000000006</v>
      </c>
    </row>
    <row r="30323" spans="1:2" x14ac:dyDescent="0.25">
      <c r="A30323" s="74">
        <v>35115</v>
      </c>
      <c r="B30323">
        <v>44.3</v>
      </c>
    </row>
    <row r="30324" spans="1:2" x14ac:dyDescent="0.25">
      <c r="A30324" s="74">
        <v>35116</v>
      </c>
      <c r="B30324">
        <v>39.9</v>
      </c>
    </row>
    <row r="30325" spans="1:2" x14ac:dyDescent="0.25">
      <c r="A30325" s="74">
        <v>35117</v>
      </c>
      <c r="B30325">
        <v>27.4</v>
      </c>
    </row>
    <row r="30326" spans="1:2" x14ac:dyDescent="0.25">
      <c r="A30326" s="74">
        <v>35118</v>
      </c>
      <c r="B30326">
        <v>18.7</v>
      </c>
    </row>
    <row r="30327" spans="1:2" x14ac:dyDescent="0.25">
      <c r="A30327" s="74">
        <v>35119</v>
      </c>
      <c r="B30327">
        <v>14.5</v>
      </c>
    </row>
    <row r="30328" spans="1:2" x14ac:dyDescent="0.25">
      <c r="A30328" s="74">
        <v>35120</v>
      </c>
      <c r="B30328">
        <v>13.6</v>
      </c>
    </row>
    <row r="30329" spans="1:2" x14ac:dyDescent="0.25">
      <c r="A30329" s="74">
        <v>35121</v>
      </c>
      <c r="B30329">
        <v>11.6</v>
      </c>
    </row>
    <row r="30330" spans="1:2" x14ac:dyDescent="0.25">
      <c r="A30330" s="74">
        <v>35122</v>
      </c>
      <c r="B30330">
        <v>10.3</v>
      </c>
    </row>
    <row r="30331" spans="1:2" x14ac:dyDescent="0.25">
      <c r="A30331" s="74">
        <v>35123</v>
      </c>
      <c r="B30331">
        <v>9.0399999999999991</v>
      </c>
    </row>
    <row r="30332" spans="1:2" x14ac:dyDescent="0.25">
      <c r="A30332" s="74">
        <v>35124</v>
      </c>
      <c r="B30332">
        <v>8.0399999999999991</v>
      </c>
    </row>
    <row r="30333" spans="1:2" x14ac:dyDescent="0.25">
      <c r="A30333" s="74">
        <v>35125</v>
      </c>
      <c r="B30333">
        <v>7.35</v>
      </c>
    </row>
    <row r="30334" spans="1:2" x14ac:dyDescent="0.25">
      <c r="A30334" s="74">
        <v>35126</v>
      </c>
      <c r="B30334">
        <v>6.85</v>
      </c>
    </row>
    <row r="30335" spans="1:2" x14ac:dyDescent="0.25">
      <c r="A30335" s="74">
        <v>35127</v>
      </c>
      <c r="B30335">
        <v>7.13</v>
      </c>
    </row>
    <row r="30336" spans="1:2" x14ac:dyDescent="0.25">
      <c r="A30336" s="74">
        <v>35128</v>
      </c>
      <c r="B30336">
        <v>8.23</v>
      </c>
    </row>
    <row r="30337" spans="1:2" x14ac:dyDescent="0.25">
      <c r="A30337" s="74">
        <v>35129</v>
      </c>
      <c r="B30337">
        <v>7.92</v>
      </c>
    </row>
    <row r="30338" spans="1:2" x14ac:dyDescent="0.25">
      <c r="A30338" s="74">
        <v>35130</v>
      </c>
      <c r="B30338">
        <v>7.42</v>
      </c>
    </row>
    <row r="30339" spans="1:2" x14ac:dyDescent="0.25">
      <c r="A30339" s="74">
        <v>35131</v>
      </c>
      <c r="B30339">
        <v>7.87</v>
      </c>
    </row>
    <row r="30340" spans="1:2" x14ac:dyDescent="0.25">
      <c r="A30340" s="74">
        <v>35132</v>
      </c>
      <c r="B30340">
        <v>9.67</v>
      </c>
    </row>
    <row r="30341" spans="1:2" x14ac:dyDescent="0.25">
      <c r="A30341" s="74">
        <v>35133</v>
      </c>
      <c r="B30341">
        <v>18.3</v>
      </c>
    </row>
    <row r="30342" spans="1:2" x14ac:dyDescent="0.25">
      <c r="A30342" s="74">
        <v>35134</v>
      </c>
      <c r="B30342">
        <v>29.9</v>
      </c>
    </row>
    <row r="30343" spans="1:2" x14ac:dyDescent="0.25">
      <c r="A30343" s="74">
        <v>35135</v>
      </c>
      <c r="B30343">
        <v>32.299999999999997</v>
      </c>
    </row>
    <row r="30344" spans="1:2" x14ac:dyDescent="0.25">
      <c r="A30344" s="74">
        <v>35136</v>
      </c>
      <c r="B30344">
        <v>21.9</v>
      </c>
    </row>
    <row r="30345" spans="1:2" x14ac:dyDescent="0.25">
      <c r="A30345" s="74">
        <v>35137</v>
      </c>
      <c r="B30345">
        <v>14.6</v>
      </c>
    </row>
    <row r="30346" spans="1:2" x14ac:dyDescent="0.25">
      <c r="A30346" s="74">
        <v>35138</v>
      </c>
      <c r="B30346">
        <v>14.1</v>
      </c>
    </row>
    <row r="30347" spans="1:2" x14ac:dyDescent="0.25">
      <c r="A30347" s="74">
        <v>35139</v>
      </c>
      <c r="B30347">
        <v>14.1</v>
      </c>
    </row>
    <row r="30348" spans="1:2" x14ac:dyDescent="0.25">
      <c r="A30348" s="74">
        <v>35140</v>
      </c>
      <c r="B30348">
        <v>12.6</v>
      </c>
    </row>
    <row r="30349" spans="1:2" x14ac:dyDescent="0.25">
      <c r="A30349" s="74">
        <v>35141</v>
      </c>
      <c r="B30349">
        <v>11</v>
      </c>
    </row>
    <row r="30350" spans="1:2" x14ac:dyDescent="0.25">
      <c r="A30350" s="74">
        <v>35142</v>
      </c>
      <c r="B30350">
        <v>9.69</v>
      </c>
    </row>
    <row r="30351" spans="1:2" x14ac:dyDescent="0.25">
      <c r="A30351" s="74">
        <v>35143</v>
      </c>
      <c r="B30351">
        <v>10.6</v>
      </c>
    </row>
    <row r="30352" spans="1:2" x14ac:dyDescent="0.25">
      <c r="A30352" s="74">
        <v>35144</v>
      </c>
      <c r="B30352">
        <v>13.3</v>
      </c>
    </row>
    <row r="30353" spans="1:3" x14ac:dyDescent="0.25">
      <c r="A30353" s="74">
        <v>35145</v>
      </c>
      <c r="B30353">
        <v>12.4</v>
      </c>
    </row>
    <row r="30354" spans="1:3" x14ac:dyDescent="0.25">
      <c r="A30354" s="74">
        <v>35146</v>
      </c>
      <c r="B30354">
        <v>11.2</v>
      </c>
      <c r="C30354" t="s">
        <v>140</v>
      </c>
    </row>
    <row r="30355" spans="1:3" x14ac:dyDescent="0.25">
      <c r="A30355" s="74">
        <v>35147</v>
      </c>
      <c r="B30355">
        <v>9.99</v>
      </c>
      <c r="C30355" t="s">
        <v>140</v>
      </c>
    </row>
    <row r="30356" spans="1:3" x14ac:dyDescent="0.25">
      <c r="A30356" s="74">
        <v>35148</v>
      </c>
      <c r="B30356">
        <v>8.9700000000000006</v>
      </c>
      <c r="C30356" t="s">
        <v>140</v>
      </c>
    </row>
    <row r="30357" spans="1:3" x14ac:dyDescent="0.25">
      <c r="A30357" s="74">
        <v>35149</v>
      </c>
      <c r="B30357">
        <v>8.02</v>
      </c>
      <c r="C30357" t="s">
        <v>140</v>
      </c>
    </row>
    <row r="30358" spans="1:3" x14ac:dyDescent="0.25">
      <c r="A30358" s="74">
        <v>35150</v>
      </c>
      <c r="B30358">
        <v>7.28</v>
      </c>
      <c r="C30358" t="s">
        <v>140</v>
      </c>
    </row>
    <row r="30359" spans="1:3" x14ac:dyDescent="0.25">
      <c r="A30359" s="74">
        <v>35151</v>
      </c>
      <c r="B30359">
        <v>6.59</v>
      </c>
      <c r="C30359" t="s">
        <v>140</v>
      </c>
    </row>
    <row r="30360" spans="1:3" x14ac:dyDescent="0.25">
      <c r="A30360" s="74">
        <v>35152</v>
      </c>
      <c r="B30360">
        <v>5.99</v>
      </c>
      <c r="C30360" t="s">
        <v>140</v>
      </c>
    </row>
    <row r="30361" spans="1:3" x14ac:dyDescent="0.25">
      <c r="A30361" s="74">
        <v>35153</v>
      </c>
      <c r="B30361">
        <v>5.53</v>
      </c>
      <c r="C30361" t="s">
        <v>140</v>
      </c>
    </row>
    <row r="30362" spans="1:3" x14ac:dyDescent="0.25">
      <c r="A30362" s="74">
        <v>35154</v>
      </c>
      <c r="B30362">
        <v>5.23</v>
      </c>
      <c r="C30362" t="s">
        <v>140</v>
      </c>
    </row>
    <row r="30363" spans="1:3" x14ac:dyDescent="0.25">
      <c r="A30363" s="74">
        <v>35155</v>
      </c>
      <c r="B30363">
        <v>4.9800000000000004</v>
      </c>
      <c r="C30363" t="s">
        <v>140</v>
      </c>
    </row>
    <row r="30364" spans="1:3" x14ac:dyDescent="0.25">
      <c r="A30364" s="74">
        <v>35156</v>
      </c>
      <c r="B30364">
        <v>5.33</v>
      </c>
      <c r="C30364" t="s">
        <v>140</v>
      </c>
    </row>
    <row r="30365" spans="1:3" x14ac:dyDescent="0.25">
      <c r="A30365" s="74">
        <v>35157</v>
      </c>
      <c r="B30365">
        <v>5.56</v>
      </c>
      <c r="C30365" t="s">
        <v>140</v>
      </c>
    </row>
    <row r="30366" spans="1:3" x14ac:dyDescent="0.25">
      <c r="A30366" s="74">
        <v>35158</v>
      </c>
      <c r="B30366">
        <v>5.1100000000000003</v>
      </c>
    </row>
    <row r="30367" spans="1:3" x14ac:dyDescent="0.25">
      <c r="A30367" s="74">
        <v>35159</v>
      </c>
      <c r="B30367">
        <v>5.16</v>
      </c>
    </row>
    <row r="30368" spans="1:3" x14ac:dyDescent="0.25">
      <c r="A30368" s="74">
        <v>35160</v>
      </c>
      <c r="B30368">
        <v>6.18</v>
      </c>
    </row>
    <row r="30369" spans="1:2" x14ac:dyDescent="0.25">
      <c r="A30369" s="74">
        <v>35161</v>
      </c>
      <c r="B30369">
        <v>28.1</v>
      </c>
    </row>
    <row r="30370" spans="1:2" x14ac:dyDescent="0.25">
      <c r="A30370" s="74">
        <v>35162</v>
      </c>
      <c r="B30370">
        <v>23.9</v>
      </c>
    </row>
    <row r="30371" spans="1:2" x14ac:dyDescent="0.25">
      <c r="A30371" s="74">
        <v>35163</v>
      </c>
      <c r="B30371">
        <v>16.8</v>
      </c>
    </row>
    <row r="30372" spans="1:2" x14ac:dyDescent="0.25">
      <c r="A30372" s="74">
        <v>35164</v>
      </c>
      <c r="B30372">
        <v>14.2</v>
      </c>
    </row>
    <row r="30373" spans="1:2" x14ac:dyDescent="0.25">
      <c r="A30373" s="74">
        <v>35165</v>
      </c>
      <c r="B30373">
        <v>13.4</v>
      </c>
    </row>
    <row r="30374" spans="1:2" x14ac:dyDescent="0.25">
      <c r="A30374" s="74">
        <v>35166</v>
      </c>
      <c r="B30374">
        <v>11.2</v>
      </c>
    </row>
    <row r="30375" spans="1:2" x14ac:dyDescent="0.25">
      <c r="A30375" s="74">
        <v>35167</v>
      </c>
      <c r="B30375">
        <v>11.3</v>
      </c>
    </row>
    <row r="30376" spans="1:2" x14ac:dyDescent="0.25">
      <c r="A30376" s="74">
        <v>35168</v>
      </c>
      <c r="B30376">
        <v>10.5</v>
      </c>
    </row>
    <row r="30377" spans="1:2" x14ac:dyDescent="0.25">
      <c r="A30377" s="74">
        <v>35169</v>
      </c>
      <c r="B30377">
        <v>9.19</v>
      </c>
    </row>
    <row r="30378" spans="1:2" x14ac:dyDescent="0.25">
      <c r="A30378" s="74">
        <v>35170</v>
      </c>
      <c r="B30378">
        <v>12.4</v>
      </c>
    </row>
    <row r="30379" spans="1:2" x14ac:dyDescent="0.25">
      <c r="A30379" s="74">
        <v>35171</v>
      </c>
      <c r="B30379">
        <v>16.2</v>
      </c>
    </row>
    <row r="30380" spans="1:2" x14ac:dyDescent="0.25">
      <c r="A30380" s="74">
        <v>35172</v>
      </c>
      <c r="B30380">
        <v>24.6</v>
      </c>
    </row>
    <row r="30381" spans="1:2" x14ac:dyDescent="0.25">
      <c r="A30381" s="74">
        <v>35173</v>
      </c>
      <c r="B30381">
        <v>15.4</v>
      </c>
    </row>
    <row r="30382" spans="1:2" x14ac:dyDescent="0.25">
      <c r="A30382" s="74">
        <v>35174</v>
      </c>
      <c r="B30382">
        <v>14.1</v>
      </c>
    </row>
    <row r="30383" spans="1:2" x14ac:dyDescent="0.25">
      <c r="A30383" s="74">
        <v>35175</v>
      </c>
      <c r="B30383">
        <v>12.8</v>
      </c>
    </row>
    <row r="30384" spans="1:2" x14ac:dyDescent="0.25">
      <c r="A30384" s="74">
        <v>35176</v>
      </c>
      <c r="B30384">
        <v>10.5</v>
      </c>
    </row>
    <row r="30385" spans="1:2" x14ac:dyDescent="0.25">
      <c r="A30385" s="74">
        <v>35177</v>
      </c>
      <c r="B30385">
        <v>10</v>
      </c>
    </row>
    <row r="30386" spans="1:2" x14ac:dyDescent="0.25">
      <c r="A30386" s="74">
        <v>35178</v>
      </c>
      <c r="B30386">
        <v>16.7</v>
      </c>
    </row>
    <row r="30387" spans="1:2" x14ac:dyDescent="0.25">
      <c r="A30387" s="74">
        <v>35179</v>
      </c>
      <c r="B30387">
        <v>34.700000000000003</v>
      </c>
    </row>
    <row r="30388" spans="1:2" x14ac:dyDescent="0.25">
      <c r="A30388" s="74">
        <v>35180</v>
      </c>
      <c r="B30388">
        <v>30.3</v>
      </c>
    </row>
    <row r="30389" spans="1:2" x14ac:dyDescent="0.25">
      <c r="A30389" s="74">
        <v>35181</v>
      </c>
      <c r="B30389">
        <v>31</v>
      </c>
    </row>
    <row r="30390" spans="1:2" x14ac:dyDescent="0.25">
      <c r="A30390" s="74">
        <v>35182</v>
      </c>
      <c r="B30390">
        <v>21.7</v>
      </c>
    </row>
    <row r="30391" spans="1:2" x14ac:dyDescent="0.25">
      <c r="A30391" s="74">
        <v>35183</v>
      </c>
      <c r="B30391">
        <v>14.6</v>
      </c>
    </row>
    <row r="30392" spans="1:2" x14ac:dyDescent="0.25">
      <c r="A30392" s="74">
        <v>35184</v>
      </c>
      <c r="B30392">
        <v>13.9</v>
      </c>
    </row>
    <row r="30393" spans="1:2" x14ac:dyDescent="0.25">
      <c r="A30393" s="74">
        <v>35185</v>
      </c>
      <c r="B30393">
        <v>12.3</v>
      </c>
    </row>
    <row r="30394" spans="1:2" x14ac:dyDescent="0.25">
      <c r="A30394" s="74">
        <v>35186</v>
      </c>
      <c r="B30394">
        <v>10.5</v>
      </c>
    </row>
    <row r="30395" spans="1:2" x14ac:dyDescent="0.25">
      <c r="A30395" s="74">
        <v>35187</v>
      </c>
      <c r="B30395">
        <v>9.25</v>
      </c>
    </row>
    <row r="30396" spans="1:2" x14ac:dyDescent="0.25">
      <c r="A30396" s="74">
        <v>35188</v>
      </c>
      <c r="B30396">
        <v>8.52</v>
      </c>
    </row>
    <row r="30397" spans="1:2" x14ac:dyDescent="0.25">
      <c r="A30397" s="74">
        <v>35189</v>
      </c>
      <c r="B30397">
        <v>8.16</v>
      </c>
    </row>
    <row r="30398" spans="1:2" x14ac:dyDescent="0.25">
      <c r="A30398" s="74">
        <v>35190</v>
      </c>
      <c r="B30398">
        <v>7.19</v>
      </c>
    </row>
    <row r="30399" spans="1:2" x14ac:dyDescent="0.25">
      <c r="A30399" s="74">
        <v>35191</v>
      </c>
      <c r="B30399">
        <v>6.39</v>
      </c>
    </row>
    <row r="30400" spans="1:2" x14ac:dyDescent="0.25">
      <c r="A30400" s="74">
        <v>35192</v>
      </c>
      <c r="B30400">
        <v>5.91</v>
      </c>
    </row>
    <row r="30401" spans="1:2" x14ac:dyDescent="0.25">
      <c r="A30401" s="74">
        <v>35193</v>
      </c>
      <c r="B30401">
        <v>6.17</v>
      </c>
    </row>
    <row r="30402" spans="1:2" x14ac:dyDescent="0.25">
      <c r="A30402" s="74">
        <v>35194</v>
      </c>
      <c r="B30402">
        <v>6.1</v>
      </c>
    </row>
    <row r="30403" spans="1:2" x14ac:dyDescent="0.25">
      <c r="A30403" s="74">
        <v>35195</v>
      </c>
      <c r="B30403">
        <v>5.74</v>
      </c>
    </row>
    <row r="30404" spans="1:2" x14ac:dyDescent="0.25">
      <c r="A30404" s="74">
        <v>35196</v>
      </c>
      <c r="B30404">
        <v>5.59</v>
      </c>
    </row>
    <row r="30405" spans="1:2" x14ac:dyDescent="0.25">
      <c r="A30405" s="74">
        <v>35197</v>
      </c>
      <c r="B30405">
        <v>5.27</v>
      </c>
    </row>
    <row r="30406" spans="1:2" x14ac:dyDescent="0.25">
      <c r="A30406" s="74">
        <v>35198</v>
      </c>
      <c r="B30406">
        <v>8.2200000000000006</v>
      </c>
    </row>
    <row r="30407" spans="1:2" x14ac:dyDescent="0.25">
      <c r="A30407" s="74">
        <v>35199</v>
      </c>
      <c r="B30407">
        <v>9.69</v>
      </c>
    </row>
    <row r="30408" spans="1:2" x14ac:dyDescent="0.25">
      <c r="A30408" s="74">
        <v>35200</v>
      </c>
      <c r="B30408">
        <v>8.17</v>
      </c>
    </row>
    <row r="30409" spans="1:2" x14ac:dyDescent="0.25">
      <c r="A30409" s="74">
        <v>35201</v>
      </c>
      <c r="B30409">
        <v>6.86</v>
      </c>
    </row>
    <row r="30410" spans="1:2" x14ac:dyDescent="0.25">
      <c r="A30410" s="74">
        <v>35202</v>
      </c>
      <c r="B30410">
        <v>6.58</v>
      </c>
    </row>
    <row r="30411" spans="1:2" x14ac:dyDescent="0.25">
      <c r="A30411" s="74">
        <v>35203</v>
      </c>
      <c r="B30411">
        <v>12.4</v>
      </c>
    </row>
    <row r="30412" spans="1:2" x14ac:dyDescent="0.25">
      <c r="A30412" s="74">
        <v>35204</v>
      </c>
      <c r="B30412">
        <v>11.5</v>
      </c>
    </row>
    <row r="30413" spans="1:2" x14ac:dyDescent="0.25">
      <c r="A30413" s="74">
        <v>35205</v>
      </c>
      <c r="B30413">
        <v>10.199999999999999</v>
      </c>
    </row>
    <row r="30414" spans="1:2" x14ac:dyDescent="0.25">
      <c r="A30414" s="74">
        <v>35206</v>
      </c>
      <c r="B30414">
        <v>9.2200000000000006</v>
      </c>
    </row>
    <row r="30415" spans="1:2" x14ac:dyDescent="0.25">
      <c r="A30415" s="74">
        <v>35207</v>
      </c>
      <c r="B30415">
        <v>9.5</v>
      </c>
    </row>
    <row r="30416" spans="1:2" x14ac:dyDescent="0.25">
      <c r="A30416" s="74">
        <v>35208</v>
      </c>
      <c r="B30416">
        <v>11.8</v>
      </c>
    </row>
    <row r="30417" spans="1:2" x14ac:dyDescent="0.25">
      <c r="A30417" s="74">
        <v>35209</v>
      </c>
      <c r="B30417">
        <v>10.5</v>
      </c>
    </row>
    <row r="30418" spans="1:2" x14ac:dyDescent="0.25">
      <c r="A30418" s="74">
        <v>35210</v>
      </c>
      <c r="B30418">
        <v>9.57</v>
      </c>
    </row>
    <row r="30419" spans="1:2" x14ac:dyDescent="0.25">
      <c r="A30419" s="74">
        <v>35211</v>
      </c>
      <c r="B30419">
        <v>8.8800000000000008</v>
      </c>
    </row>
    <row r="30420" spans="1:2" x14ac:dyDescent="0.25">
      <c r="A30420" s="74">
        <v>35212</v>
      </c>
      <c r="B30420">
        <v>7.52</v>
      </c>
    </row>
    <row r="30421" spans="1:2" x14ac:dyDescent="0.25">
      <c r="A30421" s="74">
        <v>35213</v>
      </c>
      <c r="B30421">
        <v>6.94</v>
      </c>
    </row>
    <row r="30422" spans="1:2" x14ac:dyDescent="0.25">
      <c r="A30422" s="74">
        <v>35214</v>
      </c>
      <c r="B30422">
        <v>6.19</v>
      </c>
    </row>
    <row r="30423" spans="1:2" x14ac:dyDescent="0.25">
      <c r="A30423" s="74">
        <v>35215</v>
      </c>
      <c r="B30423">
        <v>5.73</v>
      </c>
    </row>
    <row r="30424" spans="1:2" x14ac:dyDescent="0.25">
      <c r="A30424" s="74">
        <v>35216</v>
      </c>
      <c r="B30424">
        <v>5.3</v>
      </c>
    </row>
    <row r="30425" spans="1:2" x14ac:dyDescent="0.25">
      <c r="A30425" s="74">
        <v>35217</v>
      </c>
      <c r="B30425">
        <v>5.04</v>
      </c>
    </row>
    <row r="30426" spans="1:2" x14ac:dyDescent="0.25">
      <c r="A30426" s="74">
        <v>35218</v>
      </c>
      <c r="B30426">
        <v>5.34</v>
      </c>
    </row>
    <row r="30427" spans="1:2" x14ac:dyDescent="0.25">
      <c r="A30427" s="74">
        <v>35219</v>
      </c>
      <c r="B30427">
        <v>5.87</v>
      </c>
    </row>
    <row r="30428" spans="1:2" x14ac:dyDescent="0.25">
      <c r="A30428" s="74">
        <v>35220</v>
      </c>
      <c r="B30428">
        <v>5.89</v>
      </c>
    </row>
    <row r="30429" spans="1:2" x14ac:dyDescent="0.25">
      <c r="A30429" s="74">
        <v>35221</v>
      </c>
      <c r="B30429">
        <v>5.4</v>
      </c>
    </row>
    <row r="30430" spans="1:2" x14ac:dyDescent="0.25">
      <c r="A30430" s="74">
        <v>35222</v>
      </c>
      <c r="B30430">
        <v>4.91</v>
      </c>
    </row>
    <row r="30431" spans="1:2" x14ac:dyDescent="0.25">
      <c r="A30431" s="74">
        <v>35223</v>
      </c>
      <c r="B30431">
        <v>4.6500000000000004</v>
      </c>
    </row>
    <row r="30432" spans="1:2" x14ac:dyDescent="0.25">
      <c r="A30432" s="74">
        <v>35224</v>
      </c>
      <c r="B30432">
        <v>4.21</v>
      </c>
    </row>
    <row r="30433" spans="1:2" x14ac:dyDescent="0.25">
      <c r="A30433" s="74">
        <v>35225</v>
      </c>
      <c r="B30433">
        <v>3.98</v>
      </c>
    </row>
    <row r="30434" spans="1:2" x14ac:dyDescent="0.25">
      <c r="A30434" s="74">
        <v>35226</v>
      </c>
      <c r="B30434">
        <v>3.79</v>
      </c>
    </row>
    <row r="30435" spans="1:2" x14ac:dyDescent="0.25">
      <c r="A30435" s="74">
        <v>35227</v>
      </c>
      <c r="B30435">
        <v>4.1399999999999997</v>
      </c>
    </row>
    <row r="30436" spans="1:2" x14ac:dyDescent="0.25">
      <c r="A30436" s="74">
        <v>35228</v>
      </c>
      <c r="B30436">
        <v>3.97</v>
      </c>
    </row>
    <row r="30437" spans="1:2" x14ac:dyDescent="0.25">
      <c r="A30437" s="74">
        <v>35229</v>
      </c>
      <c r="B30437">
        <v>3.64</v>
      </c>
    </row>
    <row r="30438" spans="1:2" x14ac:dyDescent="0.25">
      <c r="A30438" s="74">
        <v>35230</v>
      </c>
      <c r="B30438">
        <v>3.39</v>
      </c>
    </row>
    <row r="30439" spans="1:2" x14ac:dyDescent="0.25">
      <c r="A30439" s="74">
        <v>35231</v>
      </c>
      <c r="B30439">
        <v>3.22</v>
      </c>
    </row>
    <row r="30440" spans="1:2" x14ac:dyDescent="0.25">
      <c r="A30440" s="74">
        <v>35232</v>
      </c>
      <c r="B30440">
        <v>2.92</v>
      </c>
    </row>
    <row r="30441" spans="1:2" x14ac:dyDescent="0.25">
      <c r="A30441" s="74">
        <v>35233</v>
      </c>
      <c r="B30441">
        <v>2.66</v>
      </c>
    </row>
    <row r="30442" spans="1:2" x14ac:dyDescent="0.25">
      <c r="A30442" s="74">
        <v>35234</v>
      </c>
      <c r="B30442">
        <v>2.41</v>
      </c>
    </row>
    <row r="30443" spans="1:2" x14ac:dyDescent="0.25">
      <c r="A30443" s="74">
        <v>35235</v>
      </c>
      <c r="B30443">
        <v>2.21</v>
      </c>
    </row>
    <row r="30444" spans="1:2" x14ac:dyDescent="0.25">
      <c r="A30444" s="74">
        <v>35236</v>
      </c>
      <c r="B30444">
        <v>2.04</v>
      </c>
    </row>
    <row r="30445" spans="1:2" x14ac:dyDescent="0.25">
      <c r="A30445" s="74">
        <v>35237</v>
      </c>
      <c r="B30445">
        <v>1.98</v>
      </c>
    </row>
    <row r="30446" spans="1:2" x14ac:dyDescent="0.25">
      <c r="A30446" s="74">
        <v>35238</v>
      </c>
      <c r="B30446">
        <v>2.0099999999999998</v>
      </c>
    </row>
    <row r="30447" spans="1:2" x14ac:dyDescent="0.25">
      <c r="A30447" s="74">
        <v>35239</v>
      </c>
      <c r="B30447">
        <v>2.0699999999999998</v>
      </c>
    </row>
    <row r="30448" spans="1:2" x14ac:dyDescent="0.25">
      <c r="A30448" s="74">
        <v>35240</v>
      </c>
      <c r="B30448">
        <v>2.39</v>
      </c>
    </row>
    <row r="30449" spans="1:2" x14ac:dyDescent="0.25">
      <c r="A30449" s="74">
        <v>35241</v>
      </c>
      <c r="B30449">
        <v>2.67</v>
      </c>
    </row>
    <row r="30450" spans="1:2" x14ac:dyDescent="0.25">
      <c r="A30450" s="74">
        <v>35242</v>
      </c>
      <c r="B30450">
        <v>2.78</v>
      </c>
    </row>
    <row r="30451" spans="1:2" x14ac:dyDescent="0.25">
      <c r="A30451" s="74">
        <v>35243</v>
      </c>
      <c r="B30451">
        <v>2.42</v>
      </c>
    </row>
    <row r="30452" spans="1:2" x14ac:dyDescent="0.25">
      <c r="A30452" s="74">
        <v>35244</v>
      </c>
      <c r="B30452">
        <v>2.2000000000000002</v>
      </c>
    </row>
    <row r="30453" spans="1:2" x14ac:dyDescent="0.25">
      <c r="A30453" s="74">
        <v>35245</v>
      </c>
      <c r="B30453">
        <v>2.0699999999999998</v>
      </c>
    </row>
    <row r="30454" spans="1:2" x14ac:dyDescent="0.25">
      <c r="A30454" s="74">
        <v>35246</v>
      </c>
      <c r="B30454">
        <v>1.91</v>
      </c>
    </row>
    <row r="30455" spans="1:2" x14ac:dyDescent="0.25">
      <c r="A30455" s="74">
        <v>35247</v>
      </c>
      <c r="B30455">
        <v>1.85</v>
      </c>
    </row>
    <row r="30456" spans="1:2" x14ac:dyDescent="0.25">
      <c r="A30456" s="74">
        <v>35248</v>
      </c>
      <c r="B30456">
        <v>1.81</v>
      </c>
    </row>
    <row r="30457" spans="1:2" x14ac:dyDescent="0.25">
      <c r="A30457" s="74">
        <v>35249</v>
      </c>
      <c r="B30457">
        <v>1.89</v>
      </c>
    </row>
    <row r="30458" spans="1:2" x14ac:dyDescent="0.25">
      <c r="A30458" s="74">
        <v>35250</v>
      </c>
      <c r="B30458">
        <v>1.82</v>
      </c>
    </row>
    <row r="30459" spans="1:2" x14ac:dyDescent="0.25">
      <c r="A30459" s="74">
        <v>35251</v>
      </c>
      <c r="B30459">
        <v>1.71</v>
      </c>
    </row>
    <row r="30460" spans="1:2" x14ac:dyDescent="0.25">
      <c r="A30460" s="74">
        <v>35252</v>
      </c>
      <c r="B30460">
        <v>1.5</v>
      </c>
    </row>
    <row r="30461" spans="1:2" x14ac:dyDescent="0.25">
      <c r="A30461" s="74">
        <v>35253</v>
      </c>
      <c r="B30461">
        <v>1.42</v>
      </c>
    </row>
    <row r="30462" spans="1:2" x14ac:dyDescent="0.25">
      <c r="A30462" s="74">
        <v>35254</v>
      </c>
      <c r="B30462">
        <v>1.4</v>
      </c>
    </row>
    <row r="30463" spans="1:2" x14ac:dyDescent="0.25">
      <c r="A30463" s="74">
        <v>35255</v>
      </c>
      <c r="B30463">
        <v>1.44</v>
      </c>
    </row>
    <row r="30464" spans="1:2" x14ac:dyDescent="0.25">
      <c r="A30464" s="74">
        <v>35256</v>
      </c>
      <c r="B30464">
        <v>1.41</v>
      </c>
    </row>
    <row r="30465" spans="1:2" x14ac:dyDescent="0.25">
      <c r="A30465" s="74">
        <v>35257</v>
      </c>
      <c r="B30465">
        <v>1.29</v>
      </c>
    </row>
    <row r="30466" spans="1:2" x14ac:dyDescent="0.25">
      <c r="A30466" s="74">
        <v>35258</v>
      </c>
      <c r="B30466">
        <v>1.17</v>
      </c>
    </row>
    <row r="30467" spans="1:2" x14ac:dyDescent="0.25">
      <c r="A30467" s="74">
        <v>35259</v>
      </c>
      <c r="B30467">
        <v>1.1100000000000001</v>
      </c>
    </row>
    <row r="30468" spans="1:2" x14ac:dyDescent="0.25">
      <c r="A30468" s="74">
        <v>35260</v>
      </c>
      <c r="B30468">
        <v>1.0900000000000001</v>
      </c>
    </row>
    <row r="30469" spans="1:2" x14ac:dyDescent="0.25">
      <c r="A30469" s="74">
        <v>35261</v>
      </c>
      <c r="B30469">
        <v>1.07</v>
      </c>
    </row>
    <row r="30470" spans="1:2" x14ac:dyDescent="0.25">
      <c r="A30470" s="74">
        <v>35262</v>
      </c>
      <c r="B30470">
        <v>0.97299999999999998</v>
      </c>
    </row>
    <row r="30471" spans="1:2" x14ac:dyDescent="0.25">
      <c r="A30471" s="74">
        <v>35263</v>
      </c>
      <c r="B30471">
        <v>0.97299999999999998</v>
      </c>
    </row>
    <row r="30472" spans="1:2" x14ac:dyDescent="0.25">
      <c r="A30472" s="74">
        <v>35264</v>
      </c>
      <c r="B30472">
        <v>1.02</v>
      </c>
    </row>
    <row r="30473" spans="1:2" x14ac:dyDescent="0.25">
      <c r="A30473" s="74">
        <v>35265</v>
      </c>
      <c r="B30473">
        <v>1.01</v>
      </c>
    </row>
    <row r="30474" spans="1:2" x14ac:dyDescent="0.25">
      <c r="A30474" s="74">
        <v>35266</v>
      </c>
      <c r="B30474">
        <v>1.05</v>
      </c>
    </row>
    <row r="30475" spans="1:2" x14ac:dyDescent="0.25">
      <c r="A30475" s="74">
        <v>35267</v>
      </c>
      <c r="B30475">
        <v>1.07</v>
      </c>
    </row>
    <row r="30476" spans="1:2" x14ac:dyDescent="0.25">
      <c r="A30476" s="74">
        <v>35268</v>
      </c>
      <c r="B30476">
        <v>1.0900000000000001</v>
      </c>
    </row>
    <row r="30477" spans="1:2" x14ac:dyDescent="0.25">
      <c r="A30477" s="74">
        <v>35269</v>
      </c>
      <c r="B30477">
        <v>1.02</v>
      </c>
    </row>
    <row r="30478" spans="1:2" x14ac:dyDescent="0.25">
      <c r="A30478" s="74">
        <v>35270</v>
      </c>
      <c r="B30478">
        <v>0.95199999999999996</v>
      </c>
    </row>
    <row r="30479" spans="1:2" x14ac:dyDescent="0.25">
      <c r="A30479" s="74">
        <v>35271</v>
      </c>
      <c r="B30479">
        <v>0.878</v>
      </c>
    </row>
    <row r="30480" spans="1:2" x14ac:dyDescent="0.25">
      <c r="A30480" s="74">
        <v>35272</v>
      </c>
      <c r="B30480">
        <v>0.80300000000000005</v>
      </c>
    </row>
    <row r="30481" spans="1:2" x14ac:dyDescent="0.25">
      <c r="A30481" s="74">
        <v>35273</v>
      </c>
      <c r="B30481">
        <v>0.71099999999999997</v>
      </c>
    </row>
    <row r="30482" spans="1:2" x14ac:dyDescent="0.25">
      <c r="A30482" s="74">
        <v>35274</v>
      </c>
      <c r="B30482">
        <v>0.71199999999999997</v>
      </c>
    </row>
    <row r="30483" spans="1:2" x14ac:dyDescent="0.25">
      <c r="A30483" s="74">
        <v>35275</v>
      </c>
      <c r="B30483">
        <v>0.64700000000000002</v>
      </c>
    </row>
    <row r="30484" spans="1:2" x14ac:dyDescent="0.25">
      <c r="A30484" s="74">
        <v>35276</v>
      </c>
      <c r="B30484">
        <v>0.59699999999999998</v>
      </c>
    </row>
    <row r="30485" spans="1:2" x14ac:dyDescent="0.25">
      <c r="A30485" s="74">
        <v>35277</v>
      </c>
      <c r="B30485">
        <v>0.55100000000000005</v>
      </c>
    </row>
    <row r="30486" spans="1:2" x14ac:dyDescent="0.25">
      <c r="A30486" s="74">
        <v>35278</v>
      </c>
      <c r="B30486">
        <v>0.51600000000000001</v>
      </c>
    </row>
    <row r="30487" spans="1:2" x14ac:dyDescent="0.25">
      <c r="A30487" s="74">
        <v>35279</v>
      </c>
      <c r="B30487">
        <v>0.52400000000000002</v>
      </c>
    </row>
    <row r="30488" spans="1:2" x14ac:dyDescent="0.25">
      <c r="A30488" s="74">
        <v>35280</v>
      </c>
      <c r="B30488">
        <v>0.49</v>
      </c>
    </row>
    <row r="30489" spans="1:2" x14ac:dyDescent="0.25">
      <c r="A30489" s="74">
        <v>35281</v>
      </c>
      <c r="B30489">
        <v>0.48299999999999998</v>
      </c>
    </row>
    <row r="30490" spans="1:2" x14ac:dyDescent="0.25">
      <c r="A30490" s="74">
        <v>35282</v>
      </c>
      <c r="B30490">
        <v>0.54400000000000004</v>
      </c>
    </row>
    <row r="30491" spans="1:2" x14ac:dyDescent="0.25">
      <c r="A30491" s="74">
        <v>35283</v>
      </c>
      <c r="B30491">
        <v>0.46600000000000003</v>
      </c>
    </row>
    <row r="30492" spans="1:2" x14ac:dyDescent="0.25">
      <c r="A30492" s="74">
        <v>35284</v>
      </c>
      <c r="B30492">
        <v>0.46700000000000003</v>
      </c>
    </row>
    <row r="30493" spans="1:2" x14ac:dyDescent="0.25">
      <c r="A30493" s="74">
        <v>35285</v>
      </c>
      <c r="B30493">
        <v>0.42799999999999999</v>
      </c>
    </row>
    <row r="30494" spans="1:2" x14ac:dyDescent="0.25">
      <c r="A30494" s="74">
        <v>35286</v>
      </c>
      <c r="B30494">
        <v>0.38400000000000001</v>
      </c>
    </row>
    <row r="30495" spans="1:2" x14ac:dyDescent="0.25">
      <c r="A30495" s="74">
        <v>35287</v>
      </c>
      <c r="B30495">
        <v>0.34799999999999998</v>
      </c>
    </row>
    <row r="30496" spans="1:2" x14ac:dyDescent="0.25">
      <c r="A30496" s="74">
        <v>35288</v>
      </c>
      <c r="B30496">
        <v>0.33900000000000002</v>
      </c>
    </row>
    <row r="30497" spans="1:2" x14ac:dyDescent="0.25">
      <c r="A30497" s="74">
        <v>35289</v>
      </c>
      <c r="B30497">
        <v>0.307</v>
      </c>
    </row>
    <row r="30498" spans="1:2" x14ac:dyDescent="0.25">
      <c r="A30498" s="74">
        <v>35290</v>
      </c>
      <c r="B30498">
        <v>0.29499999999999998</v>
      </c>
    </row>
    <row r="30499" spans="1:2" x14ac:dyDescent="0.25">
      <c r="A30499" s="74">
        <v>35291</v>
      </c>
      <c r="B30499">
        <v>0.28999999999999998</v>
      </c>
    </row>
    <row r="30500" spans="1:2" x14ac:dyDescent="0.25">
      <c r="A30500" s="74">
        <v>35292</v>
      </c>
      <c r="B30500">
        <v>0.27700000000000002</v>
      </c>
    </row>
    <row r="30501" spans="1:2" x14ac:dyDescent="0.25">
      <c r="A30501" s="74">
        <v>35293</v>
      </c>
      <c r="B30501">
        <v>0.27200000000000002</v>
      </c>
    </row>
    <row r="30502" spans="1:2" x14ac:dyDescent="0.25">
      <c r="A30502" s="74">
        <v>35294</v>
      </c>
      <c r="B30502">
        <v>0.25600000000000001</v>
      </c>
    </row>
    <row r="30503" spans="1:2" x14ac:dyDescent="0.25">
      <c r="A30503" s="74">
        <v>35295</v>
      </c>
      <c r="B30503">
        <v>0.26600000000000001</v>
      </c>
    </row>
    <row r="30504" spans="1:2" x14ac:dyDescent="0.25">
      <c r="A30504" s="74">
        <v>35296</v>
      </c>
      <c r="B30504">
        <v>0.27300000000000002</v>
      </c>
    </row>
    <row r="30505" spans="1:2" x14ac:dyDescent="0.25">
      <c r="A30505" s="74">
        <v>35297</v>
      </c>
      <c r="B30505">
        <v>0.27200000000000002</v>
      </c>
    </row>
    <row r="30506" spans="1:2" x14ac:dyDescent="0.25">
      <c r="A30506" s="74">
        <v>35298</v>
      </c>
      <c r="B30506">
        <v>0.253</v>
      </c>
    </row>
    <row r="30507" spans="1:2" x14ac:dyDescent="0.25">
      <c r="A30507" s="74">
        <v>35299</v>
      </c>
      <c r="B30507">
        <v>0.26500000000000001</v>
      </c>
    </row>
    <row r="30508" spans="1:2" x14ac:dyDescent="0.25">
      <c r="A30508" s="74">
        <v>35300</v>
      </c>
      <c r="B30508">
        <v>0.248</v>
      </c>
    </row>
    <row r="30509" spans="1:2" x14ac:dyDescent="0.25">
      <c r="A30509" s="74">
        <v>35301</v>
      </c>
      <c r="B30509">
        <v>0.255</v>
      </c>
    </row>
    <row r="30510" spans="1:2" x14ac:dyDescent="0.25">
      <c r="A30510" s="74">
        <v>35302</v>
      </c>
      <c r="B30510">
        <v>0.24299999999999999</v>
      </c>
    </row>
    <row r="30511" spans="1:2" x14ac:dyDescent="0.25">
      <c r="A30511" s="74">
        <v>35303</v>
      </c>
      <c r="B30511">
        <v>0.22900000000000001</v>
      </c>
    </row>
    <row r="30512" spans="1:2" x14ac:dyDescent="0.25">
      <c r="A30512" s="74">
        <v>35304</v>
      </c>
      <c r="B30512">
        <v>0.23200000000000001</v>
      </c>
    </row>
    <row r="30513" spans="1:2" x14ac:dyDescent="0.25">
      <c r="A30513" s="74">
        <v>35305</v>
      </c>
      <c r="B30513">
        <v>0.20799999999999999</v>
      </c>
    </row>
    <row r="30514" spans="1:2" x14ac:dyDescent="0.25">
      <c r="A30514" s="74">
        <v>35306</v>
      </c>
      <c r="B30514">
        <v>0.218</v>
      </c>
    </row>
    <row r="30515" spans="1:2" x14ac:dyDescent="0.25">
      <c r="A30515" s="74">
        <v>35307</v>
      </c>
      <c r="B30515">
        <v>0.22800000000000001</v>
      </c>
    </row>
    <row r="30516" spans="1:2" x14ac:dyDescent="0.25">
      <c r="A30516" s="74">
        <v>35308</v>
      </c>
      <c r="B30516">
        <v>0.24099999999999999</v>
      </c>
    </row>
    <row r="30517" spans="1:2" x14ac:dyDescent="0.25">
      <c r="A30517" s="74">
        <v>35309</v>
      </c>
      <c r="B30517">
        <v>0.23300000000000001</v>
      </c>
    </row>
    <row r="30518" spans="1:2" x14ac:dyDescent="0.25">
      <c r="A30518" s="74">
        <v>35310</v>
      </c>
      <c r="B30518">
        <v>0.23599999999999999</v>
      </c>
    </row>
    <row r="30519" spans="1:2" x14ac:dyDescent="0.25">
      <c r="A30519" s="74">
        <v>35311</v>
      </c>
      <c r="B30519">
        <v>0.29799999999999999</v>
      </c>
    </row>
    <row r="30520" spans="1:2" x14ac:dyDescent="0.25">
      <c r="A30520" s="74">
        <v>35312</v>
      </c>
      <c r="B30520">
        <v>0.32</v>
      </c>
    </row>
    <row r="30521" spans="1:2" x14ac:dyDescent="0.25">
      <c r="A30521" s="74">
        <v>35313</v>
      </c>
      <c r="B30521">
        <v>0.32600000000000001</v>
      </c>
    </row>
    <row r="30522" spans="1:2" x14ac:dyDescent="0.25">
      <c r="A30522" s="74">
        <v>35314</v>
      </c>
      <c r="B30522">
        <v>0.33900000000000002</v>
      </c>
    </row>
    <row r="30523" spans="1:2" x14ac:dyDescent="0.25">
      <c r="A30523" s="74">
        <v>35315</v>
      </c>
      <c r="B30523">
        <v>0.34799999999999998</v>
      </c>
    </row>
    <row r="30524" spans="1:2" x14ac:dyDescent="0.25">
      <c r="A30524" s="74">
        <v>35316</v>
      </c>
      <c r="B30524">
        <v>0.32200000000000001</v>
      </c>
    </row>
    <row r="30525" spans="1:2" x14ac:dyDescent="0.25">
      <c r="A30525" s="74">
        <v>35317</v>
      </c>
      <c r="B30525">
        <v>0.39400000000000002</v>
      </c>
    </row>
    <row r="30526" spans="1:2" x14ac:dyDescent="0.25">
      <c r="A30526" s="74">
        <v>35318</v>
      </c>
      <c r="B30526">
        <v>0.40699999999999997</v>
      </c>
    </row>
    <row r="30527" spans="1:2" x14ac:dyDescent="0.25">
      <c r="A30527" s="74">
        <v>35319</v>
      </c>
      <c r="B30527">
        <v>0.4</v>
      </c>
    </row>
    <row r="30528" spans="1:2" x14ac:dyDescent="0.25">
      <c r="A30528" s="74">
        <v>35320</v>
      </c>
      <c r="B30528">
        <v>0.35299999999999998</v>
      </c>
    </row>
    <row r="30529" spans="1:2" x14ac:dyDescent="0.25">
      <c r="A30529" s="74">
        <v>35321</v>
      </c>
      <c r="B30529">
        <v>0.41599999999999998</v>
      </c>
    </row>
    <row r="30530" spans="1:2" x14ac:dyDescent="0.25">
      <c r="A30530" s="74">
        <v>35322</v>
      </c>
      <c r="B30530">
        <v>0.52900000000000003</v>
      </c>
    </row>
    <row r="30531" spans="1:2" x14ac:dyDescent="0.25">
      <c r="A30531" s="74">
        <v>35323</v>
      </c>
      <c r="B30531">
        <v>0.74399999999999999</v>
      </c>
    </row>
    <row r="30532" spans="1:2" x14ac:dyDescent="0.25">
      <c r="A30532" s="74">
        <v>35324</v>
      </c>
      <c r="B30532">
        <v>0.83499999999999996</v>
      </c>
    </row>
    <row r="30533" spans="1:2" x14ac:dyDescent="0.25">
      <c r="A30533" s="74">
        <v>35325</v>
      </c>
      <c r="B30533">
        <v>0.75800000000000001</v>
      </c>
    </row>
    <row r="30534" spans="1:2" x14ac:dyDescent="0.25">
      <c r="A30534" s="74">
        <v>35326</v>
      </c>
      <c r="B30534">
        <v>0.69099999999999995</v>
      </c>
    </row>
    <row r="30535" spans="1:2" x14ac:dyDescent="0.25">
      <c r="A30535" s="74">
        <v>35327</v>
      </c>
      <c r="B30535">
        <v>0.71099999999999997</v>
      </c>
    </row>
    <row r="30536" spans="1:2" x14ac:dyDescent="0.25">
      <c r="A30536" s="74">
        <v>35328</v>
      </c>
      <c r="B30536">
        <v>0.621</v>
      </c>
    </row>
    <row r="30537" spans="1:2" x14ac:dyDescent="0.25">
      <c r="A30537" s="74">
        <v>35329</v>
      </c>
      <c r="B30537">
        <v>0.65</v>
      </c>
    </row>
    <row r="30538" spans="1:2" x14ac:dyDescent="0.25">
      <c r="A30538" s="74">
        <v>35330</v>
      </c>
      <c r="B30538">
        <v>0.71</v>
      </c>
    </row>
    <row r="30539" spans="1:2" x14ac:dyDescent="0.25">
      <c r="A30539" s="74">
        <v>35331</v>
      </c>
      <c r="B30539">
        <v>0.67300000000000004</v>
      </c>
    </row>
    <row r="30540" spans="1:2" x14ac:dyDescent="0.25">
      <c r="A30540" s="74">
        <v>35332</v>
      </c>
      <c r="B30540">
        <v>0.58599999999999997</v>
      </c>
    </row>
    <row r="30541" spans="1:2" x14ac:dyDescent="0.25">
      <c r="A30541" s="74">
        <v>35333</v>
      </c>
      <c r="B30541">
        <v>0.54100000000000004</v>
      </c>
    </row>
    <row r="30542" spans="1:2" x14ac:dyDescent="0.25">
      <c r="A30542" s="74">
        <v>35334</v>
      </c>
      <c r="B30542">
        <v>0.53100000000000003</v>
      </c>
    </row>
    <row r="30543" spans="1:2" x14ac:dyDescent="0.25">
      <c r="A30543" s="74">
        <v>35335</v>
      </c>
      <c r="B30543">
        <v>0.51800000000000002</v>
      </c>
    </row>
    <row r="30544" spans="1:2" x14ac:dyDescent="0.25">
      <c r="A30544" s="74">
        <v>35336</v>
      </c>
      <c r="B30544">
        <v>0.45600000000000002</v>
      </c>
    </row>
    <row r="30545" spans="1:2" x14ac:dyDescent="0.25">
      <c r="A30545" s="74">
        <v>35337</v>
      </c>
      <c r="B30545">
        <v>0.495</v>
      </c>
    </row>
    <row r="30546" spans="1:2" x14ac:dyDescent="0.25">
      <c r="A30546" s="74">
        <v>35338</v>
      </c>
      <c r="B30546">
        <v>0.44700000000000001</v>
      </c>
    </row>
    <row r="30547" spans="1:2" x14ac:dyDescent="0.25">
      <c r="A30547" s="74">
        <v>35339</v>
      </c>
      <c r="B30547">
        <v>0.42099999999999999</v>
      </c>
    </row>
    <row r="30548" spans="1:2" x14ac:dyDescent="0.25">
      <c r="A30548" s="74">
        <v>35340</v>
      </c>
      <c r="B30548">
        <v>0.41</v>
      </c>
    </row>
    <row r="30549" spans="1:2" x14ac:dyDescent="0.25">
      <c r="A30549" s="74">
        <v>35341</v>
      </c>
      <c r="B30549">
        <v>0.45200000000000001</v>
      </c>
    </row>
    <row r="30550" spans="1:2" x14ac:dyDescent="0.25">
      <c r="A30550" s="74">
        <v>35342</v>
      </c>
      <c r="B30550">
        <v>3.84</v>
      </c>
    </row>
    <row r="30551" spans="1:2" x14ac:dyDescent="0.25">
      <c r="A30551" s="74">
        <v>35343</v>
      </c>
      <c r="B30551">
        <v>4.49</v>
      </c>
    </row>
    <row r="30552" spans="1:2" x14ac:dyDescent="0.25">
      <c r="A30552" s="74">
        <v>35344</v>
      </c>
      <c r="B30552">
        <v>2.89</v>
      </c>
    </row>
    <row r="30553" spans="1:2" x14ac:dyDescent="0.25">
      <c r="A30553" s="74">
        <v>35345</v>
      </c>
      <c r="B30553">
        <v>2.0699999999999998</v>
      </c>
    </row>
    <row r="30554" spans="1:2" x14ac:dyDescent="0.25">
      <c r="A30554" s="74">
        <v>35346</v>
      </c>
      <c r="B30554">
        <v>1.7</v>
      </c>
    </row>
    <row r="30555" spans="1:2" x14ac:dyDescent="0.25">
      <c r="A30555" s="74">
        <v>35347</v>
      </c>
      <c r="B30555">
        <v>1.49</v>
      </c>
    </row>
    <row r="30556" spans="1:2" x14ac:dyDescent="0.25">
      <c r="A30556" s="74">
        <v>35348</v>
      </c>
      <c r="B30556">
        <v>1.37</v>
      </c>
    </row>
    <row r="30557" spans="1:2" x14ac:dyDescent="0.25">
      <c r="A30557" s="74">
        <v>35349</v>
      </c>
      <c r="B30557">
        <v>1.39</v>
      </c>
    </row>
    <row r="30558" spans="1:2" x14ac:dyDescent="0.25">
      <c r="A30558" s="74">
        <v>35350</v>
      </c>
      <c r="B30558">
        <v>1.59</v>
      </c>
    </row>
    <row r="30559" spans="1:2" x14ac:dyDescent="0.25">
      <c r="A30559" s="74">
        <v>35351</v>
      </c>
      <c r="B30559">
        <v>4.75</v>
      </c>
    </row>
    <row r="30560" spans="1:2" x14ac:dyDescent="0.25">
      <c r="A30560" s="74">
        <v>35352</v>
      </c>
      <c r="B30560">
        <v>7.07</v>
      </c>
    </row>
    <row r="30561" spans="1:2" x14ac:dyDescent="0.25">
      <c r="A30561" s="74">
        <v>35353</v>
      </c>
      <c r="B30561">
        <v>7.97</v>
      </c>
    </row>
    <row r="30562" spans="1:2" x14ac:dyDescent="0.25">
      <c r="A30562" s="74">
        <v>35354</v>
      </c>
      <c r="B30562">
        <v>5.27</v>
      </c>
    </row>
    <row r="30563" spans="1:2" x14ac:dyDescent="0.25">
      <c r="A30563" s="74">
        <v>35355</v>
      </c>
      <c r="B30563">
        <v>5.07</v>
      </c>
    </row>
    <row r="30564" spans="1:2" x14ac:dyDescent="0.25">
      <c r="A30564" s="74">
        <v>35356</v>
      </c>
      <c r="B30564">
        <v>12.7</v>
      </c>
    </row>
    <row r="30565" spans="1:2" x14ac:dyDescent="0.25">
      <c r="A30565" s="74">
        <v>35357</v>
      </c>
      <c r="B30565">
        <v>10.7</v>
      </c>
    </row>
    <row r="30566" spans="1:2" x14ac:dyDescent="0.25">
      <c r="A30566" s="74">
        <v>35358</v>
      </c>
      <c r="B30566">
        <v>7.39</v>
      </c>
    </row>
    <row r="30567" spans="1:2" x14ac:dyDescent="0.25">
      <c r="A30567" s="74">
        <v>35359</v>
      </c>
      <c r="B30567">
        <v>12.7</v>
      </c>
    </row>
    <row r="30568" spans="1:2" x14ac:dyDescent="0.25">
      <c r="A30568" s="74">
        <v>35360</v>
      </c>
      <c r="B30568">
        <v>19.7</v>
      </c>
    </row>
    <row r="30569" spans="1:2" x14ac:dyDescent="0.25">
      <c r="A30569" s="74">
        <v>35361</v>
      </c>
      <c r="B30569">
        <v>15.1</v>
      </c>
    </row>
    <row r="30570" spans="1:2" x14ac:dyDescent="0.25">
      <c r="A30570" s="74">
        <v>35362</v>
      </c>
      <c r="B30570">
        <v>23.9</v>
      </c>
    </row>
    <row r="30571" spans="1:2" x14ac:dyDescent="0.25">
      <c r="A30571" s="74">
        <v>35363</v>
      </c>
      <c r="B30571">
        <v>14</v>
      </c>
    </row>
    <row r="30572" spans="1:2" x14ac:dyDescent="0.25">
      <c r="A30572" s="74">
        <v>35364</v>
      </c>
      <c r="B30572">
        <v>10.7</v>
      </c>
    </row>
    <row r="30573" spans="1:2" x14ac:dyDescent="0.25">
      <c r="A30573" s="74">
        <v>35365</v>
      </c>
      <c r="B30573">
        <v>8.61</v>
      </c>
    </row>
    <row r="30574" spans="1:2" x14ac:dyDescent="0.25">
      <c r="A30574" s="74">
        <v>35366</v>
      </c>
      <c r="B30574">
        <v>23.5</v>
      </c>
    </row>
    <row r="30575" spans="1:2" x14ac:dyDescent="0.25">
      <c r="A30575" s="74">
        <v>35367</v>
      </c>
      <c r="B30575">
        <v>21.2</v>
      </c>
    </row>
    <row r="30576" spans="1:2" x14ac:dyDescent="0.25">
      <c r="A30576" s="74">
        <v>35368</v>
      </c>
      <c r="B30576">
        <v>13.8</v>
      </c>
    </row>
    <row r="30577" spans="1:2" x14ac:dyDescent="0.25">
      <c r="A30577" s="74">
        <v>35369</v>
      </c>
      <c r="B30577">
        <v>10.6</v>
      </c>
    </row>
    <row r="30578" spans="1:2" x14ac:dyDescent="0.25">
      <c r="A30578" s="74">
        <v>35370</v>
      </c>
      <c r="B30578">
        <v>8.24</v>
      </c>
    </row>
    <row r="30579" spans="1:2" x14ac:dyDescent="0.25">
      <c r="A30579" s="74">
        <v>35371</v>
      </c>
      <c r="B30579">
        <v>6.87</v>
      </c>
    </row>
    <row r="30580" spans="1:2" x14ac:dyDescent="0.25">
      <c r="A30580" s="74">
        <v>35372</v>
      </c>
      <c r="B30580">
        <v>6.19</v>
      </c>
    </row>
    <row r="30581" spans="1:2" x14ac:dyDescent="0.25">
      <c r="A30581" s="74">
        <v>35373</v>
      </c>
      <c r="B30581">
        <v>6.76</v>
      </c>
    </row>
    <row r="30582" spans="1:2" x14ac:dyDescent="0.25">
      <c r="A30582" s="74">
        <v>35374</v>
      </c>
      <c r="B30582">
        <v>5.99</v>
      </c>
    </row>
    <row r="30583" spans="1:2" x14ac:dyDescent="0.25">
      <c r="A30583" s="74">
        <v>35375</v>
      </c>
      <c r="B30583">
        <v>6.47</v>
      </c>
    </row>
    <row r="30584" spans="1:2" x14ac:dyDescent="0.25">
      <c r="A30584" s="74">
        <v>35376</v>
      </c>
      <c r="B30584">
        <v>6.49</v>
      </c>
    </row>
    <row r="30585" spans="1:2" x14ac:dyDescent="0.25">
      <c r="A30585" s="74">
        <v>35377</v>
      </c>
      <c r="B30585">
        <v>32.1</v>
      </c>
    </row>
    <row r="30586" spans="1:2" x14ac:dyDescent="0.25">
      <c r="A30586" s="74">
        <v>35378</v>
      </c>
      <c r="B30586">
        <v>30</v>
      </c>
    </row>
    <row r="30587" spans="1:2" x14ac:dyDescent="0.25">
      <c r="A30587" s="74">
        <v>35379</v>
      </c>
      <c r="B30587">
        <v>15.3</v>
      </c>
    </row>
    <row r="30588" spans="1:2" x14ac:dyDescent="0.25">
      <c r="A30588" s="74">
        <v>35380</v>
      </c>
      <c r="B30588">
        <v>12.9</v>
      </c>
    </row>
    <row r="30589" spans="1:2" x14ac:dyDescent="0.25">
      <c r="A30589" s="74">
        <v>35381</v>
      </c>
      <c r="B30589">
        <v>14</v>
      </c>
    </row>
    <row r="30590" spans="1:2" x14ac:dyDescent="0.25">
      <c r="A30590" s="74">
        <v>35382</v>
      </c>
      <c r="B30590">
        <v>16.899999999999999</v>
      </c>
    </row>
    <row r="30591" spans="1:2" x14ac:dyDescent="0.25">
      <c r="A30591" s="74">
        <v>35383</v>
      </c>
      <c r="B30591">
        <v>13.7</v>
      </c>
    </row>
    <row r="30592" spans="1:2" x14ac:dyDescent="0.25">
      <c r="A30592" s="74">
        <v>35384</v>
      </c>
      <c r="B30592">
        <v>11.5</v>
      </c>
    </row>
    <row r="30593" spans="1:2" x14ac:dyDescent="0.25">
      <c r="A30593" s="74">
        <v>35385</v>
      </c>
      <c r="B30593">
        <v>9.9</v>
      </c>
    </row>
    <row r="30594" spans="1:2" x14ac:dyDescent="0.25">
      <c r="A30594" s="74">
        <v>35386</v>
      </c>
      <c r="B30594">
        <v>8.6199999999999992</v>
      </c>
    </row>
    <row r="30595" spans="1:2" x14ac:dyDescent="0.25">
      <c r="A30595" s="74">
        <v>35387</v>
      </c>
      <c r="B30595">
        <v>7.59</v>
      </c>
    </row>
    <row r="30596" spans="1:2" x14ac:dyDescent="0.25">
      <c r="A30596" s="74">
        <v>35388</v>
      </c>
      <c r="B30596">
        <v>6.87</v>
      </c>
    </row>
    <row r="30597" spans="1:2" x14ac:dyDescent="0.25">
      <c r="A30597" s="74">
        <v>35389</v>
      </c>
      <c r="B30597">
        <v>5.99</v>
      </c>
    </row>
    <row r="30598" spans="1:2" x14ac:dyDescent="0.25">
      <c r="A30598" s="74">
        <v>35390</v>
      </c>
      <c r="B30598">
        <v>5.38</v>
      </c>
    </row>
    <row r="30599" spans="1:2" x14ac:dyDescent="0.25">
      <c r="A30599" s="74">
        <v>35391</v>
      </c>
      <c r="B30599">
        <v>5</v>
      </c>
    </row>
    <row r="30600" spans="1:2" x14ac:dyDescent="0.25">
      <c r="A30600" s="74">
        <v>35392</v>
      </c>
      <c r="B30600">
        <v>4.54</v>
      </c>
    </row>
    <row r="30601" spans="1:2" x14ac:dyDescent="0.25">
      <c r="A30601" s="74">
        <v>35393</v>
      </c>
      <c r="B30601">
        <v>4.4800000000000004</v>
      </c>
    </row>
    <row r="30602" spans="1:2" x14ac:dyDescent="0.25">
      <c r="A30602" s="74">
        <v>35394</v>
      </c>
      <c r="B30602">
        <v>4.5</v>
      </c>
    </row>
    <row r="30603" spans="1:2" x14ac:dyDescent="0.25">
      <c r="A30603" s="74">
        <v>35395</v>
      </c>
      <c r="B30603">
        <v>4.7699999999999996</v>
      </c>
    </row>
    <row r="30604" spans="1:2" x14ac:dyDescent="0.25">
      <c r="A30604" s="74">
        <v>35396</v>
      </c>
      <c r="B30604">
        <v>8.73</v>
      </c>
    </row>
    <row r="30605" spans="1:2" x14ac:dyDescent="0.25">
      <c r="A30605" s="74">
        <v>35397</v>
      </c>
      <c r="B30605">
        <v>33.200000000000003</v>
      </c>
    </row>
    <row r="30606" spans="1:2" x14ac:dyDescent="0.25">
      <c r="A30606" s="74">
        <v>35398</v>
      </c>
      <c r="B30606">
        <v>19.2</v>
      </c>
    </row>
    <row r="30607" spans="1:2" x14ac:dyDescent="0.25">
      <c r="A30607" s="74">
        <v>35399</v>
      </c>
      <c r="B30607">
        <v>22.2</v>
      </c>
    </row>
    <row r="30608" spans="1:2" x14ac:dyDescent="0.25">
      <c r="A30608" s="74">
        <v>35400</v>
      </c>
      <c r="B30608">
        <v>54.6</v>
      </c>
    </row>
    <row r="30609" spans="1:2" x14ac:dyDescent="0.25">
      <c r="A30609" s="74">
        <v>35401</v>
      </c>
      <c r="B30609">
        <v>29</v>
      </c>
    </row>
    <row r="30610" spans="1:2" x14ac:dyDescent="0.25">
      <c r="A30610" s="74">
        <v>35402</v>
      </c>
      <c r="B30610">
        <v>16.600000000000001</v>
      </c>
    </row>
    <row r="30611" spans="1:2" x14ac:dyDescent="0.25">
      <c r="A30611" s="74">
        <v>35403</v>
      </c>
      <c r="B30611">
        <v>15.3</v>
      </c>
    </row>
    <row r="30612" spans="1:2" x14ac:dyDescent="0.25">
      <c r="A30612" s="74">
        <v>35404</v>
      </c>
      <c r="B30612">
        <v>17.600000000000001</v>
      </c>
    </row>
    <row r="30613" spans="1:2" x14ac:dyDescent="0.25">
      <c r="A30613" s="74">
        <v>35405</v>
      </c>
      <c r="B30613">
        <v>14.8</v>
      </c>
    </row>
    <row r="30614" spans="1:2" x14ac:dyDescent="0.25">
      <c r="A30614" s="74">
        <v>35406</v>
      </c>
      <c r="B30614">
        <v>16.399999999999999</v>
      </c>
    </row>
    <row r="30615" spans="1:2" x14ac:dyDescent="0.25">
      <c r="A30615" s="74">
        <v>35407</v>
      </c>
      <c r="B30615">
        <v>16.100000000000001</v>
      </c>
    </row>
    <row r="30616" spans="1:2" x14ac:dyDescent="0.25">
      <c r="A30616" s="74">
        <v>35408</v>
      </c>
      <c r="B30616">
        <v>14.5</v>
      </c>
    </row>
    <row r="30617" spans="1:2" x14ac:dyDescent="0.25">
      <c r="A30617" s="74">
        <v>35409</v>
      </c>
      <c r="B30617">
        <v>14.6</v>
      </c>
    </row>
    <row r="30618" spans="1:2" x14ac:dyDescent="0.25">
      <c r="A30618" s="74">
        <v>35410</v>
      </c>
      <c r="B30618">
        <v>14.6</v>
      </c>
    </row>
    <row r="30619" spans="1:2" x14ac:dyDescent="0.25">
      <c r="A30619" s="74">
        <v>35411</v>
      </c>
      <c r="B30619">
        <v>14</v>
      </c>
    </row>
    <row r="30620" spans="1:2" x14ac:dyDescent="0.25">
      <c r="A30620" s="74">
        <v>35412</v>
      </c>
      <c r="B30620">
        <v>13.3</v>
      </c>
    </row>
    <row r="30621" spans="1:2" x14ac:dyDescent="0.25">
      <c r="A30621" s="74">
        <v>35413</v>
      </c>
      <c r="B30621">
        <v>12.2</v>
      </c>
    </row>
    <row r="30622" spans="1:2" x14ac:dyDescent="0.25">
      <c r="A30622" s="74">
        <v>35414</v>
      </c>
      <c r="B30622">
        <v>10.7</v>
      </c>
    </row>
    <row r="30623" spans="1:2" x14ac:dyDescent="0.25">
      <c r="A30623" s="74">
        <v>35415</v>
      </c>
      <c r="B30623">
        <v>9.61</v>
      </c>
    </row>
    <row r="30624" spans="1:2" x14ac:dyDescent="0.25">
      <c r="A30624" s="74">
        <v>35416</v>
      </c>
      <c r="B30624">
        <v>8.58</v>
      </c>
    </row>
    <row r="30625" spans="1:2" x14ac:dyDescent="0.25">
      <c r="A30625" s="74">
        <v>35417</v>
      </c>
      <c r="B30625">
        <v>7.9</v>
      </c>
    </row>
    <row r="30626" spans="1:2" x14ac:dyDescent="0.25">
      <c r="A30626" s="74">
        <v>35418</v>
      </c>
      <c r="B30626">
        <v>7.67</v>
      </c>
    </row>
    <row r="30627" spans="1:2" x14ac:dyDescent="0.25">
      <c r="A30627" s="74">
        <v>35419</v>
      </c>
      <c r="B30627">
        <v>8.6</v>
      </c>
    </row>
    <row r="30628" spans="1:2" x14ac:dyDescent="0.25">
      <c r="A30628" s="74">
        <v>35420</v>
      </c>
      <c r="B30628">
        <v>8.83</v>
      </c>
    </row>
    <row r="30629" spans="1:2" x14ac:dyDescent="0.25">
      <c r="A30629" s="74">
        <v>35421</v>
      </c>
      <c r="B30629">
        <v>8.61</v>
      </c>
    </row>
    <row r="30630" spans="1:2" x14ac:dyDescent="0.25">
      <c r="A30630" s="74">
        <v>35422</v>
      </c>
      <c r="B30630">
        <v>7.98</v>
      </c>
    </row>
    <row r="30631" spans="1:2" x14ac:dyDescent="0.25">
      <c r="A30631" s="74">
        <v>35423</v>
      </c>
      <c r="B30631">
        <v>7.16</v>
      </c>
    </row>
    <row r="30632" spans="1:2" x14ac:dyDescent="0.25">
      <c r="A30632" s="74">
        <v>35424</v>
      </c>
      <c r="B30632">
        <v>6.7</v>
      </c>
    </row>
    <row r="30633" spans="1:2" x14ac:dyDescent="0.25">
      <c r="A30633" s="74">
        <v>35425</v>
      </c>
      <c r="B30633">
        <v>5.93</v>
      </c>
    </row>
    <row r="30634" spans="1:2" x14ac:dyDescent="0.25">
      <c r="A30634" s="74">
        <v>35426</v>
      </c>
      <c r="B30634">
        <v>5.77</v>
      </c>
    </row>
    <row r="30635" spans="1:2" x14ac:dyDescent="0.25">
      <c r="A30635" s="74">
        <v>35427</v>
      </c>
      <c r="B30635">
        <v>5.08</v>
      </c>
    </row>
    <row r="30636" spans="1:2" x14ac:dyDescent="0.25">
      <c r="A30636" s="74">
        <v>35428</v>
      </c>
      <c r="B30636">
        <v>8.8000000000000007</v>
      </c>
    </row>
    <row r="30637" spans="1:2" x14ac:dyDescent="0.25">
      <c r="A30637" s="74">
        <v>35429</v>
      </c>
      <c r="B30637">
        <v>10.9</v>
      </c>
    </row>
    <row r="30638" spans="1:2" x14ac:dyDescent="0.25">
      <c r="A30638" s="74">
        <v>35430</v>
      </c>
      <c r="B30638">
        <v>32.6</v>
      </c>
    </row>
    <row r="30639" spans="1:2" x14ac:dyDescent="0.25">
      <c r="A30639" s="74">
        <v>35431</v>
      </c>
      <c r="B30639">
        <v>168</v>
      </c>
    </row>
    <row r="30640" spans="1:2" x14ac:dyDescent="0.25">
      <c r="A30640" s="74">
        <v>35432</v>
      </c>
      <c r="B30640">
        <v>131</v>
      </c>
    </row>
    <row r="30641" spans="1:2" x14ac:dyDescent="0.25">
      <c r="A30641" s="74">
        <v>35433</v>
      </c>
      <c r="B30641">
        <v>67.7</v>
      </c>
    </row>
    <row r="30642" spans="1:2" x14ac:dyDescent="0.25">
      <c r="A30642" s="74">
        <v>35434</v>
      </c>
      <c r="B30642">
        <v>35.799999999999997</v>
      </c>
    </row>
    <row r="30643" spans="1:2" x14ac:dyDescent="0.25">
      <c r="A30643" s="74">
        <v>35435</v>
      </c>
      <c r="B30643">
        <v>23.6</v>
      </c>
    </row>
    <row r="30644" spans="1:2" x14ac:dyDescent="0.25">
      <c r="A30644" s="74">
        <v>35436</v>
      </c>
      <c r="B30644">
        <v>25.3</v>
      </c>
    </row>
    <row r="30645" spans="1:2" x14ac:dyDescent="0.25">
      <c r="A30645" s="74">
        <v>35437</v>
      </c>
      <c r="B30645">
        <v>31.1</v>
      </c>
    </row>
    <row r="30646" spans="1:2" x14ac:dyDescent="0.25">
      <c r="A30646" s="74">
        <v>35438</v>
      </c>
      <c r="B30646">
        <v>28.3</v>
      </c>
    </row>
    <row r="30647" spans="1:2" x14ac:dyDescent="0.25">
      <c r="A30647" s="74">
        <v>35439</v>
      </c>
      <c r="B30647">
        <v>26.3</v>
      </c>
    </row>
    <row r="30648" spans="1:2" x14ac:dyDescent="0.25">
      <c r="A30648" s="74">
        <v>35440</v>
      </c>
      <c r="B30648">
        <v>24.7</v>
      </c>
    </row>
    <row r="30649" spans="1:2" x14ac:dyDescent="0.25">
      <c r="A30649" s="74">
        <v>35441</v>
      </c>
      <c r="B30649">
        <v>21.9</v>
      </c>
    </row>
    <row r="30650" spans="1:2" x14ac:dyDescent="0.25">
      <c r="A30650" s="74">
        <v>35442</v>
      </c>
      <c r="B30650">
        <v>19</v>
      </c>
    </row>
    <row r="30651" spans="1:2" x14ac:dyDescent="0.25">
      <c r="A30651" s="74">
        <v>35443</v>
      </c>
      <c r="B30651">
        <v>16.5</v>
      </c>
    </row>
    <row r="30652" spans="1:2" x14ac:dyDescent="0.25">
      <c r="A30652" s="74">
        <v>35444</v>
      </c>
      <c r="B30652">
        <v>14.1</v>
      </c>
    </row>
    <row r="30653" spans="1:2" x14ac:dyDescent="0.25">
      <c r="A30653" s="74">
        <v>35445</v>
      </c>
      <c r="B30653">
        <v>12.5</v>
      </c>
    </row>
    <row r="30654" spans="1:2" x14ac:dyDescent="0.25">
      <c r="A30654" s="74">
        <v>35446</v>
      </c>
      <c r="B30654">
        <v>11.4</v>
      </c>
    </row>
    <row r="30655" spans="1:2" x14ac:dyDescent="0.25">
      <c r="A30655" s="74">
        <v>35447</v>
      </c>
      <c r="B30655">
        <v>24.4</v>
      </c>
    </row>
    <row r="30656" spans="1:2" x14ac:dyDescent="0.25">
      <c r="A30656" s="74">
        <v>35448</v>
      </c>
      <c r="B30656">
        <v>40.700000000000003</v>
      </c>
    </row>
    <row r="30657" spans="1:3" x14ac:dyDescent="0.25">
      <c r="A30657" s="74">
        <v>35449</v>
      </c>
      <c r="B30657">
        <v>123</v>
      </c>
    </row>
    <row r="30658" spans="1:3" x14ac:dyDescent="0.25">
      <c r="A30658" s="74">
        <v>35450</v>
      </c>
      <c r="B30658">
        <v>79.2</v>
      </c>
    </row>
    <row r="30659" spans="1:3" x14ac:dyDescent="0.25">
      <c r="A30659" s="74">
        <v>35451</v>
      </c>
      <c r="B30659">
        <v>46.4</v>
      </c>
    </row>
    <row r="30660" spans="1:3" x14ac:dyDescent="0.25">
      <c r="A30660" s="74">
        <v>35452</v>
      </c>
      <c r="B30660">
        <v>32.4</v>
      </c>
    </row>
    <row r="30661" spans="1:3" x14ac:dyDescent="0.25">
      <c r="A30661" s="74">
        <v>35453</v>
      </c>
      <c r="B30661">
        <v>23.8</v>
      </c>
    </row>
    <row r="30662" spans="1:3" x14ac:dyDescent="0.25">
      <c r="A30662" s="74">
        <v>35454</v>
      </c>
      <c r="B30662">
        <v>18.399999999999999</v>
      </c>
      <c r="C30662" t="s">
        <v>140</v>
      </c>
    </row>
    <row r="30663" spans="1:3" x14ac:dyDescent="0.25">
      <c r="A30663" s="74">
        <v>35455</v>
      </c>
      <c r="B30663">
        <v>15.3</v>
      </c>
    </row>
    <row r="30664" spans="1:3" x14ac:dyDescent="0.25">
      <c r="A30664" s="74">
        <v>35456</v>
      </c>
      <c r="B30664">
        <v>12.6</v>
      </c>
    </row>
    <row r="30665" spans="1:3" x14ac:dyDescent="0.25">
      <c r="A30665" s="74">
        <v>35457</v>
      </c>
      <c r="B30665">
        <v>11.3</v>
      </c>
    </row>
    <row r="30666" spans="1:3" x14ac:dyDescent="0.25">
      <c r="A30666" s="74">
        <v>35458</v>
      </c>
      <c r="B30666">
        <v>10.7</v>
      </c>
    </row>
    <row r="30667" spans="1:3" x14ac:dyDescent="0.25">
      <c r="A30667" s="74">
        <v>35459</v>
      </c>
      <c r="B30667">
        <v>15.7</v>
      </c>
    </row>
    <row r="30668" spans="1:3" x14ac:dyDescent="0.25">
      <c r="A30668" s="74">
        <v>35460</v>
      </c>
      <c r="B30668">
        <v>164</v>
      </c>
    </row>
    <row r="30669" spans="1:3" x14ac:dyDescent="0.25">
      <c r="A30669" s="74">
        <v>35461</v>
      </c>
      <c r="B30669">
        <v>71.5</v>
      </c>
    </row>
    <row r="30670" spans="1:3" x14ac:dyDescent="0.25">
      <c r="A30670" s="74">
        <v>35462</v>
      </c>
      <c r="B30670">
        <v>39.9</v>
      </c>
    </row>
    <row r="30671" spans="1:3" x14ac:dyDescent="0.25">
      <c r="A30671" s="74">
        <v>35463</v>
      </c>
      <c r="B30671">
        <v>28.4</v>
      </c>
    </row>
    <row r="30672" spans="1:3" x14ac:dyDescent="0.25">
      <c r="A30672" s="74">
        <v>35464</v>
      </c>
      <c r="B30672">
        <v>22</v>
      </c>
    </row>
    <row r="30673" spans="1:2" x14ac:dyDescent="0.25">
      <c r="A30673" s="74">
        <v>35465</v>
      </c>
      <c r="B30673">
        <v>18</v>
      </c>
    </row>
    <row r="30674" spans="1:2" x14ac:dyDescent="0.25">
      <c r="A30674" s="74">
        <v>35466</v>
      </c>
      <c r="B30674">
        <v>15.5</v>
      </c>
    </row>
    <row r="30675" spans="1:2" x14ac:dyDescent="0.25">
      <c r="A30675" s="74">
        <v>35467</v>
      </c>
      <c r="B30675">
        <v>13.7</v>
      </c>
    </row>
    <row r="30676" spans="1:2" x14ac:dyDescent="0.25">
      <c r="A30676" s="74">
        <v>35468</v>
      </c>
      <c r="B30676">
        <v>12.6</v>
      </c>
    </row>
    <row r="30677" spans="1:2" x14ac:dyDescent="0.25">
      <c r="A30677" s="74">
        <v>35469</v>
      </c>
      <c r="B30677">
        <v>11.6</v>
      </c>
    </row>
    <row r="30678" spans="1:2" x14ac:dyDescent="0.25">
      <c r="A30678" s="74">
        <v>35470</v>
      </c>
      <c r="B30678">
        <v>10.9</v>
      </c>
    </row>
    <row r="30679" spans="1:2" x14ac:dyDescent="0.25">
      <c r="A30679" s="74">
        <v>35471</v>
      </c>
      <c r="B30679">
        <v>10.1</v>
      </c>
    </row>
    <row r="30680" spans="1:2" x14ac:dyDescent="0.25">
      <c r="A30680" s="74">
        <v>35472</v>
      </c>
      <c r="B30680">
        <v>9.89</v>
      </c>
    </row>
    <row r="30681" spans="1:2" x14ac:dyDescent="0.25">
      <c r="A30681" s="74">
        <v>35473</v>
      </c>
      <c r="B30681">
        <v>10.4</v>
      </c>
    </row>
    <row r="30682" spans="1:2" x14ac:dyDescent="0.25">
      <c r="A30682" s="74">
        <v>35474</v>
      </c>
      <c r="B30682">
        <v>10.4</v>
      </c>
    </row>
    <row r="30683" spans="1:2" x14ac:dyDescent="0.25">
      <c r="A30683" s="74">
        <v>35475</v>
      </c>
      <c r="B30683">
        <v>10.5</v>
      </c>
    </row>
    <row r="30684" spans="1:2" x14ac:dyDescent="0.25">
      <c r="A30684" s="74">
        <v>35476</v>
      </c>
      <c r="B30684">
        <v>13</v>
      </c>
    </row>
    <row r="30685" spans="1:2" x14ac:dyDescent="0.25">
      <c r="A30685" s="74">
        <v>35477</v>
      </c>
      <c r="B30685">
        <v>16.899999999999999</v>
      </c>
    </row>
    <row r="30686" spans="1:2" x14ac:dyDescent="0.25">
      <c r="A30686" s="74">
        <v>35478</v>
      </c>
      <c r="B30686">
        <v>17.899999999999999</v>
      </c>
    </row>
    <row r="30687" spans="1:2" x14ac:dyDescent="0.25">
      <c r="A30687" s="74">
        <v>35479</v>
      </c>
      <c r="B30687">
        <v>17.8</v>
      </c>
    </row>
    <row r="30688" spans="1:2" x14ac:dyDescent="0.25">
      <c r="A30688" s="74">
        <v>35480</v>
      </c>
      <c r="B30688">
        <v>21.1</v>
      </c>
    </row>
    <row r="30689" spans="1:2" x14ac:dyDescent="0.25">
      <c r="A30689" s="74">
        <v>35481</v>
      </c>
      <c r="B30689">
        <v>17.899999999999999</v>
      </c>
    </row>
    <row r="30690" spans="1:2" x14ac:dyDescent="0.25">
      <c r="A30690" s="74">
        <v>35482</v>
      </c>
      <c r="B30690">
        <v>15.2</v>
      </c>
    </row>
    <row r="30691" spans="1:2" x14ac:dyDescent="0.25">
      <c r="A30691" s="74">
        <v>35483</v>
      </c>
      <c r="B30691">
        <v>13.3</v>
      </c>
    </row>
    <row r="30692" spans="1:2" x14ac:dyDescent="0.25">
      <c r="A30692" s="74">
        <v>35484</v>
      </c>
      <c r="B30692">
        <v>11.9</v>
      </c>
    </row>
    <row r="30693" spans="1:2" x14ac:dyDescent="0.25">
      <c r="A30693" s="74">
        <v>35485</v>
      </c>
      <c r="B30693">
        <v>11.1</v>
      </c>
    </row>
    <row r="30694" spans="1:2" x14ac:dyDescent="0.25">
      <c r="A30694" s="74">
        <v>35486</v>
      </c>
      <c r="B30694">
        <v>10.7</v>
      </c>
    </row>
    <row r="30695" spans="1:2" x14ac:dyDescent="0.25">
      <c r="A30695" s="74">
        <v>35487</v>
      </c>
      <c r="B30695">
        <v>10.7</v>
      </c>
    </row>
    <row r="30696" spans="1:2" x14ac:dyDescent="0.25">
      <c r="A30696" s="74">
        <v>35488</v>
      </c>
      <c r="B30696">
        <v>10.4</v>
      </c>
    </row>
    <row r="30697" spans="1:2" x14ac:dyDescent="0.25">
      <c r="A30697" s="74">
        <v>35489</v>
      </c>
      <c r="B30697">
        <v>9.8800000000000008</v>
      </c>
    </row>
    <row r="30698" spans="1:2" x14ac:dyDescent="0.25">
      <c r="A30698" s="74">
        <v>35490</v>
      </c>
      <c r="B30698">
        <v>10.9</v>
      </c>
    </row>
    <row r="30699" spans="1:2" x14ac:dyDescent="0.25">
      <c r="A30699" s="74">
        <v>35491</v>
      </c>
      <c r="B30699">
        <v>20.100000000000001</v>
      </c>
    </row>
    <row r="30700" spans="1:2" x14ac:dyDescent="0.25">
      <c r="A30700" s="74">
        <v>35492</v>
      </c>
      <c r="B30700">
        <v>17.899999999999999</v>
      </c>
    </row>
    <row r="30701" spans="1:2" x14ac:dyDescent="0.25">
      <c r="A30701" s="74">
        <v>35493</v>
      </c>
      <c r="B30701">
        <v>14.3</v>
      </c>
    </row>
    <row r="30702" spans="1:2" x14ac:dyDescent="0.25">
      <c r="A30702" s="74">
        <v>35494</v>
      </c>
      <c r="B30702">
        <v>12.5</v>
      </c>
    </row>
    <row r="30703" spans="1:2" x14ac:dyDescent="0.25">
      <c r="A30703" s="74">
        <v>35495</v>
      </c>
      <c r="B30703">
        <v>12.6</v>
      </c>
    </row>
    <row r="30704" spans="1:2" x14ac:dyDescent="0.25">
      <c r="A30704" s="74">
        <v>35496</v>
      </c>
      <c r="B30704">
        <v>15</v>
      </c>
    </row>
    <row r="30705" spans="1:2" x14ac:dyDescent="0.25">
      <c r="A30705" s="74">
        <v>35497</v>
      </c>
      <c r="B30705">
        <v>14.7</v>
      </c>
    </row>
    <row r="30706" spans="1:2" x14ac:dyDescent="0.25">
      <c r="A30706" s="74">
        <v>35498</v>
      </c>
      <c r="B30706">
        <v>18.100000000000001</v>
      </c>
    </row>
    <row r="30707" spans="1:2" x14ac:dyDescent="0.25">
      <c r="A30707" s="74">
        <v>35499</v>
      </c>
      <c r="B30707">
        <v>21.9</v>
      </c>
    </row>
    <row r="30708" spans="1:2" x14ac:dyDescent="0.25">
      <c r="A30708" s="74">
        <v>35500</v>
      </c>
      <c r="B30708">
        <v>17.3</v>
      </c>
    </row>
    <row r="30709" spans="1:2" x14ac:dyDescent="0.25">
      <c r="A30709" s="74">
        <v>35501</v>
      </c>
      <c r="B30709">
        <v>14.5</v>
      </c>
    </row>
    <row r="30710" spans="1:2" x14ac:dyDescent="0.25">
      <c r="A30710" s="74">
        <v>35502</v>
      </c>
      <c r="B30710">
        <v>12.5</v>
      </c>
    </row>
    <row r="30711" spans="1:2" x14ac:dyDescent="0.25">
      <c r="A30711" s="74">
        <v>35503</v>
      </c>
      <c r="B30711">
        <v>11.3</v>
      </c>
    </row>
    <row r="30712" spans="1:2" x14ac:dyDescent="0.25">
      <c r="A30712" s="74">
        <v>35504</v>
      </c>
      <c r="B30712">
        <v>10.6</v>
      </c>
    </row>
    <row r="30713" spans="1:2" x14ac:dyDescent="0.25">
      <c r="A30713" s="74">
        <v>35505</v>
      </c>
      <c r="B30713">
        <v>10.3</v>
      </c>
    </row>
    <row r="30714" spans="1:2" x14ac:dyDescent="0.25">
      <c r="A30714" s="74">
        <v>35506</v>
      </c>
      <c r="B30714">
        <v>22.9</v>
      </c>
    </row>
    <row r="30715" spans="1:2" x14ac:dyDescent="0.25">
      <c r="A30715" s="74">
        <v>35507</v>
      </c>
      <c r="B30715">
        <v>263</v>
      </c>
    </row>
    <row r="30716" spans="1:2" x14ac:dyDescent="0.25">
      <c r="A30716" s="74">
        <v>35508</v>
      </c>
      <c r="B30716">
        <v>218</v>
      </c>
    </row>
    <row r="30717" spans="1:2" x14ac:dyDescent="0.25">
      <c r="A30717" s="74">
        <v>35509</v>
      </c>
      <c r="B30717">
        <v>93.2</v>
      </c>
    </row>
    <row r="30718" spans="1:2" x14ac:dyDescent="0.25">
      <c r="A30718" s="74">
        <v>35510</v>
      </c>
      <c r="B30718">
        <v>45.6</v>
      </c>
    </row>
    <row r="30719" spans="1:2" x14ac:dyDescent="0.25">
      <c r="A30719" s="74">
        <v>35511</v>
      </c>
      <c r="B30719">
        <v>29.8</v>
      </c>
    </row>
    <row r="30720" spans="1:2" x14ac:dyDescent="0.25">
      <c r="A30720" s="74">
        <v>35512</v>
      </c>
      <c r="B30720">
        <v>22.6</v>
      </c>
    </row>
    <row r="30721" spans="1:2" x14ac:dyDescent="0.25">
      <c r="A30721" s="74">
        <v>35513</v>
      </c>
      <c r="B30721">
        <v>18</v>
      </c>
    </row>
    <row r="30722" spans="1:2" x14ac:dyDescent="0.25">
      <c r="A30722" s="74">
        <v>35514</v>
      </c>
      <c r="B30722">
        <v>16.7</v>
      </c>
    </row>
    <row r="30723" spans="1:2" x14ac:dyDescent="0.25">
      <c r="A30723" s="74">
        <v>35515</v>
      </c>
      <c r="B30723">
        <v>20.8</v>
      </c>
    </row>
    <row r="30724" spans="1:2" x14ac:dyDescent="0.25">
      <c r="A30724" s="74">
        <v>35516</v>
      </c>
      <c r="B30724">
        <v>18.3</v>
      </c>
    </row>
    <row r="30725" spans="1:2" x14ac:dyDescent="0.25">
      <c r="A30725" s="74">
        <v>35517</v>
      </c>
      <c r="B30725">
        <v>16.399999999999999</v>
      </c>
    </row>
    <row r="30726" spans="1:2" x14ac:dyDescent="0.25">
      <c r="A30726" s="74">
        <v>35518</v>
      </c>
      <c r="B30726">
        <v>16.100000000000001</v>
      </c>
    </row>
    <row r="30727" spans="1:2" x14ac:dyDescent="0.25">
      <c r="A30727" s="74">
        <v>35519</v>
      </c>
      <c r="B30727">
        <v>16.899999999999999</v>
      </c>
    </row>
    <row r="30728" spans="1:2" x14ac:dyDescent="0.25">
      <c r="A30728" s="74">
        <v>35520</v>
      </c>
      <c r="B30728">
        <v>15.6</v>
      </c>
    </row>
    <row r="30729" spans="1:2" x14ac:dyDescent="0.25">
      <c r="A30729" s="74">
        <v>35521</v>
      </c>
      <c r="B30729">
        <v>13.6</v>
      </c>
    </row>
    <row r="30730" spans="1:2" x14ac:dyDescent="0.25">
      <c r="A30730" s="74">
        <v>35522</v>
      </c>
      <c r="B30730">
        <v>11.9</v>
      </c>
    </row>
    <row r="30731" spans="1:2" x14ac:dyDescent="0.25">
      <c r="A30731" s="74">
        <v>35523</v>
      </c>
      <c r="B30731">
        <v>11</v>
      </c>
    </row>
    <row r="30732" spans="1:2" x14ac:dyDescent="0.25">
      <c r="A30732" s="74">
        <v>35524</v>
      </c>
      <c r="B30732">
        <v>10.1</v>
      </c>
    </row>
    <row r="30733" spans="1:2" x14ac:dyDescent="0.25">
      <c r="A30733" s="74">
        <v>35525</v>
      </c>
      <c r="B30733">
        <v>9.26</v>
      </c>
    </row>
    <row r="30734" spans="1:2" x14ac:dyDescent="0.25">
      <c r="A30734" s="74">
        <v>35526</v>
      </c>
      <c r="B30734">
        <v>8.66</v>
      </c>
    </row>
    <row r="30735" spans="1:2" x14ac:dyDescent="0.25">
      <c r="A30735" s="74">
        <v>35527</v>
      </c>
      <c r="B30735">
        <v>8.6300000000000008</v>
      </c>
    </row>
    <row r="30736" spans="1:2" x14ac:dyDescent="0.25">
      <c r="A30736" s="74">
        <v>35528</v>
      </c>
      <c r="B30736">
        <v>8.5299999999999994</v>
      </c>
    </row>
    <row r="30737" spans="1:2" x14ac:dyDescent="0.25">
      <c r="A30737" s="74">
        <v>35529</v>
      </c>
      <c r="B30737">
        <v>8.74</v>
      </c>
    </row>
    <row r="30738" spans="1:2" x14ac:dyDescent="0.25">
      <c r="A30738" s="74">
        <v>35530</v>
      </c>
      <c r="B30738">
        <v>8.73</v>
      </c>
    </row>
    <row r="30739" spans="1:2" x14ac:dyDescent="0.25">
      <c r="A30739" s="74">
        <v>35531</v>
      </c>
      <c r="B30739">
        <v>8.7799999999999994</v>
      </c>
    </row>
    <row r="30740" spans="1:2" x14ac:dyDescent="0.25">
      <c r="A30740" s="74">
        <v>35532</v>
      </c>
      <c r="B30740">
        <v>8.86</v>
      </c>
    </row>
    <row r="30741" spans="1:2" x14ac:dyDescent="0.25">
      <c r="A30741" s="74">
        <v>35533</v>
      </c>
      <c r="B30741">
        <v>9.84</v>
      </c>
    </row>
    <row r="30742" spans="1:2" x14ac:dyDescent="0.25">
      <c r="A30742" s="74">
        <v>35534</v>
      </c>
      <c r="B30742">
        <v>10.4</v>
      </c>
    </row>
    <row r="30743" spans="1:2" x14ac:dyDescent="0.25">
      <c r="A30743" s="74">
        <v>35535</v>
      </c>
      <c r="B30743">
        <v>14.3</v>
      </c>
    </row>
    <row r="30744" spans="1:2" x14ac:dyDescent="0.25">
      <c r="A30744" s="74">
        <v>35536</v>
      </c>
      <c r="B30744">
        <v>98.1</v>
      </c>
    </row>
    <row r="30745" spans="1:2" x14ac:dyDescent="0.25">
      <c r="A30745" s="74">
        <v>35537</v>
      </c>
      <c r="B30745">
        <v>61.1</v>
      </c>
    </row>
    <row r="30746" spans="1:2" x14ac:dyDescent="0.25">
      <c r="A30746" s="74">
        <v>35538</v>
      </c>
      <c r="B30746">
        <v>31.3</v>
      </c>
    </row>
    <row r="30747" spans="1:2" x14ac:dyDescent="0.25">
      <c r="A30747" s="74">
        <v>35539</v>
      </c>
      <c r="B30747">
        <v>22.3</v>
      </c>
    </row>
    <row r="30748" spans="1:2" x14ac:dyDescent="0.25">
      <c r="A30748" s="74">
        <v>35540</v>
      </c>
      <c r="B30748">
        <v>28.4</v>
      </c>
    </row>
    <row r="30749" spans="1:2" x14ac:dyDescent="0.25">
      <c r="A30749" s="74">
        <v>35541</v>
      </c>
      <c r="B30749">
        <v>23.3</v>
      </c>
    </row>
    <row r="30750" spans="1:2" x14ac:dyDescent="0.25">
      <c r="A30750" s="74">
        <v>35542</v>
      </c>
      <c r="B30750">
        <v>18.899999999999999</v>
      </c>
    </row>
    <row r="30751" spans="1:2" x14ac:dyDescent="0.25">
      <c r="A30751" s="74">
        <v>35543</v>
      </c>
      <c r="B30751">
        <v>23.5</v>
      </c>
    </row>
    <row r="30752" spans="1:2" x14ac:dyDescent="0.25">
      <c r="A30752" s="74">
        <v>35544</v>
      </c>
      <c r="B30752">
        <v>21.5</v>
      </c>
    </row>
    <row r="30753" spans="1:2" x14ac:dyDescent="0.25">
      <c r="A30753" s="74">
        <v>35545</v>
      </c>
      <c r="B30753">
        <v>18.5</v>
      </c>
    </row>
    <row r="30754" spans="1:2" x14ac:dyDescent="0.25">
      <c r="A30754" s="74">
        <v>35546</v>
      </c>
      <c r="B30754">
        <v>23</v>
      </c>
    </row>
    <row r="30755" spans="1:2" x14ac:dyDescent="0.25">
      <c r="A30755" s="74">
        <v>35547</v>
      </c>
      <c r="B30755">
        <v>24.8</v>
      </c>
    </row>
    <row r="30756" spans="1:2" x14ac:dyDescent="0.25">
      <c r="A30756" s="74">
        <v>35548</v>
      </c>
      <c r="B30756">
        <v>17.899999999999999</v>
      </c>
    </row>
    <row r="30757" spans="1:2" x14ac:dyDescent="0.25">
      <c r="A30757" s="74">
        <v>35549</v>
      </c>
      <c r="B30757">
        <v>15.9</v>
      </c>
    </row>
    <row r="30758" spans="1:2" x14ac:dyDescent="0.25">
      <c r="A30758" s="74">
        <v>35550</v>
      </c>
      <c r="B30758">
        <v>15.8</v>
      </c>
    </row>
    <row r="30759" spans="1:2" x14ac:dyDescent="0.25">
      <c r="A30759" s="74">
        <v>35551</v>
      </c>
      <c r="B30759">
        <v>17.399999999999999</v>
      </c>
    </row>
    <row r="30760" spans="1:2" x14ac:dyDescent="0.25">
      <c r="A30760" s="74">
        <v>35552</v>
      </c>
      <c r="B30760">
        <v>16</v>
      </c>
    </row>
    <row r="30761" spans="1:2" x14ac:dyDescent="0.25">
      <c r="A30761" s="74">
        <v>35553</v>
      </c>
      <c r="B30761">
        <v>18.3</v>
      </c>
    </row>
    <row r="30762" spans="1:2" x14ac:dyDescent="0.25">
      <c r="A30762" s="74">
        <v>35554</v>
      </c>
      <c r="B30762">
        <v>22.5</v>
      </c>
    </row>
    <row r="30763" spans="1:2" x14ac:dyDescent="0.25">
      <c r="A30763" s="74">
        <v>35555</v>
      </c>
      <c r="B30763">
        <v>63.6</v>
      </c>
    </row>
    <row r="30764" spans="1:2" x14ac:dyDescent="0.25">
      <c r="A30764" s="74">
        <v>35556</v>
      </c>
      <c r="B30764">
        <v>61.4</v>
      </c>
    </row>
    <row r="30765" spans="1:2" x14ac:dyDescent="0.25">
      <c r="A30765" s="74">
        <v>35557</v>
      </c>
      <c r="B30765">
        <v>39.6</v>
      </c>
    </row>
    <row r="30766" spans="1:2" x14ac:dyDescent="0.25">
      <c r="A30766" s="74">
        <v>35558</v>
      </c>
      <c r="B30766">
        <v>26.4</v>
      </c>
    </row>
    <row r="30767" spans="1:2" x14ac:dyDescent="0.25">
      <c r="A30767" s="74">
        <v>35559</v>
      </c>
      <c r="B30767">
        <v>22.6</v>
      </c>
    </row>
    <row r="30768" spans="1:2" x14ac:dyDescent="0.25">
      <c r="A30768" s="74">
        <v>35560</v>
      </c>
      <c r="B30768">
        <v>20.7</v>
      </c>
    </row>
    <row r="30769" spans="1:2" x14ac:dyDescent="0.25">
      <c r="A30769" s="74">
        <v>35561</v>
      </c>
      <c r="B30769">
        <v>19.5</v>
      </c>
    </row>
    <row r="30770" spans="1:2" x14ac:dyDescent="0.25">
      <c r="A30770" s="74">
        <v>35562</v>
      </c>
      <c r="B30770">
        <v>21.7</v>
      </c>
    </row>
    <row r="30771" spans="1:2" x14ac:dyDescent="0.25">
      <c r="A30771" s="74">
        <v>35563</v>
      </c>
      <c r="B30771">
        <v>23.4</v>
      </c>
    </row>
    <row r="30772" spans="1:2" x14ac:dyDescent="0.25">
      <c r="A30772" s="74">
        <v>35564</v>
      </c>
      <c r="B30772">
        <v>23.5</v>
      </c>
    </row>
    <row r="30773" spans="1:2" x14ac:dyDescent="0.25">
      <c r="A30773" s="74">
        <v>35565</v>
      </c>
      <c r="B30773">
        <v>21.4</v>
      </c>
    </row>
    <row r="30774" spans="1:2" x14ac:dyDescent="0.25">
      <c r="A30774" s="74">
        <v>35566</v>
      </c>
      <c r="B30774">
        <v>18.7</v>
      </c>
    </row>
    <row r="30775" spans="1:2" x14ac:dyDescent="0.25">
      <c r="A30775" s="74">
        <v>35567</v>
      </c>
      <c r="B30775">
        <v>16.100000000000001</v>
      </c>
    </row>
    <row r="30776" spans="1:2" x14ac:dyDescent="0.25">
      <c r="A30776" s="74">
        <v>35568</v>
      </c>
      <c r="B30776">
        <v>12.4</v>
      </c>
    </row>
    <row r="30777" spans="1:2" x14ac:dyDescent="0.25">
      <c r="A30777" s="74">
        <v>35569</v>
      </c>
      <c r="B30777">
        <v>11.1</v>
      </c>
    </row>
    <row r="30778" spans="1:2" x14ac:dyDescent="0.25">
      <c r="A30778" s="74">
        <v>35570</v>
      </c>
      <c r="B30778">
        <v>10.3</v>
      </c>
    </row>
    <row r="30779" spans="1:2" x14ac:dyDescent="0.25">
      <c r="A30779" s="74">
        <v>35571</v>
      </c>
      <c r="B30779">
        <v>9.42</v>
      </c>
    </row>
    <row r="30780" spans="1:2" x14ac:dyDescent="0.25">
      <c r="A30780" s="74">
        <v>35572</v>
      </c>
      <c r="B30780">
        <v>9.4700000000000006</v>
      </c>
    </row>
    <row r="30781" spans="1:2" x14ac:dyDescent="0.25">
      <c r="A30781" s="74">
        <v>35573</v>
      </c>
      <c r="B30781">
        <v>9.1199999999999992</v>
      </c>
    </row>
    <row r="30782" spans="1:2" x14ac:dyDescent="0.25">
      <c r="A30782" s="74">
        <v>35574</v>
      </c>
      <c r="B30782">
        <v>8.85</v>
      </c>
    </row>
    <row r="30783" spans="1:2" x14ac:dyDescent="0.25">
      <c r="A30783" s="74">
        <v>35575</v>
      </c>
      <c r="B30783">
        <v>8.15</v>
      </c>
    </row>
    <row r="30784" spans="1:2" x14ac:dyDescent="0.25">
      <c r="A30784" s="74">
        <v>35576</v>
      </c>
      <c r="B30784">
        <v>9</v>
      </c>
    </row>
    <row r="30785" spans="1:2" x14ac:dyDescent="0.25">
      <c r="A30785" s="74">
        <v>35577</v>
      </c>
      <c r="B30785">
        <v>9.0299999999999994</v>
      </c>
    </row>
    <row r="30786" spans="1:2" x14ac:dyDescent="0.25">
      <c r="A30786" s="74">
        <v>35578</v>
      </c>
      <c r="B30786">
        <v>9.9700000000000006</v>
      </c>
    </row>
    <row r="30787" spans="1:2" x14ac:dyDescent="0.25">
      <c r="A30787" s="74">
        <v>35579</v>
      </c>
      <c r="B30787">
        <v>13.5</v>
      </c>
    </row>
    <row r="30788" spans="1:2" x14ac:dyDescent="0.25">
      <c r="A30788" s="74">
        <v>35580</v>
      </c>
      <c r="B30788">
        <v>12.4</v>
      </c>
    </row>
    <row r="30789" spans="1:2" x14ac:dyDescent="0.25">
      <c r="A30789" s="74">
        <v>35581</v>
      </c>
      <c r="B30789">
        <v>23.6</v>
      </c>
    </row>
    <row r="30790" spans="1:2" x14ac:dyDescent="0.25">
      <c r="A30790" s="74">
        <v>35582</v>
      </c>
      <c r="B30790">
        <v>18.8</v>
      </c>
    </row>
    <row r="30791" spans="1:2" x14ac:dyDescent="0.25">
      <c r="A30791" s="74">
        <v>35583</v>
      </c>
      <c r="B30791">
        <v>15.9</v>
      </c>
    </row>
    <row r="30792" spans="1:2" x14ac:dyDescent="0.25">
      <c r="A30792" s="74">
        <v>35584</v>
      </c>
      <c r="B30792">
        <v>16</v>
      </c>
    </row>
    <row r="30793" spans="1:2" x14ac:dyDescent="0.25">
      <c r="A30793" s="74">
        <v>35585</v>
      </c>
      <c r="B30793">
        <v>20.8</v>
      </c>
    </row>
    <row r="30794" spans="1:2" x14ac:dyDescent="0.25">
      <c r="A30794" s="74">
        <v>35586</v>
      </c>
      <c r="B30794">
        <v>14.4</v>
      </c>
    </row>
    <row r="30795" spans="1:2" x14ac:dyDescent="0.25">
      <c r="A30795" s="74">
        <v>35587</v>
      </c>
      <c r="B30795">
        <v>10.8</v>
      </c>
    </row>
    <row r="30796" spans="1:2" x14ac:dyDescent="0.25">
      <c r="A30796" s="74">
        <v>35588</v>
      </c>
      <c r="B30796">
        <v>8.9700000000000006</v>
      </c>
    </row>
    <row r="30797" spans="1:2" x14ac:dyDescent="0.25">
      <c r="A30797" s="74">
        <v>35589</v>
      </c>
      <c r="B30797">
        <v>7.91</v>
      </c>
    </row>
    <row r="30798" spans="1:2" x14ac:dyDescent="0.25">
      <c r="A30798" s="74">
        <v>35590</v>
      </c>
      <c r="B30798">
        <v>6.92</v>
      </c>
    </row>
    <row r="30799" spans="1:2" x14ac:dyDescent="0.25">
      <c r="A30799" s="74">
        <v>35591</v>
      </c>
      <c r="B30799">
        <v>6.55</v>
      </c>
    </row>
    <row r="30800" spans="1:2" x14ac:dyDescent="0.25">
      <c r="A30800" s="74">
        <v>35592</v>
      </c>
      <c r="B30800">
        <v>7.06</v>
      </c>
    </row>
    <row r="30801" spans="1:2" x14ac:dyDescent="0.25">
      <c r="A30801" s="74">
        <v>35593</v>
      </c>
      <c r="B30801">
        <v>6.59</v>
      </c>
    </row>
    <row r="30802" spans="1:2" x14ac:dyDescent="0.25">
      <c r="A30802" s="74">
        <v>35594</v>
      </c>
      <c r="B30802">
        <v>5.83</v>
      </c>
    </row>
    <row r="30803" spans="1:2" x14ac:dyDescent="0.25">
      <c r="A30803" s="74">
        <v>35595</v>
      </c>
      <c r="B30803">
        <v>6</v>
      </c>
    </row>
    <row r="30804" spans="1:2" x14ac:dyDescent="0.25">
      <c r="A30804" s="74">
        <v>35596</v>
      </c>
      <c r="B30804">
        <v>6.47</v>
      </c>
    </row>
    <row r="30805" spans="1:2" x14ac:dyDescent="0.25">
      <c r="A30805" s="74">
        <v>35597</v>
      </c>
      <c r="B30805">
        <v>6.38</v>
      </c>
    </row>
    <row r="30806" spans="1:2" x14ac:dyDescent="0.25">
      <c r="A30806" s="74">
        <v>35598</v>
      </c>
      <c r="B30806">
        <v>16</v>
      </c>
    </row>
    <row r="30807" spans="1:2" x14ac:dyDescent="0.25">
      <c r="A30807" s="74">
        <v>35599</v>
      </c>
      <c r="B30807">
        <v>13.5</v>
      </c>
    </row>
    <row r="30808" spans="1:2" x14ac:dyDescent="0.25">
      <c r="A30808" s="74">
        <v>35600</v>
      </c>
      <c r="B30808">
        <v>9.0299999999999994</v>
      </c>
    </row>
    <row r="30809" spans="1:2" x14ac:dyDescent="0.25">
      <c r="A30809" s="74">
        <v>35601</v>
      </c>
      <c r="B30809">
        <v>6.9</v>
      </c>
    </row>
    <row r="30810" spans="1:2" x14ac:dyDescent="0.25">
      <c r="A30810" s="74">
        <v>35602</v>
      </c>
      <c r="B30810">
        <v>6.45</v>
      </c>
    </row>
    <row r="30811" spans="1:2" x14ac:dyDescent="0.25">
      <c r="A30811" s="74">
        <v>35603</v>
      </c>
      <c r="B30811">
        <v>7.03</v>
      </c>
    </row>
    <row r="30812" spans="1:2" x14ac:dyDescent="0.25">
      <c r="A30812" s="74">
        <v>35604</v>
      </c>
      <c r="B30812">
        <v>7.05</v>
      </c>
    </row>
    <row r="30813" spans="1:2" x14ac:dyDescent="0.25">
      <c r="A30813" s="74">
        <v>35605</v>
      </c>
      <c r="B30813">
        <v>6.68</v>
      </c>
    </row>
    <row r="30814" spans="1:2" x14ac:dyDescent="0.25">
      <c r="A30814" s="74">
        <v>35606</v>
      </c>
      <c r="B30814">
        <v>6.37</v>
      </c>
    </row>
    <row r="30815" spans="1:2" x14ac:dyDescent="0.25">
      <c r="A30815" s="74">
        <v>35607</v>
      </c>
      <c r="B30815">
        <v>6.64</v>
      </c>
    </row>
    <row r="30816" spans="1:2" x14ac:dyDescent="0.25">
      <c r="A30816" s="74">
        <v>35608</v>
      </c>
      <c r="B30816">
        <v>10.4</v>
      </c>
    </row>
    <row r="30817" spans="1:2" x14ac:dyDescent="0.25">
      <c r="A30817" s="74">
        <v>35609</v>
      </c>
      <c r="B30817">
        <v>9.09</v>
      </c>
    </row>
    <row r="30818" spans="1:2" x14ac:dyDescent="0.25">
      <c r="A30818" s="74">
        <v>35610</v>
      </c>
      <c r="B30818">
        <v>7.4</v>
      </c>
    </row>
    <row r="30819" spans="1:2" x14ac:dyDescent="0.25">
      <c r="A30819" s="74">
        <v>35611</v>
      </c>
      <c r="B30819">
        <v>6.52</v>
      </c>
    </row>
    <row r="30820" spans="1:2" x14ac:dyDescent="0.25">
      <c r="A30820" s="74">
        <v>35612</v>
      </c>
      <c r="B30820">
        <v>6.3</v>
      </c>
    </row>
    <row r="30821" spans="1:2" x14ac:dyDescent="0.25">
      <c r="A30821" s="74">
        <v>35613</v>
      </c>
      <c r="B30821">
        <v>5.58</v>
      </c>
    </row>
    <row r="30822" spans="1:2" x14ac:dyDescent="0.25">
      <c r="A30822" s="74">
        <v>35614</v>
      </c>
      <c r="B30822">
        <v>4.84</v>
      </c>
    </row>
    <row r="30823" spans="1:2" x14ac:dyDescent="0.25">
      <c r="A30823" s="74">
        <v>35615</v>
      </c>
      <c r="B30823">
        <v>4.41</v>
      </c>
    </row>
    <row r="30824" spans="1:2" x14ac:dyDescent="0.25">
      <c r="A30824" s="74">
        <v>35616</v>
      </c>
      <c r="B30824">
        <v>4.3499999999999996</v>
      </c>
    </row>
    <row r="30825" spans="1:2" x14ac:dyDescent="0.25">
      <c r="A30825" s="74">
        <v>35617</v>
      </c>
      <c r="B30825">
        <v>4.72</v>
      </c>
    </row>
    <row r="30826" spans="1:2" x14ac:dyDescent="0.25">
      <c r="A30826" s="74">
        <v>35618</v>
      </c>
      <c r="B30826">
        <v>4.12</v>
      </c>
    </row>
    <row r="30827" spans="1:2" x14ac:dyDescent="0.25">
      <c r="A30827" s="74">
        <v>35619</v>
      </c>
      <c r="B30827">
        <v>26.4</v>
      </c>
    </row>
    <row r="30828" spans="1:2" x14ac:dyDescent="0.25">
      <c r="A30828" s="74">
        <v>35620</v>
      </c>
      <c r="B30828">
        <v>21</v>
      </c>
    </row>
    <row r="30829" spans="1:2" x14ac:dyDescent="0.25">
      <c r="A30829" s="74">
        <v>35621</v>
      </c>
      <c r="B30829">
        <v>12.3</v>
      </c>
    </row>
    <row r="30830" spans="1:2" x14ac:dyDescent="0.25">
      <c r="A30830" s="74">
        <v>35622</v>
      </c>
      <c r="B30830">
        <v>9.01</v>
      </c>
    </row>
    <row r="30831" spans="1:2" x14ac:dyDescent="0.25">
      <c r="A30831" s="74">
        <v>35623</v>
      </c>
      <c r="B30831">
        <v>7.19</v>
      </c>
    </row>
    <row r="30832" spans="1:2" x14ac:dyDescent="0.25">
      <c r="A30832" s="74">
        <v>35624</v>
      </c>
      <c r="B30832">
        <v>5.96</v>
      </c>
    </row>
    <row r="30833" spans="1:2" x14ac:dyDescent="0.25">
      <c r="A30833" s="74">
        <v>35625</v>
      </c>
      <c r="B30833">
        <v>5.56</v>
      </c>
    </row>
    <row r="30834" spans="1:2" x14ac:dyDescent="0.25">
      <c r="A30834" s="74">
        <v>35626</v>
      </c>
      <c r="B30834">
        <v>4.88</v>
      </c>
    </row>
    <row r="30835" spans="1:2" x14ac:dyDescent="0.25">
      <c r="A30835" s="74">
        <v>35627</v>
      </c>
      <c r="B30835">
        <v>4.29</v>
      </c>
    </row>
    <row r="30836" spans="1:2" x14ac:dyDescent="0.25">
      <c r="A30836" s="74">
        <v>35628</v>
      </c>
      <c r="B30836">
        <v>3.76</v>
      </c>
    </row>
    <row r="30837" spans="1:2" x14ac:dyDescent="0.25">
      <c r="A30837" s="74">
        <v>35629</v>
      </c>
      <c r="B30837">
        <v>3.38</v>
      </c>
    </row>
    <row r="30838" spans="1:2" x14ac:dyDescent="0.25">
      <c r="A30838" s="74">
        <v>35630</v>
      </c>
      <c r="B30838">
        <v>3.04</v>
      </c>
    </row>
    <row r="30839" spans="1:2" x14ac:dyDescent="0.25">
      <c r="A30839" s="74">
        <v>35631</v>
      </c>
      <c r="B30839">
        <v>2.81</v>
      </c>
    </row>
    <row r="30840" spans="1:2" x14ac:dyDescent="0.25">
      <c r="A30840" s="74">
        <v>35632</v>
      </c>
      <c r="B30840">
        <v>2.67</v>
      </c>
    </row>
    <row r="30841" spans="1:2" x14ac:dyDescent="0.25">
      <c r="A30841" s="74">
        <v>35633</v>
      </c>
      <c r="B30841">
        <v>2.52</v>
      </c>
    </row>
    <row r="30842" spans="1:2" x14ac:dyDescent="0.25">
      <c r="A30842" s="74">
        <v>35634</v>
      </c>
      <c r="B30842">
        <v>2.42</v>
      </c>
    </row>
    <row r="30843" spans="1:2" x14ac:dyDescent="0.25">
      <c r="A30843" s="74">
        <v>35635</v>
      </c>
      <c r="B30843">
        <v>2.2200000000000002</v>
      </c>
    </row>
    <row r="30844" spans="1:2" x14ac:dyDescent="0.25">
      <c r="A30844" s="74">
        <v>35636</v>
      </c>
      <c r="B30844">
        <v>2.1</v>
      </c>
    </row>
    <row r="30845" spans="1:2" x14ac:dyDescent="0.25">
      <c r="A30845" s="74">
        <v>35637</v>
      </c>
      <c r="B30845">
        <v>2.0299999999999998</v>
      </c>
    </row>
    <row r="30846" spans="1:2" x14ac:dyDescent="0.25">
      <c r="A30846" s="74">
        <v>35638</v>
      </c>
      <c r="B30846">
        <v>1.9</v>
      </c>
    </row>
    <row r="30847" spans="1:2" x14ac:dyDescent="0.25">
      <c r="A30847" s="74">
        <v>35639</v>
      </c>
      <c r="B30847">
        <v>1.8</v>
      </c>
    </row>
    <row r="30848" spans="1:2" x14ac:dyDescent="0.25">
      <c r="A30848" s="74">
        <v>35640</v>
      </c>
      <c r="B30848">
        <v>1.72</v>
      </c>
    </row>
    <row r="30849" spans="1:2" x14ac:dyDescent="0.25">
      <c r="A30849" s="74">
        <v>35641</v>
      </c>
      <c r="B30849">
        <v>1.61</v>
      </c>
    </row>
    <row r="30850" spans="1:2" x14ac:dyDescent="0.25">
      <c r="A30850" s="74">
        <v>35642</v>
      </c>
      <c r="B30850">
        <v>1.55</v>
      </c>
    </row>
    <row r="30851" spans="1:2" x14ac:dyDescent="0.25">
      <c r="A30851" s="74">
        <v>35643</v>
      </c>
      <c r="B30851">
        <v>1.49</v>
      </c>
    </row>
    <row r="30852" spans="1:2" x14ac:dyDescent="0.25">
      <c r="A30852" s="74">
        <v>35644</v>
      </c>
      <c r="B30852">
        <v>1.46</v>
      </c>
    </row>
    <row r="30853" spans="1:2" x14ac:dyDescent="0.25">
      <c r="A30853" s="74">
        <v>35645</v>
      </c>
      <c r="B30853">
        <v>1.41</v>
      </c>
    </row>
    <row r="30854" spans="1:2" x14ac:dyDescent="0.25">
      <c r="A30854" s="74">
        <v>35646</v>
      </c>
      <c r="B30854">
        <v>1.36</v>
      </c>
    </row>
    <row r="30855" spans="1:2" x14ac:dyDescent="0.25">
      <c r="A30855" s="74">
        <v>35647</v>
      </c>
      <c r="B30855">
        <v>1.32</v>
      </c>
    </row>
    <row r="30856" spans="1:2" x14ac:dyDescent="0.25">
      <c r="A30856" s="74">
        <v>35648</v>
      </c>
      <c r="B30856">
        <v>1.3</v>
      </c>
    </row>
    <row r="30857" spans="1:2" x14ac:dyDescent="0.25">
      <c r="A30857" s="74">
        <v>35649</v>
      </c>
      <c r="B30857">
        <v>1.24</v>
      </c>
    </row>
    <row r="30858" spans="1:2" x14ac:dyDescent="0.25">
      <c r="A30858" s="74">
        <v>35650</v>
      </c>
      <c r="B30858">
        <v>1.17</v>
      </c>
    </row>
    <row r="30859" spans="1:2" x14ac:dyDescent="0.25">
      <c r="A30859" s="74">
        <v>35651</v>
      </c>
      <c r="B30859">
        <v>1.17</v>
      </c>
    </row>
    <row r="30860" spans="1:2" x14ac:dyDescent="0.25">
      <c r="A30860" s="74">
        <v>35652</v>
      </c>
      <c r="B30860">
        <v>1.1000000000000001</v>
      </c>
    </row>
    <row r="30861" spans="1:2" x14ac:dyDescent="0.25">
      <c r="A30861" s="74">
        <v>35653</v>
      </c>
      <c r="B30861">
        <v>1.05</v>
      </c>
    </row>
    <row r="30862" spans="1:2" x14ac:dyDescent="0.25">
      <c r="A30862" s="74">
        <v>35654</v>
      </c>
      <c r="B30862">
        <v>1.01</v>
      </c>
    </row>
    <row r="30863" spans="1:2" x14ac:dyDescent="0.25">
      <c r="A30863" s="74">
        <v>35655</v>
      </c>
      <c r="B30863">
        <v>0.99199999999999999</v>
      </c>
    </row>
    <row r="30864" spans="1:2" x14ac:dyDescent="0.25">
      <c r="A30864" s="74">
        <v>35656</v>
      </c>
      <c r="B30864">
        <v>0.99</v>
      </c>
    </row>
    <row r="30865" spans="1:2" x14ac:dyDescent="0.25">
      <c r="A30865" s="74">
        <v>35657</v>
      </c>
      <c r="B30865">
        <v>0.95199999999999996</v>
      </c>
    </row>
    <row r="30866" spans="1:2" x14ac:dyDescent="0.25">
      <c r="A30866" s="74">
        <v>35658</v>
      </c>
      <c r="B30866">
        <v>0.91800000000000004</v>
      </c>
    </row>
    <row r="30867" spans="1:2" x14ac:dyDescent="0.25">
      <c r="A30867" s="74">
        <v>35659</v>
      </c>
      <c r="B30867">
        <v>0.90600000000000003</v>
      </c>
    </row>
    <row r="30868" spans="1:2" x14ac:dyDescent="0.25">
      <c r="A30868" s="74">
        <v>35660</v>
      </c>
      <c r="B30868">
        <v>0.83699999999999997</v>
      </c>
    </row>
    <row r="30869" spans="1:2" x14ac:dyDescent="0.25">
      <c r="A30869" s="74">
        <v>35661</v>
      </c>
      <c r="B30869">
        <v>0.83099999999999996</v>
      </c>
    </row>
    <row r="30870" spans="1:2" x14ac:dyDescent="0.25">
      <c r="A30870" s="74">
        <v>35662</v>
      </c>
      <c r="B30870">
        <v>0.86099999999999999</v>
      </c>
    </row>
    <row r="30871" spans="1:2" x14ac:dyDescent="0.25">
      <c r="A30871" s="74">
        <v>35663</v>
      </c>
      <c r="B30871">
        <v>0.96199999999999997</v>
      </c>
    </row>
    <row r="30872" spans="1:2" x14ac:dyDescent="0.25">
      <c r="A30872" s="74">
        <v>35664</v>
      </c>
      <c r="B30872">
        <v>0.95899999999999996</v>
      </c>
    </row>
    <row r="30873" spans="1:2" x14ac:dyDescent="0.25">
      <c r="A30873" s="74">
        <v>35665</v>
      </c>
      <c r="B30873">
        <v>0.98799999999999999</v>
      </c>
    </row>
    <row r="30874" spans="1:2" x14ac:dyDescent="0.25">
      <c r="A30874" s="74">
        <v>35666</v>
      </c>
      <c r="B30874">
        <v>0.98299999999999998</v>
      </c>
    </row>
    <row r="30875" spans="1:2" x14ac:dyDescent="0.25">
      <c r="A30875" s="74">
        <v>35667</v>
      </c>
      <c r="B30875">
        <v>1.4</v>
      </c>
    </row>
    <row r="30876" spans="1:2" x14ac:dyDescent="0.25">
      <c r="A30876" s="74">
        <v>35668</v>
      </c>
      <c r="B30876">
        <v>6.39</v>
      </c>
    </row>
    <row r="30877" spans="1:2" x14ac:dyDescent="0.25">
      <c r="A30877" s="74">
        <v>35669</v>
      </c>
      <c r="B30877">
        <v>9.27</v>
      </c>
    </row>
    <row r="30878" spans="1:2" x14ac:dyDescent="0.25">
      <c r="A30878" s="74">
        <v>35670</v>
      </c>
      <c r="B30878">
        <v>6.49</v>
      </c>
    </row>
    <row r="30879" spans="1:2" x14ac:dyDescent="0.25">
      <c r="A30879" s="74">
        <v>35671</v>
      </c>
      <c r="B30879">
        <v>4.5599999999999996</v>
      </c>
    </row>
    <row r="30880" spans="1:2" x14ac:dyDescent="0.25">
      <c r="A30880" s="74">
        <v>35672</v>
      </c>
      <c r="B30880">
        <v>3.86</v>
      </c>
    </row>
    <row r="30881" spans="1:3" x14ac:dyDescent="0.25">
      <c r="A30881" s="74">
        <v>35673</v>
      </c>
      <c r="B30881">
        <v>3.28</v>
      </c>
    </row>
    <row r="30882" spans="1:3" x14ac:dyDescent="0.25">
      <c r="A30882" s="74">
        <v>35674</v>
      </c>
      <c r="B30882">
        <v>2.92</v>
      </c>
    </row>
    <row r="30883" spans="1:3" x14ac:dyDescent="0.25">
      <c r="A30883" s="74">
        <v>35675</v>
      </c>
      <c r="B30883">
        <v>2.61</v>
      </c>
    </row>
    <row r="30884" spans="1:3" x14ac:dyDescent="0.25">
      <c r="A30884" s="74">
        <v>35676</v>
      </c>
      <c r="B30884">
        <v>2.4</v>
      </c>
    </row>
    <row r="30885" spans="1:3" x14ac:dyDescent="0.25">
      <c r="A30885" s="74">
        <v>35677</v>
      </c>
      <c r="B30885">
        <v>2.29</v>
      </c>
      <c r="C30885" t="s">
        <v>140</v>
      </c>
    </row>
    <row r="30886" spans="1:3" x14ac:dyDescent="0.25">
      <c r="A30886" s="74">
        <v>35678</v>
      </c>
      <c r="B30886">
        <v>2.2799999999999998</v>
      </c>
    </row>
    <row r="30887" spans="1:3" x14ac:dyDescent="0.25">
      <c r="A30887" s="74">
        <v>35679</v>
      </c>
      <c r="B30887">
        <v>2.2599999999999998</v>
      </c>
    </row>
    <row r="30888" spans="1:3" x14ac:dyDescent="0.25">
      <c r="A30888" s="74">
        <v>35680</v>
      </c>
      <c r="B30888">
        <v>1.97</v>
      </c>
    </row>
    <row r="30889" spans="1:3" x14ac:dyDescent="0.25">
      <c r="A30889" s="74">
        <v>35681</v>
      </c>
      <c r="B30889">
        <v>2.0699999999999998</v>
      </c>
    </row>
    <row r="30890" spans="1:3" x14ac:dyDescent="0.25">
      <c r="A30890" s="74">
        <v>35682</v>
      </c>
      <c r="B30890">
        <v>1.97</v>
      </c>
    </row>
    <row r="30891" spans="1:3" x14ac:dyDescent="0.25">
      <c r="A30891" s="74">
        <v>35683</v>
      </c>
      <c r="B30891">
        <v>1.73</v>
      </c>
    </row>
    <row r="30892" spans="1:3" x14ac:dyDescent="0.25">
      <c r="A30892" s="74">
        <v>35684</v>
      </c>
      <c r="B30892">
        <v>1.44</v>
      </c>
    </row>
    <row r="30893" spans="1:3" x14ac:dyDescent="0.25">
      <c r="A30893" s="74">
        <v>35685</v>
      </c>
      <c r="B30893">
        <v>1.39</v>
      </c>
    </row>
    <row r="30894" spans="1:3" x14ac:dyDescent="0.25">
      <c r="A30894" s="74">
        <v>35686</v>
      </c>
      <c r="B30894">
        <v>1.34</v>
      </c>
    </row>
    <row r="30895" spans="1:3" x14ac:dyDescent="0.25">
      <c r="A30895" s="74">
        <v>35687</v>
      </c>
      <c r="B30895">
        <v>1.66</v>
      </c>
    </row>
    <row r="30896" spans="1:3" x14ac:dyDescent="0.25">
      <c r="A30896" s="74">
        <v>35688</v>
      </c>
      <c r="B30896">
        <v>3.38</v>
      </c>
    </row>
    <row r="30897" spans="1:2" x14ac:dyDescent="0.25">
      <c r="A30897" s="74">
        <v>35689</v>
      </c>
      <c r="B30897">
        <v>3.61</v>
      </c>
    </row>
    <row r="30898" spans="1:2" x14ac:dyDescent="0.25">
      <c r="A30898" s="74">
        <v>35690</v>
      </c>
      <c r="B30898">
        <v>9.31</v>
      </c>
    </row>
    <row r="30899" spans="1:2" x14ac:dyDescent="0.25">
      <c r="A30899" s="74">
        <v>35691</v>
      </c>
      <c r="B30899">
        <v>9.7200000000000006</v>
      </c>
    </row>
    <row r="30900" spans="1:2" x14ac:dyDescent="0.25">
      <c r="A30900" s="74">
        <v>35692</v>
      </c>
      <c r="B30900">
        <v>7.51</v>
      </c>
    </row>
    <row r="30901" spans="1:2" x14ac:dyDescent="0.25">
      <c r="A30901" s="74">
        <v>35693</v>
      </c>
      <c r="B30901">
        <v>5.67</v>
      </c>
    </row>
    <row r="30902" spans="1:2" x14ac:dyDescent="0.25">
      <c r="A30902" s="74">
        <v>35694</v>
      </c>
      <c r="B30902">
        <v>4.5599999999999996</v>
      </c>
    </row>
    <row r="30903" spans="1:2" x14ac:dyDescent="0.25">
      <c r="A30903" s="74">
        <v>35695</v>
      </c>
      <c r="B30903">
        <v>3.84</v>
      </c>
    </row>
    <row r="30904" spans="1:2" x14ac:dyDescent="0.25">
      <c r="A30904" s="74">
        <v>35696</v>
      </c>
      <c r="B30904">
        <v>3.04</v>
      </c>
    </row>
    <row r="30905" spans="1:2" x14ac:dyDescent="0.25">
      <c r="A30905" s="74">
        <v>35697</v>
      </c>
      <c r="B30905">
        <v>2.58</v>
      </c>
    </row>
    <row r="30906" spans="1:2" x14ac:dyDescent="0.25">
      <c r="A30906" s="74">
        <v>35698</v>
      </c>
      <c r="B30906">
        <v>2.35</v>
      </c>
    </row>
    <row r="30907" spans="1:2" x14ac:dyDescent="0.25">
      <c r="A30907" s="74">
        <v>35699</v>
      </c>
      <c r="B30907">
        <v>7.04</v>
      </c>
    </row>
    <row r="30908" spans="1:2" x14ac:dyDescent="0.25">
      <c r="A30908" s="74">
        <v>35700</v>
      </c>
      <c r="B30908">
        <v>18.899999999999999</v>
      </c>
    </row>
    <row r="30909" spans="1:2" x14ac:dyDescent="0.25">
      <c r="A30909" s="74">
        <v>35701</v>
      </c>
      <c r="B30909">
        <v>19.600000000000001</v>
      </c>
    </row>
    <row r="30910" spans="1:2" x14ac:dyDescent="0.25">
      <c r="A30910" s="74">
        <v>35702</v>
      </c>
      <c r="B30910">
        <v>14.5</v>
      </c>
    </row>
    <row r="30911" spans="1:2" x14ac:dyDescent="0.25">
      <c r="A30911" s="74">
        <v>35703</v>
      </c>
      <c r="B30911">
        <v>24.6</v>
      </c>
    </row>
    <row r="30912" spans="1:2" x14ac:dyDescent="0.25">
      <c r="A30912" s="74">
        <v>35704</v>
      </c>
      <c r="B30912">
        <v>47.4</v>
      </c>
    </row>
    <row r="30913" spans="1:2" x14ac:dyDescent="0.25">
      <c r="A30913" s="74">
        <v>35705</v>
      </c>
      <c r="B30913">
        <v>95.2</v>
      </c>
    </row>
    <row r="30914" spans="1:2" x14ac:dyDescent="0.25">
      <c r="A30914" s="74">
        <v>35706</v>
      </c>
      <c r="B30914">
        <v>52</v>
      </c>
    </row>
    <row r="30915" spans="1:2" x14ac:dyDescent="0.25">
      <c r="A30915" s="74">
        <v>35707</v>
      </c>
      <c r="B30915">
        <v>63.4</v>
      </c>
    </row>
    <row r="30916" spans="1:2" x14ac:dyDescent="0.25">
      <c r="A30916" s="74">
        <v>35708</v>
      </c>
      <c r="B30916">
        <v>37.700000000000003</v>
      </c>
    </row>
    <row r="30917" spans="1:2" x14ac:dyDescent="0.25">
      <c r="A30917" s="74">
        <v>35709</v>
      </c>
      <c r="B30917">
        <v>22.4</v>
      </c>
    </row>
    <row r="30918" spans="1:2" x14ac:dyDescent="0.25">
      <c r="A30918" s="74">
        <v>35710</v>
      </c>
      <c r="B30918">
        <v>16.3</v>
      </c>
    </row>
    <row r="30919" spans="1:2" x14ac:dyDescent="0.25">
      <c r="A30919" s="74">
        <v>35711</v>
      </c>
      <c r="B30919">
        <v>21</v>
      </c>
    </row>
    <row r="30920" spans="1:2" x14ac:dyDescent="0.25">
      <c r="A30920" s="74">
        <v>35712</v>
      </c>
      <c r="B30920">
        <v>24</v>
      </c>
    </row>
    <row r="30921" spans="1:2" x14ac:dyDescent="0.25">
      <c r="A30921" s="74">
        <v>35713</v>
      </c>
      <c r="B30921">
        <v>46.7</v>
      </c>
    </row>
    <row r="30922" spans="1:2" x14ac:dyDescent="0.25">
      <c r="A30922" s="74">
        <v>35714</v>
      </c>
      <c r="B30922">
        <v>28</v>
      </c>
    </row>
    <row r="30923" spans="1:2" x14ac:dyDescent="0.25">
      <c r="A30923" s="74">
        <v>35715</v>
      </c>
      <c r="B30923">
        <v>18.399999999999999</v>
      </c>
    </row>
    <row r="30924" spans="1:2" x14ac:dyDescent="0.25">
      <c r="A30924" s="74">
        <v>35716</v>
      </c>
      <c r="B30924">
        <v>15.3</v>
      </c>
    </row>
    <row r="30925" spans="1:2" x14ac:dyDescent="0.25">
      <c r="A30925" s="74">
        <v>35717</v>
      </c>
      <c r="B30925">
        <v>18.399999999999999</v>
      </c>
    </row>
    <row r="30926" spans="1:2" x14ac:dyDescent="0.25">
      <c r="A30926" s="74">
        <v>35718</v>
      </c>
      <c r="B30926">
        <v>18.399999999999999</v>
      </c>
    </row>
    <row r="30927" spans="1:2" x14ac:dyDescent="0.25">
      <c r="A30927" s="74">
        <v>35719</v>
      </c>
      <c r="B30927">
        <v>18.600000000000001</v>
      </c>
    </row>
    <row r="30928" spans="1:2" x14ac:dyDescent="0.25">
      <c r="A30928" s="74">
        <v>35720</v>
      </c>
      <c r="B30928">
        <v>19.600000000000001</v>
      </c>
    </row>
    <row r="30929" spans="1:2" x14ac:dyDescent="0.25">
      <c r="A30929" s="74">
        <v>35721</v>
      </c>
      <c r="B30929">
        <v>15.1</v>
      </c>
    </row>
    <row r="30930" spans="1:2" x14ac:dyDescent="0.25">
      <c r="A30930" s="74">
        <v>35722</v>
      </c>
      <c r="B30930">
        <v>11.9</v>
      </c>
    </row>
    <row r="30931" spans="1:2" x14ac:dyDescent="0.25">
      <c r="A30931" s="74">
        <v>35723</v>
      </c>
      <c r="B30931">
        <v>9.64</v>
      </c>
    </row>
    <row r="30932" spans="1:2" x14ac:dyDescent="0.25">
      <c r="A30932" s="74">
        <v>35724</v>
      </c>
      <c r="B30932">
        <v>8</v>
      </c>
    </row>
    <row r="30933" spans="1:2" x14ac:dyDescent="0.25">
      <c r="A30933" s="74">
        <v>35725</v>
      </c>
      <c r="B30933">
        <v>6.87</v>
      </c>
    </row>
    <row r="30934" spans="1:2" x14ac:dyDescent="0.25">
      <c r="A30934" s="74">
        <v>35726</v>
      </c>
      <c r="B30934">
        <v>6.23</v>
      </c>
    </row>
    <row r="30935" spans="1:2" x14ac:dyDescent="0.25">
      <c r="A30935" s="74">
        <v>35727</v>
      </c>
      <c r="B30935">
        <v>5.53</v>
      </c>
    </row>
    <row r="30936" spans="1:2" x14ac:dyDescent="0.25">
      <c r="A30936" s="74">
        <v>35728</v>
      </c>
      <c r="B30936">
        <v>8.4700000000000006</v>
      </c>
    </row>
    <row r="30937" spans="1:2" x14ac:dyDescent="0.25">
      <c r="A30937" s="74">
        <v>35729</v>
      </c>
      <c r="B30937">
        <v>7.05</v>
      </c>
    </row>
    <row r="30938" spans="1:2" x14ac:dyDescent="0.25">
      <c r="A30938" s="74">
        <v>35730</v>
      </c>
      <c r="B30938">
        <v>6.4</v>
      </c>
    </row>
    <row r="30939" spans="1:2" x14ac:dyDescent="0.25">
      <c r="A30939" s="74">
        <v>35731</v>
      </c>
      <c r="B30939">
        <v>5.58</v>
      </c>
    </row>
    <row r="30940" spans="1:2" x14ac:dyDescent="0.25">
      <c r="A30940" s="74">
        <v>35732</v>
      </c>
      <c r="B30940">
        <v>38.1</v>
      </c>
    </row>
    <row r="30941" spans="1:2" x14ac:dyDescent="0.25">
      <c r="A30941" s="74">
        <v>35733</v>
      </c>
      <c r="B30941">
        <v>118</v>
      </c>
    </row>
    <row r="30942" spans="1:2" x14ac:dyDescent="0.25">
      <c r="A30942" s="74">
        <v>35734</v>
      </c>
      <c r="B30942">
        <v>71.8</v>
      </c>
    </row>
    <row r="30943" spans="1:2" x14ac:dyDescent="0.25">
      <c r="A30943" s="74">
        <v>35735</v>
      </c>
      <c r="B30943">
        <v>39.700000000000003</v>
      </c>
    </row>
    <row r="30944" spans="1:2" x14ac:dyDescent="0.25">
      <c r="A30944" s="74">
        <v>35736</v>
      </c>
      <c r="B30944">
        <v>24.1</v>
      </c>
    </row>
    <row r="30945" spans="1:2" x14ac:dyDescent="0.25">
      <c r="A30945" s="74">
        <v>35737</v>
      </c>
      <c r="B30945">
        <v>53.6</v>
      </c>
    </row>
    <row r="30946" spans="1:2" x14ac:dyDescent="0.25">
      <c r="A30946" s="74">
        <v>35738</v>
      </c>
      <c r="B30946">
        <v>40.4</v>
      </c>
    </row>
    <row r="30947" spans="1:2" x14ac:dyDescent="0.25">
      <c r="A30947" s="74">
        <v>35739</v>
      </c>
      <c r="B30947">
        <v>26.1</v>
      </c>
    </row>
    <row r="30948" spans="1:2" x14ac:dyDescent="0.25">
      <c r="A30948" s="74">
        <v>35740</v>
      </c>
      <c r="B30948">
        <v>23.5</v>
      </c>
    </row>
    <row r="30949" spans="1:2" x14ac:dyDescent="0.25">
      <c r="A30949" s="74">
        <v>35741</v>
      </c>
      <c r="B30949">
        <v>19.2</v>
      </c>
    </row>
    <row r="30950" spans="1:2" x14ac:dyDescent="0.25">
      <c r="A30950" s="74">
        <v>35742</v>
      </c>
      <c r="B30950">
        <v>15.2</v>
      </c>
    </row>
    <row r="30951" spans="1:2" x14ac:dyDescent="0.25">
      <c r="A30951" s="74">
        <v>35743</v>
      </c>
      <c r="B30951">
        <v>12.1</v>
      </c>
    </row>
    <row r="30952" spans="1:2" x14ac:dyDescent="0.25">
      <c r="A30952" s="74">
        <v>35744</v>
      </c>
      <c r="B30952">
        <v>10.4</v>
      </c>
    </row>
    <row r="30953" spans="1:2" x14ac:dyDescent="0.25">
      <c r="A30953" s="74">
        <v>35745</v>
      </c>
      <c r="B30953">
        <v>8.81</v>
      </c>
    </row>
    <row r="30954" spans="1:2" x14ac:dyDescent="0.25">
      <c r="A30954" s="74">
        <v>35746</v>
      </c>
      <c r="B30954">
        <v>7.23</v>
      </c>
    </row>
    <row r="30955" spans="1:2" x14ac:dyDescent="0.25">
      <c r="A30955" s="74">
        <v>35747</v>
      </c>
      <c r="B30955">
        <v>6.31</v>
      </c>
    </row>
    <row r="30956" spans="1:2" x14ac:dyDescent="0.25">
      <c r="A30956" s="74">
        <v>35748</v>
      </c>
      <c r="B30956">
        <v>5.62</v>
      </c>
    </row>
    <row r="30957" spans="1:2" x14ac:dyDescent="0.25">
      <c r="A30957" s="74">
        <v>35749</v>
      </c>
      <c r="B30957">
        <v>5.0199999999999996</v>
      </c>
    </row>
    <row r="30958" spans="1:2" x14ac:dyDescent="0.25">
      <c r="A30958" s="74">
        <v>35750</v>
      </c>
      <c r="B30958">
        <v>4.8600000000000003</v>
      </c>
    </row>
    <row r="30959" spans="1:2" x14ac:dyDescent="0.25">
      <c r="A30959" s="74">
        <v>35751</v>
      </c>
      <c r="B30959">
        <v>4.7</v>
      </c>
    </row>
    <row r="30960" spans="1:2" x14ac:dyDescent="0.25">
      <c r="A30960" s="74">
        <v>35752</v>
      </c>
      <c r="B30960">
        <v>4.84</v>
      </c>
    </row>
    <row r="30961" spans="1:2" x14ac:dyDescent="0.25">
      <c r="A30961" s="74">
        <v>35753</v>
      </c>
      <c r="B30961">
        <v>4.8899999999999997</v>
      </c>
    </row>
    <row r="30962" spans="1:2" x14ac:dyDescent="0.25">
      <c r="A30962" s="74">
        <v>35754</v>
      </c>
      <c r="B30962">
        <v>6.1</v>
      </c>
    </row>
    <row r="30963" spans="1:2" x14ac:dyDescent="0.25">
      <c r="A30963" s="74">
        <v>35755</v>
      </c>
      <c r="B30963">
        <v>6.51</v>
      </c>
    </row>
    <row r="30964" spans="1:2" x14ac:dyDescent="0.25">
      <c r="A30964" s="74">
        <v>35756</v>
      </c>
      <c r="B30964">
        <v>6.18</v>
      </c>
    </row>
    <row r="30965" spans="1:2" x14ac:dyDescent="0.25">
      <c r="A30965" s="74">
        <v>35757</v>
      </c>
      <c r="B30965">
        <v>41.3</v>
      </c>
    </row>
    <row r="30966" spans="1:2" x14ac:dyDescent="0.25">
      <c r="A30966" s="74">
        <v>35758</v>
      </c>
      <c r="B30966">
        <v>56</v>
      </c>
    </row>
    <row r="30967" spans="1:2" x14ac:dyDescent="0.25">
      <c r="A30967" s="74">
        <v>35759</v>
      </c>
      <c r="B30967">
        <v>32.799999999999997</v>
      </c>
    </row>
    <row r="30968" spans="1:2" x14ac:dyDescent="0.25">
      <c r="A30968" s="74">
        <v>35760</v>
      </c>
      <c r="B30968">
        <v>21</v>
      </c>
    </row>
    <row r="30969" spans="1:2" x14ac:dyDescent="0.25">
      <c r="A30969" s="74">
        <v>35761</v>
      </c>
      <c r="B30969">
        <v>33.299999999999997</v>
      </c>
    </row>
    <row r="30970" spans="1:2" x14ac:dyDescent="0.25">
      <c r="A30970" s="74">
        <v>35762</v>
      </c>
      <c r="B30970">
        <v>149</v>
      </c>
    </row>
    <row r="30971" spans="1:2" x14ac:dyDescent="0.25">
      <c r="A30971" s="74">
        <v>35763</v>
      </c>
      <c r="B30971">
        <v>94.4</v>
      </c>
    </row>
    <row r="30972" spans="1:2" x14ac:dyDescent="0.25">
      <c r="A30972" s="74">
        <v>35764</v>
      </c>
      <c r="B30972">
        <v>78.7</v>
      </c>
    </row>
    <row r="30973" spans="1:2" x14ac:dyDescent="0.25">
      <c r="A30973" s="74">
        <v>35765</v>
      </c>
      <c r="B30973">
        <v>46.5</v>
      </c>
    </row>
    <row r="30974" spans="1:2" x14ac:dyDescent="0.25">
      <c r="A30974" s="74">
        <v>35766</v>
      </c>
      <c r="B30974">
        <v>30.1</v>
      </c>
    </row>
    <row r="30975" spans="1:2" x14ac:dyDescent="0.25">
      <c r="A30975" s="74">
        <v>35767</v>
      </c>
      <c r="B30975">
        <v>22</v>
      </c>
    </row>
    <row r="30976" spans="1:2" x14ac:dyDescent="0.25">
      <c r="A30976" s="74">
        <v>35768</v>
      </c>
      <c r="B30976">
        <v>16.399999999999999</v>
      </c>
    </row>
    <row r="30977" spans="1:2" x14ac:dyDescent="0.25">
      <c r="A30977" s="74">
        <v>35769</v>
      </c>
      <c r="B30977">
        <v>12.2</v>
      </c>
    </row>
    <row r="30978" spans="1:2" x14ac:dyDescent="0.25">
      <c r="A30978" s="74">
        <v>35770</v>
      </c>
      <c r="B30978">
        <v>9.75</v>
      </c>
    </row>
    <row r="30979" spans="1:2" x14ac:dyDescent="0.25">
      <c r="A30979" s="74">
        <v>35771</v>
      </c>
      <c r="B30979">
        <v>8.2100000000000009</v>
      </c>
    </row>
    <row r="30980" spans="1:2" x14ac:dyDescent="0.25">
      <c r="A30980" s="74">
        <v>35772</v>
      </c>
      <c r="B30980">
        <v>7.24</v>
      </c>
    </row>
    <row r="30981" spans="1:2" x14ac:dyDescent="0.25">
      <c r="A30981" s="74">
        <v>35773</v>
      </c>
      <c r="B30981">
        <v>6.21</v>
      </c>
    </row>
    <row r="30982" spans="1:2" x14ac:dyDescent="0.25">
      <c r="A30982" s="74">
        <v>35774</v>
      </c>
      <c r="B30982">
        <v>5.97</v>
      </c>
    </row>
    <row r="30983" spans="1:2" x14ac:dyDescent="0.25">
      <c r="A30983" s="74">
        <v>35775</v>
      </c>
      <c r="B30983">
        <v>5.81</v>
      </c>
    </row>
    <row r="30984" spans="1:2" x14ac:dyDescent="0.25">
      <c r="A30984" s="74">
        <v>35776</v>
      </c>
      <c r="B30984">
        <v>5.33</v>
      </c>
    </row>
    <row r="30985" spans="1:2" x14ac:dyDescent="0.25">
      <c r="A30985" s="74">
        <v>35777</v>
      </c>
      <c r="B30985">
        <v>5.03</v>
      </c>
    </row>
    <row r="30986" spans="1:2" x14ac:dyDescent="0.25">
      <c r="A30986" s="74">
        <v>35778</v>
      </c>
      <c r="B30986">
        <v>15.4</v>
      </c>
    </row>
    <row r="30987" spans="1:2" x14ac:dyDescent="0.25">
      <c r="A30987" s="74">
        <v>35779</v>
      </c>
      <c r="B30987">
        <v>24.8</v>
      </c>
    </row>
    <row r="30988" spans="1:2" x14ac:dyDescent="0.25">
      <c r="A30988" s="74">
        <v>35780</v>
      </c>
      <c r="B30988">
        <v>89.6</v>
      </c>
    </row>
    <row r="30989" spans="1:2" x14ac:dyDescent="0.25">
      <c r="A30989" s="74">
        <v>35781</v>
      </c>
      <c r="B30989">
        <v>69</v>
      </c>
    </row>
    <row r="30990" spans="1:2" x14ac:dyDescent="0.25">
      <c r="A30990" s="74">
        <v>35782</v>
      </c>
      <c r="B30990">
        <v>37.6</v>
      </c>
    </row>
    <row r="30991" spans="1:2" x14ac:dyDescent="0.25">
      <c r="A30991" s="74">
        <v>35783</v>
      </c>
      <c r="B30991">
        <v>29.5</v>
      </c>
    </row>
    <row r="30992" spans="1:2" x14ac:dyDescent="0.25">
      <c r="A30992" s="74">
        <v>35784</v>
      </c>
      <c r="B30992">
        <v>47.8</v>
      </c>
    </row>
    <row r="30993" spans="1:2" x14ac:dyDescent="0.25">
      <c r="A30993" s="74">
        <v>35785</v>
      </c>
      <c r="B30993">
        <v>34</v>
      </c>
    </row>
    <row r="30994" spans="1:2" x14ac:dyDescent="0.25">
      <c r="A30994" s="74">
        <v>35786</v>
      </c>
      <c r="B30994">
        <v>23</v>
      </c>
    </row>
    <row r="30995" spans="1:2" x14ac:dyDescent="0.25">
      <c r="A30995" s="74">
        <v>35787</v>
      </c>
      <c r="B30995">
        <v>23.2</v>
      </c>
    </row>
    <row r="30996" spans="1:2" x14ac:dyDescent="0.25">
      <c r="A30996" s="74">
        <v>35788</v>
      </c>
      <c r="B30996">
        <v>17.899999999999999</v>
      </c>
    </row>
    <row r="30997" spans="1:2" x14ac:dyDescent="0.25">
      <c r="A30997" s="74">
        <v>35789</v>
      </c>
      <c r="B30997">
        <v>14</v>
      </c>
    </row>
    <row r="30998" spans="1:2" x14ac:dyDescent="0.25">
      <c r="A30998" s="74">
        <v>35790</v>
      </c>
      <c r="B30998">
        <v>12.8</v>
      </c>
    </row>
    <row r="30999" spans="1:2" x14ac:dyDescent="0.25">
      <c r="A30999" s="74">
        <v>35791</v>
      </c>
      <c r="B30999">
        <v>16.600000000000001</v>
      </c>
    </row>
    <row r="31000" spans="1:2" x14ac:dyDescent="0.25">
      <c r="A31000" s="74">
        <v>35792</v>
      </c>
      <c r="B31000">
        <v>17.5</v>
      </c>
    </row>
    <row r="31001" spans="1:2" x14ac:dyDescent="0.25">
      <c r="A31001" s="74">
        <v>35793</v>
      </c>
      <c r="B31001">
        <v>31.7</v>
      </c>
    </row>
    <row r="31002" spans="1:2" x14ac:dyDescent="0.25">
      <c r="A31002" s="74">
        <v>35794</v>
      </c>
      <c r="B31002">
        <v>29.3</v>
      </c>
    </row>
    <row r="31003" spans="1:2" x14ac:dyDescent="0.25">
      <c r="A31003" s="74">
        <v>35795</v>
      </c>
      <c r="B31003">
        <v>22.1</v>
      </c>
    </row>
    <row r="31004" spans="1:2" x14ac:dyDescent="0.25">
      <c r="A31004" s="74">
        <v>35796</v>
      </c>
      <c r="B31004">
        <v>7.9</v>
      </c>
    </row>
    <row r="31005" spans="1:2" x14ac:dyDescent="0.25">
      <c r="A31005" s="74">
        <v>35797</v>
      </c>
      <c r="B31005">
        <v>16</v>
      </c>
    </row>
    <row r="31006" spans="1:2" x14ac:dyDescent="0.25">
      <c r="A31006" s="74">
        <v>35798</v>
      </c>
      <c r="B31006">
        <v>12.7</v>
      </c>
    </row>
    <row r="31007" spans="1:2" x14ac:dyDescent="0.25">
      <c r="A31007" s="74">
        <v>35799</v>
      </c>
      <c r="B31007">
        <v>11</v>
      </c>
    </row>
    <row r="31008" spans="1:2" x14ac:dyDescent="0.25">
      <c r="A31008" s="74">
        <v>35800</v>
      </c>
      <c r="B31008">
        <v>10.8</v>
      </c>
    </row>
    <row r="31009" spans="1:2" x14ac:dyDescent="0.25">
      <c r="A31009" s="74">
        <v>35801</v>
      </c>
      <c r="B31009">
        <v>10.5</v>
      </c>
    </row>
    <row r="31010" spans="1:2" x14ac:dyDescent="0.25">
      <c r="A31010" s="74">
        <v>35802</v>
      </c>
      <c r="B31010">
        <v>9.5500000000000007</v>
      </c>
    </row>
    <row r="31011" spans="1:2" x14ac:dyDescent="0.25">
      <c r="A31011" s="74">
        <v>35803</v>
      </c>
      <c r="B31011">
        <v>8.2899999999999991</v>
      </c>
    </row>
    <row r="31012" spans="1:2" x14ac:dyDescent="0.25">
      <c r="A31012" s="74">
        <v>35804</v>
      </c>
      <c r="B31012">
        <v>7.27</v>
      </c>
    </row>
    <row r="31013" spans="1:2" x14ac:dyDescent="0.25">
      <c r="A31013" s="74">
        <v>35805</v>
      </c>
      <c r="B31013">
        <v>6.58</v>
      </c>
    </row>
    <row r="31014" spans="1:2" x14ac:dyDescent="0.25">
      <c r="A31014" s="74">
        <v>35806</v>
      </c>
      <c r="B31014">
        <v>5.0599999999999996</v>
      </c>
    </row>
    <row r="31015" spans="1:2" x14ac:dyDescent="0.25">
      <c r="A31015" s="74">
        <v>35807</v>
      </c>
      <c r="B31015">
        <v>4.8099999999999996</v>
      </c>
    </row>
    <row r="31016" spans="1:2" x14ac:dyDescent="0.25">
      <c r="A31016" s="74">
        <v>35808</v>
      </c>
      <c r="B31016">
        <v>5.99</v>
      </c>
    </row>
    <row r="31017" spans="1:2" x14ac:dyDescent="0.25">
      <c r="A31017" s="74">
        <v>35809</v>
      </c>
      <c r="B31017">
        <v>43.1</v>
      </c>
    </row>
    <row r="31018" spans="1:2" x14ac:dyDescent="0.25">
      <c r="A31018" s="74">
        <v>35810</v>
      </c>
      <c r="B31018">
        <v>72.7</v>
      </c>
    </row>
    <row r="31019" spans="1:2" x14ac:dyDescent="0.25">
      <c r="A31019" s="74">
        <v>35811</v>
      </c>
      <c r="B31019">
        <v>43.3</v>
      </c>
    </row>
    <row r="31020" spans="1:2" x14ac:dyDescent="0.25">
      <c r="A31020" s="74">
        <v>35812</v>
      </c>
      <c r="B31020">
        <v>48.7</v>
      </c>
    </row>
    <row r="31021" spans="1:2" x14ac:dyDescent="0.25">
      <c r="A31021" s="74">
        <v>35813</v>
      </c>
      <c r="B31021">
        <v>61.5</v>
      </c>
    </row>
    <row r="31022" spans="1:2" x14ac:dyDescent="0.25">
      <c r="A31022" s="74">
        <v>35814</v>
      </c>
      <c r="B31022">
        <v>62.5</v>
      </c>
    </row>
    <row r="31023" spans="1:2" x14ac:dyDescent="0.25">
      <c r="A31023" s="74">
        <v>35815</v>
      </c>
      <c r="B31023">
        <v>35.200000000000003</v>
      </c>
    </row>
    <row r="31024" spans="1:2" x14ac:dyDescent="0.25">
      <c r="A31024" s="74">
        <v>35816</v>
      </c>
      <c r="B31024">
        <v>24.4</v>
      </c>
    </row>
    <row r="31025" spans="1:2" x14ac:dyDescent="0.25">
      <c r="A31025" s="74">
        <v>35817</v>
      </c>
      <c r="B31025">
        <v>21.9</v>
      </c>
    </row>
    <row r="31026" spans="1:2" x14ac:dyDescent="0.25">
      <c r="A31026" s="74">
        <v>35818</v>
      </c>
      <c r="B31026">
        <v>133</v>
      </c>
    </row>
    <row r="31027" spans="1:2" x14ac:dyDescent="0.25">
      <c r="A31027" s="74">
        <v>35819</v>
      </c>
      <c r="B31027">
        <v>182</v>
      </c>
    </row>
    <row r="31028" spans="1:2" x14ac:dyDescent="0.25">
      <c r="A31028" s="74">
        <v>35820</v>
      </c>
      <c r="B31028">
        <v>101</v>
      </c>
    </row>
    <row r="31029" spans="1:2" x14ac:dyDescent="0.25">
      <c r="A31029" s="74">
        <v>35821</v>
      </c>
      <c r="B31029">
        <v>117</v>
      </c>
    </row>
    <row r="31030" spans="1:2" x14ac:dyDescent="0.25">
      <c r="A31030" s="74">
        <v>35822</v>
      </c>
      <c r="B31030">
        <v>67.5</v>
      </c>
    </row>
    <row r="31031" spans="1:2" x14ac:dyDescent="0.25">
      <c r="A31031" s="74">
        <v>35823</v>
      </c>
      <c r="B31031">
        <v>48.5</v>
      </c>
    </row>
    <row r="31032" spans="1:2" x14ac:dyDescent="0.25">
      <c r="A31032" s="74">
        <v>35824</v>
      </c>
      <c r="B31032">
        <v>62.3</v>
      </c>
    </row>
    <row r="31033" spans="1:2" x14ac:dyDescent="0.25">
      <c r="A31033" s="74">
        <v>35825</v>
      </c>
      <c r="B31033">
        <v>47.8</v>
      </c>
    </row>
    <row r="31034" spans="1:2" x14ac:dyDescent="0.25">
      <c r="A31034" s="74">
        <v>35826</v>
      </c>
      <c r="B31034">
        <v>30.5</v>
      </c>
    </row>
    <row r="31035" spans="1:2" x14ac:dyDescent="0.25">
      <c r="A31035" s="74">
        <v>35827</v>
      </c>
      <c r="B31035">
        <v>22.4</v>
      </c>
    </row>
    <row r="31036" spans="1:2" x14ac:dyDescent="0.25">
      <c r="A31036" s="74">
        <v>35828</v>
      </c>
      <c r="B31036">
        <v>18.7</v>
      </c>
    </row>
    <row r="31037" spans="1:2" x14ac:dyDescent="0.25">
      <c r="A31037" s="74">
        <v>35829</v>
      </c>
      <c r="B31037">
        <v>16</v>
      </c>
    </row>
    <row r="31038" spans="1:2" x14ac:dyDescent="0.25">
      <c r="A31038" s="74">
        <v>35830</v>
      </c>
      <c r="B31038">
        <v>13.9</v>
      </c>
    </row>
    <row r="31039" spans="1:2" x14ac:dyDescent="0.25">
      <c r="A31039" s="74">
        <v>35831</v>
      </c>
      <c r="B31039">
        <v>13.4</v>
      </c>
    </row>
    <row r="31040" spans="1:2" x14ac:dyDescent="0.25">
      <c r="A31040" s="74">
        <v>35832</v>
      </c>
      <c r="B31040">
        <v>13.8</v>
      </c>
    </row>
    <row r="31041" spans="1:2" x14ac:dyDescent="0.25">
      <c r="A31041" s="74">
        <v>35833</v>
      </c>
      <c r="B31041">
        <v>18.2</v>
      </c>
    </row>
    <row r="31042" spans="1:2" x14ac:dyDescent="0.25">
      <c r="A31042" s="74">
        <v>35834</v>
      </c>
      <c r="B31042">
        <v>21.2</v>
      </c>
    </row>
    <row r="31043" spans="1:2" x14ac:dyDescent="0.25">
      <c r="A31043" s="74">
        <v>35835</v>
      </c>
      <c r="B31043">
        <v>18.2</v>
      </c>
    </row>
    <row r="31044" spans="1:2" x14ac:dyDescent="0.25">
      <c r="A31044" s="74">
        <v>35836</v>
      </c>
      <c r="B31044">
        <v>15.4</v>
      </c>
    </row>
    <row r="31045" spans="1:2" x14ac:dyDescent="0.25">
      <c r="A31045" s="74">
        <v>35837</v>
      </c>
      <c r="B31045">
        <v>15.7</v>
      </c>
    </row>
    <row r="31046" spans="1:2" x14ac:dyDescent="0.25">
      <c r="A31046" s="74">
        <v>35838</v>
      </c>
      <c r="B31046">
        <v>50</v>
      </c>
    </row>
    <row r="31047" spans="1:2" x14ac:dyDescent="0.25">
      <c r="A31047" s="74">
        <v>35839</v>
      </c>
      <c r="B31047">
        <v>93.7</v>
      </c>
    </row>
    <row r="31048" spans="1:2" x14ac:dyDescent="0.25">
      <c r="A31048" s="74">
        <v>35840</v>
      </c>
      <c r="B31048">
        <v>52.1</v>
      </c>
    </row>
    <row r="31049" spans="1:2" x14ac:dyDescent="0.25">
      <c r="A31049" s="74">
        <v>35841</v>
      </c>
      <c r="B31049">
        <v>32.700000000000003</v>
      </c>
    </row>
    <row r="31050" spans="1:2" x14ac:dyDescent="0.25">
      <c r="A31050" s="74">
        <v>35842</v>
      </c>
      <c r="B31050">
        <v>23.5</v>
      </c>
    </row>
    <row r="31051" spans="1:2" x14ac:dyDescent="0.25">
      <c r="A31051" s="74">
        <v>35843</v>
      </c>
      <c r="B31051">
        <v>18.600000000000001</v>
      </c>
    </row>
    <row r="31052" spans="1:2" x14ac:dyDescent="0.25">
      <c r="A31052" s="74">
        <v>35844</v>
      </c>
      <c r="B31052">
        <v>21.4</v>
      </c>
    </row>
    <row r="31053" spans="1:2" x14ac:dyDescent="0.25">
      <c r="A31053" s="74">
        <v>35845</v>
      </c>
      <c r="B31053">
        <v>57.6</v>
      </c>
    </row>
    <row r="31054" spans="1:2" x14ac:dyDescent="0.25">
      <c r="A31054" s="74">
        <v>35846</v>
      </c>
      <c r="B31054">
        <v>39.4</v>
      </c>
    </row>
    <row r="31055" spans="1:2" x14ac:dyDescent="0.25">
      <c r="A31055" s="74">
        <v>35847</v>
      </c>
      <c r="B31055">
        <v>48.2</v>
      </c>
    </row>
    <row r="31056" spans="1:2" x14ac:dyDescent="0.25">
      <c r="A31056" s="74">
        <v>35848</v>
      </c>
      <c r="B31056">
        <v>46.4</v>
      </c>
    </row>
    <row r="31057" spans="1:2" x14ac:dyDescent="0.25">
      <c r="A31057" s="74">
        <v>35849</v>
      </c>
      <c r="B31057">
        <v>30.8</v>
      </c>
    </row>
    <row r="31058" spans="1:2" x14ac:dyDescent="0.25">
      <c r="A31058" s="74">
        <v>35850</v>
      </c>
      <c r="B31058">
        <v>22.3</v>
      </c>
    </row>
    <row r="31059" spans="1:2" x14ac:dyDescent="0.25">
      <c r="A31059" s="74">
        <v>35851</v>
      </c>
      <c r="B31059">
        <v>18.100000000000001</v>
      </c>
    </row>
    <row r="31060" spans="1:2" x14ac:dyDescent="0.25">
      <c r="A31060" s="74">
        <v>35852</v>
      </c>
      <c r="B31060">
        <v>15.2</v>
      </c>
    </row>
    <row r="31061" spans="1:2" x14ac:dyDescent="0.25">
      <c r="A31061" s="74">
        <v>35853</v>
      </c>
      <c r="B31061">
        <v>13.2</v>
      </c>
    </row>
    <row r="31062" spans="1:2" x14ac:dyDescent="0.25">
      <c r="A31062" s="74">
        <v>35854</v>
      </c>
      <c r="B31062">
        <v>11.9</v>
      </c>
    </row>
    <row r="31063" spans="1:2" x14ac:dyDescent="0.25">
      <c r="A31063" s="74">
        <v>35855</v>
      </c>
      <c r="B31063">
        <v>12.3</v>
      </c>
    </row>
    <row r="31064" spans="1:2" x14ac:dyDescent="0.25">
      <c r="A31064" s="74">
        <v>35856</v>
      </c>
      <c r="B31064">
        <v>11.8</v>
      </c>
    </row>
    <row r="31065" spans="1:2" x14ac:dyDescent="0.25">
      <c r="A31065" s="74">
        <v>35857</v>
      </c>
      <c r="B31065">
        <v>11</v>
      </c>
    </row>
    <row r="31066" spans="1:2" x14ac:dyDescent="0.25">
      <c r="A31066" s="74">
        <v>35858</v>
      </c>
      <c r="B31066">
        <v>10.1</v>
      </c>
    </row>
    <row r="31067" spans="1:2" x14ac:dyDescent="0.25">
      <c r="A31067" s="74">
        <v>35859</v>
      </c>
      <c r="B31067">
        <v>9.3000000000000007</v>
      </c>
    </row>
    <row r="31068" spans="1:2" x14ac:dyDescent="0.25">
      <c r="A31068" s="74">
        <v>35860</v>
      </c>
      <c r="B31068">
        <v>8.59</v>
      </c>
    </row>
    <row r="31069" spans="1:2" x14ac:dyDescent="0.25">
      <c r="A31069" s="74">
        <v>35861</v>
      </c>
      <c r="B31069">
        <v>7.88</v>
      </c>
    </row>
    <row r="31070" spans="1:2" x14ac:dyDescent="0.25">
      <c r="A31070" s="74">
        <v>35862</v>
      </c>
      <c r="B31070">
        <v>7.43</v>
      </c>
    </row>
    <row r="31071" spans="1:2" x14ac:dyDescent="0.25">
      <c r="A31071" s="74">
        <v>35863</v>
      </c>
      <c r="B31071">
        <v>8.15</v>
      </c>
    </row>
    <row r="31072" spans="1:2" x14ac:dyDescent="0.25">
      <c r="A31072" s="74">
        <v>35864</v>
      </c>
      <c r="B31072">
        <v>8.9600000000000009</v>
      </c>
    </row>
    <row r="31073" spans="1:2" x14ac:dyDescent="0.25">
      <c r="A31073" s="74">
        <v>35865</v>
      </c>
      <c r="B31073">
        <v>10.9</v>
      </c>
    </row>
    <row r="31074" spans="1:2" x14ac:dyDescent="0.25">
      <c r="A31074" s="74">
        <v>35866</v>
      </c>
      <c r="B31074">
        <v>18.5</v>
      </c>
    </row>
    <row r="31075" spans="1:2" x14ac:dyDescent="0.25">
      <c r="A31075" s="74">
        <v>35867</v>
      </c>
      <c r="B31075">
        <v>25.7</v>
      </c>
    </row>
    <row r="31076" spans="1:2" x14ac:dyDescent="0.25">
      <c r="A31076" s="74">
        <v>35868</v>
      </c>
      <c r="B31076">
        <v>22.8</v>
      </c>
    </row>
    <row r="31077" spans="1:2" x14ac:dyDescent="0.25">
      <c r="A31077" s="74">
        <v>35869</v>
      </c>
      <c r="B31077">
        <v>19</v>
      </c>
    </row>
    <row r="31078" spans="1:2" x14ac:dyDescent="0.25">
      <c r="A31078" s="74">
        <v>35870</v>
      </c>
      <c r="B31078">
        <v>16.8</v>
      </c>
    </row>
    <row r="31079" spans="1:2" x14ac:dyDescent="0.25">
      <c r="A31079" s="74">
        <v>35871</v>
      </c>
      <c r="B31079">
        <v>13.6</v>
      </c>
    </row>
    <row r="31080" spans="1:2" x14ac:dyDescent="0.25">
      <c r="A31080" s="74">
        <v>35872</v>
      </c>
      <c r="B31080">
        <v>11.4</v>
      </c>
    </row>
    <row r="31081" spans="1:2" x14ac:dyDescent="0.25">
      <c r="A31081" s="74">
        <v>35873</v>
      </c>
      <c r="B31081">
        <v>10</v>
      </c>
    </row>
    <row r="31082" spans="1:2" x14ac:dyDescent="0.25">
      <c r="A31082" s="74">
        <v>35874</v>
      </c>
      <c r="B31082">
        <v>9.32</v>
      </c>
    </row>
    <row r="31083" spans="1:2" x14ac:dyDescent="0.25">
      <c r="A31083" s="74">
        <v>35875</v>
      </c>
      <c r="B31083">
        <v>9.3800000000000008</v>
      </c>
    </row>
    <row r="31084" spans="1:2" x14ac:dyDescent="0.25">
      <c r="A31084" s="74">
        <v>35876</v>
      </c>
      <c r="B31084">
        <v>17.3</v>
      </c>
    </row>
    <row r="31085" spans="1:2" x14ac:dyDescent="0.25">
      <c r="A31085" s="74">
        <v>35877</v>
      </c>
      <c r="B31085">
        <v>20.7</v>
      </c>
    </row>
    <row r="31086" spans="1:2" x14ac:dyDescent="0.25">
      <c r="A31086" s="74">
        <v>35878</v>
      </c>
      <c r="B31086">
        <v>44.9</v>
      </c>
    </row>
    <row r="31087" spans="1:2" x14ac:dyDescent="0.25">
      <c r="A31087" s="74">
        <v>35879</v>
      </c>
      <c r="B31087">
        <v>26.4</v>
      </c>
    </row>
    <row r="31088" spans="1:2" x14ac:dyDescent="0.25">
      <c r="A31088" s="74">
        <v>35880</v>
      </c>
      <c r="B31088">
        <v>19</v>
      </c>
    </row>
    <row r="31089" spans="1:2" x14ac:dyDescent="0.25">
      <c r="A31089" s="74">
        <v>35881</v>
      </c>
      <c r="B31089">
        <v>15</v>
      </c>
    </row>
    <row r="31090" spans="1:2" x14ac:dyDescent="0.25">
      <c r="A31090" s="74">
        <v>35882</v>
      </c>
      <c r="B31090">
        <v>13.6</v>
      </c>
    </row>
    <row r="31091" spans="1:2" x14ac:dyDescent="0.25">
      <c r="A31091" s="74">
        <v>35883</v>
      </c>
      <c r="B31091">
        <v>12.1</v>
      </c>
    </row>
    <row r="31092" spans="1:2" x14ac:dyDescent="0.25">
      <c r="A31092" s="74">
        <v>35884</v>
      </c>
      <c r="B31092">
        <v>10.7</v>
      </c>
    </row>
    <row r="31093" spans="1:2" x14ac:dyDescent="0.25">
      <c r="A31093" s="74">
        <v>35885</v>
      </c>
      <c r="B31093">
        <v>10.1</v>
      </c>
    </row>
    <row r="31094" spans="1:2" x14ac:dyDescent="0.25">
      <c r="A31094" s="74">
        <v>35886</v>
      </c>
      <c r="B31094">
        <v>9.1199999999999992</v>
      </c>
    </row>
    <row r="31095" spans="1:2" x14ac:dyDescent="0.25">
      <c r="A31095" s="74">
        <v>35887</v>
      </c>
      <c r="B31095">
        <v>8.36</v>
      </c>
    </row>
    <row r="31096" spans="1:2" x14ac:dyDescent="0.25">
      <c r="A31096" s="74">
        <v>35888</v>
      </c>
      <c r="B31096">
        <v>7.65</v>
      </c>
    </row>
    <row r="31097" spans="1:2" x14ac:dyDescent="0.25">
      <c r="A31097" s="74">
        <v>35889</v>
      </c>
      <c r="B31097">
        <v>7.06</v>
      </c>
    </row>
    <row r="31098" spans="1:2" x14ac:dyDescent="0.25">
      <c r="A31098" s="74">
        <v>35890</v>
      </c>
      <c r="B31098">
        <v>6.62</v>
      </c>
    </row>
    <row r="31099" spans="1:2" x14ac:dyDescent="0.25">
      <c r="A31099" s="74">
        <v>35891</v>
      </c>
      <c r="B31099">
        <v>6.35</v>
      </c>
    </row>
    <row r="31100" spans="1:2" x14ac:dyDescent="0.25">
      <c r="A31100" s="74">
        <v>35892</v>
      </c>
      <c r="B31100">
        <v>6.03</v>
      </c>
    </row>
    <row r="31101" spans="1:2" x14ac:dyDescent="0.25">
      <c r="A31101" s="74">
        <v>35893</v>
      </c>
      <c r="B31101">
        <v>5.67</v>
      </c>
    </row>
    <row r="31102" spans="1:2" x14ac:dyDescent="0.25">
      <c r="A31102" s="74">
        <v>35894</v>
      </c>
      <c r="B31102">
        <v>5.35</v>
      </c>
    </row>
    <row r="31103" spans="1:2" x14ac:dyDescent="0.25">
      <c r="A31103" s="74">
        <v>35895</v>
      </c>
      <c r="B31103">
        <v>5.14</v>
      </c>
    </row>
    <row r="31104" spans="1:2" x14ac:dyDescent="0.25">
      <c r="A31104" s="74">
        <v>35896</v>
      </c>
      <c r="B31104">
        <v>5.63</v>
      </c>
    </row>
    <row r="31105" spans="1:2" x14ac:dyDescent="0.25">
      <c r="A31105" s="74">
        <v>35897</v>
      </c>
      <c r="B31105">
        <v>5.92</v>
      </c>
    </row>
    <row r="31106" spans="1:2" x14ac:dyDescent="0.25">
      <c r="A31106" s="74">
        <v>35898</v>
      </c>
      <c r="B31106">
        <v>5.48</v>
      </c>
    </row>
    <row r="31107" spans="1:2" x14ac:dyDescent="0.25">
      <c r="A31107" s="74">
        <v>35899</v>
      </c>
      <c r="B31107">
        <v>5.15</v>
      </c>
    </row>
    <row r="31108" spans="1:2" x14ac:dyDescent="0.25">
      <c r="A31108" s="74">
        <v>35900</v>
      </c>
      <c r="B31108">
        <v>4.91</v>
      </c>
    </row>
    <row r="31109" spans="1:2" x14ac:dyDescent="0.25">
      <c r="A31109" s="74">
        <v>35901</v>
      </c>
      <c r="B31109">
        <v>4.67</v>
      </c>
    </row>
    <row r="31110" spans="1:2" x14ac:dyDescent="0.25">
      <c r="A31110" s="74">
        <v>35902</v>
      </c>
      <c r="B31110">
        <v>4.58</v>
      </c>
    </row>
    <row r="31111" spans="1:2" x14ac:dyDescent="0.25">
      <c r="A31111" s="74">
        <v>35903</v>
      </c>
      <c r="B31111">
        <v>4.68</v>
      </c>
    </row>
    <row r="31112" spans="1:2" x14ac:dyDescent="0.25">
      <c r="A31112" s="74">
        <v>35904</v>
      </c>
      <c r="B31112">
        <v>5.46</v>
      </c>
    </row>
    <row r="31113" spans="1:2" x14ac:dyDescent="0.25">
      <c r="A31113" s="74">
        <v>35905</v>
      </c>
      <c r="B31113">
        <v>5.09</v>
      </c>
    </row>
    <row r="31114" spans="1:2" x14ac:dyDescent="0.25">
      <c r="A31114" s="74">
        <v>35906</v>
      </c>
      <c r="B31114">
        <v>4.9800000000000004</v>
      </c>
    </row>
    <row r="31115" spans="1:2" x14ac:dyDescent="0.25">
      <c r="A31115" s="74">
        <v>35907</v>
      </c>
      <c r="B31115">
        <v>5.62</v>
      </c>
    </row>
    <row r="31116" spans="1:2" x14ac:dyDescent="0.25">
      <c r="A31116" s="74">
        <v>35908</v>
      </c>
      <c r="B31116">
        <v>6.42</v>
      </c>
    </row>
    <row r="31117" spans="1:2" x14ac:dyDescent="0.25">
      <c r="A31117" s="74">
        <v>35909</v>
      </c>
      <c r="B31117">
        <v>7.07</v>
      </c>
    </row>
    <row r="31118" spans="1:2" x14ac:dyDescent="0.25">
      <c r="A31118" s="74">
        <v>35910</v>
      </c>
      <c r="B31118">
        <v>6.47</v>
      </c>
    </row>
    <row r="31119" spans="1:2" x14ac:dyDescent="0.25">
      <c r="A31119" s="74">
        <v>35911</v>
      </c>
      <c r="B31119">
        <v>5.93</v>
      </c>
    </row>
    <row r="31120" spans="1:2" x14ac:dyDescent="0.25">
      <c r="A31120" s="74">
        <v>35912</v>
      </c>
      <c r="B31120">
        <v>6.62</v>
      </c>
    </row>
    <row r="31121" spans="1:2" x14ac:dyDescent="0.25">
      <c r="A31121" s="74">
        <v>35913</v>
      </c>
      <c r="B31121">
        <v>7.23</v>
      </c>
    </row>
    <row r="31122" spans="1:2" x14ac:dyDescent="0.25">
      <c r="A31122" s="74">
        <v>35914</v>
      </c>
      <c r="B31122">
        <v>9.1999999999999993</v>
      </c>
    </row>
    <row r="31123" spans="1:2" x14ac:dyDescent="0.25">
      <c r="A31123" s="74">
        <v>35915</v>
      </c>
      <c r="B31123">
        <v>11.9</v>
      </c>
    </row>
    <row r="31124" spans="1:2" x14ac:dyDescent="0.25">
      <c r="A31124" s="74">
        <v>35916</v>
      </c>
      <c r="B31124">
        <v>15.4</v>
      </c>
    </row>
    <row r="31125" spans="1:2" x14ac:dyDescent="0.25">
      <c r="A31125" s="74">
        <v>35917</v>
      </c>
      <c r="B31125">
        <v>16.7</v>
      </c>
    </row>
    <row r="31126" spans="1:2" x14ac:dyDescent="0.25">
      <c r="A31126" s="74">
        <v>35918</v>
      </c>
      <c r="B31126">
        <v>15.3</v>
      </c>
    </row>
    <row r="31127" spans="1:2" x14ac:dyDescent="0.25">
      <c r="A31127" s="74">
        <v>35919</v>
      </c>
      <c r="B31127">
        <v>14.1</v>
      </c>
    </row>
    <row r="31128" spans="1:2" x14ac:dyDescent="0.25">
      <c r="A31128" s="74">
        <v>35920</v>
      </c>
      <c r="B31128">
        <v>14.7</v>
      </c>
    </row>
    <row r="31129" spans="1:2" x14ac:dyDescent="0.25">
      <c r="A31129" s="74">
        <v>35921</v>
      </c>
      <c r="B31129">
        <v>14.4</v>
      </c>
    </row>
    <row r="31130" spans="1:2" x14ac:dyDescent="0.25">
      <c r="A31130" s="74">
        <v>35922</v>
      </c>
      <c r="B31130">
        <v>12.5</v>
      </c>
    </row>
    <row r="31131" spans="1:2" x14ac:dyDescent="0.25">
      <c r="A31131" s="74">
        <v>35923</v>
      </c>
      <c r="B31131">
        <v>10.6</v>
      </c>
    </row>
    <row r="31132" spans="1:2" x14ac:dyDescent="0.25">
      <c r="A31132" s="74">
        <v>35924</v>
      </c>
      <c r="B31132">
        <v>8.6199999999999992</v>
      </c>
    </row>
    <row r="31133" spans="1:2" x14ac:dyDescent="0.25">
      <c r="A31133" s="74">
        <v>35925</v>
      </c>
      <c r="B31133">
        <v>7.86</v>
      </c>
    </row>
    <row r="31134" spans="1:2" x14ac:dyDescent="0.25">
      <c r="A31134" s="74">
        <v>35926</v>
      </c>
      <c r="B31134">
        <v>7.32</v>
      </c>
    </row>
    <row r="31135" spans="1:2" x14ac:dyDescent="0.25">
      <c r="A31135" s="74">
        <v>35927</v>
      </c>
      <c r="B31135">
        <v>6.82</v>
      </c>
    </row>
    <row r="31136" spans="1:2" x14ac:dyDescent="0.25">
      <c r="A31136" s="74">
        <v>35928</v>
      </c>
      <c r="B31136">
        <v>7.26</v>
      </c>
    </row>
    <row r="31137" spans="1:2" x14ac:dyDescent="0.25">
      <c r="A31137" s="74">
        <v>35929</v>
      </c>
      <c r="B31137">
        <v>6.95</v>
      </c>
    </row>
    <row r="31138" spans="1:2" x14ac:dyDescent="0.25">
      <c r="A31138" s="74">
        <v>35930</v>
      </c>
      <c r="B31138">
        <v>6.2</v>
      </c>
    </row>
    <row r="31139" spans="1:2" x14ac:dyDescent="0.25">
      <c r="A31139" s="74">
        <v>35931</v>
      </c>
      <c r="B31139">
        <v>5.55</v>
      </c>
    </row>
    <row r="31140" spans="1:2" x14ac:dyDescent="0.25">
      <c r="A31140" s="74">
        <v>35932</v>
      </c>
      <c r="B31140">
        <v>4.78</v>
      </c>
    </row>
    <row r="31141" spans="1:2" x14ac:dyDescent="0.25">
      <c r="A31141" s="74">
        <v>35933</v>
      </c>
      <c r="B31141">
        <v>4.58</v>
      </c>
    </row>
    <row r="31142" spans="1:2" x14ac:dyDescent="0.25">
      <c r="A31142" s="74">
        <v>35934</v>
      </c>
      <c r="B31142">
        <v>4.63</v>
      </c>
    </row>
    <row r="31143" spans="1:2" x14ac:dyDescent="0.25">
      <c r="A31143" s="74">
        <v>35935</v>
      </c>
      <c r="B31143">
        <v>4.7</v>
      </c>
    </row>
    <row r="31144" spans="1:2" x14ac:dyDescent="0.25">
      <c r="A31144" s="74">
        <v>35936</v>
      </c>
      <c r="B31144">
        <v>5.22</v>
      </c>
    </row>
    <row r="31145" spans="1:2" x14ac:dyDescent="0.25">
      <c r="A31145" s="74">
        <v>35937</v>
      </c>
      <c r="B31145">
        <v>5.71</v>
      </c>
    </row>
    <row r="31146" spans="1:2" x14ac:dyDescent="0.25">
      <c r="A31146" s="74">
        <v>35938</v>
      </c>
      <c r="B31146">
        <v>5.2</v>
      </c>
    </row>
    <row r="31147" spans="1:2" x14ac:dyDescent="0.25">
      <c r="A31147" s="74">
        <v>35939</v>
      </c>
      <c r="B31147">
        <v>6.12</v>
      </c>
    </row>
    <row r="31148" spans="1:2" x14ac:dyDescent="0.25">
      <c r="A31148" s="74">
        <v>35940</v>
      </c>
      <c r="B31148">
        <v>6.51</v>
      </c>
    </row>
    <row r="31149" spans="1:2" x14ac:dyDescent="0.25">
      <c r="A31149" s="74">
        <v>35941</v>
      </c>
      <c r="B31149">
        <v>5.46</v>
      </c>
    </row>
    <row r="31150" spans="1:2" x14ac:dyDescent="0.25">
      <c r="A31150" s="74">
        <v>35942</v>
      </c>
      <c r="B31150">
        <v>8.17</v>
      </c>
    </row>
    <row r="31151" spans="1:2" x14ac:dyDescent="0.25">
      <c r="A31151" s="74">
        <v>35943</v>
      </c>
      <c r="B31151">
        <v>8.5399999999999991</v>
      </c>
    </row>
    <row r="31152" spans="1:2" x14ac:dyDescent="0.25">
      <c r="A31152" s="74">
        <v>35944</v>
      </c>
      <c r="B31152">
        <v>6.36</v>
      </c>
    </row>
    <row r="31153" spans="1:2" x14ac:dyDescent="0.25">
      <c r="A31153" s="74">
        <v>35945</v>
      </c>
      <c r="B31153">
        <v>6.1</v>
      </c>
    </row>
    <row r="31154" spans="1:2" x14ac:dyDescent="0.25">
      <c r="A31154" s="74">
        <v>35946</v>
      </c>
      <c r="B31154">
        <v>6.61</v>
      </c>
    </row>
    <row r="31155" spans="1:2" x14ac:dyDescent="0.25">
      <c r="A31155" s="74">
        <v>35947</v>
      </c>
      <c r="B31155">
        <v>7.09</v>
      </c>
    </row>
    <row r="31156" spans="1:2" x14ac:dyDescent="0.25">
      <c r="A31156" s="74">
        <v>35948</v>
      </c>
      <c r="B31156">
        <v>6.03</v>
      </c>
    </row>
    <row r="31157" spans="1:2" x14ac:dyDescent="0.25">
      <c r="A31157" s="74">
        <v>35949</v>
      </c>
      <c r="B31157">
        <v>5.94</v>
      </c>
    </row>
    <row r="31158" spans="1:2" x14ac:dyDescent="0.25">
      <c r="A31158" s="74">
        <v>35950</v>
      </c>
      <c r="B31158">
        <v>5.52</v>
      </c>
    </row>
    <row r="31159" spans="1:2" x14ac:dyDescent="0.25">
      <c r="A31159" s="74">
        <v>35951</v>
      </c>
      <c r="B31159">
        <v>5.48</v>
      </c>
    </row>
    <row r="31160" spans="1:2" x14ac:dyDescent="0.25">
      <c r="A31160" s="74">
        <v>35952</v>
      </c>
      <c r="B31160">
        <v>5.13</v>
      </c>
    </row>
    <row r="31161" spans="1:2" x14ac:dyDescent="0.25">
      <c r="A31161" s="74">
        <v>35953</v>
      </c>
      <c r="B31161">
        <v>5.13</v>
      </c>
    </row>
    <row r="31162" spans="1:2" x14ac:dyDescent="0.25">
      <c r="A31162" s="74">
        <v>35954</v>
      </c>
      <c r="B31162">
        <v>5.01</v>
      </c>
    </row>
    <row r="31163" spans="1:2" x14ac:dyDescent="0.25">
      <c r="A31163" s="74">
        <v>35955</v>
      </c>
      <c r="B31163">
        <v>4.87</v>
      </c>
    </row>
    <row r="31164" spans="1:2" x14ac:dyDescent="0.25">
      <c r="A31164" s="74">
        <v>35956</v>
      </c>
      <c r="B31164">
        <v>5.78</v>
      </c>
    </row>
    <row r="31165" spans="1:2" x14ac:dyDescent="0.25">
      <c r="A31165" s="74">
        <v>35957</v>
      </c>
      <c r="B31165">
        <v>5.31</v>
      </c>
    </row>
    <row r="31166" spans="1:2" x14ac:dyDescent="0.25">
      <c r="A31166" s="74">
        <v>35958</v>
      </c>
      <c r="B31166">
        <v>4.29</v>
      </c>
    </row>
    <row r="31167" spans="1:2" x14ac:dyDescent="0.25">
      <c r="A31167" s="74">
        <v>35959</v>
      </c>
      <c r="B31167">
        <v>3.88</v>
      </c>
    </row>
    <row r="31168" spans="1:2" x14ac:dyDescent="0.25">
      <c r="A31168" s="74">
        <v>35960</v>
      </c>
      <c r="B31168">
        <v>3.69</v>
      </c>
    </row>
    <row r="31169" spans="1:2" x14ac:dyDescent="0.25">
      <c r="A31169" s="74">
        <v>35961</v>
      </c>
      <c r="B31169">
        <v>3.44</v>
      </c>
    </row>
    <row r="31170" spans="1:2" x14ac:dyDescent="0.25">
      <c r="A31170" s="74">
        <v>35962</v>
      </c>
      <c r="B31170">
        <v>3.1</v>
      </c>
    </row>
    <row r="31171" spans="1:2" x14ac:dyDescent="0.25">
      <c r="A31171" s="74">
        <v>35963</v>
      </c>
      <c r="B31171">
        <v>2.9</v>
      </c>
    </row>
    <row r="31172" spans="1:2" x14ac:dyDescent="0.25">
      <c r="A31172" s="74">
        <v>35964</v>
      </c>
      <c r="B31172">
        <v>2.73</v>
      </c>
    </row>
    <row r="31173" spans="1:2" x14ac:dyDescent="0.25">
      <c r="A31173" s="74">
        <v>35965</v>
      </c>
      <c r="B31173">
        <v>2.85</v>
      </c>
    </row>
    <row r="31174" spans="1:2" x14ac:dyDescent="0.25">
      <c r="A31174" s="74">
        <v>35966</v>
      </c>
      <c r="B31174">
        <v>2.95</v>
      </c>
    </row>
    <row r="31175" spans="1:2" x14ac:dyDescent="0.25">
      <c r="A31175" s="74">
        <v>35967</v>
      </c>
      <c r="B31175">
        <v>3.01</v>
      </c>
    </row>
    <row r="31176" spans="1:2" x14ac:dyDescent="0.25">
      <c r="A31176" s="74">
        <v>35968</v>
      </c>
      <c r="B31176">
        <v>3.01</v>
      </c>
    </row>
    <row r="31177" spans="1:2" x14ac:dyDescent="0.25">
      <c r="A31177" s="74">
        <v>35969</v>
      </c>
      <c r="B31177">
        <v>2.97</v>
      </c>
    </row>
    <row r="31178" spans="1:2" x14ac:dyDescent="0.25">
      <c r="A31178" s="74">
        <v>35970</v>
      </c>
      <c r="B31178">
        <v>3.13</v>
      </c>
    </row>
    <row r="31179" spans="1:2" x14ac:dyDescent="0.25">
      <c r="A31179" s="74">
        <v>35971</v>
      </c>
      <c r="B31179">
        <v>3.35</v>
      </c>
    </row>
    <row r="31180" spans="1:2" x14ac:dyDescent="0.25">
      <c r="A31180" s="74">
        <v>35972</v>
      </c>
      <c r="B31180">
        <v>3.47</v>
      </c>
    </row>
    <row r="31181" spans="1:2" x14ac:dyDescent="0.25">
      <c r="A31181" s="74">
        <v>35973</v>
      </c>
      <c r="B31181">
        <v>3.14</v>
      </c>
    </row>
    <row r="31182" spans="1:2" x14ac:dyDescent="0.25">
      <c r="A31182" s="74">
        <v>35974</v>
      </c>
      <c r="B31182">
        <v>2.75</v>
      </c>
    </row>
    <row r="31183" spans="1:2" x14ac:dyDescent="0.25">
      <c r="A31183" s="74">
        <v>35975</v>
      </c>
      <c r="B31183">
        <v>2.15</v>
      </c>
    </row>
    <row r="31184" spans="1:2" x14ac:dyDescent="0.25">
      <c r="A31184" s="74">
        <v>35976</v>
      </c>
      <c r="B31184">
        <v>1.87</v>
      </c>
    </row>
    <row r="31185" spans="1:2" x14ac:dyDescent="0.25">
      <c r="A31185" s="74">
        <v>35977</v>
      </c>
      <c r="B31185">
        <v>1.64</v>
      </c>
    </row>
    <row r="31186" spans="1:2" x14ac:dyDescent="0.25">
      <c r="A31186" s="74">
        <v>35978</v>
      </c>
      <c r="B31186">
        <v>1.58</v>
      </c>
    </row>
    <row r="31187" spans="1:2" x14ac:dyDescent="0.25">
      <c r="A31187" s="74">
        <v>35979</v>
      </c>
      <c r="B31187">
        <v>1.76</v>
      </c>
    </row>
    <row r="31188" spans="1:2" x14ac:dyDescent="0.25">
      <c r="A31188" s="74">
        <v>35980</v>
      </c>
      <c r="B31188">
        <v>2.65</v>
      </c>
    </row>
    <row r="31189" spans="1:2" x14ac:dyDescent="0.25">
      <c r="A31189" s="74">
        <v>35981</v>
      </c>
      <c r="B31189">
        <v>2.99</v>
      </c>
    </row>
    <row r="31190" spans="1:2" x14ac:dyDescent="0.25">
      <c r="A31190" s="74">
        <v>35982</v>
      </c>
      <c r="B31190">
        <v>2.63</v>
      </c>
    </row>
    <row r="31191" spans="1:2" x14ac:dyDescent="0.25">
      <c r="A31191" s="74">
        <v>35983</v>
      </c>
      <c r="B31191">
        <v>2.33</v>
      </c>
    </row>
    <row r="31192" spans="1:2" x14ac:dyDescent="0.25">
      <c r="A31192" s="74">
        <v>35984</v>
      </c>
      <c r="B31192">
        <v>2.0699999999999998</v>
      </c>
    </row>
    <row r="31193" spans="1:2" x14ac:dyDescent="0.25">
      <c r="A31193" s="74">
        <v>35985</v>
      </c>
      <c r="B31193">
        <v>1.79</v>
      </c>
    </row>
    <row r="31194" spans="1:2" x14ac:dyDescent="0.25">
      <c r="A31194" s="74">
        <v>35986</v>
      </c>
      <c r="B31194">
        <v>1.56</v>
      </c>
    </row>
    <row r="31195" spans="1:2" x14ac:dyDescent="0.25">
      <c r="A31195" s="74">
        <v>35987</v>
      </c>
      <c r="B31195">
        <v>1.43</v>
      </c>
    </row>
    <row r="31196" spans="1:2" x14ac:dyDescent="0.25">
      <c r="A31196" s="74">
        <v>35988</v>
      </c>
      <c r="B31196">
        <v>1.45</v>
      </c>
    </row>
    <row r="31197" spans="1:2" x14ac:dyDescent="0.25">
      <c r="A31197" s="74">
        <v>35989</v>
      </c>
      <c r="B31197">
        <v>1.48</v>
      </c>
    </row>
    <row r="31198" spans="1:2" x14ac:dyDescent="0.25">
      <c r="A31198" s="74">
        <v>35990</v>
      </c>
      <c r="B31198">
        <v>1.49</v>
      </c>
    </row>
    <row r="31199" spans="1:2" x14ac:dyDescent="0.25">
      <c r="A31199" s="74">
        <v>35991</v>
      </c>
      <c r="B31199">
        <v>2.86</v>
      </c>
    </row>
    <row r="31200" spans="1:2" x14ac:dyDescent="0.25">
      <c r="A31200" s="74">
        <v>35992</v>
      </c>
      <c r="B31200">
        <v>2.59</v>
      </c>
    </row>
    <row r="31201" spans="1:2" x14ac:dyDescent="0.25">
      <c r="A31201" s="74">
        <v>35993</v>
      </c>
      <c r="B31201">
        <v>2.61</v>
      </c>
    </row>
    <row r="31202" spans="1:2" x14ac:dyDescent="0.25">
      <c r="A31202" s="74">
        <v>35994</v>
      </c>
      <c r="B31202">
        <v>2.2999999999999998</v>
      </c>
    </row>
    <row r="31203" spans="1:2" x14ac:dyDescent="0.25">
      <c r="A31203" s="74">
        <v>35995</v>
      </c>
      <c r="B31203">
        <v>1.9</v>
      </c>
    </row>
    <row r="31204" spans="1:2" x14ac:dyDescent="0.25">
      <c r="A31204" s="74">
        <v>35996</v>
      </c>
      <c r="B31204">
        <v>1.57</v>
      </c>
    </row>
    <row r="31205" spans="1:2" x14ac:dyDescent="0.25">
      <c r="A31205" s="74">
        <v>35997</v>
      </c>
      <c r="B31205">
        <v>1.4</v>
      </c>
    </row>
    <row r="31206" spans="1:2" x14ac:dyDescent="0.25">
      <c r="A31206" s="74">
        <v>35998</v>
      </c>
      <c r="B31206">
        <v>1.22</v>
      </c>
    </row>
    <row r="31207" spans="1:2" x14ac:dyDescent="0.25">
      <c r="A31207" s="74">
        <v>35999</v>
      </c>
      <c r="B31207">
        <v>1.06</v>
      </c>
    </row>
    <row r="31208" spans="1:2" x14ac:dyDescent="0.25">
      <c r="A31208" s="74">
        <v>36000</v>
      </c>
      <c r="B31208">
        <v>0.93600000000000005</v>
      </c>
    </row>
    <row r="31209" spans="1:2" x14ac:dyDescent="0.25">
      <c r="A31209" s="74">
        <v>36001</v>
      </c>
      <c r="B31209">
        <v>0.84299999999999997</v>
      </c>
    </row>
    <row r="31210" spans="1:2" x14ac:dyDescent="0.25">
      <c r="A31210" s="74">
        <v>36002</v>
      </c>
      <c r="B31210">
        <v>0.79</v>
      </c>
    </row>
    <row r="31211" spans="1:2" x14ac:dyDescent="0.25">
      <c r="A31211" s="74">
        <v>36003</v>
      </c>
      <c r="B31211">
        <v>0.753</v>
      </c>
    </row>
    <row r="31212" spans="1:2" x14ac:dyDescent="0.25">
      <c r="A31212" s="74">
        <v>36004</v>
      </c>
      <c r="B31212">
        <v>0.72399999999999998</v>
      </c>
    </row>
    <row r="31213" spans="1:2" x14ac:dyDescent="0.25">
      <c r="A31213" s="74">
        <v>36005</v>
      </c>
      <c r="B31213">
        <v>0.73899999999999999</v>
      </c>
    </row>
    <row r="31214" spans="1:2" x14ac:dyDescent="0.25">
      <c r="A31214" s="74">
        <v>36006</v>
      </c>
      <c r="B31214">
        <v>0.748</v>
      </c>
    </row>
    <row r="31215" spans="1:2" x14ac:dyDescent="0.25">
      <c r="A31215" s="74">
        <v>36007</v>
      </c>
      <c r="B31215">
        <v>0.73199999999999998</v>
      </c>
    </row>
    <row r="31216" spans="1:2" x14ac:dyDescent="0.25">
      <c r="A31216" s="74">
        <v>36008</v>
      </c>
      <c r="B31216">
        <v>0.71599999999999997</v>
      </c>
    </row>
    <row r="31217" spans="1:2" x14ac:dyDescent="0.25">
      <c r="A31217" s="74">
        <v>36009</v>
      </c>
      <c r="B31217">
        <v>0.69899999999999995</v>
      </c>
    </row>
    <row r="31218" spans="1:2" x14ac:dyDescent="0.25">
      <c r="A31218" s="74">
        <v>36010</v>
      </c>
      <c r="B31218">
        <v>0.65200000000000002</v>
      </c>
    </row>
    <row r="31219" spans="1:2" x14ac:dyDescent="0.25">
      <c r="A31219" s="74">
        <v>36011</v>
      </c>
      <c r="B31219">
        <v>0.59699999999999998</v>
      </c>
    </row>
    <row r="31220" spans="1:2" x14ac:dyDescent="0.25">
      <c r="A31220" s="74">
        <v>36012</v>
      </c>
      <c r="B31220">
        <v>0.59399999999999997</v>
      </c>
    </row>
    <row r="31221" spans="1:2" x14ac:dyDescent="0.25">
      <c r="A31221" s="74">
        <v>36013</v>
      </c>
      <c r="B31221">
        <v>0.57099999999999995</v>
      </c>
    </row>
    <row r="31222" spans="1:2" x14ac:dyDescent="0.25">
      <c r="A31222" s="74">
        <v>36014</v>
      </c>
      <c r="B31222">
        <v>0.53400000000000003</v>
      </c>
    </row>
    <row r="31223" spans="1:2" x14ac:dyDescent="0.25">
      <c r="A31223" s="74">
        <v>36015</v>
      </c>
      <c r="B31223">
        <v>0.503</v>
      </c>
    </row>
    <row r="31224" spans="1:2" x14ac:dyDescent="0.25">
      <c r="A31224" s="74">
        <v>36016</v>
      </c>
      <c r="B31224">
        <v>0.45200000000000001</v>
      </c>
    </row>
    <row r="31225" spans="1:2" x14ac:dyDescent="0.25">
      <c r="A31225" s="74">
        <v>36017</v>
      </c>
      <c r="B31225">
        <v>0.53100000000000003</v>
      </c>
    </row>
    <row r="31226" spans="1:2" x14ac:dyDescent="0.25">
      <c r="A31226" s="74">
        <v>36018</v>
      </c>
      <c r="B31226">
        <v>0.45200000000000001</v>
      </c>
    </row>
    <row r="31227" spans="1:2" x14ac:dyDescent="0.25">
      <c r="A31227" s="74">
        <v>36019</v>
      </c>
      <c r="B31227">
        <v>0.39800000000000002</v>
      </c>
    </row>
    <row r="31228" spans="1:2" x14ac:dyDescent="0.25">
      <c r="A31228" s="74">
        <v>36020</v>
      </c>
      <c r="B31228">
        <v>0.379</v>
      </c>
    </row>
    <row r="31229" spans="1:2" x14ac:dyDescent="0.25">
      <c r="A31229" s="74">
        <v>36021</v>
      </c>
      <c r="B31229">
        <v>0.28199999999999997</v>
      </c>
    </row>
    <row r="31230" spans="1:2" x14ac:dyDescent="0.25">
      <c r="A31230" s="74">
        <v>36022</v>
      </c>
      <c r="B31230">
        <v>0.249</v>
      </c>
    </row>
    <row r="31231" spans="1:2" x14ac:dyDescent="0.25">
      <c r="A31231" s="74">
        <v>36023</v>
      </c>
      <c r="B31231">
        <v>0.27700000000000002</v>
      </c>
    </row>
    <row r="31232" spans="1:2" x14ac:dyDescent="0.25">
      <c r="A31232" s="74">
        <v>36024</v>
      </c>
      <c r="B31232">
        <v>0.40799999999999997</v>
      </c>
    </row>
    <row r="31233" spans="1:2" x14ac:dyDescent="0.25">
      <c r="A31233" s="74">
        <v>36025</v>
      </c>
      <c r="B31233">
        <v>0.47799999999999998</v>
      </c>
    </row>
    <row r="31234" spans="1:2" x14ac:dyDescent="0.25">
      <c r="A31234" s="74">
        <v>36026</v>
      </c>
      <c r="B31234">
        <v>0.41099999999999998</v>
      </c>
    </row>
    <row r="31235" spans="1:2" x14ac:dyDescent="0.25">
      <c r="A31235" s="74">
        <v>36027</v>
      </c>
      <c r="B31235">
        <v>0.35</v>
      </c>
    </row>
    <row r="31236" spans="1:2" x14ac:dyDescent="0.25">
      <c r="A31236" s="74">
        <v>36028</v>
      </c>
      <c r="B31236">
        <v>0.316</v>
      </c>
    </row>
    <row r="31237" spans="1:2" x14ac:dyDescent="0.25">
      <c r="A31237" s="74">
        <v>36029</v>
      </c>
      <c r="B31237">
        <v>0.28100000000000003</v>
      </c>
    </row>
    <row r="31238" spans="1:2" x14ac:dyDescent="0.25">
      <c r="A31238" s="74">
        <v>36030</v>
      </c>
      <c r="B31238">
        <v>0.26800000000000002</v>
      </c>
    </row>
    <row r="31239" spans="1:2" x14ac:dyDescent="0.25">
      <c r="A31239" s="74">
        <v>36031</v>
      </c>
      <c r="B31239">
        <v>0.27300000000000002</v>
      </c>
    </row>
    <row r="31240" spans="1:2" x14ac:dyDescent="0.25">
      <c r="A31240" s="74">
        <v>36032</v>
      </c>
      <c r="B31240">
        <v>0.25600000000000001</v>
      </c>
    </row>
    <row r="31241" spans="1:2" x14ac:dyDescent="0.25">
      <c r="A31241" s="74">
        <v>36033</v>
      </c>
      <c r="B31241">
        <v>0.246</v>
      </c>
    </row>
    <row r="31242" spans="1:2" x14ac:dyDescent="0.25">
      <c r="A31242" s="74">
        <v>36034</v>
      </c>
      <c r="B31242">
        <v>0.22800000000000001</v>
      </c>
    </row>
    <row r="31243" spans="1:2" x14ac:dyDescent="0.25">
      <c r="A31243" s="74">
        <v>36035</v>
      </c>
      <c r="B31243">
        <v>0.216</v>
      </c>
    </row>
    <row r="31244" spans="1:2" x14ac:dyDescent="0.25">
      <c r="A31244" s="74">
        <v>36036</v>
      </c>
      <c r="B31244">
        <v>0.20899999999999999</v>
      </c>
    </row>
    <row r="31245" spans="1:2" x14ac:dyDescent="0.25">
      <c r="A31245" s="74">
        <v>36037</v>
      </c>
      <c r="B31245">
        <v>0.19600000000000001</v>
      </c>
    </row>
    <row r="31246" spans="1:2" x14ac:dyDescent="0.25">
      <c r="A31246" s="74">
        <v>36038</v>
      </c>
      <c r="B31246">
        <v>0.19</v>
      </c>
    </row>
    <row r="31247" spans="1:2" x14ac:dyDescent="0.25">
      <c r="A31247" s="74">
        <v>36039</v>
      </c>
      <c r="B31247">
        <v>0.187</v>
      </c>
    </row>
    <row r="31248" spans="1:2" x14ac:dyDescent="0.25">
      <c r="A31248" s="74">
        <v>36040</v>
      </c>
      <c r="B31248">
        <v>0.191</v>
      </c>
    </row>
    <row r="31249" spans="1:2" x14ac:dyDescent="0.25">
      <c r="A31249" s="74">
        <v>36041</v>
      </c>
      <c r="B31249">
        <v>0.17299999999999999</v>
      </c>
    </row>
    <row r="31250" spans="1:2" x14ac:dyDescent="0.25">
      <c r="A31250" s="74">
        <v>36042</v>
      </c>
      <c r="B31250">
        <v>0.192</v>
      </c>
    </row>
    <row r="31251" spans="1:2" x14ac:dyDescent="0.25">
      <c r="A31251" s="74">
        <v>36043</v>
      </c>
      <c r="B31251">
        <v>0.187</v>
      </c>
    </row>
    <row r="31252" spans="1:2" x14ac:dyDescent="0.25">
      <c r="A31252" s="74">
        <v>36044</v>
      </c>
      <c r="B31252">
        <v>0.182</v>
      </c>
    </row>
    <row r="31253" spans="1:2" x14ac:dyDescent="0.25">
      <c r="A31253" s="74">
        <v>36045</v>
      </c>
      <c r="B31253">
        <v>0.17</v>
      </c>
    </row>
    <row r="31254" spans="1:2" x14ac:dyDescent="0.25">
      <c r="A31254" s="74">
        <v>36046</v>
      </c>
      <c r="B31254">
        <v>0.188</v>
      </c>
    </row>
    <row r="31255" spans="1:2" x14ac:dyDescent="0.25">
      <c r="A31255" s="74">
        <v>36047</v>
      </c>
      <c r="B31255">
        <v>0.2</v>
      </c>
    </row>
    <row r="31256" spans="1:2" x14ac:dyDescent="0.25">
      <c r="A31256" s="74">
        <v>36048</v>
      </c>
      <c r="B31256">
        <v>0.19900000000000001</v>
      </c>
    </row>
    <row r="31257" spans="1:2" x14ac:dyDescent="0.25">
      <c r="A31257" s="74">
        <v>36049</v>
      </c>
      <c r="B31257">
        <v>0.20699999999999999</v>
      </c>
    </row>
    <row r="31258" spans="1:2" x14ac:dyDescent="0.25">
      <c r="A31258" s="74">
        <v>36050</v>
      </c>
      <c r="B31258">
        <v>0.41399999999999998</v>
      </c>
    </row>
    <row r="31259" spans="1:2" x14ac:dyDescent="0.25">
      <c r="A31259" s="74">
        <v>36051</v>
      </c>
      <c r="B31259">
        <v>0.88200000000000001</v>
      </c>
    </row>
    <row r="31260" spans="1:2" x14ac:dyDescent="0.25">
      <c r="A31260" s="74">
        <v>36052</v>
      </c>
      <c r="B31260">
        <v>0.874</v>
      </c>
    </row>
    <row r="31261" spans="1:2" x14ac:dyDescent="0.25">
      <c r="A31261" s="74">
        <v>36053</v>
      </c>
      <c r="B31261">
        <v>0.70899999999999996</v>
      </c>
    </row>
    <row r="31262" spans="1:2" x14ac:dyDescent="0.25">
      <c r="A31262" s="74">
        <v>36054</v>
      </c>
      <c r="B31262">
        <v>0.51800000000000002</v>
      </c>
    </row>
    <row r="31263" spans="1:2" x14ac:dyDescent="0.25">
      <c r="A31263" s="74">
        <v>36055</v>
      </c>
      <c r="B31263">
        <v>0.42899999999999999</v>
      </c>
    </row>
    <row r="31264" spans="1:2" x14ac:dyDescent="0.25">
      <c r="A31264" s="74">
        <v>36056</v>
      </c>
      <c r="B31264">
        <v>0.71099999999999997</v>
      </c>
    </row>
    <row r="31265" spans="1:2" x14ac:dyDescent="0.25">
      <c r="A31265" s="74">
        <v>36057</v>
      </c>
      <c r="B31265">
        <v>0.63200000000000001</v>
      </c>
    </row>
    <row r="31266" spans="1:2" x14ac:dyDescent="0.25">
      <c r="A31266" s="74">
        <v>36058</v>
      </c>
      <c r="B31266">
        <v>0.49199999999999999</v>
      </c>
    </row>
    <row r="31267" spans="1:2" x14ac:dyDescent="0.25">
      <c r="A31267" s="74">
        <v>36059</v>
      </c>
      <c r="B31267">
        <v>0.36499999999999999</v>
      </c>
    </row>
    <row r="31268" spans="1:2" x14ac:dyDescent="0.25">
      <c r="A31268" s="74">
        <v>36060</v>
      </c>
      <c r="B31268">
        <v>0.30599999999999999</v>
      </c>
    </row>
    <row r="31269" spans="1:2" x14ac:dyDescent="0.25">
      <c r="A31269" s="74">
        <v>36061</v>
      </c>
      <c r="B31269">
        <v>0.246</v>
      </c>
    </row>
    <row r="31270" spans="1:2" x14ac:dyDescent="0.25">
      <c r="A31270" s="74">
        <v>36062</v>
      </c>
      <c r="B31270">
        <v>0.222</v>
      </c>
    </row>
    <row r="31271" spans="1:2" x14ac:dyDescent="0.25">
      <c r="A31271" s="74">
        <v>36063</v>
      </c>
      <c r="B31271">
        <v>0.22900000000000001</v>
      </c>
    </row>
    <row r="31272" spans="1:2" x14ac:dyDescent="0.25">
      <c r="A31272" s="74">
        <v>36064</v>
      </c>
      <c r="B31272">
        <v>0.20899999999999999</v>
      </c>
    </row>
    <row r="31273" spans="1:2" x14ac:dyDescent="0.25">
      <c r="A31273" s="74">
        <v>36065</v>
      </c>
      <c r="B31273">
        <v>0.19600000000000001</v>
      </c>
    </row>
    <row r="31274" spans="1:2" x14ac:dyDescent="0.25">
      <c r="A31274" s="74">
        <v>36066</v>
      </c>
      <c r="B31274">
        <v>0.20699999999999999</v>
      </c>
    </row>
    <row r="31275" spans="1:2" x14ac:dyDescent="0.25">
      <c r="A31275" s="74">
        <v>36067</v>
      </c>
      <c r="B31275">
        <v>0.20599999999999999</v>
      </c>
    </row>
    <row r="31276" spans="1:2" x14ac:dyDescent="0.25">
      <c r="A31276" s="74">
        <v>36068</v>
      </c>
      <c r="B31276">
        <v>0.20399999999999999</v>
      </c>
    </row>
    <row r="31277" spans="1:2" x14ac:dyDescent="0.25">
      <c r="A31277" s="74">
        <v>36069</v>
      </c>
      <c r="B31277">
        <v>0.214</v>
      </c>
    </row>
    <row r="31278" spans="1:2" x14ac:dyDescent="0.25">
      <c r="A31278" s="74">
        <v>36070</v>
      </c>
      <c r="B31278">
        <v>0.35799999999999998</v>
      </c>
    </row>
    <row r="31279" spans="1:2" x14ac:dyDescent="0.25">
      <c r="A31279" s="74">
        <v>36071</v>
      </c>
      <c r="B31279">
        <v>0.443</v>
      </c>
    </row>
    <row r="31280" spans="1:2" x14ac:dyDescent="0.25">
      <c r="A31280" s="74">
        <v>36072</v>
      </c>
      <c r="B31280">
        <v>0.44900000000000001</v>
      </c>
    </row>
    <row r="31281" spans="1:2" x14ac:dyDescent="0.25">
      <c r="A31281" s="74">
        <v>36073</v>
      </c>
      <c r="B31281">
        <v>0.432</v>
      </c>
    </row>
    <row r="31282" spans="1:2" x14ac:dyDescent="0.25">
      <c r="A31282" s="74">
        <v>36074</v>
      </c>
      <c r="B31282">
        <v>0.48299999999999998</v>
      </c>
    </row>
    <row r="31283" spans="1:2" x14ac:dyDescent="0.25">
      <c r="A31283" s="74">
        <v>36075</v>
      </c>
      <c r="B31283">
        <v>0.65800000000000003</v>
      </c>
    </row>
    <row r="31284" spans="1:2" x14ac:dyDescent="0.25">
      <c r="A31284" s="74">
        <v>36076</v>
      </c>
      <c r="B31284">
        <v>0.79200000000000004</v>
      </c>
    </row>
    <row r="31285" spans="1:2" x14ac:dyDescent="0.25">
      <c r="A31285" s="74">
        <v>36077</v>
      </c>
      <c r="B31285">
        <v>1.1299999999999999</v>
      </c>
    </row>
    <row r="31286" spans="1:2" x14ac:dyDescent="0.25">
      <c r="A31286" s="74">
        <v>36078</v>
      </c>
      <c r="B31286">
        <v>1.72</v>
      </c>
    </row>
    <row r="31287" spans="1:2" x14ac:dyDescent="0.25">
      <c r="A31287" s="74">
        <v>36079</v>
      </c>
      <c r="B31287">
        <v>1.36</v>
      </c>
    </row>
    <row r="31288" spans="1:2" x14ac:dyDescent="0.25">
      <c r="A31288" s="74">
        <v>36080</v>
      </c>
      <c r="B31288">
        <v>5.7</v>
      </c>
    </row>
    <row r="31289" spans="1:2" x14ac:dyDescent="0.25">
      <c r="A31289" s="74">
        <v>36081</v>
      </c>
      <c r="B31289">
        <v>9.17</v>
      </c>
    </row>
    <row r="31290" spans="1:2" x14ac:dyDescent="0.25">
      <c r="A31290" s="74">
        <v>36082</v>
      </c>
      <c r="B31290">
        <v>6.96</v>
      </c>
    </row>
    <row r="31291" spans="1:2" x14ac:dyDescent="0.25">
      <c r="A31291" s="74">
        <v>36083</v>
      </c>
      <c r="B31291">
        <v>4.4400000000000004</v>
      </c>
    </row>
    <row r="31292" spans="1:2" x14ac:dyDescent="0.25">
      <c r="A31292" s="74">
        <v>36084</v>
      </c>
      <c r="B31292">
        <v>3.3</v>
      </c>
    </row>
    <row r="31293" spans="1:2" x14ac:dyDescent="0.25">
      <c r="A31293" s="74">
        <v>36085</v>
      </c>
      <c r="B31293">
        <v>4.07</v>
      </c>
    </row>
    <row r="31294" spans="1:2" x14ac:dyDescent="0.25">
      <c r="A31294" s="74">
        <v>36086</v>
      </c>
      <c r="B31294">
        <v>5.23</v>
      </c>
    </row>
    <row r="31295" spans="1:2" x14ac:dyDescent="0.25">
      <c r="A31295" s="74">
        <v>36087</v>
      </c>
      <c r="B31295">
        <v>3.84</v>
      </c>
    </row>
    <row r="31296" spans="1:2" x14ac:dyDescent="0.25">
      <c r="A31296" s="74">
        <v>36088</v>
      </c>
      <c r="B31296">
        <v>3.11</v>
      </c>
    </row>
    <row r="31297" spans="1:2" x14ac:dyDescent="0.25">
      <c r="A31297" s="74">
        <v>36089</v>
      </c>
      <c r="B31297">
        <v>2.58</v>
      </c>
    </row>
    <row r="31298" spans="1:2" x14ac:dyDescent="0.25">
      <c r="A31298" s="74">
        <v>36090</v>
      </c>
      <c r="B31298">
        <v>2.23</v>
      </c>
    </row>
    <row r="31299" spans="1:2" x14ac:dyDescent="0.25">
      <c r="A31299" s="74">
        <v>36091</v>
      </c>
      <c r="B31299">
        <v>1.96</v>
      </c>
    </row>
    <row r="31300" spans="1:2" x14ac:dyDescent="0.25">
      <c r="A31300" s="74">
        <v>36092</v>
      </c>
      <c r="B31300">
        <v>1.78</v>
      </c>
    </row>
    <row r="31301" spans="1:2" x14ac:dyDescent="0.25">
      <c r="A31301" s="74">
        <v>36093</v>
      </c>
      <c r="B31301">
        <v>1.58</v>
      </c>
    </row>
    <row r="31302" spans="1:2" x14ac:dyDescent="0.25">
      <c r="A31302" s="74">
        <v>36094</v>
      </c>
      <c r="B31302">
        <v>1.54</v>
      </c>
    </row>
    <row r="31303" spans="1:2" x14ac:dyDescent="0.25">
      <c r="A31303" s="74">
        <v>36095</v>
      </c>
      <c r="B31303">
        <v>1.39</v>
      </c>
    </row>
    <row r="31304" spans="1:2" x14ac:dyDescent="0.25">
      <c r="A31304" s="74">
        <v>36096</v>
      </c>
      <c r="B31304">
        <v>1.42</v>
      </c>
    </row>
    <row r="31305" spans="1:2" x14ac:dyDescent="0.25">
      <c r="A31305" s="74">
        <v>36097</v>
      </c>
      <c r="B31305">
        <v>1.34</v>
      </c>
    </row>
    <row r="31306" spans="1:2" x14ac:dyDescent="0.25">
      <c r="A31306" s="74">
        <v>36098</v>
      </c>
      <c r="B31306">
        <v>1.37</v>
      </c>
    </row>
    <row r="31307" spans="1:2" x14ac:dyDescent="0.25">
      <c r="A31307" s="74">
        <v>36099</v>
      </c>
      <c r="B31307">
        <v>1.42</v>
      </c>
    </row>
    <row r="31308" spans="1:2" x14ac:dyDescent="0.25">
      <c r="A31308" s="74">
        <v>36100</v>
      </c>
      <c r="B31308">
        <v>2.87</v>
      </c>
    </row>
    <row r="31309" spans="1:2" x14ac:dyDescent="0.25">
      <c r="A31309" s="74">
        <v>36101</v>
      </c>
      <c r="B31309">
        <v>3.12</v>
      </c>
    </row>
    <row r="31310" spans="1:2" x14ac:dyDescent="0.25">
      <c r="A31310" s="74">
        <v>36102</v>
      </c>
      <c r="B31310">
        <v>4.01</v>
      </c>
    </row>
    <row r="31311" spans="1:2" x14ac:dyDescent="0.25">
      <c r="A31311" s="74">
        <v>36103</v>
      </c>
      <c r="B31311">
        <v>3.85</v>
      </c>
    </row>
    <row r="31312" spans="1:2" x14ac:dyDescent="0.25">
      <c r="A31312" s="74">
        <v>36104</v>
      </c>
      <c r="B31312">
        <v>4.24</v>
      </c>
    </row>
    <row r="31313" spans="1:3" x14ac:dyDescent="0.25">
      <c r="A31313" s="74">
        <v>36105</v>
      </c>
      <c r="B31313">
        <v>3.72</v>
      </c>
    </row>
    <row r="31314" spans="1:3" x14ac:dyDescent="0.25">
      <c r="A31314" s="74">
        <v>36106</v>
      </c>
      <c r="B31314">
        <v>3.2</v>
      </c>
    </row>
    <row r="31315" spans="1:3" x14ac:dyDescent="0.25">
      <c r="A31315" s="74">
        <v>36107</v>
      </c>
      <c r="B31315">
        <v>2.7</v>
      </c>
    </row>
    <row r="31316" spans="1:3" x14ac:dyDescent="0.25">
      <c r="A31316" s="74">
        <v>36108</v>
      </c>
      <c r="B31316">
        <v>2.41</v>
      </c>
    </row>
    <row r="31317" spans="1:3" x14ac:dyDescent="0.25">
      <c r="A31317" s="74">
        <v>36109</v>
      </c>
      <c r="B31317">
        <v>2.19</v>
      </c>
    </row>
    <row r="31318" spans="1:3" x14ac:dyDescent="0.25">
      <c r="A31318" s="74">
        <v>36110</v>
      </c>
      <c r="B31318">
        <v>1.91</v>
      </c>
    </row>
    <row r="31319" spans="1:3" x14ac:dyDescent="0.25">
      <c r="A31319" s="74">
        <v>36111</v>
      </c>
      <c r="B31319">
        <v>7.65</v>
      </c>
      <c r="C31319" t="s">
        <v>140</v>
      </c>
    </row>
    <row r="31320" spans="1:3" x14ac:dyDescent="0.25">
      <c r="A31320" s="74">
        <v>36112</v>
      </c>
      <c r="B31320">
        <v>36.1</v>
      </c>
      <c r="C31320" t="s">
        <v>141</v>
      </c>
    </row>
    <row r="31321" spans="1:3" x14ac:dyDescent="0.25">
      <c r="A31321" s="74">
        <v>36113</v>
      </c>
      <c r="B31321">
        <v>27.5</v>
      </c>
      <c r="C31321" t="s">
        <v>141</v>
      </c>
    </row>
    <row r="31322" spans="1:3" x14ac:dyDescent="0.25">
      <c r="A31322" s="74">
        <v>36114</v>
      </c>
      <c r="B31322">
        <v>128</v>
      </c>
      <c r="C31322" t="s">
        <v>141</v>
      </c>
    </row>
    <row r="31323" spans="1:3" x14ac:dyDescent="0.25">
      <c r="A31323" s="74">
        <v>36115</v>
      </c>
      <c r="B31323">
        <v>65</v>
      </c>
      <c r="C31323" t="s">
        <v>141</v>
      </c>
    </row>
    <row r="31324" spans="1:3" x14ac:dyDescent="0.25">
      <c r="A31324" s="74">
        <v>36116</v>
      </c>
      <c r="B31324">
        <v>34.5</v>
      </c>
      <c r="C31324" t="s">
        <v>141</v>
      </c>
    </row>
    <row r="31325" spans="1:3" x14ac:dyDescent="0.25">
      <c r="A31325" s="74">
        <v>36117</v>
      </c>
      <c r="B31325">
        <v>22.1</v>
      </c>
      <c r="C31325" t="s">
        <v>141</v>
      </c>
    </row>
    <row r="31326" spans="1:3" x14ac:dyDescent="0.25">
      <c r="A31326" s="74">
        <v>36118</v>
      </c>
      <c r="B31326">
        <v>21.3</v>
      </c>
      <c r="C31326" t="s">
        <v>141</v>
      </c>
    </row>
    <row r="31327" spans="1:3" x14ac:dyDescent="0.25">
      <c r="A31327" s="74">
        <v>36119</v>
      </c>
      <c r="B31327">
        <v>85</v>
      </c>
      <c r="C31327" t="s">
        <v>141</v>
      </c>
    </row>
    <row r="31328" spans="1:3" x14ac:dyDescent="0.25">
      <c r="A31328" s="74">
        <v>36120</v>
      </c>
      <c r="B31328">
        <v>58.4</v>
      </c>
      <c r="C31328" t="s">
        <v>141</v>
      </c>
    </row>
    <row r="31329" spans="1:3" x14ac:dyDescent="0.25">
      <c r="A31329" s="74">
        <v>36121</v>
      </c>
      <c r="B31329">
        <v>31.9</v>
      </c>
      <c r="C31329" t="s">
        <v>141</v>
      </c>
    </row>
    <row r="31330" spans="1:3" x14ac:dyDescent="0.25">
      <c r="A31330" s="74">
        <v>36122</v>
      </c>
      <c r="B31330">
        <v>66.599999999999994</v>
      </c>
      <c r="C31330" t="s">
        <v>141</v>
      </c>
    </row>
    <row r="31331" spans="1:3" x14ac:dyDescent="0.25">
      <c r="A31331" s="74">
        <v>36123</v>
      </c>
      <c r="B31331">
        <v>119</v>
      </c>
      <c r="C31331" t="s">
        <v>141</v>
      </c>
    </row>
    <row r="31332" spans="1:3" x14ac:dyDescent="0.25">
      <c r="A31332" s="74">
        <v>36124</v>
      </c>
      <c r="B31332">
        <v>116</v>
      </c>
      <c r="C31332" t="s">
        <v>141</v>
      </c>
    </row>
    <row r="31333" spans="1:3" x14ac:dyDescent="0.25">
      <c r="A31333" s="74">
        <v>36125</v>
      </c>
      <c r="B31333">
        <v>85.4</v>
      </c>
      <c r="C31333" t="s">
        <v>141</v>
      </c>
    </row>
    <row r="31334" spans="1:3" x14ac:dyDescent="0.25">
      <c r="A31334" s="74">
        <v>36126</v>
      </c>
      <c r="B31334">
        <v>64.2</v>
      </c>
      <c r="C31334" t="s">
        <v>141</v>
      </c>
    </row>
    <row r="31335" spans="1:3" x14ac:dyDescent="0.25">
      <c r="A31335" s="74">
        <v>36127</v>
      </c>
      <c r="B31335">
        <v>42.5</v>
      </c>
      <c r="C31335" t="s">
        <v>141</v>
      </c>
    </row>
    <row r="31336" spans="1:3" x14ac:dyDescent="0.25">
      <c r="A31336" s="74">
        <v>36128</v>
      </c>
      <c r="B31336">
        <v>31.7</v>
      </c>
      <c r="C31336" t="s">
        <v>141</v>
      </c>
    </row>
    <row r="31337" spans="1:3" x14ac:dyDescent="0.25">
      <c r="A31337" s="74">
        <v>36129</v>
      </c>
      <c r="B31337">
        <v>30.4</v>
      </c>
      <c r="C31337" t="s">
        <v>141</v>
      </c>
    </row>
    <row r="31338" spans="1:3" x14ac:dyDescent="0.25">
      <c r="A31338" s="74">
        <v>36130</v>
      </c>
      <c r="B31338">
        <v>42.2</v>
      </c>
      <c r="C31338" t="s">
        <v>141</v>
      </c>
    </row>
    <row r="31339" spans="1:3" x14ac:dyDescent="0.25">
      <c r="A31339" s="74">
        <v>36131</v>
      </c>
      <c r="B31339">
        <v>38.5</v>
      </c>
      <c r="C31339" t="s">
        <v>141</v>
      </c>
    </row>
    <row r="31340" spans="1:3" x14ac:dyDescent="0.25">
      <c r="A31340" s="74">
        <v>36132</v>
      </c>
      <c r="B31340">
        <v>33.1</v>
      </c>
      <c r="C31340" t="s">
        <v>141</v>
      </c>
    </row>
    <row r="31341" spans="1:3" x14ac:dyDescent="0.25">
      <c r="A31341" s="74">
        <v>36133</v>
      </c>
      <c r="B31341">
        <v>28.7</v>
      </c>
      <c r="C31341" t="s">
        <v>141</v>
      </c>
    </row>
    <row r="31342" spans="1:3" x14ac:dyDescent="0.25">
      <c r="A31342" s="74">
        <v>36134</v>
      </c>
      <c r="B31342">
        <v>30</v>
      </c>
      <c r="C31342" t="s">
        <v>141</v>
      </c>
    </row>
    <row r="31343" spans="1:3" x14ac:dyDescent="0.25">
      <c r="A31343" s="74">
        <v>36135</v>
      </c>
      <c r="B31343">
        <v>28.5</v>
      </c>
      <c r="C31343" t="s">
        <v>141</v>
      </c>
    </row>
    <row r="31344" spans="1:3" x14ac:dyDescent="0.25">
      <c r="A31344" s="74">
        <v>36136</v>
      </c>
      <c r="B31344">
        <v>24.6</v>
      </c>
      <c r="C31344" t="s">
        <v>140</v>
      </c>
    </row>
    <row r="31345" spans="1:2" x14ac:dyDescent="0.25">
      <c r="A31345" s="74">
        <v>36137</v>
      </c>
      <c r="B31345">
        <v>22</v>
      </c>
    </row>
    <row r="31346" spans="1:2" x14ac:dyDescent="0.25">
      <c r="A31346" s="74">
        <v>36138</v>
      </c>
      <c r="B31346">
        <v>16.100000000000001</v>
      </c>
    </row>
    <row r="31347" spans="1:2" x14ac:dyDescent="0.25">
      <c r="A31347" s="74">
        <v>36139</v>
      </c>
      <c r="B31347">
        <v>29.2</v>
      </c>
    </row>
    <row r="31348" spans="1:2" x14ac:dyDescent="0.25">
      <c r="A31348" s="74">
        <v>36140</v>
      </c>
      <c r="B31348">
        <v>29</v>
      </c>
    </row>
    <row r="31349" spans="1:2" x14ac:dyDescent="0.25">
      <c r="A31349" s="74">
        <v>36141</v>
      </c>
      <c r="B31349">
        <v>143</v>
      </c>
    </row>
    <row r="31350" spans="1:2" x14ac:dyDescent="0.25">
      <c r="A31350" s="74">
        <v>36142</v>
      </c>
      <c r="B31350">
        <v>215</v>
      </c>
    </row>
    <row r="31351" spans="1:2" x14ac:dyDescent="0.25">
      <c r="A31351" s="74">
        <v>36143</v>
      </c>
      <c r="B31351">
        <v>76.400000000000006</v>
      </c>
    </row>
    <row r="31352" spans="1:2" x14ac:dyDescent="0.25">
      <c r="A31352" s="74">
        <v>36144</v>
      </c>
      <c r="B31352">
        <v>53.1</v>
      </c>
    </row>
    <row r="31353" spans="1:2" x14ac:dyDescent="0.25">
      <c r="A31353" s="74">
        <v>36145</v>
      </c>
      <c r="B31353">
        <v>43.1</v>
      </c>
    </row>
    <row r="31354" spans="1:2" x14ac:dyDescent="0.25">
      <c r="A31354" s="74">
        <v>36146</v>
      </c>
      <c r="B31354">
        <v>39.5</v>
      </c>
    </row>
    <row r="31355" spans="1:2" x14ac:dyDescent="0.25">
      <c r="A31355" s="74">
        <v>36147</v>
      </c>
      <c r="B31355">
        <v>28</v>
      </c>
    </row>
    <row r="31356" spans="1:2" x14ac:dyDescent="0.25">
      <c r="A31356" s="74">
        <v>36148</v>
      </c>
      <c r="B31356">
        <v>20.6</v>
      </c>
    </row>
    <row r="31357" spans="1:2" x14ac:dyDescent="0.25">
      <c r="A31357" s="74">
        <v>36149</v>
      </c>
      <c r="B31357">
        <v>15.9</v>
      </c>
    </row>
    <row r="31358" spans="1:2" x14ac:dyDescent="0.25">
      <c r="A31358" s="74">
        <v>36150</v>
      </c>
      <c r="B31358">
        <v>13.5</v>
      </c>
    </row>
    <row r="31359" spans="1:2" x14ac:dyDescent="0.25">
      <c r="A31359" s="74">
        <v>36151</v>
      </c>
      <c r="B31359">
        <v>11.3</v>
      </c>
    </row>
    <row r="31360" spans="1:2" x14ac:dyDescent="0.25">
      <c r="A31360" s="74">
        <v>36152</v>
      </c>
      <c r="B31360">
        <v>10.199999999999999</v>
      </c>
    </row>
    <row r="31361" spans="1:2" x14ac:dyDescent="0.25">
      <c r="A31361" s="74">
        <v>36153</v>
      </c>
      <c r="B31361">
        <v>9.27</v>
      </c>
    </row>
    <row r="31362" spans="1:2" x14ac:dyDescent="0.25">
      <c r="A31362" s="74">
        <v>36154</v>
      </c>
      <c r="B31362">
        <v>9.44</v>
      </c>
    </row>
    <row r="31363" spans="1:2" x14ac:dyDescent="0.25">
      <c r="A31363" s="74">
        <v>36155</v>
      </c>
      <c r="B31363">
        <v>10.6</v>
      </c>
    </row>
    <row r="31364" spans="1:2" x14ac:dyDescent="0.25">
      <c r="A31364" s="74">
        <v>36156</v>
      </c>
      <c r="B31364">
        <v>11</v>
      </c>
    </row>
    <row r="31365" spans="1:2" x14ac:dyDescent="0.25">
      <c r="A31365" s="74">
        <v>36157</v>
      </c>
      <c r="B31365">
        <v>26.1</v>
      </c>
    </row>
    <row r="31366" spans="1:2" x14ac:dyDescent="0.25">
      <c r="A31366" s="74">
        <v>36158</v>
      </c>
      <c r="B31366">
        <v>53.9</v>
      </c>
    </row>
    <row r="31367" spans="1:2" x14ac:dyDescent="0.25">
      <c r="A31367" s="74">
        <v>36159</v>
      </c>
      <c r="B31367">
        <v>48</v>
      </c>
    </row>
    <row r="31368" spans="1:2" x14ac:dyDescent="0.25">
      <c r="A31368" s="74">
        <v>36160</v>
      </c>
      <c r="B31368">
        <v>42.5</v>
      </c>
    </row>
    <row r="31369" spans="1:2" x14ac:dyDescent="0.25">
      <c r="A31369" s="74">
        <v>36161</v>
      </c>
      <c r="B31369">
        <v>30.9</v>
      </c>
    </row>
    <row r="31370" spans="1:2" x14ac:dyDescent="0.25">
      <c r="A31370" s="74">
        <v>36162</v>
      </c>
      <c r="B31370">
        <v>21.9</v>
      </c>
    </row>
    <row r="31371" spans="1:2" x14ac:dyDescent="0.25">
      <c r="A31371" s="74">
        <v>36163</v>
      </c>
      <c r="B31371">
        <v>17.100000000000001</v>
      </c>
    </row>
    <row r="31372" spans="1:2" x14ac:dyDescent="0.25">
      <c r="A31372" s="74">
        <v>36164</v>
      </c>
      <c r="B31372">
        <v>14.2</v>
      </c>
    </row>
    <row r="31373" spans="1:2" x14ac:dyDescent="0.25">
      <c r="A31373" s="74">
        <v>36165</v>
      </c>
      <c r="B31373">
        <v>12.3</v>
      </c>
    </row>
    <row r="31374" spans="1:2" x14ac:dyDescent="0.25">
      <c r="A31374" s="74">
        <v>36166</v>
      </c>
      <c r="B31374">
        <v>11.2</v>
      </c>
    </row>
    <row r="31375" spans="1:2" x14ac:dyDescent="0.25">
      <c r="A31375" s="74">
        <v>36167</v>
      </c>
      <c r="B31375">
        <v>10.3</v>
      </c>
    </row>
    <row r="31376" spans="1:2" x14ac:dyDescent="0.25">
      <c r="A31376" s="74">
        <v>36168</v>
      </c>
      <c r="B31376">
        <v>9.42</v>
      </c>
    </row>
    <row r="31377" spans="1:2" x14ac:dyDescent="0.25">
      <c r="A31377" s="74">
        <v>36169</v>
      </c>
      <c r="B31377">
        <v>13.2</v>
      </c>
    </row>
    <row r="31378" spans="1:2" x14ac:dyDescent="0.25">
      <c r="A31378" s="74">
        <v>36170</v>
      </c>
      <c r="B31378">
        <v>19.8</v>
      </c>
    </row>
    <row r="31379" spans="1:2" x14ac:dyDescent="0.25">
      <c r="A31379" s="74">
        <v>36171</v>
      </c>
      <c r="B31379">
        <v>27.9</v>
      </c>
    </row>
    <row r="31380" spans="1:2" x14ac:dyDescent="0.25">
      <c r="A31380" s="74">
        <v>36172</v>
      </c>
      <c r="B31380">
        <v>23.8</v>
      </c>
    </row>
    <row r="31381" spans="1:2" x14ac:dyDescent="0.25">
      <c r="A31381" s="74">
        <v>36173</v>
      </c>
      <c r="B31381">
        <v>23.1</v>
      </c>
    </row>
    <row r="31382" spans="1:2" x14ac:dyDescent="0.25">
      <c r="A31382" s="74">
        <v>36174</v>
      </c>
      <c r="B31382">
        <v>194</v>
      </c>
    </row>
    <row r="31383" spans="1:2" x14ac:dyDescent="0.25">
      <c r="A31383" s="74">
        <v>36175</v>
      </c>
      <c r="B31383">
        <v>83.2</v>
      </c>
    </row>
    <row r="31384" spans="1:2" x14ac:dyDescent="0.25">
      <c r="A31384" s="74">
        <v>36176</v>
      </c>
      <c r="B31384">
        <v>45.7</v>
      </c>
    </row>
    <row r="31385" spans="1:2" x14ac:dyDescent="0.25">
      <c r="A31385" s="74">
        <v>36177</v>
      </c>
      <c r="B31385">
        <v>32.799999999999997</v>
      </c>
    </row>
    <row r="31386" spans="1:2" x14ac:dyDescent="0.25">
      <c r="A31386" s="74">
        <v>36178</v>
      </c>
      <c r="B31386">
        <v>49.2</v>
      </c>
    </row>
    <row r="31387" spans="1:2" x14ac:dyDescent="0.25">
      <c r="A31387" s="74">
        <v>36179</v>
      </c>
      <c r="B31387">
        <v>64.8</v>
      </c>
    </row>
    <row r="31388" spans="1:2" x14ac:dyDescent="0.25">
      <c r="A31388" s="74">
        <v>36180</v>
      </c>
      <c r="B31388">
        <v>41</v>
      </c>
    </row>
    <row r="31389" spans="1:2" x14ac:dyDescent="0.25">
      <c r="A31389" s="74">
        <v>36181</v>
      </c>
      <c r="B31389">
        <v>31.3</v>
      </c>
    </row>
    <row r="31390" spans="1:2" x14ac:dyDescent="0.25">
      <c r="A31390" s="74">
        <v>36182</v>
      </c>
      <c r="B31390">
        <v>25</v>
      </c>
    </row>
    <row r="31391" spans="1:2" x14ac:dyDescent="0.25">
      <c r="A31391" s="74">
        <v>36183</v>
      </c>
      <c r="B31391">
        <v>20.6</v>
      </c>
    </row>
    <row r="31392" spans="1:2" x14ac:dyDescent="0.25">
      <c r="A31392" s="74">
        <v>36184</v>
      </c>
      <c r="B31392">
        <v>17</v>
      </c>
    </row>
    <row r="31393" spans="1:2" x14ac:dyDescent="0.25">
      <c r="A31393" s="74">
        <v>36185</v>
      </c>
      <c r="B31393">
        <v>14.6</v>
      </c>
    </row>
    <row r="31394" spans="1:2" x14ac:dyDescent="0.25">
      <c r="A31394" s="74">
        <v>36186</v>
      </c>
      <c r="B31394">
        <v>13</v>
      </c>
    </row>
    <row r="31395" spans="1:2" x14ac:dyDescent="0.25">
      <c r="A31395" s="74">
        <v>36187</v>
      </c>
      <c r="B31395">
        <v>13.2</v>
      </c>
    </row>
    <row r="31396" spans="1:2" x14ac:dyDescent="0.25">
      <c r="A31396" s="74">
        <v>36188</v>
      </c>
      <c r="B31396">
        <v>18.3</v>
      </c>
    </row>
    <row r="31397" spans="1:2" x14ac:dyDescent="0.25">
      <c r="A31397" s="74">
        <v>36189</v>
      </c>
      <c r="B31397">
        <v>145</v>
      </c>
    </row>
    <row r="31398" spans="1:2" x14ac:dyDescent="0.25">
      <c r="A31398" s="74">
        <v>36190</v>
      </c>
      <c r="B31398">
        <v>70</v>
      </c>
    </row>
    <row r="31399" spans="1:2" x14ac:dyDescent="0.25">
      <c r="A31399" s="74">
        <v>36191</v>
      </c>
      <c r="B31399">
        <v>36.6</v>
      </c>
    </row>
    <row r="31400" spans="1:2" x14ac:dyDescent="0.25">
      <c r="A31400" s="74">
        <v>36192</v>
      </c>
      <c r="B31400">
        <v>30.1</v>
      </c>
    </row>
    <row r="31401" spans="1:2" x14ac:dyDescent="0.25">
      <c r="A31401" s="74">
        <v>36193</v>
      </c>
      <c r="B31401">
        <v>66.599999999999994</v>
      </c>
    </row>
    <row r="31402" spans="1:2" x14ac:dyDescent="0.25">
      <c r="A31402" s="74">
        <v>36194</v>
      </c>
      <c r="B31402">
        <v>47.5</v>
      </c>
    </row>
    <row r="31403" spans="1:2" x14ac:dyDescent="0.25">
      <c r="A31403" s="74">
        <v>36195</v>
      </c>
      <c r="B31403">
        <v>32.799999999999997</v>
      </c>
    </row>
    <row r="31404" spans="1:2" x14ac:dyDescent="0.25">
      <c r="A31404" s="74">
        <v>36196</v>
      </c>
      <c r="B31404">
        <v>29.4</v>
      </c>
    </row>
    <row r="31405" spans="1:2" x14ac:dyDescent="0.25">
      <c r="A31405" s="74">
        <v>36197</v>
      </c>
      <c r="B31405">
        <v>47.7</v>
      </c>
    </row>
    <row r="31406" spans="1:2" x14ac:dyDescent="0.25">
      <c r="A31406" s="74">
        <v>36198</v>
      </c>
      <c r="B31406">
        <v>39.4</v>
      </c>
    </row>
    <row r="31407" spans="1:2" x14ac:dyDescent="0.25">
      <c r="A31407" s="74">
        <v>36199</v>
      </c>
      <c r="B31407">
        <v>27.4</v>
      </c>
    </row>
    <row r="31408" spans="1:2" x14ac:dyDescent="0.25">
      <c r="A31408" s="74">
        <v>36200</v>
      </c>
      <c r="B31408">
        <v>20.9</v>
      </c>
    </row>
    <row r="31409" spans="1:2" x14ac:dyDescent="0.25">
      <c r="A31409" s="74">
        <v>36201</v>
      </c>
      <c r="B31409">
        <v>16.8</v>
      </c>
    </row>
    <row r="31410" spans="1:2" x14ac:dyDescent="0.25">
      <c r="A31410" s="74">
        <v>36202</v>
      </c>
      <c r="B31410">
        <v>15.4</v>
      </c>
    </row>
    <row r="31411" spans="1:2" x14ac:dyDescent="0.25">
      <c r="A31411" s="74">
        <v>36203</v>
      </c>
      <c r="B31411">
        <v>22.5</v>
      </c>
    </row>
    <row r="31412" spans="1:2" x14ac:dyDescent="0.25">
      <c r="A31412" s="74">
        <v>36204</v>
      </c>
      <c r="B31412">
        <v>50.3</v>
      </c>
    </row>
    <row r="31413" spans="1:2" x14ac:dyDescent="0.25">
      <c r="A31413" s="74">
        <v>36205</v>
      </c>
      <c r="B31413">
        <v>33</v>
      </c>
    </row>
    <row r="31414" spans="1:2" x14ac:dyDescent="0.25">
      <c r="A31414" s="74">
        <v>36206</v>
      </c>
      <c r="B31414">
        <v>22.9</v>
      </c>
    </row>
    <row r="31415" spans="1:2" x14ac:dyDescent="0.25">
      <c r="A31415" s="74">
        <v>36207</v>
      </c>
      <c r="B31415">
        <v>38.5</v>
      </c>
    </row>
    <row r="31416" spans="1:2" x14ac:dyDescent="0.25">
      <c r="A31416" s="74">
        <v>36208</v>
      </c>
      <c r="B31416">
        <v>49.1</v>
      </c>
    </row>
    <row r="31417" spans="1:2" x14ac:dyDescent="0.25">
      <c r="A31417" s="74">
        <v>36209</v>
      </c>
      <c r="B31417">
        <v>33.299999999999997</v>
      </c>
    </row>
    <row r="31418" spans="1:2" x14ac:dyDescent="0.25">
      <c r="A31418" s="74">
        <v>36210</v>
      </c>
      <c r="B31418">
        <v>24.1</v>
      </c>
    </row>
    <row r="31419" spans="1:2" x14ac:dyDescent="0.25">
      <c r="A31419" s="74">
        <v>36211</v>
      </c>
      <c r="B31419">
        <v>19.399999999999999</v>
      </c>
    </row>
    <row r="31420" spans="1:2" x14ac:dyDescent="0.25">
      <c r="A31420" s="74">
        <v>36212</v>
      </c>
      <c r="B31420">
        <v>19.899999999999999</v>
      </c>
    </row>
    <row r="31421" spans="1:2" x14ac:dyDescent="0.25">
      <c r="A31421" s="74">
        <v>36213</v>
      </c>
      <c r="B31421">
        <v>40.1</v>
      </c>
    </row>
    <row r="31422" spans="1:2" x14ac:dyDescent="0.25">
      <c r="A31422" s="74">
        <v>36214</v>
      </c>
      <c r="B31422">
        <v>41.5</v>
      </c>
    </row>
    <row r="31423" spans="1:2" x14ac:dyDescent="0.25">
      <c r="A31423" s="74">
        <v>36215</v>
      </c>
      <c r="B31423">
        <v>90.1</v>
      </c>
    </row>
    <row r="31424" spans="1:2" x14ac:dyDescent="0.25">
      <c r="A31424" s="74">
        <v>36216</v>
      </c>
      <c r="B31424">
        <v>74.8</v>
      </c>
    </row>
    <row r="31425" spans="1:2" x14ac:dyDescent="0.25">
      <c r="A31425" s="74">
        <v>36217</v>
      </c>
      <c r="B31425">
        <v>45.6</v>
      </c>
    </row>
    <row r="31426" spans="1:2" x14ac:dyDescent="0.25">
      <c r="A31426" s="74">
        <v>36218</v>
      </c>
      <c r="B31426">
        <v>33.200000000000003</v>
      </c>
    </row>
    <row r="31427" spans="1:2" x14ac:dyDescent="0.25">
      <c r="A31427" s="74">
        <v>36219</v>
      </c>
      <c r="B31427">
        <v>48.1</v>
      </c>
    </row>
    <row r="31428" spans="1:2" x14ac:dyDescent="0.25">
      <c r="A31428" s="74">
        <v>36220</v>
      </c>
      <c r="B31428">
        <v>43.8</v>
      </c>
    </row>
    <row r="31429" spans="1:2" x14ac:dyDescent="0.25">
      <c r="A31429" s="74">
        <v>36221</v>
      </c>
      <c r="B31429">
        <v>33.200000000000003</v>
      </c>
    </row>
    <row r="31430" spans="1:2" x14ac:dyDescent="0.25">
      <c r="A31430" s="74">
        <v>36222</v>
      </c>
      <c r="B31430">
        <v>35.1</v>
      </c>
    </row>
    <row r="31431" spans="1:2" x14ac:dyDescent="0.25">
      <c r="A31431" s="74">
        <v>36223</v>
      </c>
      <c r="B31431">
        <v>33.9</v>
      </c>
    </row>
    <row r="31432" spans="1:2" x14ac:dyDescent="0.25">
      <c r="A31432" s="74">
        <v>36224</v>
      </c>
      <c r="B31432">
        <v>24.3</v>
      </c>
    </row>
    <row r="31433" spans="1:2" x14ac:dyDescent="0.25">
      <c r="A31433" s="74">
        <v>36225</v>
      </c>
      <c r="B31433">
        <v>19.399999999999999</v>
      </c>
    </row>
    <row r="31434" spans="1:2" x14ac:dyDescent="0.25">
      <c r="A31434" s="74">
        <v>36226</v>
      </c>
      <c r="B31434">
        <v>16.3</v>
      </c>
    </row>
    <row r="31435" spans="1:2" x14ac:dyDescent="0.25">
      <c r="A31435" s="74">
        <v>36227</v>
      </c>
      <c r="B31435">
        <v>14.4</v>
      </c>
    </row>
    <row r="31436" spans="1:2" x14ac:dyDescent="0.25">
      <c r="A31436" s="74">
        <v>36228</v>
      </c>
      <c r="B31436">
        <v>13.5</v>
      </c>
    </row>
    <row r="31437" spans="1:2" x14ac:dyDescent="0.25">
      <c r="A31437" s="74">
        <v>36229</v>
      </c>
      <c r="B31437">
        <v>12.5</v>
      </c>
    </row>
    <row r="31438" spans="1:2" x14ac:dyDescent="0.25">
      <c r="A31438" s="74">
        <v>36230</v>
      </c>
      <c r="B31438">
        <v>12</v>
      </c>
    </row>
    <row r="31439" spans="1:2" x14ac:dyDescent="0.25">
      <c r="A31439" s="74">
        <v>36231</v>
      </c>
      <c r="B31439">
        <v>12.1</v>
      </c>
    </row>
    <row r="31440" spans="1:2" x14ac:dyDescent="0.25">
      <c r="A31440" s="74">
        <v>36232</v>
      </c>
      <c r="B31440">
        <v>20.5</v>
      </c>
    </row>
    <row r="31441" spans="1:2" x14ac:dyDescent="0.25">
      <c r="A31441" s="74">
        <v>36233</v>
      </c>
      <c r="B31441">
        <v>28.1</v>
      </c>
    </row>
    <row r="31442" spans="1:2" x14ac:dyDescent="0.25">
      <c r="A31442" s="74">
        <v>36234</v>
      </c>
      <c r="B31442">
        <v>22.7</v>
      </c>
    </row>
    <row r="31443" spans="1:2" x14ac:dyDescent="0.25">
      <c r="A31443" s="74">
        <v>36235</v>
      </c>
      <c r="B31443">
        <v>18.600000000000001</v>
      </c>
    </row>
    <row r="31444" spans="1:2" x14ac:dyDescent="0.25">
      <c r="A31444" s="74">
        <v>36236</v>
      </c>
      <c r="B31444">
        <v>15.7</v>
      </c>
    </row>
    <row r="31445" spans="1:2" x14ac:dyDescent="0.25">
      <c r="A31445" s="74">
        <v>36237</v>
      </c>
      <c r="B31445">
        <v>14</v>
      </c>
    </row>
    <row r="31446" spans="1:2" x14ac:dyDescent="0.25">
      <c r="A31446" s="74">
        <v>36238</v>
      </c>
      <c r="B31446">
        <v>12.8</v>
      </c>
    </row>
    <row r="31447" spans="1:2" x14ac:dyDescent="0.25">
      <c r="A31447" s="74">
        <v>36239</v>
      </c>
      <c r="B31447">
        <v>13.3</v>
      </c>
    </row>
    <row r="31448" spans="1:2" x14ac:dyDescent="0.25">
      <c r="A31448" s="74">
        <v>36240</v>
      </c>
      <c r="B31448">
        <v>18.100000000000001</v>
      </c>
    </row>
    <row r="31449" spans="1:2" x14ac:dyDescent="0.25">
      <c r="A31449" s="74">
        <v>36241</v>
      </c>
      <c r="B31449">
        <v>27</v>
      </c>
    </row>
    <row r="31450" spans="1:2" x14ac:dyDescent="0.25">
      <c r="A31450" s="74">
        <v>36242</v>
      </c>
      <c r="B31450">
        <v>31.8</v>
      </c>
    </row>
    <row r="31451" spans="1:2" x14ac:dyDescent="0.25">
      <c r="A31451" s="74">
        <v>36243</v>
      </c>
      <c r="B31451">
        <v>29.9</v>
      </c>
    </row>
    <row r="31452" spans="1:2" x14ac:dyDescent="0.25">
      <c r="A31452" s="74">
        <v>36244</v>
      </c>
      <c r="B31452">
        <v>27.3</v>
      </c>
    </row>
    <row r="31453" spans="1:2" x14ac:dyDescent="0.25">
      <c r="A31453" s="74">
        <v>36245</v>
      </c>
      <c r="B31453">
        <v>22.9</v>
      </c>
    </row>
    <row r="31454" spans="1:2" x14ac:dyDescent="0.25">
      <c r="A31454" s="74">
        <v>36246</v>
      </c>
      <c r="B31454">
        <v>18.600000000000001</v>
      </c>
    </row>
    <row r="31455" spans="1:2" x14ac:dyDescent="0.25">
      <c r="A31455" s="74">
        <v>36247</v>
      </c>
      <c r="B31455">
        <v>15.9</v>
      </c>
    </row>
    <row r="31456" spans="1:2" x14ac:dyDescent="0.25">
      <c r="A31456" s="74">
        <v>36248</v>
      </c>
      <c r="B31456">
        <v>17.600000000000001</v>
      </c>
    </row>
    <row r="31457" spans="1:2" x14ac:dyDescent="0.25">
      <c r="A31457" s="74">
        <v>36249</v>
      </c>
      <c r="B31457">
        <v>20.9</v>
      </c>
    </row>
    <row r="31458" spans="1:2" x14ac:dyDescent="0.25">
      <c r="A31458" s="74">
        <v>36250</v>
      </c>
      <c r="B31458">
        <v>17.3</v>
      </c>
    </row>
    <row r="31459" spans="1:2" x14ac:dyDescent="0.25">
      <c r="A31459" s="74">
        <v>36251</v>
      </c>
      <c r="B31459">
        <v>14.5</v>
      </c>
    </row>
    <row r="31460" spans="1:2" x14ac:dyDescent="0.25">
      <c r="A31460" s="74">
        <v>36252</v>
      </c>
      <c r="B31460">
        <v>13</v>
      </c>
    </row>
    <row r="31461" spans="1:2" x14ac:dyDescent="0.25">
      <c r="A31461" s="74">
        <v>36253</v>
      </c>
      <c r="B31461">
        <v>12.2</v>
      </c>
    </row>
    <row r="31462" spans="1:2" x14ac:dyDescent="0.25">
      <c r="A31462" s="74">
        <v>36254</v>
      </c>
      <c r="B31462">
        <v>11.1</v>
      </c>
    </row>
    <row r="31463" spans="1:2" x14ac:dyDescent="0.25">
      <c r="A31463" s="74">
        <v>36255</v>
      </c>
      <c r="B31463">
        <v>10.3</v>
      </c>
    </row>
    <row r="31464" spans="1:2" x14ac:dyDescent="0.25">
      <c r="A31464" s="74">
        <v>36256</v>
      </c>
      <c r="B31464">
        <v>9.56</v>
      </c>
    </row>
    <row r="31465" spans="1:2" x14ac:dyDescent="0.25">
      <c r="A31465" s="74">
        <v>36257</v>
      </c>
      <c r="B31465">
        <v>9.91</v>
      </c>
    </row>
    <row r="31466" spans="1:2" x14ac:dyDescent="0.25">
      <c r="A31466" s="74">
        <v>36258</v>
      </c>
      <c r="B31466">
        <v>12.5</v>
      </c>
    </row>
    <row r="31467" spans="1:2" x14ac:dyDescent="0.25">
      <c r="A31467" s="74">
        <v>36259</v>
      </c>
      <c r="B31467">
        <v>12</v>
      </c>
    </row>
    <row r="31468" spans="1:2" x14ac:dyDescent="0.25">
      <c r="A31468" s="74">
        <v>36260</v>
      </c>
      <c r="B31468">
        <v>11.1</v>
      </c>
    </row>
    <row r="31469" spans="1:2" x14ac:dyDescent="0.25">
      <c r="A31469" s="74">
        <v>36261</v>
      </c>
      <c r="B31469">
        <v>10.199999999999999</v>
      </c>
    </row>
    <row r="31470" spans="1:2" x14ac:dyDescent="0.25">
      <c r="A31470" s="74">
        <v>36262</v>
      </c>
      <c r="B31470">
        <v>11.8</v>
      </c>
    </row>
    <row r="31471" spans="1:2" x14ac:dyDescent="0.25">
      <c r="A31471" s="74">
        <v>36263</v>
      </c>
      <c r="B31471">
        <v>14.3</v>
      </c>
    </row>
    <row r="31472" spans="1:2" x14ac:dyDescent="0.25">
      <c r="A31472" s="74">
        <v>36264</v>
      </c>
      <c r="B31472">
        <v>13.6</v>
      </c>
    </row>
    <row r="31473" spans="1:2" x14ac:dyDescent="0.25">
      <c r="A31473" s="74">
        <v>36265</v>
      </c>
      <c r="B31473">
        <v>13.6</v>
      </c>
    </row>
    <row r="31474" spans="1:2" x14ac:dyDescent="0.25">
      <c r="A31474" s="74">
        <v>36266</v>
      </c>
      <c r="B31474">
        <v>16.899999999999999</v>
      </c>
    </row>
    <row r="31475" spans="1:2" x14ac:dyDescent="0.25">
      <c r="A31475" s="74">
        <v>36267</v>
      </c>
      <c r="B31475">
        <v>24</v>
      </c>
    </row>
    <row r="31476" spans="1:2" x14ac:dyDescent="0.25">
      <c r="A31476" s="74">
        <v>36268</v>
      </c>
      <c r="B31476">
        <v>28.1</v>
      </c>
    </row>
    <row r="31477" spans="1:2" x14ac:dyDescent="0.25">
      <c r="A31477" s="74">
        <v>36269</v>
      </c>
      <c r="B31477">
        <v>26.3</v>
      </c>
    </row>
    <row r="31478" spans="1:2" x14ac:dyDescent="0.25">
      <c r="A31478" s="74">
        <v>36270</v>
      </c>
      <c r="B31478">
        <v>24.9</v>
      </c>
    </row>
    <row r="31479" spans="1:2" x14ac:dyDescent="0.25">
      <c r="A31479" s="74">
        <v>36271</v>
      </c>
      <c r="B31479">
        <v>21.8</v>
      </c>
    </row>
    <row r="31480" spans="1:2" x14ac:dyDescent="0.25">
      <c r="A31480" s="74">
        <v>36272</v>
      </c>
      <c r="B31480">
        <v>19.7</v>
      </c>
    </row>
    <row r="31481" spans="1:2" x14ac:dyDescent="0.25">
      <c r="A31481" s="74">
        <v>36273</v>
      </c>
      <c r="B31481">
        <v>21.1</v>
      </c>
    </row>
    <row r="31482" spans="1:2" x14ac:dyDescent="0.25">
      <c r="A31482" s="74">
        <v>36274</v>
      </c>
      <c r="B31482">
        <v>26.9</v>
      </c>
    </row>
    <row r="31483" spans="1:2" x14ac:dyDescent="0.25">
      <c r="A31483" s="74">
        <v>36275</v>
      </c>
      <c r="B31483">
        <v>35.9</v>
      </c>
    </row>
    <row r="31484" spans="1:2" x14ac:dyDescent="0.25">
      <c r="A31484" s="74">
        <v>36276</v>
      </c>
      <c r="B31484">
        <v>27.8</v>
      </c>
    </row>
    <row r="31485" spans="1:2" x14ac:dyDescent="0.25">
      <c r="A31485" s="74">
        <v>36277</v>
      </c>
      <c r="B31485">
        <v>20.5</v>
      </c>
    </row>
    <row r="31486" spans="1:2" x14ac:dyDescent="0.25">
      <c r="A31486" s="74">
        <v>36278</v>
      </c>
      <c r="B31486">
        <v>16.8</v>
      </c>
    </row>
    <row r="31487" spans="1:2" x14ac:dyDescent="0.25">
      <c r="A31487" s="74">
        <v>36279</v>
      </c>
      <c r="B31487">
        <v>16.2</v>
      </c>
    </row>
    <row r="31488" spans="1:2" x14ac:dyDescent="0.25">
      <c r="A31488" s="74">
        <v>36280</v>
      </c>
      <c r="B31488">
        <v>17.8</v>
      </c>
    </row>
    <row r="31489" spans="1:2" x14ac:dyDescent="0.25">
      <c r="A31489" s="74">
        <v>36281</v>
      </c>
      <c r="B31489">
        <v>19.8</v>
      </c>
    </row>
    <row r="31490" spans="1:2" x14ac:dyDescent="0.25">
      <c r="A31490" s="74">
        <v>36282</v>
      </c>
      <c r="B31490">
        <v>20.7</v>
      </c>
    </row>
    <row r="31491" spans="1:2" x14ac:dyDescent="0.25">
      <c r="A31491" s="74">
        <v>36283</v>
      </c>
      <c r="B31491">
        <v>19.2</v>
      </c>
    </row>
    <row r="31492" spans="1:2" x14ac:dyDescent="0.25">
      <c r="A31492" s="74">
        <v>36284</v>
      </c>
      <c r="B31492">
        <v>16.2</v>
      </c>
    </row>
    <row r="31493" spans="1:2" x14ac:dyDescent="0.25">
      <c r="A31493" s="74">
        <v>36285</v>
      </c>
      <c r="B31493">
        <v>13.8</v>
      </c>
    </row>
    <row r="31494" spans="1:2" x14ac:dyDescent="0.25">
      <c r="A31494" s="74">
        <v>36286</v>
      </c>
      <c r="B31494">
        <v>14</v>
      </c>
    </row>
    <row r="31495" spans="1:2" x14ac:dyDescent="0.25">
      <c r="A31495" s="74">
        <v>36287</v>
      </c>
      <c r="B31495">
        <v>18.8</v>
      </c>
    </row>
    <row r="31496" spans="1:2" x14ac:dyDescent="0.25">
      <c r="A31496" s="74">
        <v>36288</v>
      </c>
      <c r="B31496">
        <v>15.3</v>
      </c>
    </row>
    <row r="31497" spans="1:2" x14ac:dyDescent="0.25">
      <c r="A31497" s="74">
        <v>36289</v>
      </c>
      <c r="B31497">
        <v>13</v>
      </c>
    </row>
    <row r="31498" spans="1:2" x14ac:dyDescent="0.25">
      <c r="A31498" s="74">
        <v>36290</v>
      </c>
      <c r="B31498">
        <v>11.5</v>
      </c>
    </row>
    <row r="31499" spans="1:2" x14ac:dyDescent="0.25">
      <c r="A31499" s="74">
        <v>36291</v>
      </c>
      <c r="B31499">
        <v>11.4</v>
      </c>
    </row>
    <row r="31500" spans="1:2" x14ac:dyDescent="0.25">
      <c r="A31500" s="74">
        <v>36292</v>
      </c>
      <c r="B31500">
        <v>13.1</v>
      </c>
    </row>
    <row r="31501" spans="1:2" x14ac:dyDescent="0.25">
      <c r="A31501" s="74">
        <v>36293</v>
      </c>
      <c r="B31501">
        <v>13.7</v>
      </c>
    </row>
    <row r="31502" spans="1:2" x14ac:dyDescent="0.25">
      <c r="A31502" s="74">
        <v>36294</v>
      </c>
      <c r="B31502">
        <v>13.6</v>
      </c>
    </row>
    <row r="31503" spans="1:2" x14ac:dyDescent="0.25">
      <c r="A31503" s="74">
        <v>36295</v>
      </c>
      <c r="B31503">
        <v>13.5</v>
      </c>
    </row>
    <row r="31504" spans="1:2" x14ac:dyDescent="0.25">
      <c r="A31504" s="74">
        <v>36296</v>
      </c>
      <c r="B31504">
        <v>15.9</v>
      </c>
    </row>
    <row r="31505" spans="1:2" x14ac:dyDescent="0.25">
      <c r="A31505" s="74">
        <v>36297</v>
      </c>
      <c r="B31505">
        <v>17.5</v>
      </c>
    </row>
    <row r="31506" spans="1:2" x14ac:dyDescent="0.25">
      <c r="A31506" s="74">
        <v>36298</v>
      </c>
      <c r="B31506">
        <v>20.399999999999999</v>
      </c>
    </row>
    <row r="31507" spans="1:2" x14ac:dyDescent="0.25">
      <c r="A31507" s="74">
        <v>36299</v>
      </c>
      <c r="B31507">
        <v>21.4</v>
      </c>
    </row>
    <row r="31508" spans="1:2" x14ac:dyDescent="0.25">
      <c r="A31508" s="74">
        <v>36300</v>
      </c>
      <c r="B31508">
        <v>18.3</v>
      </c>
    </row>
    <row r="31509" spans="1:2" x14ac:dyDescent="0.25">
      <c r="A31509" s="74">
        <v>36301</v>
      </c>
      <c r="B31509">
        <v>17.7</v>
      </c>
    </row>
    <row r="31510" spans="1:2" x14ac:dyDescent="0.25">
      <c r="A31510" s="74">
        <v>36302</v>
      </c>
      <c r="B31510">
        <v>18.600000000000001</v>
      </c>
    </row>
    <row r="31511" spans="1:2" x14ac:dyDescent="0.25">
      <c r="A31511" s="74">
        <v>36303</v>
      </c>
      <c r="B31511">
        <v>26.9</v>
      </c>
    </row>
    <row r="31512" spans="1:2" x14ac:dyDescent="0.25">
      <c r="A31512" s="74">
        <v>36304</v>
      </c>
      <c r="B31512">
        <v>39.6</v>
      </c>
    </row>
    <row r="31513" spans="1:2" x14ac:dyDescent="0.25">
      <c r="A31513" s="74">
        <v>36305</v>
      </c>
      <c r="B31513">
        <v>38.799999999999997</v>
      </c>
    </row>
    <row r="31514" spans="1:2" x14ac:dyDescent="0.25">
      <c r="A31514" s="74">
        <v>36306</v>
      </c>
      <c r="B31514">
        <v>25</v>
      </c>
    </row>
    <row r="31515" spans="1:2" x14ac:dyDescent="0.25">
      <c r="A31515" s="74">
        <v>36307</v>
      </c>
      <c r="B31515">
        <v>21.6</v>
      </c>
    </row>
    <row r="31516" spans="1:2" x14ac:dyDescent="0.25">
      <c r="A31516" s="74">
        <v>36308</v>
      </c>
      <c r="B31516">
        <v>20.9</v>
      </c>
    </row>
    <row r="31517" spans="1:2" x14ac:dyDescent="0.25">
      <c r="A31517" s="74">
        <v>36309</v>
      </c>
      <c r="B31517">
        <v>19.8</v>
      </c>
    </row>
    <row r="31518" spans="1:2" x14ac:dyDescent="0.25">
      <c r="A31518" s="74">
        <v>36310</v>
      </c>
      <c r="B31518">
        <v>19.5</v>
      </c>
    </row>
    <row r="31519" spans="1:2" x14ac:dyDescent="0.25">
      <c r="A31519" s="74">
        <v>36311</v>
      </c>
      <c r="B31519">
        <v>26.6</v>
      </c>
    </row>
    <row r="31520" spans="1:2" x14ac:dyDescent="0.25">
      <c r="A31520" s="74">
        <v>36312</v>
      </c>
      <c r="B31520">
        <v>27.3</v>
      </c>
    </row>
    <row r="31521" spans="1:2" x14ac:dyDescent="0.25">
      <c r="A31521" s="74">
        <v>36313</v>
      </c>
      <c r="B31521">
        <v>17.899999999999999</v>
      </c>
    </row>
    <row r="31522" spans="1:2" x14ac:dyDescent="0.25">
      <c r="A31522" s="74">
        <v>36314</v>
      </c>
      <c r="B31522">
        <v>17.5</v>
      </c>
    </row>
    <row r="31523" spans="1:2" x14ac:dyDescent="0.25">
      <c r="A31523" s="74">
        <v>36315</v>
      </c>
      <c r="B31523">
        <v>22.4</v>
      </c>
    </row>
    <row r="31524" spans="1:2" x14ac:dyDescent="0.25">
      <c r="A31524" s="74">
        <v>36316</v>
      </c>
      <c r="B31524">
        <v>29</v>
      </c>
    </row>
    <row r="31525" spans="1:2" x14ac:dyDescent="0.25">
      <c r="A31525" s="74">
        <v>36317</v>
      </c>
      <c r="B31525">
        <v>20.100000000000001</v>
      </c>
    </row>
    <row r="31526" spans="1:2" x14ac:dyDescent="0.25">
      <c r="A31526" s="74">
        <v>36318</v>
      </c>
      <c r="B31526">
        <v>14.7</v>
      </c>
    </row>
    <row r="31527" spans="1:2" x14ac:dyDescent="0.25">
      <c r="A31527" s="74">
        <v>36319</v>
      </c>
      <c r="B31527">
        <v>12.1</v>
      </c>
    </row>
    <row r="31528" spans="1:2" x14ac:dyDescent="0.25">
      <c r="A31528" s="74">
        <v>36320</v>
      </c>
      <c r="B31528">
        <v>11.8</v>
      </c>
    </row>
    <row r="31529" spans="1:2" x14ac:dyDescent="0.25">
      <c r="A31529" s="74">
        <v>36321</v>
      </c>
      <c r="B31529">
        <v>10.9</v>
      </c>
    </row>
    <row r="31530" spans="1:2" x14ac:dyDescent="0.25">
      <c r="A31530" s="74">
        <v>36322</v>
      </c>
      <c r="B31530">
        <v>12</v>
      </c>
    </row>
    <row r="31531" spans="1:2" x14ac:dyDescent="0.25">
      <c r="A31531" s="74">
        <v>36323</v>
      </c>
      <c r="B31531">
        <v>17.399999999999999</v>
      </c>
    </row>
    <row r="31532" spans="1:2" x14ac:dyDescent="0.25">
      <c r="A31532" s="74">
        <v>36324</v>
      </c>
      <c r="B31532">
        <v>25.2</v>
      </c>
    </row>
    <row r="31533" spans="1:2" x14ac:dyDescent="0.25">
      <c r="A31533" s="74">
        <v>36325</v>
      </c>
      <c r="B31533">
        <v>26.6</v>
      </c>
    </row>
    <row r="31534" spans="1:2" x14ac:dyDescent="0.25">
      <c r="A31534" s="74">
        <v>36326</v>
      </c>
      <c r="B31534">
        <v>29.8</v>
      </c>
    </row>
    <row r="31535" spans="1:2" x14ac:dyDescent="0.25">
      <c r="A31535" s="74">
        <v>36327</v>
      </c>
      <c r="B31535">
        <v>26.9</v>
      </c>
    </row>
    <row r="31536" spans="1:2" x14ac:dyDescent="0.25">
      <c r="A31536" s="74">
        <v>36328</v>
      </c>
      <c r="B31536">
        <v>22.8</v>
      </c>
    </row>
    <row r="31537" spans="1:2" x14ac:dyDescent="0.25">
      <c r="A31537" s="74">
        <v>36329</v>
      </c>
      <c r="B31537">
        <v>21.4</v>
      </c>
    </row>
    <row r="31538" spans="1:2" x14ac:dyDescent="0.25">
      <c r="A31538" s="74">
        <v>36330</v>
      </c>
      <c r="B31538">
        <v>19</v>
      </c>
    </row>
    <row r="31539" spans="1:2" x14ac:dyDescent="0.25">
      <c r="A31539" s="74">
        <v>36331</v>
      </c>
      <c r="B31539">
        <v>15.8</v>
      </c>
    </row>
    <row r="31540" spans="1:2" x14ac:dyDescent="0.25">
      <c r="A31540" s="74">
        <v>36332</v>
      </c>
      <c r="B31540">
        <v>15.4</v>
      </c>
    </row>
    <row r="31541" spans="1:2" x14ac:dyDescent="0.25">
      <c r="A31541" s="74">
        <v>36333</v>
      </c>
      <c r="B31541">
        <v>14.3</v>
      </c>
    </row>
    <row r="31542" spans="1:2" x14ac:dyDescent="0.25">
      <c r="A31542" s="74">
        <v>36334</v>
      </c>
      <c r="B31542">
        <v>14.2</v>
      </c>
    </row>
    <row r="31543" spans="1:2" x14ac:dyDescent="0.25">
      <c r="A31543" s="74">
        <v>36335</v>
      </c>
      <c r="B31543">
        <v>15.5</v>
      </c>
    </row>
    <row r="31544" spans="1:2" x14ac:dyDescent="0.25">
      <c r="A31544" s="74">
        <v>36336</v>
      </c>
      <c r="B31544">
        <v>15.2</v>
      </c>
    </row>
    <row r="31545" spans="1:2" x14ac:dyDescent="0.25">
      <c r="A31545" s="74">
        <v>36337</v>
      </c>
      <c r="B31545">
        <v>14.6</v>
      </c>
    </row>
    <row r="31546" spans="1:2" x14ac:dyDescent="0.25">
      <c r="A31546" s="74">
        <v>36338</v>
      </c>
      <c r="B31546">
        <v>12.2</v>
      </c>
    </row>
    <row r="31547" spans="1:2" x14ac:dyDescent="0.25">
      <c r="A31547" s="74">
        <v>36339</v>
      </c>
      <c r="B31547">
        <v>11.8</v>
      </c>
    </row>
    <row r="31548" spans="1:2" x14ac:dyDescent="0.25">
      <c r="A31548" s="74">
        <v>36340</v>
      </c>
      <c r="B31548">
        <v>12.8</v>
      </c>
    </row>
    <row r="31549" spans="1:2" x14ac:dyDescent="0.25">
      <c r="A31549" s="74">
        <v>36341</v>
      </c>
      <c r="B31549">
        <v>13.4</v>
      </c>
    </row>
    <row r="31550" spans="1:2" x14ac:dyDescent="0.25">
      <c r="A31550" s="74">
        <v>36342</v>
      </c>
      <c r="B31550">
        <v>13.4</v>
      </c>
    </row>
    <row r="31551" spans="1:2" x14ac:dyDescent="0.25">
      <c r="A31551" s="74">
        <v>36343</v>
      </c>
      <c r="B31551">
        <v>11.7</v>
      </c>
    </row>
    <row r="31552" spans="1:2" x14ac:dyDescent="0.25">
      <c r="A31552" s="74">
        <v>36344</v>
      </c>
      <c r="B31552">
        <v>12.7</v>
      </c>
    </row>
    <row r="31553" spans="1:2" x14ac:dyDescent="0.25">
      <c r="A31553" s="74">
        <v>36345</v>
      </c>
      <c r="B31553">
        <v>13.4</v>
      </c>
    </row>
    <row r="31554" spans="1:2" x14ac:dyDescent="0.25">
      <c r="A31554" s="74">
        <v>36346</v>
      </c>
      <c r="B31554">
        <v>11.6</v>
      </c>
    </row>
    <row r="31555" spans="1:2" x14ac:dyDescent="0.25">
      <c r="A31555" s="74">
        <v>36347</v>
      </c>
      <c r="B31555">
        <v>12.5</v>
      </c>
    </row>
    <row r="31556" spans="1:2" x14ac:dyDescent="0.25">
      <c r="A31556" s="74">
        <v>36348</v>
      </c>
      <c r="B31556">
        <v>14.8</v>
      </c>
    </row>
    <row r="31557" spans="1:2" x14ac:dyDescent="0.25">
      <c r="A31557" s="74">
        <v>36349</v>
      </c>
      <c r="B31557">
        <v>13.3</v>
      </c>
    </row>
    <row r="31558" spans="1:2" x14ac:dyDescent="0.25">
      <c r="A31558" s="74">
        <v>36350</v>
      </c>
      <c r="B31558">
        <v>12.5</v>
      </c>
    </row>
    <row r="31559" spans="1:2" x14ac:dyDescent="0.25">
      <c r="A31559" s="74">
        <v>36351</v>
      </c>
      <c r="B31559">
        <v>13.8</v>
      </c>
    </row>
    <row r="31560" spans="1:2" x14ac:dyDescent="0.25">
      <c r="A31560" s="74">
        <v>36352</v>
      </c>
      <c r="B31560">
        <v>12.8</v>
      </c>
    </row>
    <row r="31561" spans="1:2" x14ac:dyDescent="0.25">
      <c r="A31561" s="74">
        <v>36353</v>
      </c>
      <c r="B31561">
        <v>12.6</v>
      </c>
    </row>
    <row r="31562" spans="1:2" x14ac:dyDescent="0.25">
      <c r="A31562" s="74">
        <v>36354</v>
      </c>
      <c r="B31562">
        <v>12.1</v>
      </c>
    </row>
    <row r="31563" spans="1:2" x14ac:dyDescent="0.25">
      <c r="A31563" s="74">
        <v>36355</v>
      </c>
      <c r="B31563">
        <v>10.5</v>
      </c>
    </row>
    <row r="31564" spans="1:2" x14ac:dyDescent="0.25">
      <c r="A31564" s="74">
        <v>36356</v>
      </c>
      <c r="B31564">
        <v>8.9</v>
      </c>
    </row>
    <row r="31565" spans="1:2" x14ac:dyDescent="0.25">
      <c r="A31565" s="74">
        <v>36357</v>
      </c>
      <c r="B31565">
        <v>9.82</v>
      </c>
    </row>
    <row r="31566" spans="1:2" x14ac:dyDescent="0.25">
      <c r="A31566" s="74">
        <v>36358</v>
      </c>
      <c r="B31566">
        <v>10.5</v>
      </c>
    </row>
    <row r="31567" spans="1:2" x14ac:dyDescent="0.25">
      <c r="A31567" s="74">
        <v>36359</v>
      </c>
      <c r="B31567">
        <v>9.99</v>
      </c>
    </row>
    <row r="31568" spans="1:2" x14ac:dyDescent="0.25">
      <c r="A31568" s="74">
        <v>36360</v>
      </c>
      <c r="B31568">
        <v>9.64</v>
      </c>
    </row>
    <row r="31569" spans="1:2" x14ac:dyDescent="0.25">
      <c r="A31569" s="74">
        <v>36361</v>
      </c>
      <c r="B31569">
        <v>10.1</v>
      </c>
    </row>
    <row r="31570" spans="1:2" x14ac:dyDescent="0.25">
      <c r="A31570" s="74">
        <v>36362</v>
      </c>
      <c r="B31570">
        <v>9.91</v>
      </c>
    </row>
    <row r="31571" spans="1:2" x14ac:dyDescent="0.25">
      <c r="A31571" s="74">
        <v>36363</v>
      </c>
      <c r="B31571">
        <v>9.35</v>
      </c>
    </row>
    <row r="31572" spans="1:2" x14ac:dyDescent="0.25">
      <c r="A31572" s="74">
        <v>36364</v>
      </c>
      <c r="B31572">
        <v>9</v>
      </c>
    </row>
    <row r="31573" spans="1:2" x14ac:dyDescent="0.25">
      <c r="A31573" s="74">
        <v>36365</v>
      </c>
      <c r="B31573">
        <v>8.68</v>
      </c>
    </row>
    <row r="31574" spans="1:2" x14ac:dyDescent="0.25">
      <c r="A31574" s="74">
        <v>36366</v>
      </c>
      <c r="B31574">
        <v>8.16</v>
      </c>
    </row>
    <row r="31575" spans="1:2" x14ac:dyDescent="0.25">
      <c r="A31575" s="74">
        <v>36367</v>
      </c>
      <c r="B31575">
        <v>6.99</v>
      </c>
    </row>
    <row r="31576" spans="1:2" x14ac:dyDescent="0.25">
      <c r="A31576" s="74">
        <v>36368</v>
      </c>
      <c r="B31576">
        <v>7.03</v>
      </c>
    </row>
    <row r="31577" spans="1:2" x14ac:dyDescent="0.25">
      <c r="A31577" s="74">
        <v>36369</v>
      </c>
      <c r="B31577">
        <v>7.83</v>
      </c>
    </row>
    <row r="31578" spans="1:2" x14ac:dyDescent="0.25">
      <c r="A31578" s="74">
        <v>36370</v>
      </c>
      <c r="B31578">
        <v>8.42</v>
      </c>
    </row>
    <row r="31579" spans="1:2" x14ac:dyDescent="0.25">
      <c r="A31579" s="74">
        <v>36371</v>
      </c>
      <c r="B31579">
        <v>7.18</v>
      </c>
    </row>
    <row r="31580" spans="1:2" x14ac:dyDescent="0.25">
      <c r="A31580" s="74">
        <v>36372</v>
      </c>
      <c r="B31580">
        <v>6.25</v>
      </c>
    </row>
    <row r="31581" spans="1:2" x14ac:dyDescent="0.25">
      <c r="A31581" s="74">
        <v>36373</v>
      </c>
      <c r="B31581">
        <v>6.07</v>
      </c>
    </row>
    <row r="31582" spans="1:2" x14ac:dyDescent="0.25">
      <c r="A31582" s="74">
        <v>36374</v>
      </c>
      <c r="B31582">
        <v>5.84</v>
      </c>
    </row>
    <row r="31583" spans="1:2" x14ac:dyDescent="0.25">
      <c r="A31583" s="74">
        <v>36375</v>
      </c>
      <c r="B31583">
        <v>6.23</v>
      </c>
    </row>
    <row r="31584" spans="1:2" x14ac:dyDescent="0.25">
      <c r="A31584" s="74">
        <v>36376</v>
      </c>
      <c r="B31584">
        <v>6.46</v>
      </c>
    </row>
    <row r="31585" spans="1:2" x14ac:dyDescent="0.25">
      <c r="A31585" s="74">
        <v>36377</v>
      </c>
      <c r="B31585">
        <v>6.21</v>
      </c>
    </row>
    <row r="31586" spans="1:2" x14ac:dyDescent="0.25">
      <c r="A31586" s="74">
        <v>36378</v>
      </c>
      <c r="B31586">
        <v>6</v>
      </c>
    </row>
    <row r="31587" spans="1:2" x14ac:dyDescent="0.25">
      <c r="A31587" s="74">
        <v>36379</v>
      </c>
      <c r="B31587">
        <v>6.18</v>
      </c>
    </row>
    <row r="31588" spans="1:2" x14ac:dyDescent="0.25">
      <c r="A31588" s="74">
        <v>36380</v>
      </c>
      <c r="B31588">
        <v>5.61</v>
      </c>
    </row>
    <row r="31589" spans="1:2" x14ac:dyDescent="0.25">
      <c r="A31589" s="74">
        <v>36381</v>
      </c>
      <c r="B31589">
        <v>5</v>
      </c>
    </row>
    <row r="31590" spans="1:2" x14ac:dyDescent="0.25">
      <c r="A31590" s="74">
        <v>36382</v>
      </c>
      <c r="B31590">
        <v>4.76</v>
      </c>
    </row>
    <row r="31591" spans="1:2" x14ac:dyDescent="0.25">
      <c r="A31591" s="74">
        <v>36383</v>
      </c>
      <c r="B31591">
        <v>4.46</v>
      </c>
    </row>
    <row r="31592" spans="1:2" x14ac:dyDescent="0.25">
      <c r="A31592" s="74">
        <v>36384</v>
      </c>
      <c r="B31592">
        <v>4.45</v>
      </c>
    </row>
    <row r="31593" spans="1:2" x14ac:dyDescent="0.25">
      <c r="A31593" s="74">
        <v>36385</v>
      </c>
      <c r="B31593">
        <v>4.13</v>
      </c>
    </row>
    <row r="31594" spans="1:2" x14ac:dyDescent="0.25">
      <c r="A31594" s="74">
        <v>36386</v>
      </c>
      <c r="B31594">
        <v>3.83</v>
      </c>
    </row>
    <row r="31595" spans="1:2" x14ac:dyDescent="0.25">
      <c r="A31595" s="74">
        <v>36387</v>
      </c>
      <c r="B31595">
        <v>3.77</v>
      </c>
    </row>
    <row r="31596" spans="1:2" x14ac:dyDescent="0.25">
      <c r="A31596" s="74">
        <v>36388</v>
      </c>
      <c r="B31596">
        <v>3.63</v>
      </c>
    </row>
    <row r="31597" spans="1:2" x14ac:dyDescent="0.25">
      <c r="A31597" s="74">
        <v>36389</v>
      </c>
      <c r="B31597">
        <v>3.37</v>
      </c>
    </row>
    <row r="31598" spans="1:2" x14ac:dyDescent="0.25">
      <c r="A31598" s="74">
        <v>36390</v>
      </c>
      <c r="B31598">
        <v>3.35</v>
      </c>
    </row>
    <row r="31599" spans="1:2" x14ac:dyDescent="0.25">
      <c r="A31599" s="74">
        <v>36391</v>
      </c>
      <c r="B31599">
        <v>3.82</v>
      </c>
    </row>
    <row r="31600" spans="1:2" x14ac:dyDescent="0.25">
      <c r="A31600" s="74">
        <v>36392</v>
      </c>
      <c r="B31600">
        <v>3.7</v>
      </c>
    </row>
    <row r="31601" spans="1:2" x14ac:dyDescent="0.25">
      <c r="A31601" s="74">
        <v>36393</v>
      </c>
      <c r="B31601">
        <v>3.58</v>
      </c>
    </row>
    <row r="31602" spans="1:2" x14ac:dyDescent="0.25">
      <c r="A31602" s="74">
        <v>36394</v>
      </c>
      <c r="B31602">
        <v>3.5</v>
      </c>
    </row>
    <row r="31603" spans="1:2" x14ac:dyDescent="0.25">
      <c r="A31603" s="74">
        <v>36395</v>
      </c>
      <c r="B31603">
        <v>3.3</v>
      </c>
    </row>
    <row r="31604" spans="1:2" x14ac:dyDescent="0.25">
      <c r="A31604" s="74">
        <v>36396</v>
      </c>
      <c r="B31604">
        <v>3.28</v>
      </c>
    </row>
    <row r="31605" spans="1:2" x14ac:dyDescent="0.25">
      <c r="A31605" s="74">
        <v>36397</v>
      </c>
      <c r="B31605">
        <v>4.5599999999999996</v>
      </c>
    </row>
    <row r="31606" spans="1:2" x14ac:dyDescent="0.25">
      <c r="A31606" s="74">
        <v>36398</v>
      </c>
      <c r="B31606">
        <v>4.12</v>
      </c>
    </row>
    <row r="31607" spans="1:2" x14ac:dyDescent="0.25">
      <c r="A31607" s="74">
        <v>36399</v>
      </c>
      <c r="B31607">
        <v>3.5</v>
      </c>
    </row>
    <row r="31608" spans="1:2" x14ac:dyDescent="0.25">
      <c r="A31608" s="74">
        <v>36400</v>
      </c>
      <c r="B31608">
        <v>3.28</v>
      </c>
    </row>
    <row r="31609" spans="1:2" x14ac:dyDescent="0.25">
      <c r="A31609" s="74">
        <v>36401</v>
      </c>
      <c r="B31609">
        <v>3.42</v>
      </c>
    </row>
    <row r="31610" spans="1:2" x14ac:dyDescent="0.25">
      <c r="A31610" s="74">
        <v>36402</v>
      </c>
      <c r="B31610">
        <v>3.37</v>
      </c>
    </row>
    <row r="31611" spans="1:2" x14ac:dyDescent="0.25">
      <c r="A31611" s="74">
        <v>36403</v>
      </c>
      <c r="B31611">
        <v>3.09</v>
      </c>
    </row>
    <row r="31612" spans="1:2" x14ac:dyDescent="0.25">
      <c r="A31612" s="74">
        <v>36404</v>
      </c>
      <c r="B31612">
        <v>2.88</v>
      </c>
    </row>
    <row r="31613" spans="1:2" x14ac:dyDescent="0.25">
      <c r="A31613" s="74">
        <v>36405</v>
      </c>
      <c r="B31613">
        <v>2.7</v>
      </c>
    </row>
    <row r="31614" spans="1:2" x14ac:dyDescent="0.25">
      <c r="A31614" s="74">
        <v>36406</v>
      </c>
      <c r="B31614">
        <v>2.59</v>
      </c>
    </row>
    <row r="31615" spans="1:2" x14ac:dyDescent="0.25">
      <c r="A31615" s="74">
        <v>36407</v>
      </c>
      <c r="B31615">
        <v>2.52</v>
      </c>
    </row>
    <row r="31616" spans="1:2" x14ac:dyDescent="0.25">
      <c r="A31616" s="74">
        <v>36408</v>
      </c>
      <c r="B31616">
        <v>2.62</v>
      </c>
    </row>
    <row r="31617" spans="1:2" x14ac:dyDescent="0.25">
      <c r="A31617" s="74">
        <v>36409</v>
      </c>
      <c r="B31617">
        <v>2.98</v>
      </c>
    </row>
    <row r="31618" spans="1:2" x14ac:dyDescent="0.25">
      <c r="A31618" s="74">
        <v>36410</v>
      </c>
      <c r="B31618">
        <v>2.83</v>
      </c>
    </row>
    <row r="31619" spans="1:2" x14ac:dyDescent="0.25">
      <c r="A31619" s="74">
        <v>36411</v>
      </c>
      <c r="B31619">
        <v>2.64</v>
      </c>
    </row>
    <row r="31620" spans="1:2" x14ac:dyDescent="0.25">
      <c r="A31620" s="74">
        <v>36412</v>
      </c>
      <c r="B31620">
        <v>2.5099999999999998</v>
      </c>
    </row>
    <row r="31621" spans="1:2" x14ac:dyDescent="0.25">
      <c r="A31621" s="74">
        <v>36413</v>
      </c>
      <c r="B31621">
        <v>2.39</v>
      </c>
    </row>
    <row r="31622" spans="1:2" x14ac:dyDescent="0.25">
      <c r="A31622" s="74">
        <v>36414</v>
      </c>
      <c r="B31622">
        <v>2.2999999999999998</v>
      </c>
    </row>
    <row r="31623" spans="1:2" x14ac:dyDescent="0.25">
      <c r="A31623" s="74">
        <v>36415</v>
      </c>
      <c r="B31623">
        <v>2.2000000000000002</v>
      </c>
    </row>
    <row r="31624" spans="1:2" x14ac:dyDescent="0.25">
      <c r="A31624" s="74">
        <v>36416</v>
      </c>
      <c r="B31624">
        <v>2.11</v>
      </c>
    </row>
    <row r="31625" spans="1:2" x14ac:dyDescent="0.25">
      <c r="A31625" s="74">
        <v>36417</v>
      </c>
      <c r="B31625">
        <v>2.06</v>
      </c>
    </row>
    <row r="31626" spans="1:2" x14ac:dyDescent="0.25">
      <c r="A31626" s="74">
        <v>36418</v>
      </c>
      <c r="B31626">
        <v>2.0299999999999998</v>
      </c>
    </row>
    <row r="31627" spans="1:2" x14ac:dyDescent="0.25">
      <c r="A31627" s="74">
        <v>36419</v>
      </c>
      <c r="B31627">
        <v>1.99</v>
      </c>
    </row>
    <row r="31628" spans="1:2" x14ac:dyDescent="0.25">
      <c r="A31628" s="74">
        <v>36420</v>
      </c>
      <c r="B31628">
        <v>1.92</v>
      </c>
    </row>
    <row r="31629" spans="1:2" x14ac:dyDescent="0.25">
      <c r="A31629" s="74">
        <v>36421</v>
      </c>
      <c r="B31629">
        <v>1.86</v>
      </c>
    </row>
    <row r="31630" spans="1:2" x14ac:dyDescent="0.25">
      <c r="A31630" s="74">
        <v>36422</v>
      </c>
      <c r="B31630">
        <v>1.77</v>
      </c>
    </row>
    <row r="31631" spans="1:2" x14ac:dyDescent="0.25">
      <c r="A31631" s="74">
        <v>36423</v>
      </c>
      <c r="B31631">
        <v>1.73</v>
      </c>
    </row>
    <row r="31632" spans="1:2" x14ac:dyDescent="0.25">
      <c r="A31632" s="74">
        <v>36424</v>
      </c>
      <c r="B31632">
        <v>1.65</v>
      </c>
    </row>
    <row r="31633" spans="1:2" x14ac:dyDescent="0.25">
      <c r="A31633" s="74">
        <v>36425</v>
      </c>
      <c r="B31633">
        <v>1.54</v>
      </c>
    </row>
    <row r="31634" spans="1:2" x14ac:dyDescent="0.25">
      <c r="A31634" s="74">
        <v>36426</v>
      </c>
      <c r="B31634">
        <v>1.53</v>
      </c>
    </row>
    <row r="31635" spans="1:2" x14ac:dyDescent="0.25">
      <c r="A31635" s="74">
        <v>36427</v>
      </c>
      <c r="B31635">
        <v>1.46</v>
      </c>
    </row>
    <row r="31636" spans="1:2" x14ac:dyDescent="0.25">
      <c r="A31636" s="74">
        <v>36428</v>
      </c>
      <c r="B31636">
        <v>2.06</v>
      </c>
    </row>
    <row r="31637" spans="1:2" x14ac:dyDescent="0.25">
      <c r="A31637" s="74">
        <v>36429</v>
      </c>
      <c r="B31637">
        <v>2.1</v>
      </c>
    </row>
    <row r="31638" spans="1:2" x14ac:dyDescent="0.25">
      <c r="A31638" s="74">
        <v>36430</v>
      </c>
      <c r="B31638">
        <v>1.78</v>
      </c>
    </row>
    <row r="31639" spans="1:2" x14ac:dyDescent="0.25">
      <c r="A31639" s="74">
        <v>36431</v>
      </c>
      <c r="B31639">
        <v>1.61</v>
      </c>
    </row>
    <row r="31640" spans="1:2" x14ac:dyDescent="0.25">
      <c r="A31640" s="74">
        <v>36432</v>
      </c>
      <c r="B31640">
        <v>1.48</v>
      </c>
    </row>
    <row r="31641" spans="1:2" x14ac:dyDescent="0.25">
      <c r="A31641" s="74">
        <v>36433</v>
      </c>
      <c r="B31641">
        <v>1.37</v>
      </c>
    </row>
    <row r="31642" spans="1:2" x14ac:dyDescent="0.25">
      <c r="A31642" s="74">
        <v>36434</v>
      </c>
      <c r="B31642">
        <v>1.24</v>
      </c>
    </row>
    <row r="31643" spans="1:2" x14ac:dyDescent="0.25">
      <c r="A31643" s="74">
        <v>36435</v>
      </c>
      <c r="B31643">
        <v>1.18</v>
      </c>
    </row>
    <row r="31644" spans="1:2" x14ac:dyDescent="0.25">
      <c r="A31644" s="74">
        <v>36436</v>
      </c>
      <c r="B31644">
        <v>1.0900000000000001</v>
      </c>
    </row>
    <row r="31645" spans="1:2" x14ac:dyDescent="0.25">
      <c r="A31645" s="74">
        <v>36437</v>
      </c>
      <c r="B31645">
        <v>1.05</v>
      </c>
    </row>
    <row r="31646" spans="1:2" x14ac:dyDescent="0.25">
      <c r="A31646" s="74">
        <v>36438</v>
      </c>
      <c r="B31646">
        <v>0.96299999999999997</v>
      </c>
    </row>
    <row r="31647" spans="1:2" x14ac:dyDescent="0.25">
      <c r="A31647" s="74">
        <v>36439</v>
      </c>
      <c r="B31647">
        <v>0.98899999999999999</v>
      </c>
    </row>
    <row r="31648" spans="1:2" x14ac:dyDescent="0.25">
      <c r="A31648" s="74">
        <v>36440</v>
      </c>
      <c r="B31648">
        <v>0.90200000000000002</v>
      </c>
    </row>
    <row r="31649" spans="1:2" x14ac:dyDescent="0.25">
      <c r="A31649" s="74">
        <v>36441</v>
      </c>
      <c r="B31649">
        <v>1.17</v>
      </c>
    </row>
    <row r="31650" spans="1:2" x14ac:dyDescent="0.25">
      <c r="A31650" s="74">
        <v>36442</v>
      </c>
      <c r="B31650">
        <v>1.21</v>
      </c>
    </row>
    <row r="31651" spans="1:2" x14ac:dyDescent="0.25">
      <c r="A31651" s="74">
        <v>36443</v>
      </c>
      <c r="B31651">
        <v>1.07</v>
      </c>
    </row>
    <row r="31652" spans="1:2" x14ac:dyDescent="0.25">
      <c r="A31652" s="74">
        <v>36444</v>
      </c>
      <c r="B31652">
        <v>0.92800000000000005</v>
      </c>
    </row>
    <row r="31653" spans="1:2" x14ac:dyDescent="0.25">
      <c r="A31653" s="74">
        <v>36445</v>
      </c>
      <c r="B31653">
        <v>0.89100000000000001</v>
      </c>
    </row>
    <row r="31654" spans="1:2" x14ac:dyDescent="0.25">
      <c r="A31654" s="74">
        <v>36446</v>
      </c>
      <c r="B31654">
        <v>3.64</v>
      </c>
    </row>
    <row r="31655" spans="1:2" x14ac:dyDescent="0.25">
      <c r="A31655" s="74">
        <v>36447</v>
      </c>
      <c r="B31655">
        <v>3.12</v>
      </c>
    </row>
    <row r="31656" spans="1:2" x14ac:dyDescent="0.25">
      <c r="A31656" s="74">
        <v>36448</v>
      </c>
      <c r="B31656">
        <v>2.2200000000000002</v>
      </c>
    </row>
    <row r="31657" spans="1:2" x14ac:dyDescent="0.25">
      <c r="A31657" s="74">
        <v>36449</v>
      </c>
      <c r="B31657">
        <v>1.79</v>
      </c>
    </row>
    <row r="31658" spans="1:2" x14ac:dyDescent="0.25">
      <c r="A31658" s="74">
        <v>36450</v>
      </c>
      <c r="B31658">
        <v>1.49</v>
      </c>
    </row>
    <row r="31659" spans="1:2" x14ac:dyDescent="0.25">
      <c r="A31659" s="74">
        <v>36451</v>
      </c>
      <c r="B31659">
        <v>1.32</v>
      </c>
    </row>
    <row r="31660" spans="1:2" x14ac:dyDescent="0.25">
      <c r="A31660" s="74">
        <v>36452</v>
      </c>
      <c r="B31660">
        <v>1.21</v>
      </c>
    </row>
    <row r="31661" spans="1:2" x14ac:dyDescent="0.25">
      <c r="A31661" s="74">
        <v>36453</v>
      </c>
      <c r="B31661">
        <v>1.1299999999999999</v>
      </c>
    </row>
    <row r="31662" spans="1:2" x14ac:dyDescent="0.25">
      <c r="A31662" s="74">
        <v>36454</v>
      </c>
      <c r="B31662">
        <v>1.06</v>
      </c>
    </row>
    <row r="31663" spans="1:2" x14ac:dyDescent="0.25">
      <c r="A31663" s="74">
        <v>36455</v>
      </c>
      <c r="B31663">
        <v>1.03</v>
      </c>
    </row>
    <row r="31664" spans="1:2" x14ac:dyDescent="0.25">
      <c r="A31664" s="74">
        <v>36456</v>
      </c>
      <c r="B31664">
        <v>0.996</v>
      </c>
    </row>
    <row r="31665" spans="1:2" x14ac:dyDescent="0.25">
      <c r="A31665" s="74">
        <v>36457</v>
      </c>
      <c r="B31665">
        <v>1.1499999999999999</v>
      </c>
    </row>
    <row r="31666" spans="1:2" x14ac:dyDescent="0.25">
      <c r="A31666" s="74">
        <v>36458</v>
      </c>
      <c r="B31666">
        <v>1.18</v>
      </c>
    </row>
    <row r="31667" spans="1:2" x14ac:dyDescent="0.25">
      <c r="A31667" s="74">
        <v>36459</v>
      </c>
      <c r="B31667">
        <v>1.33</v>
      </c>
    </row>
    <row r="31668" spans="1:2" x14ac:dyDescent="0.25">
      <c r="A31668" s="74">
        <v>36460</v>
      </c>
      <c r="B31668">
        <v>1.44</v>
      </c>
    </row>
    <row r="31669" spans="1:2" x14ac:dyDescent="0.25">
      <c r="A31669" s="74">
        <v>36461</v>
      </c>
      <c r="B31669">
        <v>18.600000000000001</v>
      </c>
    </row>
    <row r="31670" spans="1:2" x14ac:dyDescent="0.25">
      <c r="A31670" s="74">
        <v>36462</v>
      </c>
      <c r="B31670">
        <v>20.9</v>
      </c>
    </row>
    <row r="31671" spans="1:2" x14ac:dyDescent="0.25">
      <c r="A31671" s="74">
        <v>36463</v>
      </c>
      <c r="B31671">
        <v>42.2</v>
      </c>
    </row>
    <row r="31672" spans="1:2" x14ac:dyDescent="0.25">
      <c r="A31672" s="74">
        <v>36464</v>
      </c>
      <c r="B31672">
        <v>32.4</v>
      </c>
    </row>
    <row r="31673" spans="1:2" x14ac:dyDescent="0.25">
      <c r="A31673" s="74">
        <v>36465</v>
      </c>
      <c r="B31673">
        <v>15.9</v>
      </c>
    </row>
    <row r="31674" spans="1:2" x14ac:dyDescent="0.25">
      <c r="A31674" s="74">
        <v>36466</v>
      </c>
      <c r="B31674">
        <v>10.3</v>
      </c>
    </row>
    <row r="31675" spans="1:2" x14ac:dyDescent="0.25">
      <c r="A31675" s="74">
        <v>36467</v>
      </c>
      <c r="B31675">
        <v>9.4</v>
      </c>
    </row>
    <row r="31676" spans="1:2" x14ac:dyDescent="0.25">
      <c r="A31676" s="74">
        <v>36468</v>
      </c>
      <c r="B31676">
        <v>15.1</v>
      </c>
    </row>
    <row r="31677" spans="1:2" x14ac:dyDescent="0.25">
      <c r="A31677" s="74">
        <v>36469</v>
      </c>
      <c r="B31677">
        <v>10.9</v>
      </c>
    </row>
    <row r="31678" spans="1:2" x14ac:dyDescent="0.25">
      <c r="A31678" s="74">
        <v>36470</v>
      </c>
      <c r="B31678">
        <v>52.9</v>
      </c>
    </row>
    <row r="31679" spans="1:2" x14ac:dyDescent="0.25">
      <c r="A31679" s="74">
        <v>36471</v>
      </c>
      <c r="B31679">
        <v>90.6</v>
      </c>
    </row>
    <row r="31680" spans="1:2" x14ac:dyDescent="0.25">
      <c r="A31680" s="74">
        <v>36472</v>
      </c>
      <c r="B31680">
        <v>64.400000000000006</v>
      </c>
    </row>
    <row r="31681" spans="1:2" x14ac:dyDescent="0.25">
      <c r="A31681" s="74">
        <v>36473</v>
      </c>
      <c r="B31681">
        <v>119</v>
      </c>
    </row>
    <row r="31682" spans="1:2" x14ac:dyDescent="0.25">
      <c r="A31682" s="74">
        <v>36474</v>
      </c>
      <c r="B31682">
        <v>76.5</v>
      </c>
    </row>
    <row r="31683" spans="1:2" x14ac:dyDescent="0.25">
      <c r="A31683" s="74">
        <v>36475</v>
      </c>
      <c r="B31683">
        <v>85.2</v>
      </c>
    </row>
    <row r="31684" spans="1:2" x14ac:dyDescent="0.25">
      <c r="A31684" s="74">
        <v>36476</v>
      </c>
      <c r="B31684">
        <v>71.7</v>
      </c>
    </row>
    <row r="31685" spans="1:2" x14ac:dyDescent="0.25">
      <c r="A31685" s="74">
        <v>36477</v>
      </c>
      <c r="B31685">
        <v>33.9</v>
      </c>
    </row>
    <row r="31686" spans="1:2" x14ac:dyDescent="0.25">
      <c r="A31686" s="74">
        <v>36478</v>
      </c>
      <c r="B31686">
        <v>25</v>
      </c>
    </row>
    <row r="31687" spans="1:2" x14ac:dyDescent="0.25">
      <c r="A31687" s="74">
        <v>36479</v>
      </c>
      <c r="B31687">
        <v>20.6</v>
      </c>
    </row>
    <row r="31688" spans="1:2" x14ac:dyDescent="0.25">
      <c r="A31688" s="74">
        <v>36480</v>
      </c>
      <c r="B31688">
        <v>26.3</v>
      </c>
    </row>
    <row r="31689" spans="1:2" x14ac:dyDescent="0.25">
      <c r="A31689" s="74">
        <v>36481</v>
      </c>
      <c r="B31689">
        <v>21.7</v>
      </c>
    </row>
    <row r="31690" spans="1:2" x14ac:dyDescent="0.25">
      <c r="A31690" s="74">
        <v>36482</v>
      </c>
      <c r="B31690">
        <v>16.2</v>
      </c>
    </row>
    <row r="31691" spans="1:2" x14ac:dyDescent="0.25">
      <c r="A31691" s="74">
        <v>36483</v>
      </c>
      <c r="B31691">
        <v>19.100000000000001</v>
      </c>
    </row>
    <row r="31692" spans="1:2" x14ac:dyDescent="0.25">
      <c r="A31692" s="74">
        <v>36484</v>
      </c>
      <c r="B31692">
        <v>37.299999999999997</v>
      </c>
    </row>
    <row r="31693" spans="1:2" x14ac:dyDescent="0.25">
      <c r="A31693" s="74">
        <v>36485</v>
      </c>
      <c r="B31693">
        <v>21.8</v>
      </c>
    </row>
    <row r="31694" spans="1:2" x14ac:dyDescent="0.25">
      <c r="A31694" s="74">
        <v>36486</v>
      </c>
      <c r="B31694">
        <v>16.2</v>
      </c>
    </row>
    <row r="31695" spans="1:2" x14ac:dyDescent="0.25">
      <c r="A31695" s="74">
        <v>36487</v>
      </c>
      <c r="B31695">
        <v>13.2</v>
      </c>
    </row>
    <row r="31696" spans="1:2" x14ac:dyDescent="0.25">
      <c r="A31696" s="74">
        <v>36488</v>
      </c>
      <c r="B31696">
        <v>25.5</v>
      </c>
    </row>
    <row r="31697" spans="1:2" x14ac:dyDescent="0.25">
      <c r="A31697" s="74">
        <v>36489</v>
      </c>
      <c r="B31697">
        <v>27.2</v>
      </c>
    </row>
    <row r="31698" spans="1:2" x14ac:dyDescent="0.25">
      <c r="A31698" s="74">
        <v>36490</v>
      </c>
      <c r="B31698">
        <v>18.399999999999999</v>
      </c>
    </row>
    <row r="31699" spans="1:2" x14ac:dyDescent="0.25">
      <c r="A31699" s="74">
        <v>36491</v>
      </c>
      <c r="B31699">
        <v>14.2</v>
      </c>
    </row>
    <row r="31700" spans="1:2" x14ac:dyDescent="0.25">
      <c r="A31700" s="74">
        <v>36492</v>
      </c>
      <c r="B31700">
        <v>16.399999999999999</v>
      </c>
    </row>
    <row r="31701" spans="1:2" x14ac:dyDescent="0.25">
      <c r="A31701" s="74">
        <v>36493</v>
      </c>
      <c r="B31701">
        <v>16.600000000000001</v>
      </c>
    </row>
    <row r="31702" spans="1:2" x14ac:dyDescent="0.25">
      <c r="A31702" s="74">
        <v>36494</v>
      </c>
      <c r="B31702">
        <v>28.1</v>
      </c>
    </row>
    <row r="31703" spans="1:2" x14ac:dyDescent="0.25">
      <c r="A31703" s="74">
        <v>36495</v>
      </c>
      <c r="B31703">
        <v>22.3</v>
      </c>
    </row>
    <row r="31704" spans="1:2" x14ac:dyDescent="0.25">
      <c r="A31704" s="74">
        <v>36496</v>
      </c>
      <c r="B31704">
        <v>75</v>
      </c>
    </row>
    <row r="31705" spans="1:2" x14ac:dyDescent="0.25">
      <c r="A31705" s="74">
        <v>36497</v>
      </c>
      <c r="B31705">
        <v>39.5</v>
      </c>
    </row>
    <row r="31706" spans="1:2" x14ac:dyDescent="0.25">
      <c r="A31706" s="74">
        <v>36498</v>
      </c>
      <c r="B31706">
        <v>23.6</v>
      </c>
    </row>
    <row r="31707" spans="1:2" x14ac:dyDescent="0.25">
      <c r="A31707" s="74">
        <v>36499</v>
      </c>
      <c r="B31707">
        <v>21.1</v>
      </c>
    </row>
    <row r="31708" spans="1:2" x14ac:dyDescent="0.25">
      <c r="A31708" s="74">
        <v>36500</v>
      </c>
      <c r="B31708">
        <v>56.7</v>
      </c>
    </row>
    <row r="31709" spans="1:2" x14ac:dyDescent="0.25">
      <c r="A31709" s="74">
        <v>36501</v>
      </c>
      <c r="B31709">
        <v>30.7</v>
      </c>
    </row>
    <row r="31710" spans="1:2" x14ac:dyDescent="0.25">
      <c r="A31710" s="74">
        <v>36502</v>
      </c>
      <c r="B31710">
        <v>21</v>
      </c>
    </row>
    <row r="31711" spans="1:2" x14ac:dyDescent="0.25">
      <c r="A31711" s="74">
        <v>36503</v>
      </c>
      <c r="B31711">
        <v>30.1</v>
      </c>
    </row>
    <row r="31712" spans="1:2" x14ac:dyDescent="0.25">
      <c r="A31712" s="74">
        <v>36504</v>
      </c>
      <c r="B31712">
        <v>22.6</v>
      </c>
    </row>
    <row r="31713" spans="1:2" x14ac:dyDescent="0.25">
      <c r="A31713" s="74">
        <v>36505</v>
      </c>
      <c r="B31713">
        <v>18.399999999999999</v>
      </c>
    </row>
    <row r="31714" spans="1:2" x14ac:dyDescent="0.25">
      <c r="A31714" s="74">
        <v>36506</v>
      </c>
      <c r="B31714">
        <v>57.3</v>
      </c>
    </row>
    <row r="31715" spans="1:2" x14ac:dyDescent="0.25">
      <c r="A31715" s="74">
        <v>36507</v>
      </c>
      <c r="B31715">
        <v>41.5</v>
      </c>
    </row>
    <row r="31716" spans="1:2" x14ac:dyDescent="0.25">
      <c r="A31716" s="74">
        <v>36508</v>
      </c>
      <c r="B31716">
        <v>24.2</v>
      </c>
    </row>
    <row r="31717" spans="1:2" x14ac:dyDescent="0.25">
      <c r="A31717" s="74">
        <v>36509</v>
      </c>
      <c r="B31717">
        <v>55.3</v>
      </c>
    </row>
    <row r="31718" spans="1:2" x14ac:dyDescent="0.25">
      <c r="A31718" s="74">
        <v>36510</v>
      </c>
      <c r="B31718">
        <v>53.6</v>
      </c>
    </row>
    <row r="31719" spans="1:2" x14ac:dyDescent="0.25">
      <c r="A31719" s="74">
        <v>36511</v>
      </c>
      <c r="B31719">
        <v>37</v>
      </c>
    </row>
    <row r="31720" spans="1:2" x14ac:dyDescent="0.25">
      <c r="A31720" s="74">
        <v>36512</v>
      </c>
      <c r="B31720">
        <v>46.2</v>
      </c>
    </row>
    <row r="31721" spans="1:2" x14ac:dyDescent="0.25">
      <c r="A31721" s="74">
        <v>36513</v>
      </c>
      <c r="B31721">
        <v>27.5</v>
      </c>
    </row>
    <row r="31722" spans="1:2" x14ac:dyDescent="0.25">
      <c r="A31722" s="74">
        <v>36514</v>
      </c>
      <c r="B31722">
        <v>19.600000000000001</v>
      </c>
    </row>
    <row r="31723" spans="1:2" x14ac:dyDescent="0.25">
      <c r="A31723" s="74">
        <v>36515</v>
      </c>
      <c r="B31723">
        <v>15.8</v>
      </c>
    </row>
    <row r="31724" spans="1:2" x14ac:dyDescent="0.25">
      <c r="A31724" s="74">
        <v>36516</v>
      </c>
      <c r="B31724">
        <v>13.4</v>
      </c>
    </row>
    <row r="31725" spans="1:2" x14ac:dyDescent="0.25">
      <c r="A31725" s="74">
        <v>36517</v>
      </c>
      <c r="B31725">
        <v>12.2</v>
      </c>
    </row>
    <row r="31726" spans="1:2" x14ac:dyDescent="0.25">
      <c r="A31726" s="74">
        <v>36518</v>
      </c>
      <c r="B31726">
        <v>11</v>
      </c>
    </row>
    <row r="31727" spans="1:2" x14ac:dyDescent="0.25">
      <c r="A31727" s="74">
        <v>36519</v>
      </c>
      <c r="B31727">
        <v>9.98</v>
      </c>
    </row>
    <row r="31728" spans="1:2" x14ac:dyDescent="0.25">
      <c r="A31728" s="74">
        <v>36520</v>
      </c>
      <c r="B31728">
        <v>9.1300000000000008</v>
      </c>
    </row>
    <row r="31729" spans="1:2" x14ac:dyDescent="0.25">
      <c r="A31729" s="74">
        <v>36521</v>
      </c>
      <c r="B31729">
        <v>9.0399999999999991</v>
      </c>
    </row>
    <row r="31730" spans="1:2" x14ac:dyDescent="0.25">
      <c r="A31730" s="74">
        <v>36522</v>
      </c>
      <c r="B31730">
        <v>8.93</v>
      </c>
    </row>
    <row r="31731" spans="1:2" x14ac:dyDescent="0.25">
      <c r="A31731" s="74">
        <v>36523</v>
      </c>
      <c r="B31731">
        <v>8.07</v>
      </c>
    </row>
    <row r="31732" spans="1:2" x14ac:dyDescent="0.25">
      <c r="A31732" s="74">
        <v>36524</v>
      </c>
      <c r="B31732">
        <v>7.04</v>
      </c>
    </row>
    <row r="31733" spans="1:2" x14ac:dyDescent="0.25">
      <c r="A31733" s="74">
        <v>36525</v>
      </c>
      <c r="B31733">
        <v>6.39</v>
      </c>
    </row>
    <row r="31734" spans="1:2" x14ac:dyDescent="0.25">
      <c r="A31734" s="74">
        <v>36526</v>
      </c>
      <c r="B31734">
        <v>6.72</v>
      </c>
    </row>
    <row r="31735" spans="1:2" x14ac:dyDescent="0.25">
      <c r="A31735" s="74">
        <v>36527</v>
      </c>
      <c r="B31735">
        <v>6.2</v>
      </c>
    </row>
    <row r="31736" spans="1:2" x14ac:dyDescent="0.25">
      <c r="A31736" s="74">
        <v>36528</v>
      </c>
      <c r="B31736">
        <v>5.77</v>
      </c>
    </row>
    <row r="31737" spans="1:2" x14ac:dyDescent="0.25">
      <c r="A31737" s="74">
        <v>36529</v>
      </c>
      <c r="B31737">
        <v>13.8</v>
      </c>
    </row>
    <row r="31738" spans="1:2" x14ac:dyDescent="0.25">
      <c r="A31738" s="74">
        <v>36530</v>
      </c>
      <c r="B31738">
        <v>13.5</v>
      </c>
    </row>
    <row r="31739" spans="1:2" x14ac:dyDescent="0.25">
      <c r="A31739" s="74">
        <v>36531</v>
      </c>
      <c r="B31739">
        <v>11.1</v>
      </c>
    </row>
    <row r="31740" spans="1:2" x14ac:dyDescent="0.25">
      <c r="A31740" s="74">
        <v>36532</v>
      </c>
      <c r="B31740">
        <v>9.69</v>
      </c>
    </row>
    <row r="31741" spans="1:2" x14ac:dyDescent="0.25">
      <c r="A31741" s="74">
        <v>36533</v>
      </c>
      <c r="B31741">
        <v>15.1</v>
      </c>
    </row>
    <row r="31742" spans="1:2" x14ac:dyDescent="0.25">
      <c r="A31742" s="74">
        <v>36534</v>
      </c>
      <c r="B31742">
        <v>15.1</v>
      </c>
    </row>
    <row r="31743" spans="1:2" x14ac:dyDescent="0.25">
      <c r="A31743" s="74">
        <v>36535</v>
      </c>
      <c r="B31743">
        <v>12.6</v>
      </c>
    </row>
    <row r="31744" spans="1:2" x14ac:dyDescent="0.25">
      <c r="A31744" s="74">
        <v>36536</v>
      </c>
      <c r="B31744">
        <v>10.6</v>
      </c>
    </row>
    <row r="31745" spans="1:2" x14ac:dyDescent="0.25">
      <c r="A31745" s="74">
        <v>36537</v>
      </c>
      <c r="B31745">
        <v>9.1</v>
      </c>
    </row>
    <row r="31746" spans="1:2" x14ac:dyDescent="0.25">
      <c r="A31746" s="74">
        <v>36538</v>
      </c>
      <c r="B31746">
        <v>8.59</v>
      </c>
    </row>
    <row r="31747" spans="1:2" x14ac:dyDescent="0.25">
      <c r="A31747" s="74">
        <v>36539</v>
      </c>
      <c r="B31747">
        <v>8.83</v>
      </c>
    </row>
    <row r="31748" spans="1:2" x14ac:dyDescent="0.25">
      <c r="A31748" s="74">
        <v>36540</v>
      </c>
      <c r="B31748">
        <v>9.86</v>
      </c>
    </row>
    <row r="31749" spans="1:2" x14ac:dyDescent="0.25">
      <c r="A31749" s="74">
        <v>36541</v>
      </c>
      <c r="B31749">
        <v>10.1</v>
      </c>
    </row>
    <row r="31750" spans="1:2" x14ac:dyDescent="0.25">
      <c r="A31750" s="74">
        <v>36542</v>
      </c>
      <c r="B31750">
        <v>13.9</v>
      </c>
    </row>
    <row r="31751" spans="1:2" x14ac:dyDescent="0.25">
      <c r="A31751" s="74">
        <v>36543</v>
      </c>
      <c r="B31751">
        <v>13.5</v>
      </c>
    </row>
    <row r="31752" spans="1:2" x14ac:dyDescent="0.25">
      <c r="A31752" s="74">
        <v>36544</v>
      </c>
      <c r="B31752">
        <v>11.1</v>
      </c>
    </row>
    <row r="31753" spans="1:2" x14ac:dyDescent="0.25">
      <c r="A31753" s="74">
        <v>36545</v>
      </c>
      <c r="B31753">
        <v>9.61</v>
      </c>
    </row>
    <row r="31754" spans="1:2" x14ac:dyDescent="0.25">
      <c r="A31754" s="74">
        <v>36546</v>
      </c>
      <c r="B31754">
        <v>9.1300000000000008</v>
      </c>
    </row>
    <row r="31755" spans="1:2" x14ac:dyDescent="0.25">
      <c r="A31755" s="74">
        <v>36547</v>
      </c>
      <c r="B31755">
        <v>8.6199999999999992</v>
      </c>
    </row>
    <row r="31756" spans="1:2" x14ac:dyDescent="0.25">
      <c r="A31756" s="74">
        <v>36548</v>
      </c>
      <c r="B31756">
        <v>8.2100000000000009</v>
      </c>
    </row>
    <row r="31757" spans="1:2" x14ac:dyDescent="0.25">
      <c r="A31757" s="74">
        <v>36549</v>
      </c>
      <c r="B31757">
        <v>7.88</v>
      </c>
    </row>
    <row r="31758" spans="1:2" x14ac:dyDescent="0.25">
      <c r="A31758" s="74">
        <v>36550</v>
      </c>
      <c r="B31758">
        <v>7.27</v>
      </c>
    </row>
    <row r="31759" spans="1:2" x14ac:dyDescent="0.25">
      <c r="A31759" s="74">
        <v>36551</v>
      </c>
      <c r="B31759">
        <v>6.84</v>
      </c>
    </row>
    <row r="31760" spans="1:2" x14ac:dyDescent="0.25">
      <c r="A31760" s="74">
        <v>36552</v>
      </c>
      <c r="B31760">
        <v>6.27</v>
      </c>
    </row>
    <row r="31761" spans="1:3" x14ac:dyDescent="0.25">
      <c r="A31761" s="74">
        <v>36553</v>
      </c>
      <c r="B31761">
        <v>5.93</v>
      </c>
    </row>
    <row r="31762" spans="1:3" x14ac:dyDescent="0.25">
      <c r="A31762" s="74">
        <v>36554</v>
      </c>
      <c r="B31762">
        <v>5.68</v>
      </c>
    </row>
    <row r="31763" spans="1:3" x14ac:dyDescent="0.25">
      <c r="A31763" s="74">
        <v>36555</v>
      </c>
      <c r="B31763">
        <v>5.33</v>
      </c>
    </row>
    <row r="31764" spans="1:3" x14ac:dyDescent="0.25">
      <c r="A31764" s="74">
        <v>36556</v>
      </c>
      <c r="B31764">
        <v>5.36</v>
      </c>
    </row>
    <row r="31765" spans="1:3" x14ac:dyDescent="0.25">
      <c r="A31765" s="74">
        <v>36557</v>
      </c>
      <c r="B31765">
        <v>24.6</v>
      </c>
    </row>
    <row r="31766" spans="1:3" x14ac:dyDescent="0.25">
      <c r="A31766" s="74">
        <v>36558</v>
      </c>
      <c r="B31766">
        <v>33.9</v>
      </c>
    </row>
    <row r="31767" spans="1:3" x14ac:dyDescent="0.25">
      <c r="A31767" s="74">
        <v>36559</v>
      </c>
      <c r="B31767">
        <v>20.6</v>
      </c>
    </row>
    <row r="31768" spans="1:3" x14ac:dyDescent="0.25">
      <c r="A31768" s="74">
        <v>36560</v>
      </c>
      <c r="B31768">
        <v>15.5</v>
      </c>
    </row>
    <row r="31769" spans="1:3" x14ac:dyDescent="0.25">
      <c r="A31769" s="74">
        <v>36561</v>
      </c>
      <c r="B31769">
        <v>12.4</v>
      </c>
    </row>
    <row r="31770" spans="1:3" x14ac:dyDescent="0.25">
      <c r="A31770" s="74">
        <v>36562</v>
      </c>
      <c r="B31770">
        <v>10.5</v>
      </c>
    </row>
    <row r="31771" spans="1:3" x14ac:dyDescent="0.25">
      <c r="A31771" s="74">
        <v>36563</v>
      </c>
      <c r="B31771">
        <v>14.7</v>
      </c>
    </row>
    <row r="31772" spans="1:3" x14ac:dyDescent="0.25">
      <c r="A31772" s="74">
        <v>36564</v>
      </c>
      <c r="B31772">
        <v>28.2</v>
      </c>
    </row>
    <row r="31773" spans="1:3" x14ac:dyDescent="0.25">
      <c r="A31773" s="74">
        <v>36565</v>
      </c>
      <c r="B31773">
        <v>38.4</v>
      </c>
      <c r="C31773" t="s">
        <v>140</v>
      </c>
    </row>
    <row r="31774" spans="1:3" x14ac:dyDescent="0.25">
      <c r="A31774" s="74">
        <v>36566</v>
      </c>
      <c r="B31774">
        <v>33</v>
      </c>
      <c r="C31774" t="s">
        <v>141</v>
      </c>
    </row>
    <row r="31775" spans="1:3" x14ac:dyDescent="0.25">
      <c r="A31775" s="74">
        <v>36567</v>
      </c>
      <c r="B31775">
        <v>28</v>
      </c>
      <c r="C31775" t="s">
        <v>141</v>
      </c>
    </row>
    <row r="31776" spans="1:3" x14ac:dyDescent="0.25">
      <c r="A31776" s="74">
        <v>36568</v>
      </c>
      <c r="B31776">
        <v>21</v>
      </c>
      <c r="C31776" t="s">
        <v>141</v>
      </c>
    </row>
    <row r="31777" spans="1:3" x14ac:dyDescent="0.25">
      <c r="A31777" s="74">
        <v>36569</v>
      </c>
      <c r="B31777">
        <v>17</v>
      </c>
      <c r="C31777" t="s">
        <v>141</v>
      </c>
    </row>
    <row r="31778" spans="1:3" x14ac:dyDescent="0.25">
      <c r="A31778" s="74">
        <v>36570</v>
      </c>
      <c r="B31778">
        <v>14</v>
      </c>
      <c r="C31778" t="s">
        <v>141</v>
      </c>
    </row>
    <row r="31779" spans="1:3" x14ac:dyDescent="0.25">
      <c r="A31779" s="74">
        <v>36571</v>
      </c>
      <c r="B31779">
        <v>12</v>
      </c>
      <c r="C31779" t="s">
        <v>141</v>
      </c>
    </row>
    <row r="31780" spans="1:3" x14ac:dyDescent="0.25">
      <c r="A31780" s="74">
        <v>36572</v>
      </c>
      <c r="B31780">
        <v>11</v>
      </c>
      <c r="C31780" t="s">
        <v>141</v>
      </c>
    </row>
    <row r="31781" spans="1:3" x14ac:dyDescent="0.25">
      <c r="A31781" s="74">
        <v>36573</v>
      </c>
      <c r="B31781">
        <v>9.5</v>
      </c>
      <c r="C31781" t="s">
        <v>141</v>
      </c>
    </row>
    <row r="31782" spans="1:3" x14ac:dyDescent="0.25">
      <c r="A31782" s="74">
        <v>36574</v>
      </c>
      <c r="B31782">
        <v>8.5</v>
      </c>
      <c r="C31782" t="s">
        <v>141</v>
      </c>
    </row>
    <row r="31783" spans="1:3" x14ac:dyDescent="0.25">
      <c r="A31783" s="74">
        <v>36575</v>
      </c>
      <c r="B31783">
        <v>7.7</v>
      </c>
      <c r="C31783" t="s">
        <v>141</v>
      </c>
    </row>
    <row r="31784" spans="1:3" x14ac:dyDescent="0.25">
      <c r="A31784" s="74">
        <v>36576</v>
      </c>
      <c r="B31784">
        <v>7.2</v>
      </c>
      <c r="C31784" t="s">
        <v>141</v>
      </c>
    </row>
    <row r="31785" spans="1:3" x14ac:dyDescent="0.25">
      <c r="A31785" s="74">
        <v>36577</v>
      </c>
      <c r="B31785">
        <v>6.5</v>
      </c>
      <c r="C31785" t="s">
        <v>141</v>
      </c>
    </row>
    <row r="31786" spans="1:3" x14ac:dyDescent="0.25">
      <c r="A31786" s="74">
        <v>36578</v>
      </c>
      <c r="B31786">
        <v>9.1</v>
      </c>
      <c r="C31786" t="s">
        <v>141</v>
      </c>
    </row>
    <row r="31787" spans="1:3" x14ac:dyDescent="0.25">
      <c r="A31787" s="74">
        <v>36579</v>
      </c>
      <c r="B31787">
        <v>16</v>
      </c>
      <c r="C31787" t="s">
        <v>141</v>
      </c>
    </row>
    <row r="31788" spans="1:3" x14ac:dyDescent="0.25">
      <c r="A31788" s="74">
        <v>36580</v>
      </c>
      <c r="B31788">
        <v>15.5</v>
      </c>
      <c r="C31788" t="s">
        <v>141</v>
      </c>
    </row>
    <row r="31789" spans="1:3" x14ac:dyDescent="0.25">
      <c r="A31789" s="74">
        <v>36581</v>
      </c>
      <c r="B31789">
        <v>13</v>
      </c>
      <c r="C31789" t="s">
        <v>141</v>
      </c>
    </row>
    <row r="31790" spans="1:3" x14ac:dyDescent="0.25">
      <c r="A31790" s="74">
        <v>36582</v>
      </c>
      <c r="B31790">
        <v>10.6</v>
      </c>
      <c r="C31790" t="s">
        <v>141</v>
      </c>
    </row>
    <row r="31791" spans="1:3" x14ac:dyDescent="0.25">
      <c r="A31791" s="74">
        <v>36583</v>
      </c>
      <c r="B31791">
        <v>10.7</v>
      </c>
      <c r="C31791" t="s">
        <v>141</v>
      </c>
    </row>
    <row r="31792" spans="1:3" x14ac:dyDescent="0.25">
      <c r="A31792" s="74">
        <v>36584</v>
      </c>
      <c r="B31792">
        <v>11</v>
      </c>
      <c r="C31792" t="s">
        <v>141</v>
      </c>
    </row>
    <row r="31793" spans="1:3" x14ac:dyDescent="0.25">
      <c r="A31793" s="74">
        <v>36585</v>
      </c>
      <c r="B31793">
        <v>12.3</v>
      </c>
      <c r="C31793" t="s">
        <v>141</v>
      </c>
    </row>
    <row r="31794" spans="1:3" x14ac:dyDescent="0.25">
      <c r="A31794" s="74">
        <v>36586</v>
      </c>
      <c r="B31794">
        <v>15</v>
      </c>
      <c r="C31794" t="s">
        <v>141</v>
      </c>
    </row>
    <row r="31795" spans="1:3" x14ac:dyDescent="0.25">
      <c r="A31795" s="74">
        <v>36587</v>
      </c>
      <c r="B31795">
        <v>22</v>
      </c>
      <c r="C31795" t="s">
        <v>141</v>
      </c>
    </row>
    <row r="31796" spans="1:3" x14ac:dyDescent="0.25">
      <c r="A31796" s="74">
        <v>36588</v>
      </c>
      <c r="B31796">
        <v>18</v>
      </c>
      <c r="C31796" t="s">
        <v>141</v>
      </c>
    </row>
    <row r="31797" spans="1:3" x14ac:dyDescent="0.25">
      <c r="A31797" s="74">
        <v>36589</v>
      </c>
      <c r="B31797">
        <v>15</v>
      </c>
      <c r="C31797" t="s">
        <v>141</v>
      </c>
    </row>
    <row r="31798" spans="1:3" x14ac:dyDescent="0.25">
      <c r="A31798" s="74">
        <v>36590</v>
      </c>
      <c r="B31798">
        <v>13</v>
      </c>
      <c r="C31798" t="s">
        <v>141</v>
      </c>
    </row>
    <row r="31799" spans="1:3" x14ac:dyDescent="0.25">
      <c r="A31799" s="74">
        <v>36591</v>
      </c>
      <c r="B31799">
        <v>11.2</v>
      </c>
      <c r="C31799" t="s">
        <v>141</v>
      </c>
    </row>
    <row r="31800" spans="1:3" x14ac:dyDescent="0.25">
      <c r="A31800" s="74">
        <v>36592</v>
      </c>
      <c r="B31800">
        <v>9.8000000000000007</v>
      </c>
      <c r="C31800" t="s">
        <v>141</v>
      </c>
    </row>
    <row r="31801" spans="1:3" x14ac:dyDescent="0.25">
      <c r="A31801" s="74">
        <v>36593</v>
      </c>
      <c r="B31801">
        <v>9</v>
      </c>
      <c r="C31801" t="s">
        <v>141</v>
      </c>
    </row>
    <row r="31802" spans="1:3" x14ac:dyDescent="0.25">
      <c r="A31802" s="74">
        <v>36594</v>
      </c>
      <c r="B31802">
        <v>8.5</v>
      </c>
      <c r="C31802" t="s">
        <v>141</v>
      </c>
    </row>
    <row r="31803" spans="1:3" x14ac:dyDescent="0.25">
      <c r="A31803" s="74">
        <v>36595</v>
      </c>
      <c r="B31803">
        <v>8</v>
      </c>
      <c r="C31803" t="s">
        <v>141</v>
      </c>
    </row>
    <row r="31804" spans="1:3" x14ac:dyDescent="0.25">
      <c r="A31804" s="74">
        <v>36596</v>
      </c>
      <c r="B31804">
        <v>9</v>
      </c>
      <c r="C31804" t="s">
        <v>141</v>
      </c>
    </row>
    <row r="31805" spans="1:3" x14ac:dyDescent="0.25">
      <c r="A31805" s="74">
        <v>36597</v>
      </c>
      <c r="B31805">
        <v>10.199999999999999</v>
      </c>
      <c r="C31805" t="s">
        <v>141</v>
      </c>
    </row>
    <row r="31806" spans="1:3" x14ac:dyDescent="0.25">
      <c r="A31806" s="74">
        <v>36598</v>
      </c>
      <c r="B31806">
        <v>12</v>
      </c>
      <c r="C31806" t="s">
        <v>141</v>
      </c>
    </row>
    <row r="31807" spans="1:3" x14ac:dyDescent="0.25">
      <c r="A31807" s="74">
        <v>36599</v>
      </c>
      <c r="B31807">
        <v>13.5</v>
      </c>
      <c r="C31807" t="s">
        <v>141</v>
      </c>
    </row>
    <row r="31808" spans="1:3" x14ac:dyDescent="0.25">
      <c r="A31808" s="74">
        <v>36600</v>
      </c>
      <c r="B31808">
        <v>13.6</v>
      </c>
      <c r="C31808" t="s">
        <v>141</v>
      </c>
    </row>
    <row r="31809" spans="1:3" x14ac:dyDescent="0.25">
      <c r="A31809" s="74">
        <v>36601</v>
      </c>
      <c r="B31809">
        <v>13.8</v>
      </c>
      <c r="C31809" t="s">
        <v>141</v>
      </c>
    </row>
    <row r="31810" spans="1:3" x14ac:dyDescent="0.25">
      <c r="A31810" s="74">
        <v>36602</v>
      </c>
      <c r="B31810">
        <v>14</v>
      </c>
      <c r="C31810" t="s">
        <v>141</v>
      </c>
    </row>
    <row r="31811" spans="1:3" x14ac:dyDescent="0.25">
      <c r="A31811" s="74">
        <v>36603</v>
      </c>
      <c r="B31811">
        <v>16</v>
      </c>
      <c r="C31811" t="s">
        <v>141</v>
      </c>
    </row>
    <row r="31812" spans="1:3" x14ac:dyDescent="0.25">
      <c r="A31812" s="74">
        <v>36604</v>
      </c>
      <c r="B31812">
        <v>19.5</v>
      </c>
      <c r="C31812" t="s">
        <v>141</v>
      </c>
    </row>
    <row r="31813" spans="1:3" x14ac:dyDescent="0.25">
      <c r="A31813" s="74">
        <v>36605</v>
      </c>
      <c r="B31813">
        <v>18</v>
      </c>
      <c r="C31813" t="s">
        <v>141</v>
      </c>
    </row>
    <row r="31814" spans="1:3" x14ac:dyDescent="0.25">
      <c r="A31814" s="74">
        <v>36606</v>
      </c>
      <c r="B31814">
        <v>16</v>
      </c>
      <c r="C31814" t="s">
        <v>141</v>
      </c>
    </row>
    <row r="31815" spans="1:3" x14ac:dyDescent="0.25">
      <c r="A31815" s="74">
        <v>36607</v>
      </c>
      <c r="B31815">
        <v>18</v>
      </c>
      <c r="C31815" t="s">
        <v>141</v>
      </c>
    </row>
    <row r="31816" spans="1:3" x14ac:dyDescent="0.25">
      <c r="A31816" s="74">
        <v>36608</v>
      </c>
      <c r="B31816">
        <v>19</v>
      </c>
      <c r="C31816" t="s">
        <v>141</v>
      </c>
    </row>
    <row r="31817" spans="1:3" x14ac:dyDescent="0.25">
      <c r="A31817" s="74">
        <v>36609</v>
      </c>
      <c r="B31817">
        <v>17</v>
      </c>
      <c r="C31817" t="s">
        <v>141</v>
      </c>
    </row>
    <row r="31818" spans="1:3" x14ac:dyDescent="0.25">
      <c r="A31818" s="74">
        <v>36610</v>
      </c>
      <c r="B31818">
        <v>13.5</v>
      </c>
      <c r="C31818" t="s">
        <v>141</v>
      </c>
    </row>
    <row r="31819" spans="1:3" x14ac:dyDescent="0.25">
      <c r="A31819" s="74">
        <v>36611</v>
      </c>
      <c r="B31819">
        <v>11</v>
      </c>
      <c r="C31819" t="s">
        <v>141</v>
      </c>
    </row>
    <row r="31820" spans="1:3" x14ac:dyDescent="0.25">
      <c r="A31820" s="74">
        <v>36612</v>
      </c>
      <c r="B31820">
        <v>9</v>
      </c>
      <c r="C31820" t="s">
        <v>141</v>
      </c>
    </row>
    <row r="31821" spans="1:3" x14ac:dyDescent="0.25">
      <c r="A31821" s="74">
        <v>36613</v>
      </c>
      <c r="B31821">
        <v>9.4</v>
      </c>
      <c r="C31821" t="s">
        <v>141</v>
      </c>
    </row>
    <row r="31822" spans="1:3" x14ac:dyDescent="0.25">
      <c r="A31822" s="74">
        <v>36614</v>
      </c>
      <c r="B31822">
        <v>9.1199999999999992</v>
      </c>
      <c r="C31822" t="s">
        <v>140</v>
      </c>
    </row>
    <row r="31823" spans="1:3" x14ac:dyDescent="0.25">
      <c r="A31823" s="74">
        <v>36615</v>
      </c>
      <c r="B31823">
        <v>8.69</v>
      </c>
    </row>
    <row r="31824" spans="1:3" x14ac:dyDescent="0.25">
      <c r="A31824" s="74">
        <v>36616</v>
      </c>
      <c r="B31824">
        <v>8.17</v>
      </c>
    </row>
    <row r="31825" spans="1:2" x14ac:dyDescent="0.25">
      <c r="A31825" s="74">
        <v>36617</v>
      </c>
      <c r="B31825">
        <v>9.65</v>
      </c>
    </row>
    <row r="31826" spans="1:2" x14ac:dyDescent="0.25">
      <c r="A31826" s="74">
        <v>36618</v>
      </c>
      <c r="B31826">
        <v>12.4</v>
      </c>
    </row>
    <row r="31827" spans="1:2" x14ac:dyDescent="0.25">
      <c r="A31827" s="74">
        <v>36619</v>
      </c>
      <c r="B31827">
        <v>14.2</v>
      </c>
    </row>
    <row r="31828" spans="1:2" x14ac:dyDescent="0.25">
      <c r="A31828" s="74">
        <v>36620</v>
      </c>
      <c r="B31828">
        <v>16</v>
      </c>
    </row>
    <row r="31829" spans="1:2" x14ac:dyDescent="0.25">
      <c r="A31829" s="74">
        <v>36621</v>
      </c>
      <c r="B31829">
        <v>12.9</v>
      </c>
    </row>
    <row r="31830" spans="1:2" x14ac:dyDescent="0.25">
      <c r="A31830" s="74">
        <v>36622</v>
      </c>
      <c r="B31830">
        <v>10.7</v>
      </c>
    </row>
    <row r="31831" spans="1:2" x14ac:dyDescent="0.25">
      <c r="A31831" s="74">
        <v>36623</v>
      </c>
      <c r="B31831">
        <v>9.08</v>
      </c>
    </row>
    <row r="31832" spans="1:2" x14ac:dyDescent="0.25">
      <c r="A31832" s="74">
        <v>36624</v>
      </c>
      <c r="B31832">
        <v>8.4</v>
      </c>
    </row>
    <row r="31833" spans="1:2" x14ac:dyDescent="0.25">
      <c r="A31833" s="74">
        <v>36625</v>
      </c>
      <c r="B31833">
        <v>9.2100000000000009</v>
      </c>
    </row>
    <row r="31834" spans="1:2" x14ac:dyDescent="0.25">
      <c r="A31834" s="74">
        <v>36626</v>
      </c>
      <c r="B31834">
        <v>10.9</v>
      </c>
    </row>
    <row r="31835" spans="1:2" x14ac:dyDescent="0.25">
      <c r="A31835" s="74">
        <v>36627</v>
      </c>
      <c r="B31835">
        <v>12</v>
      </c>
    </row>
    <row r="31836" spans="1:2" x14ac:dyDescent="0.25">
      <c r="A31836" s="74">
        <v>36628</v>
      </c>
      <c r="B31836">
        <v>13.7</v>
      </c>
    </row>
    <row r="31837" spans="1:2" x14ac:dyDescent="0.25">
      <c r="A31837" s="74">
        <v>36629</v>
      </c>
      <c r="B31837">
        <v>14.7</v>
      </c>
    </row>
    <row r="31838" spans="1:2" x14ac:dyDescent="0.25">
      <c r="A31838" s="74">
        <v>36630</v>
      </c>
      <c r="B31838">
        <v>14.7</v>
      </c>
    </row>
    <row r="31839" spans="1:2" x14ac:dyDescent="0.25">
      <c r="A31839" s="74">
        <v>36631</v>
      </c>
      <c r="B31839">
        <v>12.3</v>
      </c>
    </row>
    <row r="31840" spans="1:2" x14ac:dyDescent="0.25">
      <c r="A31840" s="74">
        <v>36632</v>
      </c>
      <c r="B31840">
        <v>10.6</v>
      </c>
    </row>
    <row r="31841" spans="1:2" x14ac:dyDescent="0.25">
      <c r="A31841" s="74">
        <v>36633</v>
      </c>
      <c r="B31841">
        <v>9.4499999999999993</v>
      </c>
    </row>
    <row r="31842" spans="1:2" x14ac:dyDescent="0.25">
      <c r="A31842" s="74">
        <v>36634</v>
      </c>
      <c r="B31842">
        <v>8.81</v>
      </c>
    </row>
    <row r="31843" spans="1:2" x14ac:dyDescent="0.25">
      <c r="A31843" s="74">
        <v>36635</v>
      </c>
      <c r="B31843">
        <v>8.6999999999999993</v>
      </c>
    </row>
    <row r="31844" spans="1:2" x14ac:dyDescent="0.25">
      <c r="A31844" s="74">
        <v>36636</v>
      </c>
      <c r="B31844">
        <v>8.15</v>
      </c>
    </row>
    <row r="31845" spans="1:2" x14ac:dyDescent="0.25">
      <c r="A31845" s="74">
        <v>36637</v>
      </c>
      <c r="B31845">
        <v>9.3800000000000008</v>
      </c>
    </row>
    <row r="31846" spans="1:2" x14ac:dyDescent="0.25">
      <c r="A31846" s="74">
        <v>36638</v>
      </c>
      <c r="B31846">
        <v>12.7</v>
      </c>
    </row>
    <row r="31847" spans="1:2" x14ac:dyDescent="0.25">
      <c r="A31847" s="74">
        <v>36639</v>
      </c>
      <c r="B31847">
        <v>10.6</v>
      </c>
    </row>
    <row r="31848" spans="1:2" x14ac:dyDescent="0.25">
      <c r="A31848" s="74">
        <v>36640</v>
      </c>
      <c r="B31848">
        <v>8.6999999999999993</v>
      </c>
    </row>
    <row r="31849" spans="1:2" x14ac:dyDescent="0.25">
      <c r="A31849" s="74">
        <v>36641</v>
      </c>
      <c r="B31849">
        <v>7.72</v>
      </c>
    </row>
    <row r="31850" spans="1:2" x14ac:dyDescent="0.25">
      <c r="A31850" s="74">
        <v>36642</v>
      </c>
      <c r="B31850">
        <v>8.59</v>
      </c>
    </row>
    <row r="31851" spans="1:2" x14ac:dyDescent="0.25">
      <c r="A31851" s="74">
        <v>36643</v>
      </c>
      <c r="B31851">
        <v>7.87</v>
      </c>
    </row>
    <row r="31852" spans="1:2" x14ac:dyDescent="0.25">
      <c r="A31852" s="74">
        <v>36644</v>
      </c>
      <c r="B31852">
        <v>11.1</v>
      </c>
    </row>
    <row r="31853" spans="1:2" x14ac:dyDescent="0.25">
      <c r="A31853" s="74">
        <v>36645</v>
      </c>
      <c r="B31853">
        <v>12</v>
      </c>
    </row>
    <row r="31854" spans="1:2" x14ac:dyDescent="0.25">
      <c r="A31854" s="74">
        <v>36646</v>
      </c>
      <c r="B31854">
        <v>11.7</v>
      </c>
    </row>
    <row r="31855" spans="1:2" x14ac:dyDescent="0.25">
      <c r="A31855" s="74">
        <v>36647</v>
      </c>
      <c r="B31855">
        <v>16.600000000000001</v>
      </c>
    </row>
    <row r="31856" spans="1:2" x14ac:dyDescent="0.25">
      <c r="A31856" s="74">
        <v>36648</v>
      </c>
      <c r="B31856">
        <v>15.1</v>
      </c>
    </row>
    <row r="31857" spans="1:2" x14ac:dyDescent="0.25">
      <c r="A31857" s="74">
        <v>36649</v>
      </c>
      <c r="B31857">
        <v>17</v>
      </c>
    </row>
    <row r="31858" spans="1:2" x14ac:dyDescent="0.25">
      <c r="A31858" s="74">
        <v>36650</v>
      </c>
      <c r="B31858">
        <v>14.5</v>
      </c>
    </row>
    <row r="31859" spans="1:2" x14ac:dyDescent="0.25">
      <c r="A31859" s="74">
        <v>36651</v>
      </c>
      <c r="B31859">
        <v>12.3</v>
      </c>
    </row>
    <row r="31860" spans="1:2" x14ac:dyDescent="0.25">
      <c r="A31860" s="74">
        <v>36652</v>
      </c>
      <c r="B31860">
        <v>10.5</v>
      </c>
    </row>
    <row r="31861" spans="1:2" x14ac:dyDescent="0.25">
      <c r="A31861" s="74">
        <v>36653</v>
      </c>
      <c r="B31861">
        <v>9.42</v>
      </c>
    </row>
    <row r="31862" spans="1:2" x14ac:dyDescent="0.25">
      <c r="A31862" s="74">
        <v>36654</v>
      </c>
      <c r="B31862">
        <v>8.56</v>
      </c>
    </row>
    <row r="31863" spans="1:2" x14ac:dyDescent="0.25">
      <c r="A31863" s="74">
        <v>36655</v>
      </c>
      <c r="B31863">
        <v>8.02</v>
      </c>
    </row>
    <row r="31864" spans="1:2" x14ac:dyDescent="0.25">
      <c r="A31864" s="74">
        <v>36656</v>
      </c>
      <c r="B31864">
        <v>7.54</v>
      </c>
    </row>
    <row r="31865" spans="1:2" x14ac:dyDescent="0.25">
      <c r="A31865" s="74">
        <v>36657</v>
      </c>
      <c r="B31865">
        <v>7.72</v>
      </c>
    </row>
    <row r="31866" spans="1:2" x14ac:dyDescent="0.25">
      <c r="A31866" s="74">
        <v>36658</v>
      </c>
      <c r="B31866">
        <v>7.98</v>
      </c>
    </row>
    <row r="31867" spans="1:2" x14ac:dyDescent="0.25">
      <c r="A31867" s="74">
        <v>36659</v>
      </c>
      <c r="B31867">
        <v>7.39</v>
      </c>
    </row>
    <row r="31868" spans="1:2" x14ac:dyDescent="0.25">
      <c r="A31868" s="74">
        <v>36660</v>
      </c>
      <c r="B31868">
        <v>7.79</v>
      </c>
    </row>
    <row r="31869" spans="1:2" x14ac:dyDescent="0.25">
      <c r="A31869" s="74">
        <v>36661</v>
      </c>
      <c r="B31869">
        <v>9.3699999999999992</v>
      </c>
    </row>
    <row r="31870" spans="1:2" x14ac:dyDescent="0.25">
      <c r="A31870" s="74">
        <v>36662</v>
      </c>
      <c r="B31870">
        <v>11.5</v>
      </c>
    </row>
    <row r="31871" spans="1:2" x14ac:dyDescent="0.25">
      <c r="A31871" s="74">
        <v>36663</v>
      </c>
      <c r="B31871">
        <v>12.7</v>
      </c>
    </row>
    <row r="31872" spans="1:2" x14ac:dyDescent="0.25">
      <c r="A31872" s="74">
        <v>36664</v>
      </c>
      <c r="B31872">
        <v>11.3</v>
      </c>
    </row>
    <row r="31873" spans="1:2" x14ac:dyDescent="0.25">
      <c r="A31873" s="74">
        <v>36665</v>
      </c>
      <c r="B31873">
        <v>12.2</v>
      </c>
    </row>
    <row r="31874" spans="1:2" x14ac:dyDescent="0.25">
      <c r="A31874" s="74">
        <v>36666</v>
      </c>
      <c r="B31874">
        <v>12.6</v>
      </c>
    </row>
    <row r="31875" spans="1:2" x14ac:dyDescent="0.25">
      <c r="A31875" s="74">
        <v>36667</v>
      </c>
      <c r="B31875">
        <v>12.7</v>
      </c>
    </row>
    <row r="31876" spans="1:2" x14ac:dyDescent="0.25">
      <c r="A31876" s="74">
        <v>36668</v>
      </c>
      <c r="B31876">
        <v>13.1</v>
      </c>
    </row>
    <row r="31877" spans="1:2" x14ac:dyDescent="0.25">
      <c r="A31877" s="74">
        <v>36669</v>
      </c>
      <c r="B31877">
        <v>9.7200000000000006</v>
      </c>
    </row>
    <row r="31878" spans="1:2" x14ac:dyDescent="0.25">
      <c r="A31878" s="74">
        <v>36670</v>
      </c>
      <c r="B31878">
        <v>8.51</v>
      </c>
    </row>
    <row r="31879" spans="1:2" x14ac:dyDescent="0.25">
      <c r="A31879" s="74">
        <v>36671</v>
      </c>
      <c r="B31879">
        <v>7.87</v>
      </c>
    </row>
    <row r="31880" spans="1:2" x14ac:dyDescent="0.25">
      <c r="A31880" s="74">
        <v>36672</v>
      </c>
      <c r="B31880">
        <v>7.74</v>
      </c>
    </row>
    <row r="31881" spans="1:2" x14ac:dyDescent="0.25">
      <c r="A31881" s="74">
        <v>36673</v>
      </c>
      <c r="B31881">
        <v>11.8</v>
      </c>
    </row>
    <row r="31882" spans="1:2" x14ac:dyDescent="0.25">
      <c r="A31882" s="74">
        <v>36674</v>
      </c>
      <c r="B31882">
        <v>13.6</v>
      </c>
    </row>
    <row r="31883" spans="1:2" x14ac:dyDescent="0.25">
      <c r="A31883" s="74">
        <v>36675</v>
      </c>
      <c r="B31883">
        <v>11.3</v>
      </c>
    </row>
    <row r="31884" spans="1:2" x14ac:dyDescent="0.25">
      <c r="A31884" s="74">
        <v>36676</v>
      </c>
      <c r="B31884">
        <v>10.7</v>
      </c>
    </row>
    <row r="31885" spans="1:2" x14ac:dyDescent="0.25">
      <c r="A31885" s="74">
        <v>36677</v>
      </c>
      <c r="B31885">
        <v>9.51</v>
      </c>
    </row>
    <row r="31886" spans="1:2" x14ac:dyDescent="0.25">
      <c r="A31886" s="74">
        <v>36678</v>
      </c>
      <c r="B31886">
        <v>8.65</v>
      </c>
    </row>
    <row r="31887" spans="1:2" x14ac:dyDescent="0.25">
      <c r="A31887" s="74">
        <v>36679</v>
      </c>
      <c r="B31887">
        <v>8.49</v>
      </c>
    </row>
    <row r="31888" spans="1:2" x14ac:dyDescent="0.25">
      <c r="A31888" s="74">
        <v>36680</v>
      </c>
      <c r="B31888">
        <v>8.9</v>
      </c>
    </row>
    <row r="31889" spans="1:2" x14ac:dyDescent="0.25">
      <c r="A31889" s="74">
        <v>36681</v>
      </c>
      <c r="B31889">
        <v>9.9600000000000009</v>
      </c>
    </row>
    <row r="31890" spans="1:2" x14ac:dyDescent="0.25">
      <c r="A31890" s="74">
        <v>36682</v>
      </c>
      <c r="B31890">
        <v>11</v>
      </c>
    </row>
    <row r="31891" spans="1:2" x14ac:dyDescent="0.25">
      <c r="A31891" s="74">
        <v>36683</v>
      </c>
      <c r="B31891">
        <v>11.1</v>
      </c>
    </row>
    <row r="31892" spans="1:2" x14ac:dyDescent="0.25">
      <c r="A31892" s="74">
        <v>36684</v>
      </c>
      <c r="B31892">
        <v>10.1</v>
      </c>
    </row>
    <row r="31893" spans="1:2" x14ac:dyDescent="0.25">
      <c r="A31893" s="74">
        <v>36685</v>
      </c>
      <c r="B31893">
        <v>8.19</v>
      </c>
    </row>
    <row r="31894" spans="1:2" x14ac:dyDescent="0.25">
      <c r="A31894" s="74">
        <v>36686</v>
      </c>
      <c r="B31894">
        <v>7.89</v>
      </c>
    </row>
    <row r="31895" spans="1:2" x14ac:dyDescent="0.25">
      <c r="A31895" s="74">
        <v>36687</v>
      </c>
      <c r="B31895">
        <v>7.08</v>
      </c>
    </row>
    <row r="31896" spans="1:2" x14ac:dyDescent="0.25">
      <c r="A31896" s="74">
        <v>36688</v>
      </c>
      <c r="B31896">
        <v>6.68</v>
      </c>
    </row>
    <row r="31897" spans="1:2" x14ac:dyDescent="0.25">
      <c r="A31897" s="74">
        <v>36689</v>
      </c>
      <c r="B31897">
        <v>19.2</v>
      </c>
    </row>
    <row r="31898" spans="1:2" x14ac:dyDescent="0.25">
      <c r="A31898" s="74">
        <v>36690</v>
      </c>
      <c r="B31898">
        <v>14.9</v>
      </c>
    </row>
    <row r="31899" spans="1:2" x14ac:dyDescent="0.25">
      <c r="A31899" s="74">
        <v>36691</v>
      </c>
      <c r="B31899">
        <v>12.8</v>
      </c>
    </row>
    <row r="31900" spans="1:2" x14ac:dyDescent="0.25">
      <c r="A31900" s="74">
        <v>36692</v>
      </c>
      <c r="B31900">
        <v>11.6</v>
      </c>
    </row>
    <row r="31901" spans="1:2" x14ac:dyDescent="0.25">
      <c r="A31901" s="74">
        <v>36693</v>
      </c>
      <c r="B31901">
        <v>9.93</v>
      </c>
    </row>
    <row r="31902" spans="1:2" x14ac:dyDescent="0.25">
      <c r="A31902" s="74">
        <v>36694</v>
      </c>
      <c r="B31902">
        <v>9.17</v>
      </c>
    </row>
    <row r="31903" spans="1:2" x14ac:dyDescent="0.25">
      <c r="A31903" s="74">
        <v>36695</v>
      </c>
      <c r="B31903">
        <v>9.44</v>
      </c>
    </row>
    <row r="31904" spans="1:2" x14ac:dyDescent="0.25">
      <c r="A31904" s="74">
        <v>36696</v>
      </c>
      <c r="B31904">
        <v>8.1300000000000008</v>
      </c>
    </row>
    <row r="31905" spans="1:2" x14ac:dyDescent="0.25">
      <c r="A31905" s="74">
        <v>36697</v>
      </c>
      <c r="B31905">
        <v>7.09</v>
      </c>
    </row>
    <row r="31906" spans="1:2" x14ac:dyDescent="0.25">
      <c r="A31906" s="74">
        <v>36698</v>
      </c>
      <c r="B31906">
        <v>6.72</v>
      </c>
    </row>
    <row r="31907" spans="1:2" x14ac:dyDescent="0.25">
      <c r="A31907" s="74">
        <v>36699</v>
      </c>
      <c r="B31907">
        <v>6.26</v>
      </c>
    </row>
    <row r="31908" spans="1:2" x14ac:dyDescent="0.25">
      <c r="A31908" s="74">
        <v>36700</v>
      </c>
      <c r="B31908">
        <v>5.7</v>
      </c>
    </row>
    <row r="31909" spans="1:2" x14ac:dyDescent="0.25">
      <c r="A31909" s="74">
        <v>36701</v>
      </c>
      <c r="B31909">
        <v>5.27</v>
      </c>
    </row>
    <row r="31910" spans="1:2" x14ac:dyDescent="0.25">
      <c r="A31910" s="74">
        <v>36702</v>
      </c>
      <c r="B31910">
        <v>5.14</v>
      </c>
    </row>
    <row r="31911" spans="1:2" x14ac:dyDescent="0.25">
      <c r="A31911" s="74">
        <v>36703</v>
      </c>
      <c r="B31911">
        <v>5.08</v>
      </c>
    </row>
    <row r="31912" spans="1:2" x14ac:dyDescent="0.25">
      <c r="A31912" s="74">
        <v>36704</v>
      </c>
      <c r="B31912">
        <v>5.55</v>
      </c>
    </row>
    <row r="31913" spans="1:2" x14ac:dyDescent="0.25">
      <c r="A31913" s="74">
        <v>36705</v>
      </c>
      <c r="B31913">
        <v>5.71</v>
      </c>
    </row>
    <row r="31914" spans="1:2" x14ac:dyDescent="0.25">
      <c r="A31914" s="74">
        <v>36706</v>
      </c>
      <c r="B31914">
        <v>5.15</v>
      </c>
    </row>
    <row r="31915" spans="1:2" x14ac:dyDescent="0.25">
      <c r="A31915" s="74">
        <v>36707</v>
      </c>
      <c r="B31915">
        <v>4.1500000000000004</v>
      </c>
    </row>
    <row r="31916" spans="1:2" x14ac:dyDescent="0.25">
      <c r="A31916" s="74">
        <v>36708</v>
      </c>
      <c r="B31916">
        <v>3.77</v>
      </c>
    </row>
    <row r="31917" spans="1:2" x14ac:dyDescent="0.25">
      <c r="A31917" s="74">
        <v>36709</v>
      </c>
      <c r="B31917">
        <v>3.32</v>
      </c>
    </row>
    <row r="31918" spans="1:2" x14ac:dyDescent="0.25">
      <c r="A31918" s="74">
        <v>36710</v>
      </c>
      <c r="B31918">
        <v>3.18</v>
      </c>
    </row>
    <row r="31919" spans="1:2" x14ac:dyDescent="0.25">
      <c r="A31919" s="74">
        <v>36711</v>
      </c>
      <c r="B31919">
        <v>2.94</v>
      </c>
    </row>
    <row r="31920" spans="1:2" x14ac:dyDescent="0.25">
      <c r="A31920" s="74">
        <v>36712</v>
      </c>
      <c r="B31920">
        <v>2.8</v>
      </c>
    </row>
    <row r="31921" spans="1:2" x14ac:dyDescent="0.25">
      <c r="A31921" s="74">
        <v>36713</v>
      </c>
      <c r="B31921">
        <v>2.63</v>
      </c>
    </row>
    <row r="31922" spans="1:2" x14ac:dyDescent="0.25">
      <c r="A31922" s="74">
        <v>36714</v>
      </c>
      <c r="B31922">
        <v>2.4900000000000002</v>
      </c>
    </row>
    <row r="31923" spans="1:2" x14ac:dyDescent="0.25">
      <c r="A31923" s="74">
        <v>36715</v>
      </c>
      <c r="B31923">
        <v>2.4700000000000002</v>
      </c>
    </row>
    <row r="31924" spans="1:2" x14ac:dyDescent="0.25">
      <c r="A31924" s="74">
        <v>36716</v>
      </c>
      <c r="B31924">
        <v>2.99</v>
      </c>
    </row>
    <row r="31925" spans="1:2" x14ac:dyDescent="0.25">
      <c r="A31925" s="74">
        <v>36717</v>
      </c>
      <c r="B31925">
        <v>2.62</v>
      </c>
    </row>
    <row r="31926" spans="1:2" x14ac:dyDescent="0.25">
      <c r="A31926" s="74">
        <v>36718</v>
      </c>
      <c r="B31926">
        <v>2.4300000000000002</v>
      </c>
    </row>
    <row r="31927" spans="1:2" x14ac:dyDescent="0.25">
      <c r="A31927" s="74">
        <v>36719</v>
      </c>
      <c r="B31927">
        <v>2.23</v>
      </c>
    </row>
    <row r="31928" spans="1:2" x14ac:dyDescent="0.25">
      <c r="A31928" s="74">
        <v>36720</v>
      </c>
      <c r="B31928">
        <v>2.15</v>
      </c>
    </row>
    <row r="31929" spans="1:2" x14ac:dyDescent="0.25">
      <c r="A31929" s="74">
        <v>36721</v>
      </c>
      <c r="B31929">
        <v>2.09</v>
      </c>
    </row>
    <row r="31930" spans="1:2" x14ac:dyDescent="0.25">
      <c r="A31930" s="74">
        <v>36722</v>
      </c>
      <c r="B31930">
        <v>1.97</v>
      </c>
    </row>
    <row r="31931" spans="1:2" x14ac:dyDescent="0.25">
      <c r="A31931" s="74">
        <v>36723</v>
      </c>
      <c r="B31931">
        <v>1.85</v>
      </c>
    </row>
    <row r="31932" spans="1:2" x14ac:dyDescent="0.25">
      <c r="A31932" s="74">
        <v>36724</v>
      </c>
      <c r="B31932">
        <v>1.77</v>
      </c>
    </row>
    <row r="31933" spans="1:2" x14ac:dyDescent="0.25">
      <c r="A31933" s="74">
        <v>36725</v>
      </c>
      <c r="B31933">
        <v>1.76</v>
      </c>
    </row>
    <row r="31934" spans="1:2" x14ac:dyDescent="0.25">
      <c r="A31934" s="74">
        <v>36726</v>
      </c>
      <c r="B31934">
        <v>1.79</v>
      </c>
    </row>
    <row r="31935" spans="1:2" x14ac:dyDescent="0.25">
      <c r="A31935" s="74">
        <v>36727</v>
      </c>
      <c r="B31935">
        <v>1.79</v>
      </c>
    </row>
    <row r="31936" spans="1:2" x14ac:dyDescent="0.25">
      <c r="A31936" s="74">
        <v>36728</v>
      </c>
      <c r="B31936">
        <v>1.84</v>
      </c>
    </row>
    <row r="31937" spans="1:2" x14ac:dyDescent="0.25">
      <c r="A31937" s="74">
        <v>36729</v>
      </c>
      <c r="B31937">
        <v>1.81</v>
      </c>
    </row>
    <row r="31938" spans="1:2" x14ac:dyDescent="0.25">
      <c r="A31938" s="74">
        <v>36730</v>
      </c>
      <c r="B31938">
        <v>1.95</v>
      </c>
    </row>
    <row r="31939" spans="1:2" x14ac:dyDescent="0.25">
      <c r="A31939" s="74">
        <v>36731</v>
      </c>
      <c r="B31939">
        <v>1.74</v>
      </c>
    </row>
    <row r="31940" spans="1:2" x14ac:dyDescent="0.25">
      <c r="A31940" s="74">
        <v>36732</v>
      </c>
      <c r="B31940">
        <v>1.76</v>
      </c>
    </row>
    <row r="31941" spans="1:2" x14ac:dyDescent="0.25">
      <c r="A31941" s="74">
        <v>36733</v>
      </c>
      <c r="B31941">
        <v>1.77</v>
      </c>
    </row>
    <row r="31942" spans="1:2" x14ac:dyDescent="0.25">
      <c r="A31942" s="74">
        <v>36734</v>
      </c>
      <c r="B31942">
        <v>2.65</v>
      </c>
    </row>
    <row r="31943" spans="1:2" x14ac:dyDescent="0.25">
      <c r="A31943" s="74">
        <v>36735</v>
      </c>
      <c r="B31943">
        <v>7.16</v>
      </c>
    </row>
    <row r="31944" spans="1:2" x14ac:dyDescent="0.25">
      <c r="A31944" s="74">
        <v>36736</v>
      </c>
      <c r="B31944">
        <v>5.35</v>
      </c>
    </row>
    <row r="31945" spans="1:2" x14ac:dyDescent="0.25">
      <c r="A31945" s="74">
        <v>36737</v>
      </c>
      <c r="B31945">
        <v>3.02</v>
      </c>
    </row>
    <row r="31946" spans="1:2" x14ac:dyDescent="0.25">
      <c r="A31946" s="74">
        <v>36738</v>
      </c>
      <c r="B31946">
        <v>2.3199999999999998</v>
      </c>
    </row>
    <row r="31947" spans="1:2" x14ac:dyDescent="0.25">
      <c r="A31947" s="74">
        <v>36739</v>
      </c>
      <c r="B31947">
        <v>2.58</v>
      </c>
    </row>
    <row r="31948" spans="1:2" x14ac:dyDescent="0.25">
      <c r="A31948" s="74">
        <v>36740</v>
      </c>
      <c r="B31948">
        <v>2.5299999999999998</v>
      </c>
    </row>
    <row r="31949" spans="1:2" x14ac:dyDescent="0.25">
      <c r="A31949" s="74">
        <v>36741</v>
      </c>
      <c r="B31949">
        <v>1.93</v>
      </c>
    </row>
    <row r="31950" spans="1:2" x14ac:dyDescent="0.25">
      <c r="A31950" s="74">
        <v>36742</v>
      </c>
      <c r="B31950">
        <v>1.75</v>
      </c>
    </row>
    <row r="31951" spans="1:2" x14ac:dyDescent="0.25">
      <c r="A31951" s="74">
        <v>36743</v>
      </c>
      <c r="B31951">
        <v>2.02</v>
      </c>
    </row>
    <row r="31952" spans="1:2" x14ac:dyDescent="0.25">
      <c r="A31952" s="74">
        <v>36744</v>
      </c>
      <c r="B31952">
        <v>2.5</v>
      </c>
    </row>
    <row r="31953" spans="1:2" x14ac:dyDescent="0.25">
      <c r="A31953" s="74">
        <v>36745</v>
      </c>
      <c r="B31953">
        <v>2.4500000000000002</v>
      </c>
    </row>
    <row r="31954" spans="1:2" x14ac:dyDescent="0.25">
      <c r="A31954" s="74">
        <v>36746</v>
      </c>
      <c r="B31954">
        <v>2.41</v>
      </c>
    </row>
    <row r="31955" spans="1:2" x14ac:dyDescent="0.25">
      <c r="A31955" s="74">
        <v>36747</v>
      </c>
      <c r="B31955">
        <v>2.48</v>
      </c>
    </row>
    <row r="31956" spans="1:2" x14ac:dyDescent="0.25">
      <c r="A31956" s="74">
        <v>36748</v>
      </c>
      <c r="B31956">
        <v>2.5</v>
      </c>
    </row>
    <row r="31957" spans="1:2" x14ac:dyDescent="0.25">
      <c r="A31957" s="74">
        <v>36749</v>
      </c>
      <c r="B31957">
        <v>2.4900000000000002</v>
      </c>
    </row>
    <row r="31958" spans="1:2" x14ac:dyDescent="0.25">
      <c r="A31958" s="74">
        <v>36750</v>
      </c>
      <c r="B31958">
        <v>2.63</v>
      </c>
    </row>
    <row r="31959" spans="1:2" x14ac:dyDescent="0.25">
      <c r="A31959" s="74">
        <v>36751</v>
      </c>
      <c r="B31959">
        <v>2.57</v>
      </c>
    </row>
    <row r="31960" spans="1:2" x14ac:dyDescent="0.25">
      <c r="A31960" s="74">
        <v>36752</v>
      </c>
      <c r="B31960">
        <v>2.5</v>
      </c>
    </row>
    <row r="31961" spans="1:2" x14ac:dyDescent="0.25">
      <c r="A31961" s="74">
        <v>36753</v>
      </c>
      <c r="B31961">
        <v>2.4700000000000002</v>
      </c>
    </row>
    <row r="31962" spans="1:2" x14ac:dyDescent="0.25">
      <c r="A31962" s="74">
        <v>36754</v>
      </c>
      <c r="B31962">
        <v>2.38</v>
      </c>
    </row>
    <row r="31963" spans="1:2" x14ac:dyDescent="0.25">
      <c r="A31963" s="74">
        <v>36755</v>
      </c>
      <c r="B31963">
        <v>2.38</v>
      </c>
    </row>
    <row r="31964" spans="1:2" x14ac:dyDescent="0.25">
      <c r="A31964" s="74">
        <v>36756</v>
      </c>
      <c r="B31964">
        <v>2.35</v>
      </c>
    </row>
    <row r="31965" spans="1:2" x14ac:dyDescent="0.25">
      <c r="A31965" s="74">
        <v>36757</v>
      </c>
      <c r="B31965">
        <v>2.31</v>
      </c>
    </row>
    <row r="31966" spans="1:2" x14ac:dyDescent="0.25">
      <c r="A31966" s="74">
        <v>36758</v>
      </c>
      <c r="B31966">
        <v>2.36</v>
      </c>
    </row>
    <row r="31967" spans="1:2" x14ac:dyDescent="0.25">
      <c r="A31967" s="74">
        <v>36759</v>
      </c>
      <c r="B31967">
        <v>2.27</v>
      </c>
    </row>
    <row r="31968" spans="1:2" x14ac:dyDescent="0.25">
      <c r="A31968" s="74">
        <v>36760</v>
      </c>
      <c r="B31968">
        <v>2.23</v>
      </c>
    </row>
    <row r="31969" spans="1:2" x14ac:dyDescent="0.25">
      <c r="A31969" s="74">
        <v>36761</v>
      </c>
      <c r="B31969">
        <v>2.2000000000000002</v>
      </c>
    </row>
    <row r="31970" spans="1:2" x14ac:dyDescent="0.25">
      <c r="A31970" s="74">
        <v>36762</v>
      </c>
      <c r="B31970">
        <v>2.16</v>
      </c>
    </row>
    <row r="31971" spans="1:2" x14ac:dyDescent="0.25">
      <c r="A31971" s="74">
        <v>36763</v>
      </c>
      <c r="B31971">
        <v>2.17</v>
      </c>
    </row>
    <row r="31972" spans="1:2" x14ac:dyDescent="0.25">
      <c r="A31972" s="74">
        <v>36764</v>
      </c>
      <c r="B31972">
        <v>2.13</v>
      </c>
    </row>
    <row r="31973" spans="1:2" x14ac:dyDescent="0.25">
      <c r="A31973" s="74">
        <v>36765</v>
      </c>
      <c r="B31973">
        <v>2.1</v>
      </c>
    </row>
    <row r="31974" spans="1:2" x14ac:dyDescent="0.25">
      <c r="A31974" s="74">
        <v>36766</v>
      </c>
      <c r="B31974">
        <v>2.0299999999999998</v>
      </c>
    </row>
    <row r="31975" spans="1:2" x14ac:dyDescent="0.25">
      <c r="A31975" s="74">
        <v>36767</v>
      </c>
      <c r="B31975">
        <v>2.08</v>
      </c>
    </row>
    <row r="31976" spans="1:2" x14ac:dyDescent="0.25">
      <c r="A31976" s="74">
        <v>36768</v>
      </c>
      <c r="B31976">
        <v>2.0499999999999998</v>
      </c>
    </row>
    <row r="31977" spans="1:2" x14ac:dyDescent="0.25">
      <c r="A31977" s="74">
        <v>36769</v>
      </c>
      <c r="B31977">
        <v>2.04</v>
      </c>
    </row>
    <row r="31978" spans="1:2" x14ac:dyDescent="0.25">
      <c r="A31978" s="74">
        <v>36770</v>
      </c>
      <c r="B31978">
        <v>2.0499999999999998</v>
      </c>
    </row>
    <row r="31979" spans="1:2" x14ac:dyDescent="0.25">
      <c r="A31979" s="74">
        <v>36771</v>
      </c>
      <c r="B31979">
        <v>2.0099999999999998</v>
      </c>
    </row>
    <row r="31980" spans="1:2" x14ac:dyDescent="0.25">
      <c r="A31980" s="74">
        <v>36772</v>
      </c>
      <c r="B31980">
        <v>2</v>
      </c>
    </row>
    <row r="31981" spans="1:2" x14ac:dyDescent="0.25">
      <c r="A31981" s="74">
        <v>36773</v>
      </c>
      <c r="B31981">
        <v>1.95</v>
      </c>
    </row>
    <row r="31982" spans="1:2" x14ac:dyDescent="0.25">
      <c r="A31982" s="74">
        <v>36774</v>
      </c>
      <c r="B31982">
        <v>1.93</v>
      </c>
    </row>
    <row r="31983" spans="1:2" x14ac:dyDescent="0.25">
      <c r="A31983" s="74">
        <v>36775</v>
      </c>
      <c r="B31983">
        <v>1.86</v>
      </c>
    </row>
    <row r="31984" spans="1:2" x14ac:dyDescent="0.25">
      <c r="A31984" s="74">
        <v>36776</v>
      </c>
      <c r="B31984">
        <v>1.83</v>
      </c>
    </row>
    <row r="31985" spans="1:3" x14ac:dyDescent="0.25">
      <c r="A31985" s="74">
        <v>36777</v>
      </c>
      <c r="B31985">
        <v>1.83</v>
      </c>
    </row>
    <row r="31986" spans="1:3" x14ac:dyDescent="0.25">
      <c r="A31986" s="74">
        <v>36778</v>
      </c>
      <c r="B31986">
        <v>2.02</v>
      </c>
      <c r="C31986" t="s">
        <v>140</v>
      </c>
    </row>
    <row r="31987" spans="1:3" x14ac:dyDescent="0.25">
      <c r="A31987" s="74">
        <v>36779</v>
      </c>
      <c r="B31987">
        <v>2.2000000000000002</v>
      </c>
      <c r="C31987" t="s">
        <v>141</v>
      </c>
    </row>
    <row r="31988" spans="1:3" x14ac:dyDescent="0.25">
      <c r="A31988" s="74">
        <v>36780</v>
      </c>
      <c r="B31988">
        <v>2.08</v>
      </c>
      <c r="C31988" t="s">
        <v>141</v>
      </c>
    </row>
    <row r="31989" spans="1:3" x14ac:dyDescent="0.25">
      <c r="A31989" s="74">
        <v>36781</v>
      </c>
      <c r="B31989">
        <v>1.92</v>
      </c>
      <c r="C31989" t="s">
        <v>141</v>
      </c>
    </row>
    <row r="31990" spans="1:3" x14ac:dyDescent="0.25">
      <c r="A31990" s="74">
        <v>36782</v>
      </c>
      <c r="B31990">
        <v>1.81</v>
      </c>
      <c r="C31990" t="s">
        <v>140</v>
      </c>
    </row>
    <row r="31991" spans="1:3" x14ac:dyDescent="0.25">
      <c r="A31991" s="74">
        <v>36783</v>
      </c>
      <c r="B31991">
        <v>1.73</v>
      </c>
    </row>
    <row r="31992" spans="1:3" x14ac:dyDescent="0.25">
      <c r="A31992" s="74">
        <v>36784</v>
      </c>
      <c r="B31992">
        <v>1.69</v>
      </c>
    </row>
    <row r="31993" spans="1:3" x14ac:dyDescent="0.25">
      <c r="A31993" s="74">
        <v>36785</v>
      </c>
      <c r="B31993">
        <v>1.63</v>
      </c>
    </row>
    <row r="31994" spans="1:3" x14ac:dyDescent="0.25">
      <c r="A31994" s="74">
        <v>36786</v>
      </c>
      <c r="B31994">
        <v>1.6</v>
      </c>
    </row>
    <row r="31995" spans="1:3" x14ac:dyDescent="0.25">
      <c r="A31995" s="74">
        <v>36787</v>
      </c>
      <c r="B31995">
        <v>1.57</v>
      </c>
    </row>
    <row r="31996" spans="1:3" x14ac:dyDescent="0.25">
      <c r="A31996" s="74">
        <v>36788</v>
      </c>
      <c r="B31996">
        <v>1.52</v>
      </c>
    </row>
    <row r="31997" spans="1:3" x14ac:dyDescent="0.25">
      <c r="A31997" s="74">
        <v>36789</v>
      </c>
      <c r="B31997">
        <v>1.51</v>
      </c>
    </row>
    <row r="31998" spans="1:3" x14ac:dyDescent="0.25">
      <c r="A31998" s="74">
        <v>36790</v>
      </c>
      <c r="B31998">
        <v>1.46</v>
      </c>
    </row>
    <row r="31999" spans="1:3" x14ac:dyDescent="0.25">
      <c r="A31999" s="74">
        <v>36791</v>
      </c>
      <c r="B31999">
        <v>1.36</v>
      </c>
    </row>
    <row r="32000" spans="1:3" x14ac:dyDescent="0.25">
      <c r="A32000" s="74">
        <v>36792</v>
      </c>
      <c r="B32000">
        <v>1.3</v>
      </c>
    </row>
    <row r="32001" spans="1:2" x14ac:dyDescent="0.25">
      <c r="A32001" s="74">
        <v>36793</v>
      </c>
      <c r="B32001">
        <v>1.27</v>
      </c>
    </row>
    <row r="32002" spans="1:2" x14ac:dyDescent="0.25">
      <c r="A32002" s="74">
        <v>36794</v>
      </c>
      <c r="B32002">
        <v>1.23</v>
      </c>
    </row>
    <row r="32003" spans="1:2" x14ac:dyDescent="0.25">
      <c r="A32003" s="74">
        <v>36795</v>
      </c>
      <c r="B32003">
        <v>0.95299999999999996</v>
      </c>
    </row>
    <row r="32004" spans="1:2" x14ac:dyDescent="0.25">
      <c r="A32004" s="74">
        <v>36796</v>
      </c>
      <c r="B32004">
        <v>0.73099999999999998</v>
      </c>
    </row>
    <row r="32005" spans="1:2" x14ac:dyDescent="0.25">
      <c r="A32005" s="74">
        <v>36797</v>
      </c>
      <c r="B32005">
        <v>0.66500000000000004</v>
      </c>
    </row>
    <row r="32006" spans="1:2" x14ac:dyDescent="0.25">
      <c r="A32006" s="74">
        <v>36798</v>
      </c>
      <c r="B32006">
        <v>0.73499999999999999</v>
      </c>
    </row>
    <row r="32007" spans="1:2" x14ac:dyDescent="0.25">
      <c r="A32007" s="74">
        <v>36799</v>
      </c>
      <c r="B32007">
        <v>0.98</v>
      </c>
    </row>
    <row r="32008" spans="1:2" x14ac:dyDescent="0.25">
      <c r="A32008" s="74">
        <v>36800</v>
      </c>
      <c r="B32008">
        <v>0.997</v>
      </c>
    </row>
    <row r="32009" spans="1:2" x14ac:dyDescent="0.25">
      <c r="A32009" s="74">
        <v>36801</v>
      </c>
      <c r="B32009">
        <v>0.88900000000000001</v>
      </c>
    </row>
    <row r="32010" spans="1:2" x14ac:dyDescent="0.25">
      <c r="A32010" s="74">
        <v>36802</v>
      </c>
      <c r="B32010">
        <v>0.81399999999999995</v>
      </c>
    </row>
    <row r="32011" spans="1:2" x14ac:dyDescent="0.25">
      <c r="A32011" s="74">
        <v>36803</v>
      </c>
      <c r="B32011">
        <v>0.748</v>
      </c>
    </row>
    <row r="32012" spans="1:2" x14ac:dyDescent="0.25">
      <c r="A32012" s="74">
        <v>36804</v>
      </c>
      <c r="B32012">
        <v>0.73099999999999998</v>
      </c>
    </row>
    <row r="32013" spans="1:2" x14ac:dyDescent="0.25">
      <c r="A32013" s="74">
        <v>36805</v>
      </c>
      <c r="B32013">
        <v>0.69099999999999995</v>
      </c>
    </row>
    <row r="32014" spans="1:2" x14ac:dyDescent="0.25">
      <c r="A32014" s="74">
        <v>36806</v>
      </c>
      <c r="B32014">
        <v>0.95199999999999996</v>
      </c>
    </row>
    <row r="32015" spans="1:2" x14ac:dyDescent="0.25">
      <c r="A32015" s="74">
        <v>36807</v>
      </c>
      <c r="B32015">
        <v>1.03</v>
      </c>
    </row>
    <row r="32016" spans="1:2" x14ac:dyDescent="0.25">
      <c r="A32016" s="74">
        <v>36808</v>
      </c>
      <c r="B32016">
        <v>1.02</v>
      </c>
    </row>
    <row r="32017" spans="1:2" x14ac:dyDescent="0.25">
      <c r="A32017" s="74">
        <v>36809</v>
      </c>
      <c r="B32017">
        <v>1.02</v>
      </c>
    </row>
    <row r="32018" spans="1:2" x14ac:dyDescent="0.25">
      <c r="A32018" s="74">
        <v>36810</v>
      </c>
      <c r="B32018">
        <v>0.98</v>
      </c>
    </row>
    <row r="32019" spans="1:2" x14ac:dyDescent="0.25">
      <c r="A32019" s="74">
        <v>36811</v>
      </c>
      <c r="B32019">
        <v>0.96399999999999997</v>
      </c>
    </row>
    <row r="32020" spans="1:2" x14ac:dyDescent="0.25">
      <c r="A32020" s="74">
        <v>36812</v>
      </c>
      <c r="B32020">
        <v>0.93200000000000005</v>
      </c>
    </row>
    <row r="32021" spans="1:2" x14ac:dyDescent="0.25">
      <c r="A32021" s="74">
        <v>36813</v>
      </c>
      <c r="B32021">
        <v>0.93700000000000006</v>
      </c>
    </row>
    <row r="32022" spans="1:2" x14ac:dyDescent="0.25">
      <c r="A32022" s="74">
        <v>36814</v>
      </c>
      <c r="B32022">
        <v>0.95199999999999996</v>
      </c>
    </row>
    <row r="32023" spans="1:2" x14ac:dyDescent="0.25">
      <c r="A32023" s="74">
        <v>36815</v>
      </c>
      <c r="B32023">
        <v>1.67</v>
      </c>
    </row>
    <row r="32024" spans="1:2" x14ac:dyDescent="0.25">
      <c r="A32024" s="74">
        <v>36816</v>
      </c>
      <c r="B32024">
        <v>18.899999999999999</v>
      </c>
    </row>
    <row r="32025" spans="1:2" x14ac:dyDescent="0.25">
      <c r="A32025" s="74">
        <v>36817</v>
      </c>
      <c r="B32025">
        <v>30.1</v>
      </c>
    </row>
    <row r="32026" spans="1:2" x14ac:dyDescent="0.25">
      <c r="A32026" s="74">
        <v>36818</v>
      </c>
      <c r="B32026">
        <v>15.2</v>
      </c>
    </row>
    <row r="32027" spans="1:2" x14ac:dyDescent="0.25">
      <c r="A32027" s="74">
        <v>36819</v>
      </c>
      <c r="B32027">
        <v>73.900000000000006</v>
      </c>
    </row>
    <row r="32028" spans="1:2" x14ac:dyDescent="0.25">
      <c r="A32028" s="74">
        <v>36820</v>
      </c>
      <c r="B32028">
        <v>24</v>
      </c>
    </row>
    <row r="32029" spans="1:2" x14ac:dyDescent="0.25">
      <c r="A32029" s="74">
        <v>36821</v>
      </c>
      <c r="B32029">
        <v>13.3</v>
      </c>
    </row>
    <row r="32030" spans="1:2" x14ac:dyDescent="0.25">
      <c r="A32030" s="74">
        <v>36822</v>
      </c>
      <c r="B32030">
        <v>9.6999999999999993</v>
      </c>
    </row>
    <row r="32031" spans="1:2" x14ac:dyDescent="0.25">
      <c r="A32031" s="74">
        <v>36823</v>
      </c>
      <c r="B32031">
        <v>7.57</v>
      </c>
    </row>
    <row r="32032" spans="1:2" x14ac:dyDescent="0.25">
      <c r="A32032" s="74">
        <v>36824</v>
      </c>
      <c r="B32032">
        <v>6.14</v>
      </c>
    </row>
    <row r="32033" spans="1:2" x14ac:dyDescent="0.25">
      <c r="A32033" s="74">
        <v>36825</v>
      </c>
      <c r="B32033">
        <v>5.13</v>
      </c>
    </row>
    <row r="32034" spans="1:2" x14ac:dyDescent="0.25">
      <c r="A32034" s="74">
        <v>36826</v>
      </c>
      <c r="B32034">
        <v>4.47</v>
      </c>
    </row>
    <row r="32035" spans="1:2" x14ac:dyDescent="0.25">
      <c r="A32035" s="74">
        <v>36827</v>
      </c>
      <c r="B32035">
        <v>9.91</v>
      </c>
    </row>
    <row r="32036" spans="1:2" x14ac:dyDescent="0.25">
      <c r="A32036" s="74">
        <v>36828</v>
      </c>
      <c r="B32036">
        <v>13.4</v>
      </c>
    </row>
    <row r="32037" spans="1:2" x14ac:dyDescent="0.25">
      <c r="A32037" s="74">
        <v>36829</v>
      </c>
      <c r="B32037">
        <v>10.4</v>
      </c>
    </row>
    <row r="32038" spans="1:2" x14ac:dyDescent="0.25">
      <c r="A32038" s="74">
        <v>36830</v>
      </c>
      <c r="B32038">
        <v>8.44</v>
      </c>
    </row>
    <row r="32039" spans="1:2" x14ac:dyDescent="0.25">
      <c r="A32039" s="74">
        <v>36831</v>
      </c>
      <c r="B32039">
        <v>7.04</v>
      </c>
    </row>
    <row r="32040" spans="1:2" x14ac:dyDescent="0.25">
      <c r="A32040" s="74">
        <v>36832</v>
      </c>
      <c r="B32040">
        <v>6.02</v>
      </c>
    </row>
    <row r="32041" spans="1:2" x14ac:dyDescent="0.25">
      <c r="A32041" s="74">
        <v>36833</v>
      </c>
      <c r="B32041">
        <v>5.25</v>
      </c>
    </row>
    <row r="32042" spans="1:2" x14ac:dyDescent="0.25">
      <c r="A32042" s="74">
        <v>36834</v>
      </c>
      <c r="B32042">
        <v>12.5</v>
      </c>
    </row>
    <row r="32043" spans="1:2" x14ac:dyDescent="0.25">
      <c r="A32043" s="74">
        <v>36835</v>
      </c>
      <c r="B32043">
        <v>12.2</v>
      </c>
    </row>
    <row r="32044" spans="1:2" x14ac:dyDescent="0.25">
      <c r="A32044" s="74">
        <v>36836</v>
      </c>
      <c r="B32044">
        <v>10.7</v>
      </c>
    </row>
    <row r="32045" spans="1:2" x14ac:dyDescent="0.25">
      <c r="A32045" s="74">
        <v>36837</v>
      </c>
      <c r="B32045">
        <v>9.14</v>
      </c>
    </row>
    <row r="32046" spans="1:2" x14ac:dyDescent="0.25">
      <c r="A32046" s="74">
        <v>36838</v>
      </c>
      <c r="B32046">
        <v>8.36</v>
      </c>
    </row>
    <row r="32047" spans="1:2" x14ac:dyDescent="0.25">
      <c r="A32047" s="74">
        <v>36839</v>
      </c>
      <c r="B32047">
        <v>8.01</v>
      </c>
    </row>
    <row r="32048" spans="1:2" x14ac:dyDescent="0.25">
      <c r="A32048" s="74">
        <v>36840</v>
      </c>
      <c r="B32048">
        <v>7.1</v>
      </c>
    </row>
    <row r="32049" spans="1:3" x14ac:dyDescent="0.25">
      <c r="A32049" s="74">
        <v>36841</v>
      </c>
      <c r="B32049">
        <v>6.21</v>
      </c>
    </row>
    <row r="32050" spans="1:3" x14ac:dyDescent="0.25">
      <c r="A32050" s="74">
        <v>36842</v>
      </c>
      <c r="B32050">
        <v>5.49</v>
      </c>
    </row>
    <row r="32051" spans="1:3" x14ac:dyDescent="0.25">
      <c r="A32051" s="74">
        <v>36843</v>
      </c>
      <c r="B32051">
        <v>5.09</v>
      </c>
    </row>
    <row r="32052" spans="1:3" x14ac:dyDescent="0.25">
      <c r="A32052" s="74">
        <v>36844</v>
      </c>
      <c r="B32052">
        <v>4.58</v>
      </c>
    </row>
    <row r="32053" spans="1:3" x14ac:dyDescent="0.25">
      <c r="A32053" s="74">
        <v>36845</v>
      </c>
      <c r="B32053">
        <v>3.8</v>
      </c>
    </row>
    <row r="32054" spans="1:3" x14ac:dyDescent="0.25">
      <c r="A32054" s="74">
        <v>36846</v>
      </c>
      <c r="B32054">
        <v>4.0599999999999996</v>
      </c>
    </row>
    <row r="32055" spans="1:3" x14ac:dyDescent="0.25">
      <c r="A32055" s="74">
        <v>36847</v>
      </c>
      <c r="B32055">
        <v>3.74</v>
      </c>
    </row>
    <row r="32056" spans="1:3" x14ac:dyDescent="0.25">
      <c r="A32056" s="74">
        <v>36848</v>
      </c>
      <c r="B32056">
        <v>3.4</v>
      </c>
      <c r="C32056" t="s">
        <v>142</v>
      </c>
    </row>
    <row r="32057" spans="1:3" x14ac:dyDescent="0.25">
      <c r="A32057" s="74">
        <v>36849</v>
      </c>
      <c r="B32057">
        <v>3.2</v>
      </c>
      <c r="C32057" t="s">
        <v>142</v>
      </c>
    </row>
    <row r="32058" spans="1:3" x14ac:dyDescent="0.25">
      <c r="A32058" s="74">
        <v>36850</v>
      </c>
      <c r="B32058">
        <v>2.7</v>
      </c>
      <c r="C32058" t="s">
        <v>142</v>
      </c>
    </row>
    <row r="32059" spans="1:3" x14ac:dyDescent="0.25">
      <c r="A32059" s="74">
        <v>36851</v>
      </c>
      <c r="B32059">
        <v>2.44</v>
      </c>
    </row>
    <row r="32060" spans="1:3" x14ac:dyDescent="0.25">
      <c r="A32060" s="74">
        <v>36852</v>
      </c>
      <c r="B32060">
        <v>2.21</v>
      </c>
    </row>
    <row r="32061" spans="1:3" x14ac:dyDescent="0.25">
      <c r="A32061" s="74">
        <v>36853</v>
      </c>
      <c r="B32061">
        <v>3.43</v>
      </c>
    </row>
    <row r="32062" spans="1:3" x14ac:dyDescent="0.25">
      <c r="A32062" s="74">
        <v>36854</v>
      </c>
      <c r="B32062">
        <v>4.99</v>
      </c>
    </row>
    <row r="32063" spans="1:3" x14ac:dyDescent="0.25">
      <c r="A32063" s="74">
        <v>36855</v>
      </c>
      <c r="B32063">
        <v>9.4700000000000006</v>
      </c>
    </row>
    <row r="32064" spans="1:3" x14ac:dyDescent="0.25">
      <c r="A32064" s="74">
        <v>36856</v>
      </c>
      <c r="B32064">
        <v>26</v>
      </c>
    </row>
    <row r="32065" spans="1:2" x14ac:dyDescent="0.25">
      <c r="A32065" s="74">
        <v>36857</v>
      </c>
      <c r="B32065">
        <v>24.5</v>
      </c>
    </row>
    <row r="32066" spans="1:2" x14ac:dyDescent="0.25">
      <c r="A32066" s="74">
        <v>36858</v>
      </c>
      <c r="B32066">
        <v>14.7</v>
      </c>
    </row>
    <row r="32067" spans="1:2" x14ac:dyDescent="0.25">
      <c r="A32067" s="74">
        <v>36859</v>
      </c>
      <c r="B32067">
        <v>11.7</v>
      </c>
    </row>
    <row r="32068" spans="1:2" x14ac:dyDescent="0.25">
      <c r="A32068" s="74">
        <v>36860</v>
      </c>
      <c r="B32068">
        <v>23.4</v>
      </c>
    </row>
    <row r="32069" spans="1:2" x14ac:dyDescent="0.25">
      <c r="A32069" s="74">
        <v>36861</v>
      </c>
      <c r="B32069">
        <v>31.9</v>
      </c>
    </row>
    <row r="32070" spans="1:2" x14ac:dyDescent="0.25">
      <c r="A32070" s="74">
        <v>36862</v>
      </c>
      <c r="B32070">
        <v>50.7</v>
      </c>
    </row>
    <row r="32071" spans="1:2" x14ac:dyDescent="0.25">
      <c r="A32071" s="74">
        <v>36863</v>
      </c>
      <c r="B32071">
        <v>25.5</v>
      </c>
    </row>
    <row r="32072" spans="1:2" x14ac:dyDescent="0.25">
      <c r="A32072" s="74">
        <v>36864</v>
      </c>
      <c r="B32072">
        <v>16.399999999999999</v>
      </c>
    </row>
    <row r="32073" spans="1:2" x14ac:dyDescent="0.25">
      <c r="A32073" s="74">
        <v>36865</v>
      </c>
      <c r="B32073">
        <v>12.7</v>
      </c>
    </row>
    <row r="32074" spans="1:2" x14ac:dyDescent="0.25">
      <c r="A32074" s="74">
        <v>36866</v>
      </c>
      <c r="B32074">
        <v>10.5</v>
      </c>
    </row>
    <row r="32075" spans="1:2" x14ac:dyDescent="0.25">
      <c r="A32075" s="74">
        <v>36867</v>
      </c>
      <c r="B32075">
        <v>9.2100000000000009</v>
      </c>
    </row>
    <row r="32076" spans="1:2" x14ac:dyDescent="0.25">
      <c r="A32076" s="74">
        <v>36868</v>
      </c>
      <c r="B32076">
        <v>8.1</v>
      </c>
    </row>
    <row r="32077" spans="1:2" x14ac:dyDescent="0.25">
      <c r="A32077" s="74">
        <v>36869</v>
      </c>
      <c r="B32077">
        <v>7.21</v>
      </c>
    </row>
    <row r="32078" spans="1:2" x14ac:dyDescent="0.25">
      <c r="A32078" s="74">
        <v>36870</v>
      </c>
      <c r="B32078">
        <v>6.36</v>
      </c>
    </row>
    <row r="32079" spans="1:2" x14ac:dyDescent="0.25">
      <c r="A32079" s="74">
        <v>36871</v>
      </c>
      <c r="B32079">
        <v>5.61</v>
      </c>
    </row>
    <row r="32080" spans="1:2" x14ac:dyDescent="0.25">
      <c r="A32080" s="74">
        <v>36872</v>
      </c>
      <c r="B32080">
        <v>4.9400000000000004</v>
      </c>
    </row>
    <row r="32081" spans="1:2" x14ac:dyDescent="0.25">
      <c r="A32081" s="74">
        <v>36873</v>
      </c>
      <c r="B32081">
        <v>4.51</v>
      </c>
    </row>
    <row r="32082" spans="1:2" x14ac:dyDescent="0.25">
      <c r="A32082" s="74">
        <v>36874</v>
      </c>
      <c r="B32082">
        <v>4.3099999999999996</v>
      </c>
    </row>
    <row r="32083" spans="1:2" x14ac:dyDescent="0.25">
      <c r="A32083" s="74">
        <v>36875</v>
      </c>
      <c r="B32083">
        <v>4.01</v>
      </c>
    </row>
    <row r="32084" spans="1:2" x14ac:dyDescent="0.25">
      <c r="A32084" s="74">
        <v>36876</v>
      </c>
      <c r="B32084">
        <v>19.600000000000001</v>
      </c>
    </row>
    <row r="32085" spans="1:2" x14ac:dyDescent="0.25">
      <c r="A32085" s="74">
        <v>36877</v>
      </c>
      <c r="B32085">
        <v>31.3</v>
      </c>
    </row>
    <row r="32086" spans="1:2" x14ac:dyDescent="0.25">
      <c r="A32086" s="74">
        <v>36878</v>
      </c>
      <c r="B32086">
        <v>18.2</v>
      </c>
    </row>
    <row r="32087" spans="1:2" x14ac:dyDescent="0.25">
      <c r="A32087" s="74">
        <v>36879</v>
      </c>
      <c r="B32087">
        <v>14</v>
      </c>
    </row>
    <row r="32088" spans="1:2" x14ac:dyDescent="0.25">
      <c r="A32088" s="74">
        <v>36880</v>
      </c>
      <c r="B32088">
        <v>11.5</v>
      </c>
    </row>
    <row r="32089" spans="1:2" x14ac:dyDescent="0.25">
      <c r="A32089" s="74">
        <v>36881</v>
      </c>
      <c r="B32089">
        <v>9.89</v>
      </c>
    </row>
    <row r="32090" spans="1:2" x14ac:dyDescent="0.25">
      <c r="A32090" s="74">
        <v>36882</v>
      </c>
      <c r="B32090">
        <v>9.5500000000000007</v>
      </c>
    </row>
    <row r="32091" spans="1:2" x14ac:dyDescent="0.25">
      <c r="A32091" s="74">
        <v>36883</v>
      </c>
      <c r="B32091">
        <v>9.8699999999999992</v>
      </c>
    </row>
    <row r="32092" spans="1:2" x14ac:dyDescent="0.25">
      <c r="A32092" s="74">
        <v>36884</v>
      </c>
      <c r="B32092">
        <v>11.1</v>
      </c>
    </row>
    <row r="32093" spans="1:2" x14ac:dyDescent="0.25">
      <c r="A32093" s="74">
        <v>36885</v>
      </c>
      <c r="B32093">
        <v>12.2</v>
      </c>
    </row>
    <row r="32094" spans="1:2" x14ac:dyDescent="0.25">
      <c r="A32094" s="74">
        <v>36886</v>
      </c>
      <c r="B32094">
        <v>22.4</v>
      </c>
    </row>
    <row r="32095" spans="1:2" x14ac:dyDescent="0.25">
      <c r="A32095" s="74">
        <v>36887</v>
      </c>
      <c r="B32095">
        <v>42.5</v>
      </c>
    </row>
    <row r="32096" spans="1:2" x14ac:dyDescent="0.25">
      <c r="A32096" s="74">
        <v>36888</v>
      </c>
      <c r="B32096">
        <v>24.1</v>
      </c>
    </row>
    <row r="32097" spans="1:2" x14ac:dyDescent="0.25">
      <c r="A32097" s="74">
        <v>36889</v>
      </c>
      <c r="B32097">
        <v>16.5</v>
      </c>
    </row>
    <row r="32098" spans="1:2" x14ac:dyDescent="0.25">
      <c r="A32098" s="74">
        <v>36890</v>
      </c>
      <c r="B32098">
        <v>13.5</v>
      </c>
    </row>
    <row r="32099" spans="1:2" x14ac:dyDescent="0.25">
      <c r="A32099" s="74">
        <v>36891</v>
      </c>
      <c r="B32099">
        <v>12.5</v>
      </c>
    </row>
    <row r="32100" spans="1:2" x14ac:dyDescent="0.25">
      <c r="A32100" s="74">
        <v>36892</v>
      </c>
      <c r="B32100">
        <v>12.5</v>
      </c>
    </row>
    <row r="32101" spans="1:2" x14ac:dyDescent="0.25">
      <c r="A32101" s="74">
        <v>36893</v>
      </c>
      <c r="B32101">
        <v>12.2</v>
      </c>
    </row>
    <row r="32102" spans="1:2" x14ac:dyDescent="0.25">
      <c r="A32102" s="74">
        <v>36894</v>
      </c>
      <c r="B32102">
        <v>13.7</v>
      </c>
    </row>
    <row r="32103" spans="1:2" x14ac:dyDescent="0.25">
      <c r="A32103" s="74">
        <v>36895</v>
      </c>
      <c r="B32103">
        <v>24.4</v>
      </c>
    </row>
    <row r="32104" spans="1:2" x14ac:dyDescent="0.25">
      <c r="A32104" s="74">
        <v>36896</v>
      </c>
      <c r="B32104">
        <v>117</v>
      </c>
    </row>
    <row r="32105" spans="1:2" x14ac:dyDescent="0.25">
      <c r="A32105" s="74">
        <v>36897</v>
      </c>
      <c r="B32105">
        <v>47.2</v>
      </c>
    </row>
    <row r="32106" spans="1:2" x14ac:dyDescent="0.25">
      <c r="A32106" s="74">
        <v>36898</v>
      </c>
      <c r="B32106">
        <v>25</v>
      </c>
    </row>
    <row r="32107" spans="1:2" x14ac:dyDescent="0.25">
      <c r="A32107" s="74">
        <v>36899</v>
      </c>
      <c r="B32107">
        <v>19.899999999999999</v>
      </c>
    </row>
    <row r="32108" spans="1:2" x14ac:dyDescent="0.25">
      <c r="A32108" s="74">
        <v>36900</v>
      </c>
      <c r="B32108">
        <v>17.8</v>
      </c>
    </row>
    <row r="32109" spans="1:2" x14ac:dyDescent="0.25">
      <c r="A32109" s="74">
        <v>36901</v>
      </c>
      <c r="B32109">
        <v>18.100000000000001</v>
      </c>
    </row>
    <row r="32110" spans="1:2" x14ac:dyDescent="0.25">
      <c r="A32110" s="74">
        <v>36902</v>
      </c>
      <c r="B32110">
        <v>15.4</v>
      </c>
    </row>
    <row r="32111" spans="1:2" x14ac:dyDescent="0.25">
      <c r="A32111" s="74">
        <v>36903</v>
      </c>
      <c r="B32111">
        <v>12.8</v>
      </c>
    </row>
    <row r="32112" spans="1:2" x14ac:dyDescent="0.25">
      <c r="A32112" s="74">
        <v>36904</v>
      </c>
      <c r="B32112">
        <v>10.9</v>
      </c>
    </row>
    <row r="32113" spans="1:2" x14ac:dyDescent="0.25">
      <c r="A32113" s="74">
        <v>36905</v>
      </c>
      <c r="B32113">
        <v>9.4</v>
      </c>
    </row>
    <row r="32114" spans="1:2" x14ac:dyDescent="0.25">
      <c r="A32114" s="74">
        <v>36906</v>
      </c>
      <c r="B32114">
        <v>8.2100000000000009</v>
      </c>
    </row>
    <row r="32115" spans="1:2" x14ac:dyDescent="0.25">
      <c r="A32115" s="74">
        <v>36907</v>
      </c>
      <c r="B32115">
        <v>7.2</v>
      </c>
    </row>
    <row r="32116" spans="1:2" x14ac:dyDescent="0.25">
      <c r="A32116" s="74">
        <v>36908</v>
      </c>
      <c r="B32116">
        <v>6.51</v>
      </c>
    </row>
    <row r="32117" spans="1:2" x14ac:dyDescent="0.25">
      <c r="A32117" s="74">
        <v>36909</v>
      </c>
      <c r="B32117">
        <v>6.08</v>
      </c>
    </row>
    <row r="32118" spans="1:2" x14ac:dyDescent="0.25">
      <c r="A32118" s="74">
        <v>36910</v>
      </c>
      <c r="B32118">
        <v>8.24</v>
      </c>
    </row>
    <row r="32119" spans="1:2" x14ac:dyDescent="0.25">
      <c r="A32119" s="74">
        <v>36911</v>
      </c>
      <c r="B32119">
        <v>8.57</v>
      </c>
    </row>
    <row r="32120" spans="1:2" x14ac:dyDescent="0.25">
      <c r="A32120" s="74">
        <v>36912</v>
      </c>
      <c r="B32120">
        <v>11.9</v>
      </c>
    </row>
    <row r="32121" spans="1:2" x14ac:dyDescent="0.25">
      <c r="A32121" s="74">
        <v>36913</v>
      </c>
      <c r="B32121">
        <v>12.8</v>
      </c>
    </row>
    <row r="32122" spans="1:2" x14ac:dyDescent="0.25">
      <c r="A32122" s="74">
        <v>36914</v>
      </c>
      <c r="B32122">
        <v>11.2</v>
      </c>
    </row>
    <row r="32123" spans="1:2" x14ac:dyDescent="0.25">
      <c r="A32123" s="74">
        <v>36915</v>
      </c>
      <c r="B32123">
        <v>9.83</v>
      </c>
    </row>
    <row r="32124" spans="1:2" x14ac:dyDescent="0.25">
      <c r="A32124" s="74">
        <v>36916</v>
      </c>
      <c r="B32124">
        <v>8.93</v>
      </c>
    </row>
    <row r="32125" spans="1:2" x14ac:dyDescent="0.25">
      <c r="A32125" s="74">
        <v>36917</v>
      </c>
      <c r="B32125">
        <v>7.83</v>
      </c>
    </row>
    <row r="32126" spans="1:2" x14ac:dyDescent="0.25">
      <c r="A32126" s="74">
        <v>36918</v>
      </c>
      <c r="B32126">
        <v>7</v>
      </c>
    </row>
    <row r="32127" spans="1:2" x14ac:dyDescent="0.25">
      <c r="A32127" s="74">
        <v>36919</v>
      </c>
      <c r="B32127">
        <v>6.42</v>
      </c>
    </row>
    <row r="32128" spans="1:2" x14ac:dyDescent="0.25">
      <c r="A32128" s="74">
        <v>36920</v>
      </c>
      <c r="B32128">
        <v>7.61</v>
      </c>
    </row>
    <row r="32129" spans="1:2" x14ac:dyDescent="0.25">
      <c r="A32129" s="74">
        <v>36921</v>
      </c>
      <c r="B32129">
        <v>7.28</v>
      </c>
    </row>
    <row r="32130" spans="1:2" x14ac:dyDescent="0.25">
      <c r="A32130" s="74">
        <v>36922</v>
      </c>
      <c r="B32130">
        <v>7.19</v>
      </c>
    </row>
    <row r="32131" spans="1:2" x14ac:dyDescent="0.25">
      <c r="A32131" s="74">
        <v>36923</v>
      </c>
      <c r="B32131">
        <v>7.19</v>
      </c>
    </row>
    <row r="32132" spans="1:2" x14ac:dyDescent="0.25">
      <c r="A32132" s="74">
        <v>36924</v>
      </c>
      <c r="B32132">
        <v>15.7</v>
      </c>
    </row>
    <row r="32133" spans="1:2" x14ac:dyDescent="0.25">
      <c r="A32133" s="74">
        <v>36925</v>
      </c>
      <c r="B32133">
        <v>20.399999999999999</v>
      </c>
    </row>
    <row r="32134" spans="1:2" x14ac:dyDescent="0.25">
      <c r="A32134" s="74">
        <v>36926</v>
      </c>
      <c r="B32134">
        <v>15.2</v>
      </c>
    </row>
    <row r="32135" spans="1:2" x14ac:dyDescent="0.25">
      <c r="A32135" s="74">
        <v>36927</v>
      </c>
      <c r="B32135">
        <v>14.9</v>
      </c>
    </row>
    <row r="32136" spans="1:2" x14ac:dyDescent="0.25">
      <c r="A32136" s="74">
        <v>36928</v>
      </c>
      <c r="B32136">
        <v>12.3</v>
      </c>
    </row>
    <row r="32137" spans="1:2" x14ac:dyDescent="0.25">
      <c r="A32137" s="74">
        <v>36929</v>
      </c>
      <c r="B32137">
        <v>10.199999999999999</v>
      </c>
    </row>
    <row r="32138" spans="1:2" x14ac:dyDescent="0.25">
      <c r="A32138" s="74">
        <v>36930</v>
      </c>
      <c r="B32138">
        <v>8.94</v>
      </c>
    </row>
    <row r="32139" spans="1:2" x14ac:dyDescent="0.25">
      <c r="A32139" s="74">
        <v>36931</v>
      </c>
      <c r="B32139">
        <v>7.78</v>
      </c>
    </row>
    <row r="32140" spans="1:2" x14ac:dyDescent="0.25">
      <c r="A32140" s="74">
        <v>36932</v>
      </c>
      <c r="B32140">
        <v>6.9</v>
      </c>
    </row>
    <row r="32141" spans="1:2" x14ac:dyDescent="0.25">
      <c r="A32141" s="74">
        <v>36933</v>
      </c>
      <c r="B32141">
        <v>6.24</v>
      </c>
    </row>
    <row r="32142" spans="1:2" x14ac:dyDescent="0.25">
      <c r="A32142" s="74">
        <v>36934</v>
      </c>
      <c r="B32142">
        <v>5.51</v>
      </c>
    </row>
    <row r="32143" spans="1:2" x14ac:dyDescent="0.25">
      <c r="A32143" s="74">
        <v>36935</v>
      </c>
      <c r="B32143">
        <v>4.96</v>
      </c>
    </row>
    <row r="32144" spans="1:2" x14ac:dyDescent="0.25">
      <c r="A32144" s="74">
        <v>36936</v>
      </c>
      <c r="B32144">
        <v>4.6100000000000003</v>
      </c>
    </row>
    <row r="32145" spans="1:2" x14ac:dyDescent="0.25">
      <c r="A32145" s="74">
        <v>36937</v>
      </c>
      <c r="B32145">
        <v>4.26</v>
      </c>
    </row>
    <row r="32146" spans="1:2" x14ac:dyDescent="0.25">
      <c r="A32146" s="74">
        <v>36938</v>
      </c>
      <c r="B32146">
        <v>3.98</v>
      </c>
    </row>
    <row r="32147" spans="1:2" x14ac:dyDescent="0.25">
      <c r="A32147" s="74">
        <v>36939</v>
      </c>
      <c r="B32147">
        <v>3.71</v>
      </c>
    </row>
    <row r="32148" spans="1:2" x14ac:dyDescent="0.25">
      <c r="A32148" s="74">
        <v>36940</v>
      </c>
      <c r="B32148">
        <v>3.83</v>
      </c>
    </row>
    <row r="32149" spans="1:2" x14ac:dyDescent="0.25">
      <c r="A32149" s="74">
        <v>36941</v>
      </c>
      <c r="B32149">
        <v>3.79</v>
      </c>
    </row>
    <row r="32150" spans="1:2" x14ac:dyDescent="0.25">
      <c r="A32150" s="74">
        <v>36942</v>
      </c>
      <c r="B32150">
        <v>3.51</v>
      </c>
    </row>
    <row r="32151" spans="1:2" x14ac:dyDescent="0.25">
      <c r="A32151" s="74">
        <v>36943</v>
      </c>
      <c r="B32151">
        <v>3.29</v>
      </c>
    </row>
    <row r="32152" spans="1:2" x14ac:dyDescent="0.25">
      <c r="A32152" s="74">
        <v>36944</v>
      </c>
      <c r="B32152">
        <v>3.21</v>
      </c>
    </row>
    <row r="32153" spans="1:2" x14ac:dyDescent="0.25">
      <c r="A32153" s="74">
        <v>36945</v>
      </c>
      <c r="B32153">
        <v>3.24</v>
      </c>
    </row>
    <row r="32154" spans="1:2" x14ac:dyDescent="0.25">
      <c r="A32154" s="74">
        <v>36946</v>
      </c>
      <c r="B32154">
        <v>3.18</v>
      </c>
    </row>
    <row r="32155" spans="1:2" x14ac:dyDescent="0.25">
      <c r="A32155" s="74">
        <v>36947</v>
      </c>
      <c r="B32155">
        <v>3.05</v>
      </c>
    </row>
    <row r="32156" spans="1:2" x14ac:dyDescent="0.25">
      <c r="A32156" s="74">
        <v>36948</v>
      </c>
      <c r="B32156">
        <v>2.8</v>
      </c>
    </row>
    <row r="32157" spans="1:2" x14ac:dyDescent="0.25">
      <c r="A32157" s="74">
        <v>36949</v>
      </c>
      <c r="B32157">
        <v>2.66</v>
      </c>
    </row>
    <row r="32158" spans="1:2" x14ac:dyDescent="0.25">
      <c r="A32158" s="74">
        <v>36950</v>
      </c>
      <c r="B32158">
        <v>2.57</v>
      </c>
    </row>
    <row r="32159" spans="1:2" x14ac:dyDescent="0.25">
      <c r="A32159" s="74">
        <v>36951</v>
      </c>
      <c r="B32159">
        <v>2.58</v>
      </c>
    </row>
    <row r="32160" spans="1:2" x14ac:dyDescent="0.25">
      <c r="A32160" s="74">
        <v>36952</v>
      </c>
      <c r="B32160">
        <v>3.26</v>
      </c>
    </row>
    <row r="32161" spans="1:2" x14ac:dyDescent="0.25">
      <c r="A32161" s="74">
        <v>36953</v>
      </c>
      <c r="B32161">
        <v>3.21</v>
      </c>
    </row>
    <row r="32162" spans="1:2" x14ac:dyDescent="0.25">
      <c r="A32162" s="74">
        <v>36954</v>
      </c>
      <c r="B32162">
        <v>3</v>
      </c>
    </row>
    <row r="32163" spans="1:2" x14ac:dyDescent="0.25">
      <c r="A32163" s="74">
        <v>36955</v>
      </c>
      <c r="B32163">
        <v>2.73</v>
      </c>
    </row>
    <row r="32164" spans="1:2" x14ac:dyDescent="0.25">
      <c r="A32164" s="74">
        <v>36956</v>
      </c>
      <c r="B32164">
        <v>2.65</v>
      </c>
    </row>
    <row r="32165" spans="1:2" x14ac:dyDescent="0.25">
      <c r="A32165" s="74">
        <v>36957</v>
      </c>
      <c r="B32165">
        <v>2.7</v>
      </c>
    </row>
    <row r="32166" spans="1:2" x14ac:dyDescent="0.25">
      <c r="A32166" s="74">
        <v>36958</v>
      </c>
      <c r="B32166">
        <v>3.8</v>
      </c>
    </row>
    <row r="32167" spans="1:2" x14ac:dyDescent="0.25">
      <c r="A32167" s="74">
        <v>36959</v>
      </c>
      <c r="B32167">
        <v>5.0599999999999996</v>
      </c>
    </row>
    <row r="32168" spans="1:2" x14ac:dyDescent="0.25">
      <c r="A32168" s="74">
        <v>36960</v>
      </c>
      <c r="B32168">
        <v>4.8600000000000003</v>
      </c>
    </row>
    <row r="32169" spans="1:2" x14ac:dyDescent="0.25">
      <c r="A32169" s="74">
        <v>36961</v>
      </c>
      <c r="B32169">
        <v>4.4800000000000004</v>
      </c>
    </row>
    <row r="32170" spans="1:2" x14ac:dyDescent="0.25">
      <c r="A32170" s="74">
        <v>36962</v>
      </c>
      <c r="B32170">
        <v>4.0999999999999996</v>
      </c>
    </row>
    <row r="32171" spans="1:2" x14ac:dyDescent="0.25">
      <c r="A32171" s="74">
        <v>36963</v>
      </c>
      <c r="B32171">
        <v>4.67</v>
      </c>
    </row>
    <row r="32172" spans="1:2" x14ac:dyDescent="0.25">
      <c r="A32172" s="74">
        <v>36964</v>
      </c>
      <c r="B32172">
        <v>5.4</v>
      </c>
    </row>
    <row r="32173" spans="1:2" x14ac:dyDescent="0.25">
      <c r="A32173" s="74">
        <v>36965</v>
      </c>
      <c r="B32173">
        <v>5.0999999999999996</v>
      </c>
    </row>
    <row r="32174" spans="1:2" x14ac:dyDescent="0.25">
      <c r="A32174" s="74">
        <v>36966</v>
      </c>
      <c r="B32174">
        <v>5.42</v>
      </c>
    </row>
    <row r="32175" spans="1:2" x14ac:dyDescent="0.25">
      <c r="A32175" s="74">
        <v>36967</v>
      </c>
      <c r="B32175">
        <v>5.01</v>
      </c>
    </row>
    <row r="32176" spans="1:2" x14ac:dyDescent="0.25">
      <c r="A32176" s="74">
        <v>36968</v>
      </c>
      <c r="B32176">
        <v>25</v>
      </c>
    </row>
    <row r="32177" spans="1:2" x14ac:dyDescent="0.25">
      <c r="A32177" s="74">
        <v>36969</v>
      </c>
      <c r="B32177">
        <v>50.2</v>
      </c>
    </row>
    <row r="32178" spans="1:2" x14ac:dyDescent="0.25">
      <c r="A32178" s="74">
        <v>36970</v>
      </c>
      <c r="B32178">
        <v>28.6</v>
      </c>
    </row>
    <row r="32179" spans="1:2" x14ac:dyDescent="0.25">
      <c r="A32179" s="74">
        <v>36971</v>
      </c>
      <c r="B32179">
        <v>19.2</v>
      </c>
    </row>
    <row r="32180" spans="1:2" x14ac:dyDescent="0.25">
      <c r="A32180" s="74">
        <v>36972</v>
      </c>
      <c r="B32180">
        <v>14.5</v>
      </c>
    </row>
    <row r="32181" spans="1:2" x14ac:dyDescent="0.25">
      <c r="A32181" s="74">
        <v>36973</v>
      </c>
      <c r="B32181">
        <v>11.6</v>
      </c>
    </row>
    <row r="32182" spans="1:2" x14ac:dyDescent="0.25">
      <c r="A32182" s="74">
        <v>36974</v>
      </c>
      <c r="B32182">
        <v>9.9600000000000009</v>
      </c>
    </row>
    <row r="32183" spans="1:2" x14ac:dyDescent="0.25">
      <c r="A32183" s="74">
        <v>36975</v>
      </c>
      <c r="B32183">
        <v>17.3</v>
      </c>
    </row>
    <row r="32184" spans="1:2" x14ac:dyDescent="0.25">
      <c r="A32184" s="74">
        <v>36976</v>
      </c>
      <c r="B32184">
        <v>19.2</v>
      </c>
    </row>
    <row r="32185" spans="1:2" x14ac:dyDescent="0.25">
      <c r="A32185" s="74">
        <v>36977</v>
      </c>
      <c r="B32185">
        <v>15.1</v>
      </c>
    </row>
    <row r="32186" spans="1:2" x14ac:dyDescent="0.25">
      <c r="A32186" s="74">
        <v>36978</v>
      </c>
      <c r="B32186">
        <v>13.6</v>
      </c>
    </row>
    <row r="32187" spans="1:2" x14ac:dyDescent="0.25">
      <c r="A32187" s="74">
        <v>36979</v>
      </c>
      <c r="B32187">
        <v>12.3</v>
      </c>
    </row>
    <row r="32188" spans="1:2" x14ac:dyDescent="0.25">
      <c r="A32188" s="74">
        <v>36980</v>
      </c>
      <c r="B32188">
        <v>11.8</v>
      </c>
    </row>
    <row r="32189" spans="1:2" x14ac:dyDescent="0.25">
      <c r="A32189" s="74">
        <v>36981</v>
      </c>
      <c r="B32189">
        <v>11.6</v>
      </c>
    </row>
    <row r="32190" spans="1:2" x14ac:dyDescent="0.25">
      <c r="A32190" s="74">
        <v>36982</v>
      </c>
      <c r="B32190">
        <v>12</v>
      </c>
    </row>
    <row r="32191" spans="1:2" x14ac:dyDescent="0.25">
      <c r="A32191" s="74">
        <v>36983</v>
      </c>
      <c r="B32191">
        <v>10.6</v>
      </c>
    </row>
    <row r="32192" spans="1:2" x14ac:dyDescent="0.25">
      <c r="A32192" s="74">
        <v>36984</v>
      </c>
      <c r="B32192">
        <v>9.14</v>
      </c>
    </row>
    <row r="32193" spans="1:2" x14ac:dyDescent="0.25">
      <c r="A32193" s="74">
        <v>36985</v>
      </c>
      <c r="B32193">
        <v>7.84</v>
      </c>
    </row>
    <row r="32194" spans="1:2" x14ac:dyDescent="0.25">
      <c r="A32194" s="74">
        <v>36986</v>
      </c>
      <c r="B32194">
        <v>7.19</v>
      </c>
    </row>
    <row r="32195" spans="1:2" x14ac:dyDescent="0.25">
      <c r="A32195" s="74">
        <v>36987</v>
      </c>
      <c r="B32195">
        <v>7.03</v>
      </c>
    </row>
    <row r="32196" spans="1:2" x14ac:dyDescent="0.25">
      <c r="A32196" s="74">
        <v>36988</v>
      </c>
      <c r="B32196">
        <v>6.59</v>
      </c>
    </row>
    <row r="32197" spans="1:2" x14ac:dyDescent="0.25">
      <c r="A32197" s="74">
        <v>36989</v>
      </c>
      <c r="B32197">
        <v>6.14</v>
      </c>
    </row>
    <row r="32198" spans="1:2" x14ac:dyDescent="0.25">
      <c r="A32198" s="74">
        <v>36990</v>
      </c>
      <c r="B32198">
        <v>5.69</v>
      </c>
    </row>
    <row r="32199" spans="1:2" x14ac:dyDescent="0.25">
      <c r="A32199" s="74">
        <v>36991</v>
      </c>
      <c r="B32199">
        <v>5.38</v>
      </c>
    </row>
    <row r="32200" spans="1:2" x14ac:dyDescent="0.25">
      <c r="A32200" s="74">
        <v>36992</v>
      </c>
      <c r="B32200">
        <v>5.07</v>
      </c>
    </row>
    <row r="32201" spans="1:2" x14ac:dyDescent="0.25">
      <c r="A32201" s="74">
        <v>36993</v>
      </c>
      <c r="B32201">
        <v>4.78</v>
      </c>
    </row>
    <row r="32202" spans="1:2" x14ac:dyDescent="0.25">
      <c r="A32202" s="74">
        <v>36994</v>
      </c>
      <c r="B32202">
        <v>5.0599999999999996</v>
      </c>
    </row>
    <row r="32203" spans="1:2" x14ac:dyDescent="0.25">
      <c r="A32203" s="74">
        <v>36995</v>
      </c>
      <c r="B32203">
        <v>4.92</v>
      </c>
    </row>
    <row r="32204" spans="1:2" x14ac:dyDescent="0.25">
      <c r="A32204" s="74">
        <v>36996</v>
      </c>
      <c r="B32204">
        <v>4.54</v>
      </c>
    </row>
    <row r="32205" spans="1:2" x14ac:dyDescent="0.25">
      <c r="A32205" s="74">
        <v>36997</v>
      </c>
      <c r="B32205">
        <v>4.29</v>
      </c>
    </row>
    <row r="32206" spans="1:2" x14ac:dyDescent="0.25">
      <c r="A32206" s="74">
        <v>36998</v>
      </c>
      <c r="B32206">
        <v>8</v>
      </c>
    </row>
    <row r="32207" spans="1:2" x14ac:dyDescent="0.25">
      <c r="A32207" s="74">
        <v>36999</v>
      </c>
      <c r="B32207">
        <v>13</v>
      </c>
    </row>
    <row r="32208" spans="1:2" x14ac:dyDescent="0.25">
      <c r="A32208" s="74">
        <v>37000</v>
      </c>
      <c r="B32208">
        <v>11.2</v>
      </c>
    </row>
    <row r="32209" spans="1:2" x14ac:dyDescent="0.25">
      <c r="A32209" s="74">
        <v>37001</v>
      </c>
      <c r="B32209">
        <v>9.4499999999999993</v>
      </c>
    </row>
    <row r="32210" spans="1:2" x14ac:dyDescent="0.25">
      <c r="A32210" s="74">
        <v>37002</v>
      </c>
      <c r="B32210">
        <v>8.25</v>
      </c>
    </row>
    <row r="32211" spans="1:2" x14ac:dyDescent="0.25">
      <c r="A32211" s="74">
        <v>37003</v>
      </c>
      <c r="B32211">
        <v>7.9</v>
      </c>
    </row>
    <row r="32212" spans="1:2" x14ac:dyDescent="0.25">
      <c r="A32212" s="74">
        <v>37004</v>
      </c>
      <c r="B32212">
        <v>9.15</v>
      </c>
    </row>
    <row r="32213" spans="1:2" x14ac:dyDescent="0.25">
      <c r="A32213" s="74">
        <v>37005</v>
      </c>
      <c r="B32213">
        <v>15.4</v>
      </c>
    </row>
    <row r="32214" spans="1:2" x14ac:dyDescent="0.25">
      <c r="A32214" s="74">
        <v>37006</v>
      </c>
      <c r="B32214">
        <v>20.9</v>
      </c>
    </row>
    <row r="32215" spans="1:2" x14ac:dyDescent="0.25">
      <c r="A32215" s="74">
        <v>37007</v>
      </c>
      <c r="B32215">
        <v>16.7</v>
      </c>
    </row>
    <row r="32216" spans="1:2" x14ac:dyDescent="0.25">
      <c r="A32216" s="74">
        <v>37008</v>
      </c>
      <c r="B32216">
        <v>14.9</v>
      </c>
    </row>
    <row r="32217" spans="1:2" x14ac:dyDescent="0.25">
      <c r="A32217" s="74">
        <v>37009</v>
      </c>
      <c r="B32217">
        <v>12.9</v>
      </c>
    </row>
    <row r="32218" spans="1:2" x14ac:dyDescent="0.25">
      <c r="A32218" s="74">
        <v>37010</v>
      </c>
      <c r="B32218">
        <v>11.3</v>
      </c>
    </row>
    <row r="32219" spans="1:2" x14ac:dyDescent="0.25">
      <c r="A32219" s="74">
        <v>37011</v>
      </c>
      <c r="B32219">
        <v>15.4</v>
      </c>
    </row>
    <row r="32220" spans="1:2" x14ac:dyDescent="0.25">
      <c r="A32220" s="74">
        <v>37012</v>
      </c>
      <c r="B32220">
        <v>17.2</v>
      </c>
    </row>
    <row r="32221" spans="1:2" x14ac:dyDescent="0.25">
      <c r="A32221" s="74">
        <v>37013</v>
      </c>
      <c r="B32221">
        <v>13.1</v>
      </c>
    </row>
    <row r="32222" spans="1:2" x14ac:dyDescent="0.25">
      <c r="A32222" s="74">
        <v>37014</v>
      </c>
      <c r="B32222">
        <v>10.7</v>
      </c>
    </row>
    <row r="32223" spans="1:2" x14ac:dyDescent="0.25">
      <c r="A32223" s="74">
        <v>37015</v>
      </c>
      <c r="B32223">
        <v>9.52</v>
      </c>
    </row>
    <row r="32224" spans="1:2" x14ac:dyDescent="0.25">
      <c r="A32224" s="74">
        <v>37016</v>
      </c>
      <c r="B32224">
        <v>10.3</v>
      </c>
    </row>
    <row r="32225" spans="1:2" x14ac:dyDescent="0.25">
      <c r="A32225" s="74">
        <v>37017</v>
      </c>
      <c r="B32225">
        <v>8.56</v>
      </c>
    </row>
    <row r="32226" spans="1:2" x14ac:dyDescent="0.25">
      <c r="A32226" s="74">
        <v>37018</v>
      </c>
      <c r="B32226">
        <v>7.42</v>
      </c>
    </row>
    <row r="32227" spans="1:2" x14ac:dyDescent="0.25">
      <c r="A32227" s="74">
        <v>37019</v>
      </c>
      <c r="B32227">
        <v>6.98</v>
      </c>
    </row>
    <row r="32228" spans="1:2" x14ac:dyDescent="0.25">
      <c r="A32228" s="74">
        <v>37020</v>
      </c>
      <c r="B32228">
        <v>6.69</v>
      </c>
    </row>
    <row r="32229" spans="1:2" x14ac:dyDescent="0.25">
      <c r="A32229" s="74">
        <v>37021</v>
      </c>
      <c r="B32229">
        <v>6.24</v>
      </c>
    </row>
    <row r="32230" spans="1:2" x14ac:dyDescent="0.25">
      <c r="A32230" s="74">
        <v>37022</v>
      </c>
      <c r="B32230">
        <v>6.04</v>
      </c>
    </row>
    <row r="32231" spans="1:2" x14ac:dyDescent="0.25">
      <c r="A32231" s="74">
        <v>37023</v>
      </c>
      <c r="B32231">
        <v>6.65</v>
      </c>
    </row>
    <row r="32232" spans="1:2" x14ac:dyDescent="0.25">
      <c r="A32232" s="74">
        <v>37024</v>
      </c>
      <c r="B32232">
        <v>7.55</v>
      </c>
    </row>
    <row r="32233" spans="1:2" x14ac:dyDescent="0.25">
      <c r="A32233" s="74">
        <v>37025</v>
      </c>
      <c r="B32233">
        <v>8.8800000000000008</v>
      </c>
    </row>
    <row r="32234" spans="1:2" x14ac:dyDescent="0.25">
      <c r="A32234" s="74">
        <v>37026</v>
      </c>
      <c r="B32234">
        <v>10.1</v>
      </c>
    </row>
    <row r="32235" spans="1:2" x14ac:dyDescent="0.25">
      <c r="A32235" s="74">
        <v>37027</v>
      </c>
      <c r="B32235">
        <v>10.1</v>
      </c>
    </row>
    <row r="32236" spans="1:2" x14ac:dyDescent="0.25">
      <c r="A32236" s="74">
        <v>37028</v>
      </c>
      <c r="B32236">
        <v>8.0299999999999994</v>
      </c>
    </row>
    <row r="32237" spans="1:2" x14ac:dyDescent="0.25">
      <c r="A32237" s="74">
        <v>37029</v>
      </c>
      <c r="B32237">
        <v>6.69</v>
      </c>
    </row>
    <row r="32238" spans="1:2" x14ac:dyDescent="0.25">
      <c r="A32238" s="74">
        <v>37030</v>
      </c>
      <c r="B32238">
        <v>6.17</v>
      </c>
    </row>
    <row r="32239" spans="1:2" x14ac:dyDescent="0.25">
      <c r="A32239" s="74">
        <v>37031</v>
      </c>
      <c r="B32239">
        <v>5.95</v>
      </c>
    </row>
    <row r="32240" spans="1:2" x14ac:dyDescent="0.25">
      <c r="A32240" s="74">
        <v>37032</v>
      </c>
      <c r="B32240">
        <v>5.77</v>
      </c>
    </row>
    <row r="32241" spans="1:2" x14ac:dyDescent="0.25">
      <c r="A32241" s="74">
        <v>37033</v>
      </c>
      <c r="B32241">
        <v>7.72</v>
      </c>
    </row>
    <row r="32242" spans="1:2" x14ac:dyDescent="0.25">
      <c r="A32242" s="74">
        <v>37034</v>
      </c>
      <c r="B32242">
        <v>9.2100000000000009</v>
      </c>
    </row>
    <row r="32243" spans="1:2" x14ac:dyDescent="0.25">
      <c r="A32243" s="74">
        <v>37035</v>
      </c>
      <c r="B32243">
        <v>8.66</v>
      </c>
    </row>
    <row r="32244" spans="1:2" x14ac:dyDescent="0.25">
      <c r="A32244" s="74">
        <v>37036</v>
      </c>
      <c r="B32244">
        <v>7.46</v>
      </c>
    </row>
    <row r="32245" spans="1:2" x14ac:dyDescent="0.25">
      <c r="A32245" s="74">
        <v>37037</v>
      </c>
      <c r="B32245">
        <v>6.81</v>
      </c>
    </row>
    <row r="32246" spans="1:2" x14ac:dyDescent="0.25">
      <c r="A32246" s="74">
        <v>37038</v>
      </c>
      <c r="B32246">
        <v>6.1</v>
      </c>
    </row>
    <row r="32247" spans="1:2" x14ac:dyDescent="0.25">
      <c r="A32247" s="74">
        <v>37039</v>
      </c>
      <c r="B32247">
        <v>6.19</v>
      </c>
    </row>
    <row r="32248" spans="1:2" x14ac:dyDescent="0.25">
      <c r="A32248" s="74">
        <v>37040</v>
      </c>
      <c r="B32248">
        <v>5.61</v>
      </c>
    </row>
    <row r="32249" spans="1:2" x14ac:dyDescent="0.25">
      <c r="A32249" s="74">
        <v>37041</v>
      </c>
      <c r="B32249">
        <v>4.4400000000000004</v>
      </c>
    </row>
    <row r="32250" spans="1:2" x14ac:dyDescent="0.25">
      <c r="A32250" s="74">
        <v>37042</v>
      </c>
      <c r="B32250">
        <v>4.45</v>
      </c>
    </row>
    <row r="32251" spans="1:2" x14ac:dyDescent="0.25">
      <c r="A32251" s="74">
        <v>37043</v>
      </c>
      <c r="B32251">
        <v>5.92</v>
      </c>
    </row>
    <row r="32252" spans="1:2" x14ac:dyDescent="0.25">
      <c r="A32252" s="74">
        <v>37044</v>
      </c>
      <c r="B32252">
        <v>5.43</v>
      </c>
    </row>
    <row r="32253" spans="1:2" x14ac:dyDescent="0.25">
      <c r="A32253" s="74">
        <v>37045</v>
      </c>
      <c r="B32253">
        <v>5.89</v>
      </c>
    </row>
    <row r="32254" spans="1:2" x14ac:dyDescent="0.25">
      <c r="A32254" s="74">
        <v>37046</v>
      </c>
      <c r="B32254">
        <v>4.79</v>
      </c>
    </row>
    <row r="32255" spans="1:2" x14ac:dyDescent="0.25">
      <c r="A32255" s="74">
        <v>37047</v>
      </c>
      <c r="B32255">
        <v>4.1500000000000004</v>
      </c>
    </row>
    <row r="32256" spans="1:2" x14ac:dyDescent="0.25">
      <c r="A32256" s="74">
        <v>37048</v>
      </c>
      <c r="B32256">
        <v>4.71</v>
      </c>
    </row>
    <row r="32257" spans="1:2" x14ac:dyDescent="0.25">
      <c r="A32257" s="74">
        <v>37049</v>
      </c>
      <c r="B32257">
        <v>4.42</v>
      </c>
    </row>
    <row r="32258" spans="1:2" x14ac:dyDescent="0.25">
      <c r="A32258" s="74">
        <v>37050</v>
      </c>
      <c r="B32258">
        <v>4.0199999999999996</v>
      </c>
    </row>
    <row r="32259" spans="1:2" x14ac:dyDescent="0.25">
      <c r="A32259" s="74">
        <v>37051</v>
      </c>
      <c r="B32259">
        <v>4.0999999999999996</v>
      </c>
    </row>
    <row r="32260" spans="1:2" x14ac:dyDescent="0.25">
      <c r="A32260" s="74">
        <v>37052</v>
      </c>
      <c r="B32260">
        <v>3.98</v>
      </c>
    </row>
    <row r="32261" spans="1:2" x14ac:dyDescent="0.25">
      <c r="A32261" s="74">
        <v>37053</v>
      </c>
      <c r="B32261">
        <v>3.73</v>
      </c>
    </row>
    <row r="32262" spans="1:2" x14ac:dyDescent="0.25">
      <c r="A32262" s="74">
        <v>37054</v>
      </c>
      <c r="B32262">
        <v>3.4</v>
      </c>
    </row>
    <row r="32263" spans="1:2" x14ac:dyDescent="0.25">
      <c r="A32263" s="74">
        <v>37055</v>
      </c>
      <c r="B32263">
        <v>3.09</v>
      </c>
    </row>
    <row r="32264" spans="1:2" x14ac:dyDescent="0.25">
      <c r="A32264" s="74">
        <v>37056</v>
      </c>
      <c r="B32264">
        <v>3.02</v>
      </c>
    </row>
    <row r="32265" spans="1:2" x14ac:dyDescent="0.25">
      <c r="A32265" s="74">
        <v>37057</v>
      </c>
      <c r="B32265">
        <v>2.96</v>
      </c>
    </row>
    <row r="32266" spans="1:2" x14ac:dyDescent="0.25">
      <c r="A32266" s="74">
        <v>37058</v>
      </c>
      <c r="B32266">
        <v>2.94</v>
      </c>
    </row>
    <row r="32267" spans="1:2" x14ac:dyDescent="0.25">
      <c r="A32267" s="74">
        <v>37059</v>
      </c>
      <c r="B32267">
        <v>3.08</v>
      </c>
    </row>
    <row r="32268" spans="1:2" x14ac:dyDescent="0.25">
      <c r="A32268" s="74">
        <v>37060</v>
      </c>
      <c r="B32268">
        <v>2.83</v>
      </c>
    </row>
    <row r="32269" spans="1:2" x14ac:dyDescent="0.25">
      <c r="A32269" s="74">
        <v>37061</v>
      </c>
      <c r="B32269">
        <v>2.64</v>
      </c>
    </row>
    <row r="32270" spans="1:2" x14ac:dyDescent="0.25">
      <c r="A32270" s="74">
        <v>37062</v>
      </c>
      <c r="B32270">
        <v>2.68</v>
      </c>
    </row>
    <row r="32271" spans="1:2" x14ac:dyDescent="0.25">
      <c r="A32271" s="74">
        <v>37063</v>
      </c>
      <c r="B32271">
        <v>2.77</v>
      </c>
    </row>
    <row r="32272" spans="1:2" x14ac:dyDescent="0.25">
      <c r="A32272" s="74">
        <v>37064</v>
      </c>
      <c r="B32272">
        <v>2.88</v>
      </c>
    </row>
    <row r="32273" spans="1:2" x14ac:dyDescent="0.25">
      <c r="A32273" s="74">
        <v>37065</v>
      </c>
      <c r="B32273">
        <v>2.5299999999999998</v>
      </c>
    </row>
    <row r="32274" spans="1:2" x14ac:dyDescent="0.25">
      <c r="A32274" s="74">
        <v>37066</v>
      </c>
      <c r="B32274">
        <v>2.39</v>
      </c>
    </row>
    <row r="32275" spans="1:2" x14ac:dyDescent="0.25">
      <c r="A32275" s="74">
        <v>37067</v>
      </c>
      <c r="B32275">
        <v>2.52</v>
      </c>
    </row>
    <row r="32276" spans="1:2" x14ac:dyDescent="0.25">
      <c r="A32276" s="74">
        <v>37068</v>
      </c>
      <c r="B32276">
        <v>2.33</v>
      </c>
    </row>
    <row r="32277" spans="1:2" x14ac:dyDescent="0.25">
      <c r="A32277" s="74">
        <v>37069</v>
      </c>
      <c r="B32277">
        <v>2.59</v>
      </c>
    </row>
    <row r="32278" spans="1:2" x14ac:dyDescent="0.25">
      <c r="A32278" s="74">
        <v>37070</v>
      </c>
      <c r="B32278">
        <v>4.05</v>
      </c>
    </row>
    <row r="32279" spans="1:2" x14ac:dyDescent="0.25">
      <c r="A32279" s="74">
        <v>37071</v>
      </c>
      <c r="B32279">
        <v>3.05</v>
      </c>
    </row>
    <row r="32280" spans="1:2" x14ac:dyDescent="0.25">
      <c r="A32280" s="74">
        <v>37072</v>
      </c>
      <c r="B32280">
        <v>2.5</v>
      </c>
    </row>
    <row r="32281" spans="1:2" x14ac:dyDescent="0.25">
      <c r="A32281" s="74">
        <v>37073</v>
      </c>
      <c r="B32281">
        <v>2.2200000000000002</v>
      </c>
    </row>
    <row r="32282" spans="1:2" x14ac:dyDescent="0.25">
      <c r="A32282" s="74">
        <v>37074</v>
      </c>
      <c r="B32282">
        <v>2.06</v>
      </c>
    </row>
    <row r="32283" spans="1:2" x14ac:dyDescent="0.25">
      <c r="A32283" s="74">
        <v>37075</v>
      </c>
      <c r="B32283">
        <v>2</v>
      </c>
    </row>
    <row r="32284" spans="1:2" x14ac:dyDescent="0.25">
      <c r="A32284" s="74">
        <v>37076</v>
      </c>
      <c r="B32284">
        <v>2.09</v>
      </c>
    </row>
    <row r="32285" spans="1:2" x14ac:dyDescent="0.25">
      <c r="A32285" s="74">
        <v>37077</v>
      </c>
      <c r="B32285">
        <v>2.0699999999999998</v>
      </c>
    </row>
    <row r="32286" spans="1:2" x14ac:dyDescent="0.25">
      <c r="A32286" s="74">
        <v>37078</v>
      </c>
      <c r="B32286">
        <v>1.85</v>
      </c>
    </row>
    <row r="32287" spans="1:2" x14ac:dyDescent="0.25">
      <c r="A32287" s="74">
        <v>37079</v>
      </c>
      <c r="B32287">
        <v>1.76</v>
      </c>
    </row>
    <row r="32288" spans="1:2" x14ac:dyDescent="0.25">
      <c r="A32288" s="74">
        <v>37080</v>
      </c>
      <c r="B32288">
        <v>1.6</v>
      </c>
    </row>
    <row r="32289" spans="1:2" x14ac:dyDescent="0.25">
      <c r="A32289" s="74">
        <v>37081</v>
      </c>
      <c r="B32289">
        <v>1.52</v>
      </c>
    </row>
    <row r="32290" spans="1:2" x14ac:dyDescent="0.25">
      <c r="A32290" s="74">
        <v>37082</v>
      </c>
      <c r="B32290">
        <v>1.49</v>
      </c>
    </row>
    <row r="32291" spans="1:2" x14ac:dyDescent="0.25">
      <c r="A32291" s="74">
        <v>37083</v>
      </c>
      <c r="B32291">
        <v>1.54</v>
      </c>
    </row>
    <row r="32292" spans="1:2" x14ac:dyDescent="0.25">
      <c r="A32292" s="74">
        <v>37084</v>
      </c>
      <c r="B32292">
        <v>1.43</v>
      </c>
    </row>
    <row r="32293" spans="1:2" x14ac:dyDescent="0.25">
      <c r="A32293" s="74">
        <v>37085</v>
      </c>
      <c r="B32293">
        <v>1.32</v>
      </c>
    </row>
    <row r="32294" spans="1:2" x14ac:dyDescent="0.25">
      <c r="A32294" s="74">
        <v>37086</v>
      </c>
      <c r="B32294">
        <v>1.28</v>
      </c>
    </row>
    <row r="32295" spans="1:2" x14ac:dyDescent="0.25">
      <c r="A32295" s="74">
        <v>37087</v>
      </c>
      <c r="B32295">
        <v>1.3</v>
      </c>
    </row>
    <row r="32296" spans="1:2" x14ac:dyDescent="0.25">
      <c r="A32296" s="74">
        <v>37088</v>
      </c>
      <c r="B32296">
        <v>1.33</v>
      </c>
    </row>
    <row r="32297" spans="1:2" x14ac:dyDescent="0.25">
      <c r="A32297" s="74">
        <v>37089</v>
      </c>
      <c r="B32297">
        <v>1.34</v>
      </c>
    </row>
    <row r="32298" spans="1:2" x14ac:dyDescent="0.25">
      <c r="A32298" s="74">
        <v>37090</v>
      </c>
      <c r="B32298">
        <v>1.28</v>
      </c>
    </row>
    <row r="32299" spans="1:2" x14ac:dyDescent="0.25">
      <c r="A32299" s="74">
        <v>37091</v>
      </c>
      <c r="B32299">
        <v>1.26</v>
      </c>
    </row>
    <row r="32300" spans="1:2" x14ac:dyDescent="0.25">
      <c r="A32300" s="74">
        <v>37092</v>
      </c>
      <c r="B32300">
        <v>1.26</v>
      </c>
    </row>
    <row r="32301" spans="1:2" x14ac:dyDescent="0.25">
      <c r="A32301" s="74">
        <v>37093</v>
      </c>
      <c r="B32301">
        <v>1.27</v>
      </c>
    </row>
    <row r="32302" spans="1:2" x14ac:dyDescent="0.25">
      <c r="A32302" s="74">
        <v>37094</v>
      </c>
      <c r="B32302">
        <v>1.18</v>
      </c>
    </row>
    <row r="32303" spans="1:2" x14ac:dyDescent="0.25">
      <c r="A32303" s="74">
        <v>37095</v>
      </c>
      <c r="B32303">
        <v>1.1499999999999999</v>
      </c>
    </row>
    <row r="32304" spans="1:2" x14ac:dyDescent="0.25">
      <c r="A32304" s="74">
        <v>37096</v>
      </c>
      <c r="B32304">
        <v>1.1200000000000001</v>
      </c>
    </row>
    <row r="32305" spans="1:2" x14ac:dyDescent="0.25">
      <c r="A32305" s="74">
        <v>37097</v>
      </c>
      <c r="B32305">
        <v>1.23</v>
      </c>
    </row>
    <row r="32306" spans="1:2" x14ac:dyDescent="0.25">
      <c r="A32306" s="74">
        <v>37098</v>
      </c>
      <c r="B32306">
        <v>1.23</v>
      </c>
    </row>
    <row r="32307" spans="1:2" x14ac:dyDescent="0.25">
      <c r="A32307" s="74">
        <v>37099</v>
      </c>
      <c r="B32307">
        <v>1.28</v>
      </c>
    </row>
    <row r="32308" spans="1:2" x14ac:dyDescent="0.25">
      <c r="A32308" s="74">
        <v>37100</v>
      </c>
      <c r="B32308">
        <v>1.95</v>
      </c>
    </row>
    <row r="32309" spans="1:2" x14ac:dyDescent="0.25">
      <c r="A32309" s="74">
        <v>37101</v>
      </c>
      <c r="B32309">
        <v>1.63</v>
      </c>
    </row>
    <row r="32310" spans="1:2" x14ac:dyDescent="0.25">
      <c r="A32310" s="74">
        <v>37102</v>
      </c>
      <c r="B32310">
        <v>1.57</v>
      </c>
    </row>
    <row r="32311" spans="1:2" x14ac:dyDescent="0.25">
      <c r="A32311" s="74">
        <v>37103</v>
      </c>
      <c r="B32311">
        <v>1.5</v>
      </c>
    </row>
    <row r="32312" spans="1:2" x14ac:dyDescent="0.25">
      <c r="A32312" s="74">
        <v>37104</v>
      </c>
      <c r="B32312">
        <v>1.5</v>
      </c>
    </row>
    <row r="32313" spans="1:2" x14ac:dyDescent="0.25">
      <c r="A32313" s="74">
        <v>37105</v>
      </c>
      <c r="B32313">
        <v>2.02</v>
      </c>
    </row>
    <row r="32314" spans="1:2" x14ac:dyDescent="0.25">
      <c r="A32314" s="74">
        <v>37106</v>
      </c>
      <c r="B32314">
        <v>2.71</v>
      </c>
    </row>
    <row r="32315" spans="1:2" x14ac:dyDescent="0.25">
      <c r="A32315" s="74">
        <v>37107</v>
      </c>
      <c r="B32315">
        <v>2.81</v>
      </c>
    </row>
    <row r="32316" spans="1:2" x14ac:dyDescent="0.25">
      <c r="A32316" s="74">
        <v>37108</v>
      </c>
      <c r="B32316">
        <v>2.63</v>
      </c>
    </row>
    <row r="32317" spans="1:2" x14ac:dyDescent="0.25">
      <c r="A32317" s="74">
        <v>37109</v>
      </c>
      <c r="B32317">
        <v>3.56</v>
      </c>
    </row>
    <row r="32318" spans="1:2" x14ac:dyDescent="0.25">
      <c r="A32318" s="74">
        <v>37110</v>
      </c>
      <c r="B32318">
        <v>3.11</v>
      </c>
    </row>
    <row r="32319" spans="1:2" x14ac:dyDescent="0.25">
      <c r="A32319" s="74">
        <v>37111</v>
      </c>
      <c r="B32319">
        <v>2.23</v>
      </c>
    </row>
    <row r="32320" spans="1:2" x14ac:dyDescent="0.25">
      <c r="A32320" s="74">
        <v>37112</v>
      </c>
      <c r="B32320">
        <v>1.82</v>
      </c>
    </row>
    <row r="32321" spans="1:2" x14ac:dyDescent="0.25">
      <c r="A32321" s="74">
        <v>37113</v>
      </c>
      <c r="B32321">
        <v>1.6</v>
      </c>
    </row>
    <row r="32322" spans="1:2" x14ac:dyDescent="0.25">
      <c r="A32322" s="74">
        <v>37114</v>
      </c>
      <c r="B32322">
        <v>1.59</v>
      </c>
    </row>
    <row r="32323" spans="1:2" x14ac:dyDescent="0.25">
      <c r="A32323" s="74">
        <v>37115</v>
      </c>
      <c r="B32323">
        <v>1.49</v>
      </c>
    </row>
    <row r="32324" spans="1:2" x14ac:dyDescent="0.25">
      <c r="A32324" s="74">
        <v>37116</v>
      </c>
      <c r="B32324">
        <v>1.5</v>
      </c>
    </row>
    <row r="32325" spans="1:2" x14ac:dyDescent="0.25">
      <c r="A32325" s="74">
        <v>37117</v>
      </c>
      <c r="B32325">
        <v>1.53</v>
      </c>
    </row>
    <row r="32326" spans="1:2" x14ac:dyDescent="0.25">
      <c r="A32326" s="74">
        <v>37118</v>
      </c>
      <c r="B32326">
        <v>1.47</v>
      </c>
    </row>
    <row r="32327" spans="1:2" x14ac:dyDescent="0.25">
      <c r="A32327" s="74">
        <v>37119</v>
      </c>
      <c r="B32327">
        <v>1.44</v>
      </c>
    </row>
    <row r="32328" spans="1:2" x14ac:dyDescent="0.25">
      <c r="A32328" s="74">
        <v>37120</v>
      </c>
      <c r="B32328">
        <v>1.42</v>
      </c>
    </row>
    <row r="32329" spans="1:2" x14ac:dyDescent="0.25">
      <c r="A32329" s="74">
        <v>37121</v>
      </c>
      <c r="B32329">
        <v>1.39</v>
      </c>
    </row>
    <row r="32330" spans="1:2" x14ac:dyDescent="0.25">
      <c r="A32330" s="74">
        <v>37122</v>
      </c>
      <c r="B32330">
        <v>1.4</v>
      </c>
    </row>
    <row r="32331" spans="1:2" x14ac:dyDescent="0.25">
      <c r="A32331" s="74">
        <v>37123</v>
      </c>
      <c r="B32331">
        <v>1.43</v>
      </c>
    </row>
    <row r="32332" spans="1:2" x14ac:dyDescent="0.25">
      <c r="A32332" s="74">
        <v>37124</v>
      </c>
      <c r="B32332">
        <v>1.47</v>
      </c>
    </row>
    <row r="32333" spans="1:2" x14ac:dyDescent="0.25">
      <c r="A32333" s="74">
        <v>37125</v>
      </c>
      <c r="B32333">
        <v>4.21</v>
      </c>
    </row>
    <row r="32334" spans="1:2" x14ac:dyDescent="0.25">
      <c r="A32334" s="74">
        <v>37126</v>
      </c>
      <c r="B32334">
        <v>5</v>
      </c>
    </row>
    <row r="32335" spans="1:2" x14ac:dyDescent="0.25">
      <c r="A32335" s="74">
        <v>37127</v>
      </c>
      <c r="B32335">
        <v>7.96</v>
      </c>
    </row>
    <row r="32336" spans="1:2" x14ac:dyDescent="0.25">
      <c r="A32336" s="74">
        <v>37128</v>
      </c>
      <c r="B32336">
        <v>5.3</v>
      </c>
    </row>
    <row r="32337" spans="1:2" x14ac:dyDescent="0.25">
      <c r="A32337" s="74">
        <v>37129</v>
      </c>
      <c r="B32337">
        <v>3.65</v>
      </c>
    </row>
    <row r="32338" spans="1:2" x14ac:dyDescent="0.25">
      <c r="A32338" s="74">
        <v>37130</v>
      </c>
      <c r="B32338">
        <v>2.82</v>
      </c>
    </row>
    <row r="32339" spans="1:2" x14ac:dyDescent="0.25">
      <c r="A32339" s="74">
        <v>37131</v>
      </c>
      <c r="B32339">
        <v>2.72</v>
      </c>
    </row>
    <row r="32340" spans="1:2" x14ac:dyDescent="0.25">
      <c r="A32340" s="74">
        <v>37132</v>
      </c>
      <c r="B32340">
        <v>2.2400000000000002</v>
      </c>
    </row>
    <row r="32341" spans="1:2" x14ac:dyDescent="0.25">
      <c r="A32341" s="74">
        <v>37133</v>
      </c>
      <c r="B32341">
        <v>2.0299999999999998</v>
      </c>
    </row>
    <row r="32342" spans="1:2" x14ac:dyDescent="0.25">
      <c r="A32342" s="74">
        <v>37134</v>
      </c>
      <c r="B32342">
        <v>1.86</v>
      </c>
    </row>
    <row r="32343" spans="1:2" x14ac:dyDescent="0.25">
      <c r="A32343" s="74">
        <v>37135</v>
      </c>
      <c r="B32343">
        <v>1.95</v>
      </c>
    </row>
    <row r="32344" spans="1:2" x14ac:dyDescent="0.25">
      <c r="A32344" s="74">
        <v>37136</v>
      </c>
      <c r="B32344">
        <v>2.0699999999999998</v>
      </c>
    </row>
    <row r="32345" spans="1:2" x14ac:dyDescent="0.25">
      <c r="A32345" s="74">
        <v>37137</v>
      </c>
      <c r="B32345">
        <v>1.91</v>
      </c>
    </row>
    <row r="32346" spans="1:2" x14ac:dyDescent="0.25">
      <c r="A32346" s="74">
        <v>37138</v>
      </c>
      <c r="B32346">
        <v>1.86</v>
      </c>
    </row>
    <row r="32347" spans="1:2" x14ac:dyDescent="0.25">
      <c r="A32347" s="74">
        <v>37139</v>
      </c>
      <c r="B32347">
        <v>1.73</v>
      </c>
    </row>
    <row r="32348" spans="1:2" x14ac:dyDescent="0.25">
      <c r="A32348" s="74">
        <v>37140</v>
      </c>
      <c r="B32348">
        <v>1.62</v>
      </c>
    </row>
    <row r="32349" spans="1:2" x14ac:dyDescent="0.25">
      <c r="A32349" s="74">
        <v>37141</v>
      </c>
      <c r="B32349">
        <v>1.53</v>
      </c>
    </row>
    <row r="32350" spans="1:2" x14ac:dyDescent="0.25">
      <c r="A32350" s="74">
        <v>37142</v>
      </c>
      <c r="B32350">
        <v>1.67</v>
      </c>
    </row>
    <row r="32351" spans="1:2" x14ac:dyDescent="0.25">
      <c r="A32351" s="74">
        <v>37143</v>
      </c>
      <c r="B32351">
        <v>1.66</v>
      </c>
    </row>
    <row r="32352" spans="1:2" x14ac:dyDescent="0.25">
      <c r="A32352" s="74">
        <v>37144</v>
      </c>
      <c r="B32352">
        <v>1.44</v>
      </c>
    </row>
    <row r="32353" spans="1:2" x14ac:dyDescent="0.25">
      <c r="A32353" s="74">
        <v>37145</v>
      </c>
      <c r="B32353">
        <v>1.5</v>
      </c>
    </row>
    <row r="32354" spans="1:2" x14ac:dyDescent="0.25">
      <c r="A32354" s="74">
        <v>37146</v>
      </c>
      <c r="B32354">
        <v>1.49</v>
      </c>
    </row>
    <row r="32355" spans="1:2" x14ac:dyDescent="0.25">
      <c r="A32355" s="74">
        <v>37147</v>
      </c>
      <c r="B32355">
        <v>1.71</v>
      </c>
    </row>
    <row r="32356" spans="1:2" x14ac:dyDescent="0.25">
      <c r="A32356" s="74">
        <v>37148</v>
      </c>
      <c r="B32356">
        <v>1.76</v>
      </c>
    </row>
    <row r="32357" spans="1:2" x14ac:dyDescent="0.25">
      <c r="A32357" s="74">
        <v>37149</v>
      </c>
      <c r="B32357">
        <v>1.68</v>
      </c>
    </row>
    <row r="32358" spans="1:2" x14ac:dyDescent="0.25">
      <c r="A32358" s="74">
        <v>37150</v>
      </c>
      <c r="B32358">
        <v>1.66</v>
      </c>
    </row>
    <row r="32359" spans="1:2" x14ac:dyDescent="0.25">
      <c r="A32359" s="74">
        <v>37151</v>
      </c>
      <c r="B32359">
        <v>1.93</v>
      </c>
    </row>
    <row r="32360" spans="1:2" x14ac:dyDescent="0.25">
      <c r="A32360" s="74">
        <v>37152</v>
      </c>
      <c r="B32360">
        <v>1.69</v>
      </c>
    </row>
    <row r="32361" spans="1:2" x14ac:dyDescent="0.25">
      <c r="A32361" s="74">
        <v>37153</v>
      </c>
      <c r="B32361">
        <v>1.62</v>
      </c>
    </row>
    <row r="32362" spans="1:2" x14ac:dyDescent="0.25">
      <c r="A32362" s="74">
        <v>37154</v>
      </c>
      <c r="B32362">
        <v>1.67</v>
      </c>
    </row>
    <row r="32363" spans="1:2" x14ac:dyDescent="0.25">
      <c r="A32363" s="74">
        <v>37155</v>
      </c>
      <c r="B32363">
        <v>1.66</v>
      </c>
    </row>
    <row r="32364" spans="1:2" x14ac:dyDescent="0.25">
      <c r="A32364" s="74">
        <v>37156</v>
      </c>
      <c r="B32364">
        <v>1.68</v>
      </c>
    </row>
    <row r="32365" spans="1:2" x14ac:dyDescent="0.25">
      <c r="A32365" s="74">
        <v>37157</v>
      </c>
      <c r="B32365">
        <v>1.64</v>
      </c>
    </row>
    <row r="32366" spans="1:2" x14ac:dyDescent="0.25">
      <c r="A32366" s="74">
        <v>37158</v>
      </c>
      <c r="B32366">
        <v>1.62</v>
      </c>
    </row>
    <row r="32367" spans="1:2" x14ac:dyDescent="0.25">
      <c r="A32367" s="74">
        <v>37159</v>
      </c>
      <c r="B32367">
        <v>1.66</v>
      </c>
    </row>
    <row r="32368" spans="1:2" x14ac:dyDescent="0.25">
      <c r="A32368" s="74">
        <v>37160</v>
      </c>
      <c r="B32368">
        <v>1.77</v>
      </c>
    </row>
    <row r="32369" spans="1:3" x14ac:dyDescent="0.25">
      <c r="A32369" s="74">
        <v>37161</v>
      </c>
      <c r="B32369">
        <v>1.71</v>
      </c>
    </row>
    <row r="32370" spans="1:3" x14ac:dyDescent="0.25">
      <c r="A32370" s="74">
        <v>37162</v>
      </c>
      <c r="B32370">
        <v>1.69</v>
      </c>
    </row>
    <row r="32371" spans="1:3" x14ac:dyDescent="0.25">
      <c r="A32371" s="74">
        <v>37163</v>
      </c>
      <c r="B32371">
        <v>1.99</v>
      </c>
    </row>
    <row r="32372" spans="1:3" x14ac:dyDescent="0.25">
      <c r="A32372" s="74">
        <v>37164</v>
      </c>
      <c r="B32372">
        <v>2.17</v>
      </c>
    </row>
    <row r="32373" spans="1:3" x14ac:dyDescent="0.25">
      <c r="A32373" s="74">
        <v>37165</v>
      </c>
      <c r="B32373">
        <v>2.0299999999999998</v>
      </c>
    </row>
    <row r="32374" spans="1:3" x14ac:dyDescent="0.25">
      <c r="A32374" s="74">
        <v>37166</v>
      </c>
      <c r="B32374">
        <v>1.8</v>
      </c>
    </row>
    <row r="32375" spans="1:3" x14ac:dyDescent="0.25">
      <c r="A32375" s="74">
        <v>37167</v>
      </c>
      <c r="B32375">
        <v>1.67</v>
      </c>
    </row>
    <row r="32376" spans="1:3" x14ac:dyDescent="0.25">
      <c r="A32376" s="74">
        <v>37168</v>
      </c>
      <c r="B32376">
        <v>1.73</v>
      </c>
    </row>
    <row r="32377" spans="1:3" x14ac:dyDescent="0.25">
      <c r="A32377" s="74">
        <v>37169</v>
      </c>
      <c r="B32377">
        <v>1.57</v>
      </c>
    </row>
    <row r="32378" spans="1:3" x14ac:dyDescent="0.25">
      <c r="A32378" s="74">
        <v>37170</v>
      </c>
      <c r="B32378">
        <v>1.48</v>
      </c>
    </row>
    <row r="32379" spans="1:3" x14ac:dyDescent="0.25">
      <c r="A32379" s="74">
        <v>37171</v>
      </c>
      <c r="B32379">
        <v>1.72</v>
      </c>
    </row>
    <row r="32380" spans="1:3" x14ac:dyDescent="0.25">
      <c r="A32380" s="74">
        <v>37172</v>
      </c>
      <c r="B32380">
        <v>1.85</v>
      </c>
      <c r="C32380" t="s">
        <v>140</v>
      </c>
    </row>
    <row r="32381" spans="1:3" x14ac:dyDescent="0.25">
      <c r="A32381" s="74">
        <v>37173</v>
      </c>
      <c r="B32381">
        <v>1.94</v>
      </c>
      <c r="C32381" t="s">
        <v>141</v>
      </c>
    </row>
    <row r="32382" spans="1:3" x14ac:dyDescent="0.25">
      <c r="A32382" s="74">
        <v>37174</v>
      </c>
      <c r="B32382">
        <v>2.0299999999999998</v>
      </c>
      <c r="C32382" t="s">
        <v>141</v>
      </c>
    </row>
    <row r="32383" spans="1:3" x14ac:dyDescent="0.25">
      <c r="A32383" s="74">
        <v>37175</v>
      </c>
      <c r="B32383">
        <v>1.76</v>
      </c>
      <c r="C32383" t="s">
        <v>140</v>
      </c>
    </row>
    <row r="32384" spans="1:3" x14ac:dyDescent="0.25">
      <c r="A32384" s="74">
        <v>37176</v>
      </c>
      <c r="B32384">
        <v>1.7</v>
      </c>
    </row>
    <row r="32385" spans="1:2" x14ac:dyDescent="0.25">
      <c r="A32385" s="74">
        <v>37177</v>
      </c>
      <c r="B32385">
        <v>2.37</v>
      </c>
    </row>
    <row r="32386" spans="1:2" x14ac:dyDescent="0.25">
      <c r="A32386" s="74">
        <v>37178</v>
      </c>
      <c r="B32386">
        <v>2.4300000000000002</v>
      </c>
    </row>
    <row r="32387" spans="1:2" x14ac:dyDescent="0.25">
      <c r="A32387" s="74">
        <v>37179</v>
      </c>
      <c r="B32387">
        <v>2.44</v>
      </c>
    </row>
    <row r="32388" spans="1:2" x14ac:dyDescent="0.25">
      <c r="A32388" s="74">
        <v>37180</v>
      </c>
      <c r="B32388">
        <v>1.9</v>
      </c>
    </row>
    <row r="32389" spans="1:2" x14ac:dyDescent="0.25">
      <c r="A32389" s="74">
        <v>37181</v>
      </c>
      <c r="B32389">
        <v>1.78</v>
      </c>
    </row>
    <row r="32390" spans="1:2" x14ac:dyDescent="0.25">
      <c r="A32390" s="74">
        <v>37182</v>
      </c>
      <c r="B32390">
        <v>1.74</v>
      </c>
    </row>
    <row r="32391" spans="1:2" x14ac:dyDescent="0.25">
      <c r="A32391" s="74">
        <v>37183</v>
      </c>
      <c r="B32391">
        <v>1.79</v>
      </c>
    </row>
    <row r="32392" spans="1:2" x14ac:dyDescent="0.25">
      <c r="A32392" s="74">
        <v>37184</v>
      </c>
      <c r="B32392">
        <v>1.66</v>
      </c>
    </row>
    <row r="32393" spans="1:2" x14ac:dyDescent="0.25">
      <c r="A32393" s="74">
        <v>37185</v>
      </c>
      <c r="B32393">
        <v>1.58</v>
      </c>
    </row>
    <row r="32394" spans="1:2" x14ac:dyDescent="0.25">
      <c r="A32394" s="74">
        <v>37186</v>
      </c>
      <c r="B32394">
        <v>2.15</v>
      </c>
    </row>
    <row r="32395" spans="1:2" x14ac:dyDescent="0.25">
      <c r="A32395" s="74">
        <v>37187</v>
      </c>
      <c r="B32395">
        <v>6.64</v>
      </c>
    </row>
    <row r="32396" spans="1:2" x14ac:dyDescent="0.25">
      <c r="A32396" s="74">
        <v>37188</v>
      </c>
      <c r="B32396">
        <v>4.54</v>
      </c>
    </row>
    <row r="32397" spans="1:2" x14ac:dyDescent="0.25">
      <c r="A32397" s="74">
        <v>37189</v>
      </c>
      <c r="B32397">
        <v>3.49</v>
      </c>
    </row>
    <row r="32398" spans="1:2" x14ac:dyDescent="0.25">
      <c r="A32398" s="74">
        <v>37190</v>
      </c>
      <c r="B32398">
        <v>9.52</v>
      </c>
    </row>
    <row r="32399" spans="1:2" x14ac:dyDescent="0.25">
      <c r="A32399" s="74">
        <v>37191</v>
      </c>
      <c r="B32399">
        <v>10.8</v>
      </c>
    </row>
    <row r="32400" spans="1:2" x14ac:dyDescent="0.25">
      <c r="A32400" s="74">
        <v>37192</v>
      </c>
      <c r="B32400">
        <v>6.72</v>
      </c>
    </row>
    <row r="32401" spans="1:2" x14ac:dyDescent="0.25">
      <c r="A32401" s="74">
        <v>37193</v>
      </c>
      <c r="B32401">
        <v>4.9400000000000004</v>
      </c>
    </row>
    <row r="32402" spans="1:2" x14ac:dyDescent="0.25">
      <c r="A32402" s="74">
        <v>37194</v>
      </c>
      <c r="B32402">
        <v>4.09</v>
      </c>
    </row>
    <row r="32403" spans="1:2" x14ac:dyDescent="0.25">
      <c r="A32403" s="74">
        <v>37195</v>
      </c>
      <c r="B32403">
        <v>9.52</v>
      </c>
    </row>
    <row r="32404" spans="1:2" x14ac:dyDescent="0.25">
      <c r="A32404" s="74">
        <v>37196</v>
      </c>
      <c r="B32404">
        <v>9.3699999999999992</v>
      </c>
    </row>
    <row r="32405" spans="1:2" x14ac:dyDescent="0.25">
      <c r="A32405" s="74">
        <v>37197</v>
      </c>
      <c r="B32405">
        <v>11</v>
      </c>
    </row>
    <row r="32406" spans="1:2" x14ac:dyDescent="0.25">
      <c r="A32406" s="74">
        <v>37198</v>
      </c>
      <c r="B32406">
        <v>7.83</v>
      </c>
    </row>
    <row r="32407" spans="1:2" x14ac:dyDescent="0.25">
      <c r="A32407" s="74">
        <v>37199</v>
      </c>
      <c r="B32407">
        <v>8.52</v>
      </c>
    </row>
    <row r="32408" spans="1:2" x14ac:dyDescent="0.25">
      <c r="A32408" s="74">
        <v>37200</v>
      </c>
      <c r="B32408">
        <v>9.06</v>
      </c>
    </row>
    <row r="32409" spans="1:2" x14ac:dyDescent="0.25">
      <c r="A32409" s="74">
        <v>37201</v>
      </c>
      <c r="B32409">
        <v>7.3</v>
      </c>
    </row>
    <row r="32410" spans="1:2" x14ac:dyDescent="0.25">
      <c r="A32410" s="74">
        <v>37202</v>
      </c>
      <c r="B32410">
        <v>6.2</v>
      </c>
    </row>
    <row r="32411" spans="1:2" x14ac:dyDescent="0.25">
      <c r="A32411" s="74">
        <v>37203</v>
      </c>
      <c r="B32411">
        <v>5.5</v>
      </c>
    </row>
    <row r="32412" spans="1:2" x14ac:dyDescent="0.25">
      <c r="A32412" s="74">
        <v>37204</v>
      </c>
      <c r="B32412">
        <v>4.8600000000000003</v>
      </c>
    </row>
    <row r="32413" spans="1:2" x14ac:dyDescent="0.25">
      <c r="A32413" s="74">
        <v>37205</v>
      </c>
      <c r="B32413">
        <v>4.5</v>
      </c>
    </row>
    <row r="32414" spans="1:2" x14ac:dyDescent="0.25">
      <c r="A32414" s="74">
        <v>37206</v>
      </c>
      <c r="B32414">
        <v>4.2</v>
      </c>
    </row>
    <row r="32415" spans="1:2" x14ac:dyDescent="0.25">
      <c r="A32415" s="74">
        <v>37207</v>
      </c>
      <c r="B32415">
        <v>12.7</v>
      </c>
    </row>
    <row r="32416" spans="1:2" x14ac:dyDescent="0.25">
      <c r="A32416" s="74">
        <v>37208</v>
      </c>
      <c r="B32416">
        <v>32.1</v>
      </c>
    </row>
    <row r="32417" spans="1:2" x14ac:dyDescent="0.25">
      <c r="A32417" s="74">
        <v>37209</v>
      </c>
      <c r="B32417">
        <v>45.5</v>
      </c>
    </row>
    <row r="32418" spans="1:2" x14ac:dyDescent="0.25">
      <c r="A32418" s="74">
        <v>37210</v>
      </c>
      <c r="B32418">
        <v>120</v>
      </c>
    </row>
    <row r="32419" spans="1:2" x14ac:dyDescent="0.25">
      <c r="A32419" s="74">
        <v>37211</v>
      </c>
      <c r="B32419">
        <v>47.5</v>
      </c>
    </row>
    <row r="32420" spans="1:2" x14ac:dyDescent="0.25">
      <c r="A32420" s="74">
        <v>37212</v>
      </c>
      <c r="B32420">
        <v>21.2</v>
      </c>
    </row>
    <row r="32421" spans="1:2" x14ac:dyDescent="0.25">
      <c r="A32421" s="74">
        <v>37213</v>
      </c>
      <c r="B32421">
        <v>12.8</v>
      </c>
    </row>
    <row r="32422" spans="1:2" x14ac:dyDescent="0.25">
      <c r="A32422" s="74">
        <v>37214</v>
      </c>
      <c r="B32422">
        <v>31.8</v>
      </c>
    </row>
    <row r="32423" spans="1:2" x14ac:dyDescent="0.25">
      <c r="A32423" s="74">
        <v>37215</v>
      </c>
      <c r="B32423">
        <v>121</v>
      </c>
    </row>
    <row r="32424" spans="1:2" x14ac:dyDescent="0.25">
      <c r="A32424" s="74">
        <v>37216</v>
      </c>
      <c r="B32424">
        <v>110</v>
      </c>
    </row>
    <row r="32425" spans="1:2" x14ac:dyDescent="0.25">
      <c r="A32425" s="74">
        <v>37217</v>
      </c>
      <c r="B32425">
        <v>56.3</v>
      </c>
    </row>
    <row r="32426" spans="1:2" x14ac:dyDescent="0.25">
      <c r="A32426" s="74">
        <v>37218</v>
      </c>
      <c r="B32426">
        <v>29.7</v>
      </c>
    </row>
    <row r="32427" spans="1:2" x14ac:dyDescent="0.25">
      <c r="A32427" s="74">
        <v>37219</v>
      </c>
      <c r="B32427">
        <v>18</v>
      </c>
    </row>
    <row r="32428" spans="1:2" x14ac:dyDescent="0.25">
      <c r="A32428" s="74">
        <v>37220</v>
      </c>
      <c r="B32428">
        <v>12.6</v>
      </c>
    </row>
    <row r="32429" spans="1:2" x14ac:dyDescent="0.25">
      <c r="A32429" s="74">
        <v>37221</v>
      </c>
      <c r="B32429">
        <v>9.5500000000000007</v>
      </c>
    </row>
    <row r="32430" spans="1:2" x14ac:dyDescent="0.25">
      <c r="A32430" s="74">
        <v>37222</v>
      </c>
      <c r="B32430">
        <v>7.62</v>
      </c>
    </row>
    <row r="32431" spans="1:2" x14ac:dyDescent="0.25">
      <c r="A32431" s="74">
        <v>37223</v>
      </c>
      <c r="B32431">
        <v>7.45</v>
      </c>
    </row>
    <row r="32432" spans="1:2" x14ac:dyDescent="0.25">
      <c r="A32432" s="74">
        <v>37224</v>
      </c>
      <c r="B32432">
        <v>8.07</v>
      </c>
    </row>
    <row r="32433" spans="1:3" x14ac:dyDescent="0.25">
      <c r="A32433" s="74">
        <v>37225</v>
      </c>
      <c r="B32433">
        <v>7.83</v>
      </c>
    </row>
    <row r="32434" spans="1:3" x14ac:dyDescent="0.25">
      <c r="A32434" s="74">
        <v>37226</v>
      </c>
      <c r="B32434">
        <v>22.2</v>
      </c>
    </row>
    <row r="32435" spans="1:3" x14ac:dyDescent="0.25">
      <c r="A32435" s="74">
        <v>37227</v>
      </c>
      <c r="B32435">
        <v>28.3</v>
      </c>
    </row>
    <row r="32436" spans="1:3" x14ac:dyDescent="0.25">
      <c r="A32436" s="74">
        <v>37228</v>
      </c>
      <c r="B32436">
        <v>16.399999999999999</v>
      </c>
    </row>
    <row r="32437" spans="1:3" x14ac:dyDescent="0.25">
      <c r="A32437" s="74">
        <v>37229</v>
      </c>
      <c r="B32437">
        <v>11.5</v>
      </c>
    </row>
    <row r="32438" spans="1:3" x14ac:dyDescent="0.25">
      <c r="A32438" s="74">
        <v>37230</v>
      </c>
      <c r="B32438">
        <v>8.9</v>
      </c>
    </row>
    <row r="32439" spans="1:3" x14ac:dyDescent="0.25">
      <c r="A32439" s="74">
        <v>37231</v>
      </c>
      <c r="B32439">
        <v>7.93</v>
      </c>
    </row>
    <row r="32440" spans="1:3" x14ac:dyDescent="0.25">
      <c r="A32440" s="74">
        <v>37232</v>
      </c>
      <c r="B32440">
        <v>7.11</v>
      </c>
    </row>
    <row r="32441" spans="1:3" x14ac:dyDescent="0.25">
      <c r="A32441" s="74">
        <v>37233</v>
      </c>
      <c r="B32441">
        <v>10.1</v>
      </c>
      <c r="C32441" t="s">
        <v>140</v>
      </c>
    </row>
    <row r="32442" spans="1:3" x14ac:dyDescent="0.25">
      <c r="A32442" s="74">
        <v>37234</v>
      </c>
      <c r="B32442">
        <v>22.5</v>
      </c>
      <c r="C32442" t="s">
        <v>141</v>
      </c>
    </row>
    <row r="32443" spans="1:3" x14ac:dyDescent="0.25">
      <c r="A32443" s="74">
        <v>37235</v>
      </c>
      <c r="B32443">
        <v>14.3</v>
      </c>
      <c r="C32443" t="s">
        <v>140</v>
      </c>
    </row>
    <row r="32444" spans="1:3" x14ac:dyDescent="0.25">
      <c r="A32444" s="74">
        <v>37236</v>
      </c>
      <c r="B32444">
        <v>11.5</v>
      </c>
    </row>
    <row r="32445" spans="1:3" x14ac:dyDescent="0.25">
      <c r="A32445" s="74">
        <v>37237</v>
      </c>
      <c r="B32445">
        <v>9.3000000000000007</v>
      </c>
    </row>
    <row r="32446" spans="1:3" x14ac:dyDescent="0.25">
      <c r="A32446" s="74">
        <v>37238</v>
      </c>
      <c r="B32446">
        <v>11.5</v>
      </c>
    </row>
    <row r="32447" spans="1:3" x14ac:dyDescent="0.25">
      <c r="A32447" s="74">
        <v>37239</v>
      </c>
      <c r="B32447">
        <v>16.3</v>
      </c>
    </row>
    <row r="32448" spans="1:3" x14ac:dyDescent="0.25">
      <c r="A32448" s="74">
        <v>37240</v>
      </c>
      <c r="B32448">
        <v>21.8</v>
      </c>
    </row>
    <row r="32449" spans="1:2" x14ac:dyDescent="0.25">
      <c r="A32449" s="74">
        <v>37241</v>
      </c>
      <c r="B32449">
        <v>174</v>
      </c>
    </row>
    <row r="32450" spans="1:2" x14ac:dyDescent="0.25">
      <c r="A32450" s="74">
        <v>37242</v>
      </c>
      <c r="B32450">
        <v>116</v>
      </c>
    </row>
    <row r="32451" spans="1:2" x14ac:dyDescent="0.25">
      <c r="A32451" s="74">
        <v>37243</v>
      </c>
      <c r="B32451">
        <v>56.5</v>
      </c>
    </row>
    <row r="32452" spans="1:2" x14ac:dyDescent="0.25">
      <c r="A32452" s="74">
        <v>37244</v>
      </c>
      <c r="B32452">
        <v>39.1</v>
      </c>
    </row>
    <row r="32453" spans="1:2" x14ac:dyDescent="0.25">
      <c r="A32453" s="74">
        <v>37245</v>
      </c>
      <c r="B32453">
        <v>23</v>
      </c>
    </row>
    <row r="32454" spans="1:2" x14ac:dyDescent="0.25">
      <c r="A32454" s="74">
        <v>37246</v>
      </c>
      <c r="B32454">
        <v>15.3</v>
      </c>
    </row>
    <row r="32455" spans="1:2" x14ac:dyDescent="0.25">
      <c r="A32455" s="74">
        <v>37247</v>
      </c>
      <c r="B32455">
        <v>11.9</v>
      </c>
    </row>
    <row r="32456" spans="1:2" x14ac:dyDescent="0.25">
      <c r="A32456" s="74">
        <v>37248</v>
      </c>
      <c r="B32456">
        <v>9.6999999999999993</v>
      </c>
    </row>
    <row r="32457" spans="1:2" x14ac:dyDescent="0.25">
      <c r="A32457" s="74">
        <v>37249</v>
      </c>
      <c r="B32457">
        <v>8.23</v>
      </c>
    </row>
    <row r="32458" spans="1:2" x14ac:dyDescent="0.25">
      <c r="A32458" s="74">
        <v>37250</v>
      </c>
      <c r="B32458">
        <v>7.29</v>
      </c>
    </row>
    <row r="32459" spans="1:2" x14ac:dyDescent="0.25">
      <c r="A32459" s="74">
        <v>37251</v>
      </c>
      <c r="B32459">
        <v>6.55</v>
      </c>
    </row>
    <row r="32460" spans="1:2" x14ac:dyDescent="0.25">
      <c r="A32460" s="74">
        <v>37252</v>
      </c>
      <c r="B32460">
        <v>6.08</v>
      </c>
    </row>
    <row r="32461" spans="1:2" x14ac:dyDescent="0.25">
      <c r="A32461" s="74">
        <v>37253</v>
      </c>
      <c r="B32461">
        <v>6.14</v>
      </c>
    </row>
    <row r="32462" spans="1:2" x14ac:dyDescent="0.25">
      <c r="A32462" s="74">
        <v>37254</v>
      </c>
      <c r="B32462">
        <v>6.42</v>
      </c>
    </row>
    <row r="32463" spans="1:2" x14ac:dyDescent="0.25">
      <c r="A32463" s="74">
        <v>37255</v>
      </c>
      <c r="B32463">
        <v>6.41</v>
      </c>
    </row>
    <row r="32464" spans="1:2" x14ac:dyDescent="0.25">
      <c r="A32464" s="74">
        <v>37256</v>
      </c>
      <c r="B32464">
        <v>6.56</v>
      </c>
    </row>
    <row r="32465" spans="1:2" x14ac:dyDescent="0.25">
      <c r="A32465" s="74">
        <v>37257</v>
      </c>
      <c r="B32465">
        <v>9.4600000000000009</v>
      </c>
    </row>
    <row r="32466" spans="1:2" x14ac:dyDescent="0.25">
      <c r="A32466" s="74">
        <v>37258</v>
      </c>
      <c r="B32466">
        <v>82.7</v>
      </c>
    </row>
    <row r="32467" spans="1:2" x14ac:dyDescent="0.25">
      <c r="A32467" s="74">
        <v>37259</v>
      </c>
      <c r="B32467">
        <v>100</v>
      </c>
    </row>
    <row r="32468" spans="1:2" x14ac:dyDescent="0.25">
      <c r="A32468" s="74">
        <v>37260</v>
      </c>
      <c r="B32468">
        <v>48.2</v>
      </c>
    </row>
    <row r="32469" spans="1:2" x14ac:dyDescent="0.25">
      <c r="A32469" s="74">
        <v>37261</v>
      </c>
      <c r="B32469">
        <v>27.2</v>
      </c>
    </row>
    <row r="32470" spans="1:2" x14ac:dyDescent="0.25">
      <c r="A32470" s="74">
        <v>37262</v>
      </c>
      <c r="B32470">
        <v>75.400000000000006</v>
      </c>
    </row>
    <row r="32471" spans="1:2" x14ac:dyDescent="0.25">
      <c r="A32471" s="74">
        <v>37263</v>
      </c>
      <c r="B32471">
        <v>226</v>
      </c>
    </row>
    <row r="32472" spans="1:2" x14ac:dyDescent="0.25">
      <c r="A32472" s="74">
        <v>37264</v>
      </c>
      <c r="B32472">
        <v>131</v>
      </c>
    </row>
    <row r="32473" spans="1:2" x14ac:dyDescent="0.25">
      <c r="A32473" s="74">
        <v>37265</v>
      </c>
      <c r="B32473">
        <v>60.8</v>
      </c>
    </row>
    <row r="32474" spans="1:2" x14ac:dyDescent="0.25">
      <c r="A32474" s="74">
        <v>37266</v>
      </c>
      <c r="B32474">
        <v>33.799999999999997</v>
      </c>
    </row>
    <row r="32475" spans="1:2" x14ac:dyDescent="0.25">
      <c r="A32475" s="74">
        <v>37267</v>
      </c>
      <c r="B32475">
        <v>23.2</v>
      </c>
    </row>
    <row r="32476" spans="1:2" x14ac:dyDescent="0.25">
      <c r="A32476" s="74">
        <v>37268</v>
      </c>
      <c r="B32476">
        <v>24.5</v>
      </c>
    </row>
    <row r="32477" spans="1:2" x14ac:dyDescent="0.25">
      <c r="A32477" s="74">
        <v>37269</v>
      </c>
      <c r="B32477">
        <v>20.5</v>
      </c>
    </row>
    <row r="32478" spans="1:2" x14ac:dyDescent="0.25">
      <c r="A32478" s="74">
        <v>37270</v>
      </c>
      <c r="B32478">
        <v>16.2</v>
      </c>
    </row>
    <row r="32479" spans="1:2" x14ac:dyDescent="0.25">
      <c r="A32479" s="74">
        <v>37271</v>
      </c>
      <c r="B32479">
        <v>13.3</v>
      </c>
    </row>
    <row r="32480" spans="1:2" x14ac:dyDescent="0.25">
      <c r="A32480" s="74">
        <v>37272</v>
      </c>
      <c r="B32480">
        <v>11.2</v>
      </c>
    </row>
    <row r="32481" spans="1:2" x14ac:dyDescent="0.25">
      <c r="A32481" s="74">
        <v>37273</v>
      </c>
      <c r="B32481">
        <v>9.7899999999999991</v>
      </c>
    </row>
    <row r="32482" spans="1:2" x14ac:dyDescent="0.25">
      <c r="A32482" s="74">
        <v>37274</v>
      </c>
      <c r="B32482">
        <v>8.7200000000000006</v>
      </c>
    </row>
    <row r="32483" spans="1:2" x14ac:dyDescent="0.25">
      <c r="A32483" s="74">
        <v>37275</v>
      </c>
      <c r="B32483">
        <v>8.6300000000000008</v>
      </c>
    </row>
    <row r="32484" spans="1:2" x14ac:dyDescent="0.25">
      <c r="A32484" s="74">
        <v>37276</v>
      </c>
      <c r="B32484">
        <v>8.18</v>
      </c>
    </row>
    <row r="32485" spans="1:2" x14ac:dyDescent="0.25">
      <c r="A32485" s="74">
        <v>37277</v>
      </c>
      <c r="B32485">
        <v>7.84</v>
      </c>
    </row>
    <row r="32486" spans="1:2" x14ac:dyDescent="0.25">
      <c r="A32486" s="74">
        <v>37278</v>
      </c>
      <c r="B32486">
        <v>6.96</v>
      </c>
    </row>
    <row r="32487" spans="1:2" x14ac:dyDescent="0.25">
      <c r="A32487" s="74">
        <v>37279</v>
      </c>
      <c r="B32487">
        <v>6.2</v>
      </c>
    </row>
    <row r="32488" spans="1:2" x14ac:dyDescent="0.25">
      <c r="A32488" s="74">
        <v>37280</v>
      </c>
      <c r="B32488">
        <v>10</v>
      </c>
    </row>
    <row r="32489" spans="1:2" x14ac:dyDescent="0.25">
      <c r="A32489" s="74">
        <v>37281</v>
      </c>
      <c r="B32489">
        <v>17.899999999999999</v>
      </c>
    </row>
    <row r="32490" spans="1:2" x14ac:dyDescent="0.25">
      <c r="A32490" s="74">
        <v>37282</v>
      </c>
      <c r="B32490">
        <v>13.7</v>
      </c>
    </row>
    <row r="32491" spans="1:2" x14ac:dyDescent="0.25">
      <c r="A32491" s="74">
        <v>37283</v>
      </c>
      <c r="B32491">
        <v>11.8</v>
      </c>
    </row>
    <row r="32492" spans="1:2" x14ac:dyDescent="0.25">
      <c r="A32492" s="74">
        <v>37284</v>
      </c>
      <c r="B32492">
        <v>9.49</v>
      </c>
    </row>
    <row r="32493" spans="1:2" x14ac:dyDescent="0.25">
      <c r="A32493" s="74">
        <v>37285</v>
      </c>
      <c r="B32493">
        <v>7.97</v>
      </c>
    </row>
    <row r="32494" spans="1:2" x14ac:dyDescent="0.25">
      <c r="A32494" s="74">
        <v>37286</v>
      </c>
      <c r="B32494">
        <v>7.02</v>
      </c>
    </row>
    <row r="32495" spans="1:2" x14ac:dyDescent="0.25">
      <c r="A32495" s="74">
        <v>37287</v>
      </c>
      <c r="B32495">
        <v>6.59</v>
      </c>
    </row>
    <row r="32496" spans="1:2" x14ac:dyDescent="0.25">
      <c r="A32496" s="74">
        <v>37288</v>
      </c>
      <c r="B32496">
        <v>6.11</v>
      </c>
    </row>
    <row r="32497" spans="1:2" x14ac:dyDescent="0.25">
      <c r="A32497" s="74">
        <v>37289</v>
      </c>
      <c r="B32497">
        <v>5.82</v>
      </c>
    </row>
    <row r="32498" spans="1:2" x14ac:dyDescent="0.25">
      <c r="A32498" s="74">
        <v>37290</v>
      </c>
      <c r="B32498">
        <v>8.94</v>
      </c>
    </row>
    <row r="32499" spans="1:2" x14ac:dyDescent="0.25">
      <c r="A32499" s="74">
        <v>37291</v>
      </c>
      <c r="B32499">
        <v>10.4</v>
      </c>
    </row>
    <row r="32500" spans="1:2" x14ac:dyDescent="0.25">
      <c r="A32500" s="74">
        <v>37292</v>
      </c>
      <c r="B32500">
        <v>13.2</v>
      </c>
    </row>
    <row r="32501" spans="1:2" x14ac:dyDescent="0.25">
      <c r="A32501" s="74">
        <v>37293</v>
      </c>
      <c r="B32501">
        <v>20.5</v>
      </c>
    </row>
    <row r="32502" spans="1:2" x14ac:dyDescent="0.25">
      <c r="A32502" s="74">
        <v>37294</v>
      </c>
      <c r="B32502">
        <v>31.2</v>
      </c>
    </row>
    <row r="32503" spans="1:2" x14ac:dyDescent="0.25">
      <c r="A32503" s="74">
        <v>37295</v>
      </c>
      <c r="B32503">
        <v>24.7</v>
      </c>
    </row>
    <row r="32504" spans="1:2" x14ac:dyDescent="0.25">
      <c r="A32504" s="74">
        <v>37296</v>
      </c>
      <c r="B32504">
        <v>16</v>
      </c>
    </row>
    <row r="32505" spans="1:2" x14ac:dyDescent="0.25">
      <c r="A32505" s="74">
        <v>37297</v>
      </c>
      <c r="B32505">
        <v>13</v>
      </c>
    </row>
    <row r="32506" spans="1:2" x14ac:dyDescent="0.25">
      <c r="A32506" s="74">
        <v>37298</v>
      </c>
      <c r="B32506">
        <v>11.7</v>
      </c>
    </row>
    <row r="32507" spans="1:2" x14ac:dyDescent="0.25">
      <c r="A32507" s="74">
        <v>37299</v>
      </c>
      <c r="B32507">
        <v>9.99</v>
      </c>
    </row>
    <row r="32508" spans="1:2" x14ac:dyDescent="0.25">
      <c r="A32508" s="74">
        <v>37300</v>
      </c>
      <c r="B32508">
        <v>8.67</v>
      </c>
    </row>
    <row r="32509" spans="1:2" x14ac:dyDescent="0.25">
      <c r="A32509" s="74">
        <v>37301</v>
      </c>
      <c r="B32509">
        <v>7.41</v>
      </c>
    </row>
    <row r="32510" spans="1:2" x14ac:dyDescent="0.25">
      <c r="A32510" s="74">
        <v>37302</v>
      </c>
      <c r="B32510">
        <v>6.55</v>
      </c>
    </row>
    <row r="32511" spans="1:2" x14ac:dyDescent="0.25">
      <c r="A32511" s="74">
        <v>37303</v>
      </c>
      <c r="B32511">
        <v>6.08</v>
      </c>
    </row>
    <row r="32512" spans="1:2" x14ac:dyDescent="0.25">
      <c r="A32512" s="74">
        <v>37304</v>
      </c>
      <c r="B32512">
        <v>6.1</v>
      </c>
    </row>
    <row r="32513" spans="1:2" x14ac:dyDescent="0.25">
      <c r="A32513" s="74">
        <v>37305</v>
      </c>
      <c r="B32513">
        <v>6.28</v>
      </c>
    </row>
    <row r="32514" spans="1:2" x14ac:dyDescent="0.25">
      <c r="A32514" s="74">
        <v>37306</v>
      </c>
      <c r="B32514">
        <v>21</v>
      </c>
    </row>
    <row r="32515" spans="1:2" x14ac:dyDescent="0.25">
      <c r="A32515" s="74">
        <v>37307</v>
      </c>
      <c r="B32515">
        <v>23.4</v>
      </c>
    </row>
    <row r="32516" spans="1:2" x14ac:dyDescent="0.25">
      <c r="A32516" s="74">
        <v>37308</v>
      </c>
      <c r="B32516">
        <v>40.9</v>
      </c>
    </row>
    <row r="32517" spans="1:2" x14ac:dyDescent="0.25">
      <c r="A32517" s="74">
        <v>37309</v>
      </c>
      <c r="B32517">
        <v>83.2</v>
      </c>
    </row>
    <row r="32518" spans="1:2" x14ac:dyDescent="0.25">
      <c r="A32518" s="74">
        <v>37310</v>
      </c>
      <c r="B32518">
        <v>43.8</v>
      </c>
    </row>
    <row r="32519" spans="1:2" x14ac:dyDescent="0.25">
      <c r="A32519" s="74">
        <v>37311</v>
      </c>
      <c r="B32519">
        <v>25.1</v>
      </c>
    </row>
    <row r="32520" spans="1:2" x14ac:dyDescent="0.25">
      <c r="A32520" s="74">
        <v>37312</v>
      </c>
      <c r="B32520">
        <v>16.899999999999999</v>
      </c>
    </row>
    <row r="32521" spans="1:2" x14ac:dyDescent="0.25">
      <c r="A32521" s="74">
        <v>37313</v>
      </c>
      <c r="B32521">
        <v>13.3</v>
      </c>
    </row>
    <row r="32522" spans="1:2" x14ac:dyDescent="0.25">
      <c r="A32522" s="74">
        <v>37314</v>
      </c>
      <c r="B32522">
        <v>11</v>
      </c>
    </row>
    <row r="32523" spans="1:2" x14ac:dyDescent="0.25">
      <c r="A32523" s="74">
        <v>37315</v>
      </c>
      <c r="B32523">
        <v>9.34</v>
      </c>
    </row>
    <row r="32524" spans="1:2" x14ac:dyDescent="0.25">
      <c r="A32524" s="74">
        <v>37316</v>
      </c>
      <c r="B32524">
        <v>8.09</v>
      </c>
    </row>
    <row r="32525" spans="1:2" x14ac:dyDescent="0.25">
      <c r="A32525" s="74">
        <v>37317</v>
      </c>
      <c r="B32525">
        <v>7.04</v>
      </c>
    </row>
    <row r="32526" spans="1:2" x14ac:dyDescent="0.25">
      <c r="A32526" s="74">
        <v>37318</v>
      </c>
      <c r="B32526">
        <v>6.39</v>
      </c>
    </row>
    <row r="32527" spans="1:2" x14ac:dyDescent="0.25">
      <c r="A32527" s="74">
        <v>37319</v>
      </c>
      <c r="B32527">
        <v>5.9</v>
      </c>
    </row>
    <row r="32528" spans="1:2" x14ac:dyDescent="0.25">
      <c r="A32528" s="74">
        <v>37320</v>
      </c>
      <c r="B32528">
        <v>5.7</v>
      </c>
    </row>
    <row r="32529" spans="1:2" x14ac:dyDescent="0.25">
      <c r="A32529" s="74">
        <v>37321</v>
      </c>
      <c r="B32529">
        <v>5.35</v>
      </c>
    </row>
    <row r="32530" spans="1:2" x14ac:dyDescent="0.25">
      <c r="A32530" s="74">
        <v>37322</v>
      </c>
      <c r="B32530">
        <v>5.03</v>
      </c>
    </row>
    <row r="32531" spans="1:2" x14ac:dyDescent="0.25">
      <c r="A32531" s="74">
        <v>37323</v>
      </c>
      <c r="B32531">
        <v>4.75</v>
      </c>
    </row>
    <row r="32532" spans="1:2" x14ac:dyDescent="0.25">
      <c r="A32532" s="74">
        <v>37324</v>
      </c>
      <c r="B32532">
        <v>4.54</v>
      </c>
    </row>
    <row r="32533" spans="1:2" x14ac:dyDescent="0.25">
      <c r="A32533" s="74">
        <v>37325</v>
      </c>
      <c r="B32533">
        <v>5.0599999999999996</v>
      </c>
    </row>
    <row r="32534" spans="1:2" x14ac:dyDescent="0.25">
      <c r="A32534" s="74">
        <v>37326</v>
      </c>
      <c r="B32534">
        <v>21.6</v>
      </c>
    </row>
    <row r="32535" spans="1:2" x14ac:dyDescent="0.25">
      <c r="A32535" s="74">
        <v>37327</v>
      </c>
      <c r="B32535">
        <v>32.6</v>
      </c>
    </row>
    <row r="32536" spans="1:2" x14ac:dyDescent="0.25">
      <c r="A32536" s="74">
        <v>37328</v>
      </c>
      <c r="B32536">
        <v>27.2</v>
      </c>
    </row>
    <row r="32537" spans="1:2" x14ac:dyDescent="0.25">
      <c r="A32537" s="74">
        <v>37329</v>
      </c>
      <c r="B32537">
        <v>18.5</v>
      </c>
    </row>
    <row r="32538" spans="1:2" x14ac:dyDescent="0.25">
      <c r="A32538" s="74">
        <v>37330</v>
      </c>
      <c r="B32538">
        <v>14.3</v>
      </c>
    </row>
    <row r="32539" spans="1:2" x14ac:dyDescent="0.25">
      <c r="A32539" s="74">
        <v>37331</v>
      </c>
      <c r="B32539">
        <v>12.5</v>
      </c>
    </row>
    <row r="32540" spans="1:2" x14ac:dyDescent="0.25">
      <c r="A32540" s="74">
        <v>37332</v>
      </c>
      <c r="B32540">
        <v>10.3</v>
      </c>
    </row>
    <row r="32541" spans="1:2" x14ac:dyDescent="0.25">
      <c r="A32541" s="74">
        <v>37333</v>
      </c>
      <c r="B32541">
        <v>8.9600000000000009</v>
      </c>
    </row>
    <row r="32542" spans="1:2" x14ac:dyDescent="0.25">
      <c r="A32542" s="74">
        <v>37334</v>
      </c>
      <c r="B32542">
        <v>8.09</v>
      </c>
    </row>
    <row r="32543" spans="1:2" x14ac:dyDescent="0.25">
      <c r="A32543" s="74">
        <v>37335</v>
      </c>
      <c r="B32543">
        <v>7.32</v>
      </c>
    </row>
    <row r="32544" spans="1:2" x14ac:dyDescent="0.25">
      <c r="A32544" s="74">
        <v>37336</v>
      </c>
      <c r="B32544">
        <v>6.55</v>
      </c>
    </row>
    <row r="32545" spans="1:2" x14ac:dyDescent="0.25">
      <c r="A32545" s="74">
        <v>37337</v>
      </c>
      <c r="B32545">
        <v>6.22</v>
      </c>
    </row>
    <row r="32546" spans="1:2" x14ac:dyDescent="0.25">
      <c r="A32546" s="74">
        <v>37338</v>
      </c>
      <c r="B32546">
        <v>6.39</v>
      </c>
    </row>
    <row r="32547" spans="1:2" x14ac:dyDescent="0.25">
      <c r="A32547" s="74">
        <v>37339</v>
      </c>
      <c r="B32547">
        <v>7.15</v>
      </c>
    </row>
    <row r="32548" spans="1:2" x14ac:dyDescent="0.25">
      <c r="A32548" s="74">
        <v>37340</v>
      </c>
      <c r="B32548">
        <v>8.44</v>
      </c>
    </row>
    <row r="32549" spans="1:2" x14ac:dyDescent="0.25">
      <c r="A32549" s="74">
        <v>37341</v>
      </c>
      <c r="B32549">
        <v>10.3</v>
      </c>
    </row>
    <row r="32550" spans="1:2" x14ac:dyDescent="0.25">
      <c r="A32550" s="74">
        <v>37342</v>
      </c>
      <c r="B32550">
        <v>11.6</v>
      </c>
    </row>
    <row r="32551" spans="1:2" x14ac:dyDescent="0.25">
      <c r="A32551" s="74">
        <v>37343</v>
      </c>
      <c r="B32551">
        <v>10.5</v>
      </c>
    </row>
    <row r="32552" spans="1:2" x14ac:dyDescent="0.25">
      <c r="A32552" s="74">
        <v>37344</v>
      </c>
      <c r="B32552">
        <v>9.7100000000000009</v>
      </c>
    </row>
    <row r="32553" spans="1:2" x14ac:dyDescent="0.25">
      <c r="A32553" s="74">
        <v>37345</v>
      </c>
      <c r="B32553">
        <v>9.2899999999999991</v>
      </c>
    </row>
    <row r="32554" spans="1:2" x14ac:dyDescent="0.25">
      <c r="A32554" s="74">
        <v>37346</v>
      </c>
      <c r="B32554">
        <v>10.3</v>
      </c>
    </row>
    <row r="32555" spans="1:2" x14ac:dyDescent="0.25">
      <c r="A32555" s="74">
        <v>37347</v>
      </c>
      <c r="B32555">
        <v>12.2</v>
      </c>
    </row>
    <row r="32556" spans="1:2" x14ac:dyDescent="0.25">
      <c r="A32556" s="74">
        <v>37348</v>
      </c>
      <c r="B32556">
        <v>11.4</v>
      </c>
    </row>
    <row r="32557" spans="1:2" x14ac:dyDescent="0.25">
      <c r="A32557" s="74">
        <v>37349</v>
      </c>
      <c r="B32557">
        <v>10</v>
      </c>
    </row>
    <row r="32558" spans="1:2" x14ac:dyDescent="0.25">
      <c r="A32558" s="74">
        <v>37350</v>
      </c>
      <c r="B32558">
        <v>9.74</v>
      </c>
    </row>
    <row r="32559" spans="1:2" x14ac:dyDescent="0.25">
      <c r="A32559" s="74">
        <v>37351</v>
      </c>
      <c r="B32559">
        <v>11.3</v>
      </c>
    </row>
    <row r="32560" spans="1:2" x14ac:dyDescent="0.25">
      <c r="A32560" s="74">
        <v>37352</v>
      </c>
      <c r="B32560">
        <v>13.9</v>
      </c>
    </row>
    <row r="32561" spans="1:2" x14ac:dyDescent="0.25">
      <c r="A32561" s="74">
        <v>37353</v>
      </c>
      <c r="B32561">
        <v>14.3</v>
      </c>
    </row>
    <row r="32562" spans="1:2" x14ac:dyDescent="0.25">
      <c r="A32562" s="74">
        <v>37354</v>
      </c>
      <c r="B32562">
        <v>12.2</v>
      </c>
    </row>
    <row r="32563" spans="1:2" x14ac:dyDescent="0.25">
      <c r="A32563" s="74">
        <v>37355</v>
      </c>
      <c r="B32563">
        <v>11.4</v>
      </c>
    </row>
    <row r="32564" spans="1:2" x14ac:dyDescent="0.25">
      <c r="A32564" s="74">
        <v>37356</v>
      </c>
      <c r="B32564">
        <v>14.2</v>
      </c>
    </row>
    <row r="32565" spans="1:2" x14ac:dyDescent="0.25">
      <c r="A32565" s="74">
        <v>37357</v>
      </c>
      <c r="B32565">
        <v>19.5</v>
      </c>
    </row>
    <row r="32566" spans="1:2" x14ac:dyDescent="0.25">
      <c r="A32566" s="74">
        <v>37358</v>
      </c>
      <c r="B32566">
        <v>26.8</v>
      </c>
    </row>
    <row r="32567" spans="1:2" x14ac:dyDescent="0.25">
      <c r="A32567" s="74">
        <v>37359</v>
      </c>
      <c r="B32567">
        <v>61.6</v>
      </c>
    </row>
    <row r="32568" spans="1:2" x14ac:dyDescent="0.25">
      <c r="A32568" s="74">
        <v>37360</v>
      </c>
      <c r="B32568">
        <v>63.7</v>
      </c>
    </row>
    <row r="32569" spans="1:2" x14ac:dyDescent="0.25">
      <c r="A32569" s="74">
        <v>37361</v>
      </c>
      <c r="B32569">
        <v>31.2</v>
      </c>
    </row>
    <row r="32570" spans="1:2" x14ac:dyDescent="0.25">
      <c r="A32570" s="74">
        <v>37362</v>
      </c>
      <c r="B32570">
        <v>20.9</v>
      </c>
    </row>
    <row r="32571" spans="1:2" x14ac:dyDescent="0.25">
      <c r="A32571" s="74">
        <v>37363</v>
      </c>
      <c r="B32571">
        <v>20</v>
      </c>
    </row>
    <row r="32572" spans="1:2" x14ac:dyDescent="0.25">
      <c r="A32572" s="74">
        <v>37364</v>
      </c>
      <c r="B32572">
        <v>17.600000000000001</v>
      </c>
    </row>
    <row r="32573" spans="1:2" x14ac:dyDescent="0.25">
      <c r="A32573" s="74">
        <v>37365</v>
      </c>
      <c r="B32573">
        <v>15.2</v>
      </c>
    </row>
    <row r="32574" spans="1:2" x14ac:dyDescent="0.25">
      <c r="A32574" s="74">
        <v>37366</v>
      </c>
      <c r="B32574">
        <v>13.6</v>
      </c>
    </row>
    <row r="32575" spans="1:2" x14ac:dyDescent="0.25">
      <c r="A32575" s="74">
        <v>37367</v>
      </c>
      <c r="B32575">
        <v>12.8</v>
      </c>
    </row>
    <row r="32576" spans="1:2" x14ac:dyDescent="0.25">
      <c r="A32576" s="74">
        <v>37368</v>
      </c>
      <c r="B32576">
        <v>12.6</v>
      </c>
    </row>
    <row r="32577" spans="1:2" x14ac:dyDescent="0.25">
      <c r="A32577" s="74">
        <v>37369</v>
      </c>
      <c r="B32577">
        <v>11.7</v>
      </c>
    </row>
    <row r="32578" spans="1:2" x14ac:dyDescent="0.25">
      <c r="A32578" s="74">
        <v>37370</v>
      </c>
      <c r="B32578">
        <v>10.199999999999999</v>
      </c>
    </row>
    <row r="32579" spans="1:2" x14ac:dyDescent="0.25">
      <c r="A32579" s="74">
        <v>37371</v>
      </c>
      <c r="B32579">
        <v>9.18</v>
      </c>
    </row>
    <row r="32580" spans="1:2" x14ac:dyDescent="0.25">
      <c r="A32580" s="74">
        <v>37372</v>
      </c>
      <c r="B32580">
        <v>9.19</v>
      </c>
    </row>
    <row r="32581" spans="1:2" x14ac:dyDescent="0.25">
      <c r="A32581" s="74">
        <v>37373</v>
      </c>
      <c r="B32581">
        <v>9.4499999999999993</v>
      </c>
    </row>
    <row r="32582" spans="1:2" x14ac:dyDescent="0.25">
      <c r="A32582" s="74">
        <v>37374</v>
      </c>
      <c r="B32582">
        <v>9.0500000000000007</v>
      </c>
    </row>
    <row r="32583" spans="1:2" x14ac:dyDescent="0.25">
      <c r="A32583" s="74">
        <v>37375</v>
      </c>
      <c r="B32583">
        <v>9.67</v>
      </c>
    </row>
    <row r="32584" spans="1:2" x14ac:dyDescent="0.25">
      <c r="A32584" s="74">
        <v>37376</v>
      </c>
      <c r="B32584">
        <v>11.9</v>
      </c>
    </row>
    <row r="32585" spans="1:2" x14ac:dyDescent="0.25">
      <c r="A32585" s="74">
        <v>37377</v>
      </c>
      <c r="B32585">
        <v>16.899999999999999</v>
      </c>
    </row>
    <row r="32586" spans="1:2" x14ac:dyDescent="0.25">
      <c r="A32586" s="74">
        <v>37378</v>
      </c>
      <c r="B32586">
        <v>18.600000000000001</v>
      </c>
    </row>
    <row r="32587" spans="1:2" x14ac:dyDescent="0.25">
      <c r="A32587" s="74">
        <v>37379</v>
      </c>
      <c r="B32587">
        <v>14.9</v>
      </c>
    </row>
    <row r="32588" spans="1:2" x14ac:dyDescent="0.25">
      <c r="A32588" s="74">
        <v>37380</v>
      </c>
      <c r="B32588">
        <v>11.3</v>
      </c>
    </row>
    <row r="32589" spans="1:2" x14ac:dyDescent="0.25">
      <c r="A32589" s="74">
        <v>37381</v>
      </c>
      <c r="B32589">
        <v>9.51</v>
      </c>
    </row>
    <row r="32590" spans="1:2" x14ac:dyDescent="0.25">
      <c r="A32590" s="74">
        <v>37382</v>
      </c>
      <c r="B32590">
        <v>8.5500000000000007</v>
      </c>
    </row>
    <row r="32591" spans="1:2" x14ac:dyDescent="0.25">
      <c r="A32591" s="74">
        <v>37383</v>
      </c>
      <c r="B32591">
        <v>7.39</v>
      </c>
    </row>
    <row r="32592" spans="1:2" x14ac:dyDescent="0.25">
      <c r="A32592" s="74">
        <v>37384</v>
      </c>
      <c r="B32592">
        <v>6.64</v>
      </c>
    </row>
    <row r="32593" spans="1:2" x14ac:dyDescent="0.25">
      <c r="A32593" s="74">
        <v>37385</v>
      </c>
      <c r="B32593">
        <v>6.32</v>
      </c>
    </row>
    <row r="32594" spans="1:2" x14ac:dyDescent="0.25">
      <c r="A32594" s="74">
        <v>37386</v>
      </c>
      <c r="B32594">
        <v>6.16</v>
      </c>
    </row>
    <row r="32595" spans="1:2" x14ac:dyDescent="0.25">
      <c r="A32595" s="74">
        <v>37387</v>
      </c>
      <c r="B32595">
        <v>6.26</v>
      </c>
    </row>
    <row r="32596" spans="1:2" x14ac:dyDescent="0.25">
      <c r="A32596" s="74">
        <v>37388</v>
      </c>
      <c r="B32596">
        <v>7.46</v>
      </c>
    </row>
    <row r="32597" spans="1:2" x14ac:dyDescent="0.25">
      <c r="A32597" s="74">
        <v>37389</v>
      </c>
      <c r="B32597">
        <v>11</v>
      </c>
    </row>
    <row r="32598" spans="1:2" x14ac:dyDescent="0.25">
      <c r="A32598" s="74">
        <v>37390</v>
      </c>
      <c r="B32598">
        <v>10.6</v>
      </c>
    </row>
    <row r="32599" spans="1:2" x14ac:dyDescent="0.25">
      <c r="A32599" s="74">
        <v>37391</v>
      </c>
      <c r="B32599">
        <v>9.0500000000000007</v>
      </c>
    </row>
    <row r="32600" spans="1:2" x14ac:dyDescent="0.25">
      <c r="A32600" s="74">
        <v>37392</v>
      </c>
      <c r="B32600">
        <v>7.76</v>
      </c>
    </row>
    <row r="32601" spans="1:2" x14ac:dyDescent="0.25">
      <c r="A32601" s="74">
        <v>37393</v>
      </c>
      <c r="B32601">
        <v>9.25</v>
      </c>
    </row>
    <row r="32602" spans="1:2" x14ac:dyDescent="0.25">
      <c r="A32602" s="74">
        <v>37394</v>
      </c>
      <c r="B32602">
        <v>8.6300000000000008</v>
      </c>
    </row>
    <row r="32603" spans="1:2" x14ac:dyDescent="0.25">
      <c r="A32603" s="74">
        <v>37395</v>
      </c>
      <c r="B32603">
        <v>8.2200000000000006</v>
      </c>
    </row>
    <row r="32604" spans="1:2" x14ac:dyDescent="0.25">
      <c r="A32604" s="74">
        <v>37396</v>
      </c>
      <c r="B32604">
        <v>8.5</v>
      </c>
    </row>
    <row r="32605" spans="1:2" x14ac:dyDescent="0.25">
      <c r="A32605" s="74">
        <v>37397</v>
      </c>
      <c r="B32605">
        <v>9.3000000000000007</v>
      </c>
    </row>
    <row r="32606" spans="1:2" x14ac:dyDescent="0.25">
      <c r="A32606" s="74">
        <v>37398</v>
      </c>
      <c r="B32606">
        <v>9.2899999999999991</v>
      </c>
    </row>
    <row r="32607" spans="1:2" x14ac:dyDescent="0.25">
      <c r="A32607" s="74">
        <v>37399</v>
      </c>
      <c r="B32607">
        <v>9.59</v>
      </c>
    </row>
    <row r="32608" spans="1:2" x14ac:dyDescent="0.25">
      <c r="A32608" s="74">
        <v>37400</v>
      </c>
      <c r="B32608">
        <v>8.92</v>
      </c>
    </row>
    <row r="32609" spans="1:2" x14ac:dyDescent="0.25">
      <c r="A32609" s="74">
        <v>37401</v>
      </c>
      <c r="B32609">
        <v>9.68</v>
      </c>
    </row>
    <row r="32610" spans="1:2" x14ac:dyDescent="0.25">
      <c r="A32610" s="74">
        <v>37402</v>
      </c>
      <c r="B32610">
        <v>11.6</v>
      </c>
    </row>
    <row r="32611" spans="1:2" x14ac:dyDescent="0.25">
      <c r="A32611" s="74">
        <v>37403</v>
      </c>
      <c r="B32611">
        <v>12.7</v>
      </c>
    </row>
    <row r="32612" spans="1:2" x14ac:dyDescent="0.25">
      <c r="A32612" s="74">
        <v>37404</v>
      </c>
      <c r="B32612">
        <v>16.5</v>
      </c>
    </row>
    <row r="32613" spans="1:2" x14ac:dyDescent="0.25">
      <c r="A32613" s="74">
        <v>37405</v>
      </c>
      <c r="B32613">
        <v>22.2</v>
      </c>
    </row>
    <row r="32614" spans="1:2" x14ac:dyDescent="0.25">
      <c r="A32614" s="74">
        <v>37406</v>
      </c>
      <c r="B32614">
        <v>15.1</v>
      </c>
    </row>
    <row r="32615" spans="1:2" x14ac:dyDescent="0.25">
      <c r="A32615" s="74">
        <v>37407</v>
      </c>
      <c r="B32615">
        <v>10.7</v>
      </c>
    </row>
    <row r="32616" spans="1:2" x14ac:dyDescent="0.25">
      <c r="A32616" s="74">
        <v>37408</v>
      </c>
      <c r="B32616">
        <v>8.8000000000000007</v>
      </c>
    </row>
    <row r="32617" spans="1:2" x14ac:dyDescent="0.25">
      <c r="A32617" s="74">
        <v>37409</v>
      </c>
      <c r="B32617">
        <v>9.14</v>
      </c>
    </row>
    <row r="32618" spans="1:2" x14ac:dyDescent="0.25">
      <c r="A32618" s="74">
        <v>37410</v>
      </c>
      <c r="B32618">
        <v>9.66</v>
      </c>
    </row>
    <row r="32619" spans="1:2" x14ac:dyDescent="0.25">
      <c r="A32619" s="74">
        <v>37411</v>
      </c>
      <c r="B32619">
        <v>9.64</v>
      </c>
    </row>
    <row r="32620" spans="1:2" x14ac:dyDescent="0.25">
      <c r="A32620" s="74">
        <v>37412</v>
      </c>
      <c r="B32620">
        <v>10.199999999999999</v>
      </c>
    </row>
    <row r="32621" spans="1:2" x14ac:dyDescent="0.25">
      <c r="A32621" s="74">
        <v>37413</v>
      </c>
      <c r="B32621">
        <v>8.82</v>
      </c>
    </row>
    <row r="32622" spans="1:2" x14ac:dyDescent="0.25">
      <c r="A32622" s="74">
        <v>37414</v>
      </c>
      <c r="B32622">
        <v>6.81</v>
      </c>
    </row>
    <row r="32623" spans="1:2" x14ac:dyDescent="0.25">
      <c r="A32623" s="74">
        <v>37415</v>
      </c>
      <c r="B32623">
        <v>5.49</v>
      </c>
    </row>
    <row r="32624" spans="1:2" x14ac:dyDescent="0.25">
      <c r="A32624" s="74">
        <v>37416</v>
      </c>
      <c r="B32624">
        <v>5.0999999999999996</v>
      </c>
    </row>
    <row r="32625" spans="1:2" x14ac:dyDescent="0.25">
      <c r="A32625" s="74">
        <v>37417</v>
      </c>
      <c r="B32625">
        <v>6.8</v>
      </c>
    </row>
    <row r="32626" spans="1:2" x14ac:dyDescent="0.25">
      <c r="A32626" s="74">
        <v>37418</v>
      </c>
      <c r="B32626">
        <v>8.02</v>
      </c>
    </row>
    <row r="32627" spans="1:2" x14ac:dyDescent="0.25">
      <c r="A32627" s="74">
        <v>37419</v>
      </c>
      <c r="B32627">
        <v>8.58</v>
      </c>
    </row>
    <row r="32628" spans="1:2" x14ac:dyDescent="0.25">
      <c r="A32628" s="74">
        <v>37420</v>
      </c>
      <c r="B32628">
        <v>9.1199999999999992</v>
      </c>
    </row>
    <row r="32629" spans="1:2" x14ac:dyDescent="0.25">
      <c r="A32629" s="74">
        <v>37421</v>
      </c>
      <c r="B32629">
        <v>9.65</v>
      </c>
    </row>
    <row r="32630" spans="1:2" x14ac:dyDescent="0.25">
      <c r="A32630" s="74">
        <v>37422</v>
      </c>
      <c r="B32630">
        <v>8.5399999999999991</v>
      </c>
    </row>
    <row r="32631" spans="1:2" x14ac:dyDescent="0.25">
      <c r="A32631" s="74">
        <v>37423</v>
      </c>
      <c r="B32631">
        <v>7.29</v>
      </c>
    </row>
    <row r="32632" spans="1:2" x14ac:dyDescent="0.25">
      <c r="A32632" s="74">
        <v>37424</v>
      </c>
      <c r="B32632">
        <v>6.63</v>
      </c>
    </row>
    <row r="32633" spans="1:2" x14ac:dyDescent="0.25">
      <c r="A32633" s="74">
        <v>37425</v>
      </c>
      <c r="B32633">
        <v>7.89</v>
      </c>
    </row>
    <row r="32634" spans="1:2" x14ac:dyDescent="0.25">
      <c r="A32634" s="74">
        <v>37426</v>
      </c>
      <c r="B32634">
        <v>5.87</v>
      </c>
    </row>
    <row r="32635" spans="1:2" x14ac:dyDescent="0.25">
      <c r="A32635" s="74">
        <v>37427</v>
      </c>
      <c r="B32635">
        <v>5.0199999999999996</v>
      </c>
    </row>
    <row r="32636" spans="1:2" x14ac:dyDescent="0.25">
      <c r="A32636" s="74">
        <v>37428</v>
      </c>
      <c r="B32636">
        <v>4.8499999999999996</v>
      </c>
    </row>
    <row r="32637" spans="1:2" x14ac:dyDescent="0.25">
      <c r="A32637" s="74">
        <v>37429</v>
      </c>
      <c r="B32637">
        <v>4.88</v>
      </c>
    </row>
    <row r="32638" spans="1:2" x14ac:dyDescent="0.25">
      <c r="A32638" s="74">
        <v>37430</v>
      </c>
      <c r="B32638">
        <v>4.62</v>
      </c>
    </row>
    <row r="32639" spans="1:2" x14ac:dyDescent="0.25">
      <c r="A32639" s="74">
        <v>37431</v>
      </c>
      <c r="B32639">
        <v>4.2</v>
      </c>
    </row>
    <row r="32640" spans="1:2" x14ac:dyDescent="0.25">
      <c r="A32640" s="74">
        <v>37432</v>
      </c>
      <c r="B32640">
        <v>3.88</v>
      </c>
    </row>
    <row r="32641" spans="1:2" x14ac:dyDescent="0.25">
      <c r="A32641" s="74">
        <v>37433</v>
      </c>
      <c r="B32641">
        <v>4.12</v>
      </c>
    </row>
    <row r="32642" spans="1:2" x14ac:dyDescent="0.25">
      <c r="A32642" s="74">
        <v>37434</v>
      </c>
      <c r="B32642">
        <v>4.45</v>
      </c>
    </row>
    <row r="32643" spans="1:2" x14ac:dyDescent="0.25">
      <c r="A32643" s="74">
        <v>37435</v>
      </c>
      <c r="B32643">
        <v>4.3600000000000003</v>
      </c>
    </row>
    <row r="32644" spans="1:2" x14ac:dyDescent="0.25">
      <c r="A32644" s="74">
        <v>37436</v>
      </c>
      <c r="B32644">
        <v>7.08</v>
      </c>
    </row>
    <row r="32645" spans="1:2" x14ac:dyDescent="0.25">
      <c r="A32645" s="74">
        <v>37437</v>
      </c>
      <c r="B32645">
        <v>5.49</v>
      </c>
    </row>
    <row r="32646" spans="1:2" x14ac:dyDescent="0.25">
      <c r="A32646" s="74">
        <v>37438</v>
      </c>
      <c r="B32646">
        <v>4.03</v>
      </c>
    </row>
    <row r="32647" spans="1:2" x14ac:dyDescent="0.25">
      <c r="A32647" s="74">
        <v>37439</v>
      </c>
      <c r="B32647">
        <v>3.25</v>
      </c>
    </row>
    <row r="32648" spans="1:2" x14ac:dyDescent="0.25">
      <c r="A32648" s="74">
        <v>37440</v>
      </c>
      <c r="B32648">
        <v>2.83</v>
      </c>
    </row>
    <row r="32649" spans="1:2" x14ac:dyDescent="0.25">
      <c r="A32649" s="74">
        <v>37441</v>
      </c>
      <c r="B32649">
        <v>2.5499999999999998</v>
      </c>
    </row>
    <row r="32650" spans="1:2" x14ac:dyDescent="0.25">
      <c r="A32650" s="74">
        <v>37442</v>
      </c>
      <c r="B32650">
        <v>2.33</v>
      </c>
    </row>
    <row r="32651" spans="1:2" x14ac:dyDescent="0.25">
      <c r="A32651" s="74">
        <v>37443</v>
      </c>
      <c r="B32651">
        <v>2.15</v>
      </c>
    </row>
    <row r="32652" spans="1:2" x14ac:dyDescent="0.25">
      <c r="A32652" s="74">
        <v>37444</v>
      </c>
      <c r="B32652">
        <v>2.1</v>
      </c>
    </row>
    <row r="32653" spans="1:2" x14ac:dyDescent="0.25">
      <c r="A32653" s="74">
        <v>37445</v>
      </c>
      <c r="B32653">
        <v>2.5499999999999998</v>
      </c>
    </row>
    <row r="32654" spans="1:2" x14ac:dyDescent="0.25">
      <c r="A32654" s="74">
        <v>37446</v>
      </c>
      <c r="B32654">
        <v>2.69</v>
      </c>
    </row>
    <row r="32655" spans="1:2" x14ac:dyDescent="0.25">
      <c r="A32655" s="74">
        <v>37447</v>
      </c>
      <c r="B32655">
        <v>2.44</v>
      </c>
    </row>
    <row r="32656" spans="1:2" x14ac:dyDescent="0.25">
      <c r="A32656" s="74">
        <v>37448</v>
      </c>
      <c r="B32656">
        <v>2.38</v>
      </c>
    </row>
    <row r="32657" spans="1:2" x14ac:dyDescent="0.25">
      <c r="A32657" s="74">
        <v>37449</v>
      </c>
      <c r="B32657">
        <v>2.27</v>
      </c>
    </row>
    <row r="32658" spans="1:2" x14ac:dyDescent="0.25">
      <c r="A32658" s="74">
        <v>37450</v>
      </c>
      <c r="B32658">
        <v>2.13</v>
      </c>
    </row>
    <row r="32659" spans="1:2" x14ac:dyDescent="0.25">
      <c r="A32659" s="74">
        <v>37451</v>
      </c>
      <c r="B32659">
        <v>1.98</v>
      </c>
    </row>
    <row r="32660" spans="1:2" x14ac:dyDescent="0.25">
      <c r="A32660" s="74">
        <v>37452</v>
      </c>
      <c r="B32660">
        <v>1.84</v>
      </c>
    </row>
    <row r="32661" spans="1:2" x14ac:dyDescent="0.25">
      <c r="A32661" s="74">
        <v>37453</v>
      </c>
      <c r="B32661">
        <v>1.96</v>
      </c>
    </row>
    <row r="32662" spans="1:2" x14ac:dyDescent="0.25">
      <c r="A32662" s="74">
        <v>37454</v>
      </c>
      <c r="B32662">
        <v>2</v>
      </c>
    </row>
    <row r="32663" spans="1:2" x14ac:dyDescent="0.25">
      <c r="A32663" s="74">
        <v>37455</v>
      </c>
      <c r="B32663">
        <v>2</v>
      </c>
    </row>
    <row r="32664" spans="1:2" x14ac:dyDescent="0.25">
      <c r="A32664" s="74">
        <v>37456</v>
      </c>
      <c r="B32664">
        <v>1.88</v>
      </c>
    </row>
    <row r="32665" spans="1:2" x14ac:dyDescent="0.25">
      <c r="A32665" s="74">
        <v>37457</v>
      </c>
      <c r="B32665">
        <v>1.69</v>
      </c>
    </row>
    <row r="32666" spans="1:2" x14ac:dyDescent="0.25">
      <c r="A32666" s="74">
        <v>37458</v>
      </c>
      <c r="B32666">
        <v>1.6</v>
      </c>
    </row>
    <row r="32667" spans="1:2" x14ac:dyDescent="0.25">
      <c r="A32667" s="74">
        <v>37459</v>
      </c>
      <c r="B32667">
        <v>1.54</v>
      </c>
    </row>
    <row r="32668" spans="1:2" x14ac:dyDescent="0.25">
      <c r="A32668" s="74">
        <v>37460</v>
      </c>
      <c r="B32668">
        <v>1.52</v>
      </c>
    </row>
    <row r="32669" spans="1:2" x14ac:dyDescent="0.25">
      <c r="A32669" s="74">
        <v>37461</v>
      </c>
      <c r="B32669">
        <v>1.5</v>
      </c>
    </row>
    <row r="32670" spans="1:2" x14ac:dyDescent="0.25">
      <c r="A32670" s="74">
        <v>37462</v>
      </c>
      <c r="B32670">
        <v>1.46</v>
      </c>
    </row>
    <row r="32671" spans="1:2" x14ac:dyDescent="0.25">
      <c r="A32671" s="74">
        <v>37463</v>
      </c>
      <c r="B32671">
        <v>1.89</v>
      </c>
    </row>
    <row r="32672" spans="1:2" x14ac:dyDescent="0.25">
      <c r="A32672" s="74">
        <v>37464</v>
      </c>
      <c r="B32672">
        <v>1.94</v>
      </c>
    </row>
    <row r="32673" spans="1:2" x14ac:dyDescent="0.25">
      <c r="A32673" s="74">
        <v>37465</v>
      </c>
      <c r="B32673">
        <v>1.93</v>
      </c>
    </row>
    <row r="32674" spans="1:2" x14ac:dyDescent="0.25">
      <c r="A32674" s="74">
        <v>37466</v>
      </c>
      <c r="B32674">
        <v>1.91</v>
      </c>
    </row>
    <row r="32675" spans="1:2" x14ac:dyDescent="0.25">
      <c r="A32675" s="74">
        <v>37467</v>
      </c>
      <c r="B32675">
        <v>1.85</v>
      </c>
    </row>
    <row r="32676" spans="1:2" x14ac:dyDescent="0.25">
      <c r="A32676" s="74">
        <v>37468</v>
      </c>
      <c r="B32676">
        <v>2.11</v>
      </c>
    </row>
    <row r="32677" spans="1:2" x14ac:dyDescent="0.25">
      <c r="A32677" s="74">
        <v>37469</v>
      </c>
      <c r="B32677">
        <v>1.78</v>
      </c>
    </row>
    <row r="32678" spans="1:2" x14ac:dyDescent="0.25">
      <c r="A32678" s="74">
        <v>37470</v>
      </c>
      <c r="B32678">
        <v>1.78</v>
      </c>
    </row>
    <row r="32679" spans="1:2" x14ac:dyDescent="0.25">
      <c r="A32679" s="74">
        <v>37471</v>
      </c>
      <c r="B32679">
        <v>1.8</v>
      </c>
    </row>
    <row r="32680" spans="1:2" x14ac:dyDescent="0.25">
      <c r="A32680" s="74">
        <v>37472</v>
      </c>
      <c r="B32680">
        <v>2.16</v>
      </c>
    </row>
    <row r="32681" spans="1:2" x14ac:dyDescent="0.25">
      <c r="A32681" s="74">
        <v>37473</v>
      </c>
      <c r="B32681">
        <v>2.06</v>
      </c>
    </row>
    <row r="32682" spans="1:2" x14ac:dyDescent="0.25">
      <c r="A32682" s="74">
        <v>37474</v>
      </c>
      <c r="B32682">
        <v>2.0499999999999998</v>
      </c>
    </row>
    <row r="32683" spans="1:2" x14ac:dyDescent="0.25">
      <c r="A32683" s="74">
        <v>37475</v>
      </c>
      <c r="B32683">
        <v>1.92</v>
      </c>
    </row>
    <row r="32684" spans="1:2" x14ac:dyDescent="0.25">
      <c r="A32684" s="74">
        <v>37476</v>
      </c>
      <c r="B32684">
        <v>1.84</v>
      </c>
    </row>
    <row r="32685" spans="1:2" x14ac:dyDescent="0.25">
      <c r="A32685" s="74">
        <v>37477</v>
      </c>
      <c r="B32685">
        <v>1.78</v>
      </c>
    </row>
    <row r="32686" spans="1:2" x14ac:dyDescent="0.25">
      <c r="A32686" s="74">
        <v>37478</v>
      </c>
      <c r="B32686">
        <v>1.73</v>
      </c>
    </row>
    <row r="32687" spans="1:2" x14ac:dyDescent="0.25">
      <c r="A32687" s="74">
        <v>37479</v>
      </c>
      <c r="B32687">
        <v>1.66</v>
      </c>
    </row>
    <row r="32688" spans="1:2" x14ac:dyDescent="0.25">
      <c r="A32688" s="74">
        <v>37480</v>
      </c>
      <c r="B32688">
        <v>1.6</v>
      </c>
    </row>
    <row r="32689" spans="1:2" x14ac:dyDescent="0.25">
      <c r="A32689" s="74">
        <v>37481</v>
      </c>
      <c r="B32689">
        <v>1.6</v>
      </c>
    </row>
    <row r="32690" spans="1:2" x14ac:dyDescent="0.25">
      <c r="A32690" s="74">
        <v>37482</v>
      </c>
      <c r="B32690">
        <v>1.82</v>
      </c>
    </row>
    <row r="32691" spans="1:2" x14ac:dyDescent="0.25">
      <c r="A32691" s="74">
        <v>37483</v>
      </c>
      <c r="B32691">
        <v>1.79</v>
      </c>
    </row>
    <row r="32692" spans="1:2" x14ac:dyDescent="0.25">
      <c r="A32692" s="74">
        <v>37484</v>
      </c>
      <c r="B32692">
        <v>1.75</v>
      </c>
    </row>
    <row r="32693" spans="1:2" x14ac:dyDescent="0.25">
      <c r="A32693" s="74">
        <v>37485</v>
      </c>
      <c r="B32693">
        <v>1.71</v>
      </c>
    </row>
    <row r="32694" spans="1:2" x14ac:dyDescent="0.25">
      <c r="A32694" s="74">
        <v>37486</v>
      </c>
      <c r="B32694">
        <v>1.7</v>
      </c>
    </row>
    <row r="32695" spans="1:2" x14ac:dyDescent="0.25">
      <c r="A32695" s="74">
        <v>37487</v>
      </c>
      <c r="B32695">
        <v>1.69</v>
      </c>
    </row>
    <row r="32696" spans="1:2" x14ac:dyDescent="0.25">
      <c r="A32696" s="74">
        <v>37488</v>
      </c>
      <c r="B32696">
        <v>1.66</v>
      </c>
    </row>
    <row r="32697" spans="1:2" x14ac:dyDescent="0.25">
      <c r="A32697" s="74">
        <v>37489</v>
      </c>
      <c r="B32697">
        <v>1.63</v>
      </c>
    </row>
    <row r="32698" spans="1:2" x14ac:dyDescent="0.25">
      <c r="A32698" s="74">
        <v>37490</v>
      </c>
      <c r="B32698">
        <v>1.58</v>
      </c>
    </row>
    <row r="32699" spans="1:2" x14ac:dyDescent="0.25">
      <c r="A32699" s="74">
        <v>37491</v>
      </c>
      <c r="B32699">
        <v>1.54</v>
      </c>
    </row>
    <row r="32700" spans="1:2" x14ac:dyDescent="0.25">
      <c r="A32700" s="74">
        <v>37492</v>
      </c>
      <c r="B32700">
        <v>1.51</v>
      </c>
    </row>
    <row r="32701" spans="1:2" x14ac:dyDescent="0.25">
      <c r="A32701" s="74">
        <v>37493</v>
      </c>
      <c r="B32701">
        <v>1.5</v>
      </c>
    </row>
    <row r="32702" spans="1:2" x14ac:dyDescent="0.25">
      <c r="A32702" s="74">
        <v>37494</v>
      </c>
      <c r="B32702">
        <v>1.49</v>
      </c>
    </row>
    <row r="32703" spans="1:2" x14ac:dyDescent="0.25">
      <c r="A32703" s="74">
        <v>37495</v>
      </c>
      <c r="B32703">
        <v>1.44</v>
      </c>
    </row>
    <row r="32704" spans="1:2" x14ac:dyDescent="0.25">
      <c r="A32704" s="74">
        <v>37496</v>
      </c>
      <c r="B32704">
        <v>1.85</v>
      </c>
    </row>
    <row r="32705" spans="1:2" x14ac:dyDescent="0.25">
      <c r="A32705" s="74">
        <v>37497</v>
      </c>
      <c r="B32705">
        <v>1.95</v>
      </c>
    </row>
    <row r="32706" spans="1:2" x14ac:dyDescent="0.25">
      <c r="A32706" s="74">
        <v>37498</v>
      </c>
      <c r="B32706">
        <v>1.51</v>
      </c>
    </row>
    <row r="32707" spans="1:2" x14ac:dyDescent="0.25">
      <c r="A32707" s="74">
        <v>37499</v>
      </c>
      <c r="B32707">
        <v>1.55</v>
      </c>
    </row>
    <row r="32708" spans="1:2" x14ac:dyDescent="0.25">
      <c r="A32708" s="74">
        <v>37500</v>
      </c>
      <c r="B32708">
        <v>1.54</v>
      </c>
    </row>
    <row r="32709" spans="1:2" x14ac:dyDescent="0.25">
      <c r="A32709" s="74">
        <v>37501</v>
      </c>
      <c r="B32709">
        <v>1.55</v>
      </c>
    </row>
    <row r="32710" spans="1:2" x14ac:dyDescent="0.25">
      <c r="A32710" s="74">
        <v>37502</v>
      </c>
      <c r="B32710">
        <v>1.53</v>
      </c>
    </row>
    <row r="32711" spans="1:2" x14ac:dyDescent="0.25">
      <c r="A32711" s="74">
        <v>37503</v>
      </c>
      <c r="B32711">
        <v>1.53</v>
      </c>
    </row>
    <row r="32712" spans="1:2" x14ac:dyDescent="0.25">
      <c r="A32712" s="74">
        <v>37504</v>
      </c>
      <c r="B32712">
        <v>1.54</v>
      </c>
    </row>
    <row r="32713" spans="1:2" x14ac:dyDescent="0.25">
      <c r="A32713" s="74">
        <v>37505</v>
      </c>
      <c r="B32713">
        <v>1.87</v>
      </c>
    </row>
    <row r="32714" spans="1:2" x14ac:dyDescent="0.25">
      <c r="A32714" s="74">
        <v>37506</v>
      </c>
      <c r="B32714">
        <v>1.71</v>
      </c>
    </row>
    <row r="32715" spans="1:2" x14ac:dyDescent="0.25">
      <c r="A32715" s="74">
        <v>37507</v>
      </c>
      <c r="B32715">
        <v>1.69</v>
      </c>
    </row>
    <row r="32716" spans="1:2" x14ac:dyDescent="0.25">
      <c r="A32716" s="74">
        <v>37508</v>
      </c>
      <c r="B32716">
        <v>1.73</v>
      </c>
    </row>
    <row r="32717" spans="1:2" x14ac:dyDescent="0.25">
      <c r="A32717" s="74">
        <v>37509</v>
      </c>
      <c r="B32717">
        <v>1.78</v>
      </c>
    </row>
    <row r="32718" spans="1:2" x14ac:dyDescent="0.25">
      <c r="A32718" s="74">
        <v>37510</v>
      </c>
      <c r="B32718">
        <v>1.72</v>
      </c>
    </row>
    <row r="32719" spans="1:2" x14ac:dyDescent="0.25">
      <c r="A32719" s="74">
        <v>37511</v>
      </c>
      <c r="B32719">
        <v>1.72</v>
      </c>
    </row>
    <row r="32720" spans="1:2" x14ac:dyDescent="0.25">
      <c r="A32720" s="74">
        <v>37512</v>
      </c>
      <c r="B32720">
        <v>1.57</v>
      </c>
    </row>
    <row r="32721" spans="1:2" x14ac:dyDescent="0.25">
      <c r="A32721" s="74">
        <v>37513</v>
      </c>
      <c r="B32721">
        <v>1.53</v>
      </c>
    </row>
    <row r="32722" spans="1:2" x14ac:dyDescent="0.25">
      <c r="A32722" s="74">
        <v>37514</v>
      </c>
      <c r="B32722">
        <v>1.49</v>
      </c>
    </row>
    <row r="32723" spans="1:2" x14ac:dyDescent="0.25">
      <c r="A32723" s="74">
        <v>37515</v>
      </c>
      <c r="B32723">
        <v>1.56</v>
      </c>
    </row>
    <row r="32724" spans="1:2" x14ac:dyDescent="0.25">
      <c r="A32724" s="74">
        <v>37516</v>
      </c>
      <c r="B32724">
        <v>1.73</v>
      </c>
    </row>
    <row r="32725" spans="1:2" x14ac:dyDescent="0.25">
      <c r="A32725" s="74">
        <v>37517</v>
      </c>
      <c r="B32725">
        <v>1.71</v>
      </c>
    </row>
    <row r="32726" spans="1:2" x14ac:dyDescent="0.25">
      <c r="A32726" s="74">
        <v>37518</v>
      </c>
      <c r="B32726">
        <v>1.68</v>
      </c>
    </row>
    <row r="32727" spans="1:2" x14ac:dyDescent="0.25">
      <c r="A32727" s="74">
        <v>37519</v>
      </c>
      <c r="B32727">
        <v>1.63</v>
      </c>
    </row>
    <row r="32728" spans="1:2" x14ac:dyDescent="0.25">
      <c r="A32728" s="74">
        <v>37520</v>
      </c>
      <c r="B32728">
        <v>1.59</v>
      </c>
    </row>
    <row r="32729" spans="1:2" x14ac:dyDescent="0.25">
      <c r="A32729" s="74">
        <v>37521</v>
      </c>
      <c r="B32729">
        <v>1.51</v>
      </c>
    </row>
    <row r="32730" spans="1:2" x14ac:dyDescent="0.25">
      <c r="A32730" s="74">
        <v>37522</v>
      </c>
      <c r="B32730">
        <v>1.46</v>
      </c>
    </row>
    <row r="32731" spans="1:2" x14ac:dyDescent="0.25">
      <c r="A32731" s="74">
        <v>37523</v>
      </c>
      <c r="B32731">
        <v>1.49</v>
      </c>
    </row>
    <row r="32732" spans="1:2" x14ac:dyDescent="0.25">
      <c r="A32732" s="74">
        <v>37524</v>
      </c>
      <c r="B32732">
        <v>1.46</v>
      </c>
    </row>
    <row r="32733" spans="1:2" x14ac:dyDescent="0.25">
      <c r="A32733" s="74">
        <v>37525</v>
      </c>
      <c r="B32733">
        <v>1.41</v>
      </c>
    </row>
    <row r="32734" spans="1:2" x14ac:dyDescent="0.25">
      <c r="A32734" s="74">
        <v>37526</v>
      </c>
      <c r="B32734">
        <v>1.41</v>
      </c>
    </row>
    <row r="32735" spans="1:2" x14ac:dyDescent="0.25">
      <c r="A32735" s="74">
        <v>37527</v>
      </c>
      <c r="B32735">
        <v>1.51</v>
      </c>
    </row>
    <row r="32736" spans="1:2" x14ac:dyDescent="0.25">
      <c r="A32736" s="74">
        <v>37528</v>
      </c>
      <c r="B32736">
        <v>1.44</v>
      </c>
    </row>
    <row r="32737" spans="1:2" x14ac:dyDescent="0.25">
      <c r="A32737" s="74">
        <v>37529</v>
      </c>
      <c r="B32737">
        <v>1.38</v>
      </c>
    </row>
    <row r="32738" spans="1:2" x14ac:dyDescent="0.25">
      <c r="A32738" s="74">
        <v>37530</v>
      </c>
      <c r="B32738">
        <v>1.3</v>
      </c>
    </row>
    <row r="32739" spans="1:2" x14ac:dyDescent="0.25">
      <c r="A32739" s="74">
        <v>37531</v>
      </c>
      <c r="B32739">
        <v>1.24</v>
      </c>
    </row>
    <row r="32740" spans="1:2" x14ac:dyDescent="0.25">
      <c r="A32740" s="74">
        <v>37532</v>
      </c>
      <c r="B32740">
        <v>1.4</v>
      </c>
    </row>
    <row r="32741" spans="1:2" x14ac:dyDescent="0.25">
      <c r="A32741" s="74">
        <v>37533</v>
      </c>
      <c r="B32741">
        <v>1.25</v>
      </c>
    </row>
    <row r="32742" spans="1:2" x14ac:dyDescent="0.25">
      <c r="A32742" s="74">
        <v>37534</v>
      </c>
      <c r="B32742">
        <v>1.27</v>
      </c>
    </row>
    <row r="32743" spans="1:2" x14ac:dyDescent="0.25">
      <c r="A32743" s="74">
        <v>37535</v>
      </c>
      <c r="B32743">
        <v>1.24</v>
      </c>
    </row>
    <row r="32744" spans="1:2" x14ac:dyDescent="0.25">
      <c r="A32744" s="74">
        <v>37536</v>
      </c>
      <c r="B32744">
        <v>1.19</v>
      </c>
    </row>
    <row r="32745" spans="1:2" x14ac:dyDescent="0.25">
      <c r="A32745" s="74">
        <v>37537</v>
      </c>
      <c r="B32745">
        <v>1.18</v>
      </c>
    </row>
    <row r="32746" spans="1:2" x14ac:dyDescent="0.25">
      <c r="A32746" s="74">
        <v>37538</v>
      </c>
      <c r="B32746">
        <v>1.1599999999999999</v>
      </c>
    </row>
    <row r="32747" spans="1:2" x14ac:dyDescent="0.25">
      <c r="A32747" s="74">
        <v>37539</v>
      </c>
      <c r="B32747">
        <v>1.1499999999999999</v>
      </c>
    </row>
    <row r="32748" spans="1:2" x14ac:dyDescent="0.25">
      <c r="A32748" s="74">
        <v>37540</v>
      </c>
      <c r="B32748">
        <v>1.1100000000000001</v>
      </c>
    </row>
    <row r="32749" spans="1:2" x14ac:dyDescent="0.25">
      <c r="A32749" s="74">
        <v>37541</v>
      </c>
      <c r="B32749">
        <v>1.0900000000000001</v>
      </c>
    </row>
    <row r="32750" spans="1:2" x14ac:dyDescent="0.25">
      <c r="A32750" s="74">
        <v>37542</v>
      </c>
      <c r="B32750">
        <v>1.08</v>
      </c>
    </row>
    <row r="32751" spans="1:2" x14ac:dyDescent="0.25">
      <c r="A32751" s="74">
        <v>37543</v>
      </c>
      <c r="B32751">
        <v>1.06</v>
      </c>
    </row>
    <row r="32752" spans="1:2" x14ac:dyDescent="0.25">
      <c r="A32752" s="74">
        <v>37544</v>
      </c>
      <c r="B32752">
        <v>1.04</v>
      </c>
    </row>
    <row r="32753" spans="1:2" x14ac:dyDescent="0.25">
      <c r="A32753" s="74">
        <v>37545</v>
      </c>
      <c r="B32753">
        <v>1.04</v>
      </c>
    </row>
    <row r="32754" spans="1:2" x14ac:dyDescent="0.25">
      <c r="A32754" s="74">
        <v>37546</v>
      </c>
      <c r="B32754">
        <v>1.02</v>
      </c>
    </row>
    <row r="32755" spans="1:2" x14ac:dyDescent="0.25">
      <c r="A32755" s="74">
        <v>37547</v>
      </c>
      <c r="B32755">
        <v>1.01</v>
      </c>
    </row>
    <row r="32756" spans="1:2" x14ac:dyDescent="0.25">
      <c r="A32756" s="74">
        <v>37548</v>
      </c>
      <c r="B32756">
        <v>1.02</v>
      </c>
    </row>
    <row r="32757" spans="1:2" x14ac:dyDescent="0.25">
      <c r="A32757" s="74">
        <v>37549</v>
      </c>
      <c r="B32757">
        <v>1.05</v>
      </c>
    </row>
    <row r="32758" spans="1:2" x14ac:dyDescent="0.25">
      <c r="A32758" s="74">
        <v>37550</v>
      </c>
      <c r="B32758">
        <v>1.05</v>
      </c>
    </row>
    <row r="32759" spans="1:2" x14ac:dyDescent="0.25">
      <c r="A32759" s="74">
        <v>37551</v>
      </c>
      <c r="B32759">
        <v>1.05</v>
      </c>
    </row>
    <row r="32760" spans="1:2" x14ac:dyDescent="0.25">
      <c r="A32760" s="74">
        <v>37552</v>
      </c>
      <c r="B32760">
        <v>1.03</v>
      </c>
    </row>
    <row r="32761" spans="1:2" x14ac:dyDescent="0.25">
      <c r="A32761" s="74">
        <v>37553</v>
      </c>
      <c r="B32761">
        <v>1.03</v>
      </c>
    </row>
    <row r="32762" spans="1:2" x14ac:dyDescent="0.25">
      <c r="A32762" s="74">
        <v>37554</v>
      </c>
      <c r="B32762">
        <v>1.02</v>
      </c>
    </row>
    <row r="32763" spans="1:2" x14ac:dyDescent="0.25">
      <c r="A32763" s="74">
        <v>37555</v>
      </c>
      <c r="B32763">
        <v>1.02</v>
      </c>
    </row>
    <row r="32764" spans="1:2" x14ac:dyDescent="0.25">
      <c r="A32764" s="74">
        <v>37556</v>
      </c>
      <c r="B32764">
        <v>1.03</v>
      </c>
    </row>
    <row r="32765" spans="1:2" x14ac:dyDescent="0.25">
      <c r="A32765" s="74">
        <v>37557</v>
      </c>
      <c r="B32765">
        <v>1.02</v>
      </c>
    </row>
    <row r="32766" spans="1:2" x14ac:dyDescent="0.25">
      <c r="A32766" s="74">
        <v>37558</v>
      </c>
      <c r="B32766">
        <v>1.04</v>
      </c>
    </row>
    <row r="32767" spans="1:2" x14ac:dyDescent="0.25">
      <c r="A32767" s="74">
        <v>37559</v>
      </c>
      <c r="B32767">
        <v>1.02</v>
      </c>
    </row>
    <row r="32768" spans="1:2" x14ac:dyDescent="0.25">
      <c r="A32768" s="74">
        <v>37560</v>
      </c>
      <c r="B32768">
        <v>1.02</v>
      </c>
    </row>
    <row r="32769" spans="1:2" x14ac:dyDescent="0.25">
      <c r="A32769" s="74">
        <v>37561</v>
      </c>
      <c r="B32769">
        <v>1.04</v>
      </c>
    </row>
    <row r="32770" spans="1:2" x14ac:dyDescent="0.25">
      <c r="A32770" s="74">
        <v>37562</v>
      </c>
      <c r="B32770">
        <v>1.01</v>
      </c>
    </row>
    <row r="32771" spans="1:2" x14ac:dyDescent="0.25">
      <c r="A32771" s="74">
        <v>37563</v>
      </c>
      <c r="B32771">
        <v>1</v>
      </c>
    </row>
    <row r="32772" spans="1:2" x14ac:dyDescent="0.25">
      <c r="A32772" s="74">
        <v>37564</v>
      </c>
      <c r="B32772">
        <v>0.98399999999999999</v>
      </c>
    </row>
    <row r="32773" spans="1:2" x14ac:dyDescent="0.25">
      <c r="A32773" s="74">
        <v>37565</v>
      </c>
      <c r="B32773">
        <v>0.97299999999999998</v>
      </c>
    </row>
    <row r="32774" spans="1:2" x14ac:dyDescent="0.25">
      <c r="A32774" s="74">
        <v>37566</v>
      </c>
      <c r="B32774">
        <v>1.45</v>
      </c>
    </row>
    <row r="32775" spans="1:2" x14ac:dyDescent="0.25">
      <c r="A32775" s="74">
        <v>37567</v>
      </c>
      <c r="B32775">
        <v>3.1</v>
      </c>
    </row>
    <row r="32776" spans="1:2" x14ac:dyDescent="0.25">
      <c r="A32776" s="74">
        <v>37568</v>
      </c>
      <c r="B32776">
        <v>8.94</v>
      </c>
    </row>
    <row r="32777" spans="1:2" x14ac:dyDescent="0.25">
      <c r="A32777" s="74">
        <v>37569</v>
      </c>
      <c r="B32777">
        <v>12.9</v>
      </c>
    </row>
    <row r="32778" spans="1:2" x14ac:dyDescent="0.25">
      <c r="A32778" s="74">
        <v>37570</v>
      </c>
      <c r="B32778">
        <v>12.4</v>
      </c>
    </row>
    <row r="32779" spans="1:2" x14ac:dyDescent="0.25">
      <c r="A32779" s="74">
        <v>37571</v>
      </c>
      <c r="B32779">
        <v>21.9</v>
      </c>
    </row>
    <row r="32780" spans="1:2" x14ac:dyDescent="0.25">
      <c r="A32780" s="74">
        <v>37572</v>
      </c>
      <c r="B32780">
        <v>75.2</v>
      </c>
    </row>
    <row r="32781" spans="1:2" x14ac:dyDescent="0.25">
      <c r="A32781" s="74">
        <v>37573</v>
      </c>
      <c r="B32781">
        <v>47</v>
      </c>
    </row>
    <row r="32782" spans="1:2" x14ac:dyDescent="0.25">
      <c r="A32782" s="74">
        <v>37574</v>
      </c>
      <c r="B32782">
        <v>29.7</v>
      </c>
    </row>
    <row r="32783" spans="1:2" x14ac:dyDescent="0.25">
      <c r="A32783" s="74">
        <v>37575</v>
      </c>
      <c r="B32783">
        <v>23.3</v>
      </c>
    </row>
    <row r="32784" spans="1:2" x14ac:dyDescent="0.25">
      <c r="A32784" s="74">
        <v>37576</v>
      </c>
      <c r="B32784">
        <v>53.9</v>
      </c>
    </row>
    <row r="32785" spans="1:2" x14ac:dyDescent="0.25">
      <c r="A32785" s="74">
        <v>37577</v>
      </c>
      <c r="B32785">
        <v>36.6</v>
      </c>
    </row>
    <row r="32786" spans="1:2" x14ac:dyDescent="0.25">
      <c r="A32786" s="74">
        <v>37578</v>
      </c>
      <c r="B32786">
        <v>125</v>
      </c>
    </row>
    <row r="32787" spans="1:2" x14ac:dyDescent="0.25">
      <c r="A32787" s="74">
        <v>37579</v>
      </c>
      <c r="B32787">
        <v>86.9</v>
      </c>
    </row>
    <row r="32788" spans="1:2" x14ac:dyDescent="0.25">
      <c r="A32788" s="74">
        <v>37580</v>
      </c>
      <c r="B32788">
        <v>43</v>
      </c>
    </row>
    <row r="32789" spans="1:2" x14ac:dyDescent="0.25">
      <c r="A32789" s="74">
        <v>37581</v>
      </c>
      <c r="B32789">
        <v>22</v>
      </c>
    </row>
    <row r="32790" spans="1:2" x14ac:dyDescent="0.25">
      <c r="A32790" s="74">
        <v>37582</v>
      </c>
      <c r="B32790">
        <v>14.9</v>
      </c>
    </row>
    <row r="32791" spans="1:2" x14ac:dyDescent="0.25">
      <c r="A32791" s="74">
        <v>37583</v>
      </c>
      <c r="B32791">
        <v>11.1</v>
      </c>
    </row>
    <row r="32792" spans="1:2" x14ac:dyDescent="0.25">
      <c r="A32792" s="74">
        <v>37584</v>
      </c>
      <c r="B32792">
        <v>8.5399999999999991</v>
      </c>
    </row>
    <row r="32793" spans="1:2" x14ac:dyDescent="0.25">
      <c r="A32793" s="74">
        <v>37585</v>
      </c>
      <c r="B32793">
        <v>6.88</v>
      </c>
    </row>
    <row r="32794" spans="1:2" x14ac:dyDescent="0.25">
      <c r="A32794" s="74">
        <v>37586</v>
      </c>
      <c r="B32794">
        <v>5.77</v>
      </c>
    </row>
    <row r="32795" spans="1:2" x14ac:dyDescent="0.25">
      <c r="A32795" s="74">
        <v>37587</v>
      </c>
      <c r="B32795">
        <v>5.01</v>
      </c>
    </row>
    <row r="32796" spans="1:2" x14ac:dyDescent="0.25">
      <c r="A32796" s="74">
        <v>37588</v>
      </c>
      <c r="B32796">
        <v>4.4000000000000004</v>
      </c>
    </row>
    <row r="32797" spans="1:2" x14ac:dyDescent="0.25">
      <c r="A32797" s="74">
        <v>37589</v>
      </c>
      <c r="B32797">
        <v>4</v>
      </c>
    </row>
    <row r="32798" spans="1:2" x14ac:dyDescent="0.25">
      <c r="A32798" s="74">
        <v>37590</v>
      </c>
      <c r="B32798">
        <v>3.69</v>
      </c>
    </row>
    <row r="32799" spans="1:2" x14ac:dyDescent="0.25">
      <c r="A32799" s="74">
        <v>37591</v>
      </c>
      <c r="B32799">
        <v>3.38</v>
      </c>
    </row>
    <row r="32800" spans="1:2" x14ac:dyDescent="0.25">
      <c r="A32800" s="74">
        <v>37592</v>
      </c>
      <c r="B32800">
        <v>3.09</v>
      </c>
    </row>
    <row r="32801" spans="1:2" x14ac:dyDescent="0.25">
      <c r="A32801" s="74">
        <v>37593</v>
      </c>
      <c r="B32801">
        <v>2.92</v>
      </c>
    </row>
    <row r="32802" spans="1:2" x14ac:dyDescent="0.25">
      <c r="A32802" s="74">
        <v>37594</v>
      </c>
      <c r="B32802">
        <v>2.77</v>
      </c>
    </row>
    <row r="32803" spans="1:2" x14ac:dyDescent="0.25">
      <c r="A32803" s="74">
        <v>37595</v>
      </c>
      <c r="B32803">
        <v>2.72</v>
      </c>
    </row>
    <row r="32804" spans="1:2" x14ac:dyDescent="0.25">
      <c r="A32804" s="74">
        <v>37596</v>
      </c>
      <c r="B32804">
        <v>2.61</v>
      </c>
    </row>
    <row r="32805" spans="1:2" x14ac:dyDescent="0.25">
      <c r="A32805" s="74">
        <v>37597</v>
      </c>
      <c r="B32805">
        <v>2.5099999999999998</v>
      </c>
    </row>
    <row r="32806" spans="1:2" x14ac:dyDescent="0.25">
      <c r="A32806" s="74">
        <v>37598</v>
      </c>
      <c r="B32806">
        <v>2.42</v>
      </c>
    </row>
    <row r="32807" spans="1:2" x14ac:dyDescent="0.25">
      <c r="A32807" s="74">
        <v>37599</v>
      </c>
      <c r="B32807">
        <v>2.37</v>
      </c>
    </row>
    <row r="32808" spans="1:2" x14ac:dyDescent="0.25">
      <c r="A32808" s="74">
        <v>37600</v>
      </c>
      <c r="B32808">
        <v>7.78</v>
      </c>
    </row>
    <row r="32809" spans="1:2" x14ac:dyDescent="0.25">
      <c r="A32809" s="74">
        <v>37601</v>
      </c>
      <c r="B32809">
        <v>11.7</v>
      </c>
    </row>
    <row r="32810" spans="1:2" x14ac:dyDescent="0.25">
      <c r="A32810" s="74">
        <v>37602</v>
      </c>
      <c r="B32810">
        <v>119</v>
      </c>
    </row>
    <row r="32811" spans="1:2" x14ac:dyDescent="0.25">
      <c r="A32811" s="74">
        <v>37603</v>
      </c>
      <c r="B32811">
        <v>85.9</v>
      </c>
    </row>
    <row r="32812" spans="1:2" x14ac:dyDescent="0.25">
      <c r="A32812" s="74">
        <v>37604</v>
      </c>
      <c r="B32812">
        <v>122</v>
      </c>
    </row>
    <row r="32813" spans="1:2" x14ac:dyDescent="0.25">
      <c r="A32813" s="74">
        <v>37605</v>
      </c>
      <c r="B32813">
        <v>100</v>
      </c>
    </row>
    <row r="32814" spans="1:2" x14ac:dyDescent="0.25">
      <c r="A32814" s="74">
        <v>37606</v>
      </c>
      <c r="B32814">
        <v>87.7</v>
      </c>
    </row>
    <row r="32815" spans="1:2" x14ac:dyDescent="0.25">
      <c r="A32815" s="74">
        <v>37607</v>
      </c>
      <c r="B32815">
        <v>40.9</v>
      </c>
    </row>
    <row r="32816" spans="1:2" x14ac:dyDescent="0.25">
      <c r="A32816" s="74">
        <v>37608</v>
      </c>
      <c r="B32816">
        <v>23.7</v>
      </c>
    </row>
    <row r="32817" spans="1:2" x14ac:dyDescent="0.25">
      <c r="A32817" s="74">
        <v>37609</v>
      </c>
      <c r="B32817">
        <v>16.899999999999999</v>
      </c>
    </row>
    <row r="32818" spans="1:2" x14ac:dyDescent="0.25">
      <c r="A32818" s="74">
        <v>37610</v>
      </c>
      <c r="B32818">
        <v>13.6</v>
      </c>
    </row>
    <row r="32819" spans="1:2" x14ac:dyDescent="0.25">
      <c r="A32819" s="74">
        <v>37611</v>
      </c>
      <c r="B32819">
        <v>11.1</v>
      </c>
    </row>
    <row r="32820" spans="1:2" x14ac:dyDescent="0.25">
      <c r="A32820" s="74">
        <v>37612</v>
      </c>
      <c r="B32820">
        <v>8.9499999999999993</v>
      </c>
    </row>
    <row r="32821" spans="1:2" x14ac:dyDescent="0.25">
      <c r="A32821" s="74">
        <v>37613</v>
      </c>
      <c r="B32821">
        <v>7.5</v>
      </c>
    </row>
    <row r="32822" spans="1:2" x14ac:dyDescent="0.25">
      <c r="A32822" s="74">
        <v>37614</v>
      </c>
      <c r="B32822">
        <v>6.61</v>
      </c>
    </row>
    <row r="32823" spans="1:2" x14ac:dyDescent="0.25">
      <c r="A32823" s="74">
        <v>37615</v>
      </c>
      <c r="B32823">
        <v>31.5</v>
      </c>
    </row>
    <row r="32824" spans="1:2" x14ac:dyDescent="0.25">
      <c r="A32824" s="74">
        <v>37616</v>
      </c>
      <c r="B32824">
        <v>39.5</v>
      </c>
    </row>
    <row r="32825" spans="1:2" x14ac:dyDescent="0.25">
      <c r="A32825" s="74">
        <v>37617</v>
      </c>
      <c r="B32825">
        <v>22.1</v>
      </c>
    </row>
    <row r="32826" spans="1:2" x14ac:dyDescent="0.25">
      <c r="A32826" s="74">
        <v>37618</v>
      </c>
      <c r="B32826">
        <v>15.8</v>
      </c>
    </row>
    <row r="32827" spans="1:2" x14ac:dyDescent="0.25">
      <c r="A32827" s="74">
        <v>37619</v>
      </c>
      <c r="B32827">
        <v>12.2</v>
      </c>
    </row>
    <row r="32828" spans="1:2" x14ac:dyDescent="0.25">
      <c r="A32828" s="74">
        <v>37620</v>
      </c>
      <c r="B32828">
        <v>10.8</v>
      </c>
    </row>
    <row r="32829" spans="1:2" x14ac:dyDescent="0.25">
      <c r="A32829" s="74">
        <v>37621</v>
      </c>
      <c r="B32829">
        <v>9.48</v>
      </c>
    </row>
    <row r="32830" spans="1:2" x14ac:dyDescent="0.25">
      <c r="A32830" s="74">
        <v>37622</v>
      </c>
      <c r="B32830">
        <v>14.6</v>
      </c>
    </row>
    <row r="32831" spans="1:2" x14ac:dyDescent="0.25">
      <c r="A32831" s="74">
        <v>37623</v>
      </c>
      <c r="B32831">
        <v>136</v>
      </c>
    </row>
    <row r="32832" spans="1:2" x14ac:dyDescent="0.25">
      <c r="A32832" s="74">
        <v>37624</v>
      </c>
      <c r="B32832">
        <v>151</v>
      </c>
    </row>
    <row r="32833" spans="1:2" x14ac:dyDescent="0.25">
      <c r="A32833" s="74">
        <v>37625</v>
      </c>
      <c r="B32833">
        <v>133</v>
      </c>
    </row>
    <row r="32834" spans="1:2" x14ac:dyDescent="0.25">
      <c r="A32834" s="74">
        <v>37626</v>
      </c>
      <c r="B32834">
        <v>78.2</v>
      </c>
    </row>
    <row r="32835" spans="1:2" x14ac:dyDescent="0.25">
      <c r="A32835" s="74">
        <v>37627</v>
      </c>
      <c r="B32835">
        <v>38.700000000000003</v>
      </c>
    </row>
    <row r="32836" spans="1:2" x14ac:dyDescent="0.25">
      <c r="A32836" s="74">
        <v>37628</v>
      </c>
      <c r="B32836">
        <v>25.3</v>
      </c>
    </row>
    <row r="32837" spans="1:2" x14ac:dyDescent="0.25">
      <c r="A32837" s="74">
        <v>37629</v>
      </c>
      <c r="B32837">
        <v>19.899999999999999</v>
      </c>
    </row>
    <row r="32838" spans="1:2" x14ac:dyDescent="0.25">
      <c r="A32838" s="74">
        <v>37630</v>
      </c>
      <c r="B32838">
        <v>16.2</v>
      </c>
    </row>
    <row r="32839" spans="1:2" x14ac:dyDescent="0.25">
      <c r="A32839" s="74">
        <v>37631</v>
      </c>
      <c r="B32839">
        <v>13.3</v>
      </c>
    </row>
    <row r="32840" spans="1:2" x14ac:dyDescent="0.25">
      <c r="A32840" s="74">
        <v>37632</v>
      </c>
      <c r="B32840">
        <v>11.3</v>
      </c>
    </row>
    <row r="32841" spans="1:2" x14ac:dyDescent="0.25">
      <c r="A32841" s="74">
        <v>37633</v>
      </c>
      <c r="B32841">
        <v>13.5</v>
      </c>
    </row>
    <row r="32842" spans="1:2" x14ac:dyDescent="0.25">
      <c r="A32842" s="74">
        <v>37634</v>
      </c>
      <c r="B32842">
        <v>11.9</v>
      </c>
    </row>
    <row r="32843" spans="1:2" x14ac:dyDescent="0.25">
      <c r="A32843" s="74">
        <v>37635</v>
      </c>
      <c r="B32843">
        <v>15.5</v>
      </c>
    </row>
    <row r="32844" spans="1:2" x14ac:dyDescent="0.25">
      <c r="A32844" s="74">
        <v>37636</v>
      </c>
      <c r="B32844">
        <v>12.8</v>
      </c>
    </row>
    <row r="32845" spans="1:2" x14ac:dyDescent="0.25">
      <c r="A32845" s="74">
        <v>37637</v>
      </c>
      <c r="B32845">
        <v>10.7</v>
      </c>
    </row>
    <row r="32846" spans="1:2" x14ac:dyDescent="0.25">
      <c r="A32846" s="74">
        <v>37638</v>
      </c>
      <c r="B32846">
        <v>9.23</v>
      </c>
    </row>
    <row r="32847" spans="1:2" x14ac:dyDescent="0.25">
      <c r="A32847" s="74">
        <v>37639</v>
      </c>
      <c r="B32847">
        <v>8.51</v>
      </c>
    </row>
    <row r="32848" spans="1:2" x14ac:dyDescent="0.25">
      <c r="A32848" s="74">
        <v>37640</v>
      </c>
      <c r="B32848">
        <v>8.3000000000000007</v>
      </c>
    </row>
    <row r="32849" spans="1:2" x14ac:dyDescent="0.25">
      <c r="A32849" s="74">
        <v>37641</v>
      </c>
      <c r="B32849">
        <v>8.27</v>
      </c>
    </row>
    <row r="32850" spans="1:2" x14ac:dyDescent="0.25">
      <c r="A32850" s="74">
        <v>37642</v>
      </c>
      <c r="B32850">
        <v>8.2799999999999994</v>
      </c>
    </row>
    <row r="32851" spans="1:2" x14ac:dyDescent="0.25">
      <c r="A32851" s="74">
        <v>37643</v>
      </c>
      <c r="B32851">
        <v>19.8</v>
      </c>
    </row>
    <row r="32852" spans="1:2" x14ac:dyDescent="0.25">
      <c r="A32852" s="74">
        <v>37644</v>
      </c>
      <c r="B32852">
        <v>101</v>
      </c>
    </row>
    <row r="32853" spans="1:2" x14ac:dyDescent="0.25">
      <c r="A32853" s="74">
        <v>37645</v>
      </c>
      <c r="B32853">
        <v>67.7</v>
      </c>
    </row>
    <row r="32854" spans="1:2" x14ac:dyDescent="0.25">
      <c r="A32854" s="74">
        <v>37646</v>
      </c>
      <c r="B32854">
        <v>42.1</v>
      </c>
    </row>
    <row r="32855" spans="1:2" x14ac:dyDescent="0.25">
      <c r="A32855" s="74">
        <v>37647</v>
      </c>
      <c r="B32855">
        <v>131</v>
      </c>
    </row>
    <row r="32856" spans="1:2" x14ac:dyDescent="0.25">
      <c r="A32856" s="74">
        <v>37648</v>
      </c>
      <c r="B32856">
        <v>64</v>
      </c>
    </row>
    <row r="32857" spans="1:2" x14ac:dyDescent="0.25">
      <c r="A32857" s="74">
        <v>37649</v>
      </c>
      <c r="B32857">
        <v>32.5</v>
      </c>
    </row>
    <row r="32858" spans="1:2" x14ac:dyDescent="0.25">
      <c r="A32858" s="74">
        <v>37650</v>
      </c>
      <c r="B32858">
        <v>21.9</v>
      </c>
    </row>
    <row r="32859" spans="1:2" x14ac:dyDescent="0.25">
      <c r="A32859" s="74">
        <v>37651</v>
      </c>
      <c r="B32859">
        <v>20.399999999999999</v>
      </c>
    </row>
    <row r="32860" spans="1:2" x14ac:dyDescent="0.25">
      <c r="A32860" s="74">
        <v>37652</v>
      </c>
      <c r="B32860">
        <v>53</v>
      </c>
    </row>
    <row r="32861" spans="1:2" x14ac:dyDescent="0.25">
      <c r="A32861" s="74">
        <v>37653</v>
      </c>
      <c r="B32861">
        <v>41.9</v>
      </c>
    </row>
    <row r="32862" spans="1:2" x14ac:dyDescent="0.25">
      <c r="A32862" s="74">
        <v>37654</v>
      </c>
      <c r="B32862">
        <v>25.1</v>
      </c>
    </row>
    <row r="32863" spans="1:2" x14ac:dyDescent="0.25">
      <c r="A32863" s="74">
        <v>37655</v>
      </c>
      <c r="B32863">
        <v>17.5</v>
      </c>
    </row>
    <row r="32864" spans="1:2" x14ac:dyDescent="0.25">
      <c r="A32864" s="74">
        <v>37656</v>
      </c>
      <c r="B32864">
        <v>13.5</v>
      </c>
    </row>
    <row r="32865" spans="1:2" x14ac:dyDescent="0.25">
      <c r="A32865" s="74">
        <v>37657</v>
      </c>
      <c r="B32865">
        <v>11</v>
      </c>
    </row>
    <row r="32866" spans="1:2" x14ac:dyDescent="0.25">
      <c r="A32866" s="74">
        <v>37658</v>
      </c>
      <c r="B32866">
        <v>9.0299999999999994</v>
      </c>
    </row>
    <row r="32867" spans="1:2" x14ac:dyDescent="0.25">
      <c r="A32867" s="74">
        <v>37659</v>
      </c>
      <c r="B32867">
        <v>7.58</v>
      </c>
    </row>
    <row r="32868" spans="1:2" x14ac:dyDescent="0.25">
      <c r="A32868" s="74">
        <v>37660</v>
      </c>
      <c r="B32868">
        <v>6.5</v>
      </c>
    </row>
    <row r="32869" spans="1:2" x14ac:dyDescent="0.25">
      <c r="A32869" s="74">
        <v>37661</v>
      </c>
      <c r="B32869">
        <v>5.71</v>
      </c>
    </row>
    <row r="32870" spans="1:2" x14ac:dyDescent="0.25">
      <c r="A32870" s="74">
        <v>37662</v>
      </c>
      <c r="B32870">
        <v>5.12</v>
      </c>
    </row>
    <row r="32871" spans="1:2" x14ac:dyDescent="0.25">
      <c r="A32871" s="74">
        <v>37663</v>
      </c>
      <c r="B32871">
        <v>4.66</v>
      </c>
    </row>
    <row r="32872" spans="1:2" x14ac:dyDescent="0.25">
      <c r="A32872" s="74">
        <v>37664</v>
      </c>
      <c r="B32872">
        <v>4.29</v>
      </c>
    </row>
    <row r="32873" spans="1:2" x14ac:dyDescent="0.25">
      <c r="A32873" s="74">
        <v>37665</v>
      </c>
      <c r="B32873">
        <v>3.94</v>
      </c>
    </row>
    <row r="32874" spans="1:2" x14ac:dyDescent="0.25">
      <c r="A32874" s="74">
        <v>37666</v>
      </c>
      <c r="B32874">
        <v>3.57</v>
      </c>
    </row>
    <row r="32875" spans="1:2" x14ac:dyDescent="0.25">
      <c r="A32875" s="74">
        <v>37667</v>
      </c>
      <c r="B32875">
        <v>3.75</v>
      </c>
    </row>
    <row r="32876" spans="1:2" x14ac:dyDescent="0.25">
      <c r="A32876" s="74">
        <v>37668</v>
      </c>
      <c r="B32876">
        <v>4.7699999999999996</v>
      </c>
    </row>
    <row r="32877" spans="1:2" x14ac:dyDescent="0.25">
      <c r="A32877" s="74">
        <v>37669</v>
      </c>
      <c r="B32877">
        <v>4.42</v>
      </c>
    </row>
    <row r="32878" spans="1:2" x14ac:dyDescent="0.25">
      <c r="A32878" s="74">
        <v>37670</v>
      </c>
      <c r="B32878">
        <v>3.99</v>
      </c>
    </row>
    <row r="32879" spans="1:2" x14ac:dyDescent="0.25">
      <c r="A32879" s="74">
        <v>37671</v>
      </c>
      <c r="B32879">
        <v>3.89</v>
      </c>
    </row>
    <row r="32880" spans="1:2" x14ac:dyDescent="0.25">
      <c r="A32880" s="74">
        <v>37672</v>
      </c>
      <c r="B32880">
        <v>4.1900000000000004</v>
      </c>
    </row>
    <row r="32881" spans="1:2" x14ac:dyDescent="0.25">
      <c r="A32881" s="74">
        <v>37673</v>
      </c>
      <c r="B32881">
        <v>4.8099999999999996</v>
      </c>
    </row>
    <row r="32882" spans="1:2" x14ac:dyDescent="0.25">
      <c r="A32882" s="74">
        <v>37674</v>
      </c>
      <c r="B32882">
        <v>4.4400000000000004</v>
      </c>
    </row>
    <row r="32883" spans="1:2" x14ac:dyDescent="0.25">
      <c r="A32883" s="74">
        <v>37675</v>
      </c>
      <c r="B32883">
        <v>4.0599999999999996</v>
      </c>
    </row>
    <row r="32884" spans="1:2" x14ac:dyDescent="0.25">
      <c r="A32884" s="74">
        <v>37676</v>
      </c>
      <c r="B32884">
        <v>3.71</v>
      </c>
    </row>
    <row r="32885" spans="1:2" x14ac:dyDescent="0.25">
      <c r="A32885" s="74">
        <v>37677</v>
      </c>
      <c r="B32885">
        <v>3.41</v>
      </c>
    </row>
    <row r="32886" spans="1:2" x14ac:dyDescent="0.25">
      <c r="A32886" s="74">
        <v>37678</v>
      </c>
      <c r="B32886">
        <v>3.27</v>
      </c>
    </row>
    <row r="32887" spans="1:2" x14ac:dyDescent="0.25">
      <c r="A32887" s="74">
        <v>37679</v>
      </c>
      <c r="B32887">
        <v>3.04</v>
      </c>
    </row>
    <row r="32888" spans="1:2" x14ac:dyDescent="0.25">
      <c r="A32888" s="74">
        <v>37680</v>
      </c>
      <c r="B32888">
        <v>2.91</v>
      </c>
    </row>
    <row r="32889" spans="1:2" x14ac:dyDescent="0.25">
      <c r="A32889" s="74">
        <v>37681</v>
      </c>
      <c r="B32889">
        <v>2.79</v>
      </c>
    </row>
    <row r="32890" spans="1:2" x14ac:dyDescent="0.25">
      <c r="A32890" s="74">
        <v>37682</v>
      </c>
      <c r="B32890">
        <v>2.7</v>
      </c>
    </row>
    <row r="32891" spans="1:2" x14ac:dyDescent="0.25">
      <c r="A32891" s="74">
        <v>37683</v>
      </c>
      <c r="B32891">
        <v>2.69</v>
      </c>
    </row>
    <row r="32892" spans="1:2" x14ac:dyDescent="0.25">
      <c r="A32892" s="74">
        <v>37684</v>
      </c>
      <c r="B32892">
        <v>2.59</v>
      </c>
    </row>
    <row r="32893" spans="1:2" x14ac:dyDescent="0.25">
      <c r="A32893" s="74">
        <v>37685</v>
      </c>
      <c r="B32893">
        <v>2.56</v>
      </c>
    </row>
    <row r="32894" spans="1:2" x14ac:dyDescent="0.25">
      <c r="A32894" s="74">
        <v>37686</v>
      </c>
      <c r="B32894">
        <v>2.5299999999999998</v>
      </c>
    </row>
    <row r="32895" spans="1:2" x14ac:dyDescent="0.25">
      <c r="A32895" s="74">
        <v>37687</v>
      </c>
      <c r="B32895">
        <v>2.4500000000000002</v>
      </c>
    </row>
    <row r="32896" spans="1:2" x14ac:dyDescent="0.25">
      <c r="A32896" s="74">
        <v>37688</v>
      </c>
      <c r="B32896">
        <v>2.4</v>
      </c>
    </row>
    <row r="32897" spans="1:2" x14ac:dyDescent="0.25">
      <c r="A32897" s="74">
        <v>37689</v>
      </c>
      <c r="B32897">
        <v>2.52</v>
      </c>
    </row>
    <row r="32898" spans="1:2" x14ac:dyDescent="0.25">
      <c r="A32898" s="74">
        <v>37690</v>
      </c>
      <c r="B32898">
        <v>3.95</v>
      </c>
    </row>
    <row r="32899" spans="1:2" x14ac:dyDescent="0.25">
      <c r="A32899" s="74">
        <v>37691</v>
      </c>
      <c r="B32899">
        <v>5.89</v>
      </c>
    </row>
    <row r="32900" spans="1:2" x14ac:dyDescent="0.25">
      <c r="A32900" s="74">
        <v>37692</v>
      </c>
      <c r="B32900">
        <v>31.9</v>
      </c>
    </row>
    <row r="32901" spans="1:2" x14ac:dyDescent="0.25">
      <c r="A32901" s="74">
        <v>37693</v>
      </c>
      <c r="B32901">
        <v>256</v>
      </c>
    </row>
    <row r="32902" spans="1:2" x14ac:dyDescent="0.25">
      <c r="A32902" s="74">
        <v>37694</v>
      </c>
      <c r="B32902">
        <v>173</v>
      </c>
    </row>
    <row r="32903" spans="1:2" x14ac:dyDescent="0.25">
      <c r="A32903" s="74">
        <v>37695</v>
      </c>
      <c r="B32903">
        <v>104</v>
      </c>
    </row>
    <row r="32904" spans="1:2" x14ac:dyDescent="0.25">
      <c r="A32904" s="74">
        <v>37696</v>
      </c>
      <c r="B32904">
        <v>66.2</v>
      </c>
    </row>
    <row r="32905" spans="1:2" x14ac:dyDescent="0.25">
      <c r="A32905" s="74">
        <v>37697</v>
      </c>
      <c r="B32905">
        <v>36.799999999999997</v>
      </c>
    </row>
    <row r="32906" spans="1:2" x14ac:dyDescent="0.25">
      <c r="A32906" s="74">
        <v>37698</v>
      </c>
      <c r="B32906">
        <v>25</v>
      </c>
    </row>
    <row r="32907" spans="1:2" x14ac:dyDescent="0.25">
      <c r="A32907" s="74">
        <v>37699</v>
      </c>
      <c r="B32907">
        <v>23.9</v>
      </c>
    </row>
    <row r="32908" spans="1:2" x14ac:dyDescent="0.25">
      <c r="A32908" s="74">
        <v>37700</v>
      </c>
      <c r="B32908">
        <v>34.299999999999997</v>
      </c>
    </row>
    <row r="32909" spans="1:2" x14ac:dyDescent="0.25">
      <c r="A32909" s="74">
        <v>37701</v>
      </c>
      <c r="B32909">
        <v>29.6</v>
      </c>
    </row>
    <row r="32910" spans="1:2" x14ac:dyDescent="0.25">
      <c r="A32910" s="74">
        <v>37702</v>
      </c>
      <c r="B32910">
        <v>106</v>
      </c>
    </row>
    <row r="32911" spans="1:2" x14ac:dyDescent="0.25">
      <c r="A32911" s="74">
        <v>37703</v>
      </c>
      <c r="B32911">
        <v>55.1</v>
      </c>
    </row>
    <row r="32912" spans="1:2" x14ac:dyDescent="0.25">
      <c r="A32912" s="74">
        <v>37704</v>
      </c>
      <c r="B32912">
        <v>30.3</v>
      </c>
    </row>
    <row r="32913" spans="1:2" x14ac:dyDescent="0.25">
      <c r="A32913" s="74">
        <v>37705</v>
      </c>
      <c r="B32913">
        <v>21</v>
      </c>
    </row>
    <row r="32914" spans="1:2" x14ac:dyDescent="0.25">
      <c r="A32914" s="74">
        <v>37706</v>
      </c>
      <c r="B32914">
        <v>17.7</v>
      </c>
    </row>
    <row r="32915" spans="1:2" x14ac:dyDescent="0.25">
      <c r="A32915" s="74">
        <v>37707</v>
      </c>
      <c r="B32915">
        <v>15</v>
      </c>
    </row>
    <row r="32916" spans="1:2" x14ac:dyDescent="0.25">
      <c r="A32916" s="74">
        <v>37708</v>
      </c>
      <c r="B32916">
        <v>13</v>
      </c>
    </row>
    <row r="32917" spans="1:2" x14ac:dyDescent="0.25">
      <c r="A32917" s="74">
        <v>37709</v>
      </c>
      <c r="B32917">
        <v>11.4</v>
      </c>
    </row>
    <row r="32918" spans="1:2" x14ac:dyDescent="0.25">
      <c r="A32918" s="74">
        <v>37710</v>
      </c>
      <c r="B32918">
        <v>18.7</v>
      </c>
    </row>
    <row r="32919" spans="1:2" x14ac:dyDescent="0.25">
      <c r="A32919" s="74">
        <v>37711</v>
      </c>
      <c r="B32919">
        <v>25.9</v>
      </c>
    </row>
    <row r="32920" spans="1:2" x14ac:dyDescent="0.25">
      <c r="A32920" s="74">
        <v>37712</v>
      </c>
      <c r="B32920">
        <v>17.7</v>
      </c>
    </row>
    <row r="32921" spans="1:2" x14ac:dyDescent="0.25">
      <c r="A32921" s="74">
        <v>37713</v>
      </c>
      <c r="B32921">
        <v>15.3</v>
      </c>
    </row>
    <row r="32922" spans="1:2" x14ac:dyDescent="0.25">
      <c r="A32922" s="74">
        <v>37714</v>
      </c>
      <c r="B32922">
        <v>13.1</v>
      </c>
    </row>
    <row r="32923" spans="1:2" x14ac:dyDescent="0.25">
      <c r="A32923" s="74">
        <v>37715</v>
      </c>
      <c r="B32923">
        <v>11.3</v>
      </c>
    </row>
    <row r="32924" spans="1:2" x14ac:dyDescent="0.25">
      <c r="A32924" s="74">
        <v>37716</v>
      </c>
      <c r="B32924">
        <v>10</v>
      </c>
    </row>
    <row r="32925" spans="1:2" x14ac:dyDescent="0.25">
      <c r="A32925" s="74">
        <v>37717</v>
      </c>
      <c r="B32925">
        <v>9.1</v>
      </c>
    </row>
    <row r="32926" spans="1:2" x14ac:dyDescent="0.25">
      <c r="A32926" s="74">
        <v>37718</v>
      </c>
      <c r="B32926">
        <v>23.2</v>
      </c>
    </row>
    <row r="32927" spans="1:2" x14ac:dyDescent="0.25">
      <c r="A32927" s="74">
        <v>37719</v>
      </c>
      <c r="B32927">
        <v>116</v>
      </c>
    </row>
    <row r="32928" spans="1:2" x14ac:dyDescent="0.25">
      <c r="A32928" s="74">
        <v>37720</v>
      </c>
      <c r="B32928">
        <v>80.099999999999994</v>
      </c>
    </row>
    <row r="32929" spans="1:2" x14ac:dyDescent="0.25">
      <c r="A32929" s="74">
        <v>37721</v>
      </c>
      <c r="B32929">
        <v>36.4</v>
      </c>
    </row>
    <row r="32930" spans="1:2" x14ac:dyDescent="0.25">
      <c r="A32930" s="74">
        <v>37722</v>
      </c>
      <c r="B32930">
        <v>25.3</v>
      </c>
    </row>
    <row r="32931" spans="1:2" x14ac:dyDescent="0.25">
      <c r="A32931" s="74">
        <v>37723</v>
      </c>
      <c r="B32931">
        <v>21.4</v>
      </c>
    </row>
    <row r="32932" spans="1:2" x14ac:dyDescent="0.25">
      <c r="A32932" s="74">
        <v>37724</v>
      </c>
      <c r="B32932">
        <v>18</v>
      </c>
    </row>
    <row r="32933" spans="1:2" x14ac:dyDescent="0.25">
      <c r="A32933" s="74">
        <v>37725</v>
      </c>
      <c r="B32933">
        <v>16.8</v>
      </c>
    </row>
    <row r="32934" spans="1:2" x14ac:dyDescent="0.25">
      <c r="A32934" s="74">
        <v>37726</v>
      </c>
      <c r="B32934">
        <v>14.5</v>
      </c>
    </row>
    <row r="32935" spans="1:2" x14ac:dyDescent="0.25">
      <c r="A32935" s="74">
        <v>37727</v>
      </c>
      <c r="B32935">
        <v>12.8</v>
      </c>
    </row>
    <row r="32936" spans="1:2" x14ac:dyDescent="0.25">
      <c r="A32936" s="74">
        <v>37728</v>
      </c>
      <c r="B32936">
        <v>11.2</v>
      </c>
    </row>
    <row r="32937" spans="1:2" x14ac:dyDescent="0.25">
      <c r="A32937" s="74">
        <v>37729</v>
      </c>
      <c r="B32937">
        <v>9.83</v>
      </c>
    </row>
    <row r="32938" spans="1:2" x14ac:dyDescent="0.25">
      <c r="A32938" s="74">
        <v>37730</v>
      </c>
      <c r="B32938">
        <v>8.8000000000000007</v>
      </c>
    </row>
    <row r="32939" spans="1:2" x14ac:dyDescent="0.25">
      <c r="A32939" s="74">
        <v>37731</v>
      </c>
      <c r="B32939">
        <v>8.39</v>
      </c>
    </row>
    <row r="32940" spans="1:2" x14ac:dyDescent="0.25">
      <c r="A32940" s="74">
        <v>37732</v>
      </c>
      <c r="B32940">
        <v>8.4</v>
      </c>
    </row>
    <row r="32941" spans="1:2" x14ac:dyDescent="0.25">
      <c r="A32941" s="74">
        <v>37733</v>
      </c>
      <c r="B32941">
        <v>8.31</v>
      </c>
    </row>
    <row r="32942" spans="1:2" x14ac:dyDescent="0.25">
      <c r="A32942" s="74">
        <v>37734</v>
      </c>
      <c r="B32942">
        <v>8.0399999999999991</v>
      </c>
    </row>
    <row r="32943" spans="1:2" x14ac:dyDescent="0.25">
      <c r="A32943" s="74">
        <v>37735</v>
      </c>
      <c r="B32943">
        <v>8.44</v>
      </c>
    </row>
    <row r="32944" spans="1:2" x14ac:dyDescent="0.25">
      <c r="A32944" s="74">
        <v>37736</v>
      </c>
      <c r="B32944">
        <v>8.42</v>
      </c>
    </row>
    <row r="32945" spans="1:3" x14ac:dyDescent="0.25">
      <c r="A32945" s="74">
        <v>37737</v>
      </c>
      <c r="B32945">
        <v>7.57</v>
      </c>
    </row>
    <row r="32946" spans="1:3" x14ac:dyDescent="0.25">
      <c r="A32946" s="74">
        <v>37738</v>
      </c>
      <c r="B32946">
        <v>7.04</v>
      </c>
    </row>
    <row r="32947" spans="1:3" x14ac:dyDescent="0.25">
      <c r="A32947" s="74">
        <v>37739</v>
      </c>
      <c r="B32947">
        <v>6.54</v>
      </c>
    </row>
    <row r="32948" spans="1:3" x14ac:dyDescent="0.25">
      <c r="A32948" s="74">
        <v>37740</v>
      </c>
      <c r="B32948">
        <v>6.36</v>
      </c>
    </row>
    <row r="32949" spans="1:3" x14ac:dyDescent="0.25">
      <c r="A32949" s="74">
        <v>37741</v>
      </c>
      <c r="B32949">
        <v>6.48</v>
      </c>
      <c r="C32949" t="s">
        <v>140</v>
      </c>
    </row>
    <row r="32950" spans="1:3" x14ac:dyDescent="0.25">
      <c r="A32950" s="74">
        <v>37742</v>
      </c>
      <c r="B32950">
        <v>6.75</v>
      </c>
      <c r="C32950" t="s">
        <v>141</v>
      </c>
    </row>
    <row r="32951" spans="1:3" x14ac:dyDescent="0.25">
      <c r="A32951" s="74">
        <v>37743</v>
      </c>
      <c r="B32951">
        <v>7.25</v>
      </c>
      <c r="C32951" t="s">
        <v>141</v>
      </c>
    </row>
    <row r="32952" spans="1:3" x14ac:dyDescent="0.25">
      <c r="A32952" s="74">
        <v>37744</v>
      </c>
      <c r="B32952">
        <v>7.75</v>
      </c>
      <c r="C32952" t="s">
        <v>141</v>
      </c>
    </row>
    <row r="32953" spans="1:3" x14ac:dyDescent="0.25">
      <c r="A32953" s="74">
        <v>37745</v>
      </c>
      <c r="B32953">
        <v>7.25</v>
      </c>
      <c r="C32953" t="s">
        <v>141</v>
      </c>
    </row>
    <row r="32954" spans="1:3" x14ac:dyDescent="0.25">
      <c r="A32954" s="74">
        <v>37746</v>
      </c>
      <c r="B32954">
        <v>6.7</v>
      </c>
      <c r="C32954" t="s">
        <v>141</v>
      </c>
    </row>
    <row r="32955" spans="1:3" x14ac:dyDescent="0.25">
      <c r="A32955" s="74">
        <v>37747</v>
      </c>
      <c r="B32955">
        <v>6.05</v>
      </c>
      <c r="C32955" t="s">
        <v>141</v>
      </c>
    </row>
    <row r="32956" spans="1:3" x14ac:dyDescent="0.25">
      <c r="A32956" s="74">
        <v>37748</v>
      </c>
      <c r="B32956">
        <v>5.53</v>
      </c>
      <c r="C32956" t="s">
        <v>140</v>
      </c>
    </row>
    <row r="32957" spans="1:3" x14ac:dyDescent="0.25">
      <c r="A32957" s="74">
        <v>37749</v>
      </c>
      <c r="B32957">
        <v>5.23</v>
      </c>
    </row>
    <row r="32958" spans="1:3" x14ac:dyDescent="0.25">
      <c r="A32958" s="74">
        <v>37750</v>
      </c>
      <c r="B32958">
        <v>4.8</v>
      </c>
    </row>
    <row r="32959" spans="1:3" x14ac:dyDescent="0.25">
      <c r="A32959" s="74">
        <v>37751</v>
      </c>
      <c r="B32959">
        <v>4.67</v>
      </c>
    </row>
    <row r="32960" spans="1:3" x14ac:dyDescent="0.25">
      <c r="A32960" s="74">
        <v>37752</v>
      </c>
      <c r="B32960">
        <v>4.96</v>
      </c>
    </row>
    <row r="32961" spans="1:3" x14ac:dyDescent="0.25">
      <c r="A32961" s="74">
        <v>37753</v>
      </c>
      <c r="B32961">
        <v>5.6</v>
      </c>
    </row>
    <row r="32962" spans="1:3" x14ac:dyDescent="0.25">
      <c r="A32962" s="74">
        <v>37754</v>
      </c>
      <c r="B32962">
        <v>5.95</v>
      </c>
      <c r="C32962" t="s">
        <v>140</v>
      </c>
    </row>
    <row r="32963" spans="1:3" x14ac:dyDescent="0.25">
      <c r="A32963" s="74">
        <v>37755</v>
      </c>
      <c r="B32963">
        <v>5.99</v>
      </c>
    </row>
    <row r="32964" spans="1:3" x14ac:dyDescent="0.25">
      <c r="A32964" s="74">
        <v>37756</v>
      </c>
      <c r="B32964">
        <v>6.2</v>
      </c>
    </row>
    <row r="32965" spans="1:3" x14ac:dyDescent="0.25">
      <c r="A32965" s="74">
        <v>37757</v>
      </c>
      <c r="B32965">
        <v>5.18</v>
      </c>
    </row>
    <row r="32966" spans="1:3" x14ac:dyDescent="0.25">
      <c r="A32966" s="74">
        <v>37758</v>
      </c>
      <c r="B32966">
        <v>4.47</v>
      </c>
    </row>
    <row r="32967" spans="1:3" x14ac:dyDescent="0.25">
      <c r="A32967" s="74">
        <v>37759</v>
      </c>
      <c r="B32967">
        <v>4.07</v>
      </c>
    </row>
    <row r="32968" spans="1:3" x14ac:dyDescent="0.25">
      <c r="A32968" s="74">
        <v>37760</v>
      </c>
      <c r="B32968">
        <v>3.78</v>
      </c>
    </row>
    <row r="32969" spans="1:3" x14ac:dyDescent="0.25">
      <c r="A32969" s="74">
        <v>37761</v>
      </c>
      <c r="B32969">
        <v>3.64</v>
      </c>
    </row>
    <row r="32970" spans="1:3" x14ac:dyDescent="0.25">
      <c r="A32970" s="74">
        <v>37762</v>
      </c>
      <c r="B32970">
        <v>3.74</v>
      </c>
    </row>
    <row r="32971" spans="1:3" x14ac:dyDescent="0.25">
      <c r="A32971" s="74">
        <v>37763</v>
      </c>
      <c r="B32971">
        <v>4.5999999999999996</v>
      </c>
    </row>
    <row r="32972" spans="1:3" x14ac:dyDescent="0.25">
      <c r="A32972" s="74">
        <v>37764</v>
      </c>
      <c r="B32972">
        <v>6.98</v>
      </c>
    </row>
    <row r="32973" spans="1:3" x14ac:dyDescent="0.25">
      <c r="A32973" s="74">
        <v>37765</v>
      </c>
      <c r="B32973">
        <v>10.5</v>
      </c>
    </row>
    <row r="32974" spans="1:3" x14ac:dyDescent="0.25">
      <c r="A32974" s="74">
        <v>37766</v>
      </c>
      <c r="B32974">
        <v>10.6</v>
      </c>
    </row>
    <row r="32975" spans="1:3" x14ac:dyDescent="0.25">
      <c r="A32975" s="74">
        <v>37767</v>
      </c>
      <c r="B32975">
        <v>7.01</v>
      </c>
    </row>
    <row r="32976" spans="1:3" x14ac:dyDescent="0.25">
      <c r="A32976" s="74">
        <v>37768</v>
      </c>
      <c r="B32976">
        <v>5.65</v>
      </c>
    </row>
    <row r="32977" spans="1:2" x14ac:dyDescent="0.25">
      <c r="A32977" s="74">
        <v>37769</v>
      </c>
      <c r="B32977">
        <v>6.05</v>
      </c>
    </row>
    <row r="32978" spans="1:2" x14ac:dyDescent="0.25">
      <c r="A32978" s="74">
        <v>37770</v>
      </c>
      <c r="B32978">
        <v>6.29</v>
      </c>
    </row>
    <row r="32979" spans="1:2" x14ac:dyDescent="0.25">
      <c r="A32979" s="74">
        <v>37771</v>
      </c>
      <c r="B32979">
        <v>5.55</v>
      </c>
    </row>
    <row r="32980" spans="1:2" x14ac:dyDescent="0.25">
      <c r="A32980" s="74">
        <v>37772</v>
      </c>
      <c r="B32980">
        <v>5.24</v>
      </c>
    </row>
    <row r="32981" spans="1:2" x14ac:dyDescent="0.25">
      <c r="A32981" s="74">
        <v>37773</v>
      </c>
      <c r="B32981">
        <v>5.09</v>
      </c>
    </row>
    <row r="32982" spans="1:2" x14ac:dyDescent="0.25">
      <c r="A32982" s="74">
        <v>37774</v>
      </c>
      <c r="B32982">
        <v>5.0599999999999996</v>
      </c>
    </row>
    <row r="32983" spans="1:2" x14ac:dyDescent="0.25">
      <c r="A32983" s="74">
        <v>37775</v>
      </c>
      <c r="B32983">
        <v>4.62</v>
      </c>
    </row>
    <row r="32984" spans="1:2" x14ac:dyDescent="0.25">
      <c r="A32984" s="74">
        <v>37776</v>
      </c>
      <c r="B32984">
        <v>4.43</v>
      </c>
    </row>
    <row r="32985" spans="1:2" x14ac:dyDescent="0.25">
      <c r="A32985" s="74">
        <v>37777</v>
      </c>
      <c r="B32985">
        <v>4.8899999999999997</v>
      </c>
    </row>
    <row r="32986" spans="1:2" x14ac:dyDescent="0.25">
      <c r="A32986" s="74">
        <v>37778</v>
      </c>
      <c r="B32986">
        <v>5.67</v>
      </c>
    </row>
    <row r="32987" spans="1:2" x14ac:dyDescent="0.25">
      <c r="A32987" s="74">
        <v>37779</v>
      </c>
      <c r="B32987">
        <v>6</v>
      </c>
    </row>
    <row r="32988" spans="1:2" x14ac:dyDescent="0.25">
      <c r="A32988" s="74">
        <v>37780</v>
      </c>
      <c r="B32988">
        <v>5.57</v>
      </c>
    </row>
    <row r="32989" spans="1:2" x14ac:dyDescent="0.25">
      <c r="A32989" s="74">
        <v>37781</v>
      </c>
      <c r="B32989">
        <v>4.9000000000000004</v>
      </c>
    </row>
    <row r="32990" spans="1:2" x14ac:dyDescent="0.25">
      <c r="A32990" s="74">
        <v>37782</v>
      </c>
      <c r="B32990">
        <v>4.57</v>
      </c>
    </row>
    <row r="32991" spans="1:2" x14ac:dyDescent="0.25">
      <c r="A32991" s="74">
        <v>37783</v>
      </c>
      <c r="B32991">
        <v>4.12</v>
      </c>
    </row>
    <row r="32992" spans="1:2" x14ac:dyDescent="0.25">
      <c r="A32992" s="74">
        <v>37784</v>
      </c>
      <c r="B32992">
        <v>3.85</v>
      </c>
    </row>
    <row r="32993" spans="1:2" x14ac:dyDescent="0.25">
      <c r="A32993" s="74">
        <v>37785</v>
      </c>
      <c r="B32993">
        <v>4.01</v>
      </c>
    </row>
    <row r="32994" spans="1:2" x14ac:dyDescent="0.25">
      <c r="A32994" s="74">
        <v>37786</v>
      </c>
      <c r="B32994">
        <v>4.03</v>
      </c>
    </row>
    <row r="32995" spans="1:2" x14ac:dyDescent="0.25">
      <c r="A32995" s="74">
        <v>37787</v>
      </c>
      <c r="B32995">
        <v>3.89</v>
      </c>
    </row>
    <row r="32996" spans="1:2" x14ac:dyDescent="0.25">
      <c r="A32996" s="74">
        <v>37788</v>
      </c>
      <c r="B32996">
        <v>3.4</v>
      </c>
    </row>
    <row r="32997" spans="1:2" x14ac:dyDescent="0.25">
      <c r="A32997" s="74">
        <v>37789</v>
      </c>
      <c r="B32997">
        <v>3.13</v>
      </c>
    </row>
    <row r="32998" spans="1:2" x14ac:dyDescent="0.25">
      <c r="A32998" s="74">
        <v>37790</v>
      </c>
      <c r="B32998">
        <v>3.28</v>
      </c>
    </row>
    <row r="32999" spans="1:2" x14ac:dyDescent="0.25">
      <c r="A32999" s="74">
        <v>37791</v>
      </c>
      <c r="B32999">
        <v>3.15</v>
      </c>
    </row>
    <row r="33000" spans="1:2" x14ac:dyDescent="0.25">
      <c r="A33000" s="74">
        <v>37792</v>
      </c>
      <c r="B33000">
        <v>2.78</v>
      </c>
    </row>
    <row r="33001" spans="1:2" x14ac:dyDescent="0.25">
      <c r="A33001" s="74">
        <v>37793</v>
      </c>
      <c r="B33001">
        <v>2.5</v>
      </c>
    </row>
    <row r="33002" spans="1:2" x14ac:dyDescent="0.25">
      <c r="A33002" s="74">
        <v>37794</v>
      </c>
      <c r="B33002">
        <v>2.36</v>
      </c>
    </row>
    <row r="33003" spans="1:2" x14ac:dyDescent="0.25">
      <c r="A33003" s="74">
        <v>37795</v>
      </c>
      <c r="B33003">
        <v>2.15</v>
      </c>
    </row>
    <row r="33004" spans="1:2" x14ac:dyDescent="0.25">
      <c r="A33004" s="74">
        <v>37796</v>
      </c>
      <c r="B33004">
        <v>1.97</v>
      </c>
    </row>
    <row r="33005" spans="1:2" x14ac:dyDescent="0.25">
      <c r="A33005" s="74">
        <v>37797</v>
      </c>
      <c r="B33005">
        <v>1.83</v>
      </c>
    </row>
    <row r="33006" spans="1:2" x14ac:dyDescent="0.25">
      <c r="A33006" s="74">
        <v>37798</v>
      </c>
      <c r="B33006">
        <v>1.93</v>
      </c>
    </row>
    <row r="33007" spans="1:2" x14ac:dyDescent="0.25">
      <c r="A33007" s="74">
        <v>37799</v>
      </c>
      <c r="B33007">
        <v>2.2599999999999998</v>
      </c>
    </row>
    <row r="33008" spans="1:2" x14ac:dyDescent="0.25">
      <c r="A33008" s="74">
        <v>37800</v>
      </c>
      <c r="B33008">
        <v>2.16</v>
      </c>
    </row>
    <row r="33009" spans="1:2" x14ac:dyDescent="0.25">
      <c r="A33009" s="74">
        <v>37801</v>
      </c>
      <c r="B33009">
        <v>2.09</v>
      </c>
    </row>
    <row r="33010" spans="1:2" x14ac:dyDescent="0.25">
      <c r="A33010" s="74">
        <v>37802</v>
      </c>
      <c r="B33010">
        <v>2.3199999999999998</v>
      </c>
    </row>
    <row r="33011" spans="1:2" x14ac:dyDescent="0.25">
      <c r="A33011" s="74">
        <v>37803</v>
      </c>
      <c r="B33011">
        <v>2.12</v>
      </c>
    </row>
    <row r="33012" spans="1:2" x14ac:dyDescent="0.25">
      <c r="A33012" s="74">
        <v>37804</v>
      </c>
      <c r="B33012">
        <v>1.8</v>
      </c>
    </row>
    <row r="33013" spans="1:2" x14ac:dyDescent="0.25">
      <c r="A33013" s="74">
        <v>37805</v>
      </c>
      <c r="B33013">
        <v>1.5</v>
      </c>
    </row>
    <row r="33014" spans="1:2" x14ac:dyDescent="0.25">
      <c r="A33014" s="74">
        <v>37806</v>
      </c>
      <c r="B33014">
        <v>1.31</v>
      </c>
    </row>
    <row r="33015" spans="1:2" x14ac:dyDescent="0.25">
      <c r="A33015" s="74">
        <v>37807</v>
      </c>
      <c r="B33015">
        <v>1.19</v>
      </c>
    </row>
    <row r="33016" spans="1:2" x14ac:dyDescent="0.25">
      <c r="A33016" s="74">
        <v>37808</v>
      </c>
      <c r="B33016">
        <v>1.1100000000000001</v>
      </c>
    </row>
    <row r="33017" spans="1:2" x14ac:dyDescent="0.25">
      <c r="A33017" s="74">
        <v>37809</v>
      </c>
      <c r="B33017">
        <v>1.05</v>
      </c>
    </row>
    <row r="33018" spans="1:2" x14ac:dyDescent="0.25">
      <c r="A33018" s="74">
        <v>37810</v>
      </c>
      <c r="B33018">
        <v>1.1399999999999999</v>
      </c>
    </row>
    <row r="33019" spans="1:2" x14ac:dyDescent="0.25">
      <c r="A33019" s="74">
        <v>37811</v>
      </c>
      <c r="B33019">
        <v>1.17</v>
      </c>
    </row>
    <row r="33020" spans="1:2" x14ac:dyDescent="0.25">
      <c r="A33020" s="74">
        <v>37812</v>
      </c>
      <c r="B33020">
        <v>1.1299999999999999</v>
      </c>
    </row>
    <row r="33021" spans="1:2" x14ac:dyDescent="0.25">
      <c r="A33021" s="74">
        <v>37813</v>
      </c>
      <c r="B33021">
        <v>1.1000000000000001</v>
      </c>
    </row>
    <row r="33022" spans="1:2" x14ac:dyDescent="0.25">
      <c r="A33022" s="74">
        <v>37814</v>
      </c>
      <c r="B33022">
        <v>1.1200000000000001</v>
      </c>
    </row>
    <row r="33023" spans="1:2" x14ac:dyDescent="0.25">
      <c r="A33023" s="74">
        <v>37815</v>
      </c>
      <c r="B33023">
        <v>1.27</v>
      </c>
    </row>
    <row r="33024" spans="1:2" x14ac:dyDescent="0.25">
      <c r="A33024" s="74">
        <v>37816</v>
      </c>
      <c r="B33024">
        <v>2.2000000000000002</v>
      </c>
    </row>
    <row r="33025" spans="1:2" x14ac:dyDescent="0.25">
      <c r="A33025" s="74">
        <v>37817</v>
      </c>
      <c r="B33025">
        <v>2.64</v>
      </c>
    </row>
    <row r="33026" spans="1:2" x14ac:dyDescent="0.25">
      <c r="A33026" s="74">
        <v>37818</v>
      </c>
      <c r="B33026">
        <v>2.12</v>
      </c>
    </row>
    <row r="33027" spans="1:2" x14ac:dyDescent="0.25">
      <c r="A33027" s="74">
        <v>37819</v>
      </c>
      <c r="B33027">
        <v>1.62</v>
      </c>
    </row>
    <row r="33028" spans="1:2" x14ac:dyDescent="0.25">
      <c r="A33028" s="74">
        <v>37820</v>
      </c>
      <c r="B33028">
        <v>1.31</v>
      </c>
    </row>
    <row r="33029" spans="1:2" x14ac:dyDescent="0.25">
      <c r="A33029" s="74">
        <v>37821</v>
      </c>
      <c r="B33029">
        <v>1.1599999999999999</v>
      </c>
    </row>
    <row r="33030" spans="1:2" x14ac:dyDescent="0.25">
      <c r="A33030" s="74">
        <v>37822</v>
      </c>
      <c r="B33030">
        <v>1.06</v>
      </c>
    </row>
    <row r="33031" spans="1:2" x14ac:dyDescent="0.25">
      <c r="A33031" s="74">
        <v>37823</v>
      </c>
      <c r="B33031">
        <v>1.02</v>
      </c>
    </row>
    <row r="33032" spans="1:2" x14ac:dyDescent="0.25">
      <c r="A33032" s="74">
        <v>37824</v>
      </c>
      <c r="B33032">
        <v>1.1399999999999999</v>
      </c>
    </row>
    <row r="33033" spans="1:2" x14ac:dyDescent="0.25">
      <c r="A33033" s="74">
        <v>37825</v>
      </c>
      <c r="B33033">
        <v>1.08</v>
      </c>
    </row>
    <row r="33034" spans="1:2" x14ac:dyDescent="0.25">
      <c r="A33034" s="74">
        <v>37826</v>
      </c>
      <c r="B33034">
        <v>1.06</v>
      </c>
    </row>
    <row r="33035" spans="1:2" x14ac:dyDescent="0.25">
      <c r="A33035" s="74">
        <v>37827</v>
      </c>
      <c r="B33035">
        <v>1.08</v>
      </c>
    </row>
    <row r="33036" spans="1:2" x14ac:dyDescent="0.25">
      <c r="A33036" s="74">
        <v>37828</v>
      </c>
      <c r="B33036">
        <v>1.17</v>
      </c>
    </row>
    <row r="33037" spans="1:2" x14ac:dyDescent="0.25">
      <c r="A33037" s="74">
        <v>37829</v>
      </c>
      <c r="B33037">
        <v>1.19</v>
      </c>
    </row>
    <row r="33038" spans="1:2" x14ac:dyDescent="0.25">
      <c r="A33038" s="74">
        <v>37830</v>
      </c>
      <c r="B33038">
        <v>1.1399999999999999</v>
      </c>
    </row>
    <row r="33039" spans="1:2" x14ac:dyDescent="0.25">
      <c r="A33039" s="74">
        <v>37831</v>
      </c>
      <c r="B33039">
        <v>1.1100000000000001</v>
      </c>
    </row>
    <row r="33040" spans="1:2" x14ac:dyDescent="0.25">
      <c r="A33040" s="74">
        <v>37832</v>
      </c>
      <c r="B33040">
        <v>1.08</v>
      </c>
    </row>
    <row r="33041" spans="1:2" x14ac:dyDescent="0.25">
      <c r="A33041" s="74">
        <v>37833</v>
      </c>
      <c r="B33041">
        <v>1.21</v>
      </c>
    </row>
    <row r="33042" spans="1:2" x14ac:dyDescent="0.25">
      <c r="A33042" s="74">
        <v>37834</v>
      </c>
      <c r="B33042">
        <v>1.28</v>
      </c>
    </row>
    <row r="33043" spans="1:2" x14ac:dyDescent="0.25">
      <c r="A33043" s="74">
        <v>37835</v>
      </c>
      <c r="B33043">
        <v>1.24</v>
      </c>
    </row>
    <row r="33044" spans="1:2" x14ac:dyDescent="0.25">
      <c r="A33044" s="74">
        <v>37836</v>
      </c>
      <c r="B33044">
        <v>1.23</v>
      </c>
    </row>
    <row r="33045" spans="1:2" x14ac:dyDescent="0.25">
      <c r="A33045" s="74">
        <v>37837</v>
      </c>
      <c r="B33045">
        <v>1.21</v>
      </c>
    </row>
    <row r="33046" spans="1:2" x14ac:dyDescent="0.25">
      <c r="A33046" s="74">
        <v>37838</v>
      </c>
      <c r="B33046">
        <v>1.18</v>
      </c>
    </row>
    <row r="33047" spans="1:2" x14ac:dyDescent="0.25">
      <c r="A33047" s="74">
        <v>37839</v>
      </c>
      <c r="B33047">
        <v>1.2</v>
      </c>
    </row>
    <row r="33048" spans="1:2" x14ac:dyDescent="0.25">
      <c r="A33048" s="74">
        <v>37840</v>
      </c>
      <c r="B33048">
        <v>1.1499999999999999</v>
      </c>
    </row>
    <row r="33049" spans="1:2" x14ac:dyDescent="0.25">
      <c r="A33049" s="74">
        <v>37841</v>
      </c>
      <c r="B33049">
        <v>1.17</v>
      </c>
    </row>
    <row r="33050" spans="1:2" x14ac:dyDescent="0.25">
      <c r="A33050" s="74">
        <v>37842</v>
      </c>
      <c r="B33050">
        <v>1.29</v>
      </c>
    </row>
    <row r="33051" spans="1:2" x14ac:dyDescent="0.25">
      <c r="A33051" s="74">
        <v>37843</v>
      </c>
      <c r="B33051">
        <v>1.32</v>
      </c>
    </row>
    <row r="33052" spans="1:2" x14ac:dyDescent="0.25">
      <c r="A33052" s="74">
        <v>37844</v>
      </c>
      <c r="B33052">
        <v>1.38</v>
      </c>
    </row>
    <row r="33053" spans="1:2" x14ac:dyDescent="0.25">
      <c r="A33053" s="74">
        <v>37845</v>
      </c>
      <c r="B33053">
        <v>1.57</v>
      </c>
    </row>
    <row r="33054" spans="1:2" x14ac:dyDescent="0.25">
      <c r="A33054" s="74">
        <v>37846</v>
      </c>
      <c r="B33054">
        <v>1.45</v>
      </c>
    </row>
    <row r="33055" spans="1:2" x14ac:dyDescent="0.25">
      <c r="A33055" s="74">
        <v>37847</v>
      </c>
      <c r="B33055">
        <v>1.35</v>
      </c>
    </row>
    <row r="33056" spans="1:2" x14ac:dyDescent="0.25">
      <c r="A33056" s="74">
        <v>37848</v>
      </c>
      <c r="B33056">
        <v>1.27</v>
      </c>
    </row>
    <row r="33057" spans="1:2" x14ac:dyDescent="0.25">
      <c r="A33057" s="74">
        <v>37849</v>
      </c>
      <c r="B33057">
        <v>1.2</v>
      </c>
    </row>
    <row r="33058" spans="1:2" x14ac:dyDescent="0.25">
      <c r="A33058" s="74">
        <v>37850</v>
      </c>
      <c r="B33058">
        <v>1.17</v>
      </c>
    </row>
    <row r="33059" spans="1:2" x14ac:dyDescent="0.25">
      <c r="A33059" s="74">
        <v>37851</v>
      </c>
      <c r="B33059">
        <v>1.1399999999999999</v>
      </c>
    </row>
    <row r="33060" spans="1:2" x14ac:dyDescent="0.25">
      <c r="A33060" s="74">
        <v>37852</v>
      </c>
      <c r="B33060">
        <v>1.23</v>
      </c>
    </row>
    <row r="33061" spans="1:2" x14ac:dyDescent="0.25">
      <c r="A33061" s="74">
        <v>37853</v>
      </c>
      <c r="B33061">
        <v>1.21</v>
      </c>
    </row>
    <row r="33062" spans="1:2" x14ac:dyDescent="0.25">
      <c r="A33062" s="74">
        <v>37854</v>
      </c>
      <c r="B33062">
        <v>1.19</v>
      </c>
    </row>
    <row r="33063" spans="1:2" x14ac:dyDescent="0.25">
      <c r="A33063" s="74">
        <v>37855</v>
      </c>
      <c r="B33063">
        <v>1.2</v>
      </c>
    </row>
    <row r="33064" spans="1:2" x14ac:dyDescent="0.25">
      <c r="A33064" s="74">
        <v>37856</v>
      </c>
      <c r="B33064">
        <v>1.19</v>
      </c>
    </row>
    <row r="33065" spans="1:2" x14ac:dyDescent="0.25">
      <c r="A33065" s="74">
        <v>37857</v>
      </c>
      <c r="B33065">
        <v>1.2</v>
      </c>
    </row>
    <row r="33066" spans="1:2" x14ac:dyDescent="0.25">
      <c r="A33066" s="74">
        <v>37858</v>
      </c>
      <c r="B33066">
        <v>1.2</v>
      </c>
    </row>
    <row r="33067" spans="1:2" x14ac:dyDescent="0.25">
      <c r="A33067" s="74">
        <v>37859</v>
      </c>
      <c r="B33067">
        <v>1.18</v>
      </c>
    </row>
    <row r="33068" spans="1:2" x14ac:dyDescent="0.25">
      <c r="A33068" s="74">
        <v>37860</v>
      </c>
      <c r="B33068">
        <v>1.1399999999999999</v>
      </c>
    </row>
    <row r="33069" spans="1:2" x14ac:dyDescent="0.25">
      <c r="A33069" s="74">
        <v>37861</v>
      </c>
      <c r="B33069">
        <v>1.1100000000000001</v>
      </c>
    </row>
    <row r="33070" spans="1:2" x14ac:dyDescent="0.25">
      <c r="A33070" s="74">
        <v>37862</v>
      </c>
      <c r="B33070">
        <v>1.1000000000000001</v>
      </c>
    </row>
    <row r="33071" spans="1:2" x14ac:dyDescent="0.25">
      <c r="A33071" s="74">
        <v>37863</v>
      </c>
      <c r="B33071">
        <v>1.1200000000000001</v>
      </c>
    </row>
    <row r="33072" spans="1:2" x14ac:dyDescent="0.25">
      <c r="A33072" s="74">
        <v>37864</v>
      </c>
      <c r="B33072">
        <v>1.1299999999999999</v>
      </c>
    </row>
    <row r="33073" spans="1:2" x14ac:dyDescent="0.25">
      <c r="A33073" s="74">
        <v>37865</v>
      </c>
      <c r="B33073">
        <v>1.1100000000000001</v>
      </c>
    </row>
    <row r="33074" spans="1:2" x14ac:dyDescent="0.25">
      <c r="A33074" s="74">
        <v>37866</v>
      </c>
      <c r="B33074">
        <v>1.07</v>
      </c>
    </row>
    <row r="33075" spans="1:2" x14ac:dyDescent="0.25">
      <c r="A33075" s="74">
        <v>37867</v>
      </c>
      <c r="B33075">
        <v>1.07</v>
      </c>
    </row>
    <row r="33076" spans="1:2" x14ac:dyDescent="0.25">
      <c r="A33076" s="74">
        <v>37868</v>
      </c>
      <c r="B33076">
        <v>1.1200000000000001</v>
      </c>
    </row>
    <row r="33077" spans="1:2" x14ac:dyDescent="0.25">
      <c r="A33077" s="74">
        <v>37869</v>
      </c>
      <c r="B33077">
        <v>1.1100000000000001</v>
      </c>
    </row>
    <row r="33078" spans="1:2" x14ac:dyDescent="0.25">
      <c r="A33078" s="74">
        <v>37870</v>
      </c>
      <c r="B33078">
        <v>1.26</v>
      </c>
    </row>
    <row r="33079" spans="1:2" x14ac:dyDescent="0.25">
      <c r="A33079" s="74">
        <v>37871</v>
      </c>
      <c r="B33079">
        <v>1.55</v>
      </c>
    </row>
    <row r="33080" spans="1:2" x14ac:dyDescent="0.25">
      <c r="A33080" s="74">
        <v>37872</v>
      </c>
      <c r="B33080">
        <v>1.42</v>
      </c>
    </row>
    <row r="33081" spans="1:2" x14ac:dyDescent="0.25">
      <c r="A33081" s="74">
        <v>37873</v>
      </c>
      <c r="B33081">
        <v>1.39</v>
      </c>
    </row>
    <row r="33082" spans="1:2" x14ac:dyDescent="0.25">
      <c r="A33082" s="74">
        <v>37874</v>
      </c>
      <c r="B33082">
        <v>1.46</v>
      </c>
    </row>
    <row r="33083" spans="1:2" x14ac:dyDescent="0.25">
      <c r="A33083" s="74">
        <v>37875</v>
      </c>
      <c r="B33083">
        <v>1.5</v>
      </c>
    </row>
    <row r="33084" spans="1:2" x14ac:dyDescent="0.25">
      <c r="A33084" s="74">
        <v>37876</v>
      </c>
      <c r="B33084">
        <v>1.52</v>
      </c>
    </row>
    <row r="33085" spans="1:2" x14ac:dyDescent="0.25">
      <c r="A33085" s="74">
        <v>37877</v>
      </c>
      <c r="B33085">
        <v>1.67</v>
      </c>
    </row>
    <row r="33086" spans="1:2" x14ac:dyDescent="0.25">
      <c r="A33086" s="74">
        <v>37878</v>
      </c>
      <c r="B33086">
        <v>1.76</v>
      </c>
    </row>
    <row r="33087" spans="1:2" x14ac:dyDescent="0.25">
      <c r="A33087" s="74">
        <v>37879</v>
      </c>
      <c r="B33087">
        <v>1.7</v>
      </c>
    </row>
    <row r="33088" spans="1:2" x14ac:dyDescent="0.25">
      <c r="A33088" s="74">
        <v>37880</v>
      </c>
      <c r="B33088">
        <v>1.69</v>
      </c>
    </row>
    <row r="33089" spans="1:2" x14ac:dyDescent="0.25">
      <c r="A33089" s="74">
        <v>37881</v>
      </c>
      <c r="B33089">
        <v>1.66</v>
      </c>
    </row>
    <row r="33090" spans="1:2" x14ac:dyDescent="0.25">
      <c r="A33090" s="74">
        <v>37882</v>
      </c>
      <c r="B33090">
        <v>1.78</v>
      </c>
    </row>
    <row r="33091" spans="1:2" x14ac:dyDescent="0.25">
      <c r="A33091" s="74">
        <v>37883</v>
      </c>
      <c r="B33091">
        <v>2.06</v>
      </c>
    </row>
    <row r="33092" spans="1:2" x14ac:dyDescent="0.25">
      <c r="A33092" s="74">
        <v>37884</v>
      </c>
      <c r="B33092">
        <v>2.06</v>
      </c>
    </row>
    <row r="33093" spans="1:2" x14ac:dyDescent="0.25">
      <c r="A33093" s="74">
        <v>37885</v>
      </c>
      <c r="B33093">
        <v>1.92</v>
      </c>
    </row>
    <row r="33094" spans="1:2" x14ac:dyDescent="0.25">
      <c r="A33094" s="74">
        <v>37886</v>
      </c>
      <c r="B33094">
        <v>1.82</v>
      </c>
    </row>
    <row r="33095" spans="1:2" x14ac:dyDescent="0.25">
      <c r="A33095" s="74">
        <v>37887</v>
      </c>
      <c r="B33095">
        <v>1.73</v>
      </c>
    </row>
    <row r="33096" spans="1:2" x14ac:dyDescent="0.25">
      <c r="A33096" s="74">
        <v>37888</v>
      </c>
      <c r="B33096">
        <v>1.76</v>
      </c>
    </row>
    <row r="33097" spans="1:2" x14ac:dyDescent="0.25">
      <c r="A33097" s="74">
        <v>37889</v>
      </c>
      <c r="B33097">
        <v>1.74</v>
      </c>
    </row>
    <row r="33098" spans="1:2" x14ac:dyDescent="0.25">
      <c r="A33098" s="74">
        <v>37890</v>
      </c>
      <c r="B33098">
        <v>1.68</v>
      </c>
    </row>
    <row r="33099" spans="1:2" x14ac:dyDescent="0.25">
      <c r="A33099" s="74">
        <v>37891</v>
      </c>
      <c r="B33099">
        <v>1.72</v>
      </c>
    </row>
    <row r="33100" spans="1:2" x14ac:dyDescent="0.25">
      <c r="A33100" s="74">
        <v>37892</v>
      </c>
      <c r="B33100">
        <v>1.65</v>
      </c>
    </row>
    <row r="33101" spans="1:2" x14ac:dyDescent="0.25">
      <c r="A33101" s="74">
        <v>37893</v>
      </c>
      <c r="B33101">
        <v>1.57</v>
      </c>
    </row>
    <row r="33102" spans="1:2" x14ac:dyDescent="0.25">
      <c r="A33102" s="74">
        <v>37894</v>
      </c>
      <c r="B33102">
        <v>1.62</v>
      </c>
    </row>
    <row r="33103" spans="1:2" x14ac:dyDescent="0.25">
      <c r="A33103" s="74">
        <v>37895</v>
      </c>
      <c r="B33103">
        <v>1.6</v>
      </c>
    </row>
    <row r="33104" spans="1:2" x14ac:dyDescent="0.25">
      <c r="A33104" s="74">
        <v>37896</v>
      </c>
      <c r="B33104">
        <v>1.5</v>
      </c>
    </row>
    <row r="33105" spans="1:2" x14ac:dyDescent="0.25">
      <c r="A33105" s="74">
        <v>37897</v>
      </c>
      <c r="B33105">
        <v>1.39</v>
      </c>
    </row>
    <row r="33106" spans="1:2" x14ac:dyDescent="0.25">
      <c r="A33106" s="74">
        <v>37898</v>
      </c>
      <c r="B33106">
        <v>1.26</v>
      </c>
    </row>
    <row r="33107" spans="1:2" x14ac:dyDescent="0.25">
      <c r="A33107" s="74">
        <v>37899</v>
      </c>
      <c r="B33107">
        <v>1.2</v>
      </c>
    </row>
    <row r="33108" spans="1:2" x14ac:dyDescent="0.25">
      <c r="A33108" s="74">
        <v>37900</v>
      </c>
      <c r="B33108">
        <v>1.49</v>
      </c>
    </row>
    <row r="33109" spans="1:2" x14ac:dyDescent="0.25">
      <c r="A33109" s="74">
        <v>37901</v>
      </c>
      <c r="B33109">
        <v>2.71</v>
      </c>
    </row>
    <row r="33110" spans="1:2" x14ac:dyDescent="0.25">
      <c r="A33110" s="74">
        <v>37902</v>
      </c>
      <c r="B33110">
        <v>4.3600000000000003</v>
      </c>
    </row>
    <row r="33111" spans="1:2" x14ac:dyDescent="0.25">
      <c r="A33111" s="74">
        <v>37903</v>
      </c>
      <c r="B33111">
        <v>7.07</v>
      </c>
    </row>
    <row r="33112" spans="1:2" x14ac:dyDescent="0.25">
      <c r="A33112" s="74">
        <v>37904</v>
      </c>
      <c r="B33112">
        <v>4.26</v>
      </c>
    </row>
    <row r="33113" spans="1:2" x14ac:dyDescent="0.25">
      <c r="A33113" s="74">
        <v>37905</v>
      </c>
      <c r="B33113">
        <v>3.32</v>
      </c>
    </row>
    <row r="33114" spans="1:2" x14ac:dyDescent="0.25">
      <c r="A33114" s="74">
        <v>37906</v>
      </c>
      <c r="B33114">
        <v>45.1</v>
      </c>
    </row>
    <row r="33115" spans="1:2" x14ac:dyDescent="0.25">
      <c r="A33115" s="74">
        <v>37907</v>
      </c>
      <c r="B33115">
        <v>19.7</v>
      </c>
    </row>
    <row r="33116" spans="1:2" x14ac:dyDescent="0.25">
      <c r="A33116" s="74">
        <v>37908</v>
      </c>
      <c r="B33116">
        <v>10</v>
      </c>
    </row>
    <row r="33117" spans="1:2" x14ac:dyDescent="0.25">
      <c r="A33117" s="74">
        <v>37909</v>
      </c>
      <c r="B33117">
        <v>7.07</v>
      </c>
    </row>
    <row r="33118" spans="1:2" x14ac:dyDescent="0.25">
      <c r="A33118" s="74">
        <v>37910</v>
      </c>
      <c r="B33118">
        <v>76.900000000000006</v>
      </c>
    </row>
    <row r="33119" spans="1:2" x14ac:dyDescent="0.25">
      <c r="A33119" s="74">
        <v>37911</v>
      </c>
      <c r="B33119">
        <v>164</v>
      </c>
    </row>
    <row r="33120" spans="1:2" x14ac:dyDescent="0.25">
      <c r="A33120" s="74">
        <v>37912</v>
      </c>
      <c r="B33120">
        <v>210</v>
      </c>
    </row>
    <row r="33121" spans="1:2" x14ac:dyDescent="0.25">
      <c r="A33121" s="74">
        <v>37913</v>
      </c>
      <c r="B33121">
        <v>115</v>
      </c>
    </row>
    <row r="33122" spans="1:2" x14ac:dyDescent="0.25">
      <c r="A33122" s="74">
        <v>37914</v>
      </c>
      <c r="B33122">
        <v>100</v>
      </c>
    </row>
    <row r="33123" spans="1:2" x14ac:dyDescent="0.25">
      <c r="A33123" s="74">
        <v>37915</v>
      </c>
      <c r="B33123">
        <v>63.9</v>
      </c>
    </row>
    <row r="33124" spans="1:2" x14ac:dyDescent="0.25">
      <c r="A33124" s="74">
        <v>37916</v>
      </c>
      <c r="B33124">
        <v>34</v>
      </c>
    </row>
    <row r="33125" spans="1:2" x14ac:dyDescent="0.25">
      <c r="A33125" s="74">
        <v>37917</v>
      </c>
      <c r="B33125">
        <v>28.1</v>
      </c>
    </row>
    <row r="33126" spans="1:2" x14ac:dyDescent="0.25">
      <c r="A33126" s="74">
        <v>37918</v>
      </c>
      <c r="B33126">
        <v>18.600000000000001</v>
      </c>
    </row>
    <row r="33127" spans="1:2" x14ac:dyDescent="0.25">
      <c r="A33127" s="74">
        <v>37919</v>
      </c>
      <c r="B33127">
        <v>14.3</v>
      </c>
    </row>
    <row r="33128" spans="1:2" x14ac:dyDescent="0.25">
      <c r="A33128" s="74">
        <v>37920</v>
      </c>
      <c r="B33128">
        <v>11.5</v>
      </c>
    </row>
    <row r="33129" spans="1:2" x14ac:dyDescent="0.25">
      <c r="A33129" s="74">
        <v>37921</v>
      </c>
      <c r="B33129">
        <v>9.58</v>
      </c>
    </row>
    <row r="33130" spans="1:2" x14ac:dyDescent="0.25">
      <c r="A33130" s="74">
        <v>37922</v>
      </c>
      <c r="B33130">
        <v>8.01</v>
      </c>
    </row>
    <row r="33131" spans="1:2" x14ac:dyDescent="0.25">
      <c r="A33131" s="74">
        <v>37923</v>
      </c>
      <c r="B33131">
        <v>6.82</v>
      </c>
    </row>
    <row r="33132" spans="1:2" x14ac:dyDescent="0.25">
      <c r="A33132" s="74">
        <v>37924</v>
      </c>
      <c r="B33132">
        <v>5.8</v>
      </c>
    </row>
    <row r="33133" spans="1:2" x14ac:dyDescent="0.25">
      <c r="A33133" s="74">
        <v>37925</v>
      </c>
      <c r="B33133">
        <v>5.05</v>
      </c>
    </row>
    <row r="33134" spans="1:2" x14ac:dyDescent="0.25">
      <c r="A33134" s="74">
        <v>37926</v>
      </c>
      <c r="B33134">
        <v>4.49</v>
      </c>
    </row>
    <row r="33135" spans="1:2" x14ac:dyDescent="0.25">
      <c r="A33135" s="74">
        <v>37927</v>
      </c>
      <c r="B33135">
        <v>3.99</v>
      </c>
    </row>
    <row r="33136" spans="1:2" x14ac:dyDescent="0.25">
      <c r="A33136" s="74">
        <v>37928</v>
      </c>
      <c r="B33136">
        <v>3.62</v>
      </c>
    </row>
    <row r="33137" spans="1:2" x14ac:dyDescent="0.25">
      <c r="A33137" s="74">
        <v>37929</v>
      </c>
      <c r="B33137">
        <v>3.33</v>
      </c>
    </row>
    <row r="33138" spans="1:2" x14ac:dyDescent="0.25">
      <c r="A33138" s="74">
        <v>37930</v>
      </c>
      <c r="B33138">
        <v>2.98</v>
      </c>
    </row>
    <row r="33139" spans="1:2" x14ac:dyDescent="0.25">
      <c r="A33139" s="74">
        <v>37931</v>
      </c>
      <c r="B33139">
        <v>2.73</v>
      </c>
    </row>
    <row r="33140" spans="1:2" x14ac:dyDescent="0.25">
      <c r="A33140" s="74">
        <v>37932</v>
      </c>
      <c r="B33140">
        <v>2.58</v>
      </c>
    </row>
    <row r="33141" spans="1:2" x14ac:dyDescent="0.25">
      <c r="A33141" s="74">
        <v>37933</v>
      </c>
      <c r="B33141">
        <v>2.4300000000000002</v>
      </c>
    </row>
    <row r="33142" spans="1:2" x14ac:dyDescent="0.25">
      <c r="A33142" s="74">
        <v>37934</v>
      </c>
      <c r="B33142">
        <v>2.37</v>
      </c>
    </row>
    <row r="33143" spans="1:2" x14ac:dyDescent="0.25">
      <c r="A33143" s="74">
        <v>37935</v>
      </c>
      <c r="B33143">
        <v>2.2599999999999998</v>
      </c>
    </row>
    <row r="33144" spans="1:2" x14ac:dyDescent="0.25">
      <c r="A33144" s="74">
        <v>37936</v>
      </c>
      <c r="B33144">
        <v>2.15</v>
      </c>
    </row>
    <row r="33145" spans="1:2" x14ac:dyDescent="0.25">
      <c r="A33145" s="74">
        <v>37937</v>
      </c>
      <c r="B33145">
        <v>2.09</v>
      </c>
    </row>
    <row r="33146" spans="1:2" x14ac:dyDescent="0.25">
      <c r="A33146" s="74">
        <v>37938</v>
      </c>
      <c r="B33146">
        <v>2.0299999999999998</v>
      </c>
    </row>
    <row r="33147" spans="1:2" x14ac:dyDescent="0.25">
      <c r="A33147" s="74">
        <v>37939</v>
      </c>
      <c r="B33147">
        <v>1.95</v>
      </c>
    </row>
    <row r="33148" spans="1:2" x14ac:dyDescent="0.25">
      <c r="A33148" s="74">
        <v>37940</v>
      </c>
      <c r="B33148">
        <v>2.37</v>
      </c>
    </row>
    <row r="33149" spans="1:2" x14ac:dyDescent="0.25">
      <c r="A33149" s="74">
        <v>37941</v>
      </c>
      <c r="B33149">
        <v>5.54</v>
      </c>
    </row>
    <row r="33150" spans="1:2" x14ac:dyDescent="0.25">
      <c r="A33150" s="74">
        <v>37942</v>
      </c>
      <c r="B33150">
        <v>11</v>
      </c>
    </row>
    <row r="33151" spans="1:2" x14ac:dyDescent="0.25">
      <c r="A33151" s="74">
        <v>37943</v>
      </c>
      <c r="B33151">
        <v>34.1</v>
      </c>
    </row>
    <row r="33152" spans="1:2" x14ac:dyDescent="0.25">
      <c r="A33152" s="74">
        <v>37944</v>
      </c>
      <c r="B33152">
        <v>31.1</v>
      </c>
    </row>
    <row r="33153" spans="1:2" x14ac:dyDescent="0.25">
      <c r="A33153" s="74">
        <v>37945</v>
      </c>
      <c r="B33153">
        <v>20.2</v>
      </c>
    </row>
    <row r="33154" spans="1:2" x14ac:dyDescent="0.25">
      <c r="A33154" s="74">
        <v>37946</v>
      </c>
      <c r="B33154">
        <v>15.2</v>
      </c>
    </row>
    <row r="33155" spans="1:2" x14ac:dyDescent="0.25">
      <c r="A33155" s="74">
        <v>37947</v>
      </c>
      <c r="B33155">
        <v>12.2</v>
      </c>
    </row>
    <row r="33156" spans="1:2" x14ac:dyDescent="0.25">
      <c r="A33156" s="74">
        <v>37948</v>
      </c>
      <c r="B33156">
        <v>10.6</v>
      </c>
    </row>
    <row r="33157" spans="1:2" x14ac:dyDescent="0.25">
      <c r="A33157" s="74">
        <v>37949</v>
      </c>
      <c r="B33157">
        <v>11.8</v>
      </c>
    </row>
    <row r="33158" spans="1:2" x14ac:dyDescent="0.25">
      <c r="A33158" s="74">
        <v>37950</v>
      </c>
      <c r="B33158">
        <v>11</v>
      </c>
    </row>
    <row r="33159" spans="1:2" x14ac:dyDescent="0.25">
      <c r="A33159" s="74">
        <v>37951</v>
      </c>
      <c r="B33159">
        <v>9.92</v>
      </c>
    </row>
    <row r="33160" spans="1:2" x14ac:dyDescent="0.25">
      <c r="A33160" s="74">
        <v>37952</v>
      </c>
      <c r="B33160">
        <v>8.6</v>
      </c>
    </row>
    <row r="33161" spans="1:2" x14ac:dyDescent="0.25">
      <c r="A33161" s="74">
        <v>37953</v>
      </c>
      <c r="B33161">
        <v>65.2</v>
      </c>
    </row>
    <row r="33162" spans="1:2" x14ac:dyDescent="0.25">
      <c r="A33162" s="74">
        <v>37954</v>
      </c>
      <c r="B33162">
        <v>55.9</v>
      </c>
    </row>
    <row r="33163" spans="1:2" x14ac:dyDescent="0.25">
      <c r="A33163" s="74">
        <v>37955</v>
      </c>
      <c r="B33163">
        <v>27.1</v>
      </c>
    </row>
    <row r="33164" spans="1:2" x14ac:dyDescent="0.25">
      <c r="A33164" s="74">
        <v>37956</v>
      </c>
      <c r="B33164">
        <v>18.600000000000001</v>
      </c>
    </row>
    <row r="33165" spans="1:2" x14ac:dyDescent="0.25">
      <c r="A33165" s="74">
        <v>37957</v>
      </c>
      <c r="B33165">
        <v>16.899999999999999</v>
      </c>
    </row>
    <row r="33166" spans="1:2" x14ac:dyDescent="0.25">
      <c r="A33166" s="74">
        <v>37958</v>
      </c>
      <c r="B33166">
        <v>24</v>
      </c>
    </row>
    <row r="33167" spans="1:2" x14ac:dyDescent="0.25">
      <c r="A33167" s="74">
        <v>37959</v>
      </c>
      <c r="B33167">
        <v>17.899999999999999</v>
      </c>
    </row>
    <row r="33168" spans="1:2" x14ac:dyDescent="0.25">
      <c r="A33168" s="74">
        <v>37960</v>
      </c>
      <c r="B33168">
        <v>44.9</v>
      </c>
    </row>
    <row r="33169" spans="1:2" x14ac:dyDescent="0.25">
      <c r="A33169" s="74">
        <v>37961</v>
      </c>
      <c r="B33169">
        <v>78.400000000000006</v>
      </c>
    </row>
    <row r="33170" spans="1:2" x14ac:dyDescent="0.25">
      <c r="A33170" s="74">
        <v>37962</v>
      </c>
      <c r="B33170">
        <v>48</v>
      </c>
    </row>
    <row r="33171" spans="1:2" x14ac:dyDescent="0.25">
      <c r="A33171" s="74">
        <v>37963</v>
      </c>
      <c r="B33171">
        <v>28.4</v>
      </c>
    </row>
    <row r="33172" spans="1:2" x14ac:dyDescent="0.25">
      <c r="A33172" s="74">
        <v>37964</v>
      </c>
      <c r="B33172">
        <v>20</v>
      </c>
    </row>
    <row r="33173" spans="1:2" x14ac:dyDescent="0.25">
      <c r="A33173" s="74">
        <v>37965</v>
      </c>
      <c r="B33173">
        <v>16.2</v>
      </c>
    </row>
    <row r="33174" spans="1:2" x14ac:dyDescent="0.25">
      <c r="A33174" s="74">
        <v>37966</v>
      </c>
      <c r="B33174">
        <v>13.8</v>
      </c>
    </row>
    <row r="33175" spans="1:2" x14ac:dyDescent="0.25">
      <c r="A33175" s="74">
        <v>37967</v>
      </c>
      <c r="B33175">
        <v>14</v>
      </c>
    </row>
    <row r="33176" spans="1:2" x14ac:dyDescent="0.25">
      <c r="A33176" s="74">
        <v>37968</v>
      </c>
      <c r="B33176">
        <v>14.1</v>
      </c>
    </row>
    <row r="33177" spans="1:2" x14ac:dyDescent="0.25">
      <c r="A33177" s="74">
        <v>37969</v>
      </c>
      <c r="B33177">
        <v>19.8</v>
      </c>
    </row>
    <row r="33178" spans="1:2" x14ac:dyDescent="0.25">
      <c r="A33178" s="74">
        <v>37970</v>
      </c>
      <c r="B33178">
        <v>19.600000000000001</v>
      </c>
    </row>
    <row r="33179" spans="1:2" x14ac:dyDescent="0.25">
      <c r="A33179" s="74">
        <v>37971</v>
      </c>
      <c r="B33179">
        <v>79.5</v>
      </c>
    </row>
    <row r="33180" spans="1:2" x14ac:dyDescent="0.25">
      <c r="A33180" s="74">
        <v>37972</v>
      </c>
      <c r="B33180">
        <v>61.1</v>
      </c>
    </row>
    <row r="33181" spans="1:2" x14ac:dyDescent="0.25">
      <c r="A33181" s="74">
        <v>37973</v>
      </c>
      <c r="B33181">
        <v>30.6</v>
      </c>
    </row>
    <row r="33182" spans="1:2" x14ac:dyDescent="0.25">
      <c r="A33182" s="74">
        <v>37974</v>
      </c>
      <c r="B33182">
        <v>20.9</v>
      </c>
    </row>
    <row r="33183" spans="1:2" x14ac:dyDescent="0.25">
      <c r="A33183" s="74">
        <v>37975</v>
      </c>
      <c r="B33183">
        <v>22.7</v>
      </c>
    </row>
    <row r="33184" spans="1:2" x14ac:dyDescent="0.25">
      <c r="A33184" s="74">
        <v>37976</v>
      </c>
      <c r="B33184">
        <v>22.9</v>
      </c>
    </row>
    <row r="33185" spans="1:2" x14ac:dyDescent="0.25">
      <c r="A33185" s="74">
        <v>37977</v>
      </c>
      <c r="B33185">
        <v>18.399999999999999</v>
      </c>
    </row>
    <row r="33186" spans="1:2" x14ac:dyDescent="0.25">
      <c r="A33186" s="74">
        <v>37978</v>
      </c>
      <c r="B33186">
        <v>16.7</v>
      </c>
    </row>
    <row r="33187" spans="1:2" x14ac:dyDescent="0.25">
      <c r="A33187" s="74">
        <v>37979</v>
      </c>
      <c r="B33187">
        <v>34</v>
      </c>
    </row>
    <row r="33188" spans="1:2" x14ac:dyDescent="0.25">
      <c r="A33188" s="74">
        <v>37980</v>
      </c>
      <c r="B33188">
        <v>32.1</v>
      </c>
    </row>
    <row r="33189" spans="1:2" x14ac:dyDescent="0.25">
      <c r="A33189" s="74">
        <v>37981</v>
      </c>
      <c r="B33189">
        <v>21.2</v>
      </c>
    </row>
    <row r="33190" spans="1:2" x14ac:dyDescent="0.25">
      <c r="A33190" s="74">
        <v>37982</v>
      </c>
      <c r="B33190">
        <v>17.3</v>
      </c>
    </row>
    <row r="33191" spans="1:2" x14ac:dyDescent="0.25">
      <c r="A33191" s="74">
        <v>37983</v>
      </c>
      <c r="B33191">
        <v>14.7</v>
      </c>
    </row>
    <row r="33192" spans="1:2" x14ac:dyDescent="0.25">
      <c r="A33192" s="74">
        <v>37984</v>
      </c>
      <c r="B33192">
        <v>12.6</v>
      </c>
    </row>
    <row r="33193" spans="1:2" x14ac:dyDescent="0.25">
      <c r="A33193" s="74">
        <v>37985</v>
      </c>
      <c r="B33193">
        <v>11</v>
      </c>
    </row>
    <row r="33194" spans="1:2" x14ac:dyDescent="0.25">
      <c r="A33194" s="74">
        <v>37986</v>
      </c>
      <c r="B33194">
        <v>9.86</v>
      </c>
    </row>
    <row r="33195" spans="1:2" x14ac:dyDescent="0.25">
      <c r="A33195" s="74">
        <v>37987</v>
      </c>
      <c r="B33195">
        <v>9.0299999999999994</v>
      </c>
    </row>
    <row r="33196" spans="1:2" x14ac:dyDescent="0.25">
      <c r="A33196" s="74">
        <v>37988</v>
      </c>
      <c r="B33196">
        <v>8.17</v>
      </c>
    </row>
    <row r="33197" spans="1:2" x14ac:dyDescent="0.25">
      <c r="A33197" s="74">
        <v>37989</v>
      </c>
      <c r="B33197">
        <v>7.59</v>
      </c>
    </row>
    <row r="33198" spans="1:2" x14ac:dyDescent="0.25">
      <c r="A33198" s="74">
        <v>37990</v>
      </c>
      <c r="B33198">
        <v>6.34</v>
      </c>
    </row>
    <row r="33199" spans="1:2" x14ac:dyDescent="0.25">
      <c r="A33199" s="74">
        <v>37991</v>
      </c>
      <c r="B33199">
        <v>5.3</v>
      </c>
    </row>
    <row r="33200" spans="1:2" x14ac:dyDescent="0.25">
      <c r="A33200" s="74">
        <v>37992</v>
      </c>
      <c r="B33200">
        <v>6</v>
      </c>
    </row>
    <row r="33201" spans="1:2" x14ac:dyDescent="0.25">
      <c r="A33201" s="74">
        <v>37993</v>
      </c>
      <c r="B33201">
        <v>6.61</v>
      </c>
    </row>
    <row r="33202" spans="1:2" x14ac:dyDescent="0.25">
      <c r="A33202" s="74">
        <v>37994</v>
      </c>
      <c r="B33202">
        <v>19.5</v>
      </c>
    </row>
    <row r="33203" spans="1:2" x14ac:dyDescent="0.25">
      <c r="A33203" s="74">
        <v>37995</v>
      </c>
      <c r="B33203">
        <v>38.700000000000003</v>
      </c>
    </row>
    <row r="33204" spans="1:2" x14ac:dyDescent="0.25">
      <c r="A33204" s="74">
        <v>37996</v>
      </c>
      <c r="B33204">
        <v>61.4</v>
      </c>
    </row>
    <row r="33205" spans="1:2" x14ac:dyDescent="0.25">
      <c r="A33205" s="74">
        <v>37997</v>
      </c>
      <c r="B33205">
        <v>36</v>
      </c>
    </row>
    <row r="33206" spans="1:2" x14ac:dyDescent="0.25">
      <c r="A33206" s="74">
        <v>37998</v>
      </c>
      <c r="B33206">
        <v>32.700000000000003</v>
      </c>
    </row>
    <row r="33207" spans="1:2" x14ac:dyDescent="0.25">
      <c r="A33207" s="74">
        <v>37999</v>
      </c>
      <c r="B33207">
        <v>58.6</v>
      </c>
    </row>
    <row r="33208" spans="1:2" x14ac:dyDescent="0.25">
      <c r="A33208" s="74">
        <v>38000</v>
      </c>
      <c r="B33208">
        <v>112</v>
      </c>
    </row>
    <row r="33209" spans="1:2" x14ac:dyDescent="0.25">
      <c r="A33209" s="74">
        <v>38001</v>
      </c>
      <c r="B33209">
        <v>74.8</v>
      </c>
    </row>
    <row r="33210" spans="1:2" x14ac:dyDescent="0.25">
      <c r="A33210" s="74">
        <v>38002</v>
      </c>
      <c r="B33210">
        <v>37.6</v>
      </c>
    </row>
    <row r="33211" spans="1:2" x14ac:dyDescent="0.25">
      <c r="A33211" s="74">
        <v>38003</v>
      </c>
      <c r="B33211">
        <v>23.8</v>
      </c>
    </row>
    <row r="33212" spans="1:2" x14ac:dyDescent="0.25">
      <c r="A33212" s="74">
        <v>38004</v>
      </c>
      <c r="B33212">
        <v>22.3</v>
      </c>
    </row>
    <row r="33213" spans="1:2" x14ac:dyDescent="0.25">
      <c r="A33213" s="74">
        <v>38005</v>
      </c>
      <c r="B33213">
        <v>21.7</v>
      </c>
    </row>
    <row r="33214" spans="1:2" x14ac:dyDescent="0.25">
      <c r="A33214" s="74">
        <v>38006</v>
      </c>
      <c r="B33214">
        <v>18</v>
      </c>
    </row>
    <row r="33215" spans="1:2" x14ac:dyDescent="0.25">
      <c r="A33215" s="74">
        <v>38007</v>
      </c>
      <c r="B33215">
        <v>15.2</v>
      </c>
    </row>
    <row r="33216" spans="1:2" x14ac:dyDescent="0.25">
      <c r="A33216" s="74">
        <v>38008</v>
      </c>
      <c r="B33216">
        <v>13.5</v>
      </c>
    </row>
    <row r="33217" spans="1:2" x14ac:dyDescent="0.25">
      <c r="A33217" s="74">
        <v>38009</v>
      </c>
      <c r="B33217">
        <v>13.2</v>
      </c>
    </row>
    <row r="33218" spans="1:2" x14ac:dyDescent="0.25">
      <c r="A33218" s="74">
        <v>38010</v>
      </c>
      <c r="B33218">
        <v>13.2</v>
      </c>
    </row>
    <row r="33219" spans="1:2" x14ac:dyDescent="0.25">
      <c r="A33219" s="74">
        <v>38011</v>
      </c>
      <c r="B33219">
        <v>12.4</v>
      </c>
    </row>
    <row r="33220" spans="1:2" x14ac:dyDescent="0.25">
      <c r="A33220" s="74">
        <v>38012</v>
      </c>
      <c r="B33220">
        <v>11.2</v>
      </c>
    </row>
    <row r="33221" spans="1:2" x14ac:dyDescent="0.25">
      <c r="A33221" s="74">
        <v>38013</v>
      </c>
      <c r="B33221">
        <v>10.6</v>
      </c>
    </row>
    <row r="33222" spans="1:2" x14ac:dyDescent="0.25">
      <c r="A33222" s="74">
        <v>38014</v>
      </c>
      <c r="B33222">
        <v>15.3</v>
      </c>
    </row>
    <row r="33223" spans="1:2" x14ac:dyDescent="0.25">
      <c r="A33223" s="74">
        <v>38015</v>
      </c>
      <c r="B33223">
        <v>17.2</v>
      </c>
    </row>
    <row r="33224" spans="1:2" x14ac:dyDescent="0.25">
      <c r="A33224" s="74">
        <v>38016</v>
      </c>
      <c r="B33224">
        <v>44.6</v>
      </c>
    </row>
    <row r="33225" spans="1:2" x14ac:dyDescent="0.25">
      <c r="A33225" s="74">
        <v>38017</v>
      </c>
      <c r="B33225">
        <v>31.8</v>
      </c>
    </row>
    <row r="33226" spans="1:2" x14ac:dyDescent="0.25">
      <c r="A33226" s="74">
        <v>38018</v>
      </c>
      <c r="B33226">
        <v>22.1</v>
      </c>
    </row>
    <row r="33227" spans="1:2" x14ac:dyDescent="0.25">
      <c r="A33227" s="74">
        <v>38019</v>
      </c>
      <c r="B33227">
        <v>17.8</v>
      </c>
    </row>
    <row r="33228" spans="1:2" x14ac:dyDescent="0.25">
      <c r="A33228" s="74">
        <v>38020</v>
      </c>
      <c r="B33228">
        <v>15.2</v>
      </c>
    </row>
    <row r="33229" spans="1:2" x14ac:dyDescent="0.25">
      <c r="A33229" s="74">
        <v>38021</v>
      </c>
      <c r="B33229">
        <v>13.5</v>
      </c>
    </row>
    <row r="33230" spans="1:2" x14ac:dyDescent="0.25">
      <c r="A33230" s="74">
        <v>38022</v>
      </c>
      <c r="B33230">
        <v>12.1</v>
      </c>
    </row>
    <row r="33231" spans="1:2" x14ac:dyDescent="0.25">
      <c r="A33231" s="74">
        <v>38023</v>
      </c>
      <c r="B33231">
        <v>19.100000000000001</v>
      </c>
    </row>
    <row r="33232" spans="1:2" x14ac:dyDescent="0.25">
      <c r="A33232" s="74">
        <v>38024</v>
      </c>
      <c r="B33232">
        <v>24.7</v>
      </c>
    </row>
    <row r="33233" spans="1:2" x14ac:dyDescent="0.25">
      <c r="A33233" s="74">
        <v>38025</v>
      </c>
      <c r="B33233">
        <v>18.399999999999999</v>
      </c>
    </row>
    <row r="33234" spans="1:2" x14ac:dyDescent="0.25">
      <c r="A33234" s="74">
        <v>38026</v>
      </c>
      <c r="B33234">
        <v>14.9</v>
      </c>
    </row>
    <row r="33235" spans="1:2" x14ac:dyDescent="0.25">
      <c r="A33235" s="74">
        <v>38027</v>
      </c>
      <c r="B33235">
        <v>12.8</v>
      </c>
    </row>
    <row r="33236" spans="1:2" x14ac:dyDescent="0.25">
      <c r="A33236" s="74">
        <v>38028</v>
      </c>
      <c r="B33236">
        <v>11.5</v>
      </c>
    </row>
    <row r="33237" spans="1:2" x14ac:dyDescent="0.25">
      <c r="A33237" s="74">
        <v>38029</v>
      </c>
      <c r="B33237">
        <v>10.7</v>
      </c>
    </row>
    <row r="33238" spans="1:2" x14ac:dyDescent="0.25">
      <c r="A33238" s="74">
        <v>38030</v>
      </c>
      <c r="B33238">
        <v>10</v>
      </c>
    </row>
    <row r="33239" spans="1:2" x14ac:dyDescent="0.25">
      <c r="A33239" s="74">
        <v>38031</v>
      </c>
      <c r="B33239">
        <v>11.2</v>
      </c>
    </row>
    <row r="33240" spans="1:2" x14ac:dyDescent="0.25">
      <c r="A33240" s="74">
        <v>38032</v>
      </c>
      <c r="B33240">
        <v>12.4</v>
      </c>
    </row>
    <row r="33241" spans="1:2" x14ac:dyDescent="0.25">
      <c r="A33241" s="74">
        <v>38033</v>
      </c>
      <c r="B33241">
        <v>14.2</v>
      </c>
    </row>
    <row r="33242" spans="1:2" x14ac:dyDescent="0.25">
      <c r="A33242" s="74">
        <v>38034</v>
      </c>
      <c r="B33242">
        <v>28</v>
      </c>
    </row>
    <row r="33243" spans="1:2" x14ac:dyDescent="0.25">
      <c r="A33243" s="74">
        <v>38035</v>
      </c>
      <c r="B33243">
        <v>27.2</v>
      </c>
    </row>
    <row r="33244" spans="1:2" x14ac:dyDescent="0.25">
      <c r="A33244" s="74">
        <v>38036</v>
      </c>
      <c r="B33244">
        <v>20.9</v>
      </c>
    </row>
    <row r="33245" spans="1:2" x14ac:dyDescent="0.25">
      <c r="A33245" s="74">
        <v>38037</v>
      </c>
      <c r="B33245">
        <v>16.399999999999999</v>
      </c>
    </row>
    <row r="33246" spans="1:2" x14ac:dyDescent="0.25">
      <c r="A33246" s="74">
        <v>38038</v>
      </c>
      <c r="B33246">
        <v>13.7</v>
      </c>
    </row>
    <row r="33247" spans="1:2" x14ac:dyDescent="0.25">
      <c r="A33247" s="74">
        <v>38039</v>
      </c>
      <c r="B33247">
        <v>11.8</v>
      </c>
    </row>
    <row r="33248" spans="1:2" x14ac:dyDescent="0.25">
      <c r="A33248" s="74">
        <v>38040</v>
      </c>
      <c r="B33248">
        <v>10.3</v>
      </c>
    </row>
    <row r="33249" spans="1:2" x14ac:dyDescent="0.25">
      <c r="A33249" s="74">
        <v>38041</v>
      </c>
      <c r="B33249">
        <v>9.6999999999999993</v>
      </c>
    </row>
    <row r="33250" spans="1:2" x14ac:dyDescent="0.25">
      <c r="A33250" s="74">
        <v>38042</v>
      </c>
      <c r="B33250">
        <v>13.3</v>
      </c>
    </row>
    <row r="33251" spans="1:2" x14ac:dyDescent="0.25">
      <c r="A33251" s="74">
        <v>38043</v>
      </c>
      <c r="B33251">
        <v>13.3</v>
      </c>
    </row>
    <row r="33252" spans="1:2" x14ac:dyDescent="0.25">
      <c r="A33252" s="74">
        <v>38044</v>
      </c>
      <c r="B33252">
        <v>12.6</v>
      </c>
    </row>
    <row r="33253" spans="1:2" x14ac:dyDescent="0.25">
      <c r="A33253" s="74">
        <v>38045</v>
      </c>
      <c r="B33253">
        <v>11.7</v>
      </c>
    </row>
    <row r="33254" spans="1:2" x14ac:dyDescent="0.25">
      <c r="A33254" s="74">
        <v>38046</v>
      </c>
      <c r="B33254">
        <v>10.8</v>
      </c>
    </row>
    <row r="33255" spans="1:2" x14ac:dyDescent="0.25">
      <c r="A33255" s="74">
        <v>38047</v>
      </c>
      <c r="B33255">
        <v>9.5299999999999994</v>
      </c>
    </row>
    <row r="33256" spans="1:2" x14ac:dyDescent="0.25">
      <c r="A33256" s="74">
        <v>38048</v>
      </c>
      <c r="B33256">
        <v>8.5399999999999991</v>
      </c>
    </row>
    <row r="33257" spans="1:2" x14ac:dyDescent="0.25">
      <c r="A33257" s="74">
        <v>38049</v>
      </c>
      <c r="B33257">
        <v>7.82</v>
      </c>
    </row>
    <row r="33258" spans="1:2" x14ac:dyDescent="0.25">
      <c r="A33258" s="74">
        <v>38050</v>
      </c>
      <c r="B33258">
        <v>7.51</v>
      </c>
    </row>
    <row r="33259" spans="1:2" x14ac:dyDescent="0.25">
      <c r="A33259" s="74">
        <v>38051</v>
      </c>
      <c r="B33259">
        <v>7.61</v>
      </c>
    </row>
    <row r="33260" spans="1:2" x14ac:dyDescent="0.25">
      <c r="A33260" s="74">
        <v>38052</v>
      </c>
      <c r="B33260">
        <v>7.48</v>
      </c>
    </row>
    <row r="33261" spans="1:2" x14ac:dyDescent="0.25">
      <c r="A33261" s="74">
        <v>38053</v>
      </c>
      <c r="B33261">
        <v>10.5</v>
      </c>
    </row>
    <row r="33262" spans="1:2" x14ac:dyDescent="0.25">
      <c r="A33262" s="74">
        <v>38054</v>
      </c>
      <c r="B33262">
        <v>16.5</v>
      </c>
    </row>
    <row r="33263" spans="1:2" x14ac:dyDescent="0.25">
      <c r="A33263" s="74">
        <v>38055</v>
      </c>
      <c r="B33263">
        <v>19.2</v>
      </c>
    </row>
    <row r="33264" spans="1:2" x14ac:dyDescent="0.25">
      <c r="A33264" s="74">
        <v>38056</v>
      </c>
      <c r="B33264">
        <v>16.100000000000001</v>
      </c>
    </row>
    <row r="33265" spans="1:2" x14ac:dyDescent="0.25">
      <c r="A33265" s="74">
        <v>38057</v>
      </c>
      <c r="B33265">
        <v>12.9</v>
      </c>
    </row>
    <row r="33266" spans="1:2" x14ac:dyDescent="0.25">
      <c r="A33266" s="74">
        <v>38058</v>
      </c>
      <c r="B33266">
        <v>11</v>
      </c>
    </row>
    <row r="33267" spans="1:2" x14ac:dyDescent="0.25">
      <c r="A33267" s="74">
        <v>38059</v>
      </c>
      <c r="B33267">
        <v>9.7100000000000009</v>
      </c>
    </row>
    <row r="33268" spans="1:2" x14ac:dyDescent="0.25">
      <c r="A33268" s="74">
        <v>38060</v>
      </c>
      <c r="B33268">
        <v>8.8699999999999992</v>
      </c>
    </row>
    <row r="33269" spans="1:2" x14ac:dyDescent="0.25">
      <c r="A33269" s="74">
        <v>38061</v>
      </c>
      <c r="B33269">
        <v>8.4600000000000009</v>
      </c>
    </row>
    <row r="33270" spans="1:2" x14ac:dyDescent="0.25">
      <c r="A33270" s="74">
        <v>38062</v>
      </c>
      <c r="B33270">
        <v>7.9</v>
      </c>
    </row>
    <row r="33271" spans="1:2" x14ac:dyDescent="0.25">
      <c r="A33271" s="74">
        <v>38063</v>
      </c>
      <c r="B33271">
        <v>8</v>
      </c>
    </row>
    <row r="33272" spans="1:2" x14ac:dyDescent="0.25">
      <c r="A33272" s="74">
        <v>38064</v>
      </c>
      <c r="B33272">
        <v>11.8</v>
      </c>
    </row>
    <row r="33273" spans="1:2" x14ac:dyDescent="0.25">
      <c r="A33273" s="74">
        <v>38065</v>
      </c>
      <c r="B33273">
        <v>12.6</v>
      </c>
    </row>
    <row r="33274" spans="1:2" x14ac:dyDescent="0.25">
      <c r="A33274" s="74">
        <v>38066</v>
      </c>
      <c r="B33274">
        <v>10.8</v>
      </c>
    </row>
    <row r="33275" spans="1:2" x14ac:dyDescent="0.25">
      <c r="A33275" s="74">
        <v>38067</v>
      </c>
      <c r="B33275">
        <v>9.6300000000000008</v>
      </c>
    </row>
    <row r="33276" spans="1:2" x14ac:dyDescent="0.25">
      <c r="A33276" s="74">
        <v>38068</v>
      </c>
      <c r="B33276">
        <v>9.75</v>
      </c>
    </row>
    <row r="33277" spans="1:2" x14ac:dyDescent="0.25">
      <c r="A33277" s="74">
        <v>38069</v>
      </c>
      <c r="B33277">
        <v>10.9</v>
      </c>
    </row>
    <row r="33278" spans="1:2" x14ac:dyDescent="0.25">
      <c r="A33278" s="74">
        <v>38070</v>
      </c>
      <c r="B33278">
        <v>16.7</v>
      </c>
    </row>
    <row r="33279" spans="1:2" x14ac:dyDescent="0.25">
      <c r="A33279" s="74">
        <v>38071</v>
      </c>
      <c r="B33279">
        <v>24.2</v>
      </c>
    </row>
    <row r="33280" spans="1:2" x14ac:dyDescent="0.25">
      <c r="A33280" s="74">
        <v>38072</v>
      </c>
      <c r="B33280">
        <v>31</v>
      </c>
    </row>
    <row r="33281" spans="1:2" x14ac:dyDescent="0.25">
      <c r="A33281" s="74">
        <v>38073</v>
      </c>
      <c r="B33281">
        <v>23.6</v>
      </c>
    </row>
    <row r="33282" spans="1:2" x14ac:dyDescent="0.25">
      <c r="A33282" s="74">
        <v>38074</v>
      </c>
      <c r="B33282">
        <v>18</v>
      </c>
    </row>
    <row r="33283" spans="1:2" x14ac:dyDescent="0.25">
      <c r="A33283" s="74">
        <v>38075</v>
      </c>
      <c r="B33283">
        <v>15.2</v>
      </c>
    </row>
    <row r="33284" spans="1:2" x14ac:dyDescent="0.25">
      <c r="A33284" s="74">
        <v>38076</v>
      </c>
      <c r="B33284">
        <v>17.2</v>
      </c>
    </row>
    <row r="33285" spans="1:2" x14ac:dyDescent="0.25">
      <c r="A33285" s="74">
        <v>38077</v>
      </c>
      <c r="B33285">
        <v>15.1</v>
      </c>
    </row>
    <row r="33286" spans="1:2" x14ac:dyDescent="0.25">
      <c r="A33286" s="74">
        <v>38078</v>
      </c>
      <c r="B33286">
        <v>12.2</v>
      </c>
    </row>
    <row r="33287" spans="1:2" x14ac:dyDescent="0.25">
      <c r="A33287" s="74">
        <v>38079</v>
      </c>
      <c r="B33287">
        <v>10.199999999999999</v>
      </c>
    </row>
    <row r="33288" spans="1:2" x14ac:dyDescent="0.25">
      <c r="A33288" s="74">
        <v>38080</v>
      </c>
      <c r="B33288">
        <v>9</v>
      </c>
    </row>
    <row r="33289" spans="1:2" x14ac:dyDescent="0.25">
      <c r="A33289" s="74">
        <v>38081</v>
      </c>
      <c r="B33289">
        <v>8.83</v>
      </c>
    </row>
    <row r="33290" spans="1:2" x14ac:dyDescent="0.25">
      <c r="A33290" s="74">
        <v>38082</v>
      </c>
      <c r="B33290">
        <v>8.49</v>
      </c>
    </row>
    <row r="33291" spans="1:2" x14ac:dyDescent="0.25">
      <c r="A33291" s="74">
        <v>38083</v>
      </c>
      <c r="B33291">
        <v>8.3000000000000007</v>
      </c>
    </row>
    <row r="33292" spans="1:2" x14ac:dyDescent="0.25">
      <c r="A33292" s="74">
        <v>38084</v>
      </c>
      <c r="B33292">
        <v>8.2899999999999991</v>
      </c>
    </row>
    <row r="33293" spans="1:2" x14ac:dyDescent="0.25">
      <c r="A33293" s="74">
        <v>38085</v>
      </c>
      <c r="B33293">
        <v>8.27</v>
      </c>
    </row>
    <row r="33294" spans="1:2" x14ac:dyDescent="0.25">
      <c r="A33294" s="74">
        <v>38086</v>
      </c>
      <c r="B33294">
        <v>8.2899999999999991</v>
      </c>
    </row>
    <row r="33295" spans="1:2" x14ac:dyDescent="0.25">
      <c r="A33295" s="74">
        <v>38087</v>
      </c>
      <c r="B33295">
        <v>8.66</v>
      </c>
    </row>
    <row r="33296" spans="1:2" x14ac:dyDescent="0.25">
      <c r="A33296" s="74">
        <v>38088</v>
      </c>
      <c r="B33296">
        <v>10.199999999999999</v>
      </c>
    </row>
    <row r="33297" spans="1:2" x14ac:dyDescent="0.25">
      <c r="A33297" s="74">
        <v>38089</v>
      </c>
      <c r="B33297">
        <v>12.3</v>
      </c>
    </row>
    <row r="33298" spans="1:2" x14ac:dyDescent="0.25">
      <c r="A33298" s="74">
        <v>38090</v>
      </c>
      <c r="B33298">
        <v>11.6</v>
      </c>
    </row>
    <row r="33299" spans="1:2" x14ac:dyDescent="0.25">
      <c r="A33299" s="74">
        <v>38091</v>
      </c>
      <c r="B33299">
        <v>11.6</v>
      </c>
    </row>
    <row r="33300" spans="1:2" x14ac:dyDescent="0.25">
      <c r="A33300" s="74">
        <v>38092</v>
      </c>
      <c r="B33300">
        <v>11.6</v>
      </c>
    </row>
    <row r="33301" spans="1:2" x14ac:dyDescent="0.25">
      <c r="A33301" s="74">
        <v>38093</v>
      </c>
      <c r="B33301">
        <v>9.9</v>
      </c>
    </row>
    <row r="33302" spans="1:2" x14ac:dyDescent="0.25">
      <c r="A33302" s="74">
        <v>38094</v>
      </c>
      <c r="B33302">
        <v>9.36</v>
      </c>
    </row>
    <row r="33303" spans="1:2" x14ac:dyDescent="0.25">
      <c r="A33303" s="74">
        <v>38095</v>
      </c>
      <c r="B33303">
        <v>8.08</v>
      </c>
    </row>
    <row r="33304" spans="1:2" x14ac:dyDescent="0.25">
      <c r="A33304" s="74">
        <v>38096</v>
      </c>
      <c r="B33304">
        <v>7.42</v>
      </c>
    </row>
    <row r="33305" spans="1:2" x14ac:dyDescent="0.25">
      <c r="A33305" s="74">
        <v>38097</v>
      </c>
      <c r="B33305">
        <v>9.14</v>
      </c>
    </row>
    <row r="33306" spans="1:2" x14ac:dyDescent="0.25">
      <c r="A33306" s="74">
        <v>38098</v>
      </c>
      <c r="B33306">
        <v>10.1</v>
      </c>
    </row>
    <row r="33307" spans="1:2" x14ac:dyDescent="0.25">
      <c r="A33307" s="74">
        <v>38099</v>
      </c>
      <c r="B33307">
        <v>9.1</v>
      </c>
    </row>
    <row r="33308" spans="1:2" x14ac:dyDescent="0.25">
      <c r="A33308" s="74">
        <v>38100</v>
      </c>
      <c r="B33308">
        <v>9.07</v>
      </c>
    </row>
    <row r="33309" spans="1:2" x14ac:dyDescent="0.25">
      <c r="A33309" s="74">
        <v>38101</v>
      </c>
      <c r="B33309">
        <v>8.65</v>
      </c>
    </row>
    <row r="33310" spans="1:2" x14ac:dyDescent="0.25">
      <c r="A33310" s="74">
        <v>38102</v>
      </c>
      <c r="B33310">
        <v>7.54</v>
      </c>
    </row>
    <row r="33311" spans="1:2" x14ac:dyDescent="0.25">
      <c r="A33311" s="74">
        <v>38103</v>
      </c>
      <c r="B33311">
        <v>7.64</v>
      </c>
    </row>
    <row r="33312" spans="1:2" x14ac:dyDescent="0.25">
      <c r="A33312" s="74">
        <v>38104</v>
      </c>
      <c r="B33312">
        <v>10.3</v>
      </c>
    </row>
    <row r="33313" spans="1:2" x14ac:dyDescent="0.25">
      <c r="A33313" s="74">
        <v>38105</v>
      </c>
      <c r="B33313">
        <v>9.31</v>
      </c>
    </row>
    <row r="33314" spans="1:2" x14ac:dyDescent="0.25">
      <c r="A33314" s="74">
        <v>38106</v>
      </c>
      <c r="B33314">
        <v>8.0299999999999994</v>
      </c>
    </row>
    <row r="33315" spans="1:2" x14ac:dyDescent="0.25">
      <c r="A33315" s="74">
        <v>38107</v>
      </c>
      <c r="B33315">
        <v>8.17</v>
      </c>
    </row>
    <row r="33316" spans="1:2" x14ac:dyDescent="0.25">
      <c r="A33316" s="74">
        <v>38108</v>
      </c>
      <c r="B33316">
        <v>10</v>
      </c>
    </row>
    <row r="33317" spans="1:2" x14ac:dyDescent="0.25">
      <c r="A33317" s="74">
        <v>38109</v>
      </c>
      <c r="B33317">
        <v>11.4</v>
      </c>
    </row>
    <row r="33318" spans="1:2" x14ac:dyDescent="0.25">
      <c r="A33318" s="74">
        <v>38110</v>
      </c>
      <c r="B33318">
        <v>10.3</v>
      </c>
    </row>
    <row r="33319" spans="1:2" x14ac:dyDescent="0.25">
      <c r="A33319" s="74">
        <v>38111</v>
      </c>
      <c r="B33319">
        <v>9.2100000000000009</v>
      </c>
    </row>
    <row r="33320" spans="1:2" x14ac:dyDescent="0.25">
      <c r="A33320" s="74">
        <v>38112</v>
      </c>
      <c r="B33320">
        <v>7.67</v>
      </c>
    </row>
    <row r="33321" spans="1:2" x14ac:dyDescent="0.25">
      <c r="A33321" s="74">
        <v>38113</v>
      </c>
      <c r="B33321">
        <v>6.73</v>
      </c>
    </row>
    <row r="33322" spans="1:2" x14ac:dyDescent="0.25">
      <c r="A33322" s="74">
        <v>38114</v>
      </c>
      <c r="B33322">
        <v>6.07</v>
      </c>
    </row>
    <row r="33323" spans="1:2" x14ac:dyDescent="0.25">
      <c r="A33323" s="74">
        <v>38115</v>
      </c>
      <c r="B33323">
        <v>6.01</v>
      </c>
    </row>
    <row r="33324" spans="1:2" x14ac:dyDescent="0.25">
      <c r="A33324" s="74">
        <v>38116</v>
      </c>
      <c r="B33324">
        <v>5.93</v>
      </c>
    </row>
    <row r="33325" spans="1:2" x14ac:dyDescent="0.25">
      <c r="A33325" s="74">
        <v>38117</v>
      </c>
      <c r="B33325">
        <v>6.12</v>
      </c>
    </row>
    <row r="33326" spans="1:2" x14ac:dyDescent="0.25">
      <c r="A33326" s="74">
        <v>38118</v>
      </c>
      <c r="B33326">
        <v>5.9</v>
      </c>
    </row>
    <row r="33327" spans="1:2" x14ac:dyDescent="0.25">
      <c r="A33327" s="74">
        <v>38119</v>
      </c>
      <c r="B33327">
        <v>6.12</v>
      </c>
    </row>
    <row r="33328" spans="1:2" x14ac:dyDescent="0.25">
      <c r="A33328" s="74">
        <v>38120</v>
      </c>
      <c r="B33328">
        <v>5.88</v>
      </c>
    </row>
    <row r="33329" spans="1:2" x14ac:dyDescent="0.25">
      <c r="A33329" s="74">
        <v>38121</v>
      </c>
      <c r="B33329">
        <v>5.84</v>
      </c>
    </row>
    <row r="33330" spans="1:2" x14ac:dyDescent="0.25">
      <c r="A33330" s="74">
        <v>38122</v>
      </c>
      <c r="B33330">
        <v>5.8</v>
      </c>
    </row>
    <row r="33331" spans="1:2" x14ac:dyDescent="0.25">
      <c r="A33331" s="74">
        <v>38123</v>
      </c>
      <c r="B33331">
        <v>5.65</v>
      </c>
    </row>
    <row r="33332" spans="1:2" x14ac:dyDescent="0.25">
      <c r="A33332" s="74">
        <v>38124</v>
      </c>
      <c r="B33332">
        <v>5.28</v>
      </c>
    </row>
    <row r="33333" spans="1:2" x14ac:dyDescent="0.25">
      <c r="A33333" s="74">
        <v>38125</v>
      </c>
      <c r="B33333">
        <v>5.85</v>
      </c>
    </row>
    <row r="33334" spans="1:2" x14ac:dyDescent="0.25">
      <c r="A33334" s="74">
        <v>38126</v>
      </c>
      <c r="B33334">
        <v>6.62</v>
      </c>
    </row>
    <row r="33335" spans="1:2" x14ac:dyDescent="0.25">
      <c r="A33335" s="74">
        <v>38127</v>
      </c>
      <c r="B33335">
        <v>6.63</v>
      </c>
    </row>
    <row r="33336" spans="1:2" x14ac:dyDescent="0.25">
      <c r="A33336" s="74">
        <v>38128</v>
      </c>
      <c r="B33336">
        <v>7.01</v>
      </c>
    </row>
    <row r="33337" spans="1:2" x14ac:dyDescent="0.25">
      <c r="A33337" s="74">
        <v>38129</v>
      </c>
      <c r="B33337">
        <v>6.76</v>
      </c>
    </row>
    <row r="33338" spans="1:2" x14ac:dyDescent="0.25">
      <c r="A33338" s="74">
        <v>38130</v>
      </c>
      <c r="B33338">
        <v>5.81</v>
      </c>
    </row>
    <row r="33339" spans="1:2" x14ac:dyDescent="0.25">
      <c r="A33339" s="74">
        <v>38131</v>
      </c>
      <c r="B33339">
        <v>4.7300000000000004</v>
      </c>
    </row>
    <row r="33340" spans="1:2" x14ac:dyDescent="0.25">
      <c r="A33340" s="74">
        <v>38132</v>
      </c>
      <c r="B33340">
        <v>4.4400000000000004</v>
      </c>
    </row>
    <row r="33341" spans="1:2" x14ac:dyDescent="0.25">
      <c r="A33341" s="74">
        <v>38133</v>
      </c>
      <c r="B33341">
        <v>5.71</v>
      </c>
    </row>
    <row r="33342" spans="1:2" x14ac:dyDescent="0.25">
      <c r="A33342" s="74">
        <v>38134</v>
      </c>
      <c r="B33342">
        <v>5.69</v>
      </c>
    </row>
    <row r="33343" spans="1:2" x14ac:dyDescent="0.25">
      <c r="A33343" s="74">
        <v>38135</v>
      </c>
      <c r="B33343">
        <v>5.47</v>
      </c>
    </row>
    <row r="33344" spans="1:2" x14ac:dyDescent="0.25">
      <c r="A33344" s="74">
        <v>38136</v>
      </c>
      <c r="B33344">
        <v>4.3099999999999996</v>
      </c>
    </row>
    <row r="33345" spans="1:2" x14ac:dyDescent="0.25">
      <c r="A33345" s="74">
        <v>38137</v>
      </c>
      <c r="B33345">
        <v>3.76</v>
      </c>
    </row>
    <row r="33346" spans="1:2" x14ac:dyDescent="0.25">
      <c r="A33346" s="74">
        <v>38138</v>
      </c>
      <c r="B33346">
        <v>3.61</v>
      </c>
    </row>
    <row r="33347" spans="1:2" x14ac:dyDescent="0.25">
      <c r="A33347" s="74">
        <v>38139</v>
      </c>
      <c r="B33347">
        <v>3.43</v>
      </c>
    </row>
    <row r="33348" spans="1:2" x14ac:dyDescent="0.25">
      <c r="A33348" s="74">
        <v>38140</v>
      </c>
      <c r="B33348">
        <v>3.2</v>
      </c>
    </row>
    <row r="33349" spans="1:2" x14ac:dyDescent="0.25">
      <c r="A33349" s="74">
        <v>38141</v>
      </c>
      <c r="B33349">
        <v>2.93</v>
      </c>
    </row>
    <row r="33350" spans="1:2" x14ac:dyDescent="0.25">
      <c r="A33350" s="74">
        <v>38142</v>
      </c>
      <c r="B33350">
        <v>2.99</v>
      </c>
    </row>
    <row r="33351" spans="1:2" x14ac:dyDescent="0.25">
      <c r="A33351" s="74">
        <v>38143</v>
      </c>
      <c r="B33351">
        <v>3.57</v>
      </c>
    </row>
    <row r="33352" spans="1:2" x14ac:dyDescent="0.25">
      <c r="A33352" s="74">
        <v>38144</v>
      </c>
      <c r="B33352">
        <v>3.84</v>
      </c>
    </row>
    <row r="33353" spans="1:2" x14ac:dyDescent="0.25">
      <c r="A33353" s="74">
        <v>38145</v>
      </c>
      <c r="B33353">
        <v>3.93</v>
      </c>
    </row>
    <row r="33354" spans="1:2" x14ac:dyDescent="0.25">
      <c r="A33354" s="74">
        <v>38146</v>
      </c>
      <c r="B33354">
        <v>3.39</v>
      </c>
    </row>
    <row r="33355" spans="1:2" x14ac:dyDescent="0.25">
      <c r="A33355" s="74">
        <v>38147</v>
      </c>
      <c r="B33355">
        <v>3.7</v>
      </c>
    </row>
    <row r="33356" spans="1:2" x14ac:dyDescent="0.25">
      <c r="A33356" s="74">
        <v>38148</v>
      </c>
      <c r="B33356">
        <v>3.72</v>
      </c>
    </row>
    <row r="33357" spans="1:2" x14ac:dyDescent="0.25">
      <c r="A33357" s="74">
        <v>38149</v>
      </c>
      <c r="B33357">
        <v>3.29</v>
      </c>
    </row>
    <row r="33358" spans="1:2" x14ac:dyDescent="0.25">
      <c r="A33358" s="74">
        <v>38150</v>
      </c>
      <c r="B33358">
        <v>2.89</v>
      </c>
    </row>
    <row r="33359" spans="1:2" x14ac:dyDescent="0.25">
      <c r="A33359" s="74">
        <v>38151</v>
      </c>
      <c r="B33359">
        <v>3.96</v>
      </c>
    </row>
    <row r="33360" spans="1:2" x14ac:dyDescent="0.25">
      <c r="A33360" s="74">
        <v>38152</v>
      </c>
      <c r="B33360">
        <v>3.99</v>
      </c>
    </row>
    <row r="33361" spans="1:2" x14ac:dyDescent="0.25">
      <c r="A33361" s="74">
        <v>38153</v>
      </c>
      <c r="B33361">
        <v>3.22</v>
      </c>
    </row>
    <row r="33362" spans="1:2" x14ac:dyDescent="0.25">
      <c r="A33362" s="74">
        <v>38154</v>
      </c>
      <c r="B33362">
        <v>2.67</v>
      </c>
    </row>
    <row r="33363" spans="1:2" x14ac:dyDescent="0.25">
      <c r="A33363" s="74">
        <v>38155</v>
      </c>
      <c r="B33363">
        <v>2.48</v>
      </c>
    </row>
    <row r="33364" spans="1:2" x14ac:dyDescent="0.25">
      <c r="A33364" s="74">
        <v>38156</v>
      </c>
      <c r="B33364">
        <v>2.62</v>
      </c>
    </row>
    <row r="33365" spans="1:2" x14ac:dyDescent="0.25">
      <c r="A33365" s="74">
        <v>38157</v>
      </c>
      <c r="B33365">
        <v>2.62</v>
      </c>
    </row>
    <row r="33366" spans="1:2" x14ac:dyDescent="0.25">
      <c r="A33366" s="74">
        <v>38158</v>
      </c>
      <c r="B33366">
        <v>2.48</v>
      </c>
    </row>
    <row r="33367" spans="1:2" x14ac:dyDescent="0.25">
      <c r="A33367" s="74">
        <v>38159</v>
      </c>
      <c r="B33367">
        <v>2.4300000000000002</v>
      </c>
    </row>
    <row r="33368" spans="1:2" x14ac:dyDescent="0.25">
      <c r="A33368" s="74">
        <v>38160</v>
      </c>
      <c r="B33368">
        <v>2.4</v>
      </c>
    </row>
    <row r="33369" spans="1:2" x14ac:dyDescent="0.25">
      <c r="A33369" s="74">
        <v>38161</v>
      </c>
      <c r="B33369">
        <v>2.36</v>
      </c>
    </row>
    <row r="33370" spans="1:2" x14ac:dyDescent="0.25">
      <c r="A33370" s="74">
        <v>38162</v>
      </c>
      <c r="B33370">
        <v>2.38</v>
      </c>
    </row>
    <row r="33371" spans="1:2" x14ac:dyDescent="0.25">
      <c r="A33371" s="74">
        <v>38163</v>
      </c>
      <c r="B33371">
        <v>2.27</v>
      </c>
    </row>
    <row r="33372" spans="1:2" x14ac:dyDescent="0.25">
      <c r="A33372" s="74">
        <v>38164</v>
      </c>
      <c r="B33372">
        <v>2.04</v>
      </c>
    </row>
    <row r="33373" spans="1:2" x14ac:dyDescent="0.25">
      <c r="A33373" s="74">
        <v>38165</v>
      </c>
      <c r="B33373">
        <v>1.8</v>
      </c>
    </row>
    <row r="33374" spans="1:2" x14ac:dyDescent="0.25">
      <c r="A33374" s="74">
        <v>38166</v>
      </c>
      <c r="B33374">
        <v>1.61</v>
      </c>
    </row>
    <row r="33375" spans="1:2" x14ac:dyDescent="0.25">
      <c r="A33375" s="74">
        <v>38167</v>
      </c>
      <c r="B33375">
        <v>1.59</v>
      </c>
    </row>
    <row r="33376" spans="1:2" x14ac:dyDescent="0.25">
      <c r="A33376" s="74">
        <v>38168</v>
      </c>
      <c r="B33376">
        <v>1.64</v>
      </c>
    </row>
    <row r="33377" spans="1:2" x14ac:dyDescent="0.25">
      <c r="A33377" s="74">
        <v>38169</v>
      </c>
      <c r="B33377">
        <v>1.96</v>
      </c>
    </row>
    <row r="33378" spans="1:2" x14ac:dyDescent="0.25">
      <c r="A33378" s="74">
        <v>38170</v>
      </c>
      <c r="B33378">
        <v>2.13</v>
      </c>
    </row>
    <row r="33379" spans="1:2" x14ac:dyDescent="0.25">
      <c r="A33379" s="74">
        <v>38171</v>
      </c>
      <c r="B33379">
        <v>2.0699999999999998</v>
      </c>
    </row>
    <row r="33380" spans="1:2" x14ac:dyDescent="0.25">
      <c r="A33380" s="74">
        <v>38172</v>
      </c>
      <c r="B33380">
        <v>2</v>
      </c>
    </row>
    <row r="33381" spans="1:2" x14ac:dyDescent="0.25">
      <c r="A33381" s="74">
        <v>38173</v>
      </c>
      <c r="B33381">
        <v>1.95</v>
      </c>
    </row>
    <row r="33382" spans="1:2" x14ac:dyDescent="0.25">
      <c r="A33382" s="74">
        <v>38174</v>
      </c>
      <c r="B33382">
        <v>1.93</v>
      </c>
    </row>
    <row r="33383" spans="1:2" x14ac:dyDescent="0.25">
      <c r="A33383" s="74">
        <v>38175</v>
      </c>
      <c r="B33383">
        <v>1.98</v>
      </c>
    </row>
    <row r="33384" spans="1:2" x14ac:dyDescent="0.25">
      <c r="A33384" s="74">
        <v>38176</v>
      </c>
      <c r="B33384">
        <v>1.95</v>
      </c>
    </row>
    <row r="33385" spans="1:2" x14ac:dyDescent="0.25">
      <c r="A33385" s="74">
        <v>38177</v>
      </c>
      <c r="B33385">
        <v>2.21</v>
      </c>
    </row>
    <row r="33386" spans="1:2" x14ac:dyDescent="0.25">
      <c r="A33386" s="74">
        <v>38178</v>
      </c>
      <c r="B33386">
        <v>2.5</v>
      </c>
    </row>
    <row r="33387" spans="1:2" x14ac:dyDescent="0.25">
      <c r="A33387" s="74">
        <v>38179</v>
      </c>
      <c r="B33387">
        <v>2.5299999999999998</v>
      </c>
    </row>
    <row r="33388" spans="1:2" x14ac:dyDescent="0.25">
      <c r="A33388" s="74">
        <v>38180</v>
      </c>
      <c r="B33388">
        <v>2.21</v>
      </c>
    </row>
    <row r="33389" spans="1:2" x14ac:dyDescent="0.25">
      <c r="A33389" s="74">
        <v>38181</v>
      </c>
      <c r="B33389">
        <v>2.08</v>
      </c>
    </row>
    <row r="33390" spans="1:2" x14ac:dyDescent="0.25">
      <c r="A33390" s="74">
        <v>38182</v>
      </c>
      <c r="B33390">
        <v>2.0499999999999998</v>
      </c>
    </row>
    <row r="33391" spans="1:2" x14ac:dyDescent="0.25">
      <c r="A33391" s="74">
        <v>38183</v>
      </c>
      <c r="B33391">
        <v>1.98</v>
      </c>
    </row>
    <row r="33392" spans="1:2" x14ac:dyDescent="0.25">
      <c r="A33392" s="74">
        <v>38184</v>
      </c>
      <c r="B33392">
        <v>1.96</v>
      </c>
    </row>
    <row r="33393" spans="1:2" x14ac:dyDescent="0.25">
      <c r="A33393" s="74">
        <v>38185</v>
      </c>
      <c r="B33393">
        <v>1.91</v>
      </c>
    </row>
    <row r="33394" spans="1:2" x14ac:dyDescent="0.25">
      <c r="A33394" s="74">
        <v>38186</v>
      </c>
      <c r="B33394">
        <v>1.81</v>
      </c>
    </row>
    <row r="33395" spans="1:2" x14ac:dyDescent="0.25">
      <c r="A33395" s="74">
        <v>38187</v>
      </c>
      <c r="B33395">
        <v>1.7</v>
      </c>
    </row>
    <row r="33396" spans="1:2" x14ac:dyDescent="0.25">
      <c r="A33396" s="74">
        <v>38188</v>
      </c>
      <c r="B33396">
        <v>2.0099999999999998</v>
      </c>
    </row>
    <row r="33397" spans="1:2" x14ac:dyDescent="0.25">
      <c r="A33397" s="74">
        <v>38189</v>
      </c>
      <c r="B33397">
        <v>1.96</v>
      </c>
    </row>
    <row r="33398" spans="1:2" x14ac:dyDescent="0.25">
      <c r="A33398" s="74">
        <v>38190</v>
      </c>
      <c r="B33398">
        <v>1.89</v>
      </c>
    </row>
    <row r="33399" spans="1:2" x14ac:dyDescent="0.25">
      <c r="A33399" s="74">
        <v>38191</v>
      </c>
      <c r="B33399">
        <v>2.11</v>
      </c>
    </row>
    <row r="33400" spans="1:2" x14ac:dyDescent="0.25">
      <c r="A33400" s="74">
        <v>38192</v>
      </c>
      <c r="B33400">
        <v>2.19</v>
      </c>
    </row>
    <row r="33401" spans="1:2" x14ac:dyDescent="0.25">
      <c r="A33401" s="74">
        <v>38193</v>
      </c>
      <c r="B33401">
        <v>2.2000000000000002</v>
      </c>
    </row>
    <row r="33402" spans="1:2" x14ac:dyDescent="0.25">
      <c r="A33402" s="74">
        <v>38194</v>
      </c>
      <c r="B33402">
        <v>2.15</v>
      </c>
    </row>
    <row r="33403" spans="1:2" x14ac:dyDescent="0.25">
      <c r="A33403" s="74">
        <v>38195</v>
      </c>
      <c r="B33403">
        <v>2.12</v>
      </c>
    </row>
    <row r="33404" spans="1:2" x14ac:dyDescent="0.25">
      <c r="A33404" s="74">
        <v>38196</v>
      </c>
      <c r="B33404">
        <v>2.0699999999999998</v>
      </c>
    </row>
    <row r="33405" spans="1:2" x14ac:dyDescent="0.25">
      <c r="A33405" s="74">
        <v>38197</v>
      </c>
      <c r="B33405">
        <v>2.1</v>
      </c>
    </row>
    <row r="33406" spans="1:2" x14ac:dyDescent="0.25">
      <c r="A33406" s="74">
        <v>38198</v>
      </c>
      <c r="B33406">
        <v>2.0299999999999998</v>
      </c>
    </row>
    <row r="33407" spans="1:2" x14ac:dyDescent="0.25">
      <c r="A33407" s="74">
        <v>38199</v>
      </c>
      <c r="B33407">
        <v>2.08</v>
      </c>
    </row>
    <row r="33408" spans="1:2" x14ac:dyDescent="0.25">
      <c r="A33408" s="74">
        <v>38200</v>
      </c>
      <c r="B33408">
        <v>2.0699999999999998</v>
      </c>
    </row>
    <row r="33409" spans="1:2" x14ac:dyDescent="0.25">
      <c r="A33409" s="74">
        <v>38201</v>
      </c>
      <c r="B33409">
        <v>2.0299999999999998</v>
      </c>
    </row>
    <row r="33410" spans="1:2" x14ac:dyDescent="0.25">
      <c r="A33410" s="74">
        <v>38202</v>
      </c>
      <c r="B33410">
        <v>2.09</v>
      </c>
    </row>
    <row r="33411" spans="1:2" x14ac:dyDescent="0.25">
      <c r="A33411" s="74">
        <v>38203</v>
      </c>
      <c r="B33411">
        <v>2.02</v>
      </c>
    </row>
    <row r="33412" spans="1:2" x14ac:dyDescent="0.25">
      <c r="A33412" s="74">
        <v>38204</v>
      </c>
      <c r="B33412">
        <v>2.04</v>
      </c>
    </row>
    <row r="33413" spans="1:2" x14ac:dyDescent="0.25">
      <c r="A33413" s="74">
        <v>38205</v>
      </c>
      <c r="B33413">
        <v>2.62</v>
      </c>
    </row>
    <row r="33414" spans="1:2" x14ac:dyDescent="0.25">
      <c r="A33414" s="74">
        <v>38206</v>
      </c>
      <c r="B33414">
        <v>2.59</v>
      </c>
    </row>
    <row r="33415" spans="1:2" x14ac:dyDescent="0.25">
      <c r="A33415" s="74">
        <v>38207</v>
      </c>
      <c r="B33415">
        <v>2.27</v>
      </c>
    </row>
    <row r="33416" spans="1:2" x14ac:dyDescent="0.25">
      <c r="A33416" s="74">
        <v>38208</v>
      </c>
      <c r="B33416">
        <v>2.02</v>
      </c>
    </row>
    <row r="33417" spans="1:2" x14ac:dyDescent="0.25">
      <c r="A33417" s="74">
        <v>38209</v>
      </c>
      <c r="B33417">
        <v>1.86</v>
      </c>
    </row>
    <row r="33418" spans="1:2" x14ac:dyDescent="0.25">
      <c r="A33418" s="74">
        <v>38210</v>
      </c>
      <c r="B33418">
        <v>1.76</v>
      </c>
    </row>
    <row r="33419" spans="1:2" x14ac:dyDescent="0.25">
      <c r="A33419" s="74">
        <v>38211</v>
      </c>
      <c r="B33419">
        <v>1.7</v>
      </c>
    </row>
    <row r="33420" spans="1:2" x14ac:dyDescent="0.25">
      <c r="A33420" s="74">
        <v>38212</v>
      </c>
      <c r="B33420">
        <v>1.64</v>
      </c>
    </row>
    <row r="33421" spans="1:2" x14ac:dyDescent="0.25">
      <c r="A33421" s="74">
        <v>38213</v>
      </c>
      <c r="B33421">
        <v>1.52</v>
      </c>
    </row>
    <row r="33422" spans="1:2" x14ac:dyDescent="0.25">
      <c r="A33422" s="74">
        <v>38214</v>
      </c>
      <c r="B33422">
        <v>1.55</v>
      </c>
    </row>
    <row r="33423" spans="1:2" x14ac:dyDescent="0.25">
      <c r="A33423" s="74">
        <v>38215</v>
      </c>
      <c r="B33423">
        <v>1.64</v>
      </c>
    </row>
    <row r="33424" spans="1:2" x14ac:dyDescent="0.25">
      <c r="A33424" s="74">
        <v>38216</v>
      </c>
      <c r="B33424">
        <v>1.52</v>
      </c>
    </row>
    <row r="33425" spans="1:2" x14ac:dyDescent="0.25">
      <c r="A33425" s="74">
        <v>38217</v>
      </c>
      <c r="B33425">
        <v>1.54</v>
      </c>
    </row>
    <row r="33426" spans="1:2" x14ac:dyDescent="0.25">
      <c r="A33426" s="74">
        <v>38218</v>
      </c>
      <c r="B33426">
        <v>1.48</v>
      </c>
    </row>
    <row r="33427" spans="1:2" x14ac:dyDescent="0.25">
      <c r="A33427" s="74">
        <v>38219</v>
      </c>
      <c r="B33427">
        <v>1.51</v>
      </c>
    </row>
    <row r="33428" spans="1:2" x14ac:dyDescent="0.25">
      <c r="A33428" s="74">
        <v>38220</v>
      </c>
      <c r="B33428">
        <v>1.65</v>
      </c>
    </row>
    <row r="33429" spans="1:2" x14ac:dyDescent="0.25">
      <c r="A33429" s="74">
        <v>38221</v>
      </c>
      <c r="B33429">
        <v>1.62</v>
      </c>
    </row>
    <row r="33430" spans="1:2" x14ac:dyDescent="0.25">
      <c r="A33430" s="74">
        <v>38222</v>
      </c>
      <c r="B33430">
        <v>1.56</v>
      </c>
    </row>
    <row r="33431" spans="1:2" x14ac:dyDescent="0.25">
      <c r="A33431" s="74">
        <v>38223</v>
      </c>
      <c r="B33431">
        <v>1.55</v>
      </c>
    </row>
    <row r="33432" spans="1:2" x14ac:dyDescent="0.25">
      <c r="A33432" s="74">
        <v>38224</v>
      </c>
      <c r="B33432">
        <v>1.72</v>
      </c>
    </row>
    <row r="33433" spans="1:2" x14ac:dyDescent="0.25">
      <c r="A33433" s="74">
        <v>38225</v>
      </c>
      <c r="B33433">
        <v>2.12</v>
      </c>
    </row>
    <row r="33434" spans="1:2" x14ac:dyDescent="0.25">
      <c r="A33434" s="74">
        <v>38226</v>
      </c>
      <c r="B33434">
        <v>2.12</v>
      </c>
    </row>
    <row r="33435" spans="1:2" x14ac:dyDescent="0.25">
      <c r="A33435" s="74">
        <v>38227</v>
      </c>
      <c r="B33435">
        <v>1.82</v>
      </c>
    </row>
    <row r="33436" spans="1:2" x14ac:dyDescent="0.25">
      <c r="A33436" s="74">
        <v>38228</v>
      </c>
      <c r="B33436">
        <v>1.77</v>
      </c>
    </row>
    <row r="33437" spans="1:2" x14ac:dyDescent="0.25">
      <c r="A33437" s="74">
        <v>38229</v>
      </c>
      <c r="B33437">
        <v>1.75</v>
      </c>
    </row>
    <row r="33438" spans="1:2" x14ac:dyDescent="0.25">
      <c r="A33438" s="74">
        <v>38230</v>
      </c>
      <c r="B33438">
        <v>1.66</v>
      </c>
    </row>
    <row r="33439" spans="1:2" x14ac:dyDescent="0.25">
      <c r="A33439" s="74">
        <v>38231</v>
      </c>
      <c r="B33439">
        <v>1.63</v>
      </c>
    </row>
    <row r="33440" spans="1:2" x14ac:dyDescent="0.25">
      <c r="A33440" s="74">
        <v>38232</v>
      </c>
      <c r="B33440">
        <v>1.5</v>
      </c>
    </row>
    <row r="33441" spans="1:2" x14ac:dyDescent="0.25">
      <c r="A33441" s="74">
        <v>38233</v>
      </c>
      <c r="B33441">
        <v>1.4</v>
      </c>
    </row>
    <row r="33442" spans="1:2" x14ac:dyDescent="0.25">
      <c r="A33442" s="74">
        <v>38234</v>
      </c>
      <c r="B33442">
        <v>1.4</v>
      </c>
    </row>
    <row r="33443" spans="1:2" x14ac:dyDescent="0.25">
      <c r="A33443" s="74">
        <v>38235</v>
      </c>
      <c r="B33443">
        <v>1.32</v>
      </c>
    </row>
    <row r="33444" spans="1:2" x14ac:dyDescent="0.25">
      <c r="A33444" s="74">
        <v>38236</v>
      </c>
      <c r="B33444">
        <v>1.24</v>
      </c>
    </row>
    <row r="33445" spans="1:2" x14ac:dyDescent="0.25">
      <c r="A33445" s="74">
        <v>38237</v>
      </c>
      <c r="B33445">
        <v>1.1499999999999999</v>
      </c>
    </row>
    <row r="33446" spans="1:2" x14ac:dyDescent="0.25">
      <c r="A33446" s="74">
        <v>38238</v>
      </c>
      <c r="B33446">
        <v>1.17</v>
      </c>
    </row>
    <row r="33447" spans="1:2" x14ac:dyDescent="0.25">
      <c r="A33447" s="74">
        <v>38239</v>
      </c>
      <c r="B33447">
        <v>1.1599999999999999</v>
      </c>
    </row>
    <row r="33448" spans="1:2" x14ac:dyDescent="0.25">
      <c r="A33448" s="74">
        <v>38240</v>
      </c>
      <c r="B33448">
        <v>1.24</v>
      </c>
    </row>
    <row r="33449" spans="1:2" x14ac:dyDescent="0.25">
      <c r="A33449" s="74">
        <v>38241</v>
      </c>
      <c r="B33449">
        <v>4.22</v>
      </c>
    </row>
    <row r="33450" spans="1:2" x14ac:dyDescent="0.25">
      <c r="A33450" s="74">
        <v>38242</v>
      </c>
      <c r="B33450">
        <v>3.58</v>
      </c>
    </row>
    <row r="33451" spans="1:2" x14ac:dyDescent="0.25">
      <c r="A33451" s="74">
        <v>38243</v>
      </c>
      <c r="B33451">
        <v>2.75</v>
      </c>
    </row>
    <row r="33452" spans="1:2" x14ac:dyDescent="0.25">
      <c r="A33452" s="74">
        <v>38244</v>
      </c>
      <c r="B33452">
        <v>2.46</v>
      </c>
    </row>
    <row r="33453" spans="1:2" x14ac:dyDescent="0.25">
      <c r="A33453" s="74">
        <v>38245</v>
      </c>
      <c r="B33453">
        <v>3.01</v>
      </c>
    </row>
    <row r="33454" spans="1:2" x14ac:dyDescent="0.25">
      <c r="A33454" s="74">
        <v>38246</v>
      </c>
      <c r="B33454">
        <v>3.18</v>
      </c>
    </row>
    <row r="33455" spans="1:2" x14ac:dyDescent="0.25">
      <c r="A33455" s="74">
        <v>38247</v>
      </c>
      <c r="B33455">
        <v>5.27</v>
      </c>
    </row>
    <row r="33456" spans="1:2" x14ac:dyDescent="0.25">
      <c r="A33456" s="74">
        <v>38248</v>
      </c>
      <c r="B33456">
        <v>8.8699999999999992</v>
      </c>
    </row>
    <row r="33457" spans="1:2" x14ac:dyDescent="0.25">
      <c r="A33457" s="74">
        <v>38249</v>
      </c>
      <c r="B33457">
        <v>9.01</v>
      </c>
    </row>
    <row r="33458" spans="1:2" x14ac:dyDescent="0.25">
      <c r="A33458" s="74">
        <v>38250</v>
      </c>
      <c r="B33458">
        <v>6.25</v>
      </c>
    </row>
    <row r="33459" spans="1:2" x14ac:dyDescent="0.25">
      <c r="A33459" s="74">
        <v>38251</v>
      </c>
      <c r="B33459">
        <v>4.49</v>
      </c>
    </row>
    <row r="33460" spans="1:2" x14ac:dyDescent="0.25">
      <c r="A33460" s="74">
        <v>38252</v>
      </c>
      <c r="B33460">
        <v>3.51</v>
      </c>
    </row>
    <row r="33461" spans="1:2" x14ac:dyDescent="0.25">
      <c r="A33461" s="74">
        <v>38253</v>
      </c>
      <c r="B33461">
        <v>2.93</v>
      </c>
    </row>
    <row r="33462" spans="1:2" x14ac:dyDescent="0.25">
      <c r="A33462" s="74">
        <v>38254</v>
      </c>
      <c r="B33462">
        <v>2.4900000000000002</v>
      </c>
    </row>
    <row r="33463" spans="1:2" x14ac:dyDescent="0.25">
      <c r="A33463" s="74">
        <v>38255</v>
      </c>
      <c r="B33463">
        <v>2.17</v>
      </c>
    </row>
    <row r="33464" spans="1:2" x14ac:dyDescent="0.25">
      <c r="A33464" s="74">
        <v>38256</v>
      </c>
      <c r="B33464">
        <v>1.9</v>
      </c>
    </row>
    <row r="33465" spans="1:2" x14ac:dyDescent="0.25">
      <c r="A33465" s="74">
        <v>38257</v>
      </c>
      <c r="B33465">
        <v>1.69</v>
      </c>
    </row>
    <row r="33466" spans="1:2" x14ac:dyDescent="0.25">
      <c r="A33466" s="74">
        <v>38258</v>
      </c>
      <c r="B33466">
        <v>1.53</v>
      </c>
    </row>
    <row r="33467" spans="1:2" x14ac:dyDescent="0.25">
      <c r="A33467" s="74">
        <v>38259</v>
      </c>
      <c r="B33467">
        <v>2.0499999999999998</v>
      </c>
    </row>
    <row r="33468" spans="1:2" x14ac:dyDescent="0.25">
      <c r="A33468" s="74">
        <v>38260</v>
      </c>
      <c r="B33468">
        <v>2.0699999999999998</v>
      </c>
    </row>
    <row r="33469" spans="1:2" x14ac:dyDescent="0.25">
      <c r="A33469" s="74">
        <v>38261</v>
      </c>
      <c r="B33469">
        <v>1.94</v>
      </c>
    </row>
    <row r="33470" spans="1:2" x14ac:dyDescent="0.25">
      <c r="A33470" s="74">
        <v>38262</v>
      </c>
      <c r="B33470">
        <v>1.82</v>
      </c>
    </row>
    <row r="33471" spans="1:2" x14ac:dyDescent="0.25">
      <c r="A33471" s="74">
        <v>38263</v>
      </c>
      <c r="B33471">
        <v>1.69</v>
      </c>
    </row>
    <row r="33472" spans="1:2" x14ac:dyDescent="0.25">
      <c r="A33472" s="74">
        <v>38264</v>
      </c>
      <c r="B33472">
        <v>1.55</v>
      </c>
    </row>
    <row r="33473" spans="1:2" x14ac:dyDescent="0.25">
      <c r="A33473" s="74">
        <v>38265</v>
      </c>
      <c r="B33473">
        <v>1.54</v>
      </c>
    </row>
    <row r="33474" spans="1:2" x14ac:dyDescent="0.25">
      <c r="A33474" s="74">
        <v>38266</v>
      </c>
      <c r="B33474">
        <v>2.3199999999999998</v>
      </c>
    </row>
    <row r="33475" spans="1:2" x14ac:dyDescent="0.25">
      <c r="A33475" s="74">
        <v>38267</v>
      </c>
      <c r="B33475">
        <v>2.5299999999999998</v>
      </c>
    </row>
    <row r="33476" spans="1:2" x14ac:dyDescent="0.25">
      <c r="A33476" s="74">
        <v>38268</v>
      </c>
      <c r="B33476">
        <v>8.99</v>
      </c>
    </row>
    <row r="33477" spans="1:2" x14ac:dyDescent="0.25">
      <c r="A33477" s="74">
        <v>38269</v>
      </c>
      <c r="B33477">
        <v>15.6</v>
      </c>
    </row>
    <row r="33478" spans="1:2" x14ac:dyDescent="0.25">
      <c r="A33478" s="74">
        <v>38270</v>
      </c>
      <c r="B33478">
        <v>12.4</v>
      </c>
    </row>
    <row r="33479" spans="1:2" x14ac:dyDescent="0.25">
      <c r="A33479" s="74">
        <v>38271</v>
      </c>
      <c r="B33479">
        <v>8.77</v>
      </c>
    </row>
    <row r="33480" spans="1:2" x14ac:dyDescent="0.25">
      <c r="A33480" s="74">
        <v>38272</v>
      </c>
      <c r="B33480">
        <v>6.81</v>
      </c>
    </row>
    <row r="33481" spans="1:2" x14ac:dyDescent="0.25">
      <c r="A33481" s="74">
        <v>38273</v>
      </c>
      <c r="B33481">
        <v>5.7</v>
      </c>
    </row>
    <row r="33482" spans="1:2" x14ac:dyDescent="0.25">
      <c r="A33482" s="74">
        <v>38274</v>
      </c>
      <c r="B33482">
        <v>4.9000000000000004</v>
      </c>
    </row>
    <row r="33483" spans="1:2" x14ac:dyDescent="0.25">
      <c r="A33483" s="74">
        <v>38275</v>
      </c>
      <c r="B33483">
        <v>4.3</v>
      </c>
    </row>
    <row r="33484" spans="1:2" x14ac:dyDescent="0.25">
      <c r="A33484" s="74">
        <v>38276</v>
      </c>
      <c r="B33484">
        <v>3.9</v>
      </c>
    </row>
    <row r="33485" spans="1:2" x14ac:dyDescent="0.25">
      <c r="A33485" s="74">
        <v>38277</v>
      </c>
      <c r="B33485">
        <v>3.87</v>
      </c>
    </row>
    <row r="33486" spans="1:2" x14ac:dyDescent="0.25">
      <c r="A33486" s="74">
        <v>38278</v>
      </c>
      <c r="B33486">
        <v>5.69</v>
      </c>
    </row>
    <row r="33487" spans="1:2" x14ac:dyDescent="0.25">
      <c r="A33487" s="74">
        <v>38279</v>
      </c>
      <c r="B33487">
        <v>11</v>
      </c>
    </row>
    <row r="33488" spans="1:2" x14ac:dyDescent="0.25">
      <c r="A33488" s="74">
        <v>38280</v>
      </c>
      <c r="B33488">
        <v>15.4</v>
      </c>
    </row>
    <row r="33489" spans="1:2" x14ac:dyDescent="0.25">
      <c r="A33489" s="74">
        <v>38281</v>
      </c>
      <c r="B33489">
        <v>11.1</v>
      </c>
    </row>
    <row r="33490" spans="1:2" x14ac:dyDescent="0.25">
      <c r="A33490" s="74">
        <v>38282</v>
      </c>
      <c r="B33490">
        <v>8.81</v>
      </c>
    </row>
    <row r="33491" spans="1:2" x14ac:dyDescent="0.25">
      <c r="A33491" s="74">
        <v>38283</v>
      </c>
      <c r="B33491">
        <v>7.69</v>
      </c>
    </row>
    <row r="33492" spans="1:2" x14ac:dyDescent="0.25">
      <c r="A33492" s="74">
        <v>38284</v>
      </c>
      <c r="B33492">
        <v>6.53</v>
      </c>
    </row>
    <row r="33493" spans="1:2" x14ac:dyDescent="0.25">
      <c r="A33493" s="74">
        <v>38285</v>
      </c>
      <c r="B33493">
        <v>19.399999999999999</v>
      </c>
    </row>
    <row r="33494" spans="1:2" x14ac:dyDescent="0.25">
      <c r="A33494" s="74">
        <v>38286</v>
      </c>
      <c r="B33494">
        <v>24.7</v>
      </c>
    </row>
    <row r="33495" spans="1:2" x14ac:dyDescent="0.25">
      <c r="A33495" s="74">
        <v>38287</v>
      </c>
      <c r="B33495">
        <v>16.7</v>
      </c>
    </row>
    <row r="33496" spans="1:2" x14ac:dyDescent="0.25">
      <c r="A33496" s="74">
        <v>38288</v>
      </c>
      <c r="B33496">
        <v>12.7</v>
      </c>
    </row>
    <row r="33497" spans="1:2" x14ac:dyDescent="0.25">
      <c r="A33497" s="74">
        <v>38289</v>
      </c>
      <c r="B33497">
        <v>10.7</v>
      </c>
    </row>
    <row r="33498" spans="1:2" x14ac:dyDescent="0.25">
      <c r="A33498" s="74">
        <v>38290</v>
      </c>
      <c r="B33498">
        <v>21.7</v>
      </c>
    </row>
    <row r="33499" spans="1:2" x14ac:dyDescent="0.25">
      <c r="A33499" s="74">
        <v>38291</v>
      </c>
      <c r="B33499">
        <v>15</v>
      </c>
    </row>
    <row r="33500" spans="1:2" x14ac:dyDescent="0.25">
      <c r="A33500" s="74">
        <v>38292</v>
      </c>
      <c r="B33500">
        <v>13.9</v>
      </c>
    </row>
    <row r="33501" spans="1:2" x14ac:dyDescent="0.25">
      <c r="A33501" s="74">
        <v>38293</v>
      </c>
      <c r="B33501">
        <v>35.700000000000003</v>
      </c>
    </row>
    <row r="33502" spans="1:2" x14ac:dyDescent="0.25">
      <c r="A33502" s="74">
        <v>38294</v>
      </c>
      <c r="B33502">
        <v>21.1</v>
      </c>
    </row>
    <row r="33503" spans="1:2" x14ac:dyDescent="0.25">
      <c r="A33503" s="74">
        <v>38295</v>
      </c>
      <c r="B33503">
        <v>15.2</v>
      </c>
    </row>
    <row r="33504" spans="1:2" x14ac:dyDescent="0.25">
      <c r="A33504" s="74">
        <v>38296</v>
      </c>
      <c r="B33504">
        <v>12.1</v>
      </c>
    </row>
    <row r="33505" spans="1:2" x14ac:dyDescent="0.25">
      <c r="A33505" s="74">
        <v>38297</v>
      </c>
      <c r="B33505">
        <v>12.2</v>
      </c>
    </row>
    <row r="33506" spans="1:2" x14ac:dyDescent="0.25">
      <c r="A33506" s="74">
        <v>38298</v>
      </c>
      <c r="B33506">
        <v>21</v>
      </c>
    </row>
    <row r="33507" spans="1:2" x14ac:dyDescent="0.25">
      <c r="A33507" s="74">
        <v>38299</v>
      </c>
      <c r="B33507">
        <v>18.7</v>
      </c>
    </row>
    <row r="33508" spans="1:2" x14ac:dyDescent="0.25">
      <c r="A33508" s="74">
        <v>38300</v>
      </c>
      <c r="B33508">
        <v>14.4</v>
      </c>
    </row>
    <row r="33509" spans="1:2" x14ac:dyDescent="0.25">
      <c r="A33509" s="74">
        <v>38301</v>
      </c>
      <c r="B33509">
        <v>11.7</v>
      </c>
    </row>
    <row r="33510" spans="1:2" x14ac:dyDescent="0.25">
      <c r="A33510" s="74">
        <v>38302</v>
      </c>
      <c r="B33510">
        <v>9.59</v>
      </c>
    </row>
    <row r="33511" spans="1:2" x14ac:dyDescent="0.25">
      <c r="A33511" s="74">
        <v>38303</v>
      </c>
      <c r="B33511">
        <v>7.89</v>
      </c>
    </row>
    <row r="33512" spans="1:2" x14ac:dyDescent="0.25">
      <c r="A33512" s="74">
        <v>38304</v>
      </c>
      <c r="B33512">
        <v>6.97</v>
      </c>
    </row>
    <row r="33513" spans="1:2" x14ac:dyDescent="0.25">
      <c r="A33513" s="74">
        <v>38305</v>
      </c>
      <c r="B33513">
        <v>8.69</v>
      </c>
    </row>
    <row r="33514" spans="1:2" x14ac:dyDescent="0.25">
      <c r="A33514" s="74">
        <v>38306</v>
      </c>
      <c r="B33514">
        <v>51.4</v>
      </c>
    </row>
    <row r="33515" spans="1:2" x14ac:dyDescent="0.25">
      <c r="A33515" s="74">
        <v>38307</v>
      </c>
      <c r="B33515">
        <v>35</v>
      </c>
    </row>
    <row r="33516" spans="1:2" x14ac:dyDescent="0.25">
      <c r="A33516" s="74">
        <v>38308</v>
      </c>
      <c r="B33516">
        <v>25.2</v>
      </c>
    </row>
    <row r="33517" spans="1:2" x14ac:dyDescent="0.25">
      <c r="A33517" s="74">
        <v>38309</v>
      </c>
      <c r="B33517">
        <v>32.6</v>
      </c>
    </row>
    <row r="33518" spans="1:2" x14ac:dyDescent="0.25">
      <c r="A33518" s="74">
        <v>38310</v>
      </c>
      <c r="B33518">
        <v>27.5</v>
      </c>
    </row>
    <row r="33519" spans="1:2" x14ac:dyDescent="0.25">
      <c r="A33519" s="74">
        <v>38311</v>
      </c>
      <c r="B33519">
        <v>18.3</v>
      </c>
    </row>
    <row r="33520" spans="1:2" x14ac:dyDescent="0.25">
      <c r="A33520" s="74">
        <v>38312</v>
      </c>
      <c r="B33520">
        <v>14.2</v>
      </c>
    </row>
    <row r="33521" spans="1:2" x14ac:dyDescent="0.25">
      <c r="A33521" s="74">
        <v>38313</v>
      </c>
      <c r="B33521">
        <v>12.2</v>
      </c>
    </row>
    <row r="33522" spans="1:2" x14ac:dyDescent="0.25">
      <c r="A33522" s="74">
        <v>38314</v>
      </c>
      <c r="B33522">
        <v>10.7</v>
      </c>
    </row>
    <row r="33523" spans="1:2" x14ac:dyDescent="0.25">
      <c r="A33523" s="74">
        <v>38315</v>
      </c>
      <c r="B33523">
        <v>13.2</v>
      </c>
    </row>
    <row r="33524" spans="1:2" x14ac:dyDescent="0.25">
      <c r="A33524" s="74">
        <v>38316</v>
      </c>
      <c r="B33524">
        <v>17.899999999999999</v>
      </c>
    </row>
    <row r="33525" spans="1:2" x14ac:dyDescent="0.25">
      <c r="A33525" s="74">
        <v>38317</v>
      </c>
      <c r="B33525">
        <v>13.5</v>
      </c>
    </row>
    <row r="33526" spans="1:2" x14ac:dyDescent="0.25">
      <c r="A33526" s="74">
        <v>38318</v>
      </c>
      <c r="B33526">
        <v>11.2</v>
      </c>
    </row>
    <row r="33527" spans="1:2" x14ac:dyDescent="0.25">
      <c r="A33527" s="74">
        <v>38319</v>
      </c>
      <c r="B33527">
        <v>9.3699999999999992</v>
      </c>
    </row>
    <row r="33528" spans="1:2" x14ac:dyDescent="0.25">
      <c r="A33528" s="74">
        <v>38320</v>
      </c>
      <c r="B33528">
        <v>8.15</v>
      </c>
    </row>
    <row r="33529" spans="1:2" x14ac:dyDescent="0.25">
      <c r="A33529" s="74">
        <v>38321</v>
      </c>
      <c r="B33529">
        <v>7.44</v>
      </c>
    </row>
    <row r="33530" spans="1:2" x14ac:dyDescent="0.25">
      <c r="A33530" s="74">
        <v>38322</v>
      </c>
      <c r="B33530">
        <v>6.69</v>
      </c>
    </row>
    <row r="33531" spans="1:2" x14ac:dyDescent="0.25">
      <c r="A33531" s="74">
        <v>38323</v>
      </c>
      <c r="B33531">
        <v>6.14</v>
      </c>
    </row>
    <row r="33532" spans="1:2" x14ac:dyDescent="0.25">
      <c r="A33532" s="74">
        <v>38324</v>
      </c>
      <c r="B33532">
        <v>5.85</v>
      </c>
    </row>
    <row r="33533" spans="1:2" x14ac:dyDescent="0.25">
      <c r="A33533" s="74">
        <v>38325</v>
      </c>
      <c r="B33533">
        <v>16.3</v>
      </c>
    </row>
    <row r="33534" spans="1:2" x14ac:dyDescent="0.25">
      <c r="A33534" s="74">
        <v>38326</v>
      </c>
      <c r="B33534">
        <v>17.399999999999999</v>
      </c>
    </row>
    <row r="33535" spans="1:2" x14ac:dyDescent="0.25">
      <c r="A33535" s="74">
        <v>38327</v>
      </c>
      <c r="B33535">
        <v>13.8</v>
      </c>
    </row>
    <row r="33536" spans="1:2" x14ac:dyDescent="0.25">
      <c r="A33536" s="74">
        <v>38328</v>
      </c>
      <c r="B33536">
        <v>11.8</v>
      </c>
    </row>
    <row r="33537" spans="1:2" x14ac:dyDescent="0.25">
      <c r="A33537" s="74">
        <v>38329</v>
      </c>
      <c r="B33537">
        <v>18.600000000000001</v>
      </c>
    </row>
    <row r="33538" spans="1:2" x14ac:dyDescent="0.25">
      <c r="A33538" s="74">
        <v>38330</v>
      </c>
      <c r="B33538">
        <v>26.3</v>
      </c>
    </row>
    <row r="33539" spans="1:2" x14ac:dyDescent="0.25">
      <c r="A33539" s="74">
        <v>38331</v>
      </c>
      <c r="B33539">
        <v>114</v>
      </c>
    </row>
    <row r="33540" spans="1:2" x14ac:dyDescent="0.25">
      <c r="A33540" s="74">
        <v>38332</v>
      </c>
      <c r="B33540">
        <v>90.7</v>
      </c>
    </row>
    <row r="33541" spans="1:2" x14ac:dyDescent="0.25">
      <c r="A33541" s="74">
        <v>38333</v>
      </c>
      <c r="B33541">
        <v>36.200000000000003</v>
      </c>
    </row>
    <row r="33542" spans="1:2" x14ac:dyDescent="0.25">
      <c r="A33542" s="74">
        <v>38334</v>
      </c>
      <c r="B33542">
        <v>22.4</v>
      </c>
    </row>
    <row r="33543" spans="1:2" x14ac:dyDescent="0.25">
      <c r="A33543" s="74">
        <v>38335</v>
      </c>
      <c r="B33543">
        <v>61.2</v>
      </c>
    </row>
    <row r="33544" spans="1:2" x14ac:dyDescent="0.25">
      <c r="A33544" s="74">
        <v>38336</v>
      </c>
      <c r="B33544">
        <v>34.9</v>
      </c>
    </row>
    <row r="33545" spans="1:2" x14ac:dyDescent="0.25">
      <c r="A33545" s="74">
        <v>38337</v>
      </c>
      <c r="B33545">
        <v>22.2</v>
      </c>
    </row>
    <row r="33546" spans="1:2" x14ac:dyDescent="0.25">
      <c r="A33546" s="74">
        <v>38338</v>
      </c>
      <c r="B33546">
        <v>17.899999999999999</v>
      </c>
    </row>
    <row r="33547" spans="1:2" x14ac:dyDescent="0.25">
      <c r="A33547" s="74">
        <v>38339</v>
      </c>
      <c r="B33547">
        <v>17.7</v>
      </c>
    </row>
    <row r="33548" spans="1:2" x14ac:dyDescent="0.25">
      <c r="A33548" s="74">
        <v>38340</v>
      </c>
      <c r="B33548">
        <v>17</v>
      </c>
    </row>
    <row r="33549" spans="1:2" x14ac:dyDescent="0.25">
      <c r="A33549" s="74">
        <v>38341</v>
      </c>
      <c r="B33549">
        <v>13.9</v>
      </c>
    </row>
    <row r="33550" spans="1:2" x14ac:dyDescent="0.25">
      <c r="A33550" s="74">
        <v>38342</v>
      </c>
      <c r="B33550">
        <v>11.9</v>
      </c>
    </row>
    <row r="33551" spans="1:2" x14ac:dyDescent="0.25">
      <c r="A33551" s="74">
        <v>38343</v>
      </c>
      <c r="B33551">
        <v>9.64</v>
      </c>
    </row>
    <row r="33552" spans="1:2" x14ac:dyDescent="0.25">
      <c r="A33552" s="74">
        <v>38344</v>
      </c>
      <c r="B33552">
        <v>8.34</v>
      </c>
    </row>
    <row r="33553" spans="1:2" x14ac:dyDescent="0.25">
      <c r="A33553" s="74">
        <v>38345</v>
      </c>
      <c r="B33553">
        <v>7.43</v>
      </c>
    </row>
    <row r="33554" spans="1:2" x14ac:dyDescent="0.25">
      <c r="A33554" s="74">
        <v>38346</v>
      </c>
      <c r="B33554">
        <v>7.31</v>
      </c>
    </row>
    <row r="33555" spans="1:2" x14ac:dyDescent="0.25">
      <c r="A33555" s="74">
        <v>38347</v>
      </c>
      <c r="B33555">
        <v>8.1300000000000008</v>
      </c>
    </row>
    <row r="33556" spans="1:2" x14ac:dyDescent="0.25">
      <c r="A33556" s="74">
        <v>38348</v>
      </c>
      <c r="B33556">
        <v>8.9</v>
      </c>
    </row>
    <row r="33557" spans="1:2" x14ac:dyDescent="0.25">
      <c r="A33557" s="74">
        <v>38349</v>
      </c>
      <c r="B33557">
        <v>8.15</v>
      </c>
    </row>
    <row r="33558" spans="1:2" x14ac:dyDescent="0.25">
      <c r="A33558" s="74">
        <v>38350</v>
      </c>
      <c r="B33558">
        <v>8.1</v>
      </c>
    </row>
    <row r="33559" spans="1:2" x14ac:dyDescent="0.25">
      <c r="A33559" s="74">
        <v>38351</v>
      </c>
      <c r="B33559">
        <v>9.5399999999999991</v>
      </c>
    </row>
    <row r="33560" spans="1:2" x14ac:dyDescent="0.25">
      <c r="A33560" s="74">
        <v>38352</v>
      </c>
      <c r="B33560">
        <v>10.5</v>
      </c>
    </row>
    <row r="33561" spans="1:2" x14ac:dyDescent="0.25">
      <c r="A33561" s="74">
        <v>38353</v>
      </c>
      <c r="B33561">
        <v>9.7100000000000009</v>
      </c>
    </row>
    <row r="33562" spans="1:2" x14ac:dyDescent="0.25">
      <c r="A33562" s="74">
        <v>38354</v>
      </c>
      <c r="B33562">
        <v>8.4600000000000009</v>
      </c>
    </row>
    <row r="33563" spans="1:2" x14ac:dyDescent="0.25">
      <c r="A33563" s="74">
        <v>38355</v>
      </c>
      <c r="B33563">
        <v>7.35</v>
      </c>
    </row>
    <row r="33564" spans="1:2" x14ac:dyDescent="0.25">
      <c r="A33564" s="74">
        <v>38356</v>
      </c>
      <c r="B33564">
        <v>6.63</v>
      </c>
    </row>
    <row r="33565" spans="1:2" x14ac:dyDescent="0.25">
      <c r="A33565" s="74">
        <v>38357</v>
      </c>
      <c r="B33565">
        <v>5.94</v>
      </c>
    </row>
    <row r="33566" spans="1:2" x14ac:dyDescent="0.25">
      <c r="A33566" s="74">
        <v>38358</v>
      </c>
      <c r="B33566">
        <v>5.59</v>
      </c>
    </row>
    <row r="33567" spans="1:2" x14ac:dyDescent="0.25">
      <c r="A33567" s="74">
        <v>38359</v>
      </c>
      <c r="B33567">
        <v>5.68</v>
      </c>
    </row>
    <row r="33568" spans="1:2" x14ac:dyDescent="0.25">
      <c r="A33568" s="74">
        <v>38360</v>
      </c>
      <c r="B33568">
        <v>5.65</v>
      </c>
    </row>
    <row r="33569" spans="1:2" x14ac:dyDescent="0.25">
      <c r="A33569" s="74">
        <v>38361</v>
      </c>
      <c r="B33569">
        <v>5.13</v>
      </c>
    </row>
    <row r="33570" spans="1:2" x14ac:dyDescent="0.25">
      <c r="A33570" s="74">
        <v>38362</v>
      </c>
      <c r="B33570">
        <v>4.6100000000000003</v>
      </c>
    </row>
    <row r="33571" spans="1:2" x14ac:dyDescent="0.25">
      <c r="A33571" s="74">
        <v>38363</v>
      </c>
      <c r="B33571">
        <v>4.1399999999999997</v>
      </c>
    </row>
    <row r="33572" spans="1:2" x14ac:dyDescent="0.25">
      <c r="A33572" s="74">
        <v>38364</v>
      </c>
      <c r="B33572">
        <v>4.3499999999999996</v>
      </c>
    </row>
    <row r="33573" spans="1:2" x14ac:dyDescent="0.25">
      <c r="A33573" s="74">
        <v>38365</v>
      </c>
      <c r="B33573">
        <v>3.92</v>
      </c>
    </row>
    <row r="33574" spans="1:2" x14ac:dyDescent="0.25">
      <c r="A33574" s="74">
        <v>38366</v>
      </c>
      <c r="B33574">
        <v>3.26</v>
      </c>
    </row>
    <row r="33575" spans="1:2" x14ac:dyDescent="0.25">
      <c r="A33575" s="74">
        <v>38367</v>
      </c>
      <c r="B33575">
        <v>2.93</v>
      </c>
    </row>
    <row r="33576" spans="1:2" x14ac:dyDescent="0.25">
      <c r="A33576" s="74">
        <v>38368</v>
      </c>
      <c r="B33576">
        <v>3.98</v>
      </c>
    </row>
    <row r="33577" spans="1:2" x14ac:dyDescent="0.25">
      <c r="A33577" s="74">
        <v>38369</v>
      </c>
      <c r="B33577">
        <v>45</v>
      </c>
    </row>
    <row r="33578" spans="1:2" x14ac:dyDescent="0.25">
      <c r="A33578" s="74">
        <v>38370</v>
      </c>
      <c r="B33578">
        <v>109</v>
      </c>
    </row>
    <row r="33579" spans="1:2" x14ac:dyDescent="0.25">
      <c r="A33579" s="74">
        <v>38371</v>
      </c>
      <c r="B33579">
        <v>275</v>
      </c>
    </row>
    <row r="33580" spans="1:2" x14ac:dyDescent="0.25">
      <c r="A33580" s="74">
        <v>38372</v>
      </c>
      <c r="B33580">
        <v>162</v>
      </c>
    </row>
    <row r="33581" spans="1:2" x14ac:dyDescent="0.25">
      <c r="A33581" s="74">
        <v>38373</v>
      </c>
      <c r="B33581">
        <v>76.099999999999994</v>
      </c>
    </row>
    <row r="33582" spans="1:2" x14ac:dyDescent="0.25">
      <c r="A33582" s="74">
        <v>38374</v>
      </c>
      <c r="B33582">
        <v>105</v>
      </c>
    </row>
    <row r="33583" spans="1:2" x14ac:dyDescent="0.25">
      <c r="A33583" s="74">
        <v>38375</v>
      </c>
      <c r="B33583">
        <v>96.3</v>
      </c>
    </row>
    <row r="33584" spans="1:2" x14ac:dyDescent="0.25">
      <c r="A33584" s="74">
        <v>38376</v>
      </c>
      <c r="B33584">
        <v>57</v>
      </c>
    </row>
    <row r="33585" spans="1:2" x14ac:dyDescent="0.25">
      <c r="A33585" s="74">
        <v>38377</v>
      </c>
      <c r="B33585">
        <v>36.6</v>
      </c>
    </row>
    <row r="33586" spans="1:2" x14ac:dyDescent="0.25">
      <c r="A33586" s="74">
        <v>38378</v>
      </c>
      <c r="B33586">
        <v>24.4</v>
      </c>
    </row>
    <row r="33587" spans="1:2" x14ac:dyDescent="0.25">
      <c r="A33587" s="74">
        <v>38379</v>
      </c>
      <c r="B33587">
        <v>20.8</v>
      </c>
    </row>
    <row r="33588" spans="1:2" x14ac:dyDescent="0.25">
      <c r="A33588" s="74">
        <v>38380</v>
      </c>
      <c r="B33588">
        <v>16.600000000000001</v>
      </c>
    </row>
    <row r="33589" spans="1:2" x14ac:dyDescent="0.25">
      <c r="A33589" s="74">
        <v>38381</v>
      </c>
      <c r="B33589">
        <v>13</v>
      </c>
    </row>
    <row r="33590" spans="1:2" x14ac:dyDescent="0.25">
      <c r="A33590" s="74">
        <v>38382</v>
      </c>
      <c r="B33590">
        <v>11</v>
      </c>
    </row>
    <row r="33591" spans="1:2" x14ac:dyDescent="0.25">
      <c r="A33591" s="74">
        <v>38383</v>
      </c>
      <c r="B33591">
        <v>13.5</v>
      </c>
    </row>
    <row r="33592" spans="1:2" x14ac:dyDescent="0.25">
      <c r="A33592" s="74">
        <v>38384</v>
      </c>
      <c r="B33592">
        <v>13.3</v>
      </c>
    </row>
    <row r="33593" spans="1:2" x14ac:dyDescent="0.25">
      <c r="A33593" s="74">
        <v>38385</v>
      </c>
      <c r="B33593">
        <v>11</v>
      </c>
    </row>
    <row r="33594" spans="1:2" x14ac:dyDescent="0.25">
      <c r="A33594" s="74">
        <v>38386</v>
      </c>
      <c r="B33594">
        <v>9.65</v>
      </c>
    </row>
    <row r="33595" spans="1:2" x14ac:dyDescent="0.25">
      <c r="A33595" s="74">
        <v>38387</v>
      </c>
      <c r="B33595">
        <v>10</v>
      </c>
    </row>
    <row r="33596" spans="1:2" x14ac:dyDescent="0.25">
      <c r="A33596" s="74">
        <v>38388</v>
      </c>
      <c r="B33596">
        <v>9.7100000000000009</v>
      </c>
    </row>
    <row r="33597" spans="1:2" x14ac:dyDescent="0.25">
      <c r="A33597" s="74">
        <v>38389</v>
      </c>
      <c r="B33597">
        <v>9.9</v>
      </c>
    </row>
    <row r="33598" spans="1:2" x14ac:dyDescent="0.25">
      <c r="A33598" s="74">
        <v>38390</v>
      </c>
      <c r="B33598">
        <v>9.57</v>
      </c>
    </row>
    <row r="33599" spans="1:2" x14ac:dyDescent="0.25">
      <c r="A33599" s="74">
        <v>38391</v>
      </c>
      <c r="B33599">
        <v>8.33</v>
      </c>
    </row>
    <row r="33600" spans="1:2" x14ac:dyDescent="0.25">
      <c r="A33600" s="74">
        <v>38392</v>
      </c>
      <c r="B33600">
        <v>7.74</v>
      </c>
    </row>
    <row r="33601" spans="1:2" x14ac:dyDescent="0.25">
      <c r="A33601" s="74">
        <v>38393</v>
      </c>
      <c r="B33601">
        <v>7.2</v>
      </c>
    </row>
    <row r="33602" spans="1:2" x14ac:dyDescent="0.25">
      <c r="A33602" s="74">
        <v>38394</v>
      </c>
      <c r="B33602">
        <v>6.61</v>
      </c>
    </row>
    <row r="33603" spans="1:2" x14ac:dyDescent="0.25">
      <c r="A33603" s="74">
        <v>38395</v>
      </c>
      <c r="B33603">
        <v>6.47</v>
      </c>
    </row>
    <row r="33604" spans="1:2" x14ac:dyDescent="0.25">
      <c r="A33604" s="74">
        <v>38396</v>
      </c>
      <c r="B33604">
        <v>6.29</v>
      </c>
    </row>
    <row r="33605" spans="1:2" x14ac:dyDescent="0.25">
      <c r="A33605" s="74">
        <v>38397</v>
      </c>
      <c r="B33605">
        <v>5.91</v>
      </c>
    </row>
    <row r="33606" spans="1:2" x14ac:dyDescent="0.25">
      <c r="A33606" s="74">
        <v>38398</v>
      </c>
      <c r="B33606">
        <v>5.52</v>
      </c>
    </row>
    <row r="33607" spans="1:2" x14ac:dyDescent="0.25">
      <c r="A33607" s="74">
        <v>38399</v>
      </c>
      <c r="B33607">
        <v>5.2</v>
      </c>
    </row>
    <row r="33608" spans="1:2" x14ac:dyDescent="0.25">
      <c r="A33608" s="74">
        <v>38400</v>
      </c>
      <c r="B33608">
        <v>4.9400000000000004</v>
      </c>
    </row>
    <row r="33609" spans="1:2" x14ac:dyDescent="0.25">
      <c r="A33609" s="74">
        <v>38401</v>
      </c>
      <c r="B33609">
        <v>4.71</v>
      </c>
    </row>
    <row r="33610" spans="1:2" x14ac:dyDescent="0.25">
      <c r="A33610" s="74">
        <v>38402</v>
      </c>
      <c r="B33610">
        <v>4.49</v>
      </c>
    </row>
    <row r="33611" spans="1:2" x14ac:dyDescent="0.25">
      <c r="A33611" s="74">
        <v>38403</v>
      </c>
      <c r="B33611">
        <v>4.25</v>
      </c>
    </row>
    <row r="33612" spans="1:2" x14ac:dyDescent="0.25">
      <c r="A33612" s="74">
        <v>38404</v>
      </c>
      <c r="B33612">
        <v>4.03</v>
      </c>
    </row>
    <row r="33613" spans="1:2" x14ac:dyDescent="0.25">
      <c r="A33613" s="74">
        <v>38405</v>
      </c>
      <c r="B33613">
        <v>3.82</v>
      </c>
    </row>
    <row r="33614" spans="1:2" x14ac:dyDescent="0.25">
      <c r="A33614" s="74">
        <v>38406</v>
      </c>
      <c r="B33614">
        <v>3.68</v>
      </c>
    </row>
    <row r="33615" spans="1:2" x14ac:dyDescent="0.25">
      <c r="A33615" s="74">
        <v>38407</v>
      </c>
      <c r="B33615">
        <v>3.55</v>
      </c>
    </row>
    <row r="33616" spans="1:2" x14ac:dyDescent="0.25">
      <c r="A33616" s="74">
        <v>38408</v>
      </c>
      <c r="B33616">
        <v>3.44</v>
      </c>
    </row>
    <row r="33617" spans="1:2" x14ac:dyDescent="0.25">
      <c r="A33617" s="74">
        <v>38409</v>
      </c>
      <c r="B33617">
        <v>3.37</v>
      </c>
    </row>
    <row r="33618" spans="1:2" x14ac:dyDescent="0.25">
      <c r="A33618" s="74">
        <v>38410</v>
      </c>
      <c r="B33618">
        <v>3.29</v>
      </c>
    </row>
    <row r="33619" spans="1:2" x14ac:dyDescent="0.25">
      <c r="A33619" s="74">
        <v>38411</v>
      </c>
      <c r="B33619">
        <v>3.28</v>
      </c>
    </row>
    <row r="33620" spans="1:2" x14ac:dyDescent="0.25">
      <c r="A33620" s="74">
        <v>38412</v>
      </c>
      <c r="B33620">
        <v>5.81</v>
      </c>
    </row>
    <row r="33621" spans="1:2" x14ac:dyDescent="0.25">
      <c r="A33621" s="74">
        <v>38413</v>
      </c>
      <c r="B33621">
        <v>7.82</v>
      </c>
    </row>
    <row r="33622" spans="1:2" x14ac:dyDescent="0.25">
      <c r="A33622" s="74">
        <v>38414</v>
      </c>
      <c r="B33622">
        <v>6.92</v>
      </c>
    </row>
    <row r="33623" spans="1:2" x14ac:dyDescent="0.25">
      <c r="A33623" s="74">
        <v>38415</v>
      </c>
      <c r="B33623">
        <v>6.03</v>
      </c>
    </row>
    <row r="33624" spans="1:2" x14ac:dyDescent="0.25">
      <c r="A33624" s="74">
        <v>38416</v>
      </c>
      <c r="B33624">
        <v>5.41</v>
      </c>
    </row>
    <row r="33625" spans="1:2" x14ac:dyDescent="0.25">
      <c r="A33625" s="74">
        <v>38417</v>
      </c>
      <c r="B33625">
        <v>5.08</v>
      </c>
    </row>
    <row r="33626" spans="1:2" x14ac:dyDescent="0.25">
      <c r="A33626" s="74">
        <v>38418</v>
      </c>
      <c r="B33626">
        <v>5.69</v>
      </c>
    </row>
    <row r="33627" spans="1:2" x14ac:dyDescent="0.25">
      <c r="A33627" s="74">
        <v>38419</v>
      </c>
      <c r="B33627">
        <v>6.32</v>
      </c>
    </row>
    <row r="33628" spans="1:2" x14ac:dyDescent="0.25">
      <c r="A33628" s="74">
        <v>38420</v>
      </c>
      <c r="B33628">
        <v>9.73</v>
      </c>
    </row>
    <row r="33629" spans="1:2" x14ac:dyDescent="0.25">
      <c r="A33629" s="74">
        <v>38421</v>
      </c>
      <c r="B33629">
        <v>7.72</v>
      </c>
    </row>
    <row r="33630" spans="1:2" x14ac:dyDescent="0.25">
      <c r="A33630" s="74">
        <v>38422</v>
      </c>
      <c r="B33630">
        <v>6.57</v>
      </c>
    </row>
    <row r="33631" spans="1:2" x14ac:dyDescent="0.25">
      <c r="A33631" s="74">
        <v>38423</v>
      </c>
      <c r="B33631">
        <v>5.83</v>
      </c>
    </row>
    <row r="33632" spans="1:2" x14ac:dyDescent="0.25">
      <c r="A33632" s="74">
        <v>38424</v>
      </c>
      <c r="B33632">
        <v>5.14</v>
      </c>
    </row>
    <row r="33633" spans="1:2" x14ac:dyDescent="0.25">
      <c r="A33633" s="74">
        <v>38425</v>
      </c>
      <c r="B33633">
        <v>4.6500000000000004</v>
      </c>
    </row>
    <row r="33634" spans="1:2" x14ac:dyDescent="0.25">
      <c r="A33634" s="74">
        <v>38426</v>
      </c>
      <c r="B33634">
        <v>4.2300000000000004</v>
      </c>
    </row>
    <row r="33635" spans="1:2" x14ac:dyDescent="0.25">
      <c r="A33635" s="74">
        <v>38427</v>
      </c>
      <c r="B33635">
        <v>4.1100000000000003</v>
      </c>
    </row>
    <row r="33636" spans="1:2" x14ac:dyDescent="0.25">
      <c r="A33636" s="74">
        <v>38428</v>
      </c>
      <c r="B33636">
        <v>4.08</v>
      </c>
    </row>
    <row r="33637" spans="1:2" x14ac:dyDescent="0.25">
      <c r="A33637" s="74">
        <v>38429</v>
      </c>
      <c r="B33637">
        <v>3.89</v>
      </c>
    </row>
    <row r="33638" spans="1:2" x14ac:dyDescent="0.25">
      <c r="A33638" s="74">
        <v>38430</v>
      </c>
      <c r="B33638">
        <v>3.88</v>
      </c>
    </row>
    <row r="33639" spans="1:2" x14ac:dyDescent="0.25">
      <c r="A33639" s="74">
        <v>38431</v>
      </c>
      <c r="B33639">
        <v>11.2</v>
      </c>
    </row>
    <row r="33640" spans="1:2" x14ac:dyDescent="0.25">
      <c r="A33640" s="74">
        <v>38432</v>
      </c>
      <c r="B33640">
        <v>14</v>
      </c>
    </row>
    <row r="33641" spans="1:2" x14ac:dyDescent="0.25">
      <c r="A33641" s="74">
        <v>38433</v>
      </c>
      <c r="B33641">
        <v>11.2</v>
      </c>
    </row>
    <row r="33642" spans="1:2" x14ac:dyDescent="0.25">
      <c r="A33642" s="74">
        <v>38434</v>
      </c>
      <c r="B33642">
        <v>9.25</v>
      </c>
    </row>
    <row r="33643" spans="1:2" x14ac:dyDescent="0.25">
      <c r="A33643" s="74">
        <v>38435</v>
      </c>
      <c r="B33643">
        <v>7.86</v>
      </c>
    </row>
    <row r="33644" spans="1:2" x14ac:dyDescent="0.25">
      <c r="A33644" s="74">
        <v>38436</v>
      </c>
      <c r="B33644">
        <v>6.94</v>
      </c>
    </row>
    <row r="33645" spans="1:2" x14ac:dyDescent="0.25">
      <c r="A33645" s="74">
        <v>38437</v>
      </c>
      <c r="B33645">
        <v>28.1</v>
      </c>
    </row>
    <row r="33646" spans="1:2" x14ac:dyDescent="0.25">
      <c r="A33646" s="74">
        <v>38438</v>
      </c>
      <c r="B33646">
        <v>36.799999999999997</v>
      </c>
    </row>
    <row r="33647" spans="1:2" x14ac:dyDescent="0.25">
      <c r="A33647" s="74">
        <v>38439</v>
      </c>
      <c r="B33647">
        <v>25.7</v>
      </c>
    </row>
    <row r="33648" spans="1:2" x14ac:dyDescent="0.25">
      <c r="A33648" s="74">
        <v>38440</v>
      </c>
      <c r="B33648">
        <v>17.7</v>
      </c>
    </row>
    <row r="33649" spans="1:2" x14ac:dyDescent="0.25">
      <c r="A33649" s="74">
        <v>38441</v>
      </c>
      <c r="B33649">
        <v>14.6</v>
      </c>
    </row>
    <row r="33650" spans="1:2" x14ac:dyDescent="0.25">
      <c r="A33650" s="74">
        <v>38442</v>
      </c>
      <c r="B33650">
        <v>14.5</v>
      </c>
    </row>
    <row r="33651" spans="1:2" x14ac:dyDescent="0.25">
      <c r="A33651" s="74">
        <v>38443</v>
      </c>
      <c r="B33651">
        <v>56.1</v>
      </c>
    </row>
    <row r="33652" spans="1:2" x14ac:dyDescent="0.25">
      <c r="A33652" s="74">
        <v>38444</v>
      </c>
      <c r="B33652">
        <v>36.200000000000003</v>
      </c>
    </row>
    <row r="33653" spans="1:2" x14ac:dyDescent="0.25">
      <c r="A33653" s="74">
        <v>38445</v>
      </c>
      <c r="B33653">
        <v>31.3</v>
      </c>
    </row>
    <row r="33654" spans="1:2" x14ac:dyDescent="0.25">
      <c r="A33654" s="74">
        <v>38446</v>
      </c>
      <c r="B33654">
        <v>23.1</v>
      </c>
    </row>
    <row r="33655" spans="1:2" x14ac:dyDescent="0.25">
      <c r="A33655" s="74">
        <v>38447</v>
      </c>
      <c r="B33655">
        <v>19.5</v>
      </c>
    </row>
    <row r="33656" spans="1:2" x14ac:dyDescent="0.25">
      <c r="A33656" s="74">
        <v>38448</v>
      </c>
      <c r="B33656">
        <v>45.6</v>
      </c>
    </row>
    <row r="33657" spans="1:2" x14ac:dyDescent="0.25">
      <c r="A33657" s="74">
        <v>38449</v>
      </c>
      <c r="B33657">
        <v>34.4</v>
      </c>
    </row>
    <row r="33658" spans="1:2" x14ac:dyDescent="0.25">
      <c r="A33658" s="74">
        <v>38450</v>
      </c>
      <c r="B33658">
        <v>24.3</v>
      </c>
    </row>
    <row r="33659" spans="1:2" x14ac:dyDescent="0.25">
      <c r="A33659" s="74">
        <v>38451</v>
      </c>
      <c r="B33659">
        <v>16.399999999999999</v>
      </c>
    </row>
    <row r="33660" spans="1:2" x14ac:dyDescent="0.25">
      <c r="A33660" s="74">
        <v>38452</v>
      </c>
      <c r="B33660">
        <v>13.3</v>
      </c>
    </row>
    <row r="33661" spans="1:2" x14ac:dyDescent="0.25">
      <c r="A33661" s="74">
        <v>38453</v>
      </c>
      <c r="B33661">
        <v>19.5</v>
      </c>
    </row>
    <row r="33662" spans="1:2" x14ac:dyDescent="0.25">
      <c r="A33662" s="74">
        <v>38454</v>
      </c>
      <c r="B33662">
        <v>15.8</v>
      </c>
    </row>
    <row r="33663" spans="1:2" x14ac:dyDescent="0.25">
      <c r="A33663" s="74">
        <v>38455</v>
      </c>
      <c r="B33663">
        <v>13.9</v>
      </c>
    </row>
    <row r="33664" spans="1:2" x14ac:dyDescent="0.25">
      <c r="A33664" s="74">
        <v>38456</v>
      </c>
      <c r="B33664">
        <v>12.4</v>
      </c>
    </row>
    <row r="33665" spans="1:2" x14ac:dyDescent="0.25">
      <c r="A33665" s="74">
        <v>38457</v>
      </c>
      <c r="B33665">
        <v>11.9</v>
      </c>
    </row>
    <row r="33666" spans="1:2" x14ac:dyDescent="0.25">
      <c r="A33666" s="74">
        <v>38458</v>
      </c>
      <c r="B33666">
        <v>55.4</v>
      </c>
    </row>
    <row r="33667" spans="1:2" x14ac:dyDescent="0.25">
      <c r="A33667" s="74">
        <v>38459</v>
      </c>
      <c r="B33667">
        <v>42</v>
      </c>
    </row>
    <row r="33668" spans="1:2" x14ac:dyDescent="0.25">
      <c r="A33668" s="74">
        <v>38460</v>
      </c>
      <c r="B33668">
        <v>27</v>
      </c>
    </row>
    <row r="33669" spans="1:2" x14ac:dyDescent="0.25">
      <c r="A33669" s="74">
        <v>38461</v>
      </c>
      <c r="B33669">
        <v>19.100000000000001</v>
      </c>
    </row>
    <row r="33670" spans="1:2" x14ac:dyDescent="0.25">
      <c r="A33670" s="74">
        <v>38462</v>
      </c>
      <c r="B33670">
        <v>16</v>
      </c>
    </row>
    <row r="33671" spans="1:2" x14ac:dyDescent="0.25">
      <c r="A33671" s="74">
        <v>38463</v>
      </c>
      <c r="B33671">
        <v>17.3</v>
      </c>
    </row>
    <row r="33672" spans="1:2" x14ac:dyDescent="0.25">
      <c r="A33672" s="74">
        <v>38464</v>
      </c>
      <c r="B33672">
        <v>20.100000000000001</v>
      </c>
    </row>
    <row r="33673" spans="1:2" x14ac:dyDescent="0.25">
      <c r="A33673" s="74">
        <v>38465</v>
      </c>
      <c r="B33673">
        <v>19.399999999999999</v>
      </c>
    </row>
    <row r="33674" spans="1:2" x14ac:dyDescent="0.25">
      <c r="A33674" s="74">
        <v>38466</v>
      </c>
      <c r="B33674">
        <v>17.8</v>
      </c>
    </row>
    <row r="33675" spans="1:2" x14ac:dyDescent="0.25">
      <c r="A33675" s="74">
        <v>38467</v>
      </c>
      <c r="B33675">
        <v>15.3</v>
      </c>
    </row>
    <row r="33676" spans="1:2" x14ac:dyDescent="0.25">
      <c r="A33676" s="74">
        <v>38468</v>
      </c>
      <c r="B33676">
        <v>14.3</v>
      </c>
    </row>
    <row r="33677" spans="1:2" x14ac:dyDescent="0.25">
      <c r="A33677" s="74">
        <v>38469</v>
      </c>
      <c r="B33677">
        <v>14.1</v>
      </c>
    </row>
    <row r="33678" spans="1:2" x14ac:dyDescent="0.25">
      <c r="A33678" s="74">
        <v>38470</v>
      </c>
      <c r="B33678">
        <v>11.7</v>
      </c>
    </row>
    <row r="33679" spans="1:2" x14ac:dyDescent="0.25">
      <c r="A33679" s="74">
        <v>38471</v>
      </c>
      <c r="B33679">
        <v>9.09</v>
      </c>
    </row>
    <row r="33680" spans="1:2" x14ac:dyDescent="0.25">
      <c r="A33680" s="74">
        <v>38472</v>
      </c>
      <c r="B33680">
        <v>7.84</v>
      </c>
    </row>
    <row r="33681" spans="1:2" x14ac:dyDescent="0.25">
      <c r="A33681" s="74">
        <v>38473</v>
      </c>
      <c r="B33681">
        <v>7.33</v>
      </c>
    </row>
    <row r="33682" spans="1:2" x14ac:dyDescent="0.25">
      <c r="A33682" s="74">
        <v>38474</v>
      </c>
      <c r="B33682">
        <v>8.3699999999999992</v>
      </c>
    </row>
    <row r="33683" spans="1:2" x14ac:dyDescent="0.25">
      <c r="A33683" s="74">
        <v>38475</v>
      </c>
      <c r="B33683">
        <v>8.7100000000000009</v>
      </c>
    </row>
    <row r="33684" spans="1:2" x14ac:dyDescent="0.25">
      <c r="A33684" s="74">
        <v>38476</v>
      </c>
      <c r="B33684">
        <v>7.66</v>
      </c>
    </row>
    <row r="33685" spans="1:2" x14ac:dyDescent="0.25">
      <c r="A33685" s="74">
        <v>38477</v>
      </c>
      <c r="B33685">
        <v>7.55</v>
      </c>
    </row>
    <row r="33686" spans="1:2" x14ac:dyDescent="0.25">
      <c r="A33686" s="74">
        <v>38478</v>
      </c>
      <c r="B33686">
        <v>6.89</v>
      </c>
    </row>
    <row r="33687" spans="1:2" x14ac:dyDescent="0.25">
      <c r="A33687" s="74">
        <v>38479</v>
      </c>
      <c r="B33687">
        <v>6.4</v>
      </c>
    </row>
    <row r="33688" spans="1:2" x14ac:dyDescent="0.25">
      <c r="A33688" s="74">
        <v>38480</v>
      </c>
      <c r="B33688">
        <v>5.74</v>
      </c>
    </row>
    <row r="33689" spans="1:2" x14ac:dyDescent="0.25">
      <c r="A33689" s="74">
        <v>38481</v>
      </c>
      <c r="B33689">
        <v>5.41</v>
      </c>
    </row>
    <row r="33690" spans="1:2" x14ac:dyDescent="0.25">
      <c r="A33690" s="74">
        <v>38482</v>
      </c>
      <c r="B33690">
        <v>5.36</v>
      </c>
    </row>
    <row r="33691" spans="1:2" x14ac:dyDescent="0.25">
      <c r="A33691" s="74">
        <v>38483</v>
      </c>
      <c r="B33691">
        <v>5.62</v>
      </c>
    </row>
    <row r="33692" spans="1:2" x14ac:dyDescent="0.25">
      <c r="A33692" s="74">
        <v>38484</v>
      </c>
      <c r="B33692">
        <v>5.0999999999999996</v>
      </c>
    </row>
    <row r="33693" spans="1:2" x14ac:dyDescent="0.25">
      <c r="A33693" s="74">
        <v>38485</v>
      </c>
      <c r="B33693">
        <v>4.71</v>
      </c>
    </row>
    <row r="33694" spans="1:2" x14ac:dyDescent="0.25">
      <c r="A33694" s="74">
        <v>38486</v>
      </c>
      <c r="B33694">
        <v>4.57</v>
      </c>
    </row>
    <row r="33695" spans="1:2" x14ac:dyDescent="0.25">
      <c r="A33695" s="74">
        <v>38487</v>
      </c>
      <c r="B33695">
        <v>5.89</v>
      </c>
    </row>
    <row r="33696" spans="1:2" x14ac:dyDescent="0.25">
      <c r="A33696" s="74">
        <v>38488</v>
      </c>
      <c r="B33696">
        <v>5.68</v>
      </c>
    </row>
    <row r="33697" spans="1:2" x14ac:dyDescent="0.25">
      <c r="A33697" s="74">
        <v>38489</v>
      </c>
      <c r="B33697">
        <v>4.91</v>
      </c>
    </row>
    <row r="33698" spans="1:2" x14ac:dyDescent="0.25">
      <c r="A33698" s="74">
        <v>38490</v>
      </c>
      <c r="B33698">
        <v>6.67</v>
      </c>
    </row>
    <row r="33699" spans="1:2" x14ac:dyDescent="0.25">
      <c r="A33699" s="74">
        <v>38491</v>
      </c>
      <c r="B33699">
        <v>30.6</v>
      </c>
    </row>
    <row r="33700" spans="1:2" x14ac:dyDescent="0.25">
      <c r="A33700" s="74">
        <v>38492</v>
      </c>
      <c r="B33700">
        <v>27.4</v>
      </c>
    </row>
    <row r="33701" spans="1:2" x14ac:dyDescent="0.25">
      <c r="A33701" s="74">
        <v>38493</v>
      </c>
      <c r="B33701">
        <v>16</v>
      </c>
    </row>
    <row r="33702" spans="1:2" x14ac:dyDescent="0.25">
      <c r="A33702" s="74">
        <v>38494</v>
      </c>
      <c r="B33702">
        <v>47.4</v>
      </c>
    </row>
    <row r="33703" spans="1:2" x14ac:dyDescent="0.25">
      <c r="A33703" s="74">
        <v>38495</v>
      </c>
      <c r="B33703">
        <v>55.2</v>
      </c>
    </row>
    <row r="33704" spans="1:2" x14ac:dyDescent="0.25">
      <c r="A33704" s="74">
        <v>38496</v>
      </c>
      <c r="B33704">
        <v>30.2</v>
      </c>
    </row>
    <row r="33705" spans="1:2" x14ac:dyDescent="0.25">
      <c r="A33705" s="74">
        <v>38497</v>
      </c>
      <c r="B33705">
        <v>17.8</v>
      </c>
    </row>
    <row r="33706" spans="1:2" x14ac:dyDescent="0.25">
      <c r="A33706" s="74">
        <v>38498</v>
      </c>
      <c r="B33706">
        <v>12.5</v>
      </c>
    </row>
    <row r="33707" spans="1:2" x14ac:dyDescent="0.25">
      <c r="A33707" s="74">
        <v>38499</v>
      </c>
      <c r="B33707">
        <v>9.86</v>
      </c>
    </row>
    <row r="33708" spans="1:2" x14ac:dyDescent="0.25">
      <c r="A33708" s="74">
        <v>38500</v>
      </c>
      <c r="B33708">
        <v>8.18</v>
      </c>
    </row>
    <row r="33709" spans="1:2" x14ac:dyDescent="0.25">
      <c r="A33709" s="74">
        <v>38501</v>
      </c>
      <c r="B33709">
        <v>7.09</v>
      </c>
    </row>
    <row r="33710" spans="1:2" x14ac:dyDescent="0.25">
      <c r="A33710" s="74">
        <v>38502</v>
      </c>
      <c r="B33710">
        <v>6.29</v>
      </c>
    </row>
    <row r="33711" spans="1:2" x14ac:dyDescent="0.25">
      <c r="A33711" s="74">
        <v>38503</v>
      </c>
      <c r="B33711">
        <v>5.82</v>
      </c>
    </row>
    <row r="33712" spans="1:2" x14ac:dyDescent="0.25">
      <c r="A33712" s="74">
        <v>38504</v>
      </c>
      <c r="B33712">
        <v>5.59</v>
      </c>
    </row>
    <row r="33713" spans="1:2" x14ac:dyDescent="0.25">
      <c r="A33713" s="74">
        <v>38505</v>
      </c>
      <c r="B33713">
        <v>5.7</v>
      </c>
    </row>
    <row r="33714" spans="1:2" x14ac:dyDescent="0.25">
      <c r="A33714" s="74">
        <v>38506</v>
      </c>
      <c r="B33714">
        <v>5.17</v>
      </c>
    </row>
    <row r="33715" spans="1:2" x14ac:dyDescent="0.25">
      <c r="A33715" s="74">
        <v>38507</v>
      </c>
      <c r="B33715">
        <v>4.59</v>
      </c>
    </row>
    <row r="33716" spans="1:2" x14ac:dyDescent="0.25">
      <c r="A33716" s="74">
        <v>38508</v>
      </c>
      <c r="B33716">
        <v>4.3099999999999996</v>
      </c>
    </row>
    <row r="33717" spans="1:2" x14ac:dyDescent="0.25">
      <c r="A33717" s="74">
        <v>38509</v>
      </c>
      <c r="B33717">
        <v>3.97</v>
      </c>
    </row>
    <row r="33718" spans="1:2" x14ac:dyDescent="0.25">
      <c r="A33718" s="74">
        <v>38510</v>
      </c>
      <c r="B33718">
        <v>3.6</v>
      </c>
    </row>
    <row r="33719" spans="1:2" x14ac:dyDescent="0.25">
      <c r="A33719" s="74">
        <v>38511</v>
      </c>
      <c r="B33719">
        <v>3.4</v>
      </c>
    </row>
    <row r="33720" spans="1:2" x14ac:dyDescent="0.25">
      <c r="A33720" s="74">
        <v>38512</v>
      </c>
      <c r="B33720">
        <v>3.32</v>
      </c>
    </row>
    <row r="33721" spans="1:2" x14ac:dyDescent="0.25">
      <c r="A33721" s="74">
        <v>38513</v>
      </c>
      <c r="B33721">
        <v>3.12</v>
      </c>
    </row>
    <row r="33722" spans="1:2" x14ac:dyDescent="0.25">
      <c r="A33722" s="74">
        <v>38514</v>
      </c>
      <c r="B33722">
        <v>3.26</v>
      </c>
    </row>
    <row r="33723" spans="1:2" x14ac:dyDescent="0.25">
      <c r="A33723" s="74">
        <v>38515</v>
      </c>
      <c r="B33723">
        <v>3.27</v>
      </c>
    </row>
    <row r="33724" spans="1:2" x14ac:dyDescent="0.25">
      <c r="A33724" s="74">
        <v>38516</v>
      </c>
      <c r="B33724">
        <v>3.47</v>
      </c>
    </row>
    <row r="33725" spans="1:2" x14ac:dyDescent="0.25">
      <c r="A33725" s="74">
        <v>38517</v>
      </c>
      <c r="B33725">
        <v>4.1500000000000004</v>
      </c>
    </row>
    <row r="33726" spans="1:2" x14ac:dyDescent="0.25">
      <c r="A33726" s="74">
        <v>38518</v>
      </c>
      <c r="B33726">
        <v>3.82</v>
      </c>
    </row>
    <row r="33727" spans="1:2" x14ac:dyDescent="0.25">
      <c r="A33727" s="74">
        <v>38519</v>
      </c>
      <c r="B33727">
        <v>3.45</v>
      </c>
    </row>
    <row r="33728" spans="1:2" x14ac:dyDescent="0.25">
      <c r="A33728" s="74">
        <v>38520</v>
      </c>
      <c r="B33728">
        <v>3.57</v>
      </c>
    </row>
    <row r="33729" spans="1:2" x14ac:dyDescent="0.25">
      <c r="A33729" s="74">
        <v>38521</v>
      </c>
      <c r="B33729">
        <v>3.92</v>
      </c>
    </row>
    <row r="33730" spans="1:2" x14ac:dyDescent="0.25">
      <c r="A33730" s="74">
        <v>38522</v>
      </c>
      <c r="B33730">
        <v>3.62</v>
      </c>
    </row>
    <row r="33731" spans="1:2" x14ac:dyDescent="0.25">
      <c r="A33731" s="74">
        <v>38523</v>
      </c>
      <c r="B33731">
        <v>3.25</v>
      </c>
    </row>
    <row r="33732" spans="1:2" x14ac:dyDescent="0.25">
      <c r="A33732" s="74">
        <v>38524</v>
      </c>
      <c r="B33732">
        <v>3.44</v>
      </c>
    </row>
    <row r="33733" spans="1:2" x14ac:dyDescent="0.25">
      <c r="A33733" s="74">
        <v>38525</v>
      </c>
      <c r="B33733">
        <v>4.22</v>
      </c>
    </row>
    <row r="33734" spans="1:2" x14ac:dyDescent="0.25">
      <c r="A33734" s="74">
        <v>38526</v>
      </c>
      <c r="B33734">
        <v>3.59</v>
      </c>
    </row>
    <row r="33735" spans="1:2" x14ac:dyDescent="0.25">
      <c r="A33735" s="74">
        <v>38527</v>
      </c>
      <c r="B33735">
        <v>3.07</v>
      </c>
    </row>
    <row r="33736" spans="1:2" x14ac:dyDescent="0.25">
      <c r="A33736" s="74">
        <v>38528</v>
      </c>
      <c r="B33736">
        <v>2.7</v>
      </c>
    </row>
    <row r="33737" spans="1:2" x14ac:dyDescent="0.25">
      <c r="A33737" s="74">
        <v>38529</v>
      </c>
      <c r="B33737">
        <v>2.4700000000000002</v>
      </c>
    </row>
    <row r="33738" spans="1:2" x14ac:dyDescent="0.25">
      <c r="A33738" s="74">
        <v>38530</v>
      </c>
      <c r="B33738">
        <v>2.36</v>
      </c>
    </row>
    <row r="33739" spans="1:2" x14ac:dyDescent="0.25">
      <c r="A33739" s="74">
        <v>38531</v>
      </c>
      <c r="B33739">
        <v>2.21</v>
      </c>
    </row>
    <row r="33740" spans="1:2" x14ac:dyDescent="0.25">
      <c r="A33740" s="74">
        <v>38532</v>
      </c>
      <c r="B33740">
        <v>2.06</v>
      </c>
    </row>
    <row r="33741" spans="1:2" x14ac:dyDescent="0.25">
      <c r="A33741" s="74">
        <v>38533</v>
      </c>
      <c r="B33741">
        <v>1.92</v>
      </c>
    </row>
    <row r="33742" spans="1:2" x14ac:dyDescent="0.25">
      <c r="A33742" s="74">
        <v>38534</v>
      </c>
      <c r="B33742">
        <v>1.79</v>
      </c>
    </row>
    <row r="33743" spans="1:2" x14ac:dyDescent="0.25">
      <c r="A33743" s="74">
        <v>38535</v>
      </c>
      <c r="B33743">
        <v>1.68</v>
      </c>
    </row>
    <row r="33744" spans="1:2" x14ac:dyDescent="0.25">
      <c r="A33744" s="74">
        <v>38536</v>
      </c>
      <c r="B33744">
        <v>1.63</v>
      </c>
    </row>
    <row r="33745" spans="1:2" x14ac:dyDescent="0.25">
      <c r="A33745" s="74">
        <v>38537</v>
      </c>
      <c r="B33745">
        <v>1.61</v>
      </c>
    </row>
    <row r="33746" spans="1:2" x14ac:dyDescent="0.25">
      <c r="A33746" s="74">
        <v>38538</v>
      </c>
      <c r="B33746">
        <v>1.63</v>
      </c>
    </row>
    <row r="33747" spans="1:2" x14ac:dyDescent="0.25">
      <c r="A33747" s="74">
        <v>38539</v>
      </c>
      <c r="B33747">
        <v>1.9</v>
      </c>
    </row>
    <row r="33748" spans="1:2" x14ac:dyDescent="0.25">
      <c r="A33748" s="74">
        <v>38540</v>
      </c>
      <c r="B33748">
        <v>2.11</v>
      </c>
    </row>
    <row r="33749" spans="1:2" x14ac:dyDescent="0.25">
      <c r="A33749" s="74">
        <v>38541</v>
      </c>
      <c r="B33749">
        <v>2.64</v>
      </c>
    </row>
    <row r="33750" spans="1:2" x14ac:dyDescent="0.25">
      <c r="A33750" s="74">
        <v>38542</v>
      </c>
      <c r="B33750">
        <v>4.05</v>
      </c>
    </row>
    <row r="33751" spans="1:2" x14ac:dyDescent="0.25">
      <c r="A33751" s="74">
        <v>38543</v>
      </c>
      <c r="B33751">
        <v>3.11</v>
      </c>
    </row>
    <row r="33752" spans="1:2" x14ac:dyDescent="0.25">
      <c r="A33752" s="74">
        <v>38544</v>
      </c>
      <c r="B33752">
        <v>2.69</v>
      </c>
    </row>
    <row r="33753" spans="1:2" x14ac:dyDescent="0.25">
      <c r="A33753" s="74">
        <v>38545</v>
      </c>
      <c r="B33753">
        <v>2.52</v>
      </c>
    </row>
    <row r="33754" spans="1:2" x14ac:dyDescent="0.25">
      <c r="A33754" s="74">
        <v>38546</v>
      </c>
      <c r="B33754">
        <v>2.4</v>
      </c>
    </row>
    <row r="33755" spans="1:2" x14ac:dyDescent="0.25">
      <c r="A33755" s="74">
        <v>38547</v>
      </c>
      <c r="B33755">
        <v>2.17</v>
      </c>
    </row>
    <row r="33756" spans="1:2" x14ac:dyDescent="0.25">
      <c r="A33756" s="74">
        <v>38548</v>
      </c>
      <c r="B33756">
        <v>2.09</v>
      </c>
    </row>
    <row r="33757" spans="1:2" x14ac:dyDescent="0.25">
      <c r="A33757" s="74">
        <v>38549</v>
      </c>
      <c r="B33757">
        <v>1.92</v>
      </c>
    </row>
    <row r="33758" spans="1:2" x14ac:dyDescent="0.25">
      <c r="A33758" s="74">
        <v>38550</v>
      </c>
      <c r="B33758">
        <v>1.74</v>
      </c>
    </row>
    <row r="33759" spans="1:2" x14ac:dyDescent="0.25">
      <c r="A33759" s="74">
        <v>38551</v>
      </c>
      <c r="B33759">
        <v>1.6</v>
      </c>
    </row>
    <row r="33760" spans="1:2" x14ac:dyDescent="0.25">
      <c r="A33760" s="74">
        <v>38552</v>
      </c>
      <c r="B33760">
        <v>1.52</v>
      </c>
    </row>
    <row r="33761" spans="1:2" x14ac:dyDescent="0.25">
      <c r="A33761" s="74">
        <v>38553</v>
      </c>
      <c r="B33761">
        <v>1.43</v>
      </c>
    </row>
    <row r="33762" spans="1:2" x14ac:dyDescent="0.25">
      <c r="A33762" s="74">
        <v>38554</v>
      </c>
      <c r="B33762">
        <v>1.4</v>
      </c>
    </row>
    <row r="33763" spans="1:2" x14ac:dyDescent="0.25">
      <c r="A33763" s="74">
        <v>38555</v>
      </c>
      <c r="B33763">
        <v>1.39</v>
      </c>
    </row>
    <row r="33764" spans="1:2" x14ac:dyDescent="0.25">
      <c r="A33764" s="74">
        <v>38556</v>
      </c>
      <c r="B33764">
        <v>1.48</v>
      </c>
    </row>
    <row r="33765" spans="1:2" x14ac:dyDescent="0.25">
      <c r="A33765" s="74">
        <v>38557</v>
      </c>
      <c r="B33765">
        <v>1.47</v>
      </c>
    </row>
    <row r="33766" spans="1:2" x14ac:dyDescent="0.25">
      <c r="A33766" s="74">
        <v>38558</v>
      </c>
      <c r="B33766">
        <v>1.41</v>
      </c>
    </row>
    <row r="33767" spans="1:2" x14ac:dyDescent="0.25">
      <c r="A33767" s="74">
        <v>38559</v>
      </c>
      <c r="B33767">
        <v>1.35</v>
      </c>
    </row>
    <row r="33768" spans="1:2" x14ac:dyDescent="0.25">
      <c r="A33768" s="74">
        <v>38560</v>
      </c>
      <c r="B33768">
        <v>1.3</v>
      </c>
    </row>
    <row r="33769" spans="1:2" x14ac:dyDescent="0.25">
      <c r="A33769" s="74">
        <v>38561</v>
      </c>
      <c r="B33769">
        <v>1.27</v>
      </c>
    </row>
    <row r="33770" spans="1:2" x14ac:dyDescent="0.25">
      <c r="A33770" s="74">
        <v>38562</v>
      </c>
      <c r="B33770">
        <v>1.34</v>
      </c>
    </row>
    <row r="33771" spans="1:2" x14ac:dyDescent="0.25">
      <c r="A33771" s="74">
        <v>38563</v>
      </c>
      <c r="B33771">
        <v>1.38</v>
      </c>
    </row>
    <row r="33772" spans="1:2" x14ac:dyDescent="0.25">
      <c r="A33772" s="74">
        <v>38564</v>
      </c>
      <c r="B33772">
        <v>1.34</v>
      </c>
    </row>
    <row r="33773" spans="1:2" x14ac:dyDescent="0.25">
      <c r="A33773" s="74">
        <v>38565</v>
      </c>
      <c r="B33773">
        <v>1.32</v>
      </c>
    </row>
    <row r="33774" spans="1:2" x14ac:dyDescent="0.25">
      <c r="A33774" s="74">
        <v>38566</v>
      </c>
      <c r="B33774">
        <v>1.3</v>
      </c>
    </row>
    <row r="33775" spans="1:2" x14ac:dyDescent="0.25">
      <c r="A33775" s="74">
        <v>38567</v>
      </c>
      <c r="B33775">
        <v>1.27</v>
      </c>
    </row>
    <row r="33776" spans="1:2" x14ac:dyDescent="0.25">
      <c r="A33776" s="74">
        <v>38568</v>
      </c>
      <c r="B33776">
        <v>1.37</v>
      </c>
    </row>
    <row r="33777" spans="1:2" x14ac:dyDescent="0.25">
      <c r="A33777" s="74">
        <v>38569</v>
      </c>
      <c r="B33777">
        <v>1.39</v>
      </c>
    </row>
    <row r="33778" spans="1:2" x14ac:dyDescent="0.25">
      <c r="A33778" s="74">
        <v>38570</v>
      </c>
      <c r="B33778">
        <v>1.64</v>
      </c>
    </row>
    <row r="33779" spans="1:2" x14ac:dyDescent="0.25">
      <c r="A33779" s="74">
        <v>38571</v>
      </c>
      <c r="B33779">
        <v>1.64</v>
      </c>
    </row>
    <row r="33780" spans="1:2" x14ac:dyDescent="0.25">
      <c r="A33780" s="74">
        <v>38572</v>
      </c>
      <c r="B33780">
        <v>1.62</v>
      </c>
    </row>
    <row r="33781" spans="1:2" x14ac:dyDescent="0.25">
      <c r="A33781" s="74">
        <v>38573</v>
      </c>
      <c r="B33781">
        <v>1.73</v>
      </c>
    </row>
    <row r="33782" spans="1:2" x14ac:dyDescent="0.25">
      <c r="A33782" s="74">
        <v>38574</v>
      </c>
      <c r="B33782">
        <v>1.75</v>
      </c>
    </row>
    <row r="33783" spans="1:2" x14ac:dyDescent="0.25">
      <c r="A33783" s="74">
        <v>38575</v>
      </c>
      <c r="B33783">
        <v>1.74</v>
      </c>
    </row>
    <row r="33784" spans="1:2" x14ac:dyDescent="0.25">
      <c r="A33784" s="74">
        <v>38576</v>
      </c>
      <c r="B33784">
        <v>1.71</v>
      </c>
    </row>
    <row r="33785" spans="1:2" x14ac:dyDescent="0.25">
      <c r="A33785" s="74">
        <v>38577</v>
      </c>
      <c r="B33785">
        <v>1.69</v>
      </c>
    </row>
    <row r="33786" spans="1:2" x14ac:dyDescent="0.25">
      <c r="A33786" s="74">
        <v>38578</v>
      </c>
      <c r="B33786">
        <v>1.66</v>
      </c>
    </row>
    <row r="33787" spans="1:2" x14ac:dyDescent="0.25">
      <c r="A33787" s="74">
        <v>38579</v>
      </c>
      <c r="B33787">
        <v>1.79</v>
      </c>
    </row>
    <row r="33788" spans="1:2" x14ac:dyDescent="0.25">
      <c r="A33788" s="74">
        <v>38580</v>
      </c>
      <c r="B33788">
        <v>1.83</v>
      </c>
    </row>
    <row r="33789" spans="1:2" x14ac:dyDescent="0.25">
      <c r="A33789" s="74">
        <v>38581</v>
      </c>
      <c r="B33789">
        <v>2.33</v>
      </c>
    </row>
    <row r="33790" spans="1:2" x14ac:dyDescent="0.25">
      <c r="A33790" s="74">
        <v>38582</v>
      </c>
      <c r="B33790">
        <v>2.0499999999999998</v>
      </c>
    </row>
    <row r="33791" spans="1:2" x14ac:dyDescent="0.25">
      <c r="A33791" s="74">
        <v>38583</v>
      </c>
      <c r="B33791">
        <v>1.91</v>
      </c>
    </row>
    <row r="33792" spans="1:2" x14ac:dyDescent="0.25">
      <c r="A33792" s="74">
        <v>38584</v>
      </c>
      <c r="B33792">
        <v>1.84</v>
      </c>
    </row>
    <row r="33793" spans="1:2" x14ac:dyDescent="0.25">
      <c r="A33793" s="74">
        <v>38585</v>
      </c>
      <c r="B33793">
        <v>1.79</v>
      </c>
    </row>
    <row r="33794" spans="1:2" x14ac:dyDescent="0.25">
      <c r="A33794" s="74">
        <v>38586</v>
      </c>
      <c r="B33794">
        <v>1.74</v>
      </c>
    </row>
    <row r="33795" spans="1:2" x14ac:dyDescent="0.25">
      <c r="A33795" s="74">
        <v>38587</v>
      </c>
      <c r="B33795">
        <v>1.72</v>
      </c>
    </row>
    <row r="33796" spans="1:2" x14ac:dyDescent="0.25">
      <c r="A33796" s="74">
        <v>38588</v>
      </c>
      <c r="B33796">
        <v>1.69</v>
      </c>
    </row>
    <row r="33797" spans="1:2" x14ac:dyDescent="0.25">
      <c r="A33797" s="74">
        <v>38589</v>
      </c>
      <c r="B33797">
        <v>1.85</v>
      </c>
    </row>
    <row r="33798" spans="1:2" x14ac:dyDescent="0.25">
      <c r="A33798" s="74">
        <v>38590</v>
      </c>
      <c r="B33798">
        <v>1.92</v>
      </c>
    </row>
    <row r="33799" spans="1:2" x14ac:dyDescent="0.25">
      <c r="A33799" s="74">
        <v>38591</v>
      </c>
      <c r="B33799">
        <v>2</v>
      </c>
    </row>
    <row r="33800" spans="1:2" x14ac:dyDescent="0.25">
      <c r="A33800" s="74">
        <v>38592</v>
      </c>
      <c r="B33800">
        <v>2.0299999999999998</v>
      </c>
    </row>
    <row r="33801" spans="1:2" x14ac:dyDescent="0.25">
      <c r="A33801" s="74">
        <v>38593</v>
      </c>
      <c r="B33801">
        <v>2.0099999999999998</v>
      </c>
    </row>
    <row r="33802" spans="1:2" x14ac:dyDescent="0.25">
      <c r="A33802" s="74">
        <v>38594</v>
      </c>
      <c r="B33802">
        <v>1.67</v>
      </c>
    </row>
    <row r="33803" spans="1:2" x14ac:dyDescent="0.25">
      <c r="A33803" s="74">
        <v>38595</v>
      </c>
      <c r="B33803">
        <v>1.97</v>
      </c>
    </row>
    <row r="33804" spans="1:2" x14ac:dyDescent="0.25">
      <c r="A33804" s="74">
        <v>38596</v>
      </c>
      <c r="B33804">
        <v>1.97</v>
      </c>
    </row>
    <row r="33805" spans="1:2" x14ac:dyDescent="0.25">
      <c r="A33805" s="74">
        <v>38597</v>
      </c>
      <c r="B33805">
        <v>1.78</v>
      </c>
    </row>
    <row r="33806" spans="1:2" x14ac:dyDescent="0.25">
      <c r="A33806" s="74">
        <v>38598</v>
      </c>
      <c r="B33806">
        <v>2.09</v>
      </c>
    </row>
    <row r="33807" spans="1:2" x14ac:dyDescent="0.25">
      <c r="A33807" s="74">
        <v>38599</v>
      </c>
      <c r="B33807">
        <v>2.2200000000000002</v>
      </c>
    </row>
    <row r="33808" spans="1:2" x14ac:dyDescent="0.25">
      <c r="A33808" s="74">
        <v>38600</v>
      </c>
      <c r="B33808">
        <v>2.17</v>
      </c>
    </row>
    <row r="33809" spans="1:2" x14ac:dyDescent="0.25">
      <c r="A33809" s="74">
        <v>38601</v>
      </c>
      <c r="B33809">
        <v>1.76</v>
      </c>
    </row>
    <row r="33810" spans="1:2" x14ac:dyDescent="0.25">
      <c r="A33810" s="74">
        <v>38602</v>
      </c>
      <c r="B33810">
        <v>1.88</v>
      </c>
    </row>
    <row r="33811" spans="1:2" x14ac:dyDescent="0.25">
      <c r="A33811" s="74">
        <v>38603</v>
      </c>
      <c r="B33811">
        <v>1.96</v>
      </c>
    </row>
    <row r="33812" spans="1:2" x14ac:dyDescent="0.25">
      <c r="A33812" s="74">
        <v>38604</v>
      </c>
      <c r="B33812">
        <v>1.9</v>
      </c>
    </row>
    <row r="33813" spans="1:2" x14ac:dyDescent="0.25">
      <c r="A33813" s="74">
        <v>38605</v>
      </c>
      <c r="B33813">
        <v>1.84</v>
      </c>
    </row>
    <row r="33814" spans="1:2" x14ac:dyDescent="0.25">
      <c r="A33814" s="74">
        <v>38606</v>
      </c>
      <c r="B33814">
        <v>1.8</v>
      </c>
    </row>
    <row r="33815" spans="1:2" x14ac:dyDescent="0.25">
      <c r="A33815" s="74">
        <v>38607</v>
      </c>
      <c r="B33815">
        <v>1.79</v>
      </c>
    </row>
    <row r="33816" spans="1:2" x14ac:dyDescent="0.25">
      <c r="A33816" s="74">
        <v>38608</v>
      </c>
      <c r="B33816">
        <v>1.74</v>
      </c>
    </row>
    <row r="33817" spans="1:2" x14ac:dyDescent="0.25">
      <c r="A33817" s="74">
        <v>38609</v>
      </c>
      <c r="B33817">
        <v>1.72</v>
      </c>
    </row>
    <row r="33818" spans="1:2" x14ac:dyDescent="0.25">
      <c r="A33818" s="74">
        <v>38610</v>
      </c>
      <c r="B33818">
        <v>1.61</v>
      </c>
    </row>
    <row r="33819" spans="1:2" x14ac:dyDescent="0.25">
      <c r="A33819" s="74">
        <v>38611</v>
      </c>
      <c r="B33819">
        <v>1.84</v>
      </c>
    </row>
    <row r="33820" spans="1:2" x14ac:dyDescent="0.25">
      <c r="A33820" s="74">
        <v>38612</v>
      </c>
      <c r="B33820">
        <v>1.74</v>
      </c>
    </row>
    <row r="33821" spans="1:2" x14ac:dyDescent="0.25">
      <c r="A33821" s="74">
        <v>38613</v>
      </c>
      <c r="B33821">
        <v>1.71</v>
      </c>
    </row>
    <row r="33822" spans="1:2" x14ac:dyDescent="0.25">
      <c r="A33822" s="74">
        <v>38614</v>
      </c>
      <c r="B33822">
        <v>1.66</v>
      </c>
    </row>
    <row r="33823" spans="1:2" x14ac:dyDescent="0.25">
      <c r="A33823" s="74">
        <v>38615</v>
      </c>
      <c r="B33823">
        <v>1.59</v>
      </c>
    </row>
    <row r="33824" spans="1:2" x14ac:dyDescent="0.25">
      <c r="A33824" s="74">
        <v>38616</v>
      </c>
      <c r="B33824">
        <v>1.55</v>
      </c>
    </row>
    <row r="33825" spans="1:3" x14ac:dyDescent="0.25">
      <c r="A33825" s="74">
        <v>38617</v>
      </c>
      <c r="B33825">
        <v>1.49</v>
      </c>
    </row>
    <row r="33826" spans="1:3" x14ac:dyDescent="0.25">
      <c r="A33826" s="74">
        <v>38618</v>
      </c>
      <c r="B33826">
        <v>1.45</v>
      </c>
    </row>
    <row r="33827" spans="1:3" x14ac:dyDescent="0.25">
      <c r="A33827" s="74">
        <v>38619</v>
      </c>
      <c r="B33827">
        <v>1.41</v>
      </c>
    </row>
    <row r="33828" spans="1:3" x14ac:dyDescent="0.25">
      <c r="A33828" s="74">
        <v>38620</v>
      </c>
      <c r="B33828">
        <v>1.37</v>
      </c>
    </row>
    <row r="33829" spans="1:3" x14ac:dyDescent="0.25">
      <c r="A33829" s="74">
        <v>38621</v>
      </c>
      <c r="B33829">
        <v>1.33</v>
      </c>
    </row>
    <row r="33830" spans="1:3" x14ac:dyDescent="0.25">
      <c r="A33830" s="74">
        <v>38622</v>
      </c>
      <c r="B33830">
        <v>1.27</v>
      </c>
    </row>
    <row r="33831" spans="1:3" x14ac:dyDescent="0.25">
      <c r="A33831" s="74">
        <v>38623</v>
      </c>
      <c r="B33831">
        <v>1.22</v>
      </c>
    </row>
    <row r="33832" spans="1:3" x14ac:dyDescent="0.25">
      <c r="A33832" s="74">
        <v>38624</v>
      </c>
      <c r="B33832">
        <v>1.72</v>
      </c>
    </row>
    <row r="33833" spans="1:3" x14ac:dyDescent="0.25">
      <c r="A33833" s="74">
        <v>38625</v>
      </c>
      <c r="B33833">
        <v>3.3</v>
      </c>
    </row>
    <row r="33834" spans="1:3" x14ac:dyDescent="0.25">
      <c r="A33834" s="74">
        <v>38626</v>
      </c>
      <c r="B33834">
        <v>2.35</v>
      </c>
    </row>
    <row r="33835" spans="1:3" x14ac:dyDescent="0.25">
      <c r="A33835" s="74">
        <v>38627</v>
      </c>
      <c r="B33835">
        <v>1.97</v>
      </c>
    </row>
    <row r="33836" spans="1:3" x14ac:dyDescent="0.25">
      <c r="A33836" s="74">
        <v>38628</v>
      </c>
      <c r="B33836">
        <v>1.86</v>
      </c>
    </row>
    <row r="33837" spans="1:3" x14ac:dyDescent="0.25">
      <c r="A33837" s="74">
        <v>38629</v>
      </c>
      <c r="B33837">
        <v>1.79</v>
      </c>
    </row>
    <row r="33838" spans="1:3" x14ac:dyDescent="0.25">
      <c r="A33838" s="74">
        <v>38630</v>
      </c>
      <c r="B33838">
        <v>1.69</v>
      </c>
      <c r="C33838" t="s">
        <v>140</v>
      </c>
    </row>
    <row r="33839" spans="1:3" x14ac:dyDescent="0.25">
      <c r="A33839" s="74">
        <v>38631</v>
      </c>
      <c r="B33839">
        <v>3</v>
      </c>
      <c r="C33839" t="s">
        <v>141</v>
      </c>
    </row>
    <row r="33840" spans="1:3" x14ac:dyDescent="0.25">
      <c r="A33840" s="74">
        <v>38632</v>
      </c>
      <c r="B33840">
        <v>6</v>
      </c>
      <c r="C33840" t="s">
        <v>141</v>
      </c>
    </row>
    <row r="33841" spans="1:3" x14ac:dyDescent="0.25">
      <c r="A33841" s="74">
        <v>38633</v>
      </c>
      <c r="B33841">
        <v>5.2</v>
      </c>
      <c r="C33841" t="s">
        <v>141</v>
      </c>
    </row>
    <row r="33842" spans="1:3" x14ac:dyDescent="0.25">
      <c r="A33842" s="74">
        <v>38634</v>
      </c>
      <c r="B33842">
        <v>4.8499999999999996</v>
      </c>
      <c r="C33842" t="s">
        <v>141</v>
      </c>
    </row>
    <row r="33843" spans="1:3" x14ac:dyDescent="0.25">
      <c r="A33843" s="74">
        <v>38635</v>
      </c>
      <c r="B33843">
        <v>4.55</v>
      </c>
      <c r="C33843" t="s">
        <v>141</v>
      </c>
    </row>
    <row r="33844" spans="1:3" x14ac:dyDescent="0.25">
      <c r="A33844" s="74">
        <v>38636</v>
      </c>
      <c r="B33844">
        <v>4.3099999999999996</v>
      </c>
      <c r="C33844" t="s">
        <v>140</v>
      </c>
    </row>
    <row r="33845" spans="1:3" x14ac:dyDescent="0.25">
      <c r="A33845" s="74">
        <v>38637</v>
      </c>
      <c r="B33845">
        <v>3.82</v>
      </c>
    </row>
    <row r="33846" spans="1:3" x14ac:dyDescent="0.25">
      <c r="A33846" s="74">
        <v>38638</v>
      </c>
      <c r="B33846">
        <v>10.5</v>
      </c>
    </row>
    <row r="33847" spans="1:3" x14ac:dyDescent="0.25">
      <c r="A33847" s="74">
        <v>38639</v>
      </c>
      <c r="B33847">
        <v>14.8</v>
      </c>
    </row>
    <row r="33848" spans="1:3" x14ac:dyDescent="0.25">
      <c r="A33848" s="74">
        <v>38640</v>
      </c>
      <c r="B33848">
        <v>19.7</v>
      </c>
    </row>
    <row r="33849" spans="1:3" x14ac:dyDescent="0.25">
      <c r="A33849" s="74">
        <v>38641</v>
      </c>
      <c r="B33849">
        <v>9.66</v>
      </c>
    </row>
    <row r="33850" spans="1:3" x14ac:dyDescent="0.25">
      <c r="A33850" s="74">
        <v>38642</v>
      </c>
      <c r="B33850">
        <v>13</v>
      </c>
    </row>
    <row r="33851" spans="1:3" x14ac:dyDescent="0.25">
      <c r="A33851" s="74">
        <v>38643</v>
      </c>
      <c r="B33851">
        <v>11.1</v>
      </c>
    </row>
    <row r="33852" spans="1:3" x14ac:dyDescent="0.25">
      <c r="A33852" s="74">
        <v>38644</v>
      </c>
      <c r="B33852">
        <v>7.7</v>
      </c>
    </row>
    <row r="33853" spans="1:3" x14ac:dyDescent="0.25">
      <c r="A33853" s="74">
        <v>38645</v>
      </c>
      <c r="B33853">
        <v>6.13</v>
      </c>
    </row>
    <row r="33854" spans="1:3" x14ac:dyDescent="0.25">
      <c r="A33854" s="74">
        <v>38646</v>
      </c>
      <c r="B33854">
        <v>4.97</v>
      </c>
    </row>
    <row r="33855" spans="1:3" x14ac:dyDescent="0.25">
      <c r="A33855" s="74">
        <v>38647</v>
      </c>
      <c r="B33855">
        <v>4.2300000000000004</v>
      </c>
    </row>
    <row r="33856" spans="1:3" x14ac:dyDescent="0.25">
      <c r="A33856" s="74">
        <v>38648</v>
      </c>
      <c r="B33856">
        <v>3.89</v>
      </c>
    </row>
    <row r="33857" spans="1:2" x14ac:dyDescent="0.25">
      <c r="A33857" s="74">
        <v>38649</v>
      </c>
      <c r="B33857">
        <v>3.5</v>
      </c>
    </row>
    <row r="33858" spans="1:2" x14ac:dyDescent="0.25">
      <c r="A33858" s="74">
        <v>38650</v>
      </c>
      <c r="B33858">
        <v>3.21</v>
      </c>
    </row>
    <row r="33859" spans="1:2" x14ac:dyDescent="0.25">
      <c r="A33859" s="74">
        <v>38651</v>
      </c>
      <c r="B33859">
        <v>8.1300000000000008</v>
      </c>
    </row>
    <row r="33860" spans="1:2" x14ac:dyDescent="0.25">
      <c r="A33860" s="74">
        <v>38652</v>
      </c>
      <c r="B33860">
        <v>6.68</v>
      </c>
    </row>
    <row r="33861" spans="1:2" x14ac:dyDescent="0.25">
      <c r="A33861" s="74">
        <v>38653</v>
      </c>
      <c r="B33861">
        <v>17.8</v>
      </c>
    </row>
    <row r="33862" spans="1:2" x14ac:dyDescent="0.25">
      <c r="A33862" s="74">
        <v>38654</v>
      </c>
      <c r="B33862">
        <v>32.4</v>
      </c>
    </row>
    <row r="33863" spans="1:2" x14ac:dyDescent="0.25">
      <c r="A33863" s="74">
        <v>38655</v>
      </c>
      <c r="B33863">
        <v>20</v>
      </c>
    </row>
    <row r="33864" spans="1:2" x14ac:dyDescent="0.25">
      <c r="A33864" s="74">
        <v>38656</v>
      </c>
      <c r="B33864">
        <v>80.5</v>
      </c>
    </row>
    <row r="33865" spans="1:2" x14ac:dyDescent="0.25">
      <c r="A33865" s="74">
        <v>38657</v>
      </c>
      <c r="B33865">
        <v>36.5</v>
      </c>
    </row>
    <row r="33866" spans="1:2" x14ac:dyDescent="0.25">
      <c r="A33866" s="74">
        <v>38658</v>
      </c>
      <c r="B33866">
        <v>21.7</v>
      </c>
    </row>
    <row r="33867" spans="1:2" x14ac:dyDescent="0.25">
      <c r="A33867" s="74">
        <v>38659</v>
      </c>
      <c r="B33867">
        <v>20.3</v>
      </c>
    </row>
    <row r="33868" spans="1:2" x14ac:dyDescent="0.25">
      <c r="A33868" s="74">
        <v>38660</v>
      </c>
      <c r="B33868">
        <v>23.4</v>
      </c>
    </row>
    <row r="33869" spans="1:2" x14ac:dyDescent="0.25">
      <c r="A33869" s="74">
        <v>38661</v>
      </c>
      <c r="B33869">
        <v>20.3</v>
      </c>
    </row>
    <row r="33870" spans="1:2" x14ac:dyDescent="0.25">
      <c r="A33870" s="74">
        <v>38662</v>
      </c>
      <c r="B33870">
        <v>16.2</v>
      </c>
    </row>
    <row r="33871" spans="1:2" x14ac:dyDescent="0.25">
      <c r="A33871" s="74">
        <v>38663</v>
      </c>
      <c r="B33871">
        <v>13.3</v>
      </c>
    </row>
    <row r="33872" spans="1:2" x14ac:dyDescent="0.25">
      <c r="A33872" s="74">
        <v>38664</v>
      </c>
      <c r="B33872">
        <v>11.2</v>
      </c>
    </row>
    <row r="33873" spans="1:2" x14ac:dyDescent="0.25">
      <c r="A33873" s="74">
        <v>38665</v>
      </c>
      <c r="B33873">
        <v>12.6</v>
      </c>
    </row>
    <row r="33874" spans="1:2" x14ac:dyDescent="0.25">
      <c r="A33874" s="74">
        <v>38666</v>
      </c>
      <c r="B33874">
        <v>41.7</v>
      </c>
    </row>
    <row r="33875" spans="1:2" x14ac:dyDescent="0.25">
      <c r="A33875" s="74">
        <v>38667</v>
      </c>
      <c r="B33875">
        <v>32.4</v>
      </c>
    </row>
    <row r="33876" spans="1:2" x14ac:dyDescent="0.25">
      <c r="A33876" s="74">
        <v>38668</v>
      </c>
      <c r="B33876">
        <v>23.7</v>
      </c>
    </row>
    <row r="33877" spans="1:2" x14ac:dyDescent="0.25">
      <c r="A33877" s="74">
        <v>38669</v>
      </c>
      <c r="B33877">
        <v>18.100000000000001</v>
      </c>
    </row>
    <row r="33878" spans="1:2" x14ac:dyDescent="0.25">
      <c r="A33878" s="74">
        <v>38670</v>
      </c>
      <c r="B33878">
        <v>15.5</v>
      </c>
    </row>
    <row r="33879" spans="1:2" x14ac:dyDescent="0.25">
      <c r="A33879" s="74">
        <v>38671</v>
      </c>
      <c r="B33879">
        <v>12.2</v>
      </c>
    </row>
    <row r="33880" spans="1:2" x14ac:dyDescent="0.25">
      <c r="A33880" s="74">
        <v>38672</v>
      </c>
      <c r="B33880">
        <v>10.5</v>
      </c>
    </row>
    <row r="33881" spans="1:2" x14ac:dyDescent="0.25">
      <c r="A33881" s="74">
        <v>38673</v>
      </c>
      <c r="B33881">
        <v>9.9</v>
      </c>
    </row>
    <row r="33882" spans="1:2" x14ac:dyDescent="0.25">
      <c r="A33882" s="74">
        <v>38674</v>
      </c>
      <c r="B33882">
        <v>9.58</v>
      </c>
    </row>
    <row r="33883" spans="1:2" x14ac:dyDescent="0.25">
      <c r="A33883" s="74">
        <v>38675</v>
      </c>
      <c r="B33883">
        <v>10.1</v>
      </c>
    </row>
    <row r="33884" spans="1:2" x14ac:dyDescent="0.25">
      <c r="A33884" s="74">
        <v>38676</v>
      </c>
      <c r="B33884">
        <v>9.6</v>
      </c>
    </row>
    <row r="33885" spans="1:2" x14ac:dyDescent="0.25">
      <c r="A33885" s="74">
        <v>38677</v>
      </c>
      <c r="B33885">
        <v>8.52</v>
      </c>
    </row>
    <row r="33886" spans="1:2" x14ac:dyDescent="0.25">
      <c r="A33886" s="74">
        <v>38678</v>
      </c>
      <c r="B33886">
        <v>7.73</v>
      </c>
    </row>
    <row r="33887" spans="1:2" x14ac:dyDescent="0.25">
      <c r="A33887" s="74">
        <v>38679</v>
      </c>
      <c r="B33887">
        <v>7.07</v>
      </c>
    </row>
    <row r="33888" spans="1:2" x14ac:dyDescent="0.25">
      <c r="A33888" s="74">
        <v>38680</v>
      </c>
      <c r="B33888">
        <v>6.36</v>
      </c>
    </row>
    <row r="33889" spans="1:2" x14ac:dyDescent="0.25">
      <c r="A33889" s="74">
        <v>38681</v>
      </c>
      <c r="B33889">
        <v>7.04</v>
      </c>
    </row>
    <row r="33890" spans="1:2" x14ac:dyDescent="0.25">
      <c r="A33890" s="74">
        <v>38682</v>
      </c>
      <c r="B33890">
        <v>7.03</v>
      </c>
    </row>
    <row r="33891" spans="1:2" x14ac:dyDescent="0.25">
      <c r="A33891" s="74">
        <v>38683</v>
      </c>
      <c r="B33891">
        <v>6.12</v>
      </c>
    </row>
    <row r="33892" spans="1:2" x14ac:dyDescent="0.25">
      <c r="A33892" s="74">
        <v>38684</v>
      </c>
      <c r="B33892">
        <v>5.41</v>
      </c>
    </row>
    <row r="33893" spans="1:2" x14ac:dyDescent="0.25">
      <c r="A33893" s="74">
        <v>38685</v>
      </c>
      <c r="B33893">
        <v>5.19</v>
      </c>
    </row>
    <row r="33894" spans="1:2" x14ac:dyDescent="0.25">
      <c r="A33894" s="74">
        <v>38686</v>
      </c>
      <c r="B33894">
        <v>4.78</v>
      </c>
    </row>
    <row r="33895" spans="1:2" x14ac:dyDescent="0.25">
      <c r="A33895" s="74">
        <v>38687</v>
      </c>
      <c r="B33895">
        <v>4.45</v>
      </c>
    </row>
    <row r="33896" spans="1:2" x14ac:dyDescent="0.25">
      <c r="A33896" s="74">
        <v>38688</v>
      </c>
      <c r="B33896">
        <v>4.21</v>
      </c>
    </row>
    <row r="33897" spans="1:2" x14ac:dyDescent="0.25">
      <c r="A33897" s="74">
        <v>38689</v>
      </c>
      <c r="B33897">
        <v>3.93</v>
      </c>
    </row>
    <row r="33898" spans="1:2" x14ac:dyDescent="0.25">
      <c r="A33898" s="74">
        <v>38690</v>
      </c>
      <c r="B33898">
        <v>3.64</v>
      </c>
    </row>
    <row r="33899" spans="1:2" x14ac:dyDescent="0.25">
      <c r="A33899" s="74">
        <v>38691</v>
      </c>
      <c r="B33899">
        <v>3.47</v>
      </c>
    </row>
    <row r="33900" spans="1:2" x14ac:dyDescent="0.25">
      <c r="A33900" s="74">
        <v>38692</v>
      </c>
      <c r="B33900">
        <v>3.42</v>
      </c>
    </row>
    <row r="33901" spans="1:2" x14ac:dyDescent="0.25">
      <c r="A33901" s="74">
        <v>38693</v>
      </c>
      <c r="B33901">
        <v>3.34</v>
      </c>
    </row>
    <row r="33902" spans="1:2" x14ac:dyDescent="0.25">
      <c r="A33902" s="74">
        <v>38694</v>
      </c>
      <c r="B33902">
        <v>3.24</v>
      </c>
    </row>
    <row r="33903" spans="1:2" x14ac:dyDescent="0.25">
      <c r="A33903" s="74">
        <v>38695</v>
      </c>
      <c r="B33903">
        <v>3.12</v>
      </c>
    </row>
    <row r="33904" spans="1:2" x14ac:dyDescent="0.25">
      <c r="A33904" s="74">
        <v>38696</v>
      </c>
      <c r="B33904">
        <v>3.01</v>
      </c>
    </row>
    <row r="33905" spans="1:2" x14ac:dyDescent="0.25">
      <c r="A33905" s="74">
        <v>38697</v>
      </c>
      <c r="B33905">
        <v>2.96</v>
      </c>
    </row>
    <row r="33906" spans="1:2" x14ac:dyDescent="0.25">
      <c r="A33906" s="74">
        <v>38698</v>
      </c>
      <c r="B33906">
        <v>2.92</v>
      </c>
    </row>
    <row r="33907" spans="1:2" x14ac:dyDescent="0.25">
      <c r="A33907" s="74">
        <v>38699</v>
      </c>
      <c r="B33907">
        <v>2.84</v>
      </c>
    </row>
    <row r="33908" spans="1:2" x14ac:dyDescent="0.25">
      <c r="A33908" s="74">
        <v>38700</v>
      </c>
      <c r="B33908">
        <v>2.72</v>
      </c>
    </row>
    <row r="33909" spans="1:2" x14ac:dyDescent="0.25">
      <c r="A33909" s="74">
        <v>38701</v>
      </c>
      <c r="B33909">
        <v>2.64</v>
      </c>
    </row>
    <row r="33910" spans="1:2" x14ac:dyDescent="0.25">
      <c r="A33910" s="74">
        <v>38702</v>
      </c>
      <c r="B33910">
        <v>2.5099999999999998</v>
      </c>
    </row>
    <row r="33911" spans="1:2" x14ac:dyDescent="0.25">
      <c r="A33911" s="74">
        <v>38703</v>
      </c>
      <c r="B33911">
        <v>2.46</v>
      </c>
    </row>
    <row r="33912" spans="1:2" x14ac:dyDescent="0.25">
      <c r="A33912" s="74">
        <v>38704</v>
      </c>
      <c r="B33912">
        <v>2.29</v>
      </c>
    </row>
    <row r="33913" spans="1:2" x14ac:dyDescent="0.25">
      <c r="A33913" s="74">
        <v>38705</v>
      </c>
      <c r="B33913">
        <v>2.39</v>
      </c>
    </row>
    <row r="33914" spans="1:2" x14ac:dyDescent="0.25">
      <c r="A33914" s="74">
        <v>38706</v>
      </c>
      <c r="B33914">
        <v>31.6</v>
      </c>
    </row>
    <row r="33915" spans="1:2" x14ac:dyDescent="0.25">
      <c r="A33915" s="74">
        <v>38707</v>
      </c>
      <c r="B33915">
        <v>89</v>
      </c>
    </row>
    <row r="33916" spans="1:2" x14ac:dyDescent="0.25">
      <c r="A33916" s="74">
        <v>38708</v>
      </c>
      <c r="B33916">
        <v>101</v>
      </c>
    </row>
    <row r="33917" spans="1:2" x14ac:dyDescent="0.25">
      <c r="A33917" s="74">
        <v>38709</v>
      </c>
      <c r="B33917">
        <v>74.099999999999994</v>
      </c>
    </row>
    <row r="33918" spans="1:2" x14ac:dyDescent="0.25">
      <c r="A33918" s="74">
        <v>38710</v>
      </c>
      <c r="B33918">
        <v>95.4</v>
      </c>
    </row>
    <row r="33919" spans="1:2" x14ac:dyDescent="0.25">
      <c r="A33919" s="74">
        <v>38711</v>
      </c>
      <c r="B33919">
        <v>78.099999999999994</v>
      </c>
    </row>
    <row r="33920" spans="1:2" x14ac:dyDescent="0.25">
      <c r="A33920" s="74">
        <v>38712</v>
      </c>
      <c r="B33920">
        <v>75.2</v>
      </c>
    </row>
    <row r="33921" spans="1:2" x14ac:dyDescent="0.25">
      <c r="A33921" s="74">
        <v>38713</v>
      </c>
      <c r="B33921">
        <v>71</v>
      </c>
    </row>
    <row r="33922" spans="1:2" x14ac:dyDescent="0.25">
      <c r="A33922" s="74">
        <v>38714</v>
      </c>
      <c r="B33922">
        <v>53.2</v>
      </c>
    </row>
    <row r="33923" spans="1:2" x14ac:dyDescent="0.25">
      <c r="A33923" s="74">
        <v>38715</v>
      </c>
      <c r="B33923">
        <v>40.4</v>
      </c>
    </row>
    <row r="33924" spans="1:2" x14ac:dyDescent="0.25">
      <c r="A33924" s="74">
        <v>38716</v>
      </c>
      <c r="B33924">
        <v>37.700000000000003</v>
      </c>
    </row>
    <row r="33925" spans="1:2" x14ac:dyDescent="0.25">
      <c r="A33925" s="74">
        <v>38717</v>
      </c>
      <c r="B33925">
        <v>46.2</v>
      </c>
    </row>
    <row r="33926" spans="1:2" x14ac:dyDescent="0.25">
      <c r="A33926" s="74">
        <v>38718</v>
      </c>
      <c r="B33926">
        <v>58.1</v>
      </c>
    </row>
    <row r="33927" spans="1:2" x14ac:dyDescent="0.25">
      <c r="A33927" s="74">
        <v>38719</v>
      </c>
      <c r="B33927">
        <v>77.900000000000006</v>
      </c>
    </row>
    <row r="33928" spans="1:2" x14ac:dyDescent="0.25">
      <c r="A33928" s="74">
        <v>38720</v>
      </c>
      <c r="B33928">
        <v>41.2</v>
      </c>
    </row>
    <row r="33929" spans="1:2" x14ac:dyDescent="0.25">
      <c r="A33929" s="74">
        <v>38721</v>
      </c>
      <c r="B33929">
        <v>31.9</v>
      </c>
    </row>
    <row r="33930" spans="1:2" x14ac:dyDescent="0.25">
      <c r="A33930" s="74">
        <v>38722</v>
      </c>
      <c r="B33930">
        <v>117</v>
      </c>
    </row>
    <row r="33931" spans="1:2" x14ac:dyDescent="0.25">
      <c r="A33931" s="74">
        <v>38723</v>
      </c>
      <c r="B33931">
        <v>101</v>
      </c>
    </row>
    <row r="33932" spans="1:2" x14ac:dyDescent="0.25">
      <c r="A33932" s="74">
        <v>38724</v>
      </c>
      <c r="B33932">
        <v>58.9</v>
      </c>
    </row>
    <row r="33933" spans="1:2" x14ac:dyDescent="0.25">
      <c r="A33933" s="74">
        <v>38725</v>
      </c>
      <c r="B33933">
        <v>36.700000000000003</v>
      </c>
    </row>
    <row r="33934" spans="1:2" x14ac:dyDescent="0.25">
      <c r="A33934" s="74">
        <v>38726</v>
      </c>
      <c r="B33934">
        <v>103</v>
      </c>
    </row>
    <row r="33935" spans="1:2" x14ac:dyDescent="0.25">
      <c r="A33935" s="74">
        <v>38727</v>
      </c>
      <c r="B33935">
        <v>62.9</v>
      </c>
    </row>
    <row r="33936" spans="1:2" x14ac:dyDescent="0.25">
      <c r="A33936" s="74">
        <v>38728</v>
      </c>
      <c r="B33936">
        <v>46.7</v>
      </c>
    </row>
    <row r="33937" spans="1:2" x14ac:dyDescent="0.25">
      <c r="A33937" s="74">
        <v>38729</v>
      </c>
      <c r="B33937">
        <v>37.5</v>
      </c>
    </row>
    <row r="33938" spans="1:2" x14ac:dyDescent="0.25">
      <c r="A33938" s="74">
        <v>38730</v>
      </c>
      <c r="B33938">
        <v>82.9</v>
      </c>
    </row>
    <row r="33939" spans="1:2" x14ac:dyDescent="0.25">
      <c r="A33939" s="74">
        <v>38731</v>
      </c>
      <c r="B33939">
        <v>63.9</v>
      </c>
    </row>
    <row r="33940" spans="1:2" x14ac:dyDescent="0.25">
      <c r="A33940" s="74">
        <v>38732</v>
      </c>
      <c r="B33940">
        <v>35.299999999999997</v>
      </c>
    </row>
    <row r="33941" spans="1:2" x14ac:dyDescent="0.25">
      <c r="A33941" s="74">
        <v>38733</v>
      </c>
      <c r="B33941">
        <v>29.8</v>
      </c>
    </row>
    <row r="33942" spans="1:2" x14ac:dyDescent="0.25">
      <c r="A33942" s="74">
        <v>38734</v>
      </c>
      <c r="B33942">
        <v>96.5</v>
      </c>
    </row>
    <row r="33943" spans="1:2" x14ac:dyDescent="0.25">
      <c r="A33943" s="74">
        <v>38735</v>
      </c>
      <c r="B33943">
        <v>56.6</v>
      </c>
    </row>
    <row r="33944" spans="1:2" x14ac:dyDescent="0.25">
      <c r="A33944" s="74">
        <v>38736</v>
      </c>
      <c r="B33944">
        <v>33.200000000000003</v>
      </c>
    </row>
    <row r="33945" spans="1:2" x14ac:dyDescent="0.25">
      <c r="A33945" s="74">
        <v>38737</v>
      </c>
      <c r="B33945">
        <v>23.9</v>
      </c>
    </row>
    <row r="33946" spans="1:2" x14ac:dyDescent="0.25">
      <c r="A33946" s="74">
        <v>38738</v>
      </c>
      <c r="B33946">
        <v>18.100000000000001</v>
      </c>
    </row>
    <row r="33947" spans="1:2" x14ac:dyDescent="0.25">
      <c r="A33947" s="74">
        <v>38739</v>
      </c>
      <c r="B33947">
        <v>14.9</v>
      </c>
    </row>
    <row r="33948" spans="1:2" x14ac:dyDescent="0.25">
      <c r="A33948" s="74">
        <v>38740</v>
      </c>
      <c r="B33948">
        <v>13.1</v>
      </c>
    </row>
    <row r="33949" spans="1:2" x14ac:dyDescent="0.25">
      <c r="A33949" s="74">
        <v>38741</v>
      </c>
      <c r="B33949">
        <v>12</v>
      </c>
    </row>
    <row r="33950" spans="1:2" x14ac:dyDescent="0.25">
      <c r="A33950" s="74">
        <v>38742</v>
      </c>
      <c r="B33950">
        <v>12.2</v>
      </c>
    </row>
    <row r="33951" spans="1:2" x14ac:dyDescent="0.25">
      <c r="A33951" s="74">
        <v>38743</v>
      </c>
      <c r="B33951">
        <v>17</v>
      </c>
    </row>
    <row r="33952" spans="1:2" x14ac:dyDescent="0.25">
      <c r="A33952" s="74">
        <v>38744</v>
      </c>
      <c r="B33952">
        <v>17.5</v>
      </c>
    </row>
    <row r="33953" spans="1:2" x14ac:dyDescent="0.25">
      <c r="A33953" s="74">
        <v>38745</v>
      </c>
      <c r="B33953">
        <v>19.8</v>
      </c>
    </row>
    <row r="33954" spans="1:2" x14ac:dyDescent="0.25">
      <c r="A33954" s="74">
        <v>38746</v>
      </c>
      <c r="B33954">
        <v>19.5</v>
      </c>
    </row>
    <row r="33955" spans="1:2" x14ac:dyDescent="0.25">
      <c r="A33955" s="74">
        <v>38747</v>
      </c>
      <c r="B33955">
        <v>32.200000000000003</v>
      </c>
    </row>
    <row r="33956" spans="1:2" x14ac:dyDescent="0.25">
      <c r="A33956" s="74">
        <v>38748</v>
      </c>
      <c r="B33956">
        <v>28.9</v>
      </c>
    </row>
    <row r="33957" spans="1:2" x14ac:dyDescent="0.25">
      <c r="A33957" s="74">
        <v>38749</v>
      </c>
      <c r="B33957">
        <v>51.5</v>
      </c>
    </row>
    <row r="33958" spans="1:2" x14ac:dyDescent="0.25">
      <c r="A33958" s="74">
        <v>38750</v>
      </c>
      <c r="B33958">
        <v>62.1</v>
      </c>
    </row>
    <row r="33959" spans="1:2" x14ac:dyDescent="0.25">
      <c r="A33959" s="74">
        <v>38751</v>
      </c>
      <c r="B33959">
        <v>39.799999999999997</v>
      </c>
    </row>
    <row r="33960" spans="1:2" x14ac:dyDescent="0.25">
      <c r="A33960" s="74">
        <v>38752</v>
      </c>
      <c r="B33960">
        <v>101</v>
      </c>
    </row>
    <row r="33961" spans="1:2" x14ac:dyDescent="0.25">
      <c r="A33961" s="74">
        <v>38753</v>
      </c>
      <c r="B33961">
        <v>64.400000000000006</v>
      </c>
    </row>
    <row r="33962" spans="1:2" x14ac:dyDescent="0.25">
      <c r="A33962" s="74">
        <v>38754</v>
      </c>
      <c r="B33962">
        <v>34.6</v>
      </c>
    </row>
    <row r="33963" spans="1:2" x14ac:dyDescent="0.25">
      <c r="A33963" s="74">
        <v>38755</v>
      </c>
      <c r="B33963">
        <v>22.5</v>
      </c>
    </row>
    <row r="33964" spans="1:2" x14ac:dyDescent="0.25">
      <c r="A33964" s="74">
        <v>38756</v>
      </c>
      <c r="B33964">
        <v>17.5</v>
      </c>
    </row>
    <row r="33965" spans="1:2" x14ac:dyDescent="0.25">
      <c r="A33965" s="74">
        <v>38757</v>
      </c>
      <c r="B33965">
        <v>14.7</v>
      </c>
    </row>
    <row r="33966" spans="1:2" x14ac:dyDescent="0.25">
      <c r="A33966" s="74">
        <v>38758</v>
      </c>
      <c r="B33966">
        <v>12.6</v>
      </c>
    </row>
    <row r="33967" spans="1:2" x14ac:dyDescent="0.25">
      <c r="A33967" s="74">
        <v>38759</v>
      </c>
      <c r="B33967">
        <v>11.1</v>
      </c>
    </row>
    <row r="33968" spans="1:2" x14ac:dyDescent="0.25">
      <c r="A33968" s="74">
        <v>38760</v>
      </c>
      <c r="B33968">
        <v>9.92</v>
      </c>
    </row>
    <row r="33969" spans="1:2" x14ac:dyDescent="0.25">
      <c r="A33969" s="74">
        <v>38761</v>
      </c>
      <c r="B33969">
        <v>9.8000000000000007</v>
      </c>
    </row>
    <row r="33970" spans="1:2" x14ac:dyDescent="0.25">
      <c r="A33970" s="74">
        <v>38762</v>
      </c>
      <c r="B33970">
        <v>9.3800000000000008</v>
      </c>
    </row>
    <row r="33971" spans="1:2" x14ac:dyDescent="0.25">
      <c r="A33971" s="74">
        <v>38763</v>
      </c>
      <c r="B33971">
        <v>8.6999999999999993</v>
      </c>
    </row>
    <row r="33972" spans="1:2" x14ac:dyDescent="0.25">
      <c r="A33972" s="74">
        <v>38764</v>
      </c>
      <c r="B33972">
        <v>7.99</v>
      </c>
    </row>
    <row r="33973" spans="1:2" x14ac:dyDescent="0.25">
      <c r="A33973" s="74">
        <v>38765</v>
      </c>
      <c r="B33973">
        <v>7.3</v>
      </c>
    </row>
    <row r="33974" spans="1:2" x14ac:dyDescent="0.25">
      <c r="A33974" s="74">
        <v>38766</v>
      </c>
      <c r="B33974">
        <v>6.68</v>
      </c>
    </row>
    <row r="33975" spans="1:2" x14ac:dyDescent="0.25">
      <c r="A33975" s="74">
        <v>38767</v>
      </c>
      <c r="B33975">
        <v>6.37</v>
      </c>
    </row>
    <row r="33976" spans="1:2" x14ac:dyDescent="0.25">
      <c r="A33976" s="74">
        <v>38768</v>
      </c>
      <c r="B33976">
        <v>6.06</v>
      </c>
    </row>
    <row r="33977" spans="1:2" x14ac:dyDescent="0.25">
      <c r="A33977" s="74">
        <v>38769</v>
      </c>
      <c r="B33977">
        <v>5.73</v>
      </c>
    </row>
    <row r="33978" spans="1:2" x14ac:dyDescent="0.25">
      <c r="A33978" s="74">
        <v>38770</v>
      </c>
      <c r="B33978">
        <v>5.49</v>
      </c>
    </row>
    <row r="33979" spans="1:2" x14ac:dyDescent="0.25">
      <c r="A33979" s="74">
        <v>38771</v>
      </c>
      <c r="B33979">
        <v>5.4</v>
      </c>
    </row>
    <row r="33980" spans="1:2" x14ac:dyDescent="0.25">
      <c r="A33980" s="74">
        <v>38772</v>
      </c>
      <c r="B33980">
        <v>5.19</v>
      </c>
    </row>
    <row r="33981" spans="1:2" x14ac:dyDescent="0.25">
      <c r="A33981" s="74">
        <v>38773</v>
      </c>
      <c r="B33981">
        <v>4.83</v>
      </c>
    </row>
    <row r="33982" spans="1:2" x14ac:dyDescent="0.25">
      <c r="A33982" s="74">
        <v>38774</v>
      </c>
      <c r="B33982">
        <v>4.91</v>
      </c>
    </row>
    <row r="33983" spans="1:2" x14ac:dyDescent="0.25">
      <c r="A33983" s="74">
        <v>38775</v>
      </c>
      <c r="B33983">
        <v>9.42</v>
      </c>
    </row>
    <row r="33984" spans="1:2" x14ac:dyDescent="0.25">
      <c r="A33984" s="74">
        <v>38776</v>
      </c>
      <c r="B33984">
        <v>10.9</v>
      </c>
    </row>
    <row r="33985" spans="1:2" x14ac:dyDescent="0.25">
      <c r="A33985" s="74">
        <v>38777</v>
      </c>
      <c r="B33985">
        <v>9.8800000000000008</v>
      </c>
    </row>
    <row r="33986" spans="1:2" x14ac:dyDescent="0.25">
      <c r="A33986" s="74">
        <v>38778</v>
      </c>
      <c r="B33986">
        <v>12.8</v>
      </c>
    </row>
    <row r="33987" spans="1:2" x14ac:dyDescent="0.25">
      <c r="A33987" s="74">
        <v>38779</v>
      </c>
      <c r="B33987">
        <v>12.7</v>
      </c>
    </row>
    <row r="33988" spans="1:2" x14ac:dyDescent="0.25">
      <c r="A33988" s="74">
        <v>38780</v>
      </c>
      <c r="B33988">
        <v>10.9</v>
      </c>
    </row>
    <row r="33989" spans="1:2" x14ac:dyDescent="0.25">
      <c r="A33989" s="74">
        <v>38781</v>
      </c>
      <c r="B33989">
        <v>10.1</v>
      </c>
    </row>
    <row r="33990" spans="1:2" x14ac:dyDescent="0.25">
      <c r="A33990" s="74">
        <v>38782</v>
      </c>
      <c r="B33990">
        <v>13.3</v>
      </c>
    </row>
    <row r="33991" spans="1:2" x14ac:dyDescent="0.25">
      <c r="A33991" s="74">
        <v>38783</v>
      </c>
      <c r="B33991">
        <v>27.2</v>
      </c>
    </row>
    <row r="33992" spans="1:2" x14ac:dyDescent="0.25">
      <c r="A33992" s="74">
        <v>38784</v>
      </c>
      <c r="B33992">
        <v>24.1</v>
      </c>
    </row>
    <row r="33993" spans="1:2" x14ac:dyDescent="0.25">
      <c r="A33993" s="74">
        <v>38785</v>
      </c>
      <c r="B33993">
        <v>27.4</v>
      </c>
    </row>
    <row r="33994" spans="1:2" x14ac:dyDescent="0.25">
      <c r="A33994" s="74">
        <v>38786</v>
      </c>
      <c r="B33994">
        <v>17.5</v>
      </c>
    </row>
    <row r="33995" spans="1:2" x14ac:dyDescent="0.25">
      <c r="A33995" s="74">
        <v>38787</v>
      </c>
      <c r="B33995">
        <v>13</v>
      </c>
    </row>
    <row r="33996" spans="1:2" x14ac:dyDescent="0.25">
      <c r="A33996" s="74">
        <v>38788</v>
      </c>
      <c r="B33996">
        <v>10.7</v>
      </c>
    </row>
    <row r="33997" spans="1:2" x14ac:dyDescent="0.25">
      <c r="A33997" s="74">
        <v>38789</v>
      </c>
      <c r="B33997">
        <v>9.23</v>
      </c>
    </row>
    <row r="33998" spans="1:2" x14ac:dyDescent="0.25">
      <c r="A33998" s="74">
        <v>38790</v>
      </c>
      <c r="B33998">
        <v>8.2100000000000009</v>
      </c>
    </row>
    <row r="33999" spans="1:2" x14ac:dyDescent="0.25">
      <c r="A33999" s="74">
        <v>38791</v>
      </c>
      <c r="B33999">
        <v>7.85</v>
      </c>
    </row>
    <row r="34000" spans="1:2" x14ac:dyDescent="0.25">
      <c r="A34000" s="74">
        <v>38792</v>
      </c>
      <c r="B34000">
        <v>8.4700000000000006</v>
      </c>
    </row>
    <row r="34001" spans="1:2" x14ac:dyDescent="0.25">
      <c r="A34001" s="74">
        <v>38793</v>
      </c>
      <c r="B34001">
        <v>9.43</v>
      </c>
    </row>
    <row r="34002" spans="1:2" x14ac:dyDescent="0.25">
      <c r="A34002" s="74">
        <v>38794</v>
      </c>
      <c r="B34002">
        <v>8.7100000000000009</v>
      </c>
    </row>
    <row r="34003" spans="1:2" x14ac:dyDescent="0.25">
      <c r="A34003" s="74">
        <v>38795</v>
      </c>
      <c r="B34003">
        <v>7.88</v>
      </c>
    </row>
    <row r="34004" spans="1:2" x14ac:dyDescent="0.25">
      <c r="A34004" s="74">
        <v>38796</v>
      </c>
      <c r="B34004">
        <v>7.21</v>
      </c>
    </row>
    <row r="34005" spans="1:2" x14ac:dyDescent="0.25">
      <c r="A34005" s="74">
        <v>38797</v>
      </c>
      <c r="B34005">
        <v>6.67</v>
      </c>
    </row>
    <row r="34006" spans="1:2" x14ac:dyDescent="0.25">
      <c r="A34006" s="74">
        <v>38798</v>
      </c>
      <c r="B34006">
        <v>8.01</v>
      </c>
    </row>
    <row r="34007" spans="1:2" x14ac:dyDescent="0.25">
      <c r="A34007" s="74">
        <v>38799</v>
      </c>
      <c r="B34007">
        <v>30.7</v>
      </c>
    </row>
    <row r="34008" spans="1:2" x14ac:dyDescent="0.25">
      <c r="A34008" s="74">
        <v>38800</v>
      </c>
      <c r="B34008">
        <v>55.1</v>
      </c>
    </row>
    <row r="34009" spans="1:2" x14ac:dyDescent="0.25">
      <c r="A34009" s="74">
        <v>38801</v>
      </c>
      <c r="B34009">
        <v>35.200000000000003</v>
      </c>
    </row>
    <row r="34010" spans="1:2" x14ac:dyDescent="0.25">
      <c r="A34010" s="74">
        <v>38802</v>
      </c>
      <c r="B34010">
        <v>22.1</v>
      </c>
    </row>
    <row r="34011" spans="1:2" x14ac:dyDescent="0.25">
      <c r="A34011" s="74">
        <v>38803</v>
      </c>
      <c r="B34011">
        <v>16.100000000000001</v>
      </c>
    </row>
    <row r="34012" spans="1:2" x14ac:dyDescent="0.25">
      <c r="A34012" s="74">
        <v>38804</v>
      </c>
      <c r="B34012">
        <v>12.9</v>
      </c>
    </row>
    <row r="34013" spans="1:2" x14ac:dyDescent="0.25">
      <c r="A34013" s="74">
        <v>38805</v>
      </c>
      <c r="B34013">
        <v>11.3</v>
      </c>
    </row>
    <row r="34014" spans="1:2" x14ac:dyDescent="0.25">
      <c r="A34014" s="74">
        <v>38806</v>
      </c>
      <c r="B34014">
        <v>10.5</v>
      </c>
    </row>
    <row r="34015" spans="1:2" x14ac:dyDescent="0.25">
      <c r="A34015" s="74">
        <v>38807</v>
      </c>
      <c r="B34015">
        <v>11.8</v>
      </c>
    </row>
    <row r="34016" spans="1:2" x14ac:dyDescent="0.25">
      <c r="A34016" s="74">
        <v>38808</v>
      </c>
      <c r="B34016">
        <v>14.9</v>
      </c>
    </row>
    <row r="34017" spans="1:2" x14ac:dyDescent="0.25">
      <c r="A34017" s="74">
        <v>38809</v>
      </c>
      <c r="B34017">
        <v>15.1</v>
      </c>
    </row>
    <row r="34018" spans="1:2" x14ac:dyDescent="0.25">
      <c r="A34018" s="74">
        <v>38810</v>
      </c>
      <c r="B34018">
        <v>13.5</v>
      </c>
    </row>
    <row r="34019" spans="1:2" x14ac:dyDescent="0.25">
      <c r="A34019" s="74">
        <v>38811</v>
      </c>
      <c r="B34019">
        <v>13.7</v>
      </c>
    </row>
    <row r="34020" spans="1:2" x14ac:dyDescent="0.25">
      <c r="A34020" s="74">
        <v>38812</v>
      </c>
      <c r="B34020">
        <v>12.7</v>
      </c>
    </row>
    <row r="34021" spans="1:2" x14ac:dyDescent="0.25">
      <c r="A34021" s="74">
        <v>38813</v>
      </c>
      <c r="B34021">
        <v>12.1</v>
      </c>
    </row>
    <row r="34022" spans="1:2" x14ac:dyDescent="0.25">
      <c r="A34022" s="74">
        <v>38814</v>
      </c>
      <c r="B34022">
        <v>11</v>
      </c>
    </row>
    <row r="34023" spans="1:2" x14ac:dyDescent="0.25">
      <c r="A34023" s="74">
        <v>38815</v>
      </c>
      <c r="B34023">
        <v>11.1</v>
      </c>
    </row>
    <row r="34024" spans="1:2" x14ac:dyDescent="0.25">
      <c r="A34024" s="74">
        <v>38816</v>
      </c>
      <c r="B34024">
        <v>13.2</v>
      </c>
    </row>
    <row r="34025" spans="1:2" x14ac:dyDescent="0.25">
      <c r="A34025" s="74">
        <v>38817</v>
      </c>
      <c r="B34025">
        <v>16</v>
      </c>
    </row>
    <row r="34026" spans="1:2" x14ac:dyDescent="0.25">
      <c r="A34026" s="74">
        <v>38818</v>
      </c>
      <c r="B34026">
        <v>16.2</v>
      </c>
    </row>
    <row r="34027" spans="1:2" x14ac:dyDescent="0.25">
      <c r="A34027" s="74">
        <v>38819</v>
      </c>
      <c r="B34027">
        <v>14.3</v>
      </c>
    </row>
    <row r="34028" spans="1:2" x14ac:dyDescent="0.25">
      <c r="A34028" s="74">
        <v>38820</v>
      </c>
      <c r="B34028">
        <v>13.2</v>
      </c>
    </row>
    <row r="34029" spans="1:2" x14ac:dyDescent="0.25">
      <c r="A34029" s="74">
        <v>38821</v>
      </c>
      <c r="B34029">
        <v>19.100000000000001</v>
      </c>
    </row>
    <row r="34030" spans="1:2" x14ac:dyDescent="0.25">
      <c r="A34030" s="74">
        <v>38822</v>
      </c>
      <c r="B34030">
        <v>16.3</v>
      </c>
    </row>
    <row r="34031" spans="1:2" x14ac:dyDescent="0.25">
      <c r="A34031" s="74">
        <v>38823</v>
      </c>
      <c r="B34031">
        <v>15.2</v>
      </c>
    </row>
    <row r="34032" spans="1:2" x14ac:dyDescent="0.25">
      <c r="A34032" s="74">
        <v>38824</v>
      </c>
      <c r="B34032">
        <v>13.8</v>
      </c>
    </row>
    <row r="34033" spans="1:2" x14ac:dyDescent="0.25">
      <c r="A34033" s="74">
        <v>38825</v>
      </c>
      <c r="B34033">
        <v>12.2</v>
      </c>
    </row>
    <row r="34034" spans="1:2" x14ac:dyDescent="0.25">
      <c r="A34034" s="74">
        <v>38826</v>
      </c>
      <c r="B34034">
        <v>10.9</v>
      </c>
    </row>
    <row r="34035" spans="1:2" x14ac:dyDescent="0.25">
      <c r="A34035" s="74">
        <v>38827</v>
      </c>
      <c r="B34035">
        <v>12.8</v>
      </c>
    </row>
    <row r="34036" spans="1:2" x14ac:dyDescent="0.25">
      <c r="A34036" s="74">
        <v>38828</v>
      </c>
      <c r="B34036">
        <v>21.1</v>
      </c>
    </row>
    <row r="34037" spans="1:2" x14ac:dyDescent="0.25">
      <c r="A34037" s="74">
        <v>38829</v>
      </c>
      <c r="B34037">
        <v>18.100000000000001</v>
      </c>
    </row>
    <row r="34038" spans="1:2" x14ac:dyDescent="0.25">
      <c r="A34038" s="74">
        <v>38830</v>
      </c>
      <c r="B34038">
        <v>14.9</v>
      </c>
    </row>
    <row r="34039" spans="1:2" x14ac:dyDescent="0.25">
      <c r="A34039" s="74">
        <v>38831</v>
      </c>
      <c r="B34039">
        <v>13.8</v>
      </c>
    </row>
    <row r="34040" spans="1:2" x14ac:dyDescent="0.25">
      <c r="A34040" s="74">
        <v>38832</v>
      </c>
      <c r="B34040">
        <v>15.3</v>
      </c>
    </row>
    <row r="34041" spans="1:2" x14ac:dyDescent="0.25">
      <c r="A34041" s="74">
        <v>38833</v>
      </c>
      <c r="B34041">
        <v>15.8</v>
      </c>
    </row>
    <row r="34042" spans="1:2" x14ac:dyDescent="0.25">
      <c r="A34042" s="74">
        <v>38834</v>
      </c>
      <c r="B34042">
        <v>13.5</v>
      </c>
    </row>
    <row r="34043" spans="1:2" x14ac:dyDescent="0.25">
      <c r="A34043" s="74">
        <v>38835</v>
      </c>
      <c r="B34043">
        <v>14.2</v>
      </c>
    </row>
    <row r="34044" spans="1:2" x14ac:dyDescent="0.25">
      <c r="A34044" s="74">
        <v>38836</v>
      </c>
      <c r="B34044">
        <v>19.3</v>
      </c>
    </row>
    <row r="34045" spans="1:2" x14ac:dyDescent="0.25">
      <c r="A34045" s="74">
        <v>38837</v>
      </c>
      <c r="B34045">
        <v>16.399999999999999</v>
      </c>
    </row>
    <row r="34046" spans="1:2" x14ac:dyDescent="0.25">
      <c r="A34046" s="74">
        <v>38838</v>
      </c>
      <c r="B34046">
        <v>13</v>
      </c>
    </row>
    <row r="34047" spans="1:2" x14ac:dyDescent="0.25">
      <c r="A34047" s="74">
        <v>38839</v>
      </c>
      <c r="B34047">
        <v>11</v>
      </c>
    </row>
    <row r="34048" spans="1:2" x14ac:dyDescent="0.25">
      <c r="A34048" s="74">
        <v>38840</v>
      </c>
      <c r="B34048">
        <v>9.92</v>
      </c>
    </row>
    <row r="34049" spans="1:2" x14ac:dyDescent="0.25">
      <c r="A34049" s="74">
        <v>38841</v>
      </c>
      <c r="B34049">
        <v>9.9600000000000009</v>
      </c>
    </row>
    <row r="34050" spans="1:2" x14ac:dyDescent="0.25">
      <c r="A34050" s="74">
        <v>38842</v>
      </c>
      <c r="B34050">
        <v>11.5</v>
      </c>
    </row>
    <row r="34051" spans="1:2" x14ac:dyDescent="0.25">
      <c r="A34051" s="74">
        <v>38843</v>
      </c>
      <c r="B34051">
        <v>13.1</v>
      </c>
    </row>
    <row r="34052" spans="1:2" x14ac:dyDescent="0.25">
      <c r="A34052" s="74">
        <v>38844</v>
      </c>
      <c r="B34052">
        <v>12.6</v>
      </c>
    </row>
    <row r="34053" spans="1:2" x14ac:dyDescent="0.25">
      <c r="A34053" s="74">
        <v>38845</v>
      </c>
      <c r="B34053">
        <v>12.3</v>
      </c>
    </row>
    <row r="34054" spans="1:2" x14ac:dyDescent="0.25">
      <c r="A34054" s="74">
        <v>38846</v>
      </c>
      <c r="B34054">
        <v>10.199999999999999</v>
      </c>
    </row>
    <row r="34055" spans="1:2" x14ac:dyDescent="0.25">
      <c r="A34055" s="74">
        <v>38847</v>
      </c>
      <c r="B34055">
        <v>9.2899999999999991</v>
      </c>
    </row>
    <row r="34056" spans="1:2" x14ac:dyDescent="0.25">
      <c r="A34056" s="74">
        <v>38848</v>
      </c>
      <c r="B34056">
        <v>10.1</v>
      </c>
    </row>
    <row r="34057" spans="1:2" x14ac:dyDescent="0.25">
      <c r="A34057" s="74">
        <v>38849</v>
      </c>
      <c r="B34057">
        <v>10.3</v>
      </c>
    </row>
    <row r="34058" spans="1:2" x14ac:dyDescent="0.25">
      <c r="A34058" s="74">
        <v>38850</v>
      </c>
      <c r="B34058">
        <v>9.3800000000000008</v>
      </c>
    </row>
    <row r="34059" spans="1:2" x14ac:dyDescent="0.25">
      <c r="A34059" s="74">
        <v>38851</v>
      </c>
      <c r="B34059">
        <v>8.5500000000000007</v>
      </c>
    </row>
    <row r="34060" spans="1:2" x14ac:dyDescent="0.25">
      <c r="A34060" s="74">
        <v>38852</v>
      </c>
      <c r="B34060">
        <v>9.3699999999999992</v>
      </c>
    </row>
    <row r="34061" spans="1:2" x14ac:dyDescent="0.25">
      <c r="A34061" s="74">
        <v>38853</v>
      </c>
      <c r="B34061">
        <v>18.5</v>
      </c>
    </row>
    <row r="34062" spans="1:2" x14ac:dyDescent="0.25">
      <c r="A34062" s="74">
        <v>38854</v>
      </c>
      <c r="B34062">
        <v>22.9</v>
      </c>
    </row>
    <row r="34063" spans="1:2" x14ac:dyDescent="0.25">
      <c r="A34063" s="74">
        <v>38855</v>
      </c>
      <c r="B34063">
        <v>20.5</v>
      </c>
    </row>
    <row r="34064" spans="1:2" x14ac:dyDescent="0.25">
      <c r="A34064" s="74">
        <v>38856</v>
      </c>
      <c r="B34064">
        <v>18.899999999999999</v>
      </c>
    </row>
    <row r="34065" spans="1:2" x14ac:dyDescent="0.25">
      <c r="A34065" s="74">
        <v>38857</v>
      </c>
      <c r="B34065">
        <v>17.100000000000001</v>
      </c>
    </row>
    <row r="34066" spans="1:2" x14ac:dyDescent="0.25">
      <c r="A34066" s="74">
        <v>38858</v>
      </c>
      <c r="B34066">
        <v>14.8</v>
      </c>
    </row>
    <row r="34067" spans="1:2" x14ac:dyDescent="0.25">
      <c r="A34067" s="74">
        <v>38859</v>
      </c>
      <c r="B34067">
        <v>14.8</v>
      </c>
    </row>
    <row r="34068" spans="1:2" x14ac:dyDescent="0.25">
      <c r="A34068" s="74">
        <v>38860</v>
      </c>
      <c r="B34068">
        <v>16.899999999999999</v>
      </c>
    </row>
    <row r="34069" spans="1:2" x14ac:dyDescent="0.25">
      <c r="A34069" s="74">
        <v>38861</v>
      </c>
      <c r="B34069">
        <v>16</v>
      </c>
    </row>
    <row r="34070" spans="1:2" x14ac:dyDescent="0.25">
      <c r="A34070" s="74">
        <v>38862</v>
      </c>
      <c r="B34070">
        <v>15.1</v>
      </c>
    </row>
    <row r="34071" spans="1:2" x14ac:dyDescent="0.25">
      <c r="A34071" s="74">
        <v>38863</v>
      </c>
      <c r="B34071">
        <v>11.9</v>
      </c>
    </row>
    <row r="34072" spans="1:2" x14ac:dyDescent="0.25">
      <c r="A34072" s="74">
        <v>38864</v>
      </c>
      <c r="B34072">
        <v>10.9</v>
      </c>
    </row>
    <row r="34073" spans="1:2" x14ac:dyDescent="0.25">
      <c r="A34073" s="74">
        <v>38865</v>
      </c>
      <c r="B34073">
        <v>10.5</v>
      </c>
    </row>
    <row r="34074" spans="1:2" x14ac:dyDescent="0.25">
      <c r="A34074" s="74">
        <v>38866</v>
      </c>
      <c r="B34074">
        <v>9.65</v>
      </c>
    </row>
    <row r="34075" spans="1:2" x14ac:dyDescent="0.25">
      <c r="A34075" s="74">
        <v>38867</v>
      </c>
      <c r="B34075">
        <v>8.51</v>
      </c>
    </row>
    <row r="34076" spans="1:2" x14ac:dyDescent="0.25">
      <c r="A34076" s="74">
        <v>38868</v>
      </c>
      <c r="B34076">
        <v>8.41</v>
      </c>
    </row>
    <row r="34077" spans="1:2" x14ac:dyDescent="0.25">
      <c r="A34077" s="74">
        <v>38869</v>
      </c>
      <c r="B34077">
        <v>11.6</v>
      </c>
    </row>
    <row r="34078" spans="1:2" x14ac:dyDescent="0.25">
      <c r="A34078" s="74">
        <v>38870</v>
      </c>
      <c r="B34078">
        <v>16.399999999999999</v>
      </c>
    </row>
    <row r="34079" spans="1:2" x14ac:dyDescent="0.25">
      <c r="A34079" s="74">
        <v>38871</v>
      </c>
      <c r="B34079">
        <v>12.4</v>
      </c>
    </row>
    <row r="34080" spans="1:2" x14ac:dyDescent="0.25">
      <c r="A34080" s="74">
        <v>38872</v>
      </c>
      <c r="B34080">
        <v>9.8000000000000007</v>
      </c>
    </row>
    <row r="34081" spans="1:2" x14ac:dyDescent="0.25">
      <c r="A34081" s="74">
        <v>38873</v>
      </c>
      <c r="B34081">
        <v>8.4</v>
      </c>
    </row>
    <row r="34082" spans="1:2" x14ac:dyDescent="0.25">
      <c r="A34082" s="74">
        <v>38874</v>
      </c>
      <c r="B34082">
        <v>7.79</v>
      </c>
    </row>
    <row r="34083" spans="1:2" x14ac:dyDescent="0.25">
      <c r="A34083" s="74">
        <v>38875</v>
      </c>
      <c r="B34083">
        <v>7.24</v>
      </c>
    </row>
    <row r="34084" spans="1:2" x14ac:dyDescent="0.25">
      <c r="A34084" s="74">
        <v>38876</v>
      </c>
      <c r="B34084">
        <v>7.37</v>
      </c>
    </row>
    <row r="34085" spans="1:2" x14ac:dyDescent="0.25">
      <c r="A34085" s="74">
        <v>38877</v>
      </c>
      <c r="B34085">
        <v>7.78</v>
      </c>
    </row>
    <row r="34086" spans="1:2" x14ac:dyDescent="0.25">
      <c r="A34086" s="74">
        <v>38878</v>
      </c>
      <c r="B34086">
        <v>7.44</v>
      </c>
    </row>
    <row r="34087" spans="1:2" x14ac:dyDescent="0.25">
      <c r="A34087" s="74">
        <v>38879</v>
      </c>
      <c r="B34087">
        <v>7.86</v>
      </c>
    </row>
    <row r="34088" spans="1:2" x14ac:dyDescent="0.25">
      <c r="A34088" s="74">
        <v>38880</v>
      </c>
      <c r="B34088">
        <v>7.54</v>
      </c>
    </row>
    <row r="34089" spans="1:2" x14ac:dyDescent="0.25">
      <c r="A34089" s="74">
        <v>38881</v>
      </c>
      <c r="B34089">
        <v>7.5</v>
      </c>
    </row>
    <row r="34090" spans="1:2" x14ac:dyDescent="0.25">
      <c r="A34090" s="74">
        <v>38882</v>
      </c>
      <c r="B34090">
        <v>7.07</v>
      </c>
    </row>
    <row r="34091" spans="1:2" x14ac:dyDescent="0.25">
      <c r="A34091" s="74">
        <v>38883</v>
      </c>
      <c r="B34091">
        <v>6.23</v>
      </c>
    </row>
    <row r="34092" spans="1:2" x14ac:dyDescent="0.25">
      <c r="A34092" s="74">
        <v>38884</v>
      </c>
      <c r="B34092">
        <v>6.19</v>
      </c>
    </row>
    <row r="34093" spans="1:2" x14ac:dyDescent="0.25">
      <c r="A34093" s="74">
        <v>38885</v>
      </c>
      <c r="B34093">
        <v>6.36</v>
      </c>
    </row>
    <row r="34094" spans="1:2" x14ac:dyDescent="0.25">
      <c r="A34094" s="74">
        <v>38886</v>
      </c>
      <c r="B34094">
        <v>5.35</v>
      </c>
    </row>
    <row r="34095" spans="1:2" x14ac:dyDescent="0.25">
      <c r="A34095" s="74">
        <v>38887</v>
      </c>
      <c r="B34095">
        <v>4.41</v>
      </c>
    </row>
    <row r="34096" spans="1:2" x14ac:dyDescent="0.25">
      <c r="A34096" s="74">
        <v>38888</v>
      </c>
      <c r="B34096">
        <v>4</v>
      </c>
    </row>
    <row r="34097" spans="1:2" x14ac:dyDescent="0.25">
      <c r="A34097" s="74">
        <v>38889</v>
      </c>
      <c r="B34097">
        <v>3.67</v>
      </c>
    </row>
    <row r="34098" spans="1:2" x14ac:dyDescent="0.25">
      <c r="A34098" s="74">
        <v>38890</v>
      </c>
      <c r="B34098">
        <v>3.51</v>
      </c>
    </row>
    <row r="34099" spans="1:2" x14ac:dyDescent="0.25">
      <c r="A34099" s="74">
        <v>38891</v>
      </c>
      <c r="B34099">
        <v>3.46</v>
      </c>
    </row>
    <row r="34100" spans="1:2" x14ac:dyDescent="0.25">
      <c r="A34100" s="74">
        <v>38892</v>
      </c>
      <c r="B34100">
        <v>3.44</v>
      </c>
    </row>
    <row r="34101" spans="1:2" x14ac:dyDescent="0.25">
      <c r="A34101" s="74">
        <v>38893</v>
      </c>
      <c r="B34101">
        <v>3.66</v>
      </c>
    </row>
    <row r="34102" spans="1:2" x14ac:dyDescent="0.25">
      <c r="A34102" s="74">
        <v>38894</v>
      </c>
      <c r="B34102">
        <v>4.0199999999999996</v>
      </c>
    </row>
    <row r="34103" spans="1:2" x14ac:dyDescent="0.25">
      <c r="A34103" s="74">
        <v>38895</v>
      </c>
      <c r="B34103">
        <v>4.2699999999999996</v>
      </c>
    </row>
    <row r="34104" spans="1:2" x14ac:dyDescent="0.25">
      <c r="A34104" s="74">
        <v>38896</v>
      </c>
      <c r="B34104">
        <v>3.96</v>
      </c>
    </row>
    <row r="34105" spans="1:2" x14ac:dyDescent="0.25">
      <c r="A34105" s="74">
        <v>38897</v>
      </c>
      <c r="B34105">
        <v>3.14</v>
      </c>
    </row>
    <row r="34106" spans="1:2" x14ac:dyDescent="0.25">
      <c r="A34106" s="74">
        <v>38898</v>
      </c>
      <c r="B34106">
        <v>2.81</v>
      </c>
    </row>
    <row r="34107" spans="1:2" x14ac:dyDescent="0.25">
      <c r="A34107" s="74">
        <v>38899</v>
      </c>
      <c r="B34107">
        <v>2.75</v>
      </c>
    </row>
    <row r="34108" spans="1:2" x14ac:dyDescent="0.25">
      <c r="A34108" s="74">
        <v>38900</v>
      </c>
      <c r="B34108">
        <v>2.71</v>
      </c>
    </row>
    <row r="34109" spans="1:2" x14ac:dyDescent="0.25">
      <c r="A34109" s="74">
        <v>38901</v>
      </c>
      <c r="B34109">
        <v>2.7</v>
      </c>
    </row>
    <row r="34110" spans="1:2" x14ac:dyDescent="0.25">
      <c r="A34110" s="74">
        <v>38902</v>
      </c>
      <c r="B34110">
        <v>2.72</v>
      </c>
    </row>
    <row r="34111" spans="1:2" x14ac:dyDescent="0.25">
      <c r="A34111" s="74">
        <v>38903</v>
      </c>
      <c r="B34111">
        <v>2.59</v>
      </c>
    </row>
    <row r="34112" spans="1:2" x14ac:dyDescent="0.25">
      <c r="A34112" s="74">
        <v>38904</v>
      </c>
      <c r="B34112">
        <v>2.42</v>
      </c>
    </row>
    <row r="34113" spans="1:2" x14ac:dyDescent="0.25">
      <c r="A34113" s="74">
        <v>38905</v>
      </c>
      <c r="B34113">
        <v>2.06</v>
      </c>
    </row>
    <row r="34114" spans="1:2" x14ac:dyDescent="0.25">
      <c r="A34114" s="74">
        <v>38906</v>
      </c>
      <c r="B34114">
        <v>2.02</v>
      </c>
    </row>
    <row r="34115" spans="1:2" x14ac:dyDescent="0.25">
      <c r="A34115" s="74">
        <v>38907</v>
      </c>
      <c r="B34115">
        <v>2.0699999999999998</v>
      </c>
    </row>
    <row r="34116" spans="1:2" x14ac:dyDescent="0.25">
      <c r="A34116" s="74">
        <v>38908</v>
      </c>
      <c r="B34116">
        <v>2.38</v>
      </c>
    </row>
    <row r="34117" spans="1:2" x14ac:dyDescent="0.25">
      <c r="A34117" s="74">
        <v>38909</v>
      </c>
      <c r="B34117">
        <v>2.2999999999999998</v>
      </c>
    </row>
    <row r="34118" spans="1:2" x14ac:dyDescent="0.25">
      <c r="A34118" s="74">
        <v>38910</v>
      </c>
      <c r="B34118">
        <v>2.29</v>
      </c>
    </row>
    <row r="34119" spans="1:2" x14ac:dyDescent="0.25">
      <c r="A34119" s="74">
        <v>38911</v>
      </c>
      <c r="B34119">
        <v>2.5099999999999998</v>
      </c>
    </row>
    <row r="34120" spans="1:2" x14ac:dyDescent="0.25">
      <c r="A34120" s="74">
        <v>38912</v>
      </c>
      <c r="B34120">
        <v>2.69</v>
      </c>
    </row>
    <row r="34121" spans="1:2" x14ac:dyDescent="0.25">
      <c r="A34121" s="74">
        <v>38913</v>
      </c>
      <c r="B34121">
        <v>2.71</v>
      </c>
    </row>
    <row r="34122" spans="1:2" x14ac:dyDescent="0.25">
      <c r="A34122" s="74">
        <v>38914</v>
      </c>
      <c r="B34122">
        <v>2.4500000000000002</v>
      </c>
    </row>
    <row r="34123" spans="1:2" x14ac:dyDescent="0.25">
      <c r="A34123" s="74">
        <v>38915</v>
      </c>
      <c r="B34123">
        <v>2.1800000000000002</v>
      </c>
    </row>
    <row r="34124" spans="1:2" x14ac:dyDescent="0.25">
      <c r="A34124" s="74">
        <v>38916</v>
      </c>
      <c r="B34124">
        <v>2.09</v>
      </c>
    </row>
    <row r="34125" spans="1:2" x14ac:dyDescent="0.25">
      <c r="A34125" s="74">
        <v>38917</v>
      </c>
      <c r="B34125">
        <v>2.0299999999999998</v>
      </c>
    </row>
    <row r="34126" spans="1:2" x14ac:dyDescent="0.25">
      <c r="A34126" s="74">
        <v>38918</v>
      </c>
      <c r="B34126">
        <v>2.34</v>
      </c>
    </row>
    <row r="34127" spans="1:2" x14ac:dyDescent="0.25">
      <c r="A34127" s="74">
        <v>38919</v>
      </c>
      <c r="B34127">
        <v>2.31</v>
      </c>
    </row>
    <row r="34128" spans="1:2" x14ac:dyDescent="0.25">
      <c r="A34128" s="74">
        <v>38920</v>
      </c>
      <c r="B34128">
        <v>2.57</v>
      </c>
    </row>
    <row r="34129" spans="1:2" x14ac:dyDescent="0.25">
      <c r="A34129" s="74">
        <v>38921</v>
      </c>
      <c r="B34129">
        <v>2.61</v>
      </c>
    </row>
    <row r="34130" spans="1:2" x14ac:dyDescent="0.25">
      <c r="A34130" s="74">
        <v>38922</v>
      </c>
      <c r="B34130">
        <v>2.62</v>
      </c>
    </row>
    <row r="34131" spans="1:2" x14ac:dyDescent="0.25">
      <c r="A34131" s="74">
        <v>38923</v>
      </c>
      <c r="B34131">
        <v>2.64</v>
      </c>
    </row>
    <row r="34132" spans="1:2" x14ac:dyDescent="0.25">
      <c r="A34132" s="74">
        <v>38924</v>
      </c>
      <c r="B34132">
        <v>2.2799999999999998</v>
      </c>
    </row>
    <row r="34133" spans="1:2" x14ac:dyDescent="0.25">
      <c r="A34133" s="74">
        <v>38925</v>
      </c>
      <c r="B34133">
        <v>2.16</v>
      </c>
    </row>
    <row r="34134" spans="1:2" x14ac:dyDescent="0.25">
      <c r="A34134" s="74">
        <v>38926</v>
      </c>
      <c r="B34134">
        <v>1.95</v>
      </c>
    </row>
    <row r="34135" spans="1:2" x14ac:dyDescent="0.25">
      <c r="A34135" s="74">
        <v>38927</v>
      </c>
      <c r="B34135">
        <v>1.88</v>
      </c>
    </row>
    <row r="34136" spans="1:2" x14ac:dyDescent="0.25">
      <c r="A34136" s="74">
        <v>38928</v>
      </c>
      <c r="B34136">
        <v>1.82</v>
      </c>
    </row>
    <row r="34137" spans="1:2" x14ac:dyDescent="0.25">
      <c r="A34137" s="74">
        <v>38929</v>
      </c>
      <c r="B34137">
        <v>1.73</v>
      </c>
    </row>
    <row r="34138" spans="1:2" x14ac:dyDescent="0.25">
      <c r="A34138" s="74">
        <v>38930</v>
      </c>
      <c r="B34138">
        <v>1.86</v>
      </c>
    </row>
    <row r="34139" spans="1:2" x14ac:dyDescent="0.25">
      <c r="A34139" s="74">
        <v>38931</v>
      </c>
      <c r="B34139">
        <v>1.83</v>
      </c>
    </row>
    <row r="34140" spans="1:2" x14ac:dyDescent="0.25">
      <c r="A34140" s="74">
        <v>38932</v>
      </c>
      <c r="B34140">
        <v>1.86</v>
      </c>
    </row>
    <row r="34141" spans="1:2" x14ac:dyDescent="0.25">
      <c r="A34141" s="74">
        <v>38933</v>
      </c>
      <c r="B34141">
        <v>1.84</v>
      </c>
    </row>
    <row r="34142" spans="1:2" x14ac:dyDescent="0.25">
      <c r="A34142" s="74">
        <v>38934</v>
      </c>
      <c r="B34142">
        <v>1.9</v>
      </c>
    </row>
    <row r="34143" spans="1:2" x14ac:dyDescent="0.25">
      <c r="A34143" s="74">
        <v>38935</v>
      </c>
      <c r="B34143">
        <v>1.88</v>
      </c>
    </row>
    <row r="34144" spans="1:2" x14ac:dyDescent="0.25">
      <c r="A34144" s="74">
        <v>38936</v>
      </c>
      <c r="B34144">
        <v>1.88</v>
      </c>
    </row>
    <row r="34145" spans="1:2" x14ac:dyDescent="0.25">
      <c r="A34145" s="74">
        <v>38937</v>
      </c>
      <c r="B34145">
        <v>1.97</v>
      </c>
    </row>
    <row r="34146" spans="1:2" x14ac:dyDescent="0.25">
      <c r="A34146" s="74">
        <v>38938</v>
      </c>
      <c r="B34146">
        <v>1.98</v>
      </c>
    </row>
    <row r="34147" spans="1:2" x14ac:dyDescent="0.25">
      <c r="A34147" s="74">
        <v>38939</v>
      </c>
      <c r="B34147">
        <v>1.83</v>
      </c>
    </row>
    <row r="34148" spans="1:2" x14ac:dyDescent="0.25">
      <c r="A34148" s="74">
        <v>38940</v>
      </c>
      <c r="B34148">
        <v>1.63</v>
      </c>
    </row>
    <row r="34149" spans="1:2" x14ac:dyDescent="0.25">
      <c r="A34149" s="74">
        <v>38941</v>
      </c>
      <c r="B34149">
        <v>1.56</v>
      </c>
    </row>
    <row r="34150" spans="1:2" x14ac:dyDescent="0.25">
      <c r="A34150" s="74">
        <v>38942</v>
      </c>
      <c r="B34150">
        <v>1.51</v>
      </c>
    </row>
    <row r="34151" spans="1:2" x14ac:dyDescent="0.25">
      <c r="A34151" s="74">
        <v>38943</v>
      </c>
      <c r="B34151">
        <v>1.48</v>
      </c>
    </row>
    <row r="34152" spans="1:2" x14ac:dyDescent="0.25">
      <c r="A34152" s="74">
        <v>38944</v>
      </c>
      <c r="B34152">
        <v>1.47</v>
      </c>
    </row>
    <row r="34153" spans="1:2" x14ac:dyDescent="0.25">
      <c r="A34153" s="74">
        <v>38945</v>
      </c>
      <c r="B34153">
        <v>1.55</v>
      </c>
    </row>
    <row r="34154" spans="1:2" x14ac:dyDescent="0.25">
      <c r="A34154" s="74">
        <v>38946</v>
      </c>
      <c r="B34154">
        <v>1.56</v>
      </c>
    </row>
    <row r="34155" spans="1:2" x14ac:dyDescent="0.25">
      <c r="A34155" s="74">
        <v>38947</v>
      </c>
      <c r="B34155">
        <v>1.48</v>
      </c>
    </row>
    <row r="34156" spans="1:2" x14ac:dyDescent="0.25">
      <c r="A34156" s="74">
        <v>38948</v>
      </c>
      <c r="B34156">
        <v>1.51</v>
      </c>
    </row>
    <row r="34157" spans="1:2" x14ac:dyDescent="0.25">
      <c r="A34157" s="74">
        <v>38949</v>
      </c>
      <c r="B34157">
        <v>1.5</v>
      </c>
    </row>
    <row r="34158" spans="1:2" x14ac:dyDescent="0.25">
      <c r="A34158" s="74">
        <v>38950</v>
      </c>
      <c r="B34158">
        <v>1.48</v>
      </c>
    </row>
    <row r="34159" spans="1:2" x14ac:dyDescent="0.25">
      <c r="A34159" s="74">
        <v>38951</v>
      </c>
      <c r="B34159">
        <v>1.47</v>
      </c>
    </row>
    <row r="34160" spans="1:2" x14ac:dyDescent="0.25">
      <c r="A34160" s="74">
        <v>38952</v>
      </c>
      <c r="B34160">
        <v>1.34</v>
      </c>
    </row>
    <row r="34161" spans="1:2" x14ac:dyDescent="0.25">
      <c r="A34161" s="74">
        <v>38953</v>
      </c>
      <c r="B34161">
        <v>1.3</v>
      </c>
    </row>
    <row r="34162" spans="1:2" x14ac:dyDescent="0.25">
      <c r="A34162" s="74">
        <v>38954</v>
      </c>
      <c r="B34162">
        <v>1.27</v>
      </c>
    </row>
    <row r="34163" spans="1:2" x14ac:dyDescent="0.25">
      <c r="A34163" s="74">
        <v>38955</v>
      </c>
      <c r="B34163">
        <v>1.25</v>
      </c>
    </row>
    <row r="34164" spans="1:2" x14ac:dyDescent="0.25">
      <c r="A34164" s="74">
        <v>38956</v>
      </c>
      <c r="B34164">
        <v>1.24</v>
      </c>
    </row>
    <row r="34165" spans="1:2" x14ac:dyDescent="0.25">
      <c r="A34165" s="74">
        <v>38957</v>
      </c>
      <c r="B34165">
        <v>1.21</v>
      </c>
    </row>
    <row r="34166" spans="1:2" x14ac:dyDescent="0.25">
      <c r="A34166" s="74">
        <v>38958</v>
      </c>
      <c r="B34166">
        <v>1.21</v>
      </c>
    </row>
    <row r="34167" spans="1:2" x14ac:dyDescent="0.25">
      <c r="A34167" s="74">
        <v>38959</v>
      </c>
      <c r="B34167">
        <v>1.26</v>
      </c>
    </row>
    <row r="34168" spans="1:2" x14ac:dyDescent="0.25">
      <c r="A34168" s="74">
        <v>38960</v>
      </c>
      <c r="B34168">
        <v>1.21</v>
      </c>
    </row>
    <row r="34169" spans="1:2" x14ac:dyDescent="0.25">
      <c r="A34169" s="74">
        <v>38961</v>
      </c>
      <c r="B34169">
        <v>1.17</v>
      </c>
    </row>
    <row r="34170" spans="1:2" x14ac:dyDescent="0.25">
      <c r="A34170" s="74">
        <v>38962</v>
      </c>
      <c r="B34170">
        <v>1.1499999999999999</v>
      </c>
    </row>
    <row r="34171" spans="1:2" x14ac:dyDescent="0.25">
      <c r="A34171" s="74">
        <v>38963</v>
      </c>
      <c r="B34171">
        <v>1.1200000000000001</v>
      </c>
    </row>
    <row r="34172" spans="1:2" x14ac:dyDescent="0.25">
      <c r="A34172" s="74">
        <v>38964</v>
      </c>
      <c r="B34172">
        <v>1.08</v>
      </c>
    </row>
    <row r="34173" spans="1:2" x14ac:dyDescent="0.25">
      <c r="A34173" s="74">
        <v>38965</v>
      </c>
      <c r="B34173">
        <v>1.06</v>
      </c>
    </row>
    <row r="34174" spans="1:2" x14ac:dyDescent="0.25">
      <c r="A34174" s="74">
        <v>38966</v>
      </c>
      <c r="B34174">
        <v>1.1599999999999999</v>
      </c>
    </row>
    <row r="34175" spans="1:2" x14ac:dyDescent="0.25">
      <c r="A34175" s="74">
        <v>38967</v>
      </c>
      <c r="B34175">
        <v>1.23</v>
      </c>
    </row>
    <row r="34176" spans="1:2" x14ac:dyDescent="0.25">
      <c r="A34176" s="74">
        <v>38968</v>
      </c>
      <c r="B34176">
        <v>1.22</v>
      </c>
    </row>
    <row r="34177" spans="1:2" x14ac:dyDescent="0.25">
      <c r="A34177" s="74">
        <v>38969</v>
      </c>
      <c r="B34177">
        <v>1.33</v>
      </c>
    </row>
    <row r="34178" spans="1:2" x14ac:dyDescent="0.25">
      <c r="A34178" s="74">
        <v>38970</v>
      </c>
      <c r="B34178">
        <v>1.24</v>
      </c>
    </row>
    <row r="34179" spans="1:2" x14ac:dyDescent="0.25">
      <c r="A34179" s="74">
        <v>38971</v>
      </c>
      <c r="B34179">
        <v>1.21</v>
      </c>
    </row>
    <row r="34180" spans="1:2" x14ac:dyDescent="0.25">
      <c r="A34180" s="74">
        <v>38972</v>
      </c>
      <c r="B34180">
        <v>1.17</v>
      </c>
    </row>
    <row r="34181" spans="1:2" x14ac:dyDescent="0.25">
      <c r="A34181" s="74">
        <v>38973</v>
      </c>
      <c r="B34181">
        <v>1.1299999999999999</v>
      </c>
    </row>
    <row r="34182" spans="1:2" x14ac:dyDescent="0.25">
      <c r="A34182" s="74">
        <v>38974</v>
      </c>
      <c r="B34182">
        <v>1.0900000000000001</v>
      </c>
    </row>
    <row r="34183" spans="1:2" x14ac:dyDescent="0.25">
      <c r="A34183" s="74">
        <v>38975</v>
      </c>
      <c r="B34183">
        <v>1.06</v>
      </c>
    </row>
    <row r="34184" spans="1:2" x14ac:dyDescent="0.25">
      <c r="A34184" s="74">
        <v>38976</v>
      </c>
      <c r="B34184">
        <v>1.17</v>
      </c>
    </row>
    <row r="34185" spans="1:2" x14ac:dyDescent="0.25">
      <c r="A34185" s="74">
        <v>38977</v>
      </c>
      <c r="B34185">
        <v>1.26</v>
      </c>
    </row>
    <row r="34186" spans="1:2" x14ac:dyDescent="0.25">
      <c r="A34186" s="74">
        <v>38978</v>
      </c>
      <c r="B34186">
        <v>1.81</v>
      </c>
    </row>
    <row r="34187" spans="1:2" x14ac:dyDescent="0.25">
      <c r="A34187" s="74">
        <v>38979</v>
      </c>
      <c r="B34187">
        <v>2.02</v>
      </c>
    </row>
    <row r="34188" spans="1:2" x14ac:dyDescent="0.25">
      <c r="A34188" s="74">
        <v>38980</v>
      </c>
      <c r="B34188">
        <v>1.95</v>
      </c>
    </row>
    <row r="34189" spans="1:2" x14ac:dyDescent="0.25">
      <c r="A34189" s="74">
        <v>38981</v>
      </c>
      <c r="B34189">
        <v>1.45</v>
      </c>
    </row>
    <row r="34190" spans="1:2" x14ac:dyDescent="0.25">
      <c r="A34190" s="74">
        <v>38982</v>
      </c>
      <c r="B34190">
        <v>1.3</v>
      </c>
    </row>
    <row r="34191" spans="1:2" x14ac:dyDescent="0.25">
      <c r="A34191" s="74">
        <v>38983</v>
      </c>
      <c r="B34191">
        <v>1.34</v>
      </c>
    </row>
    <row r="34192" spans="1:2" x14ac:dyDescent="0.25">
      <c r="A34192" s="74">
        <v>38984</v>
      </c>
      <c r="B34192">
        <v>1.17</v>
      </c>
    </row>
    <row r="34193" spans="1:2" x14ac:dyDescent="0.25">
      <c r="A34193" s="74">
        <v>38985</v>
      </c>
      <c r="B34193">
        <v>1.04</v>
      </c>
    </row>
    <row r="34194" spans="1:2" x14ac:dyDescent="0.25">
      <c r="A34194" s="74">
        <v>38986</v>
      </c>
      <c r="B34194">
        <v>0.98</v>
      </c>
    </row>
    <row r="34195" spans="1:2" x14ac:dyDescent="0.25">
      <c r="A34195" s="74">
        <v>38987</v>
      </c>
      <c r="B34195">
        <v>0.92200000000000004</v>
      </c>
    </row>
    <row r="34196" spans="1:2" x14ac:dyDescent="0.25">
      <c r="A34196" s="74">
        <v>38988</v>
      </c>
      <c r="B34196">
        <v>1.1499999999999999</v>
      </c>
    </row>
    <row r="34197" spans="1:2" x14ac:dyDescent="0.25">
      <c r="A34197" s="74">
        <v>38989</v>
      </c>
      <c r="B34197">
        <v>1.1399999999999999</v>
      </c>
    </row>
    <row r="34198" spans="1:2" x14ac:dyDescent="0.25">
      <c r="A34198" s="74">
        <v>38990</v>
      </c>
      <c r="B34198">
        <v>1.07</v>
      </c>
    </row>
    <row r="34199" spans="1:2" x14ac:dyDescent="0.25">
      <c r="A34199" s="74">
        <v>38991</v>
      </c>
      <c r="B34199">
        <v>0.98099999999999998</v>
      </c>
    </row>
    <row r="34200" spans="1:2" x14ac:dyDescent="0.25">
      <c r="A34200" s="74">
        <v>38992</v>
      </c>
      <c r="B34200">
        <v>0.86299999999999999</v>
      </c>
    </row>
    <row r="34201" spans="1:2" x14ac:dyDescent="0.25">
      <c r="A34201" s="74">
        <v>38993</v>
      </c>
      <c r="B34201">
        <v>0.80300000000000005</v>
      </c>
    </row>
    <row r="34202" spans="1:2" x14ac:dyDescent="0.25">
      <c r="A34202" s="74">
        <v>38994</v>
      </c>
      <c r="B34202">
        <v>0.79100000000000004</v>
      </c>
    </row>
    <row r="34203" spans="1:2" x14ac:dyDescent="0.25">
      <c r="A34203" s="74">
        <v>38995</v>
      </c>
      <c r="B34203">
        <v>0.76900000000000002</v>
      </c>
    </row>
    <row r="34204" spans="1:2" x14ac:dyDescent="0.25">
      <c r="A34204" s="74">
        <v>38996</v>
      </c>
      <c r="B34204">
        <v>0.78700000000000003</v>
      </c>
    </row>
    <row r="34205" spans="1:2" x14ac:dyDescent="0.25">
      <c r="A34205" s="74">
        <v>38997</v>
      </c>
      <c r="B34205">
        <v>0.77200000000000002</v>
      </c>
    </row>
    <row r="34206" spans="1:2" x14ac:dyDescent="0.25">
      <c r="A34206" s="74">
        <v>38998</v>
      </c>
      <c r="B34206">
        <v>0.79700000000000004</v>
      </c>
    </row>
    <row r="34207" spans="1:2" x14ac:dyDescent="0.25">
      <c r="A34207" s="74">
        <v>38999</v>
      </c>
      <c r="B34207">
        <v>0.76800000000000002</v>
      </c>
    </row>
    <row r="34208" spans="1:2" x14ac:dyDescent="0.25">
      <c r="A34208" s="74">
        <v>39000</v>
      </c>
      <c r="B34208">
        <v>0.77500000000000002</v>
      </c>
    </row>
    <row r="34209" spans="1:2" x14ac:dyDescent="0.25">
      <c r="A34209" s="74">
        <v>39001</v>
      </c>
      <c r="B34209">
        <v>0.76400000000000001</v>
      </c>
    </row>
    <row r="34210" spans="1:2" x14ac:dyDescent="0.25">
      <c r="A34210" s="74">
        <v>39002</v>
      </c>
      <c r="B34210">
        <v>0.751</v>
      </c>
    </row>
    <row r="34211" spans="1:2" x14ac:dyDescent="0.25">
      <c r="A34211" s="74">
        <v>39003</v>
      </c>
      <c r="B34211">
        <v>0.73699999999999999</v>
      </c>
    </row>
    <row r="34212" spans="1:2" x14ac:dyDescent="0.25">
      <c r="A34212" s="74">
        <v>39004</v>
      </c>
      <c r="B34212">
        <v>0.73899999999999999</v>
      </c>
    </row>
    <row r="34213" spans="1:2" x14ac:dyDescent="0.25">
      <c r="A34213" s="74">
        <v>39005</v>
      </c>
      <c r="B34213">
        <v>0.83099999999999996</v>
      </c>
    </row>
    <row r="34214" spans="1:2" x14ac:dyDescent="0.25">
      <c r="A34214" s="74">
        <v>39006</v>
      </c>
      <c r="B34214">
        <v>0.95599999999999996</v>
      </c>
    </row>
    <row r="34215" spans="1:2" x14ac:dyDescent="0.25">
      <c r="A34215" s="74">
        <v>39007</v>
      </c>
      <c r="B34215">
        <v>1.04</v>
      </c>
    </row>
    <row r="34216" spans="1:2" x14ac:dyDescent="0.25">
      <c r="A34216" s="74">
        <v>39008</v>
      </c>
      <c r="B34216">
        <v>1</v>
      </c>
    </row>
    <row r="34217" spans="1:2" x14ac:dyDescent="0.25">
      <c r="A34217" s="74">
        <v>39009</v>
      </c>
      <c r="B34217">
        <v>1.05</v>
      </c>
    </row>
    <row r="34218" spans="1:2" x14ac:dyDescent="0.25">
      <c r="A34218" s="74">
        <v>39010</v>
      </c>
      <c r="B34218">
        <v>1.05</v>
      </c>
    </row>
    <row r="34219" spans="1:2" x14ac:dyDescent="0.25">
      <c r="A34219" s="74">
        <v>39011</v>
      </c>
      <c r="B34219">
        <v>1.06</v>
      </c>
    </row>
    <row r="34220" spans="1:2" x14ac:dyDescent="0.25">
      <c r="A34220" s="74">
        <v>39012</v>
      </c>
      <c r="B34220">
        <v>1.05</v>
      </c>
    </row>
    <row r="34221" spans="1:2" x14ac:dyDescent="0.25">
      <c r="A34221" s="74">
        <v>39013</v>
      </c>
      <c r="B34221">
        <v>1.03</v>
      </c>
    </row>
    <row r="34222" spans="1:2" x14ac:dyDescent="0.25">
      <c r="A34222" s="74">
        <v>39014</v>
      </c>
      <c r="B34222">
        <v>1.08</v>
      </c>
    </row>
    <row r="34223" spans="1:2" x14ac:dyDescent="0.25">
      <c r="A34223" s="74">
        <v>39015</v>
      </c>
      <c r="B34223">
        <v>1.1299999999999999</v>
      </c>
    </row>
    <row r="34224" spans="1:2" x14ac:dyDescent="0.25">
      <c r="A34224" s="74">
        <v>39016</v>
      </c>
      <c r="B34224">
        <v>1.17</v>
      </c>
    </row>
    <row r="34225" spans="1:2" x14ac:dyDescent="0.25">
      <c r="A34225" s="74">
        <v>39017</v>
      </c>
      <c r="B34225">
        <v>1.53</v>
      </c>
    </row>
    <row r="34226" spans="1:2" x14ac:dyDescent="0.25">
      <c r="A34226" s="74">
        <v>39018</v>
      </c>
      <c r="B34226">
        <v>1.81</v>
      </c>
    </row>
    <row r="34227" spans="1:2" x14ac:dyDescent="0.25">
      <c r="A34227" s="74">
        <v>39019</v>
      </c>
      <c r="B34227">
        <v>1.82</v>
      </c>
    </row>
    <row r="34228" spans="1:2" x14ac:dyDescent="0.25">
      <c r="A34228" s="74">
        <v>39020</v>
      </c>
      <c r="B34228">
        <v>2.06</v>
      </c>
    </row>
    <row r="34229" spans="1:2" x14ac:dyDescent="0.25">
      <c r="A34229" s="74">
        <v>39021</v>
      </c>
      <c r="B34229">
        <v>1.86</v>
      </c>
    </row>
    <row r="34230" spans="1:2" x14ac:dyDescent="0.25">
      <c r="A34230" s="74">
        <v>39022</v>
      </c>
      <c r="B34230">
        <v>1.72</v>
      </c>
    </row>
    <row r="34231" spans="1:2" x14ac:dyDescent="0.25">
      <c r="A34231" s="74">
        <v>39023</v>
      </c>
      <c r="B34231">
        <v>1.72</v>
      </c>
    </row>
    <row r="34232" spans="1:2" x14ac:dyDescent="0.25">
      <c r="A34232" s="74">
        <v>39024</v>
      </c>
      <c r="B34232">
        <v>16</v>
      </c>
    </row>
    <row r="34233" spans="1:2" x14ac:dyDescent="0.25">
      <c r="A34233" s="74">
        <v>39025</v>
      </c>
      <c r="B34233">
        <v>35.5</v>
      </c>
    </row>
    <row r="34234" spans="1:2" x14ac:dyDescent="0.25">
      <c r="A34234" s="74">
        <v>39026</v>
      </c>
      <c r="B34234">
        <v>28.1</v>
      </c>
    </row>
    <row r="34235" spans="1:2" x14ac:dyDescent="0.25">
      <c r="A34235" s="74">
        <v>39027</v>
      </c>
      <c r="B34235">
        <v>136</v>
      </c>
    </row>
    <row r="34236" spans="1:2" x14ac:dyDescent="0.25">
      <c r="A34236" s="74">
        <v>39028</v>
      </c>
      <c r="B34236">
        <v>75</v>
      </c>
    </row>
    <row r="34237" spans="1:2" x14ac:dyDescent="0.25">
      <c r="A34237" s="74">
        <v>39029</v>
      </c>
      <c r="B34237">
        <v>29.5</v>
      </c>
    </row>
    <row r="34238" spans="1:2" x14ac:dyDescent="0.25">
      <c r="A34238" s="74">
        <v>39030</v>
      </c>
      <c r="B34238">
        <v>16.2</v>
      </c>
    </row>
    <row r="34239" spans="1:2" x14ac:dyDescent="0.25">
      <c r="A34239" s="74">
        <v>39031</v>
      </c>
      <c r="B34239">
        <v>23</v>
      </c>
    </row>
    <row r="34240" spans="1:2" x14ac:dyDescent="0.25">
      <c r="A34240" s="74">
        <v>39032</v>
      </c>
      <c r="B34240">
        <v>25.3</v>
      </c>
    </row>
    <row r="34241" spans="1:2" x14ac:dyDescent="0.25">
      <c r="A34241" s="74">
        <v>39033</v>
      </c>
      <c r="B34241">
        <v>22.5</v>
      </c>
    </row>
    <row r="34242" spans="1:2" x14ac:dyDescent="0.25">
      <c r="A34242" s="74">
        <v>39034</v>
      </c>
      <c r="B34242">
        <v>35.1</v>
      </c>
    </row>
    <row r="34243" spans="1:2" x14ac:dyDescent="0.25">
      <c r="A34243" s="74">
        <v>39035</v>
      </c>
      <c r="B34243">
        <v>22.9</v>
      </c>
    </row>
    <row r="34244" spans="1:2" x14ac:dyDescent="0.25">
      <c r="A34244" s="74">
        <v>39036</v>
      </c>
      <c r="B34244">
        <v>236</v>
      </c>
    </row>
    <row r="34245" spans="1:2" x14ac:dyDescent="0.25">
      <c r="A34245" s="74">
        <v>39037</v>
      </c>
      <c r="B34245">
        <v>135</v>
      </c>
    </row>
    <row r="34246" spans="1:2" x14ac:dyDescent="0.25">
      <c r="A34246" s="74">
        <v>39038</v>
      </c>
      <c r="B34246">
        <v>123</v>
      </c>
    </row>
    <row r="34247" spans="1:2" x14ac:dyDescent="0.25">
      <c r="A34247" s="74">
        <v>39039</v>
      </c>
      <c r="B34247">
        <v>95.3</v>
      </c>
    </row>
    <row r="34248" spans="1:2" x14ac:dyDescent="0.25">
      <c r="A34248" s="74">
        <v>39040</v>
      </c>
      <c r="B34248">
        <v>95.3</v>
      </c>
    </row>
    <row r="34249" spans="1:2" x14ac:dyDescent="0.25">
      <c r="A34249" s="74">
        <v>39041</v>
      </c>
      <c r="B34249">
        <v>79</v>
      </c>
    </row>
    <row r="34250" spans="1:2" x14ac:dyDescent="0.25">
      <c r="A34250" s="74">
        <v>39042</v>
      </c>
      <c r="B34250">
        <v>75</v>
      </c>
    </row>
    <row r="34251" spans="1:2" x14ac:dyDescent="0.25">
      <c r="A34251" s="74">
        <v>39043</v>
      </c>
      <c r="B34251">
        <v>59.4</v>
      </c>
    </row>
    <row r="34252" spans="1:2" x14ac:dyDescent="0.25">
      <c r="A34252" s="74">
        <v>39044</v>
      </c>
      <c r="B34252">
        <v>36.6</v>
      </c>
    </row>
    <row r="34253" spans="1:2" x14ac:dyDescent="0.25">
      <c r="A34253" s="74">
        <v>39045</v>
      </c>
      <c r="B34253">
        <v>24.5</v>
      </c>
    </row>
    <row r="34254" spans="1:2" x14ac:dyDescent="0.25">
      <c r="A34254" s="74">
        <v>39046</v>
      </c>
      <c r="B34254">
        <v>18.2</v>
      </c>
    </row>
    <row r="34255" spans="1:2" x14ac:dyDescent="0.25">
      <c r="A34255" s="74">
        <v>39047</v>
      </c>
      <c r="B34255">
        <v>15.5</v>
      </c>
    </row>
    <row r="34256" spans="1:2" x14ac:dyDescent="0.25">
      <c r="A34256" s="74">
        <v>39048</v>
      </c>
      <c r="B34256">
        <v>12.8</v>
      </c>
    </row>
    <row r="34257" spans="1:2" x14ac:dyDescent="0.25">
      <c r="A34257" s="74">
        <v>39049</v>
      </c>
      <c r="B34257">
        <v>10.4</v>
      </c>
    </row>
    <row r="34258" spans="1:2" x14ac:dyDescent="0.25">
      <c r="A34258" s="74">
        <v>39050</v>
      </c>
      <c r="B34258">
        <v>8.8699999999999992</v>
      </c>
    </row>
    <row r="34259" spans="1:2" x14ac:dyDescent="0.25">
      <c r="A34259" s="74">
        <v>39051</v>
      </c>
      <c r="B34259">
        <v>8.26</v>
      </c>
    </row>
    <row r="34260" spans="1:2" x14ac:dyDescent="0.25">
      <c r="A34260" s="74">
        <v>39052</v>
      </c>
      <c r="B34260">
        <v>7.04</v>
      </c>
    </row>
    <row r="34261" spans="1:2" x14ac:dyDescent="0.25">
      <c r="A34261" s="74">
        <v>39053</v>
      </c>
      <c r="B34261">
        <v>6.17</v>
      </c>
    </row>
    <row r="34262" spans="1:2" x14ac:dyDescent="0.25">
      <c r="A34262" s="74">
        <v>39054</v>
      </c>
      <c r="B34262">
        <v>5.55</v>
      </c>
    </row>
    <row r="34263" spans="1:2" x14ac:dyDescent="0.25">
      <c r="A34263" s="74">
        <v>39055</v>
      </c>
      <c r="B34263">
        <v>6.06</v>
      </c>
    </row>
    <row r="34264" spans="1:2" x14ac:dyDescent="0.25">
      <c r="A34264" s="74">
        <v>39056</v>
      </c>
      <c r="B34264">
        <v>8.08</v>
      </c>
    </row>
    <row r="34265" spans="1:2" x14ac:dyDescent="0.25">
      <c r="A34265" s="74">
        <v>39057</v>
      </c>
      <c r="B34265">
        <v>8.9600000000000009</v>
      </c>
    </row>
    <row r="34266" spans="1:2" x14ac:dyDescent="0.25">
      <c r="A34266" s="74">
        <v>39058</v>
      </c>
      <c r="B34266">
        <v>10.4</v>
      </c>
    </row>
    <row r="34267" spans="1:2" x14ac:dyDescent="0.25">
      <c r="A34267" s="74">
        <v>39059</v>
      </c>
      <c r="B34267">
        <v>17</v>
      </c>
    </row>
    <row r="34268" spans="1:2" x14ac:dyDescent="0.25">
      <c r="A34268" s="74">
        <v>39060</v>
      </c>
      <c r="B34268">
        <v>21.2</v>
      </c>
    </row>
    <row r="34269" spans="1:2" x14ac:dyDescent="0.25">
      <c r="A34269" s="74">
        <v>39061</v>
      </c>
      <c r="B34269">
        <v>22.6</v>
      </c>
    </row>
    <row r="34270" spans="1:2" x14ac:dyDescent="0.25">
      <c r="A34270" s="74">
        <v>39062</v>
      </c>
      <c r="B34270">
        <v>100</v>
      </c>
    </row>
    <row r="34271" spans="1:2" x14ac:dyDescent="0.25">
      <c r="A34271" s="74">
        <v>39063</v>
      </c>
      <c r="B34271">
        <v>103</v>
      </c>
    </row>
    <row r="34272" spans="1:2" x14ac:dyDescent="0.25">
      <c r="A34272" s="74">
        <v>39064</v>
      </c>
      <c r="B34272">
        <v>111</v>
      </c>
    </row>
    <row r="34273" spans="1:2" x14ac:dyDescent="0.25">
      <c r="A34273" s="74">
        <v>39065</v>
      </c>
      <c r="B34273">
        <v>77.900000000000006</v>
      </c>
    </row>
    <row r="34274" spans="1:2" x14ac:dyDescent="0.25">
      <c r="A34274" s="74">
        <v>39066</v>
      </c>
      <c r="B34274">
        <v>75.7</v>
      </c>
    </row>
    <row r="34275" spans="1:2" x14ac:dyDescent="0.25">
      <c r="A34275" s="74">
        <v>39067</v>
      </c>
      <c r="B34275">
        <v>42.7</v>
      </c>
    </row>
    <row r="34276" spans="1:2" x14ac:dyDescent="0.25">
      <c r="A34276" s="74">
        <v>39068</v>
      </c>
      <c r="B34276">
        <v>25.3</v>
      </c>
    </row>
    <row r="34277" spans="1:2" x14ac:dyDescent="0.25">
      <c r="A34277" s="74">
        <v>39069</v>
      </c>
      <c r="B34277">
        <v>17.8</v>
      </c>
    </row>
    <row r="34278" spans="1:2" x14ac:dyDescent="0.25">
      <c r="A34278" s="74">
        <v>39070</v>
      </c>
      <c r="B34278">
        <v>30.1</v>
      </c>
    </row>
    <row r="34279" spans="1:2" x14ac:dyDescent="0.25">
      <c r="A34279" s="74">
        <v>39071</v>
      </c>
      <c r="B34279">
        <v>42.2</v>
      </c>
    </row>
    <row r="34280" spans="1:2" x14ac:dyDescent="0.25">
      <c r="A34280" s="74">
        <v>39072</v>
      </c>
      <c r="B34280">
        <v>96.1</v>
      </c>
    </row>
    <row r="34281" spans="1:2" x14ac:dyDescent="0.25">
      <c r="A34281" s="74">
        <v>39073</v>
      </c>
      <c r="B34281">
        <v>51</v>
      </c>
    </row>
    <row r="34282" spans="1:2" x14ac:dyDescent="0.25">
      <c r="A34282" s="74">
        <v>39074</v>
      </c>
      <c r="B34282">
        <v>33.4</v>
      </c>
    </row>
    <row r="34283" spans="1:2" x14ac:dyDescent="0.25">
      <c r="A34283" s="74">
        <v>39075</v>
      </c>
      <c r="B34283">
        <v>31</v>
      </c>
    </row>
    <row r="34284" spans="1:2" x14ac:dyDescent="0.25">
      <c r="A34284" s="74">
        <v>39076</v>
      </c>
      <c r="B34284">
        <v>55.7</v>
      </c>
    </row>
    <row r="34285" spans="1:2" x14ac:dyDescent="0.25">
      <c r="A34285" s="74">
        <v>39077</v>
      </c>
      <c r="B34285">
        <v>40.4</v>
      </c>
    </row>
    <row r="34286" spans="1:2" x14ac:dyDescent="0.25">
      <c r="A34286" s="74">
        <v>39078</v>
      </c>
      <c r="B34286">
        <v>24.4</v>
      </c>
    </row>
    <row r="34287" spans="1:2" x14ac:dyDescent="0.25">
      <c r="A34287" s="74">
        <v>39079</v>
      </c>
      <c r="B34287">
        <v>16.600000000000001</v>
      </c>
    </row>
    <row r="34288" spans="1:2" x14ac:dyDescent="0.25">
      <c r="A34288" s="74">
        <v>39080</v>
      </c>
      <c r="B34288">
        <v>13</v>
      </c>
    </row>
    <row r="34289" spans="1:2" x14ac:dyDescent="0.25">
      <c r="A34289" s="74">
        <v>39081</v>
      </c>
      <c r="B34289">
        <v>10.8</v>
      </c>
    </row>
    <row r="34290" spans="1:2" x14ac:dyDescent="0.25">
      <c r="A34290" s="74">
        <v>39082</v>
      </c>
      <c r="B34290">
        <v>9.19</v>
      </c>
    </row>
    <row r="34291" spans="1:2" x14ac:dyDescent="0.25">
      <c r="A34291" s="74">
        <v>39083</v>
      </c>
      <c r="B34291">
        <v>48.7</v>
      </c>
    </row>
    <row r="34292" spans="1:2" x14ac:dyDescent="0.25">
      <c r="A34292" s="74">
        <v>39084</v>
      </c>
      <c r="B34292">
        <v>259</v>
      </c>
    </row>
    <row r="34293" spans="1:2" x14ac:dyDescent="0.25">
      <c r="A34293" s="74">
        <v>39085</v>
      </c>
      <c r="B34293">
        <v>111</v>
      </c>
    </row>
    <row r="34294" spans="1:2" x14ac:dyDescent="0.25">
      <c r="A34294" s="74">
        <v>39086</v>
      </c>
      <c r="B34294">
        <v>51.8</v>
      </c>
    </row>
    <row r="34295" spans="1:2" x14ac:dyDescent="0.25">
      <c r="A34295" s="74">
        <v>39087</v>
      </c>
      <c r="B34295">
        <v>34.299999999999997</v>
      </c>
    </row>
    <row r="34296" spans="1:2" x14ac:dyDescent="0.25">
      <c r="A34296" s="74">
        <v>39088</v>
      </c>
      <c r="B34296">
        <v>53.4</v>
      </c>
    </row>
    <row r="34297" spans="1:2" x14ac:dyDescent="0.25">
      <c r="A34297" s="74">
        <v>39089</v>
      </c>
      <c r="B34297">
        <v>79.099999999999994</v>
      </c>
    </row>
    <row r="34298" spans="1:2" x14ac:dyDescent="0.25">
      <c r="A34298" s="74">
        <v>39090</v>
      </c>
      <c r="B34298">
        <v>53.7</v>
      </c>
    </row>
    <row r="34299" spans="1:2" x14ac:dyDescent="0.25">
      <c r="A34299" s="74">
        <v>39091</v>
      </c>
      <c r="B34299">
        <v>63.3</v>
      </c>
    </row>
    <row r="34300" spans="1:2" x14ac:dyDescent="0.25">
      <c r="A34300" s="74">
        <v>39092</v>
      </c>
      <c r="B34300">
        <v>55.8</v>
      </c>
    </row>
    <row r="34301" spans="1:2" x14ac:dyDescent="0.25">
      <c r="A34301" s="74">
        <v>39093</v>
      </c>
      <c r="B34301">
        <v>30.4</v>
      </c>
    </row>
    <row r="34302" spans="1:2" x14ac:dyDescent="0.25">
      <c r="A34302" s="74">
        <v>39094</v>
      </c>
      <c r="B34302">
        <v>20.100000000000001</v>
      </c>
    </row>
    <row r="34303" spans="1:2" x14ac:dyDescent="0.25">
      <c r="A34303" s="74">
        <v>39095</v>
      </c>
      <c r="B34303">
        <v>16.5</v>
      </c>
    </row>
    <row r="34304" spans="1:2" x14ac:dyDescent="0.25">
      <c r="A34304" s="74">
        <v>39096</v>
      </c>
      <c r="B34304">
        <v>14.1</v>
      </c>
    </row>
    <row r="34305" spans="1:2" x14ac:dyDescent="0.25">
      <c r="A34305" s="74">
        <v>39097</v>
      </c>
      <c r="B34305">
        <v>12.5</v>
      </c>
    </row>
    <row r="34306" spans="1:2" x14ac:dyDescent="0.25">
      <c r="A34306" s="74">
        <v>39098</v>
      </c>
      <c r="B34306">
        <v>11.3</v>
      </c>
    </row>
    <row r="34307" spans="1:2" x14ac:dyDescent="0.25">
      <c r="A34307" s="74">
        <v>39099</v>
      </c>
      <c r="B34307">
        <v>10.1</v>
      </c>
    </row>
    <row r="34308" spans="1:2" x14ac:dyDescent="0.25">
      <c r="A34308" s="74">
        <v>39100</v>
      </c>
      <c r="B34308">
        <v>9.6300000000000008</v>
      </c>
    </row>
    <row r="34309" spans="1:2" x14ac:dyDescent="0.25">
      <c r="A34309" s="74">
        <v>39101</v>
      </c>
      <c r="B34309">
        <v>12.8</v>
      </c>
    </row>
    <row r="34310" spans="1:2" x14ac:dyDescent="0.25">
      <c r="A34310" s="74">
        <v>39102</v>
      </c>
      <c r="B34310">
        <v>12.9</v>
      </c>
    </row>
    <row r="34311" spans="1:2" x14ac:dyDescent="0.25">
      <c r="A34311" s="74">
        <v>39103</v>
      </c>
      <c r="B34311">
        <v>11.7</v>
      </c>
    </row>
    <row r="34312" spans="1:2" x14ac:dyDescent="0.25">
      <c r="A34312" s="74">
        <v>39104</v>
      </c>
      <c r="B34312">
        <v>24.9</v>
      </c>
    </row>
    <row r="34313" spans="1:2" x14ac:dyDescent="0.25">
      <c r="A34313" s="74">
        <v>39105</v>
      </c>
      <c r="B34313">
        <v>50.1</v>
      </c>
    </row>
    <row r="34314" spans="1:2" x14ac:dyDescent="0.25">
      <c r="A34314" s="74">
        <v>39106</v>
      </c>
      <c r="B34314">
        <v>45.1</v>
      </c>
    </row>
    <row r="34315" spans="1:2" x14ac:dyDescent="0.25">
      <c r="A34315" s="74">
        <v>39107</v>
      </c>
      <c r="B34315">
        <v>28.8</v>
      </c>
    </row>
    <row r="34316" spans="1:2" x14ac:dyDescent="0.25">
      <c r="A34316" s="74">
        <v>39108</v>
      </c>
      <c r="B34316">
        <v>20.2</v>
      </c>
    </row>
    <row r="34317" spans="1:2" x14ac:dyDescent="0.25">
      <c r="A34317" s="74">
        <v>39109</v>
      </c>
      <c r="B34317">
        <v>16.600000000000001</v>
      </c>
    </row>
    <row r="34318" spans="1:2" x14ac:dyDescent="0.25">
      <c r="A34318" s="74">
        <v>39110</v>
      </c>
      <c r="B34318">
        <v>14.3</v>
      </c>
    </row>
    <row r="34319" spans="1:2" x14ac:dyDescent="0.25">
      <c r="A34319" s="74">
        <v>39111</v>
      </c>
      <c r="B34319">
        <v>12.7</v>
      </c>
    </row>
    <row r="34320" spans="1:2" x14ac:dyDescent="0.25">
      <c r="A34320" s="74">
        <v>39112</v>
      </c>
      <c r="B34320">
        <v>11.5</v>
      </c>
    </row>
    <row r="34321" spans="1:2" x14ac:dyDescent="0.25">
      <c r="A34321" s="74">
        <v>39113</v>
      </c>
      <c r="B34321">
        <v>10.4</v>
      </c>
    </row>
    <row r="34322" spans="1:2" x14ac:dyDescent="0.25">
      <c r="A34322" s="74">
        <v>39114</v>
      </c>
      <c r="B34322">
        <v>9.48</v>
      </c>
    </row>
    <row r="34323" spans="1:2" x14ac:dyDescent="0.25">
      <c r="A34323" s="74">
        <v>39115</v>
      </c>
      <c r="B34323">
        <v>8.6300000000000008</v>
      </c>
    </row>
    <row r="34324" spans="1:2" x14ac:dyDescent="0.25">
      <c r="A34324" s="74">
        <v>39116</v>
      </c>
      <c r="B34324">
        <v>8.07</v>
      </c>
    </row>
    <row r="34325" spans="1:2" x14ac:dyDescent="0.25">
      <c r="A34325" s="74">
        <v>39117</v>
      </c>
      <c r="B34325">
        <v>7.93</v>
      </c>
    </row>
    <row r="34326" spans="1:2" x14ac:dyDescent="0.25">
      <c r="A34326" s="74">
        <v>39118</v>
      </c>
      <c r="B34326">
        <v>8.44</v>
      </c>
    </row>
    <row r="34327" spans="1:2" x14ac:dyDescent="0.25">
      <c r="A34327" s="74">
        <v>39119</v>
      </c>
      <c r="B34327">
        <v>9.86</v>
      </c>
    </row>
    <row r="34328" spans="1:2" x14ac:dyDescent="0.25">
      <c r="A34328" s="74">
        <v>39120</v>
      </c>
      <c r="B34328">
        <v>12.7</v>
      </c>
    </row>
    <row r="34329" spans="1:2" x14ac:dyDescent="0.25">
      <c r="A34329" s="74">
        <v>39121</v>
      </c>
      <c r="B34329">
        <v>19.399999999999999</v>
      </c>
    </row>
    <row r="34330" spans="1:2" x14ac:dyDescent="0.25">
      <c r="A34330" s="74">
        <v>39122</v>
      </c>
      <c r="B34330">
        <v>17.399999999999999</v>
      </c>
    </row>
    <row r="34331" spans="1:2" x14ac:dyDescent="0.25">
      <c r="A34331" s="74">
        <v>39123</v>
      </c>
      <c r="B34331">
        <v>23.6</v>
      </c>
    </row>
    <row r="34332" spans="1:2" x14ac:dyDescent="0.25">
      <c r="A34332" s="74">
        <v>39124</v>
      </c>
      <c r="B34332">
        <v>20</v>
      </c>
    </row>
    <row r="34333" spans="1:2" x14ac:dyDescent="0.25">
      <c r="A34333" s="74">
        <v>39125</v>
      </c>
      <c r="B34333">
        <v>18.600000000000001</v>
      </c>
    </row>
    <row r="34334" spans="1:2" x14ac:dyDescent="0.25">
      <c r="A34334" s="74">
        <v>39126</v>
      </c>
      <c r="B34334">
        <v>16.399999999999999</v>
      </c>
    </row>
    <row r="34335" spans="1:2" x14ac:dyDescent="0.25">
      <c r="A34335" s="74">
        <v>39127</v>
      </c>
      <c r="B34335">
        <v>14.6</v>
      </c>
    </row>
    <row r="34336" spans="1:2" x14ac:dyDescent="0.25">
      <c r="A34336" s="74">
        <v>39128</v>
      </c>
      <c r="B34336">
        <v>17.399999999999999</v>
      </c>
    </row>
    <row r="34337" spans="1:2" x14ac:dyDescent="0.25">
      <c r="A34337" s="74">
        <v>39129</v>
      </c>
      <c r="B34337">
        <v>19.600000000000001</v>
      </c>
    </row>
    <row r="34338" spans="1:2" x14ac:dyDescent="0.25">
      <c r="A34338" s="74">
        <v>39130</v>
      </c>
      <c r="B34338">
        <v>17.7</v>
      </c>
    </row>
    <row r="34339" spans="1:2" x14ac:dyDescent="0.25">
      <c r="A34339" s="74">
        <v>39131</v>
      </c>
      <c r="B34339">
        <v>26</v>
      </c>
    </row>
    <row r="34340" spans="1:2" x14ac:dyDescent="0.25">
      <c r="A34340" s="74">
        <v>39132</v>
      </c>
      <c r="B34340">
        <v>19.399999999999999</v>
      </c>
    </row>
    <row r="34341" spans="1:2" x14ac:dyDescent="0.25">
      <c r="A34341" s="74">
        <v>39133</v>
      </c>
      <c r="B34341">
        <v>19.2</v>
      </c>
    </row>
    <row r="34342" spans="1:2" x14ac:dyDescent="0.25">
      <c r="A34342" s="74">
        <v>39134</v>
      </c>
      <c r="B34342">
        <v>16.2</v>
      </c>
    </row>
    <row r="34343" spans="1:2" x14ac:dyDescent="0.25">
      <c r="A34343" s="74">
        <v>39135</v>
      </c>
      <c r="B34343">
        <v>14.1</v>
      </c>
    </row>
    <row r="34344" spans="1:2" x14ac:dyDescent="0.25">
      <c r="A34344" s="74">
        <v>39136</v>
      </c>
      <c r="B34344">
        <v>12.5</v>
      </c>
    </row>
    <row r="34345" spans="1:2" x14ac:dyDescent="0.25">
      <c r="A34345" s="74">
        <v>39137</v>
      </c>
      <c r="B34345">
        <v>11.4</v>
      </c>
    </row>
    <row r="34346" spans="1:2" x14ac:dyDescent="0.25">
      <c r="A34346" s="74">
        <v>39138</v>
      </c>
      <c r="B34346">
        <v>11.3</v>
      </c>
    </row>
    <row r="34347" spans="1:2" x14ac:dyDescent="0.25">
      <c r="A34347" s="74">
        <v>39139</v>
      </c>
      <c r="B34347">
        <v>11.6</v>
      </c>
    </row>
    <row r="34348" spans="1:2" x14ac:dyDescent="0.25">
      <c r="A34348" s="74">
        <v>39140</v>
      </c>
      <c r="B34348">
        <v>10.9</v>
      </c>
    </row>
    <row r="34349" spans="1:2" x14ac:dyDescent="0.25">
      <c r="A34349" s="74">
        <v>39141</v>
      </c>
      <c r="B34349">
        <v>9.9700000000000006</v>
      </c>
    </row>
    <row r="34350" spans="1:2" x14ac:dyDescent="0.25">
      <c r="A34350" s="74">
        <v>39142</v>
      </c>
      <c r="B34350">
        <v>8.9499999999999993</v>
      </c>
    </row>
    <row r="34351" spans="1:2" x14ac:dyDescent="0.25">
      <c r="A34351" s="74">
        <v>39143</v>
      </c>
      <c r="B34351">
        <v>8.1</v>
      </c>
    </row>
    <row r="34352" spans="1:2" x14ac:dyDescent="0.25">
      <c r="A34352" s="74">
        <v>39144</v>
      </c>
      <c r="B34352">
        <v>7.72</v>
      </c>
    </row>
    <row r="34353" spans="1:2" x14ac:dyDescent="0.25">
      <c r="A34353" s="74">
        <v>39145</v>
      </c>
      <c r="B34353">
        <v>7.78</v>
      </c>
    </row>
    <row r="34354" spans="1:2" x14ac:dyDescent="0.25">
      <c r="A34354" s="74">
        <v>39146</v>
      </c>
      <c r="B34354">
        <v>8.58</v>
      </c>
    </row>
    <row r="34355" spans="1:2" x14ac:dyDescent="0.25">
      <c r="A34355" s="74">
        <v>39147</v>
      </c>
      <c r="B34355">
        <v>12</v>
      </c>
    </row>
    <row r="34356" spans="1:2" x14ac:dyDescent="0.25">
      <c r="A34356" s="74">
        <v>39148</v>
      </c>
      <c r="B34356">
        <v>39.9</v>
      </c>
    </row>
    <row r="34357" spans="1:2" x14ac:dyDescent="0.25">
      <c r="A34357" s="74">
        <v>39149</v>
      </c>
      <c r="B34357">
        <v>35.9</v>
      </c>
    </row>
    <row r="34358" spans="1:2" x14ac:dyDescent="0.25">
      <c r="A34358" s="74">
        <v>39150</v>
      </c>
      <c r="B34358">
        <v>62.7</v>
      </c>
    </row>
    <row r="34359" spans="1:2" x14ac:dyDescent="0.25">
      <c r="A34359" s="74">
        <v>39151</v>
      </c>
      <c r="B34359">
        <v>45.8</v>
      </c>
    </row>
    <row r="34360" spans="1:2" x14ac:dyDescent="0.25">
      <c r="A34360" s="74">
        <v>39152</v>
      </c>
      <c r="B34360">
        <v>138</v>
      </c>
    </row>
    <row r="34361" spans="1:2" x14ac:dyDescent="0.25">
      <c r="A34361" s="74">
        <v>39153</v>
      </c>
      <c r="B34361">
        <v>138</v>
      </c>
    </row>
    <row r="34362" spans="1:2" x14ac:dyDescent="0.25">
      <c r="A34362" s="74">
        <v>39154</v>
      </c>
      <c r="B34362">
        <v>50.2</v>
      </c>
    </row>
    <row r="34363" spans="1:2" x14ac:dyDescent="0.25">
      <c r="A34363" s="74">
        <v>39155</v>
      </c>
      <c r="B34363">
        <v>25.8</v>
      </c>
    </row>
    <row r="34364" spans="1:2" x14ac:dyDescent="0.25">
      <c r="A34364" s="74">
        <v>39156</v>
      </c>
      <c r="B34364">
        <v>17.8</v>
      </c>
    </row>
    <row r="34365" spans="1:2" x14ac:dyDescent="0.25">
      <c r="A34365" s="74">
        <v>39157</v>
      </c>
      <c r="B34365">
        <v>15.7</v>
      </c>
    </row>
    <row r="34366" spans="1:2" x14ac:dyDescent="0.25">
      <c r="A34366" s="74">
        <v>39158</v>
      </c>
      <c r="B34366">
        <v>16.100000000000001</v>
      </c>
    </row>
    <row r="34367" spans="1:2" x14ac:dyDescent="0.25">
      <c r="A34367" s="74">
        <v>39159</v>
      </c>
      <c r="B34367">
        <v>17.3</v>
      </c>
    </row>
    <row r="34368" spans="1:2" x14ac:dyDescent="0.25">
      <c r="A34368" s="74">
        <v>39160</v>
      </c>
      <c r="B34368">
        <v>31.8</v>
      </c>
    </row>
    <row r="34369" spans="1:2" x14ac:dyDescent="0.25">
      <c r="A34369" s="74">
        <v>39161</v>
      </c>
      <c r="B34369">
        <v>35.299999999999997</v>
      </c>
    </row>
    <row r="34370" spans="1:2" x14ac:dyDescent="0.25">
      <c r="A34370" s="74">
        <v>39162</v>
      </c>
      <c r="B34370">
        <v>20.7</v>
      </c>
    </row>
    <row r="34371" spans="1:2" x14ac:dyDescent="0.25">
      <c r="A34371" s="74">
        <v>39163</v>
      </c>
      <c r="B34371">
        <v>16.399999999999999</v>
      </c>
    </row>
    <row r="34372" spans="1:2" x14ac:dyDescent="0.25">
      <c r="A34372" s="74">
        <v>39164</v>
      </c>
      <c r="B34372">
        <v>20.6</v>
      </c>
    </row>
    <row r="34373" spans="1:2" x14ac:dyDescent="0.25">
      <c r="A34373" s="74">
        <v>39165</v>
      </c>
      <c r="B34373">
        <v>37.4</v>
      </c>
    </row>
    <row r="34374" spans="1:2" x14ac:dyDescent="0.25">
      <c r="A34374" s="74">
        <v>39166</v>
      </c>
      <c r="B34374">
        <v>31.5</v>
      </c>
    </row>
    <row r="34375" spans="1:2" x14ac:dyDescent="0.25">
      <c r="A34375" s="74">
        <v>39167</v>
      </c>
      <c r="B34375">
        <v>19.100000000000001</v>
      </c>
    </row>
    <row r="34376" spans="1:2" x14ac:dyDescent="0.25">
      <c r="A34376" s="74">
        <v>39168</v>
      </c>
      <c r="B34376">
        <v>15.1</v>
      </c>
    </row>
    <row r="34377" spans="1:2" x14ac:dyDescent="0.25">
      <c r="A34377" s="74">
        <v>39169</v>
      </c>
      <c r="B34377">
        <v>12.6</v>
      </c>
    </row>
    <row r="34378" spans="1:2" x14ac:dyDescent="0.25">
      <c r="A34378" s="74">
        <v>39170</v>
      </c>
      <c r="B34378">
        <v>10.7</v>
      </c>
    </row>
    <row r="34379" spans="1:2" x14ac:dyDescent="0.25">
      <c r="A34379" s="74">
        <v>39171</v>
      </c>
      <c r="B34379">
        <v>9.43</v>
      </c>
    </row>
    <row r="34380" spans="1:2" x14ac:dyDescent="0.25">
      <c r="A34380" s="74">
        <v>39172</v>
      </c>
      <c r="B34380">
        <v>8.65</v>
      </c>
    </row>
    <row r="34381" spans="1:2" x14ac:dyDescent="0.25">
      <c r="A34381" s="74">
        <v>39173</v>
      </c>
      <c r="B34381">
        <v>7.84</v>
      </c>
    </row>
    <row r="34382" spans="1:2" x14ac:dyDescent="0.25">
      <c r="A34382" s="74">
        <v>39174</v>
      </c>
      <c r="B34382">
        <v>7.19</v>
      </c>
    </row>
    <row r="34383" spans="1:2" x14ac:dyDescent="0.25">
      <c r="A34383" s="74">
        <v>39175</v>
      </c>
      <c r="B34383">
        <v>6.49</v>
      </c>
    </row>
    <row r="34384" spans="1:2" x14ac:dyDescent="0.25">
      <c r="A34384" s="74">
        <v>39176</v>
      </c>
      <c r="B34384">
        <v>6.11</v>
      </c>
    </row>
    <row r="34385" spans="1:2" x14ac:dyDescent="0.25">
      <c r="A34385" s="74">
        <v>39177</v>
      </c>
      <c r="B34385">
        <v>5.79</v>
      </c>
    </row>
    <row r="34386" spans="1:2" x14ac:dyDescent="0.25">
      <c r="A34386" s="74">
        <v>39178</v>
      </c>
      <c r="B34386">
        <v>5.87</v>
      </c>
    </row>
    <row r="34387" spans="1:2" x14ac:dyDescent="0.25">
      <c r="A34387" s="74">
        <v>39179</v>
      </c>
      <c r="B34387">
        <v>8.09</v>
      </c>
    </row>
    <row r="34388" spans="1:2" x14ac:dyDescent="0.25">
      <c r="A34388" s="74">
        <v>39180</v>
      </c>
      <c r="B34388">
        <v>13.1</v>
      </c>
    </row>
    <row r="34389" spans="1:2" x14ac:dyDescent="0.25">
      <c r="A34389" s="74">
        <v>39181</v>
      </c>
      <c r="B34389">
        <v>15.4</v>
      </c>
    </row>
    <row r="34390" spans="1:2" x14ac:dyDescent="0.25">
      <c r="A34390" s="74">
        <v>39182</v>
      </c>
      <c r="B34390">
        <v>12.9</v>
      </c>
    </row>
    <row r="34391" spans="1:2" x14ac:dyDescent="0.25">
      <c r="A34391" s="74">
        <v>39183</v>
      </c>
      <c r="B34391">
        <v>10.199999999999999</v>
      </c>
    </row>
    <row r="34392" spans="1:2" x14ac:dyDescent="0.25">
      <c r="A34392" s="74">
        <v>39184</v>
      </c>
      <c r="B34392">
        <v>8.4499999999999993</v>
      </c>
    </row>
    <row r="34393" spans="1:2" x14ac:dyDescent="0.25">
      <c r="A34393" s="74">
        <v>39185</v>
      </c>
      <c r="B34393">
        <v>10.199999999999999</v>
      </c>
    </row>
    <row r="34394" spans="1:2" x14ac:dyDescent="0.25">
      <c r="A34394" s="74">
        <v>39186</v>
      </c>
      <c r="B34394">
        <v>29.1</v>
      </c>
    </row>
    <row r="34395" spans="1:2" x14ac:dyDescent="0.25">
      <c r="A34395" s="74">
        <v>39187</v>
      </c>
      <c r="B34395">
        <v>18.100000000000001</v>
      </c>
    </row>
    <row r="34396" spans="1:2" x14ac:dyDescent="0.25">
      <c r="A34396" s="74">
        <v>39188</v>
      </c>
      <c r="B34396">
        <v>14.7</v>
      </c>
    </row>
    <row r="34397" spans="1:2" x14ac:dyDescent="0.25">
      <c r="A34397" s="74">
        <v>39189</v>
      </c>
      <c r="B34397">
        <v>13.3</v>
      </c>
    </row>
    <row r="34398" spans="1:2" x14ac:dyDescent="0.25">
      <c r="A34398" s="74">
        <v>39190</v>
      </c>
      <c r="B34398">
        <v>11.8</v>
      </c>
    </row>
    <row r="34399" spans="1:2" x14ac:dyDescent="0.25">
      <c r="A34399" s="74">
        <v>39191</v>
      </c>
      <c r="B34399">
        <v>10.6</v>
      </c>
    </row>
    <row r="34400" spans="1:2" x14ac:dyDescent="0.25">
      <c r="A34400" s="74">
        <v>39192</v>
      </c>
      <c r="B34400">
        <v>9.51</v>
      </c>
    </row>
    <row r="34401" spans="1:2" x14ac:dyDescent="0.25">
      <c r="A34401" s="74">
        <v>39193</v>
      </c>
      <c r="B34401">
        <v>8.65</v>
      </c>
    </row>
    <row r="34402" spans="1:2" x14ac:dyDescent="0.25">
      <c r="A34402" s="74">
        <v>39194</v>
      </c>
      <c r="B34402">
        <v>8.0399999999999991</v>
      </c>
    </row>
    <row r="34403" spans="1:2" x14ac:dyDescent="0.25">
      <c r="A34403" s="74">
        <v>39195</v>
      </c>
      <c r="B34403">
        <v>8.15</v>
      </c>
    </row>
    <row r="34404" spans="1:2" x14ac:dyDescent="0.25">
      <c r="A34404" s="74">
        <v>39196</v>
      </c>
      <c r="B34404">
        <v>8.68</v>
      </c>
    </row>
    <row r="34405" spans="1:2" x14ac:dyDescent="0.25">
      <c r="A34405" s="74">
        <v>39197</v>
      </c>
      <c r="B34405">
        <v>9.94</v>
      </c>
    </row>
    <row r="34406" spans="1:2" x14ac:dyDescent="0.25">
      <c r="A34406" s="74">
        <v>39198</v>
      </c>
      <c r="B34406">
        <v>11.5</v>
      </c>
    </row>
    <row r="34407" spans="1:2" x14ac:dyDescent="0.25">
      <c r="A34407" s="74">
        <v>39199</v>
      </c>
      <c r="B34407">
        <v>24.9</v>
      </c>
    </row>
    <row r="34408" spans="1:2" x14ac:dyDescent="0.25">
      <c r="A34408" s="74">
        <v>39200</v>
      </c>
      <c r="B34408">
        <v>25.5</v>
      </c>
    </row>
    <row r="34409" spans="1:2" x14ac:dyDescent="0.25">
      <c r="A34409" s="74">
        <v>39201</v>
      </c>
      <c r="B34409">
        <v>15.7</v>
      </c>
    </row>
    <row r="34410" spans="1:2" x14ac:dyDescent="0.25">
      <c r="A34410" s="74">
        <v>39202</v>
      </c>
      <c r="B34410">
        <v>12.6</v>
      </c>
    </row>
    <row r="34411" spans="1:2" x14ac:dyDescent="0.25">
      <c r="A34411" s="74">
        <v>39203</v>
      </c>
      <c r="B34411">
        <v>10.7</v>
      </c>
    </row>
    <row r="34412" spans="1:2" x14ac:dyDescent="0.25">
      <c r="A34412" s="74">
        <v>39204</v>
      </c>
      <c r="B34412">
        <v>10.4</v>
      </c>
    </row>
    <row r="34413" spans="1:2" x14ac:dyDescent="0.25">
      <c r="A34413" s="74">
        <v>39205</v>
      </c>
      <c r="B34413">
        <v>10.6</v>
      </c>
    </row>
    <row r="34414" spans="1:2" x14ac:dyDescent="0.25">
      <c r="A34414" s="74">
        <v>39206</v>
      </c>
      <c r="B34414">
        <v>9.4499999999999993</v>
      </c>
    </row>
    <row r="34415" spans="1:2" x14ac:dyDescent="0.25">
      <c r="A34415" s="74">
        <v>39207</v>
      </c>
      <c r="B34415">
        <v>8.5399999999999991</v>
      </c>
    </row>
    <row r="34416" spans="1:2" x14ac:dyDescent="0.25">
      <c r="A34416" s="74">
        <v>39208</v>
      </c>
      <c r="B34416">
        <v>7.65</v>
      </c>
    </row>
    <row r="34417" spans="1:2" x14ac:dyDescent="0.25">
      <c r="A34417" s="74">
        <v>39209</v>
      </c>
      <c r="B34417">
        <v>9</v>
      </c>
    </row>
    <row r="34418" spans="1:2" x14ac:dyDescent="0.25">
      <c r="A34418" s="74">
        <v>39210</v>
      </c>
      <c r="B34418">
        <v>12.7</v>
      </c>
    </row>
    <row r="34419" spans="1:2" x14ac:dyDescent="0.25">
      <c r="A34419" s="74">
        <v>39211</v>
      </c>
      <c r="B34419">
        <v>12.3</v>
      </c>
    </row>
    <row r="34420" spans="1:2" x14ac:dyDescent="0.25">
      <c r="A34420" s="74">
        <v>39212</v>
      </c>
      <c r="B34420">
        <v>10.1</v>
      </c>
    </row>
    <row r="34421" spans="1:2" x14ac:dyDescent="0.25">
      <c r="A34421" s="74">
        <v>39213</v>
      </c>
      <c r="B34421">
        <v>9.07</v>
      </c>
    </row>
    <row r="34422" spans="1:2" x14ac:dyDescent="0.25">
      <c r="A34422" s="74">
        <v>39214</v>
      </c>
      <c r="B34422">
        <v>8.64</v>
      </c>
    </row>
    <row r="34423" spans="1:2" x14ac:dyDescent="0.25">
      <c r="A34423" s="74">
        <v>39215</v>
      </c>
      <c r="B34423">
        <v>8.67</v>
      </c>
    </row>
    <row r="34424" spans="1:2" x14ac:dyDescent="0.25">
      <c r="A34424" s="74">
        <v>39216</v>
      </c>
      <c r="B34424">
        <v>8.19</v>
      </c>
    </row>
    <row r="34425" spans="1:2" x14ac:dyDescent="0.25">
      <c r="A34425" s="74">
        <v>39217</v>
      </c>
      <c r="B34425">
        <v>8.82</v>
      </c>
    </row>
    <row r="34426" spans="1:2" x14ac:dyDescent="0.25">
      <c r="A34426" s="74">
        <v>39218</v>
      </c>
      <c r="B34426">
        <v>11.2</v>
      </c>
    </row>
    <row r="34427" spans="1:2" x14ac:dyDescent="0.25">
      <c r="A34427" s="74">
        <v>39219</v>
      </c>
      <c r="B34427">
        <v>10.3</v>
      </c>
    </row>
    <row r="34428" spans="1:2" x14ac:dyDescent="0.25">
      <c r="A34428" s="74">
        <v>39220</v>
      </c>
      <c r="B34428">
        <v>8.56</v>
      </c>
    </row>
    <row r="34429" spans="1:2" x14ac:dyDescent="0.25">
      <c r="A34429" s="74">
        <v>39221</v>
      </c>
      <c r="B34429">
        <v>9.4499999999999993</v>
      </c>
    </row>
    <row r="34430" spans="1:2" x14ac:dyDescent="0.25">
      <c r="A34430" s="74">
        <v>39222</v>
      </c>
      <c r="B34430">
        <v>16.2</v>
      </c>
    </row>
    <row r="34431" spans="1:2" x14ac:dyDescent="0.25">
      <c r="A34431" s="74">
        <v>39223</v>
      </c>
      <c r="B34431">
        <v>14</v>
      </c>
    </row>
    <row r="34432" spans="1:2" x14ac:dyDescent="0.25">
      <c r="A34432" s="74">
        <v>39224</v>
      </c>
      <c r="B34432">
        <v>12.2</v>
      </c>
    </row>
    <row r="34433" spans="1:2" x14ac:dyDescent="0.25">
      <c r="A34433" s="74">
        <v>39225</v>
      </c>
      <c r="B34433">
        <v>11</v>
      </c>
    </row>
    <row r="34434" spans="1:2" x14ac:dyDescent="0.25">
      <c r="A34434" s="74">
        <v>39226</v>
      </c>
      <c r="B34434">
        <v>10.4</v>
      </c>
    </row>
    <row r="34435" spans="1:2" x14ac:dyDescent="0.25">
      <c r="A34435" s="74">
        <v>39227</v>
      </c>
      <c r="B34435">
        <v>10.9</v>
      </c>
    </row>
    <row r="34436" spans="1:2" x14ac:dyDescent="0.25">
      <c r="A34436" s="74">
        <v>39228</v>
      </c>
      <c r="B34436">
        <v>11.3</v>
      </c>
    </row>
    <row r="34437" spans="1:2" x14ac:dyDescent="0.25">
      <c r="A34437" s="74">
        <v>39229</v>
      </c>
      <c r="B34437">
        <v>11</v>
      </c>
    </row>
    <row r="34438" spans="1:2" x14ac:dyDescent="0.25">
      <c r="A34438" s="74">
        <v>39230</v>
      </c>
      <c r="B34438">
        <v>9.1</v>
      </c>
    </row>
    <row r="34439" spans="1:2" x14ac:dyDescent="0.25">
      <c r="A34439" s="74">
        <v>39231</v>
      </c>
      <c r="B34439">
        <v>7.84</v>
      </c>
    </row>
    <row r="34440" spans="1:2" x14ac:dyDescent="0.25">
      <c r="A34440" s="74">
        <v>39232</v>
      </c>
      <c r="B34440">
        <v>9.31</v>
      </c>
    </row>
    <row r="34441" spans="1:2" x14ac:dyDescent="0.25">
      <c r="A34441" s="74">
        <v>39233</v>
      </c>
      <c r="B34441">
        <v>11</v>
      </c>
    </row>
    <row r="34442" spans="1:2" x14ac:dyDescent="0.25">
      <c r="A34442" s="74">
        <v>39234</v>
      </c>
      <c r="B34442">
        <v>11.2</v>
      </c>
    </row>
    <row r="34443" spans="1:2" x14ac:dyDescent="0.25">
      <c r="A34443" s="74">
        <v>39235</v>
      </c>
      <c r="B34443">
        <v>11</v>
      </c>
    </row>
    <row r="34444" spans="1:2" x14ac:dyDescent="0.25">
      <c r="A34444" s="74">
        <v>39236</v>
      </c>
      <c r="B34444">
        <v>11.3</v>
      </c>
    </row>
    <row r="34445" spans="1:2" x14ac:dyDescent="0.25">
      <c r="A34445" s="74">
        <v>39237</v>
      </c>
      <c r="B34445">
        <v>11.8</v>
      </c>
    </row>
    <row r="34446" spans="1:2" x14ac:dyDescent="0.25">
      <c r="A34446" s="74">
        <v>39238</v>
      </c>
      <c r="B34446">
        <v>10.7</v>
      </c>
    </row>
    <row r="34447" spans="1:2" x14ac:dyDescent="0.25">
      <c r="A34447" s="74">
        <v>39239</v>
      </c>
      <c r="B34447">
        <v>8.64</v>
      </c>
    </row>
    <row r="34448" spans="1:2" x14ac:dyDescent="0.25">
      <c r="A34448" s="74">
        <v>39240</v>
      </c>
      <c r="B34448">
        <v>7.66</v>
      </c>
    </row>
    <row r="34449" spans="1:2" x14ac:dyDescent="0.25">
      <c r="A34449" s="74">
        <v>39241</v>
      </c>
      <c r="B34449">
        <v>6.37</v>
      </c>
    </row>
    <row r="34450" spans="1:2" x14ac:dyDescent="0.25">
      <c r="A34450" s="74">
        <v>39242</v>
      </c>
      <c r="B34450">
        <v>5.92</v>
      </c>
    </row>
    <row r="34451" spans="1:2" x14ac:dyDescent="0.25">
      <c r="A34451" s="74">
        <v>39243</v>
      </c>
      <c r="B34451">
        <v>8.57</v>
      </c>
    </row>
    <row r="34452" spans="1:2" x14ac:dyDescent="0.25">
      <c r="A34452" s="74">
        <v>39244</v>
      </c>
      <c r="B34452">
        <v>8.06</v>
      </c>
    </row>
    <row r="34453" spans="1:2" x14ac:dyDescent="0.25">
      <c r="A34453" s="74">
        <v>39245</v>
      </c>
      <c r="B34453">
        <v>6.06</v>
      </c>
    </row>
    <row r="34454" spans="1:2" x14ac:dyDescent="0.25">
      <c r="A34454" s="74">
        <v>39246</v>
      </c>
      <c r="B34454">
        <v>5.2</v>
      </c>
    </row>
    <row r="34455" spans="1:2" x14ac:dyDescent="0.25">
      <c r="A34455" s="74">
        <v>39247</v>
      </c>
      <c r="B34455">
        <v>5.0999999999999996</v>
      </c>
    </row>
    <row r="34456" spans="1:2" x14ac:dyDescent="0.25">
      <c r="A34456" s="74">
        <v>39248</v>
      </c>
      <c r="B34456">
        <v>4.59</v>
      </c>
    </row>
    <row r="34457" spans="1:2" x14ac:dyDescent="0.25">
      <c r="A34457" s="74">
        <v>39249</v>
      </c>
      <c r="B34457">
        <v>5.55</v>
      </c>
    </row>
    <row r="34458" spans="1:2" x14ac:dyDescent="0.25">
      <c r="A34458" s="74">
        <v>39250</v>
      </c>
      <c r="B34458">
        <v>7.18</v>
      </c>
    </row>
    <row r="34459" spans="1:2" x14ac:dyDescent="0.25">
      <c r="A34459" s="74">
        <v>39251</v>
      </c>
      <c r="B34459">
        <v>6.46</v>
      </c>
    </row>
    <row r="34460" spans="1:2" x14ac:dyDescent="0.25">
      <c r="A34460" s="74">
        <v>39252</v>
      </c>
      <c r="B34460">
        <v>5.41</v>
      </c>
    </row>
    <row r="34461" spans="1:2" x14ac:dyDescent="0.25">
      <c r="A34461" s="74">
        <v>39253</v>
      </c>
      <c r="B34461">
        <v>5.18</v>
      </c>
    </row>
    <row r="34462" spans="1:2" x14ac:dyDescent="0.25">
      <c r="A34462" s="74">
        <v>39254</v>
      </c>
      <c r="B34462">
        <v>5.51</v>
      </c>
    </row>
    <row r="34463" spans="1:2" x14ac:dyDescent="0.25">
      <c r="A34463" s="74">
        <v>39255</v>
      </c>
      <c r="B34463">
        <v>5.37</v>
      </c>
    </row>
    <row r="34464" spans="1:2" x14ac:dyDescent="0.25">
      <c r="A34464" s="74">
        <v>39256</v>
      </c>
      <c r="B34464">
        <v>4.91</v>
      </c>
    </row>
    <row r="34465" spans="1:2" x14ac:dyDescent="0.25">
      <c r="A34465" s="74">
        <v>39257</v>
      </c>
      <c r="B34465">
        <v>4.7</v>
      </c>
    </row>
    <row r="34466" spans="1:2" x14ac:dyDescent="0.25">
      <c r="A34466" s="74">
        <v>39258</v>
      </c>
      <c r="B34466">
        <v>4.37</v>
      </c>
    </row>
    <row r="34467" spans="1:2" x14ac:dyDescent="0.25">
      <c r="A34467" s="74">
        <v>39259</v>
      </c>
      <c r="B34467">
        <v>3.9</v>
      </c>
    </row>
    <row r="34468" spans="1:2" x14ac:dyDescent="0.25">
      <c r="A34468" s="74">
        <v>39260</v>
      </c>
      <c r="B34468">
        <v>3.64</v>
      </c>
    </row>
    <row r="34469" spans="1:2" x14ac:dyDescent="0.25">
      <c r="A34469" s="74">
        <v>39261</v>
      </c>
      <c r="B34469">
        <v>4.1100000000000003</v>
      </c>
    </row>
    <row r="34470" spans="1:2" x14ac:dyDescent="0.25">
      <c r="A34470" s="74">
        <v>39262</v>
      </c>
      <c r="B34470">
        <v>5.76</v>
      </c>
    </row>
    <row r="34471" spans="1:2" x14ac:dyDescent="0.25">
      <c r="A34471" s="74">
        <v>39263</v>
      </c>
      <c r="B34471">
        <v>5.42</v>
      </c>
    </row>
    <row r="34472" spans="1:2" x14ac:dyDescent="0.25">
      <c r="A34472" s="74">
        <v>39264</v>
      </c>
      <c r="B34472">
        <v>4.43</v>
      </c>
    </row>
    <row r="34473" spans="1:2" x14ac:dyDescent="0.25">
      <c r="A34473" s="74">
        <v>39265</v>
      </c>
      <c r="B34473">
        <v>4</v>
      </c>
    </row>
    <row r="34474" spans="1:2" x14ac:dyDescent="0.25">
      <c r="A34474" s="74">
        <v>39266</v>
      </c>
      <c r="B34474">
        <v>4.1399999999999997</v>
      </c>
    </row>
    <row r="34475" spans="1:2" x14ac:dyDescent="0.25">
      <c r="A34475" s="74">
        <v>39267</v>
      </c>
      <c r="B34475">
        <v>4.3</v>
      </c>
    </row>
    <row r="34476" spans="1:2" x14ac:dyDescent="0.25">
      <c r="A34476" s="74">
        <v>39268</v>
      </c>
      <c r="B34476">
        <v>4.37</v>
      </c>
    </row>
    <row r="34477" spans="1:2" x14ac:dyDescent="0.25">
      <c r="A34477" s="74">
        <v>39269</v>
      </c>
      <c r="B34477">
        <v>4.1900000000000004</v>
      </c>
    </row>
    <row r="34478" spans="1:2" x14ac:dyDescent="0.25">
      <c r="A34478" s="74">
        <v>39270</v>
      </c>
      <c r="B34478">
        <v>3.85</v>
      </c>
    </row>
    <row r="34479" spans="1:2" x14ac:dyDescent="0.25">
      <c r="A34479" s="74">
        <v>39271</v>
      </c>
      <c r="B34479">
        <v>3.73</v>
      </c>
    </row>
    <row r="34480" spans="1:2" x14ac:dyDescent="0.25">
      <c r="A34480" s="74">
        <v>39272</v>
      </c>
      <c r="B34480">
        <v>3.35</v>
      </c>
    </row>
    <row r="34481" spans="1:2" x14ac:dyDescent="0.25">
      <c r="A34481" s="74">
        <v>39273</v>
      </c>
      <c r="B34481">
        <v>3.38</v>
      </c>
    </row>
    <row r="34482" spans="1:2" x14ac:dyDescent="0.25">
      <c r="A34482" s="74">
        <v>39274</v>
      </c>
      <c r="B34482">
        <v>3.76</v>
      </c>
    </row>
    <row r="34483" spans="1:2" x14ac:dyDescent="0.25">
      <c r="A34483" s="74">
        <v>39275</v>
      </c>
      <c r="B34483">
        <v>3.78</v>
      </c>
    </row>
    <row r="34484" spans="1:2" x14ac:dyDescent="0.25">
      <c r="A34484" s="74">
        <v>39276</v>
      </c>
      <c r="B34484">
        <v>3.54</v>
      </c>
    </row>
    <row r="34485" spans="1:2" x14ac:dyDescent="0.25">
      <c r="A34485" s="74">
        <v>39277</v>
      </c>
      <c r="B34485">
        <v>3.25</v>
      </c>
    </row>
    <row r="34486" spans="1:2" x14ac:dyDescent="0.25">
      <c r="A34486" s="74">
        <v>39278</v>
      </c>
      <c r="B34486">
        <v>3.06</v>
      </c>
    </row>
    <row r="34487" spans="1:2" x14ac:dyDescent="0.25">
      <c r="A34487" s="74">
        <v>39279</v>
      </c>
      <c r="B34487">
        <v>2.74</v>
      </c>
    </row>
    <row r="34488" spans="1:2" x14ac:dyDescent="0.25">
      <c r="A34488" s="74">
        <v>39280</v>
      </c>
      <c r="B34488">
        <v>2.34</v>
      </c>
    </row>
    <row r="34489" spans="1:2" x14ac:dyDescent="0.25">
      <c r="A34489" s="74">
        <v>39281</v>
      </c>
      <c r="B34489">
        <v>2.3199999999999998</v>
      </c>
    </row>
    <row r="34490" spans="1:2" x14ac:dyDescent="0.25">
      <c r="A34490" s="74">
        <v>39282</v>
      </c>
      <c r="B34490">
        <v>2.52</v>
      </c>
    </row>
    <row r="34491" spans="1:2" x14ac:dyDescent="0.25">
      <c r="A34491" s="74">
        <v>39283</v>
      </c>
      <c r="B34491">
        <v>2.5</v>
      </c>
    </row>
    <row r="34492" spans="1:2" x14ac:dyDescent="0.25">
      <c r="A34492" s="74">
        <v>39284</v>
      </c>
      <c r="B34492">
        <v>3.44</v>
      </c>
    </row>
    <row r="34493" spans="1:2" x14ac:dyDescent="0.25">
      <c r="A34493" s="74">
        <v>39285</v>
      </c>
      <c r="B34493">
        <v>9.2200000000000006</v>
      </c>
    </row>
    <row r="34494" spans="1:2" x14ac:dyDescent="0.25">
      <c r="A34494" s="74">
        <v>39286</v>
      </c>
      <c r="B34494">
        <v>6.89</v>
      </c>
    </row>
    <row r="34495" spans="1:2" x14ac:dyDescent="0.25">
      <c r="A34495" s="74">
        <v>39287</v>
      </c>
      <c r="B34495">
        <v>4.7699999999999996</v>
      </c>
    </row>
    <row r="34496" spans="1:2" x14ac:dyDescent="0.25">
      <c r="A34496" s="74">
        <v>39288</v>
      </c>
      <c r="B34496">
        <v>3.63</v>
      </c>
    </row>
    <row r="34497" spans="1:2" x14ac:dyDescent="0.25">
      <c r="A34497" s="74">
        <v>39289</v>
      </c>
      <c r="B34497">
        <v>2.98</v>
      </c>
    </row>
    <row r="34498" spans="1:2" x14ac:dyDescent="0.25">
      <c r="A34498" s="74">
        <v>39290</v>
      </c>
      <c r="B34498">
        <v>2.77</v>
      </c>
    </row>
    <row r="34499" spans="1:2" x14ac:dyDescent="0.25">
      <c r="A34499" s="74">
        <v>39291</v>
      </c>
      <c r="B34499">
        <v>2.56</v>
      </c>
    </row>
    <row r="34500" spans="1:2" x14ac:dyDescent="0.25">
      <c r="A34500" s="74">
        <v>39292</v>
      </c>
      <c r="B34500">
        <v>2.36</v>
      </c>
    </row>
    <row r="34501" spans="1:2" x14ac:dyDescent="0.25">
      <c r="A34501" s="74">
        <v>39293</v>
      </c>
      <c r="B34501">
        <v>2.19</v>
      </c>
    </row>
    <row r="34502" spans="1:2" x14ac:dyDescent="0.25">
      <c r="A34502" s="74">
        <v>39294</v>
      </c>
      <c r="B34502">
        <v>2.0499999999999998</v>
      </c>
    </row>
    <row r="34503" spans="1:2" x14ac:dyDescent="0.25">
      <c r="A34503" s="74">
        <v>39295</v>
      </c>
      <c r="B34503">
        <v>1.89</v>
      </c>
    </row>
    <row r="34504" spans="1:2" x14ac:dyDescent="0.25">
      <c r="A34504" s="74">
        <v>39296</v>
      </c>
      <c r="B34504">
        <v>1.8</v>
      </c>
    </row>
    <row r="34505" spans="1:2" x14ac:dyDescent="0.25">
      <c r="A34505" s="74">
        <v>39297</v>
      </c>
      <c r="B34505">
        <v>1.85</v>
      </c>
    </row>
    <row r="34506" spans="1:2" x14ac:dyDescent="0.25">
      <c r="A34506" s="74">
        <v>39298</v>
      </c>
      <c r="B34506">
        <v>1.77</v>
      </c>
    </row>
    <row r="34507" spans="1:2" x14ac:dyDescent="0.25">
      <c r="A34507" s="74">
        <v>39299</v>
      </c>
      <c r="B34507">
        <v>1.71</v>
      </c>
    </row>
    <row r="34508" spans="1:2" x14ac:dyDescent="0.25">
      <c r="A34508" s="74">
        <v>39300</v>
      </c>
      <c r="B34508">
        <v>1.65</v>
      </c>
    </row>
    <row r="34509" spans="1:2" x14ac:dyDescent="0.25">
      <c r="A34509" s="74">
        <v>39301</v>
      </c>
      <c r="B34509">
        <v>1.64</v>
      </c>
    </row>
    <row r="34510" spans="1:2" x14ac:dyDescent="0.25">
      <c r="A34510" s="74">
        <v>39302</v>
      </c>
      <c r="B34510">
        <v>1.61</v>
      </c>
    </row>
    <row r="34511" spans="1:2" x14ac:dyDescent="0.25">
      <c r="A34511" s="74">
        <v>39303</v>
      </c>
      <c r="B34511">
        <v>1.7</v>
      </c>
    </row>
    <row r="34512" spans="1:2" x14ac:dyDescent="0.25">
      <c r="A34512" s="74">
        <v>39304</v>
      </c>
      <c r="B34512">
        <v>1.95</v>
      </c>
    </row>
    <row r="34513" spans="1:3" x14ac:dyDescent="0.25">
      <c r="A34513" s="74">
        <v>39305</v>
      </c>
      <c r="B34513">
        <v>1.72</v>
      </c>
    </row>
    <row r="34514" spans="1:3" x14ac:dyDescent="0.25">
      <c r="A34514" s="74">
        <v>39306</v>
      </c>
      <c r="B34514">
        <v>1.63</v>
      </c>
    </row>
    <row r="34515" spans="1:3" x14ac:dyDescent="0.25">
      <c r="A34515" s="74">
        <v>39307</v>
      </c>
      <c r="B34515">
        <v>1.57</v>
      </c>
    </row>
    <row r="34516" spans="1:3" x14ac:dyDescent="0.25">
      <c r="A34516" s="74">
        <v>39308</v>
      </c>
      <c r="B34516">
        <v>1.78</v>
      </c>
    </row>
    <row r="34517" spans="1:3" x14ac:dyDescent="0.25">
      <c r="A34517" s="74">
        <v>39309</v>
      </c>
      <c r="B34517">
        <v>1.7</v>
      </c>
    </row>
    <row r="34518" spans="1:3" x14ac:dyDescent="0.25">
      <c r="A34518" s="74">
        <v>39310</v>
      </c>
      <c r="B34518">
        <v>1.68</v>
      </c>
    </row>
    <row r="34519" spans="1:3" x14ac:dyDescent="0.25">
      <c r="A34519" s="74">
        <v>39311</v>
      </c>
      <c r="B34519">
        <v>1.7</v>
      </c>
    </row>
    <row r="34520" spans="1:3" x14ac:dyDescent="0.25">
      <c r="A34520" s="74">
        <v>39312</v>
      </c>
      <c r="B34520">
        <v>1.7</v>
      </c>
      <c r="C34520" t="s">
        <v>140</v>
      </c>
    </row>
    <row r="34521" spans="1:3" x14ac:dyDescent="0.25">
      <c r="A34521" s="74">
        <v>39313</v>
      </c>
      <c r="B34521">
        <v>1.64</v>
      </c>
      <c r="C34521" t="s">
        <v>141</v>
      </c>
    </row>
    <row r="34522" spans="1:3" x14ac:dyDescent="0.25">
      <c r="A34522" s="74">
        <v>39314</v>
      </c>
      <c r="B34522">
        <v>1.57</v>
      </c>
      <c r="C34522" t="s">
        <v>140</v>
      </c>
    </row>
    <row r="34523" spans="1:3" x14ac:dyDescent="0.25">
      <c r="A34523" s="74">
        <v>39315</v>
      </c>
      <c r="B34523">
        <v>1.66</v>
      </c>
      <c r="C34523" t="s">
        <v>141</v>
      </c>
    </row>
    <row r="34524" spans="1:3" x14ac:dyDescent="0.25">
      <c r="A34524" s="74">
        <v>39316</v>
      </c>
      <c r="B34524">
        <v>1.77</v>
      </c>
      <c r="C34524" t="s">
        <v>141</v>
      </c>
    </row>
    <row r="34525" spans="1:3" x14ac:dyDescent="0.25">
      <c r="A34525" s="74">
        <v>39317</v>
      </c>
      <c r="B34525">
        <v>1.81</v>
      </c>
      <c r="C34525" t="s">
        <v>140</v>
      </c>
    </row>
    <row r="34526" spans="1:3" x14ac:dyDescent="0.25">
      <c r="A34526" s="74">
        <v>39318</v>
      </c>
      <c r="B34526">
        <v>1.75</v>
      </c>
    </row>
    <row r="34527" spans="1:3" x14ac:dyDescent="0.25">
      <c r="A34527" s="74">
        <v>39319</v>
      </c>
      <c r="B34527">
        <v>1.78</v>
      </c>
    </row>
    <row r="34528" spans="1:3" x14ac:dyDescent="0.25">
      <c r="A34528" s="74">
        <v>39320</v>
      </c>
      <c r="B34528">
        <v>1.8</v>
      </c>
    </row>
    <row r="34529" spans="1:3" x14ac:dyDescent="0.25">
      <c r="A34529" s="74">
        <v>39321</v>
      </c>
      <c r="B34529">
        <v>1.87</v>
      </c>
    </row>
    <row r="34530" spans="1:3" x14ac:dyDescent="0.25">
      <c r="A34530" s="74">
        <v>39322</v>
      </c>
      <c r="B34530">
        <v>1.89</v>
      </c>
    </row>
    <row r="34531" spans="1:3" x14ac:dyDescent="0.25">
      <c r="A34531" s="74">
        <v>39323</v>
      </c>
      <c r="B34531">
        <v>1.83</v>
      </c>
      <c r="C34531" t="s">
        <v>140</v>
      </c>
    </row>
    <row r="34532" spans="1:3" x14ac:dyDescent="0.25">
      <c r="A34532" s="74">
        <v>39324</v>
      </c>
      <c r="B34532">
        <v>1.8</v>
      </c>
    </row>
    <row r="34533" spans="1:3" x14ac:dyDescent="0.25">
      <c r="A34533" s="74">
        <v>39325</v>
      </c>
      <c r="B34533">
        <v>1.8</v>
      </c>
    </row>
    <row r="34534" spans="1:3" x14ac:dyDescent="0.25">
      <c r="A34534" s="74">
        <v>39326</v>
      </c>
      <c r="B34534">
        <v>1.75</v>
      </c>
    </row>
    <row r="34535" spans="1:3" x14ac:dyDescent="0.25">
      <c r="A34535" s="74">
        <v>39327</v>
      </c>
      <c r="B34535">
        <v>1.81</v>
      </c>
    </row>
    <row r="34536" spans="1:3" x14ac:dyDescent="0.25">
      <c r="A34536" s="74">
        <v>39328</v>
      </c>
      <c r="B34536">
        <v>1.87</v>
      </c>
    </row>
    <row r="34537" spans="1:3" x14ac:dyDescent="0.25">
      <c r="A34537" s="74">
        <v>39329</v>
      </c>
      <c r="B34537">
        <v>2.14</v>
      </c>
    </row>
    <row r="34538" spans="1:3" x14ac:dyDescent="0.25">
      <c r="A34538" s="74">
        <v>39330</v>
      </c>
      <c r="B34538">
        <v>2.0499999999999998</v>
      </c>
    </row>
    <row r="34539" spans="1:3" x14ac:dyDescent="0.25">
      <c r="A34539" s="74">
        <v>39331</v>
      </c>
      <c r="B34539">
        <v>1.96</v>
      </c>
    </row>
    <row r="34540" spans="1:3" x14ac:dyDescent="0.25">
      <c r="A34540" s="74">
        <v>39332</v>
      </c>
      <c r="B34540">
        <v>1.84</v>
      </c>
    </row>
    <row r="34541" spans="1:3" x14ac:dyDescent="0.25">
      <c r="A34541" s="74">
        <v>39333</v>
      </c>
      <c r="B34541">
        <v>1.7</v>
      </c>
    </row>
    <row r="34542" spans="1:3" x14ac:dyDescent="0.25">
      <c r="A34542" s="74">
        <v>39334</v>
      </c>
      <c r="B34542">
        <v>1.75</v>
      </c>
    </row>
    <row r="34543" spans="1:3" x14ac:dyDescent="0.25">
      <c r="A34543" s="74">
        <v>39335</v>
      </c>
      <c r="B34543">
        <v>1.85</v>
      </c>
    </row>
    <row r="34544" spans="1:3" x14ac:dyDescent="0.25">
      <c r="A34544" s="74">
        <v>39336</v>
      </c>
      <c r="B34544">
        <v>1.82</v>
      </c>
    </row>
    <row r="34545" spans="1:2" x14ac:dyDescent="0.25">
      <c r="A34545" s="74">
        <v>39337</v>
      </c>
      <c r="B34545">
        <v>1.77</v>
      </c>
    </row>
    <row r="34546" spans="1:2" x14ac:dyDescent="0.25">
      <c r="A34546" s="74">
        <v>39338</v>
      </c>
      <c r="B34546">
        <v>1.61</v>
      </c>
    </row>
    <row r="34547" spans="1:2" x14ac:dyDescent="0.25">
      <c r="A34547" s="74">
        <v>39339</v>
      </c>
      <c r="B34547">
        <v>1.56</v>
      </c>
    </row>
    <row r="34548" spans="1:2" x14ac:dyDescent="0.25">
      <c r="A34548" s="74">
        <v>39340</v>
      </c>
      <c r="B34548">
        <v>1.68</v>
      </c>
    </row>
    <row r="34549" spans="1:2" x14ac:dyDescent="0.25">
      <c r="A34549" s="74">
        <v>39341</v>
      </c>
      <c r="B34549">
        <v>1.73</v>
      </c>
    </row>
    <row r="34550" spans="1:2" x14ac:dyDescent="0.25">
      <c r="A34550" s="74">
        <v>39342</v>
      </c>
      <c r="B34550">
        <v>1.76</v>
      </c>
    </row>
    <row r="34551" spans="1:2" x14ac:dyDescent="0.25">
      <c r="A34551" s="74">
        <v>39343</v>
      </c>
      <c r="B34551">
        <v>1.72</v>
      </c>
    </row>
    <row r="34552" spans="1:2" x14ac:dyDescent="0.25">
      <c r="A34552" s="74">
        <v>39344</v>
      </c>
      <c r="B34552">
        <v>1.7</v>
      </c>
    </row>
    <row r="34553" spans="1:2" x14ac:dyDescent="0.25">
      <c r="A34553" s="74">
        <v>39345</v>
      </c>
      <c r="B34553">
        <v>1.66</v>
      </c>
    </row>
    <row r="34554" spans="1:2" x14ac:dyDescent="0.25">
      <c r="A34554" s="74">
        <v>39346</v>
      </c>
      <c r="B34554">
        <v>1.65</v>
      </c>
    </row>
    <row r="34555" spans="1:2" x14ac:dyDescent="0.25">
      <c r="A34555" s="74">
        <v>39347</v>
      </c>
      <c r="B34555">
        <v>1.72</v>
      </c>
    </row>
    <row r="34556" spans="1:2" x14ac:dyDescent="0.25">
      <c r="A34556" s="74">
        <v>39348</v>
      </c>
      <c r="B34556">
        <v>1.66</v>
      </c>
    </row>
    <row r="34557" spans="1:2" x14ac:dyDescent="0.25">
      <c r="A34557" s="74">
        <v>39349</v>
      </c>
      <c r="B34557">
        <v>1.64</v>
      </c>
    </row>
    <row r="34558" spans="1:2" x14ac:dyDescent="0.25">
      <c r="A34558" s="74">
        <v>39350</v>
      </c>
      <c r="B34558">
        <v>1.64</v>
      </c>
    </row>
    <row r="34559" spans="1:2" x14ac:dyDescent="0.25">
      <c r="A34559" s="74">
        <v>39351</v>
      </c>
      <c r="B34559">
        <v>1.64</v>
      </c>
    </row>
    <row r="34560" spans="1:2" x14ac:dyDescent="0.25">
      <c r="A34560" s="74">
        <v>39352</v>
      </c>
      <c r="B34560">
        <v>1.62</v>
      </c>
    </row>
    <row r="34561" spans="1:2" x14ac:dyDescent="0.25">
      <c r="A34561" s="74">
        <v>39353</v>
      </c>
      <c r="B34561">
        <v>1.58</v>
      </c>
    </row>
    <row r="34562" spans="1:2" x14ac:dyDescent="0.25">
      <c r="A34562" s="74">
        <v>39354</v>
      </c>
      <c r="B34562">
        <v>1.56</v>
      </c>
    </row>
    <row r="34563" spans="1:2" x14ac:dyDescent="0.25">
      <c r="A34563" s="74">
        <v>39355</v>
      </c>
      <c r="B34563">
        <v>8.99</v>
      </c>
    </row>
    <row r="34564" spans="1:2" x14ac:dyDescent="0.25">
      <c r="A34564" s="74">
        <v>39356</v>
      </c>
      <c r="B34564">
        <v>9.57</v>
      </c>
    </row>
    <row r="34565" spans="1:2" x14ac:dyDescent="0.25">
      <c r="A34565" s="74">
        <v>39357</v>
      </c>
      <c r="B34565">
        <v>7.92</v>
      </c>
    </row>
    <row r="34566" spans="1:2" x14ac:dyDescent="0.25">
      <c r="A34566" s="74">
        <v>39358</v>
      </c>
      <c r="B34566">
        <v>7.3</v>
      </c>
    </row>
    <row r="34567" spans="1:2" x14ac:dyDescent="0.25">
      <c r="A34567" s="74">
        <v>39359</v>
      </c>
      <c r="B34567">
        <v>5.42</v>
      </c>
    </row>
    <row r="34568" spans="1:2" x14ac:dyDescent="0.25">
      <c r="A34568" s="74">
        <v>39360</v>
      </c>
      <c r="B34568">
        <v>4.32</v>
      </c>
    </row>
    <row r="34569" spans="1:2" x14ac:dyDescent="0.25">
      <c r="A34569" s="74">
        <v>39361</v>
      </c>
      <c r="B34569">
        <v>3.64</v>
      </c>
    </row>
    <row r="34570" spans="1:2" x14ac:dyDescent="0.25">
      <c r="A34570" s="74">
        <v>39362</v>
      </c>
      <c r="B34570">
        <v>36.4</v>
      </c>
    </row>
    <row r="34571" spans="1:2" x14ac:dyDescent="0.25">
      <c r="A34571" s="74">
        <v>39363</v>
      </c>
      <c r="B34571">
        <v>19.899999999999999</v>
      </c>
    </row>
    <row r="34572" spans="1:2" x14ac:dyDescent="0.25">
      <c r="A34572" s="74">
        <v>39364</v>
      </c>
      <c r="B34572">
        <v>12.1</v>
      </c>
    </row>
    <row r="34573" spans="1:2" x14ac:dyDescent="0.25">
      <c r="A34573" s="74">
        <v>39365</v>
      </c>
      <c r="B34573">
        <v>15.8</v>
      </c>
    </row>
    <row r="34574" spans="1:2" x14ac:dyDescent="0.25">
      <c r="A34574" s="74">
        <v>39366</v>
      </c>
      <c r="B34574">
        <v>12.8</v>
      </c>
    </row>
    <row r="34575" spans="1:2" x14ac:dyDescent="0.25">
      <c r="A34575" s="74">
        <v>39367</v>
      </c>
      <c r="B34575">
        <v>9.77</v>
      </c>
    </row>
    <row r="34576" spans="1:2" x14ac:dyDescent="0.25">
      <c r="A34576" s="74">
        <v>39368</v>
      </c>
      <c r="B34576">
        <v>7.34</v>
      </c>
    </row>
    <row r="34577" spans="1:2" x14ac:dyDescent="0.25">
      <c r="A34577" s="74">
        <v>39369</v>
      </c>
      <c r="B34577">
        <v>5.91</v>
      </c>
    </row>
    <row r="34578" spans="1:2" x14ac:dyDescent="0.25">
      <c r="A34578" s="74">
        <v>39370</v>
      </c>
      <c r="B34578">
        <v>5.0199999999999996</v>
      </c>
    </row>
    <row r="34579" spans="1:2" x14ac:dyDescent="0.25">
      <c r="A34579" s="74">
        <v>39371</v>
      </c>
      <c r="B34579">
        <v>5.32</v>
      </c>
    </row>
    <row r="34580" spans="1:2" x14ac:dyDescent="0.25">
      <c r="A34580" s="74">
        <v>39372</v>
      </c>
      <c r="B34580">
        <v>5.94</v>
      </c>
    </row>
    <row r="34581" spans="1:2" x14ac:dyDescent="0.25">
      <c r="A34581" s="74">
        <v>39373</v>
      </c>
      <c r="B34581">
        <v>9.89</v>
      </c>
    </row>
    <row r="34582" spans="1:2" x14ac:dyDescent="0.25">
      <c r="A34582" s="74">
        <v>39374</v>
      </c>
      <c r="B34582">
        <v>17.899999999999999</v>
      </c>
    </row>
    <row r="34583" spans="1:2" x14ac:dyDescent="0.25">
      <c r="A34583" s="74">
        <v>39375</v>
      </c>
      <c r="B34583">
        <v>31.3</v>
      </c>
    </row>
    <row r="34584" spans="1:2" x14ac:dyDescent="0.25">
      <c r="A34584" s="74">
        <v>39376</v>
      </c>
      <c r="B34584">
        <v>19.899999999999999</v>
      </c>
    </row>
    <row r="34585" spans="1:2" x14ac:dyDescent="0.25">
      <c r="A34585" s="74">
        <v>39377</v>
      </c>
      <c r="B34585">
        <v>24.9</v>
      </c>
    </row>
    <row r="34586" spans="1:2" x14ac:dyDescent="0.25">
      <c r="A34586" s="74">
        <v>39378</v>
      </c>
      <c r="B34586">
        <v>18.399999999999999</v>
      </c>
    </row>
    <row r="34587" spans="1:2" x14ac:dyDescent="0.25">
      <c r="A34587" s="74">
        <v>39379</v>
      </c>
      <c r="B34587">
        <v>13.3</v>
      </c>
    </row>
    <row r="34588" spans="1:2" x14ac:dyDescent="0.25">
      <c r="A34588" s="74">
        <v>39380</v>
      </c>
      <c r="B34588">
        <v>9.8800000000000008</v>
      </c>
    </row>
    <row r="34589" spans="1:2" x14ac:dyDescent="0.25">
      <c r="A34589" s="74">
        <v>39381</v>
      </c>
      <c r="B34589">
        <v>7.53</v>
      </c>
    </row>
    <row r="34590" spans="1:2" x14ac:dyDescent="0.25">
      <c r="A34590" s="74">
        <v>39382</v>
      </c>
      <c r="B34590">
        <v>6.19</v>
      </c>
    </row>
    <row r="34591" spans="1:2" x14ac:dyDescent="0.25">
      <c r="A34591" s="74">
        <v>39383</v>
      </c>
      <c r="B34591">
        <v>5.34</v>
      </c>
    </row>
    <row r="34592" spans="1:2" x14ac:dyDescent="0.25">
      <c r="A34592" s="74">
        <v>39384</v>
      </c>
      <c r="B34592">
        <v>5.69</v>
      </c>
    </row>
    <row r="34593" spans="1:2" x14ac:dyDescent="0.25">
      <c r="A34593" s="74">
        <v>39385</v>
      </c>
      <c r="B34593">
        <v>5.47</v>
      </c>
    </row>
    <row r="34594" spans="1:2" x14ac:dyDescent="0.25">
      <c r="A34594" s="74">
        <v>39386</v>
      </c>
      <c r="B34594">
        <v>4.75</v>
      </c>
    </row>
    <row r="34595" spans="1:2" x14ac:dyDescent="0.25">
      <c r="A34595" s="74">
        <v>39387</v>
      </c>
      <c r="B34595">
        <v>4.22</v>
      </c>
    </row>
    <row r="34596" spans="1:2" x14ac:dyDescent="0.25">
      <c r="A34596" s="74">
        <v>39388</v>
      </c>
      <c r="B34596">
        <v>3.78</v>
      </c>
    </row>
    <row r="34597" spans="1:2" x14ac:dyDescent="0.25">
      <c r="A34597" s="74">
        <v>39389</v>
      </c>
      <c r="B34597">
        <v>3.45</v>
      </c>
    </row>
    <row r="34598" spans="1:2" x14ac:dyDescent="0.25">
      <c r="A34598" s="74">
        <v>39390</v>
      </c>
      <c r="B34598">
        <v>3.49</v>
      </c>
    </row>
    <row r="34599" spans="1:2" x14ac:dyDescent="0.25">
      <c r="A34599" s="74">
        <v>39391</v>
      </c>
      <c r="B34599">
        <v>3.39</v>
      </c>
    </row>
    <row r="34600" spans="1:2" x14ac:dyDescent="0.25">
      <c r="A34600" s="74">
        <v>39392</v>
      </c>
      <c r="B34600">
        <v>3.15</v>
      </c>
    </row>
    <row r="34601" spans="1:2" x14ac:dyDescent="0.25">
      <c r="A34601" s="74">
        <v>39393</v>
      </c>
      <c r="B34601">
        <v>3.12</v>
      </c>
    </row>
    <row r="34602" spans="1:2" x14ac:dyDescent="0.25">
      <c r="A34602" s="74">
        <v>39394</v>
      </c>
      <c r="B34602">
        <v>3.27</v>
      </c>
    </row>
    <row r="34603" spans="1:2" x14ac:dyDescent="0.25">
      <c r="A34603" s="74">
        <v>39395</v>
      </c>
      <c r="B34603">
        <v>11.9</v>
      </c>
    </row>
    <row r="34604" spans="1:2" x14ac:dyDescent="0.25">
      <c r="A34604" s="74">
        <v>39396</v>
      </c>
      <c r="B34604">
        <v>23.5</v>
      </c>
    </row>
    <row r="34605" spans="1:2" x14ac:dyDescent="0.25">
      <c r="A34605" s="74">
        <v>39397</v>
      </c>
      <c r="B34605">
        <v>29.2</v>
      </c>
    </row>
    <row r="34606" spans="1:2" x14ac:dyDescent="0.25">
      <c r="A34606" s="74">
        <v>39398</v>
      </c>
      <c r="B34606">
        <v>153</v>
      </c>
    </row>
    <row r="34607" spans="1:2" x14ac:dyDescent="0.25">
      <c r="A34607" s="74">
        <v>39399</v>
      </c>
      <c r="B34607">
        <v>56.1</v>
      </c>
    </row>
    <row r="34608" spans="1:2" x14ac:dyDescent="0.25">
      <c r="A34608" s="74">
        <v>39400</v>
      </c>
      <c r="B34608">
        <v>24.7</v>
      </c>
    </row>
    <row r="34609" spans="1:2" x14ac:dyDescent="0.25">
      <c r="A34609" s="74">
        <v>39401</v>
      </c>
      <c r="B34609">
        <v>43.1</v>
      </c>
    </row>
    <row r="34610" spans="1:2" x14ac:dyDescent="0.25">
      <c r="A34610" s="74">
        <v>39402</v>
      </c>
      <c r="B34610">
        <v>68.400000000000006</v>
      </c>
    </row>
    <row r="34611" spans="1:2" x14ac:dyDescent="0.25">
      <c r="A34611" s="74">
        <v>39403</v>
      </c>
      <c r="B34611">
        <v>31</v>
      </c>
    </row>
    <row r="34612" spans="1:2" x14ac:dyDescent="0.25">
      <c r="A34612" s="74">
        <v>39404</v>
      </c>
      <c r="B34612">
        <v>18.899999999999999</v>
      </c>
    </row>
    <row r="34613" spans="1:2" x14ac:dyDescent="0.25">
      <c r="A34613" s="74">
        <v>39405</v>
      </c>
      <c r="B34613">
        <v>14.4</v>
      </c>
    </row>
    <row r="34614" spans="1:2" x14ac:dyDescent="0.25">
      <c r="A34614" s="74">
        <v>39406</v>
      </c>
      <c r="B34614">
        <v>11.8</v>
      </c>
    </row>
    <row r="34615" spans="1:2" x14ac:dyDescent="0.25">
      <c r="A34615" s="74">
        <v>39407</v>
      </c>
      <c r="B34615">
        <v>9.76</v>
      </c>
    </row>
    <row r="34616" spans="1:2" x14ac:dyDescent="0.25">
      <c r="A34616" s="74">
        <v>39408</v>
      </c>
      <c r="B34616">
        <v>8.15</v>
      </c>
    </row>
    <row r="34617" spans="1:2" x14ac:dyDescent="0.25">
      <c r="A34617" s="74">
        <v>39409</v>
      </c>
      <c r="B34617">
        <v>7</v>
      </c>
    </row>
    <row r="34618" spans="1:2" x14ac:dyDescent="0.25">
      <c r="A34618" s="74">
        <v>39410</v>
      </c>
      <c r="B34618">
        <v>6.16</v>
      </c>
    </row>
    <row r="34619" spans="1:2" x14ac:dyDescent="0.25">
      <c r="A34619" s="74">
        <v>39411</v>
      </c>
      <c r="B34619">
        <v>5.5</v>
      </c>
    </row>
    <row r="34620" spans="1:2" x14ac:dyDescent="0.25">
      <c r="A34620" s="74">
        <v>39412</v>
      </c>
      <c r="B34620">
        <v>5.15</v>
      </c>
    </row>
    <row r="34621" spans="1:2" x14ac:dyDescent="0.25">
      <c r="A34621" s="74">
        <v>39413</v>
      </c>
      <c r="B34621">
        <v>4.9000000000000004</v>
      </c>
    </row>
    <row r="34622" spans="1:2" x14ac:dyDescent="0.25">
      <c r="A34622" s="74">
        <v>39414</v>
      </c>
      <c r="B34622">
        <v>4.5999999999999996</v>
      </c>
    </row>
    <row r="34623" spans="1:2" x14ac:dyDescent="0.25">
      <c r="A34623" s="74">
        <v>39415</v>
      </c>
      <c r="B34623">
        <v>4.76</v>
      </c>
    </row>
    <row r="34624" spans="1:2" x14ac:dyDescent="0.25">
      <c r="A34624" s="74">
        <v>39416</v>
      </c>
      <c r="B34624">
        <v>4.57</v>
      </c>
    </row>
    <row r="34625" spans="1:2" x14ac:dyDescent="0.25">
      <c r="A34625" s="74">
        <v>39417</v>
      </c>
      <c r="B34625">
        <v>4.2699999999999996</v>
      </c>
    </row>
    <row r="34626" spans="1:2" x14ac:dyDescent="0.25">
      <c r="A34626" s="74">
        <v>39418</v>
      </c>
      <c r="B34626">
        <v>4.25</v>
      </c>
    </row>
    <row r="34627" spans="1:2" x14ac:dyDescent="0.25">
      <c r="A34627" s="74">
        <v>39419</v>
      </c>
      <c r="B34627">
        <v>161</v>
      </c>
    </row>
    <row r="34628" spans="1:2" x14ac:dyDescent="0.25">
      <c r="A34628" s="74">
        <v>39420</v>
      </c>
      <c r="B34628">
        <v>238</v>
      </c>
    </row>
    <row r="34629" spans="1:2" x14ac:dyDescent="0.25">
      <c r="A34629" s="74">
        <v>39421</v>
      </c>
      <c r="B34629">
        <v>93.7</v>
      </c>
    </row>
    <row r="34630" spans="1:2" x14ac:dyDescent="0.25">
      <c r="A34630" s="74">
        <v>39422</v>
      </c>
      <c r="B34630">
        <v>41.8</v>
      </c>
    </row>
    <row r="34631" spans="1:2" x14ac:dyDescent="0.25">
      <c r="A34631" s="74">
        <v>39423</v>
      </c>
      <c r="B34631">
        <v>23.1</v>
      </c>
    </row>
    <row r="34632" spans="1:2" x14ac:dyDescent="0.25">
      <c r="A34632" s="74">
        <v>39424</v>
      </c>
      <c r="B34632">
        <v>15.9</v>
      </c>
    </row>
    <row r="34633" spans="1:2" x14ac:dyDescent="0.25">
      <c r="A34633" s="74">
        <v>39425</v>
      </c>
      <c r="B34633">
        <v>12.6</v>
      </c>
    </row>
    <row r="34634" spans="1:2" x14ac:dyDescent="0.25">
      <c r="A34634" s="74">
        <v>39426</v>
      </c>
      <c r="B34634">
        <v>10.6</v>
      </c>
    </row>
    <row r="34635" spans="1:2" x14ac:dyDescent="0.25">
      <c r="A34635" s="74">
        <v>39427</v>
      </c>
      <c r="B34635">
        <v>8.9499999999999993</v>
      </c>
    </row>
    <row r="34636" spans="1:2" x14ac:dyDescent="0.25">
      <c r="A34636" s="74">
        <v>39428</v>
      </c>
      <c r="B34636">
        <v>7.79</v>
      </c>
    </row>
    <row r="34637" spans="1:2" x14ac:dyDescent="0.25">
      <c r="A34637" s="74">
        <v>39429</v>
      </c>
      <c r="B34637">
        <v>6.86</v>
      </c>
    </row>
    <row r="34638" spans="1:2" x14ac:dyDescent="0.25">
      <c r="A34638" s="74">
        <v>39430</v>
      </c>
      <c r="B34638">
        <v>6.48</v>
      </c>
    </row>
    <row r="34639" spans="1:2" x14ac:dyDescent="0.25">
      <c r="A34639" s="74">
        <v>39431</v>
      </c>
      <c r="B34639">
        <v>9.17</v>
      </c>
    </row>
    <row r="34640" spans="1:2" x14ac:dyDescent="0.25">
      <c r="A34640" s="74">
        <v>39432</v>
      </c>
      <c r="B34640">
        <v>14.1</v>
      </c>
    </row>
    <row r="34641" spans="1:2" x14ac:dyDescent="0.25">
      <c r="A34641" s="74">
        <v>39433</v>
      </c>
      <c r="B34641">
        <v>21</v>
      </c>
    </row>
    <row r="34642" spans="1:2" x14ac:dyDescent="0.25">
      <c r="A34642" s="74">
        <v>39434</v>
      </c>
      <c r="B34642">
        <v>15</v>
      </c>
    </row>
    <row r="34643" spans="1:2" x14ac:dyDescent="0.25">
      <c r="A34643" s="74">
        <v>39435</v>
      </c>
      <c r="B34643">
        <v>14.3</v>
      </c>
    </row>
    <row r="34644" spans="1:2" x14ac:dyDescent="0.25">
      <c r="A34644" s="74">
        <v>39436</v>
      </c>
      <c r="B34644">
        <v>17.600000000000001</v>
      </c>
    </row>
    <row r="34645" spans="1:2" x14ac:dyDescent="0.25">
      <c r="A34645" s="74">
        <v>39437</v>
      </c>
      <c r="B34645">
        <v>13.2</v>
      </c>
    </row>
    <row r="34646" spans="1:2" x14ac:dyDescent="0.25">
      <c r="A34646" s="74">
        <v>39438</v>
      </c>
      <c r="B34646">
        <v>13.8</v>
      </c>
    </row>
    <row r="34647" spans="1:2" x14ac:dyDescent="0.25">
      <c r="A34647" s="74">
        <v>39439</v>
      </c>
      <c r="B34647">
        <v>16.100000000000001</v>
      </c>
    </row>
    <row r="34648" spans="1:2" x14ac:dyDescent="0.25">
      <c r="A34648" s="74">
        <v>39440</v>
      </c>
      <c r="B34648">
        <v>17.2</v>
      </c>
    </row>
    <row r="34649" spans="1:2" x14ac:dyDescent="0.25">
      <c r="A34649" s="74">
        <v>39441</v>
      </c>
      <c r="B34649">
        <v>13.3</v>
      </c>
    </row>
    <row r="34650" spans="1:2" x14ac:dyDescent="0.25">
      <c r="A34650" s="74">
        <v>39442</v>
      </c>
      <c r="B34650">
        <v>11.1</v>
      </c>
    </row>
    <row r="34651" spans="1:2" x14ac:dyDescent="0.25">
      <c r="A34651" s="74">
        <v>39443</v>
      </c>
      <c r="B34651">
        <v>9.26</v>
      </c>
    </row>
    <row r="34652" spans="1:2" x14ac:dyDescent="0.25">
      <c r="A34652" s="74">
        <v>39444</v>
      </c>
      <c r="B34652">
        <v>8.2799999999999994</v>
      </c>
    </row>
    <row r="34653" spans="1:2" x14ac:dyDescent="0.25">
      <c r="A34653" s="74">
        <v>39445</v>
      </c>
      <c r="B34653">
        <v>7.24</v>
      </c>
    </row>
    <row r="34654" spans="1:2" x14ac:dyDescent="0.25">
      <c r="A34654" s="74">
        <v>39446</v>
      </c>
      <c r="B34654">
        <v>6.52</v>
      </c>
    </row>
    <row r="34655" spans="1:2" x14ac:dyDescent="0.25">
      <c r="A34655" s="74">
        <v>39447</v>
      </c>
      <c r="B34655">
        <v>5.72</v>
      </c>
    </row>
    <row r="34656" spans="1:2" x14ac:dyDescent="0.25">
      <c r="A34656" s="74">
        <v>39448</v>
      </c>
      <c r="B34656">
        <v>5.19</v>
      </c>
    </row>
    <row r="34657" spans="1:2" x14ac:dyDescent="0.25">
      <c r="A34657" s="74">
        <v>39449</v>
      </c>
      <c r="B34657">
        <v>7.49</v>
      </c>
    </row>
    <row r="34658" spans="1:2" x14ac:dyDescent="0.25">
      <c r="A34658" s="74">
        <v>39450</v>
      </c>
      <c r="B34658">
        <v>12.7</v>
      </c>
    </row>
    <row r="34659" spans="1:2" x14ac:dyDescent="0.25">
      <c r="A34659" s="74">
        <v>39451</v>
      </c>
      <c r="B34659">
        <v>39.5</v>
      </c>
    </row>
    <row r="34660" spans="1:2" x14ac:dyDescent="0.25">
      <c r="A34660" s="74">
        <v>39452</v>
      </c>
      <c r="B34660">
        <v>72.7</v>
      </c>
    </row>
    <row r="34661" spans="1:2" x14ac:dyDescent="0.25">
      <c r="A34661" s="74">
        <v>39453</v>
      </c>
      <c r="B34661">
        <v>41.3</v>
      </c>
    </row>
    <row r="34662" spans="1:2" x14ac:dyDescent="0.25">
      <c r="A34662" s="74">
        <v>39454</v>
      </c>
      <c r="B34662">
        <v>21.6</v>
      </c>
    </row>
    <row r="34663" spans="1:2" x14ac:dyDescent="0.25">
      <c r="A34663" s="74">
        <v>39455</v>
      </c>
      <c r="B34663">
        <v>15.6</v>
      </c>
    </row>
    <row r="34664" spans="1:2" x14ac:dyDescent="0.25">
      <c r="A34664" s="74">
        <v>39456</v>
      </c>
      <c r="B34664">
        <v>12.9</v>
      </c>
    </row>
    <row r="34665" spans="1:2" x14ac:dyDescent="0.25">
      <c r="A34665" s="74">
        <v>39457</v>
      </c>
      <c r="B34665">
        <v>13.8</v>
      </c>
    </row>
    <row r="34666" spans="1:2" x14ac:dyDescent="0.25">
      <c r="A34666" s="74">
        <v>39458</v>
      </c>
      <c r="B34666">
        <v>27.4</v>
      </c>
    </row>
    <row r="34667" spans="1:2" x14ac:dyDescent="0.25">
      <c r="A34667" s="74">
        <v>39459</v>
      </c>
      <c r="B34667">
        <v>26.7</v>
      </c>
    </row>
    <row r="34668" spans="1:2" x14ac:dyDescent="0.25">
      <c r="A34668" s="74">
        <v>39460</v>
      </c>
      <c r="B34668">
        <v>24.8</v>
      </c>
    </row>
    <row r="34669" spans="1:2" x14ac:dyDescent="0.25">
      <c r="A34669" s="74">
        <v>39461</v>
      </c>
      <c r="B34669">
        <v>32.299999999999997</v>
      </c>
    </row>
    <row r="34670" spans="1:2" x14ac:dyDescent="0.25">
      <c r="A34670" s="74">
        <v>39462</v>
      </c>
      <c r="B34670">
        <v>30.3</v>
      </c>
    </row>
    <row r="34671" spans="1:2" x14ac:dyDescent="0.25">
      <c r="A34671" s="74">
        <v>39463</v>
      </c>
      <c r="B34671">
        <v>18.8</v>
      </c>
    </row>
    <row r="34672" spans="1:2" x14ac:dyDescent="0.25">
      <c r="A34672" s="74">
        <v>39464</v>
      </c>
      <c r="B34672">
        <v>14.5</v>
      </c>
    </row>
    <row r="34673" spans="1:2" x14ac:dyDescent="0.25">
      <c r="A34673" s="74">
        <v>39465</v>
      </c>
      <c r="B34673">
        <v>12.1</v>
      </c>
    </row>
    <row r="34674" spans="1:2" x14ac:dyDescent="0.25">
      <c r="A34674" s="74">
        <v>39466</v>
      </c>
      <c r="B34674">
        <v>10.7</v>
      </c>
    </row>
    <row r="34675" spans="1:2" x14ac:dyDescent="0.25">
      <c r="A34675" s="74">
        <v>39467</v>
      </c>
      <c r="B34675">
        <v>9.59</v>
      </c>
    </row>
    <row r="34676" spans="1:2" x14ac:dyDescent="0.25">
      <c r="A34676" s="74">
        <v>39468</v>
      </c>
      <c r="B34676">
        <v>8.2200000000000006</v>
      </c>
    </row>
    <row r="34677" spans="1:2" x14ac:dyDescent="0.25">
      <c r="A34677" s="74">
        <v>39469</v>
      </c>
      <c r="B34677">
        <v>7.15</v>
      </c>
    </row>
    <row r="34678" spans="1:2" x14ac:dyDescent="0.25">
      <c r="A34678" s="74">
        <v>39470</v>
      </c>
      <c r="B34678">
        <v>6.41</v>
      </c>
    </row>
    <row r="34679" spans="1:2" x14ac:dyDescent="0.25">
      <c r="A34679" s="74">
        <v>39471</v>
      </c>
      <c r="B34679">
        <v>5.94</v>
      </c>
    </row>
    <row r="34680" spans="1:2" x14ac:dyDescent="0.25">
      <c r="A34680" s="74">
        <v>39472</v>
      </c>
      <c r="B34680">
        <v>5.35</v>
      </c>
    </row>
    <row r="34681" spans="1:2" x14ac:dyDescent="0.25">
      <c r="A34681" s="74">
        <v>39473</v>
      </c>
      <c r="B34681">
        <v>5.15</v>
      </c>
    </row>
    <row r="34682" spans="1:2" x14ac:dyDescent="0.25">
      <c r="A34682" s="74">
        <v>39474</v>
      </c>
      <c r="B34682">
        <v>4.8899999999999997</v>
      </c>
    </row>
    <row r="34683" spans="1:2" x14ac:dyDescent="0.25">
      <c r="A34683" s="74">
        <v>39475</v>
      </c>
      <c r="B34683">
        <v>4.7</v>
      </c>
    </row>
    <row r="34684" spans="1:2" x14ac:dyDescent="0.25">
      <c r="A34684" s="74">
        <v>39476</v>
      </c>
      <c r="B34684">
        <v>4.67</v>
      </c>
    </row>
    <row r="34685" spans="1:2" x14ac:dyDescent="0.25">
      <c r="A34685" s="74">
        <v>39477</v>
      </c>
      <c r="B34685">
        <v>4.42</v>
      </c>
    </row>
    <row r="34686" spans="1:2" x14ac:dyDescent="0.25">
      <c r="A34686" s="74">
        <v>39478</v>
      </c>
      <c r="B34686">
        <v>4.37</v>
      </c>
    </row>
    <row r="34687" spans="1:2" x14ac:dyDescent="0.25">
      <c r="A34687" s="74">
        <v>39479</v>
      </c>
      <c r="B34687">
        <v>4.24</v>
      </c>
    </row>
    <row r="34688" spans="1:2" x14ac:dyDescent="0.25">
      <c r="A34688" s="74">
        <v>39480</v>
      </c>
      <c r="B34688">
        <v>4</v>
      </c>
    </row>
    <row r="34689" spans="1:2" x14ac:dyDescent="0.25">
      <c r="A34689" s="74">
        <v>39481</v>
      </c>
      <c r="B34689">
        <v>3.81</v>
      </c>
    </row>
    <row r="34690" spans="1:2" x14ac:dyDescent="0.25">
      <c r="A34690" s="74">
        <v>39482</v>
      </c>
      <c r="B34690">
        <v>3.52</v>
      </c>
    </row>
    <row r="34691" spans="1:2" x14ac:dyDescent="0.25">
      <c r="A34691" s="74">
        <v>39483</v>
      </c>
      <c r="B34691">
        <v>5.28</v>
      </c>
    </row>
    <row r="34692" spans="1:2" x14ac:dyDescent="0.25">
      <c r="A34692" s="74">
        <v>39484</v>
      </c>
      <c r="B34692">
        <v>8.4600000000000009</v>
      </c>
    </row>
    <row r="34693" spans="1:2" x14ac:dyDescent="0.25">
      <c r="A34693" s="74">
        <v>39485</v>
      </c>
      <c r="B34693">
        <v>8.3699999999999992</v>
      </c>
    </row>
    <row r="34694" spans="1:2" x14ac:dyDescent="0.25">
      <c r="A34694" s="74">
        <v>39486</v>
      </c>
      <c r="B34694">
        <v>8.39</v>
      </c>
    </row>
    <row r="34695" spans="1:2" x14ac:dyDescent="0.25">
      <c r="A34695" s="74">
        <v>39487</v>
      </c>
      <c r="B34695">
        <v>7.95</v>
      </c>
    </row>
    <row r="34696" spans="1:2" x14ac:dyDescent="0.25">
      <c r="A34696" s="74">
        <v>39488</v>
      </c>
      <c r="B34696">
        <v>11.1</v>
      </c>
    </row>
    <row r="34697" spans="1:2" x14ac:dyDescent="0.25">
      <c r="A34697" s="74">
        <v>39489</v>
      </c>
      <c r="B34697">
        <v>13.2</v>
      </c>
    </row>
    <row r="34698" spans="1:2" x14ac:dyDescent="0.25">
      <c r="A34698" s="74">
        <v>39490</v>
      </c>
      <c r="B34698">
        <v>12.7</v>
      </c>
    </row>
    <row r="34699" spans="1:2" x14ac:dyDescent="0.25">
      <c r="A34699" s="74">
        <v>39491</v>
      </c>
      <c r="B34699">
        <v>13.8</v>
      </c>
    </row>
    <row r="34700" spans="1:2" x14ac:dyDescent="0.25">
      <c r="A34700" s="74">
        <v>39492</v>
      </c>
      <c r="B34700">
        <v>11.9</v>
      </c>
    </row>
    <row r="34701" spans="1:2" x14ac:dyDescent="0.25">
      <c r="A34701" s="74">
        <v>39493</v>
      </c>
      <c r="B34701">
        <v>10.3</v>
      </c>
    </row>
    <row r="34702" spans="1:2" x14ac:dyDescent="0.25">
      <c r="A34702" s="74">
        <v>39494</v>
      </c>
      <c r="B34702">
        <v>9.3000000000000007</v>
      </c>
    </row>
    <row r="34703" spans="1:2" x14ac:dyDescent="0.25">
      <c r="A34703" s="74">
        <v>39495</v>
      </c>
      <c r="B34703">
        <v>8.24</v>
      </c>
    </row>
    <row r="34704" spans="1:2" x14ac:dyDescent="0.25">
      <c r="A34704" s="74">
        <v>39496</v>
      </c>
      <c r="B34704">
        <v>7.49</v>
      </c>
    </row>
    <row r="34705" spans="1:2" x14ac:dyDescent="0.25">
      <c r="A34705" s="74">
        <v>39497</v>
      </c>
      <c r="B34705">
        <v>7.01</v>
      </c>
    </row>
    <row r="34706" spans="1:2" x14ac:dyDescent="0.25">
      <c r="A34706" s="74">
        <v>39498</v>
      </c>
      <c r="B34706">
        <v>6.87</v>
      </c>
    </row>
    <row r="34707" spans="1:2" x14ac:dyDescent="0.25">
      <c r="A34707" s="74">
        <v>39499</v>
      </c>
      <c r="B34707">
        <v>7.14</v>
      </c>
    </row>
    <row r="34708" spans="1:2" x14ac:dyDescent="0.25">
      <c r="A34708" s="74">
        <v>39500</v>
      </c>
      <c r="B34708">
        <v>7.12</v>
      </c>
    </row>
    <row r="34709" spans="1:2" x14ac:dyDescent="0.25">
      <c r="A34709" s="74">
        <v>39501</v>
      </c>
      <c r="B34709">
        <v>7.11</v>
      </c>
    </row>
    <row r="34710" spans="1:2" x14ac:dyDescent="0.25">
      <c r="A34710" s="74">
        <v>39502</v>
      </c>
      <c r="B34710">
        <v>7.25</v>
      </c>
    </row>
    <row r="34711" spans="1:2" x14ac:dyDescent="0.25">
      <c r="A34711" s="74">
        <v>39503</v>
      </c>
      <c r="B34711">
        <v>6.95</v>
      </c>
    </row>
    <row r="34712" spans="1:2" x14ac:dyDescent="0.25">
      <c r="A34712" s="74">
        <v>39504</v>
      </c>
      <c r="B34712">
        <v>6.67</v>
      </c>
    </row>
    <row r="34713" spans="1:2" x14ac:dyDescent="0.25">
      <c r="A34713" s="74">
        <v>39505</v>
      </c>
      <c r="B34713">
        <v>7.17</v>
      </c>
    </row>
    <row r="34714" spans="1:2" x14ac:dyDescent="0.25">
      <c r="A34714" s="74">
        <v>39506</v>
      </c>
      <c r="B34714">
        <v>8.59</v>
      </c>
    </row>
    <row r="34715" spans="1:2" x14ac:dyDescent="0.25">
      <c r="A34715" s="74">
        <v>39507</v>
      </c>
      <c r="B34715">
        <v>10</v>
      </c>
    </row>
    <row r="34716" spans="1:2" x14ac:dyDescent="0.25">
      <c r="A34716" s="74">
        <v>39508</v>
      </c>
      <c r="B34716">
        <v>15.6</v>
      </c>
    </row>
    <row r="34717" spans="1:2" x14ac:dyDescent="0.25">
      <c r="A34717" s="74">
        <v>39509</v>
      </c>
      <c r="B34717">
        <v>12.5</v>
      </c>
    </row>
    <row r="34718" spans="1:2" x14ac:dyDescent="0.25">
      <c r="A34718" s="74">
        <v>39510</v>
      </c>
      <c r="B34718">
        <v>10.7</v>
      </c>
    </row>
    <row r="34719" spans="1:2" x14ac:dyDescent="0.25">
      <c r="A34719" s="74">
        <v>39511</v>
      </c>
      <c r="B34719">
        <v>9.58</v>
      </c>
    </row>
    <row r="34720" spans="1:2" x14ac:dyDescent="0.25">
      <c r="A34720" s="74">
        <v>39512</v>
      </c>
      <c r="B34720">
        <v>8.31</v>
      </c>
    </row>
    <row r="34721" spans="1:2" x14ac:dyDescent="0.25">
      <c r="A34721" s="74">
        <v>39513</v>
      </c>
      <c r="B34721">
        <v>7.46</v>
      </c>
    </row>
    <row r="34722" spans="1:2" x14ac:dyDescent="0.25">
      <c r="A34722" s="74">
        <v>39514</v>
      </c>
      <c r="B34722">
        <v>6.78</v>
      </c>
    </row>
    <row r="34723" spans="1:2" x14ac:dyDescent="0.25">
      <c r="A34723" s="74">
        <v>39515</v>
      </c>
      <c r="B34723">
        <v>7.13</v>
      </c>
    </row>
    <row r="34724" spans="1:2" x14ac:dyDescent="0.25">
      <c r="A34724" s="74">
        <v>39516</v>
      </c>
      <c r="B34724">
        <v>7.3</v>
      </c>
    </row>
    <row r="34725" spans="1:2" x14ac:dyDescent="0.25">
      <c r="A34725" s="74">
        <v>39517</v>
      </c>
      <c r="B34725">
        <v>12.1</v>
      </c>
    </row>
    <row r="34726" spans="1:2" x14ac:dyDescent="0.25">
      <c r="A34726" s="74">
        <v>39518</v>
      </c>
      <c r="B34726">
        <v>43</v>
      </c>
    </row>
    <row r="34727" spans="1:2" x14ac:dyDescent="0.25">
      <c r="A34727" s="74">
        <v>39519</v>
      </c>
      <c r="B34727">
        <v>26.4</v>
      </c>
    </row>
    <row r="34728" spans="1:2" x14ac:dyDescent="0.25">
      <c r="A34728" s="74">
        <v>39520</v>
      </c>
      <c r="B34728">
        <v>16.899999999999999</v>
      </c>
    </row>
    <row r="34729" spans="1:2" x14ac:dyDescent="0.25">
      <c r="A34729" s="74">
        <v>39521</v>
      </c>
      <c r="B34729">
        <v>13.6</v>
      </c>
    </row>
    <row r="34730" spans="1:2" x14ac:dyDescent="0.25">
      <c r="A34730" s="74">
        <v>39522</v>
      </c>
      <c r="B34730">
        <v>12</v>
      </c>
    </row>
    <row r="34731" spans="1:2" x14ac:dyDescent="0.25">
      <c r="A34731" s="74">
        <v>39523</v>
      </c>
      <c r="B34731">
        <v>10.6</v>
      </c>
    </row>
    <row r="34732" spans="1:2" x14ac:dyDescent="0.25">
      <c r="A34732" s="74">
        <v>39524</v>
      </c>
      <c r="B34732">
        <v>9.36</v>
      </c>
    </row>
    <row r="34733" spans="1:2" x14ac:dyDescent="0.25">
      <c r="A34733" s="74">
        <v>39525</v>
      </c>
      <c r="B34733">
        <v>8.4700000000000006</v>
      </c>
    </row>
    <row r="34734" spans="1:2" x14ac:dyDescent="0.25">
      <c r="A34734" s="74">
        <v>39526</v>
      </c>
      <c r="B34734">
        <v>7.75</v>
      </c>
    </row>
    <row r="34735" spans="1:2" x14ac:dyDescent="0.25">
      <c r="A34735" s="74">
        <v>39527</v>
      </c>
      <c r="B34735">
        <v>7.43</v>
      </c>
    </row>
    <row r="34736" spans="1:2" x14ac:dyDescent="0.25">
      <c r="A34736" s="74">
        <v>39528</v>
      </c>
      <c r="B34736">
        <v>6.88</v>
      </c>
    </row>
    <row r="34737" spans="1:2" x14ac:dyDescent="0.25">
      <c r="A34737" s="74">
        <v>39529</v>
      </c>
      <c r="B34737">
        <v>6.17</v>
      </c>
    </row>
    <row r="34738" spans="1:2" x14ac:dyDescent="0.25">
      <c r="A34738" s="74">
        <v>39530</v>
      </c>
      <c r="B34738">
        <v>6.51</v>
      </c>
    </row>
    <row r="34739" spans="1:2" x14ac:dyDescent="0.25">
      <c r="A34739" s="74">
        <v>39531</v>
      </c>
      <c r="B34739">
        <v>6.66</v>
      </c>
    </row>
    <row r="34740" spans="1:2" x14ac:dyDescent="0.25">
      <c r="A34740" s="74">
        <v>39532</v>
      </c>
      <c r="B34740">
        <v>6.26</v>
      </c>
    </row>
    <row r="34741" spans="1:2" x14ac:dyDescent="0.25">
      <c r="A34741" s="74">
        <v>39533</v>
      </c>
      <c r="B34741">
        <v>6.07</v>
      </c>
    </row>
    <row r="34742" spans="1:2" x14ac:dyDescent="0.25">
      <c r="A34742" s="74">
        <v>39534</v>
      </c>
      <c r="B34742">
        <v>5.64</v>
      </c>
    </row>
    <row r="34743" spans="1:2" x14ac:dyDescent="0.25">
      <c r="A34743" s="74">
        <v>39535</v>
      </c>
      <c r="B34743">
        <v>5.43</v>
      </c>
    </row>
    <row r="34744" spans="1:2" x14ac:dyDescent="0.25">
      <c r="A34744" s="74">
        <v>39536</v>
      </c>
      <c r="B34744">
        <v>5.13</v>
      </c>
    </row>
    <row r="34745" spans="1:2" x14ac:dyDescent="0.25">
      <c r="A34745" s="74">
        <v>39537</v>
      </c>
      <c r="B34745">
        <v>5.46</v>
      </c>
    </row>
    <row r="34746" spans="1:2" x14ac:dyDescent="0.25">
      <c r="A34746" s="74">
        <v>39538</v>
      </c>
      <c r="B34746">
        <v>5.51</v>
      </c>
    </row>
    <row r="34747" spans="1:2" x14ac:dyDescent="0.25">
      <c r="A34747" s="74">
        <v>39539</v>
      </c>
      <c r="B34747">
        <v>5.0599999999999996</v>
      </c>
    </row>
    <row r="34748" spans="1:2" x14ac:dyDescent="0.25">
      <c r="A34748" s="74">
        <v>39540</v>
      </c>
      <c r="B34748">
        <v>4.7699999999999996</v>
      </c>
    </row>
    <row r="34749" spans="1:2" x14ac:dyDescent="0.25">
      <c r="A34749" s="74">
        <v>39541</v>
      </c>
      <c r="B34749">
        <v>4.54</v>
      </c>
    </row>
    <row r="34750" spans="1:2" x14ac:dyDescent="0.25">
      <c r="A34750" s="74">
        <v>39542</v>
      </c>
      <c r="B34750">
        <v>4.5599999999999996</v>
      </c>
    </row>
    <row r="34751" spans="1:2" x14ac:dyDescent="0.25">
      <c r="A34751" s="74">
        <v>39543</v>
      </c>
      <c r="B34751">
        <v>4.6500000000000004</v>
      </c>
    </row>
    <row r="34752" spans="1:2" x14ac:dyDescent="0.25">
      <c r="A34752" s="74">
        <v>39544</v>
      </c>
      <c r="B34752">
        <v>4.8</v>
      </c>
    </row>
    <row r="34753" spans="1:2" x14ac:dyDescent="0.25">
      <c r="A34753" s="74">
        <v>39545</v>
      </c>
      <c r="B34753">
        <v>5.32</v>
      </c>
    </row>
    <row r="34754" spans="1:2" x14ac:dyDescent="0.25">
      <c r="A34754" s="74">
        <v>39546</v>
      </c>
      <c r="B34754">
        <v>5.59</v>
      </c>
    </row>
    <row r="34755" spans="1:2" x14ac:dyDescent="0.25">
      <c r="A34755" s="74">
        <v>39547</v>
      </c>
      <c r="B34755">
        <v>5.69</v>
      </c>
    </row>
    <row r="34756" spans="1:2" x14ac:dyDescent="0.25">
      <c r="A34756" s="74">
        <v>39548</v>
      </c>
      <c r="B34756">
        <v>5.34</v>
      </c>
    </row>
    <row r="34757" spans="1:2" x14ac:dyDescent="0.25">
      <c r="A34757" s="74">
        <v>39549</v>
      </c>
      <c r="B34757">
        <v>5.12</v>
      </c>
    </row>
    <row r="34758" spans="1:2" x14ac:dyDescent="0.25">
      <c r="A34758" s="74">
        <v>39550</v>
      </c>
      <c r="B34758">
        <v>5.58</v>
      </c>
    </row>
    <row r="34759" spans="1:2" x14ac:dyDescent="0.25">
      <c r="A34759" s="74">
        <v>39551</v>
      </c>
      <c r="B34759">
        <v>10.6</v>
      </c>
    </row>
    <row r="34760" spans="1:2" x14ac:dyDescent="0.25">
      <c r="A34760" s="74">
        <v>39552</v>
      </c>
      <c r="B34760">
        <v>11</v>
      </c>
    </row>
    <row r="34761" spans="1:2" x14ac:dyDescent="0.25">
      <c r="A34761" s="74">
        <v>39553</v>
      </c>
      <c r="B34761">
        <v>9.2799999999999994</v>
      </c>
    </row>
    <row r="34762" spans="1:2" x14ac:dyDescent="0.25">
      <c r="A34762" s="74">
        <v>39554</v>
      </c>
      <c r="B34762">
        <v>7.72</v>
      </c>
    </row>
    <row r="34763" spans="1:2" x14ac:dyDescent="0.25">
      <c r="A34763" s="74">
        <v>39555</v>
      </c>
      <c r="B34763">
        <v>7.36</v>
      </c>
    </row>
    <row r="34764" spans="1:2" x14ac:dyDescent="0.25">
      <c r="A34764" s="74">
        <v>39556</v>
      </c>
      <c r="B34764">
        <v>7.8</v>
      </c>
    </row>
    <row r="34765" spans="1:2" x14ac:dyDescent="0.25">
      <c r="A34765" s="74">
        <v>39557</v>
      </c>
      <c r="B34765">
        <v>7.68</v>
      </c>
    </row>
    <row r="34766" spans="1:2" x14ac:dyDescent="0.25">
      <c r="A34766" s="74">
        <v>39558</v>
      </c>
      <c r="B34766">
        <v>6.75</v>
      </c>
    </row>
    <row r="34767" spans="1:2" x14ac:dyDescent="0.25">
      <c r="A34767" s="74">
        <v>39559</v>
      </c>
      <c r="B34767">
        <v>5.94</v>
      </c>
    </row>
    <row r="34768" spans="1:2" x14ac:dyDescent="0.25">
      <c r="A34768" s="74">
        <v>39560</v>
      </c>
      <c r="B34768">
        <v>5.36</v>
      </c>
    </row>
    <row r="34769" spans="1:2" x14ac:dyDescent="0.25">
      <c r="A34769" s="74">
        <v>39561</v>
      </c>
      <c r="B34769">
        <v>4.8600000000000003</v>
      </c>
    </row>
    <row r="34770" spans="1:2" x14ac:dyDescent="0.25">
      <c r="A34770" s="74">
        <v>39562</v>
      </c>
      <c r="B34770">
        <v>4.5599999999999996</v>
      </c>
    </row>
    <row r="34771" spans="1:2" x14ac:dyDescent="0.25">
      <c r="A34771" s="74">
        <v>39563</v>
      </c>
      <c r="B34771">
        <v>4.4400000000000004</v>
      </c>
    </row>
    <row r="34772" spans="1:2" x14ac:dyDescent="0.25">
      <c r="A34772" s="74">
        <v>39564</v>
      </c>
      <c r="B34772">
        <v>4.3600000000000003</v>
      </c>
    </row>
    <row r="34773" spans="1:2" x14ac:dyDescent="0.25">
      <c r="A34773" s="74">
        <v>39565</v>
      </c>
      <c r="B34773">
        <v>5.24</v>
      </c>
    </row>
    <row r="34774" spans="1:2" x14ac:dyDescent="0.25">
      <c r="A34774" s="74">
        <v>39566</v>
      </c>
      <c r="B34774">
        <v>11.8</v>
      </c>
    </row>
    <row r="34775" spans="1:2" x14ac:dyDescent="0.25">
      <c r="A34775" s="74">
        <v>39567</v>
      </c>
      <c r="B34775">
        <v>15.1</v>
      </c>
    </row>
    <row r="34776" spans="1:2" x14ac:dyDescent="0.25">
      <c r="A34776" s="74">
        <v>39568</v>
      </c>
      <c r="B34776">
        <v>11.7</v>
      </c>
    </row>
    <row r="34777" spans="1:2" x14ac:dyDescent="0.25">
      <c r="A34777" s="74">
        <v>39569</v>
      </c>
      <c r="B34777">
        <v>9.44</v>
      </c>
    </row>
    <row r="34778" spans="1:2" x14ac:dyDescent="0.25">
      <c r="A34778" s="74">
        <v>39570</v>
      </c>
      <c r="B34778">
        <v>8.43</v>
      </c>
    </row>
    <row r="34779" spans="1:2" x14ac:dyDescent="0.25">
      <c r="A34779" s="74">
        <v>39571</v>
      </c>
      <c r="B34779">
        <v>9.7100000000000009</v>
      </c>
    </row>
    <row r="34780" spans="1:2" x14ac:dyDescent="0.25">
      <c r="A34780" s="74">
        <v>39572</v>
      </c>
      <c r="B34780">
        <v>12.1</v>
      </c>
    </row>
    <row r="34781" spans="1:2" x14ac:dyDescent="0.25">
      <c r="A34781" s="74">
        <v>39573</v>
      </c>
      <c r="B34781">
        <v>14.4</v>
      </c>
    </row>
    <row r="34782" spans="1:2" x14ac:dyDescent="0.25">
      <c r="A34782" s="74">
        <v>39574</v>
      </c>
      <c r="B34782">
        <v>16.100000000000001</v>
      </c>
    </row>
    <row r="34783" spans="1:2" x14ac:dyDescent="0.25">
      <c r="A34783" s="74">
        <v>39575</v>
      </c>
      <c r="B34783">
        <v>15.7</v>
      </c>
    </row>
    <row r="34784" spans="1:2" x14ac:dyDescent="0.25">
      <c r="A34784" s="74">
        <v>39576</v>
      </c>
      <c r="B34784">
        <v>13.8</v>
      </c>
    </row>
    <row r="34785" spans="1:2" x14ac:dyDescent="0.25">
      <c r="A34785" s="74">
        <v>39577</v>
      </c>
      <c r="B34785">
        <v>12</v>
      </c>
    </row>
    <row r="34786" spans="1:2" x14ac:dyDescent="0.25">
      <c r="A34786" s="74">
        <v>39578</v>
      </c>
      <c r="B34786">
        <v>11.5</v>
      </c>
    </row>
    <row r="34787" spans="1:2" x14ac:dyDescent="0.25">
      <c r="A34787" s="74">
        <v>39579</v>
      </c>
      <c r="B34787">
        <v>12.6</v>
      </c>
    </row>
    <row r="34788" spans="1:2" x14ac:dyDescent="0.25">
      <c r="A34788" s="74">
        <v>39580</v>
      </c>
      <c r="B34788">
        <v>12.2</v>
      </c>
    </row>
    <row r="34789" spans="1:2" x14ac:dyDescent="0.25">
      <c r="A34789" s="74">
        <v>39581</v>
      </c>
      <c r="B34789">
        <v>11.2</v>
      </c>
    </row>
    <row r="34790" spans="1:2" x14ac:dyDescent="0.25">
      <c r="A34790" s="74">
        <v>39582</v>
      </c>
      <c r="B34790">
        <v>14.5</v>
      </c>
    </row>
    <row r="34791" spans="1:2" x14ac:dyDescent="0.25">
      <c r="A34791" s="74">
        <v>39583</v>
      </c>
      <c r="B34791">
        <v>21.4</v>
      </c>
    </row>
    <row r="34792" spans="1:2" x14ac:dyDescent="0.25">
      <c r="A34792" s="74">
        <v>39584</v>
      </c>
      <c r="B34792">
        <v>26.4</v>
      </c>
    </row>
    <row r="34793" spans="1:2" x14ac:dyDescent="0.25">
      <c r="A34793" s="74">
        <v>39585</v>
      </c>
      <c r="B34793">
        <v>37.700000000000003</v>
      </c>
    </row>
    <row r="34794" spans="1:2" x14ac:dyDescent="0.25">
      <c r="A34794" s="74">
        <v>39586</v>
      </c>
      <c r="B34794">
        <v>39.5</v>
      </c>
    </row>
    <row r="34795" spans="1:2" x14ac:dyDescent="0.25">
      <c r="A34795" s="74">
        <v>39587</v>
      </c>
      <c r="B34795">
        <v>33.299999999999997</v>
      </c>
    </row>
    <row r="34796" spans="1:2" x14ac:dyDescent="0.25">
      <c r="A34796" s="74">
        <v>39588</v>
      </c>
      <c r="B34796">
        <v>29.9</v>
      </c>
    </row>
    <row r="34797" spans="1:2" x14ac:dyDescent="0.25">
      <c r="A34797" s="74">
        <v>39589</v>
      </c>
      <c r="B34797">
        <v>18.5</v>
      </c>
    </row>
    <row r="34798" spans="1:2" x14ac:dyDescent="0.25">
      <c r="A34798" s="74">
        <v>39590</v>
      </c>
      <c r="B34798">
        <v>15.6</v>
      </c>
    </row>
    <row r="34799" spans="1:2" x14ac:dyDescent="0.25">
      <c r="A34799" s="74">
        <v>39591</v>
      </c>
      <c r="B34799">
        <v>13.2</v>
      </c>
    </row>
    <row r="34800" spans="1:2" x14ac:dyDescent="0.25">
      <c r="A34800" s="74">
        <v>39592</v>
      </c>
      <c r="B34800">
        <v>15.3</v>
      </c>
    </row>
    <row r="34801" spans="1:2" x14ac:dyDescent="0.25">
      <c r="A34801" s="74">
        <v>39593</v>
      </c>
      <c r="B34801">
        <v>17.5</v>
      </c>
    </row>
    <row r="34802" spans="1:2" x14ac:dyDescent="0.25">
      <c r="A34802" s="74">
        <v>39594</v>
      </c>
      <c r="B34802">
        <v>18.899999999999999</v>
      </c>
    </row>
    <row r="34803" spans="1:2" x14ac:dyDescent="0.25">
      <c r="A34803" s="74">
        <v>39595</v>
      </c>
      <c r="B34803">
        <v>17.899999999999999</v>
      </c>
    </row>
    <row r="34804" spans="1:2" x14ac:dyDescent="0.25">
      <c r="A34804" s="74">
        <v>39596</v>
      </c>
      <c r="B34804">
        <v>15.8</v>
      </c>
    </row>
    <row r="34805" spans="1:2" x14ac:dyDescent="0.25">
      <c r="A34805" s="74">
        <v>39597</v>
      </c>
      <c r="B34805">
        <v>14.2</v>
      </c>
    </row>
    <row r="34806" spans="1:2" x14ac:dyDescent="0.25">
      <c r="A34806" s="74">
        <v>39598</v>
      </c>
      <c r="B34806">
        <v>11.2</v>
      </c>
    </row>
    <row r="34807" spans="1:2" x14ac:dyDescent="0.25">
      <c r="A34807" s="74">
        <v>39599</v>
      </c>
      <c r="B34807">
        <v>9.67</v>
      </c>
    </row>
    <row r="34808" spans="1:2" x14ac:dyDescent="0.25">
      <c r="A34808" s="74">
        <v>39600</v>
      </c>
      <c r="B34808">
        <v>9.9700000000000006</v>
      </c>
    </row>
    <row r="34809" spans="1:2" x14ac:dyDescent="0.25">
      <c r="A34809" s="74">
        <v>39601</v>
      </c>
      <c r="B34809">
        <v>9.56</v>
      </c>
    </row>
    <row r="34810" spans="1:2" x14ac:dyDescent="0.25">
      <c r="A34810" s="74">
        <v>39602</v>
      </c>
      <c r="B34810">
        <v>10.3</v>
      </c>
    </row>
    <row r="34811" spans="1:2" x14ac:dyDescent="0.25">
      <c r="A34811" s="74">
        <v>39603</v>
      </c>
      <c r="B34811">
        <v>12.9</v>
      </c>
    </row>
    <row r="34812" spans="1:2" x14ac:dyDescent="0.25">
      <c r="A34812" s="74">
        <v>39604</v>
      </c>
      <c r="B34812">
        <v>11.1</v>
      </c>
    </row>
    <row r="34813" spans="1:2" x14ac:dyDescent="0.25">
      <c r="A34813" s="74">
        <v>39605</v>
      </c>
      <c r="B34813">
        <v>10.5</v>
      </c>
    </row>
    <row r="34814" spans="1:2" x14ac:dyDescent="0.25">
      <c r="A34814" s="74">
        <v>39606</v>
      </c>
      <c r="B34814">
        <v>9.26</v>
      </c>
    </row>
    <row r="34815" spans="1:2" x14ac:dyDescent="0.25">
      <c r="A34815" s="74">
        <v>39607</v>
      </c>
      <c r="B34815">
        <v>8.86</v>
      </c>
    </row>
    <row r="34816" spans="1:2" x14ac:dyDescent="0.25">
      <c r="A34816" s="74">
        <v>39608</v>
      </c>
      <c r="B34816">
        <v>8.2799999999999994</v>
      </c>
    </row>
    <row r="34817" spans="1:2" x14ac:dyDescent="0.25">
      <c r="A34817" s="74">
        <v>39609</v>
      </c>
      <c r="B34817">
        <v>12.7</v>
      </c>
    </row>
    <row r="34818" spans="1:2" x14ac:dyDescent="0.25">
      <c r="A34818" s="74">
        <v>39610</v>
      </c>
      <c r="B34818">
        <v>11.8</v>
      </c>
    </row>
    <row r="34819" spans="1:2" x14ac:dyDescent="0.25">
      <c r="A34819" s="74">
        <v>39611</v>
      </c>
      <c r="B34819">
        <v>10.3</v>
      </c>
    </row>
    <row r="34820" spans="1:2" x14ac:dyDescent="0.25">
      <c r="A34820" s="74">
        <v>39612</v>
      </c>
      <c r="B34820">
        <v>10.8</v>
      </c>
    </row>
    <row r="34821" spans="1:2" x14ac:dyDescent="0.25">
      <c r="A34821" s="74">
        <v>39613</v>
      </c>
      <c r="B34821">
        <v>9.59</v>
      </c>
    </row>
    <row r="34822" spans="1:2" x14ac:dyDescent="0.25">
      <c r="A34822" s="74">
        <v>39614</v>
      </c>
      <c r="B34822">
        <v>7.55</v>
      </c>
    </row>
    <row r="34823" spans="1:2" x14ac:dyDescent="0.25">
      <c r="A34823" s="74">
        <v>39615</v>
      </c>
      <c r="B34823">
        <v>7.35</v>
      </c>
    </row>
    <row r="34824" spans="1:2" x14ac:dyDescent="0.25">
      <c r="A34824" s="74">
        <v>39616</v>
      </c>
      <c r="B34824">
        <v>7.73</v>
      </c>
    </row>
    <row r="34825" spans="1:2" x14ac:dyDescent="0.25">
      <c r="A34825" s="74">
        <v>39617</v>
      </c>
      <c r="B34825">
        <v>6.65</v>
      </c>
    </row>
    <row r="34826" spans="1:2" x14ac:dyDescent="0.25">
      <c r="A34826" s="74">
        <v>39618</v>
      </c>
      <c r="B34826">
        <v>5.98</v>
      </c>
    </row>
    <row r="34827" spans="1:2" x14ac:dyDescent="0.25">
      <c r="A34827" s="74">
        <v>39619</v>
      </c>
      <c r="B34827">
        <v>5.68</v>
      </c>
    </row>
    <row r="34828" spans="1:2" x14ac:dyDescent="0.25">
      <c r="A34828" s="74">
        <v>39620</v>
      </c>
      <c r="B34828">
        <v>6.84</v>
      </c>
    </row>
    <row r="34829" spans="1:2" x14ac:dyDescent="0.25">
      <c r="A34829" s="74">
        <v>39621</v>
      </c>
      <c r="B34829">
        <v>7.13</v>
      </c>
    </row>
    <row r="34830" spans="1:2" x14ac:dyDescent="0.25">
      <c r="A34830" s="74">
        <v>39622</v>
      </c>
      <c r="B34830">
        <v>6.19</v>
      </c>
    </row>
    <row r="34831" spans="1:2" x14ac:dyDescent="0.25">
      <c r="A34831" s="74">
        <v>39623</v>
      </c>
      <c r="B34831">
        <v>5.69</v>
      </c>
    </row>
    <row r="34832" spans="1:2" x14ac:dyDescent="0.25">
      <c r="A34832" s="74">
        <v>39624</v>
      </c>
      <c r="B34832">
        <v>5.41</v>
      </c>
    </row>
    <row r="34833" spans="1:2" x14ac:dyDescent="0.25">
      <c r="A34833" s="74">
        <v>39625</v>
      </c>
      <c r="B34833">
        <v>5.21</v>
      </c>
    </row>
    <row r="34834" spans="1:2" x14ac:dyDescent="0.25">
      <c r="A34834" s="74">
        <v>39626</v>
      </c>
      <c r="B34834">
        <v>4.7</v>
      </c>
    </row>
    <row r="34835" spans="1:2" x14ac:dyDescent="0.25">
      <c r="A34835" s="74">
        <v>39627</v>
      </c>
      <c r="B34835">
        <v>5.44</v>
      </c>
    </row>
    <row r="34836" spans="1:2" x14ac:dyDescent="0.25">
      <c r="A34836" s="74">
        <v>39628</v>
      </c>
      <c r="B34836">
        <v>6.38</v>
      </c>
    </row>
    <row r="34837" spans="1:2" x14ac:dyDescent="0.25">
      <c r="A34837" s="74">
        <v>39629</v>
      </c>
      <c r="B34837">
        <v>6.9</v>
      </c>
    </row>
    <row r="34838" spans="1:2" x14ac:dyDescent="0.25">
      <c r="A34838" s="74">
        <v>39630</v>
      </c>
      <c r="B34838">
        <v>6.93</v>
      </c>
    </row>
    <row r="34839" spans="1:2" x14ac:dyDescent="0.25">
      <c r="A34839" s="74">
        <v>39631</v>
      </c>
      <c r="B34839">
        <v>6.28</v>
      </c>
    </row>
    <row r="34840" spans="1:2" x14ac:dyDescent="0.25">
      <c r="A34840" s="74">
        <v>39632</v>
      </c>
      <c r="B34840">
        <v>5.64</v>
      </c>
    </row>
    <row r="34841" spans="1:2" x14ac:dyDescent="0.25">
      <c r="A34841" s="74">
        <v>39633</v>
      </c>
      <c r="B34841">
        <v>4.87</v>
      </c>
    </row>
    <row r="34842" spans="1:2" x14ac:dyDescent="0.25">
      <c r="A34842" s="74">
        <v>39634</v>
      </c>
      <c r="B34842">
        <v>4.24</v>
      </c>
    </row>
    <row r="34843" spans="1:2" x14ac:dyDescent="0.25">
      <c r="A34843" s="74">
        <v>39635</v>
      </c>
      <c r="B34843">
        <v>4.3499999999999996</v>
      </c>
    </row>
    <row r="34844" spans="1:2" x14ac:dyDescent="0.25">
      <c r="A34844" s="74">
        <v>39636</v>
      </c>
      <c r="B34844">
        <v>3.56</v>
      </c>
    </row>
    <row r="34845" spans="1:2" x14ac:dyDescent="0.25">
      <c r="A34845" s="74">
        <v>39637</v>
      </c>
      <c r="B34845">
        <v>3.1</v>
      </c>
    </row>
    <row r="34846" spans="1:2" x14ac:dyDescent="0.25">
      <c r="A34846" s="74">
        <v>39638</v>
      </c>
      <c r="B34846">
        <v>2.99</v>
      </c>
    </row>
    <row r="34847" spans="1:2" x14ac:dyDescent="0.25">
      <c r="A34847" s="74">
        <v>39639</v>
      </c>
      <c r="B34847">
        <v>2.93</v>
      </c>
    </row>
    <row r="34848" spans="1:2" x14ac:dyDescent="0.25">
      <c r="A34848" s="74">
        <v>39640</v>
      </c>
      <c r="B34848">
        <v>2.48</v>
      </c>
    </row>
    <row r="34849" spans="1:2" x14ac:dyDescent="0.25">
      <c r="A34849" s="74">
        <v>39641</v>
      </c>
      <c r="B34849">
        <v>2.16</v>
      </c>
    </row>
    <row r="34850" spans="1:2" x14ac:dyDescent="0.25">
      <c r="A34850" s="74">
        <v>39642</v>
      </c>
      <c r="B34850">
        <v>2.02</v>
      </c>
    </row>
    <row r="34851" spans="1:2" x14ac:dyDescent="0.25">
      <c r="A34851" s="74">
        <v>39643</v>
      </c>
      <c r="B34851">
        <v>1.95</v>
      </c>
    </row>
    <row r="34852" spans="1:2" x14ac:dyDescent="0.25">
      <c r="A34852" s="74">
        <v>39644</v>
      </c>
      <c r="B34852">
        <v>1.84</v>
      </c>
    </row>
    <row r="34853" spans="1:2" x14ac:dyDescent="0.25">
      <c r="A34853" s="74">
        <v>39645</v>
      </c>
      <c r="B34853">
        <v>1.72</v>
      </c>
    </row>
    <row r="34854" spans="1:2" x14ac:dyDescent="0.25">
      <c r="A34854" s="74">
        <v>39646</v>
      </c>
      <c r="B34854">
        <v>1.56</v>
      </c>
    </row>
    <row r="34855" spans="1:2" x14ac:dyDescent="0.25">
      <c r="A34855" s="74">
        <v>39647</v>
      </c>
      <c r="B34855">
        <v>1.42</v>
      </c>
    </row>
    <row r="34856" spans="1:2" x14ac:dyDescent="0.25">
      <c r="A34856" s="74">
        <v>39648</v>
      </c>
      <c r="B34856">
        <v>1.57</v>
      </c>
    </row>
    <row r="34857" spans="1:2" x14ac:dyDescent="0.25">
      <c r="A34857" s="74">
        <v>39649</v>
      </c>
      <c r="B34857">
        <v>1.47</v>
      </c>
    </row>
    <row r="34858" spans="1:2" x14ac:dyDescent="0.25">
      <c r="A34858" s="74">
        <v>39650</v>
      </c>
      <c r="B34858">
        <v>1.39</v>
      </c>
    </row>
    <row r="34859" spans="1:2" x14ac:dyDescent="0.25">
      <c r="A34859" s="74">
        <v>39651</v>
      </c>
      <c r="B34859">
        <v>1.35</v>
      </c>
    </row>
    <row r="34860" spans="1:2" x14ac:dyDescent="0.25">
      <c r="A34860" s="74">
        <v>39652</v>
      </c>
      <c r="B34860">
        <v>1.28</v>
      </c>
    </row>
    <row r="34861" spans="1:2" x14ac:dyDescent="0.25">
      <c r="A34861" s="74">
        <v>39653</v>
      </c>
      <c r="B34861">
        <v>1.2</v>
      </c>
    </row>
    <row r="34862" spans="1:2" x14ac:dyDescent="0.25">
      <c r="A34862" s="74">
        <v>39654</v>
      </c>
      <c r="B34862">
        <v>1.25</v>
      </c>
    </row>
    <row r="34863" spans="1:2" x14ac:dyDescent="0.25">
      <c r="A34863" s="74">
        <v>39655</v>
      </c>
      <c r="B34863">
        <v>1.26</v>
      </c>
    </row>
    <row r="34864" spans="1:2" x14ac:dyDescent="0.25">
      <c r="A34864" s="74">
        <v>39656</v>
      </c>
      <c r="B34864">
        <v>1.31</v>
      </c>
    </row>
    <row r="34865" spans="1:2" x14ac:dyDescent="0.25">
      <c r="A34865" s="74">
        <v>39657</v>
      </c>
      <c r="B34865">
        <v>1.24</v>
      </c>
    </row>
    <row r="34866" spans="1:2" x14ac:dyDescent="0.25">
      <c r="A34866" s="74">
        <v>39658</v>
      </c>
      <c r="B34866">
        <v>1.32</v>
      </c>
    </row>
    <row r="34867" spans="1:2" x14ac:dyDescent="0.25">
      <c r="A34867" s="74">
        <v>39659</v>
      </c>
      <c r="B34867">
        <v>1.53</v>
      </c>
    </row>
    <row r="34868" spans="1:2" x14ac:dyDescent="0.25">
      <c r="A34868" s="74">
        <v>39660</v>
      </c>
      <c r="B34868">
        <v>1.52</v>
      </c>
    </row>
    <row r="34869" spans="1:2" x14ac:dyDescent="0.25">
      <c r="A34869" s="74">
        <v>39661</v>
      </c>
      <c r="B34869">
        <v>2.14</v>
      </c>
    </row>
    <row r="34870" spans="1:2" x14ac:dyDescent="0.25">
      <c r="A34870" s="74">
        <v>39662</v>
      </c>
      <c r="B34870">
        <v>2.68</v>
      </c>
    </row>
    <row r="34871" spans="1:2" x14ac:dyDescent="0.25">
      <c r="A34871" s="74">
        <v>39663</v>
      </c>
      <c r="B34871">
        <v>2.37</v>
      </c>
    </row>
    <row r="34872" spans="1:2" x14ac:dyDescent="0.25">
      <c r="A34872" s="74">
        <v>39664</v>
      </c>
      <c r="B34872">
        <v>2.0099999999999998</v>
      </c>
    </row>
    <row r="34873" spans="1:2" x14ac:dyDescent="0.25">
      <c r="A34873" s="74">
        <v>39665</v>
      </c>
      <c r="B34873">
        <v>1.71</v>
      </c>
    </row>
    <row r="34874" spans="1:2" x14ac:dyDescent="0.25">
      <c r="A34874" s="74">
        <v>39666</v>
      </c>
      <c r="B34874">
        <v>1.5</v>
      </c>
    </row>
    <row r="34875" spans="1:2" x14ac:dyDescent="0.25">
      <c r="A34875" s="74">
        <v>39667</v>
      </c>
      <c r="B34875">
        <v>1.37</v>
      </c>
    </row>
    <row r="34876" spans="1:2" x14ac:dyDescent="0.25">
      <c r="A34876" s="74">
        <v>39668</v>
      </c>
      <c r="B34876">
        <v>1.31</v>
      </c>
    </row>
    <row r="34877" spans="1:2" x14ac:dyDescent="0.25">
      <c r="A34877" s="74">
        <v>39669</v>
      </c>
      <c r="B34877">
        <v>1.31</v>
      </c>
    </row>
    <row r="34878" spans="1:2" x14ac:dyDescent="0.25">
      <c r="A34878" s="74">
        <v>39670</v>
      </c>
      <c r="B34878">
        <v>1.24</v>
      </c>
    </row>
    <row r="34879" spans="1:2" x14ac:dyDescent="0.25">
      <c r="A34879" s="74">
        <v>39671</v>
      </c>
      <c r="B34879">
        <v>1.1499999999999999</v>
      </c>
    </row>
    <row r="34880" spans="1:2" x14ac:dyDescent="0.25">
      <c r="A34880" s="74">
        <v>39672</v>
      </c>
      <c r="B34880">
        <v>1.1200000000000001</v>
      </c>
    </row>
    <row r="34881" spans="1:2" x14ac:dyDescent="0.25">
      <c r="A34881" s="74">
        <v>39673</v>
      </c>
      <c r="B34881">
        <v>1.07</v>
      </c>
    </row>
    <row r="34882" spans="1:2" x14ac:dyDescent="0.25">
      <c r="A34882" s="74">
        <v>39674</v>
      </c>
      <c r="B34882">
        <v>1.1100000000000001</v>
      </c>
    </row>
    <row r="34883" spans="1:2" x14ac:dyDescent="0.25">
      <c r="A34883" s="74">
        <v>39675</v>
      </c>
      <c r="B34883">
        <v>1.0900000000000001</v>
      </c>
    </row>
    <row r="34884" spans="1:2" x14ac:dyDescent="0.25">
      <c r="A34884" s="74">
        <v>39676</v>
      </c>
      <c r="B34884">
        <v>0.95399999999999996</v>
      </c>
    </row>
    <row r="34885" spans="1:2" x14ac:dyDescent="0.25">
      <c r="A34885" s="74">
        <v>39677</v>
      </c>
      <c r="B34885">
        <v>0.94199999999999995</v>
      </c>
    </row>
    <row r="34886" spans="1:2" x14ac:dyDescent="0.25">
      <c r="A34886" s="74">
        <v>39678</v>
      </c>
      <c r="B34886">
        <v>0.95699999999999996</v>
      </c>
    </row>
    <row r="34887" spans="1:2" x14ac:dyDescent="0.25">
      <c r="A34887" s="74">
        <v>39679</v>
      </c>
      <c r="B34887">
        <v>1.21</v>
      </c>
    </row>
    <row r="34888" spans="1:2" x14ac:dyDescent="0.25">
      <c r="A34888" s="74">
        <v>39680</v>
      </c>
      <c r="B34888">
        <v>1.88</v>
      </c>
    </row>
    <row r="34889" spans="1:2" x14ac:dyDescent="0.25">
      <c r="A34889" s="74">
        <v>39681</v>
      </c>
      <c r="B34889">
        <v>2.79</v>
      </c>
    </row>
    <row r="34890" spans="1:2" x14ac:dyDescent="0.25">
      <c r="A34890" s="74">
        <v>39682</v>
      </c>
      <c r="B34890">
        <v>2.52</v>
      </c>
    </row>
    <row r="34891" spans="1:2" x14ac:dyDescent="0.25">
      <c r="A34891" s="74">
        <v>39683</v>
      </c>
      <c r="B34891">
        <v>2.2799999999999998</v>
      </c>
    </row>
    <row r="34892" spans="1:2" x14ac:dyDescent="0.25">
      <c r="A34892" s="74">
        <v>39684</v>
      </c>
      <c r="B34892">
        <v>2.37</v>
      </c>
    </row>
    <row r="34893" spans="1:2" x14ac:dyDescent="0.25">
      <c r="A34893" s="74">
        <v>39685</v>
      </c>
      <c r="B34893">
        <v>3.27</v>
      </c>
    </row>
    <row r="34894" spans="1:2" x14ac:dyDescent="0.25">
      <c r="A34894" s="74">
        <v>39686</v>
      </c>
      <c r="B34894">
        <v>2.72</v>
      </c>
    </row>
    <row r="34895" spans="1:2" x14ac:dyDescent="0.25">
      <c r="A34895" s="74">
        <v>39687</v>
      </c>
      <c r="B34895">
        <v>2.89</v>
      </c>
    </row>
    <row r="34896" spans="1:2" x14ac:dyDescent="0.25">
      <c r="A34896" s="74">
        <v>39688</v>
      </c>
      <c r="B34896">
        <v>3.1</v>
      </c>
    </row>
    <row r="34897" spans="1:2" x14ac:dyDescent="0.25">
      <c r="A34897" s="74">
        <v>39689</v>
      </c>
      <c r="B34897">
        <v>2.91</v>
      </c>
    </row>
    <row r="34898" spans="1:2" x14ac:dyDescent="0.25">
      <c r="A34898" s="74">
        <v>39690</v>
      </c>
      <c r="B34898">
        <v>3.08</v>
      </c>
    </row>
    <row r="34899" spans="1:2" x14ac:dyDescent="0.25">
      <c r="A34899" s="74">
        <v>39691</v>
      </c>
      <c r="B34899">
        <v>2.75</v>
      </c>
    </row>
    <row r="34900" spans="1:2" x14ac:dyDescent="0.25">
      <c r="A34900" s="74">
        <v>39692</v>
      </c>
      <c r="B34900">
        <v>2.48</v>
      </c>
    </row>
    <row r="34901" spans="1:2" x14ac:dyDescent="0.25">
      <c r="A34901" s="74">
        <v>39693</v>
      </c>
      <c r="B34901">
        <v>2.27</v>
      </c>
    </row>
    <row r="34902" spans="1:2" x14ac:dyDescent="0.25">
      <c r="A34902" s="74">
        <v>39694</v>
      </c>
      <c r="B34902">
        <v>2.11</v>
      </c>
    </row>
    <row r="34903" spans="1:2" x14ac:dyDescent="0.25">
      <c r="A34903" s="74">
        <v>39695</v>
      </c>
      <c r="B34903">
        <v>1.96</v>
      </c>
    </row>
    <row r="34904" spans="1:2" x14ac:dyDescent="0.25">
      <c r="A34904" s="74">
        <v>39696</v>
      </c>
      <c r="B34904">
        <v>1.96</v>
      </c>
    </row>
    <row r="34905" spans="1:2" x14ac:dyDescent="0.25">
      <c r="A34905" s="74">
        <v>39697</v>
      </c>
      <c r="B34905">
        <v>1.94</v>
      </c>
    </row>
    <row r="34906" spans="1:2" x14ac:dyDescent="0.25">
      <c r="A34906" s="74">
        <v>39698</v>
      </c>
      <c r="B34906">
        <v>1.9</v>
      </c>
    </row>
    <row r="34907" spans="1:2" x14ac:dyDescent="0.25">
      <c r="A34907" s="74">
        <v>39699</v>
      </c>
      <c r="B34907">
        <v>1.83</v>
      </c>
    </row>
    <row r="34908" spans="1:2" x14ac:dyDescent="0.25">
      <c r="A34908" s="74">
        <v>39700</v>
      </c>
      <c r="B34908">
        <v>1.78</v>
      </c>
    </row>
    <row r="34909" spans="1:2" x14ac:dyDescent="0.25">
      <c r="A34909" s="74">
        <v>39701</v>
      </c>
      <c r="B34909">
        <v>1.95</v>
      </c>
    </row>
    <row r="34910" spans="1:2" x14ac:dyDescent="0.25">
      <c r="A34910" s="74">
        <v>39702</v>
      </c>
      <c r="B34910">
        <v>1.9</v>
      </c>
    </row>
    <row r="34911" spans="1:2" x14ac:dyDescent="0.25">
      <c r="A34911" s="74">
        <v>39703</v>
      </c>
      <c r="B34911">
        <v>2.29</v>
      </c>
    </row>
    <row r="34912" spans="1:2" x14ac:dyDescent="0.25">
      <c r="A34912" s="74">
        <v>39704</v>
      </c>
      <c r="B34912">
        <v>2.34</v>
      </c>
    </row>
    <row r="34913" spans="1:2" x14ac:dyDescent="0.25">
      <c r="A34913" s="74">
        <v>39705</v>
      </c>
      <c r="B34913">
        <v>2.2999999999999998</v>
      </c>
    </row>
    <row r="34914" spans="1:2" x14ac:dyDescent="0.25">
      <c r="A34914" s="74">
        <v>39706</v>
      </c>
      <c r="B34914">
        <v>2.2400000000000002</v>
      </c>
    </row>
    <row r="34915" spans="1:2" x14ac:dyDescent="0.25">
      <c r="A34915" s="74">
        <v>39707</v>
      </c>
      <c r="B34915">
        <v>2.19</v>
      </c>
    </row>
    <row r="34916" spans="1:2" x14ac:dyDescent="0.25">
      <c r="A34916" s="74">
        <v>39708</v>
      </c>
      <c r="B34916">
        <v>2.16</v>
      </c>
    </row>
    <row r="34917" spans="1:2" x14ac:dyDescent="0.25">
      <c r="A34917" s="74">
        <v>39709</v>
      </c>
      <c r="B34917">
        <v>2.13</v>
      </c>
    </row>
    <row r="34918" spans="1:2" x14ac:dyDescent="0.25">
      <c r="A34918" s="74">
        <v>39710</v>
      </c>
      <c r="B34918">
        <v>2.12</v>
      </c>
    </row>
    <row r="34919" spans="1:2" x14ac:dyDescent="0.25">
      <c r="A34919" s="74">
        <v>39711</v>
      </c>
      <c r="B34919">
        <v>2.09</v>
      </c>
    </row>
    <row r="34920" spans="1:2" x14ac:dyDescent="0.25">
      <c r="A34920" s="74">
        <v>39712</v>
      </c>
      <c r="B34920">
        <v>2.1</v>
      </c>
    </row>
    <row r="34921" spans="1:2" x14ac:dyDescent="0.25">
      <c r="A34921" s="74">
        <v>39713</v>
      </c>
      <c r="B34921">
        <v>2.0299999999999998</v>
      </c>
    </row>
    <row r="34922" spans="1:2" x14ac:dyDescent="0.25">
      <c r="A34922" s="74">
        <v>39714</v>
      </c>
      <c r="B34922">
        <v>1.97</v>
      </c>
    </row>
    <row r="34923" spans="1:2" x14ac:dyDescent="0.25">
      <c r="A34923" s="74">
        <v>39715</v>
      </c>
      <c r="B34923">
        <v>2.04</v>
      </c>
    </row>
    <row r="34924" spans="1:2" x14ac:dyDescent="0.25">
      <c r="A34924" s="74">
        <v>39716</v>
      </c>
      <c r="B34924">
        <v>2.4</v>
      </c>
    </row>
    <row r="34925" spans="1:2" x14ac:dyDescent="0.25">
      <c r="A34925" s="74">
        <v>39717</v>
      </c>
      <c r="B34925">
        <v>2.89</v>
      </c>
    </row>
    <row r="34926" spans="1:2" x14ac:dyDescent="0.25">
      <c r="A34926" s="74">
        <v>39718</v>
      </c>
      <c r="B34926">
        <v>2.62</v>
      </c>
    </row>
    <row r="34927" spans="1:2" x14ac:dyDescent="0.25">
      <c r="A34927" s="74">
        <v>39719</v>
      </c>
      <c r="B34927">
        <v>2.39</v>
      </c>
    </row>
    <row r="34928" spans="1:2" x14ac:dyDescent="0.25">
      <c r="A34928" s="74">
        <v>39720</v>
      </c>
      <c r="B34928">
        <v>2.2599999999999998</v>
      </c>
    </row>
    <row r="34929" spans="1:2" x14ac:dyDescent="0.25">
      <c r="A34929" s="74">
        <v>39721</v>
      </c>
      <c r="B34929">
        <v>2.1800000000000002</v>
      </c>
    </row>
    <row r="34930" spans="1:2" x14ac:dyDescent="0.25">
      <c r="A34930" s="74">
        <v>39722</v>
      </c>
      <c r="B34930">
        <v>2.1</v>
      </c>
    </row>
    <row r="34931" spans="1:2" x14ac:dyDescent="0.25">
      <c r="A34931" s="74">
        <v>39723</v>
      </c>
      <c r="B34931">
        <v>2.13</v>
      </c>
    </row>
    <row r="34932" spans="1:2" x14ac:dyDescent="0.25">
      <c r="A34932" s="74">
        <v>39724</v>
      </c>
      <c r="B34932">
        <v>2.83</v>
      </c>
    </row>
    <row r="34933" spans="1:2" x14ac:dyDescent="0.25">
      <c r="A34933" s="74">
        <v>39725</v>
      </c>
      <c r="B34933">
        <v>4.76</v>
      </c>
    </row>
    <row r="34934" spans="1:2" x14ac:dyDescent="0.25">
      <c r="A34934" s="74">
        <v>39726</v>
      </c>
      <c r="B34934">
        <v>4.8899999999999997</v>
      </c>
    </row>
    <row r="34935" spans="1:2" x14ac:dyDescent="0.25">
      <c r="A34935" s="74">
        <v>39727</v>
      </c>
      <c r="B34935">
        <v>4.01</v>
      </c>
    </row>
    <row r="34936" spans="1:2" x14ac:dyDescent="0.25">
      <c r="A34936" s="74">
        <v>39728</v>
      </c>
      <c r="B34936">
        <v>10.4</v>
      </c>
    </row>
    <row r="34937" spans="1:2" x14ac:dyDescent="0.25">
      <c r="A34937" s="74">
        <v>39729</v>
      </c>
      <c r="B34937">
        <v>8.2100000000000009</v>
      </c>
    </row>
    <row r="34938" spans="1:2" x14ac:dyDescent="0.25">
      <c r="A34938" s="74">
        <v>39730</v>
      </c>
      <c r="B34938">
        <v>5.75</v>
      </c>
    </row>
    <row r="34939" spans="1:2" x14ac:dyDescent="0.25">
      <c r="A34939" s="74">
        <v>39731</v>
      </c>
      <c r="B34939">
        <v>4.59</v>
      </c>
    </row>
    <row r="34940" spans="1:2" x14ac:dyDescent="0.25">
      <c r="A34940" s="74">
        <v>39732</v>
      </c>
      <c r="B34940">
        <v>3.95</v>
      </c>
    </row>
    <row r="34941" spans="1:2" x14ac:dyDescent="0.25">
      <c r="A34941" s="74">
        <v>39733</v>
      </c>
      <c r="B34941">
        <v>3.51</v>
      </c>
    </row>
    <row r="34942" spans="1:2" x14ac:dyDescent="0.25">
      <c r="A34942" s="74">
        <v>39734</v>
      </c>
      <c r="B34942">
        <v>3.29</v>
      </c>
    </row>
    <row r="34943" spans="1:2" x14ac:dyDescent="0.25">
      <c r="A34943" s="74">
        <v>39735</v>
      </c>
      <c r="B34943">
        <v>3.2</v>
      </c>
    </row>
    <row r="34944" spans="1:2" x14ac:dyDescent="0.25">
      <c r="A34944" s="74">
        <v>39736</v>
      </c>
      <c r="B34944">
        <v>3.03</v>
      </c>
    </row>
    <row r="34945" spans="1:2" x14ac:dyDescent="0.25">
      <c r="A34945" s="74">
        <v>39737</v>
      </c>
      <c r="B34945">
        <v>2.98</v>
      </c>
    </row>
    <row r="34946" spans="1:2" x14ac:dyDescent="0.25">
      <c r="A34946" s="74">
        <v>39738</v>
      </c>
      <c r="B34946">
        <v>11.2</v>
      </c>
    </row>
    <row r="34947" spans="1:2" x14ac:dyDescent="0.25">
      <c r="A34947" s="74">
        <v>39739</v>
      </c>
      <c r="B34947">
        <v>10.7</v>
      </c>
    </row>
    <row r="34948" spans="1:2" x14ac:dyDescent="0.25">
      <c r="A34948" s="74">
        <v>39740</v>
      </c>
      <c r="B34948">
        <v>7.03</v>
      </c>
    </row>
    <row r="34949" spans="1:2" x14ac:dyDescent="0.25">
      <c r="A34949" s="74">
        <v>39741</v>
      </c>
      <c r="B34949">
        <v>6.25</v>
      </c>
    </row>
    <row r="34950" spans="1:2" x14ac:dyDescent="0.25">
      <c r="A34950" s="74">
        <v>39742</v>
      </c>
      <c r="B34950">
        <v>5.97</v>
      </c>
    </row>
    <row r="34951" spans="1:2" x14ac:dyDescent="0.25">
      <c r="A34951" s="74">
        <v>39743</v>
      </c>
      <c r="B34951">
        <v>4.95</v>
      </c>
    </row>
    <row r="34952" spans="1:2" x14ac:dyDescent="0.25">
      <c r="A34952" s="74">
        <v>39744</v>
      </c>
      <c r="B34952">
        <v>4.3600000000000003</v>
      </c>
    </row>
    <row r="34953" spans="1:2" x14ac:dyDescent="0.25">
      <c r="A34953" s="74">
        <v>39745</v>
      </c>
      <c r="B34953">
        <v>3.97</v>
      </c>
    </row>
    <row r="34954" spans="1:2" x14ac:dyDescent="0.25">
      <c r="A34954" s="74">
        <v>39746</v>
      </c>
      <c r="B34954">
        <v>3.65</v>
      </c>
    </row>
    <row r="34955" spans="1:2" x14ac:dyDescent="0.25">
      <c r="A34955" s="74">
        <v>39747</v>
      </c>
      <c r="B34955">
        <v>3.4</v>
      </c>
    </row>
    <row r="34956" spans="1:2" x14ac:dyDescent="0.25">
      <c r="A34956" s="74">
        <v>39748</v>
      </c>
      <c r="B34956">
        <v>3.15</v>
      </c>
    </row>
    <row r="34957" spans="1:2" x14ac:dyDescent="0.25">
      <c r="A34957" s="74">
        <v>39749</v>
      </c>
      <c r="B34957">
        <v>2.89</v>
      </c>
    </row>
    <row r="34958" spans="1:2" x14ac:dyDescent="0.25">
      <c r="A34958" s="74">
        <v>39750</v>
      </c>
      <c r="B34958">
        <v>2.7</v>
      </c>
    </row>
    <row r="34959" spans="1:2" x14ac:dyDescent="0.25">
      <c r="A34959" s="74">
        <v>39751</v>
      </c>
      <c r="B34959">
        <v>2.83</v>
      </c>
    </row>
    <row r="34960" spans="1:2" x14ac:dyDescent="0.25">
      <c r="A34960" s="74">
        <v>39752</v>
      </c>
      <c r="B34960">
        <v>4.4000000000000004</v>
      </c>
    </row>
    <row r="34961" spans="1:2" x14ac:dyDescent="0.25">
      <c r="A34961" s="74">
        <v>39753</v>
      </c>
      <c r="B34961">
        <v>8.4</v>
      </c>
    </row>
    <row r="34962" spans="1:2" x14ac:dyDescent="0.25">
      <c r="A34962" s="74">
        <v>39754</v>
      </c>
      <c r="B34962">
        <v>17.7</v>
      </c>
    </row>
    <row r="34963" spans="1:2" x14ac:dyDescent="0.25">
      <c r="A34963" s="74">
        <v>39755</v>
      </c>
      <c r="B34963">
        <v>17.3</v>
      </c>
    </row>
    <row r="34964" spans="1:2" x14ac:dyDescent="0.25">
      <c r="A34964" s="74">
        <v>39756</v>
      </c>
      <c r="B34964">
        <v>11.2</v>
      </c>
    </row>
    <row r="34965" spans="1:2" x14ac:dyDescent="0.25">
      <c r="A34965" s="74">
        <v>39757</v>
      </c>
      <c r="B34965">
        <v>7.89</v>
      </c>
    </row>
    <row r="34966" spans="1:2" x14ac:dyDescent="0.25">
      <c r="A34966" s="74">
        <v>39758</v>
      </c>
      <c r="B34966">
        <v>11.8</v>
      </c>
    </row>
    <row r="34967" spans="1:2" x14ac:dyDescent="0.25">
      <c r="A34967" s="74">
        <v>39759</v>
      </c>
      <c r="B34967">
        <v>21.7</v>
      </c>
    </row>
    <row r="34968" spans="1:2" x14ac:dyDescent="0.25">
      <c r="A34968" s="74">
        <v>39760</v>
      </c>
      <c r="B34968">
        <v>101</v>
      </c>
    </row>
    <row r="34969" spans="1:2" x14ac:dyDescent="0.25">
      <c r="A34969" s="74">
        <v>39761</v>
      </c>
      <c r="B34969">
        <v>46.8</v>
      </c>
    </row>
    <row r="34970" spans="1:2" x14ac:dyDescent="0.25">
      <c r="A34970" s="74">
        <v>39762</v>
      </c>
      <c r="B34970">
        <v>23.1</v>
      </c>
    </row>
    <row r="34971" spans="1:2" x14ac:dyDescent="0.25">
      <c r="A34971" s="74">
        <v>39763</v>
      </c>
      <c r="B34971">
        <v>21</v>
      </c>
    </row>
    <row r="34972" spans="1:2" x14ac:dyDescent="0.25">
      <c r="A34972" s="74">
        <v>39764</v>
      </c>
      <c r="B34972">
        <v>27</v>
      </c>
    </row>
    <row r="34973" spans="1:2" x14ac:dyDescent="0.25">
      <c r="A34973" s="74">
        <v>39765</v>
      </c>
      <c r="B34973">
        <v>18.899999999999999</v>
      </c>
    </row>
    <row r="34974" spans="1:2" x14ac:dyDescent="0.25">
      <c r="A34974" s="74">
        <v>39766</v>
      </c>
      <c r="B34974">
        <v>13.7</v>
      </c>
    </row>
    <row r="34975" spans="1:2" x14ac:dyDescent="0.25">
      <c r="A34975" s="74">
        <v>39767</v>
      </c>
      <c r="B34975">
        <v>10.9</v>
      </c>
    </row>
    <row r="34976" spans="1:2" x14ac:dyDescent="0.25">
      <c r="A34976" s="74">
        <v>39768</v>
      </c>
      <c r="B34976">
        <v>9.02</v>
      </c>
    </row>
    <row r="34977" spans="1:2" x14ac:dyDescent="0.25">
      <c r="A34977" s="74">
        <v>39769</v>
      </c>
      <c r="B34977">
        <v>7.58</v>
      </c>
    </row>
    <row r="34978" spans="1:2" x14ac:dyDescent="0.25">
      <c r="A34978" s="74">
        <v>39770</v>
      </c>
      <c r="B34978">
        <v>6.43</v>
      </c>
    </row>
    <row r="34979" spans="1:2" x14ac:dyDescent="0.25">
      <c r="A34979" s="74">
        <v>39771</v>
      </c>
      <c r="B34979">
        <v>5.49</v>
      </c>
    </row>
    <row r="34980" spans="1:2" x14ac:dyDescent="0.25">
      <c r="A34980" s="74">
        <v>39772</v>
      </c>
      <c r="B34980">
        <v>5</v>
      </c>
    </row>
    <row r="34981" spans="1:2" x14ac:dyDescent="0.25">
      <c r="A34981" s="74">
        <v>39773</v>
      </c>
      <c r="B34981">
        <v>7.65</v>
      </c>
    </row>
    <row r="34982" spans="1:2" x14ac:dyDescent="0.25">
      <c r="A34982" s="74">
        <v>39774</v>
      </c>
      <c r="B34982">
        <v>17.3</v>
      </c>
    </row>
    <row r="34983" spans="1:2" x14ac:dyDescent="0.25">
      <c r="A34983" s="74">
        <v>39775</v>
      </c>
      <c r="B34983">
        <v>12.5</v>
      </c>
    </row>
    <row r="34984" spans="1:2" x14ac:dyDescent="0.25">
      <c r="A34984" s="74">
        <v>39776</v>
      </c>
      <c r="B34984">
        <v>9.6300000000000008</v>
      </c>
    </row>
    <row r="34985" spans="1:2" x14ac:dyDescent="0.25">
      <c r="A34985" s="74">
        <v>39777</v>
      </c>
      <c r="B34985">
        <v>8.66</v>
      </c>
    </row>
    <row r="34986" spans="1:2" x14ac:dyDescent="0.25">
      <c r="A34986" s="74">
        <v>39778</v>
      </c>
      <c r="B34986">
        <v>8.66</v>
      </c>
    </row>
    <row r="34987" spans="1:2" x14ac:dyDescent="0.25">
      <c r="A34987" s="74">
        <v>39779</v>
      </c>
      <c r="B34987">
        <v>7.28</v>
      </c>
    </row>
    <row r="34988" spans="1:2" x14ac:dyDescent="0.25">
      <c r="A34988" s="74">
        <v>39780</v>
      </c>
      <c r="B34988">
        <v>6.55</v>
      </c>
    </row>
    <row r="34989" spans="1:2" x14ac:dyDescent="0.25">
      <c r="A34989" s="74">
        <v>39781</v>
      </c>
      <c r="B34989">
        <v>7.96</v>
      </c>
    </row>
    <row r="34990" spans="1:2" x14ac:dyDescent="0.25">
      <c r="A34990" s="74">
        <v>39782</v>
      </c>
      <c r="B34990">
        <v>8.7200000000000006</v>
      </c>
    </row>
    <row r="34991" spans="1:2" x14ac:dyDescent="0.25">
      <c r="A34991" s="74">
        <v>39783</v>
      </c>
      <c r="B34991">
        <v>7.86</v>
      </c>
    </row>
    <row r="34992" spans="1:2" x14ac:dyDescent="0.25">
      <c r="A34992" s="74">
        <v>39784</v>
      </c>
      <c r="B34992">
        <v>6.84</v>
      </c>
    </row>
    <row r="34993" spans="1:3" x14ac:dyDescent="0.25">
      <c r="A34993" s="74">
        <v>39785</v>
      </c>
      <c r="B34993">
        <v>5.98</v>
      </c>
    </row>
    <row r="34994" spans="1:3" x14ac:dyDescent="0.25">
      <c r="A34994" s="74">
        <v>39786</v>
      </c>
      <c r="B34994">
        <v>5.28</v>
      </c>
    </row>
    <row r="34995" spans="1:3" x14ac:dyDescent="0.25">
      <c r="A34995" s="74">
        <v>39787</v>
      </c>
      <c r="B34995">
        <v>4.78</v>
      </c>
    </row>
    <row r="34996" spans="1:3" x14ac:dyDescent="0.25">
      <c r="A34996" s="74">
        <v>39788</v>
      </c>
      <c r="B34996">
        <v>4.4800000000000004</v>
      </c>
    </row>
    <row r="34997" spans="1:3" x14ac:dyDescent="0.25">
      <c r="A34997" s="74">
        <v>39789</v>
      </c>
      <c r="B34997">
        <v>4.4000000000000004</v>
      </c>
    </row>
    <row r="34998" spans="1:3" x14ac:dyDescent="0.25">
      <c r="A34998" s="74">
        <v>39790</v>
      </c>
      <c r="B34998">
        <v>4.21</v>
      </c>
    </row>
    <row r="34999" spans="1:3" x14ac:dyDescent="0.25">
      <c r="A34999" s="74">
        <v>39791</v>
      </c>
      <c r="B34999">
        <v>3.99</v>
      </c>
    </row>
    <row r="35000" spans="1:3" x14ac:dyDescent="0.25">
      <c r="A35000" s="74">
        <v>39792</v>
      </c>
      <c r="B35000">
        <v>4.79</v>
      </c>
    </row>
    <row r="35001" spans="1:3" x14ac:dyDescent="0.25">
      <c r="A35001" s="74">
        <v>39793</v>
      </c>
      <c r="B35001">
        <v>4.67</v>
      </c>
    </row>
    <row r="35002" spans="1:3" x14ac:dyDescent="0.25">
      <c r="A35002" s="74">
        <v>39794</v>
      </c>
      <c r="B35002">
        <v>4.8</v>
      </c>
    </row>
    <row r="35003" spans="1:3" x14ac:dyDescent="0.25">
      <c r="A35003" s="74">
        <v>39795</v>
      </c>
      <c r="B35003">
        <v>5.14</v>
      </c>
    </row>
    <row r="35004" spans="1:3" x14ac:dyDescent="0.25">
      <c r="A35004" s="74">
        <v>39796</v>
      </c>
      <c r="B35004">
        <v>4.6500000000000004</v>
      </c>
    </row>
    <row r="35005" spans="1:3" x14ac:dyDescent="0.25">
      <c r="A35005" s="74">
        <v>39797</v>
      </c>
      <c r="B35005">
        <v>4.1100000000000003</v>
      </c>
    </row>
    <row r="35006" spans="1:3" x14ac:dyDescent="0.25">
      <c r="A35006" s="74">
        <v>39798</v>
      </c>
      <c r="B35006">
        <v>3.5</v>
      </c>
      <c r="C35006" t="s">
        <v>142</v>
      </c>
    </row>
    <row r="35007" spans="1:3" x14ac:dyDescent="0.25">
      <c r="A35007" s="74">
        <v>39799</v>
      </c>
      <c r="B35007">
        <v>3.74</v>
      </c>
      <c r="C35007" t="s">
        <v>142</v>
      </c>
    </row>
    <row r="35008" spans="1:3" x14ac:dyDescent="0.25">
      <c r="A35008" s="74">
        <v>39800</v>
      </c>
      <c r="B35008">
        <v>3.34</v>
      </c>
      <c r="C35008" t="s">
        <v>142</v>
      </c>
    </row>
    <row r="35009" spans="1:3" x14ac:dyDescent="0.25">
      <c r="A35009" s="74">
        <v>39801</v>
      </c>
      <c r="B35009">
        <v>3.12</v>
      </c>
      <c r="C35009" t="s">
        <v>142</v>
      </c>
    </row>
    <row r="35010" spans="1:3" x14ac:dyDescent="0.25">
      <c r="A35010" s="74">
        <v>39802</v>
      </c>
      <c r="B35010">
        <v>3.03</v>
      </c>
      <c r="C35010" t="s">
        <v>142</v>
      </c>
    </row>
    <row r="35011" spans="1:3" x14ac:dyDescent="0.25">
      <c r="A35011" s="74">
        <v>39803</v>
      </c>
      <c r="B35011">
        <v>2.91</v>
      </c>
      <c r="C35011" t="s">
        <v>142</v>
      </c>
    </row>
    <row r="35012" spans="1:3" x14ac:dyDescent="0.25">
      <c r="A35012" s="74">
        <v>39804</v>
      </c>
      <c r="B35012">
        <v>3.13</v>
      </c>
      <c r="C35012" t="s">
        <v>142</v>
      </c>
    </row>
    <row r="35013" spans="1:3" x14ac:dyDescent="0.25">
      <c r="A35013" s="74">
        <v>39805</v>
      </c>
      <c r="B35013">
        <v>2.89</v>
      </c>
      <c r="C35013" t="s">
        <v>142</v>
      </c>
    </row>
    <row r="35014" spans="1:3" x14ac:dyDescent="0.25">
      <c r="A35014" s="74">
        <v>39806</v>
      </c>
      <c r="B35014">
        <v>2.87</v>
      </c>
    </row>
    <row r="35015" spans="1:3" x14ac:dyDescent="0.25">
      <c r="A35015" s="74">
        <v>39807</v>
      </c>
      <c r="B35015">
        <v>2.85</v>
      </c>
    </row>
    <row r="35016" spans="1:3" x14ac:dyDescent="0.25">
      <c r="A35016" s="74">
        <v>39808</v>
      </c>
      <c r="B35016">
        <v>2.66</v>
      </c>
    </row>
    <row r="35017" spans="1:3" x14ac:dyDescent="0.25">
      <c r="A35017" s="74">
        <v>39809</v>
      </c>
      <c r="B35017">
        <v>2.78</v>
      </c>
    </row>
    <row r="35018" spans="1:3" x14ac:dyDescent="0.25">
      <c r="A35018" s="74">
        <v>39810</v>
      </c>
      <c r="B35018">
        <v>3.05</v>
      </c>
    </row>
    <row r="35019" spans="1:3" x14ac:dyDescent="0.25">
      <c r="A35019" s="74">
        <v>39811</v>
      </c>
      <c r="B35019">
        <v>4.63</v>
      </c>
    </row>
    <row r="35020" spans="1:3" x14ac:dyDescent="0.25">
      <c r="A35020" s="74">
        <v>39812</v>
      </c>
      <c r="B35020">
        <v>4.87</v>
      </c>
    </row>
    <row r="35021" spans="1:3" x14ac:dyDescent="0.25">
      <c r="A35021" s="74">
        <v>39813</v>
      </c>
      <c r="B35021">
        <v>5.57</v>
      </c>
    </row>
    <row r="35022" spans="1:3" x14ac:dyDescent="0.25">
      <c r="A35022" s="74">
        <v>39814</v>
      </c>
      <c r="B35022">
        <v>5.33</v>
      </c>
    </row>
    <row r="35023" spans="1:3" x14ac:dyDescent="0.25">
      <c r="A35023" s="74">
        <v>39815</v>
      </c>
      <c r="B35023">
        <v>4.6500000000000004</v>
      </c>
    </row>
    <row r="35024" spans="1:3" x14ac:dyDescent="0.25">
      <c r="A35024" s="74">
        <v>39816</v>
      </c>
      <c r="B35024">
        <v>4</v>
      </c>
    </row>
    <row r="35025" spans="1:2" x14ac:dyDescent="0.25">
      <c r="A35025" s="74">
        <v>39817</v>
      </c>
      <c r="B35025">
        <v>3.84</v>
      </c>
    </row>
    <row r="35026" spans="1:2" x14ac:dyDescent="0.25">
      <c r="A35026" s="74">
        <v>39818</v>
      </c>
      <c r="B35026">
        <v>4.1500000000000004</v>
      </c>
    </row>
    <row r="35027" spans="1:2" x14ac:dyDescent="0.25">
      <c r="A35027" s="74">
        <v>39819</v>
      </c>
      <c r="B35027">
        <v>4.5599999999999996</v>
      </c>
    </row>
    <row r="35028" spans="1:2" x14ac:dyDescent="0.25">
      <c r="A35028" s="74">
        <v>39820</v>
      </c>
      <c r="B35028">
        <v>24.6</v>
      </c>
    </row>
    <row r="35029" spans="1:2" x14ac:dyDescent="0.25">
      <c r="A35029" s="74">
        <v>39821</v>
      </c>
      <c r="B35029">
        <v>41.1</v>
      </c>
    </row>
    <row r="35030" spans="1:2" x14ac:dyDescent="0.25">
      <c r="A35030" s="74">
        <v>39822</v>
      </c>
      <c r="B35030">
        <v>29.3</v>
      </c>
    </row>
    <row r="35031" spans="1:2" x14ac:dyDescent="0.25">
      <c r="A35031" s="74">
        <v>39823</v>
      </c>
      <c r="B35031">
        <v>21.8</v>
      </c>
    </row>
    <row r="35032" spans="1:2" x14ac:dyDescent="0.25">
      <c r="A35032" s="74">
        <v>39824</v>
      </c>
      <c r="B35032">
        <v>21.4</v>
      </c>
    </row>
    <row r="35033" spans="1:2" x14ac:dyDescent="0.25">
      <c r="A35033" s="74">
        <v>39825</v>
      </c>
      <c r="B35033">
        <v>19</v>
      </c>
    </row>
    <row r="35034" spans="1:2" x14ac:dyDescent="0.25">
      <c r="A35034" s="74">
        <v>39826</v>
      </c>
      <c r="B35034">
        <v>17.8</v>
      </c>
    </row>
    <row r="35035" spans="1:2" x14ac:dyDescent="0.25">
      <c r="A35035" s="74">
        <v>39827</v>
      </c>
      <c r="B35035">
        <v>15.9</v>
      </c>
    </row>
    <row r="35036" spans="1:2" x14ac:dyDescent="0.25">
      <c r="A35036" s="74">
        <v>39828</v>
      </c>
      <c r="B35036">
        <v>14</v>
      </c>
    </row>
    <row r="35037" spans="1:2" x14ac:dyDescent="0.25">
      <c r="A35037" s="74">
        <v>39829</v>
      </c>
      <c r="B35037">
        <v>12.5</v>
      </c>
    </row>
    <row r="35038" spans="1:2" x14ac:dyDescent="0.25">
      <c r="A35038" s="74">
        <v>39830</v>
      </c>
      <c r="B35038">
        <v>11.7</v>
      </c>
    </row>
    <row r="35039" spans="1:2" x14ac:dyDescent="0.25">
      <c r="A35039" s="74">
        <v>39831</v>
      </c>
      <c r="B35039">
        <v>11.8</v>
      </c>
    </row>
    <row r="35040" spans="1:2" x14ac:dyDescent="0.25">
      <c r="A35040" s="74">
        <v>39832</v>
      </c>
      <c r="B35040">
        <v>13.2</v>
      </c>
    </row>
    <row r="35041" spans="1:3" x14ac:dyDescent="0.25">
      <c r="A35041" s="74">
        <v>39833</v>
      </c>
      <c r="B35041">
        <v>13.1</v>
      </c>
    </row>
    <row r="35042" spans="1:3" x14ac:dyDescent="0.25">
      <c r="A35042" s="74">
        <v>39834</v>
      </c>
      <c r="B35042">
        <v>11.7</v>
      </c>
    </row>
    <row r="35043" spans="1:3" x14ac:dyDescent="0.25">
      <c r="A35043" s="74">
        <v>39835</v>
      </c>
      <c r="B35043">
        <v>10</v>
      </c>
    </row>
    <row r="35044" spans="1:3" x14ac:dyDescent="0.25">
      <c r="A35044" s="74">
        <v>39836</v>
      </c>
      <c r="B35044">
        <v>8.7200000000000006</v>
      </c>
    </row>
    <row r="35045" spans="1:3" x14ac:dyDescent="0.25">
      <c r="A35045" s="74">
        <v>39837</v>
      </c>
      <c r="B35045">
        <v>7.3</v>
      </c>
      <c r="C35045" t="s">
        <v>142</v>
      </c>
    </row>
    <row r="35046" spans="1:3" x14ac:dyDescent="0.25">
      <c r="A35046" s="74">
        <v>39838</v>
      </c>
      <c r="B35046">
        <v>6.2</v>
      </c>
      <c r="C35046" t="s">
        <v>142</v>
      </c>
    </row>
    <row r="35047" spans="1:3" x14ac:dyDescent="0.25">
      <c r="A35047" s="74">
        <v>39839</v>
      </c>
      <c r="B35047">
        <v>5.6</v>
      </c>
      <c r="C35047" t="s">
        <v>142</v>
      </c>
    </row>
    <row r="35048" spans="1:3" x14ac:dyDescent="0.25">
      <c r="A35048" s="74">
        <v>39840</v>
      </c>
      <c r="B35048">
        <v>5.3</v>
      </c>
      <c r="C35048" t="s">
        <v>142</v>
      </c>
    </row>
    <row r="35049" spans="1:3" x14ac:dyDescent="0.25">
      <c r="A35049" s="74">
        <v>39841</v>
      </c>
      <c r="B35049">
        <v>5.05</v>
      </c>
      <c r="C35049" t="s">
        <v>142</v>
      </c>
    </row>
    <row r="35050" spans="1:3" x14ac:dyDescent="0.25">
      <c r="A35050" s="74">
        <v>39842</v>
      </c>
      <c r="B35050">
        <v>4.7300000000000004</v>
      </c>
    </row>
    <row r="35051" spans="1:3" x14ac:dyDescent="0.25">
      <c r="A35051" s="74">
        <v>39843</v>
      </c>
      <c r="B35051">
        <v>4.5999999999999996</v>
      </c>
    </row>
    <row r="35052" spans="1:3" x14ac:dyDescent="0.25">
      <c r="A35052" s="74">
        <v>39844</v>
      </c>
      <c r="B35052">
        <v>4.8</v>
      </c>
    </row>
    <row r="35053" spans="1:3" x14ac:dyDescent="0.25">
      <c r="A35053" s="74">
        <v>39845</v>
      </c>
      <c r="B35053">
        <v>4.49</v>
      </c>
    </row>
    <row r="35054" spans="1:3" x14ac:dyDescent="0.25">
      <c r="A35054" s="74">
        <v>39846</v>
      </c>
      <c r="B35054">
        <v>4.58</v>
      </c>
    </row>
    <row r="35055" spans="1:3" x14ac:dyDescent="0.25">
      <c r="A35055" s="74">
        <v>39847</v>
      </c>
      <c r="B35055">
        <v>5.56</v>
      </c>
    </row>
    <row r="35056" spans="1:3" x14ac:dyDescent="0.25">
      <c r="A35056" s="74">
        <v>39848</v>
      </c>
      <c r="B35056">
        <v>5.55</v>
      </c>
    </row>
    <row r="35057" spans="1:2" x14ac:dyDescent="0.25">
      <c r="A35057" s="74">
        <v>39849</v>
      </c>
      <c r="B35057">
        <v>5.81</v>
      </c>
    </row>
    <row r="35058" spans="1:2" x14ac:dyDescent="0.25">
      <c r="A35058" s="74">
        <v>39850</v>
      </c>
      <c r="B35058">
        <v>6.17</v>
      </c>
    </row>
    <row r="35059" spans="1:2" x14ac:dyDescent="0.25">
      <c r="A35059" s="74">
        <v>39851</v>
      </c>
      <c r="B35059">
        <v>6.37</v>
      </c>
    </row>
    <row r="35060" spans="1:2" x14ac:dyDescent="0.25">
      <c r="A35060" s="74">
        <v>39852</v>
      </c>
      <c r="B35060">
        <v>6.17</v>
      </c>
    </row>
    <row r="35061" spans="1:2" x14ac:dyDescent="0.25">
      <c r="A35061" s="74">
        <v>39853</v>
      </c>
      <c r="B35061">
        <v>5.88</v>
      </c>
    </row>
    <row r="35062" spans="1:2" x14ac:dyDescent="0.25">
      <c r="A35062" s="74">
        <v>39854</v>
      </c>
      <c r="B35062">
        <v>5.47</v>
      </c>
    </row>
    <row r="35063" spans="1:2" x14ac:dyDescent="0.25">
      <c r="A35063" s="74">
        <v>39855</v>
      </c>
      <c r="B35063">
        <v>5.14</v>
      </c>
    </row>
    <row r="35064" spans="1:2" x14ac:dyDescent="0.25">
      <c r="A35064" s="74">
        <v>39856</v>
      </c>
      <c r="B35064">
        <v>4.8499999999999996</v>
      </c>
    </row>
    <row r="35065" spans="1:2" x14ac:dyDescent="0.25">
      <c r="A35065" s="74">
        <v>39857</v>
      </c>
      <c r="B35065">
        <v>4.57</v>
      </c>
    </row>
    <row r="35066" spans="1:2" x14ac:dyDescent="0.25">
      <c r="A35066" s="74">
        <v>39858</v>
      </c>
      <c r="B35066">
        <v>4.3099999999999996</v>
      </c>
    </row>
    <row r="35067" spans="1:2" x14ac:dyDescent="0.25">
      <c r="A35067" s="74">
        <v>39859</v>
      </c>
      <c r="B35067">
        <v>4.0599999999999996</v>
      </c>
    </row>
    <row r="35068" spans="1:2" x14ac:dyDescent="0.25">
      <c r="A35068" s="74">
        <v>39860</v>
      </c>
      <c r="B35068">
        <v>3.83</v>
      </c>
    </row>
    <row r="35069" spans="1:2" x14ac:dyDescent="0.25">
      <c r="A35069" s="74">
        <v>39861</v>
      </c>
      <c r="B35069">
        <v>3.71</v>
      </c>
    </row>
    <row r="35070" spans="1:2" x14ac:dyDescent="0.25">
      <c r="A35070" s="74">
        <v>39862</v>
      </c>
      <c r="B35070">
        <v>3.48</v>
      </c>
    </row>
    <row r="35071" spans="1:2" x14ac:dyDescent="0.25">
      <c r="A35071" s="74">
        <v>39863</v>
      </c>
      <c r="B35071">
        <v>3.34</v>
      </c>
    </row>
    <row r="35072" spans="1:2" x14ac:dyDescent="0.25">
      <c r="A35072" s="74">
        <v>39864</v>
      </c>
      <c r="B35072">
        <v>3.2</v>
      </c>
    </row>
    <row r="35073" spans="1:2" x14ac:dyDescent="0.25">
      <c r="A35073" s="74">
        <v>39865</v>
      </c>
      <c r="B35073">
        <v>3.1</v>
      </c>
    </row>
    <row r="35074" spans="1:2" x14ac:dyDescent="0.25">
      <c r="A35074" s="74">
        <v>39866</v>
      </c>
      <c r="B35074">
        <v>3.15</v>
      </c>
    </row>
    <row r="35075" spans="1:2" x14ac:dyDescent="0.25">
      <c r="A35075" s="74">
        <v>39867</v>
      </c>
      <c r="B35075">
        <v>5.75</v>
      </c>
    </row>
    <row r="35076" spans="1:2" x14ac:dyDescent="0.25">
      <c r="A35076" s="74">
        <v>39868</v>
      </c>
      <c r="B35076">
        <v>9.99</v>
      </c>
    </row>
    <row r="35077" spans="1:2" x14ac:dyDescent="0.25">
      <c r="A35077" s="74">
        <v>39869</v>
      </c>
      <c r="B35077">
        <v>13.7</v>
      </c>
    </row>
    <row r="35078" spans="1:2" x14ac:dyDescent="0.25">
      <c r="A35078" s="74">
        <v>39870</v>
      </c>
      <c r="B35078">
        <v>11.9</v>
      </c>
    </row>
    <row r="35079" spans="1:2" x14ac:dyDescent="0.25">
      <c r="A35079" s="74">
        <v>39871</v>
      </c>
      <c r="B35079">
        <v>9.1999999999999993</v>
      </c>
    </row>
    <row r="35080" spans="1:2" x14ac:dyDescent="0.25">
      <c r="A35080" s="74">
        <v>39872</v>
      </c>
      <c r="B35080">
        <v>7.58</v>
      </c>
    </row>
    <row r="35081" spans="1:2" x14ac:dyDescent="0.25">
      <c r="A35081" s="74">
        <v>39873</v>
      </c>
      <c r="B35081">
        <v>13.3</v>
      </c>
    </row>
    <row r="35082" spans="1:2" x14ac:dyDescent="0.25">
      <c r="A35082" s="74">
        <v>39874</v>
      </c>
      <c r="B35082">
        <v>49</v>
      </c>
    </row>
    <row r="35083" spans="1:2" x14ac:dyDescent="0.25">
      <c r="A35083" s="74">
        <v>39875</v>
      </c>
      <c r="B35083">
        <v>37.1</v>
      </c>
    </row>
    <row r="35084" spans="1:2" x14ac:dyDescent="0.25">
      <c r="A35084" s="74">
        <v>39876</v>
      </c>
      <c r="B35084">
        <v>22.9</v>
      </c>
    </row>
    <row r="35085" spans="1:2" x14ac:dyDescent="0.25">
      <c r="A35085" s="74">
        <v>39877</v>
      </c>
      <c r="B35085">
        <v>17.100000000000001</v>
      </c>
    </row>
    <row r="35086" spans="1:2" x14ac:dyDescent="0.25">
      <c r="A35086" s="74">
        <v>39878</v>
      </c>
      <c r="B35086">
        <v>13.4</v>
      </c>
    </row>
    <row r="35087" spans="1:2" x14ac:dyDescent="0.25">
      <c r="A35087" s="74">
        <v>39879</v>
      </c>
      <c r="B35087">
        <v>11.1</v>
      </c>
    </row>
    <row r="35088" spans="1:2" x14ac:dyDescent="0.25">
      <c r="A35088" s="74">
        <v>39880</v>
      </c>
      <c r="B35088">
        <v>9.2100000000000009</v>
      </c>
    </row>
    <row r="35089" spans="1:2" x14ac:dyDescent="0.25">
      <c r="A35089" s="74">
        <v>39881</v>
      </c>
      <c r="B35089">
        <v>7.88</v>
      </c>
    </row>
    <row r="35090" spans="1:2" x14ac:dyDescent="0.25">
      <c r="A35090" s="74">
        <v>39882</v>
      </c>
      <c r="B35090">
        <v>6.72</v>
      </c>
    </row>
    <row r="35091" spans="1:2" x14ac:dyDescent="0.25">
      <c r="A35091" s="74">
        <v>39883</v>
      </c>
      <c r="B35091">
        <v>5.99</v>
      </c>
    </row>
    <row r="35092" spans="1:2" x14ac:dyDescent="0.25">
      <c r="A35092" s="74">
        <v>39884</v>
      </c>
      <c r="B35092">
        <v>5.43</v>
      </c>
    </row>
    <row r="35093" spans="1:2" x14ac:dyDescent="0.25">
      <c r="A35093" s="74">
        <v>39885</v>
      </c>
      <c r="B35093">
        <v>5.08</v>
      </c>
    </row>
    <row r="35094" spans="1:2" x14ac:dyDescent="0.25">
      <c r="A35094" s="74">
        <v>39886</v>
      </c>
      <c r="B35094">
        <v>5.01</v>
      </c>
    </row>
    <row r="35095" spans="1:2" x14ac:dyDescent="0.25">
      <c r="A35095" s="74">
        <v>39887</v>
      </c>
      <c r="B35095">
        <v>5.15</v>
      </c>
    </row>
    <row r="35096" spans="1:2" x14ac:dyDescent="0.25">
      <c r="A35096" s="74">
        <v>39888</v>
      </c>
      <c r="B35096">
        <v>6.25</v>
      </c>
    </row>
    <row r="35097" spans="1:2" x14ac:dyDescent="0.25">
      <c r="A35097" s="74">
        <v>39889</v>
      </c>
      <c r="B35097">
        <v>6.5</v>
      </c>
    </row>
    <row r="35098" spans="1:2" x14ac:dyDescent="0.25">
      <c r="A35098" s="74">
        <v>39890</v>
      </c>
      <c r="B35098">
        <v>6.33</v>
      </c>
    </row>
    <row r="35099" spans="1:2" x14ac:dyDescent="0.25">
      <c r="A35099" s="74">
        <v>39891</v>
      </c>
      <c r="B35099">
        <v>12.2</v>
      </c>
    </row>
    <row r="35100" spans="1:2" x14ac:dyDescent="0.25">
      <c r="A35100" s="74">
        <v>39892</v>
      </c>
      <c r="B35100">
        <v>23.7</v>
      </c>
    </row>
    <row r="35101" spans="1:2" x14ac:dyDescent="0.25">
      <c r="A35101" s="74">
        <v>39893</v>
      </c>
      <c r="B35101">
        <v>25.6</v>
      </c>
    </row>
    <row r="35102" spans="1:2" x14ac:dyDescent="0.25">
      <c r="A35102" s="74">
        <v>39894</v>
      </c>
      <c r="B35102">
        <v>16.8</v>
      </c>
    </row>
    <row r="35103" spans="1:2" x14ac:dyDescent="0.25">
      <c r="A35103" s="74">
        <v>39895</v>
      </c>
      <c r="B35103">
        <v>12.7</v>
      </c>
    </row>
    <row r="35104" spans="1:2" x14ac:dyDescent="0.25">
      <c r="A35104" s="74">
        <v>39896</v>
      </c>
      <c r="B35104">
        <v>10.4</v>
      </c>
    </row>
    <row r="35105" spans="1:2" x14ac:dyDescent="0.25">
      <c r="A35105" s="74">
        <v>39897</v>
      </c>
      <c r="B35105">
        <v>9.3000000000000007</v>
      </c>
    </row>
    <row r="35106" spans="1:2" x14ac:dyDescent="0.25">
      <c r="A35106" s="74">
        <v>39898</v>
      </c>
      <c r="B35106">
        <v>8.18</v>
      </c>
    </row>
    <row r="35107" spans="1:2" x14ac:dyDescent="0.25">
      <c r="A35107" s="74">
        <v>39899</v>
      </c>
      <c r="B35107">
        <v>7.34</v>
      </c>
    </row>
    <row r="35108" spans="1:2" x14ac:dyDescent="0.25">
      <c r="A35108" s="74">
        <v>39900</v>
      </c>
      <c r="B35108">
        <v>7.11</v>
      </c>
    </row>
    <row r="35109" spans="1:2" x14ac:dyDescent="0.25">
      <c r="A35109" s="74">
        <v>39901</v>
      </c>
      <c r="B35109">
        <v>6.64</v>
      </c>
    </row>
    <row r="35110" spans="1:2" x14ac:dyDescent="0.25">
      <c r="A35110" s="74">
        <v>39902</v>
      </c>
      <c r="B35110">
        <v>6.08</v>
      </c>
    </row>
    <row r="35111" spans="1:2" x14ac:dyDescent="0.25">
      <c r="A35111" s="74">
        <v>39903</v>
      </c>
      <c r="B35111">
        <v>6.13</v>
      </c>
    </row>
    <row r="35112" spans="1:2" x14ac:dyDescent="0.25">
      <c r="A35112" s="74">
        <v>39904</v>
      </c>
      <c r="B35112">
        <v>6.52</v>
      </c>
    </row>
    <row r="35113" spans="1:2" x14ac:dyDescent="0.25">
      <c r="A35113" s="74">
        <v>39905</v>
      </c>
      <c r="B35113">
        <v>6.76</v>
      </c>
    </row>
    <row r="35114" spans="1:2" x14ac:dyDescent="0.25">
      <c r="A35114" s="74">
        <v>39906</v>
      </c>
      <c r="B35114">
        <v>6.56</v>
      </c>
    </row>
    <row r="35115" spans="1:2" x14ac:dyDescent="0.25">
      <c r="A35115" s="74">
        <v>39907</v>
      </c>
      <c r="B35115">
        <v>6.06</v>
      </c>
    </row>
    <row r="35116" spans="1:2" x14ac:dyDescent="0.25">
      <c r="A35116" s="74">
        <v>39908</v>
      </c>
      <c r="B35116">
        <v>5.75</v>
      </c>
    </row>
    <row r="35117" spans="1:2" x14ac:dyDescent="0.25">
      <c r="A35117" s="74">
        <v>39909</v>
      </c>
      <c r="B35117">
        <v>6.1</v>
      </c>
    </row>
    <row r="35118" spans="1:2" x14ac:dyDescent="0.25">
      <c r="A35118" s="74">
        <v>39910</v>
      </c>
      <c r="B35118">
        <v>8.14</v>
      </c>
    </row>
    <row r="35119" spans="1:2" x14ac:dyDescent="0.25">
      <c r="A35119" s="74">
        <v>39911</v>
      </c>
      <c r="B35119">
        <v>10.3</v>
      </c>
    </row>
    <row r="35120" spans="1:2" x14ac:dyDescent="0.25">
      <c r="A35120" s="74">
        <v>39912</v>
      </c>
      <c r="B35120">
        <v>10.8</v>
      </c>
    </row>
    <row r="35121" spans="1:2" x14ac:dyDescent="0.25">
      <c r="A35121" s="74">
        <v>39913</v>
      </c>
      <c r="B35121">
        <v>10.6</v>
      </c>
    </row>
    <row r="35122" spans="1:2" x14ac:dyDescent="0.25">
      <c r="A35122" s="74">
        <v>39914</v>
      </c>
      <c r="B35122">
        <v>10.6</v>
      </c>
    </row>
    <row r="35123" spans="1:2" x14ac:dyDescent="0.25">
      <c r="A35123" s="74">
        <v>39915</v>
      </c>
      <c r="B35123">
        <v>15</v>
      </c>
    </row>
    <row r="35124" spans="1:2" x14ac:dyDescent="0.25">
      <c r="A35124" s="74">
        <v>39916</v>
      </c>
      <c r="B35124">
        <v>18.2</v>
      </c>
    </row>
    <row r="35125" spans="1:2" x14ac:dyDescent="0.25">
      <c r="A35125" s="74">
        <v>39917</v>
      </c>
      <c r="B35125">
        <v>13.2</v>
      </c>
    </row>
    <row r="35126" spans="1:2" x14ac:dyDescent="0.25">
      <c r="A35126" s="74">
        <v>39918</v>
      </c>
      <c r="B35126">
        <v>10.7</v>
      </c>
    </row>
    <row r="35127" spans="1:2" x14ac:dyDescent="0.25">
      <c r="A35127" s="74">
        <v>39919</v>
      </c>
      <c r="B35127">
        <v>9.7200000000000006</v>
      </c>
    </row>
    <row r="35128" spans="1:2" x14ac:dyDescent="0.25">
      <c r="A35128" s="74">
        <v>39920</v>
      </c>
      <c r="B35128">
        <v>11.3</v>
      </c>
    </row>
    <row r="35129" spans="1:2" x14ac:dyDescent="0.25">
      <c r="A35129" s="74">
        <v>39921</v>
      </c>
      <c r="B35129">
        <v>12.8</v>
      </c>
    </row>
    <row r="35130" spans="1:2" x14ac:dyDescent="0.25">
      <c r="A35130" s="74">
        <v>39922</v>
      </c>
      <c r="B35130">
        <v>11.3</v>
      </c>
    </row>
    <row r="35131" spans="1:2" x14ac:dyDescent="0.25">
      <c r="A35131" s="74">
        <v>39923</v>
      </c>
      <c r="B35131">
        <v>13.6</v>
      </c>
    </row>
    <row r="35132" spans="1:2" x14ac:dyDescent="0.25">
      <c r="A35132" s="74">
        <v>39924</v>
      </c>
      <c r="B35132">
        <v>17.100000000000001</v>
      </c>
    </row>
    <row r="35133" spans="1:2" x14ac:dyDescent="0.25">
      <c r="A35133" s="74">
        <v>39925</v>
      </c>
      <c r="B35133">
        <v>17.5</v>
      </c>
    </row>
    <row r="35134" spans="1:2" x14ac:dyDescent="0.25">
      <c r="A35134" s="74">
        <v>39926</v>
      </c>
      <c r="B35134">
        <v>12.8</v>
      </c>
    </row>
    <row r="35135" spans="1:2" x14ac:dyDescent="0.25">
      <c r="A35135" s="74">
        <v>39927</v>
      </c>
      <c r="B35135">
        <v>10</v>
      </c>
    </row>
    <row r="35136" spans="1:2" x14ac:dyDescent="0.25">
      <c r="A35136" s="74">
        <v>39928</v>
      </c>
      <c r="B35136">
        <v>8.7200000000000006</v>
      </c>
    </row>
    <row r="35137" spans="1:2" x14ac:dyDescent="0.25">
      <c r="A35137" s="74">
        <v>39929</v>
      </c>
      <c r="B35137">
        <v>7.79</v>
      </c>
    </row>
    <row r="35138" spans="1:2" x14ac:dyDescent="0.25">
      <c r="A35138" s="74">
        <v>39930</v>
      </c>
      <c r="B35138">
        <v>7.35</v>
      </c>
    </row>
    <row r="35139" spans="1:2" x14ac:dyDescent="0.25">
      <c r="A35139" s="74">
        <v>39931</v>
      </c>
      <c r="B35139">
        <v>7.13</v>
      </c>
    </row>
    <row r="35140" spans="1:2" x14ac:dyDescent="0.25">
      <c r="A35140" s="74">
        <v>39932</v>
      </c>
      <c r="B35140">
        <v>6.56</v>
      </c>
    </row>
    <row r="35141" spans="1:2" x14ac:dyDescent="0.25">
      <c r="A35141" s="74">
        <v>39933</v>
      </c>
      <c r="B35141">
        <v>6.21</v>
      </c>
    </row>
    <row r="35142" spans="1:2" x14ac:dyDescent="0.25">
      <c r="A35142" s="74">
        <v>39934</v>
      </c>
      <c r="B35142">
        <v>6.64</v>
      </c>
    </row>
    <row r="35143" spans="1:2" x14ac:dyDescent="0.25">
      <c r="A35143" s="74">
        <v>39935</v>
      </c>
      <c r="B35143">
        <v>7.78</v>
      </c>
    </row>
    <row r="35144" spans="1:2" x14ac:dyDescent="0.25">
      <c r="A35144" s="74">
        <v>39936</v>
      </c>
      <c r="B35144">
        <v>11.4</v>
      </c>
    </row>
    <row r="35145" spans="1:2" x14ac:dyDescent="0.25">
      <c r="A35145" s="74">
        <v>39937</v>
      </c>
      <c r="B35145">
        <v>11.1</v>
      </c>
    </row>
    <row r="35146" spans="1:2" x14ac:dyDescent="0.25">
      <c r="A35146" s="74">
        <v>39938</v>
      </c>
      <c r="B35146">
        <v>38.200000000000003</v>
      </c>
    </row>
    <row r="35147" spans="1:2" x14ac:dyDescent="0.25">
      <c r="A35147" s="74">
        <v>39939</v>
      </c>
      <c r="B35147">
        <v>24.2</v>
      </c>
    </row>
    <row r="35148" spans="1:2" x14ac:dyDescent="0.25">
      <c r="A35148" s="74">
        <v>39940</v>
      </c>
      <c r="B35148">
        <v>21</v>
      </c>
    </row>
    <row r="35149" spans="1:2" x14ac:dyDescent="0.25">
      <c r="A35149" s="74">
        <v>39941</v>
      </c>
      <c r="B35149">
        <v>16.5</v>
      </c>
    </row>
    <row r="35150" spans="1:2" x14ac:dyDescent="0.25">
      <c r="A35150" s="74">
        <v>39942</v>
      </c>
      <c r="B35150">
        <v>13.5</v>
      </c>
    </row>
    <row r="35151" spans="1:2" x14ac:dyDescent="0.25">
      <c r="A35151" s="74">
        <v>39943</v>
      </c>
      <c r="B35151">
        <v>11.9</v>
      </c>
    </row>
    <row r="35152" spans="1:2" x14ac:dyDescent="0.25">
      <c r="A35152" s="74">
        <v>39944</v>
      </c>
      <c r="B35152">
        <v>11.7</v>
      </c>
    </row>
    <row r="35153" spans="1:2" x14ac:dyDescent="0.25">
      <c r="A35153" s="74">
        <v>39945</v>
      </c>
      <c r="B35153">
        <v>11.4</v>
      </c>
    </row>
    <row r="35154" spans="1:2" x14ac:dyDescent="0.25">
      <c r="A35154" s="74">
        <v>39946</v>
      </c>
      <c r="B35154">
        <v>9.43</v>
      </c>
    </row>
    <row r="35155" spans="1:2" x14ac:dyDescent="0.25">
      <c r="A35155" s="74">
        <v>39947</v>
      </c>
      <c r="B35155">
        <v>9.24</v>
      </c>
    </row>
    <row r="35156" spans="1:2" x14ac:dyDescent="0.25">
      <c r="A35156" s="74">
        <v>39948</v>
      </c>
      <c r="B35156">
        <v>9.15</v>
      </c>
    </row>
    <row r="35157" spans="1:2" x14ac:dyDescent="0.25">
      <c r="A35157" s="74">
        <v>39949</v>
      </c>
      <c r="B35157">
        <v>9.11</v>
      </c>
    </row>
    <row r="35158" spans="1:2" x14ac:dyDescent="0.25">
      <c r="A35158" s="74">
        <v>39950</v>
      </c>
      <c r="B35158">
        <v>11.8</v>
      </c>
    </row>
    <row r="35159" spans="1:2" x14ac:dyDescent="0.25">
      <c r="A35159" s="74">
        <v>39951</v>
      </c>
      <c r="B35159">
        <v>13</v>
      </c>
    </row>
    <row r="35160" spans="1:2" x14ac:dyDescent="0.25">
      <c r="A35160" s="74">
        <v>39952</v>
      </c>
      <c r="B35160">
        <v>9.9700000000000006</v>
      </c>
    </row>
    <row r="35161" spans="1:2" x14ac:dyDescent="0.25">
      <c r="A35161" s="74">
        <v>39953</v>
      </c>
      <c r="B35161">
        <v>7.86</v>
      </c>
    </row>
    <row r="35162" spans="1:2" x14ac:dyDescent="0.25">
      <c r="A35162" s="74">
        <v>39954</v>
      </c>
      <c r="B35162">
        <v>7.05</v>
      </c>
    </row>
    <row r="35163" spans="1:2" x14ac:dyDescent="0.25">
      <c r="A35163" s="74">
        <v>39955</v>
      </c>
      <c r="B35163">
        <v>6.66</v>
      </c>
    </row>
    <row r="35164" spans="1:2" x14ac:dyDescent="0.25">
      <c r="A35164" s="74">
        <v>39956</v>
      </c>
      <c r="B35164">
        <v>6.85</v>
      </c>
    </row>
    <row r="35165" spans="1:2" x14ac:dyDescent="0.25">
      <c r="A35165" s="74">
        <v>39957</v>
      </c>
      <c r="B35165">
        <v>7.56</v>
      </c>
    </row>
    <row r="35166" spans="1:2" x14ac:dyDescent="0.25">
      <c r="A35166" s="74">
        <v>39958</v>
      </c>
      <c r="B35166">
        <v>7.98</v>
      </c>
    </row>
    <row r="35167" spans="1:2" x14ac:dyDescent="0.25">
      <c r="A35167" s="74">
        <v>39959</v>
      </c>
      <c r="B35167">
        <v>9.6</v>
      </c>
    </row>
    <row r="35168" spans="1:2" x14ac:dyDescent="0.25">
      <c r="A35168" s="74">
        <v>39960</v>
      </c>
      <c r="B35168">
        <v>8.66</v>
      </c>
    </row>
    <row r="35169" spans="1:2" x14ac:dyDescent="0.25">
      <c r="A35169" s="74">
        <v>39961</v>
      </c>
      <c r="B35169">
        <v>6.32</v>
      </c>
    </row>
    <row r="35170" spans="1:2" x14ac:dyDescent="0.25">
      <c r="A35170" s="74">
        <v>39962</v>
      </c>
      <c r="B35170">
        <v>6.45</v>
      </c>
    </row>
    <row r="35171" spans="1:2" x14ac:dyDescent="0.25">
      <c r="A35171" s="74">
        <v>39963</v>
      </c>
      <c r="B35171">
        <v>7.2</v>
      </c>
    </row>
    <row r="35172" spans="1:2" x14ac:dyDescent="0.25">
      <c r="A35172" s="74">
        <v>39964</v>
      </c>
      <c r="B35172">
        <v>6.37</v>
      </c>
    </row>
    <row r="35173" spans="1:2" x14ac:dyDescent="0.25">
      <c r="A35173" s="74">
        <v>39965</v>
      </c>
      <c r="B35173">
        <v>6.21</v>
      </c>
    </row>
    <row r="35174" spans="1:2" x14ac:dyDescent="0.25">
      <c r="A35174" s="74">
        <v>39966</v>
      </c>
      <c r="B35174">
        <v>6.11</v>
      </c>
    </row>
    <row r="35175" spans="1:2" x14ac:dyDescent="0.25">
      <c r="A35175" s="74">
        <v>39967</v>
      </c>
      <c r="B35175">
        <v>6.05</v>
      </c>
    </row>
    <row r="35176" spans="1:2" x14ac:dyDescent="0.25">
      <c r="A35176" s="74">
        <v>39968</v>
      </c>
      <c r="B35176">
        <v>5.83</v>
      </c>
    </row>
    <row r="35177" spans="1:2" x14ac:dyDescent="0.25">
      <c r="A35177" s="74">
        <v>39969</v>
      </c>
      <c r="B35177">
        <v>5.55</v>
      </c>
    </row>
    <row r="35178" spans="1:2" x14ac:dyDescent="0.25">
      <c r="A35178" s="74">
        <v>39970</v>
      </c>
      <c r="B35178">
        <v>5.24</v>
      </c>
    </row>
    <row r="35179" spans="1:2" x14ac:dyDescent="0.25">
      <c r="A35179" s="74">
        <v>39971</v>
      </c>
      <c r="B35179">
        <v>4.4000000000000004</v>
      </c>
    </row>
    <row r="35180" spans="1:2" x14ac:dyDescent="0.25">
      <c r="A35180" s="74">
        <v>39972</v>
      </c>
      <c r="B35180">
        <v>3.87</v>
      </c>
    </row>
    <row r="35181" spans="1:2" x14ac:dyDescent="0.25">
      <c r="A35181" s="74">
        <v>39973</v>
      </c>
      <c r="B35181">
        <v>3.58</v>
      </c>
    </row>
    <row r="35182" spans="1:2" x14ac:dyDescent="0.25">
      <c r="A35182" s="74">
        <v>39974</v>
      </c>
      <c r="B35182">
        <v>3.35</v>
      </c>
    </row>
    <row r="35183" spans="1:2" x14ac:dyDescent="0.25">
      <c r="A35183" s="74">
        <v>39975</v>
      </c>
      <c r="B35183">
        <v>3.25</v>
      </c>
    </row>
    <row r="35184" spans="1:2" x14ac:dyDescent="0.25">
      <c r="A35184" s="74">
        <v>39976</v>
      </c>
      <c r="B35184">
        <v>3.16</v>
      </c>
    </row>
    <row r="35185" spans="1:2" x14ac:dyDescent="0.25">
      <c r="A35185" s="74">
        <v>39977</v>
      </c>
      <c r="B35185">
        <v>2.98</v>
      </c>
    </row>
    <row r="35186" spans="1:2" x14ac:dyDescent="0.25">
      <c r="A35186" s="74">
        <v>39978</v>
      </c>
      <c r="B35186">
        <v>2.85</v>
      </c>
    </row>
    <row r="35187" spans="1:2" x14ac:dyDescent="0.25">
      <c r="A35187" s="74">
        <v>39979</v>
      </c>
      <c r="B35187">
        <v>2.63</v>
      </c>
    </row>
    <row r="35188" spans="1:2" x14ac:dyDescent="0.25">
      <c r="A35188" s="74">
        <v>39980</v>
      </c>
      <c r="B35188">
        <v>2.42</v>
      </c>
    </row>
    <row r="35189" spans="1:2" x14ac:dyDescent="0.25">
      <c r="A35189" s="74">
        <v>39981</v>
      </c>
      <c r="B35189">
        <v>2.2400000000000002</v>
      </c>
    </row>
    <row r="35190" spans="1:2" x14ac:dyDescent="0.25">
      <c r="A35190" s="74">
        <v>39982</v>
      </c>
      <c r="B35190">
        <v>2.16</v>
      </c>
    </row>
    <row r="35191" spans="1:2" x14ac:dyDescent="0.25">
      <c r="A35191" s="74">
        <v>39983</v>
      </c>
      <c r="B35191">
        <v>1.99</v>
      </c>
    </row>
    <row r="35192" spans="1:2" x14ac:dyDescent="0.25">
      <c r="A35192" s="74">
        <v>39984</v>
      </c>
      <c r="B35192">
        <v>1.76</v>
      </c>
    </row>
    <row r="35193" spans="1:2" x14ac:dyDescent="0.25">
      <c r="A35193" s="74">
        <v>39985</v>
      </c>
      <c r="B35193">
        <v>1.56</v>
      </c>
    </row>
    <row r="35194" spans="1:2" x14ac:dyDescent="0.25">
      <c r="A35194" s="74">
        <v>39986</v>
      </c>
      <c r="B35194">
        <v>1.4</v>
      </c>
    </row>
    <row r="35195" spans="1:2" x14ac:dyDescent="0.25">
      <c r="A35195" s="74">
        <v>39987</v>
      </c>
      <c r="B35195">
        <v>1.3</v>
      </c>
    </row>
    <row r="35196" spans="1:2" x14ac:dyDescent="0.25">
      <c r="A35196" s="74">
        <v>39988</v>
      </c>
      <c r="B35196">
        <v>1.38</v>
      </c>
    </row>
    <row r="35197" spans="1:2" x14ac:dyDescent="0.25">
      <c r="A35197" s="74">
        <v>39989</v>
      </c>
      <c r="B35197">
        <v>2.1800000000000002</v>
      </c>
    </row>
    <row r="35198" spans="1:2" x14ac:dyDescent="0.25">
      <c r="A35198" s="74">
        <v>39990</v>
      </c>
      <c r="B35198">
        <v>2.15</v>
      </c>
    </row>
    <row r="35199" spans="1:2" x14ac:dyDescent="0.25">
      <c r="A35199" s="74">
        <v>39991</v>
      </c>
      <c r="B35199">
        <v>1.78</v>
      </c>
    </row>
    <row r="35200" spans="1:2" x14ac:dyDescent="0.25">
      <c r="A35200" s="74">
        <v>39992</v>
      </c>
      <c r="B35200">
        <v>1.61</v>
      </c>
    </row>
    <row r="35201" spans="1:2" x14ac:dyDescent="0.25">
      <c r="A35201" s="74">
        <v>39993</v>
      </c>
      <c r="B35201">
        <v>1.41</v>
      </c>
    </row>
    <row r="35202" spans="1:2" x14ac:dyDescent="0.25">
      <c r="A35202" s="74">
        <v>39994</v>
      </c>
      <c r="B35202">
        <v>1.26</v>
      </c>
    </row>
    <row r="35203" spans="1:2" x14ac:dyDescent="0.25">
      <c r="A35203" s="74">
        <v>39995</v>
      </c>
      <c r="B35203">
        <v>1.26</v>
      </c>
    </row>
    <row r="35204" spans="1:2" x14ac:dyDescent="0.25">
      <c r="A35204" s="74">
        <v>39996</v>
      </c>
      <c r="B35204">
        <v>1.27</v>
      </c>
    </row>
    <row r="35205" spans="1:2" x14ac:dyDescent="0.25">
      <c r="A35205" s="74">
        <v>39997</v>
      </c>
      <c r="B35205">
        <v>1.2</v>
      </c>
    </row>
    <row r="35206" spans="1:2" x14ac:dyDescent="0.25">
      <c r="A35206" s="74">
        <v>39998</v>
      </c>
      <c r="B35206">
        <v>1.22</v>
      </c>
    </row>
    <row r="35207" spans="1:2" x14ac:dyDescent="0.25">
      <c r="A35207" s="74">
        <v>39999</v>
      </c>
      <c r="B35207">
        <v>1.23</v>
      </c>
    </row>
    <row r="35208" spans="1:2" x14ac:dyDescent="0.25">
      <c r="A35208" s="74">
        <v>40000</v>
      </c>
      <c r="B35208">
        <v>1.3</v>
      </c>
    </row>
    <row r="35209" spans="1:2" x14ac:dyDescent="0.25">
      <c r="A35209" s="74">
        <v>40001</v>
      </c>
      <c r="B35209">
        <v>1.31</v>
      </c>
    </row>
    <row r="35210" spans="1:2" x14ac:dyDescent="0.25">
      <c r="A35210" s="74">
        <v>40002</v>
      </c>
      <c r="B35210">
        <v>1.43</v>
      </c>
    </row>
    <row r="35211" spans="1:2" x14ac:dyDescent="0.25">
      <c r="A35211" s="74">
        <v>40003</v>
      </c>
      <c r="B35211">
        <v>1.19</v>
      </c>
    </row>
    <row r="35212" spans="1:2" x14ac:dyDescent="0.25">
      <c r="A35212" s="74">
        <v>40004</v>
      </c>
      <c r="B35212">
        <v>1.27</v>
      </c>
    </row>
    <row r="35213" spans="1:2" x14ac:dyDescent="0.25">
      <c r="A35213" s="74">
        <v>40005</v>
      </c>
      <c r="B35213">
        <v>1.3</v>
      </c>
    </row>
    <row r="35214" spans="1:2" x14ac:dyDescent="0.25">
      <c r="A35214" s="74">
        <v>40006</v>
      </c>
      <c r="B35214">
        <v>1.27</v>
      </c>
    </row>
    <row r="35215" spans="1:2" x14ac:dyDescent="0.25">
      <c r="A35215" s="74">
        <v>40007</v>
      </c>
      <c r="B35215">
        <v>1.34</v>
      </c>
    </row>
    <row r="35216" spans="1:2" x14ac:dyDescent="0.25">
      <c r="A35216" s="74">
        <v>40008</v>
      </c>
      <c r="B35216">
        <v>1.31</v>
      </c>
    </row>
    <row r="35217" spans="1:2" x14ac:dyDescent="0.25">
      <c r="A35217" s="74">
        <v>40009</v>
      </c>
      <c r="B35217">
        <v>1.1299999999999999</v>
      </c>
    </row>
    <row r="35218" spans="1:2" x14ac:dyDescent="0.25">
      <c r="A35218" s="74">
        <v>40010</v>
      </c>
      <c r="B35218">
        <v>1.1299999999999999</v>
      </c>
    </row>
    <row r="35219" spans="1:2" x14ac:dyDescent="0.25">
      <c r="A35219" s="74">
        <v>40011</v>
      </c>
      <c r="B35219">
        <v>1.21</v>
      </c>
    </row>
    <row r="35220" spans="1:2" x14ac:dyDescent="0.25">
      <c r="A35220" s="74">
        <v>40012</v>
      </c>
      <c r="B35220">
        <v>1.3</v>
      </c>
    </row>
    <row r="35221" spans="1:2" x14ac:dyDescent="0.25">
      <c r="A35221" s="74">
        <v>40013</v>
      </c>
      <c r="B35221">
        <v>1.35</v>
      </c>
    </row>
    <row r="35222" spans="1:2" x14ac:dyDescent="0.25">
      <c r="A35222" s="74">
        <v>40014</v>
      </c>
      <c r="B35222">
        <v>1.38</v>
      </c>
    </row>
    <row r="35223" spans="1:2" x14ac:dyDescent="0.25">
      <c r="A35223" s="74">
        <v>40015</v>
      </c>
      <c r="B35223">
        <v>1.39</v>
      </c>
    </row>
    <row r="35224" spans="1:2" x14ac:dyDescent="0.25">
      <c r="A35224" s="74">
        <v>40016</v>
      </c>
      <c r="B35224">
        <v>1.31</v>
      </c>
    </row>
    <row r="35225" spans="1:2" x14ac:dyDescent="0.25">
      <c r="A35225" s="74">
        <v>40017</v>
      </c>
      <c r="B35225">
        <v>1.28</v>
      </c>
    </row>
    <row r="35226" spans="1:2" x14ac:dyDescent="0.25">
      <c r="A35226" s="74">
        <v>40018</v>
      </c>
      <c r="B35226">
        <v>1.26</v>
      </c>
    </row>
    <row r="35227" spans="1:2" x14ac:dyDescent="0.25">
      <c r="A35227" s="74">
        <v>40019</v>
      </c>
      <c r="B35227">
        <v>1.26</v>
      </c>
    </row>
    <row r="35228" spans="1:2" x14ac:dyDescent="0.25">
      <c r="A35228" s="74">
        <v>40020</v>
      </c>
      <c r="B35228">
        <v>1.26</v>
      </c>
    </row>
    <row r="35229" spans="1:2" x14ac:dyDescent="0.25">
      <c r="A35229" s="74">
        <v>40021</v>
      </c>
      <c r="B35229">
        <v>1.23</v>
      </c>
    </row>
    <row r="35230" spans="1:2" x14ac:dyDescent="0.25">
      <c r="A35230" s="74">
        <v>40022</v>
      </c>
      <c r="B35230">
        <v>1.23</v>
      </c>
    </row>
    <row r="35231" spans="1:2" x14ac:dyDescent="0.25">
      <c r="A35231" s="74">
        <v>40023</v>
      </c>
      <c r="B35231">
        <v>1.22</v>
      </c>
    </row>
    <row r="35232" spans="1:2" x14ac:dyDescent="0.25">
      <c r="A35232" s="74">
        <v>40024</v>
      </c>
      <c r="B35232">
        <v>1.19</v>
      </c>
    </row>
    <row r="35233" spans="1:2" x14ac:dyDescent="0.25">
      <c r="A35233" s="74">
        <v>40025</v>
      </c>
      <c r="B35233">
        <v>1.27</v>
      </c>
    </row>
    <row r="35234" spans="1:2" x14ac:dyDescent="0.25">
      <c r="A35234" s="74">
        <v>40026</v>
      </c>
      <c r="B35234">
        <v>1.25</v>
      </c>
    </row>
    <row r="35235" spans="1:2" x14ac:dyDescent="0.25">
      <c r="A35235" s="74">
        <v>40027</v>
      </c>
      <c r="B35235">
        <v>1.23</v>
      </c>
    </row>
    <row r="35236" spans="1:2" x14ac:dyDescent="0.25">
      <c r="A35236" s="74">
        <v>40028</v>
      </c>
      <c r="B35236">
        <v>1.22</v>
      </c>
    </row>
    <row r="35237" spans="1:2" x14ac:dyDescent="0.25">
      <c r="A35237" s="74">
        <v>40029</v>
      </c>
      <c r="B35237">
        <v>1.21</v>
      </c>
    </row>
    <row r="35238" spans="1:2" x14ac:dyDescent="0.25">
      <c r="A35238" s="74">
        <v>40030</v>
      </c>
      <c r="B35238">
        <v>1.26</v>
      </c>
    </row>
    <row r="35239" spans="1:2" x14ac:dyDescent="0.25">
      <c r="A35239" s="74">
        <v>40031</v>
      </c>
      <c r="B35239">
        <v>1.23</v>
      </c>
    </row>
    <row r="35240" spans="1:2" x14ac:dyDescent="0.25">
      <c r="A35240" s="74">
        <v>40032</v>
      </c>
      <c r="B35240">
        <v>1.23</v>
      </c>
    </row>
    <row r="35241" spans="1:2" x14ac:dyDescent="0.25">
      <c r="A35241" s="74">
        <v>40033</v>
      </c>
      <c r="B35241">
        <v>1.25</v>
      </c>
    </row>
    <row r="35242" spans="1:2" x14ac:dyDescent="0.25">
      <c r="A35242" s="74">
        <v>40034</v>
      </c>
      <c r="B35242">
        <v>1.24</v>
      </c>
    </row>
    <row r="35243" spans="1:2" x14ac:dyDescent="0.25">
      <c r="A35243" s="74">
        <v>40035</v>
      </c>
      <c r="B35243">
        <v>1.24</v>
      </c>
    </row>
    <row r="35244" spans="1:2" x14ac:dyDescent="0.25">
      <c r="A35244" s="74">
        <v>40036</v>
      </c>
      <c r="B35244">
        <v>1.34</v>
      </c>
    </row>
    <row r="35245" spans="1:2" x14ac:dyDescent="0.25">
      <c r="A35245" s="74">
        <v>40037</v>
      </c>
      <c r="B35245">
        <v>1.32</v>
      </c>
    </row>
    <row r="35246" spans="1:2" x14ac:dyDescent="0.25">
      <c r="A35246" s="74">
        <v>40038</v>
      </c>
      <c r="B35246">
        <v>1.34</v>
      </c>
    </row>
    <row r="35247" spans="1:2" x14ac:dyDescent="0.25">
      <c r="A35247" s="74">
        <v>40039</v>
      </c>
      <c r="B35247">
        <v>1.35</v>
      </c>
    </row>
    <row r="35248" spans="1:2" x14ac:dyDescent="0.25">
      <c r="A35248" s="74">
        <v>40040</v>
      </c>
      <c r="B35248">
        <v>1.29</v>
      </c>
    </row>
    <row r="35249" spans="1:2" x14ac:dyDescent="0.25">
      <c r="A35249" s="74">
        <v>40041</v>
      </c>
      <c r="B35249">
        <v>1.27</v>
      </c>
    </row>
    <row r="35250" spans="1:2" x14ac:dyDescent="0.25">
      <c r="A35250" s="74">
        <v>40042</v>
      </c>
      <c r="B35250">
        <v>1.25</v>
      </c>
    </row>
    <row r="35251" spans="1:2" x14ac:dyDescent="0.25">
      <c r="A35251" s="74">
        <v>40043</v>
      </c>
      <c r="B35251">
        <v>1.24</v>
      </c>
    </row>
    <row r="35252" spans="1:2" x14ac:dyDescent="0.25">
      <c r="A35252" s="74">
        <v>40044</v>
      </c>
      <c r="B35252">
        <v>1.24</v>
      </c>
    </row>
    <row r="35253" spans="1:2" x14ac:dyDescent="0.25">
      <c r="A35253" s="74">
        <v>40045</v>
      </c>
      <c r="B35253">
        <v>1.22</v>
      </c>
    </row>
    <row r="35254" spans="1:2" x14ac:dyDescent="0.25">
      <c r="A35254" s="74">
        <v>40046</v>
      </c>
      <c r="B35254">
        <v>1.23</v>
      </c>
    </row>
    <row r="35255" spans="1:2" x14ac:dyDescent="0.25">
      <c r="A35255" s="74">
        <v>40047</v>
      </c>
      <c r="B35255">
        <v>1.22</v>
      </c>
    </row>
    <row r="35256" spans="1:2" x14ac:dyDescent="0.25">
      <c r="A35256" s="74">
        <v>40048</v>
      </c>
      <c r="B35256">
        <v>1.22</v>
      </c>
    </row>
    <row r="35257" spans="1:2" x14ac:dyDescent="0.25">
      <c r="A35257" s="74">
        <v>40049</v>
      </c>
      <c r="B35257">
        <v>1.3</v>
      </c>
    </row>
    <row r="35258" spans="1:2" x14ac:dyDescent="0.25">
      <c r="A35258" s="74">
        <v>40050</v>
      </c>
      <c r="B35258">
        <v>1.29</v>
      </c>
    </row>
    <row r="35259" spans="1:2" x14ac:dyDescent="0.25">
      <c r="A35259" s="74">
        <v>40051</v>
      </c>
      <c r="B35259">
        <v>1.25</v>
      </c>
    </row>
    <row r="35260" spans="1:2" x14ac:dyDescent="0.25">
      <c r="A35260" s="74">
        <v>40052</v>
      </c>
      <c r="B35260">
        <v>1.2</v>
      </c>
    </row>
    <row r="35261" spans="1:2" x14ac:dyDescent="0.25">
      <c r="A35261" s="74">
        <v>40053</v>
      </c>
      <c r="B35261">
        <v>1.29</v>
      </c>
    </row>
    <row r="35262" spans="1:2" x14ac:dyDescent="0.25">
      <c r="A35262" s="74">
        <v>40054</v>
      </c>
      <c r="B35262">
        <v>1.27</v>
      </c>
    </row>
    <row r="35263" spans="1:2" x14ac:dyDescent="0.25">
      <c r="A35263" s="74">
        <v>40055</v>
      </c>
      <c r="B35263">
        <v>1.26</v>
      </c>
    </row>
    <row r="35264" spans="1:2" x14ac:dyDescent="0.25">
      <c r="A35264" s="74">
        <v>40056</v>
      </c>
      <c r="B35264">
        <v>1.24</v>
      </c>
    </row>
    <row r="35265" spans="1:2" x14ac:dyDescent="0.25">
      <c r="A35265" s="74">
        <v>40057</v>
      </c>
      <c r="B35265">
        <v>1.3</v>
      </c>
    </row>
    <row r="35266" spans="1:2" x14ac:dyDescent="0.25">
      <c r="A35266" s="74">
        <v>40058</v>
      </c>
      <c r="B35266">
        <v>1.29</v>
      </c>
    </row>
    <row r="35267" spans="1:2" x14ac:dyDescent="0.25">
      <c r="A35267" s="74">
        <v>40059</v>
      </c>
      <c r="B35267">
        <v>1.31</v>
      </c>
    </row>
    <row r="35268" spans="1:2" x14ac:dyDescent="0.25">
      <c r="A35268" s="74">
        <v>40060</v>
      </c>
      <c r="B35268">
        <v>1.25</v>
      </c>
    </row>
    <row r="35269" spans="1:2" x14ac:dyDescent="0.25">
      <c r="A35269" s="74">
        <v>40061</v>
      </c>
      <c r="B35269">
        <v>1.41</v>
      </c>
    </row>
    <row r="35270" spans="1:2" x14ac:dyDescent="0.25">
      <c r="A35270" s="74">
        <v>40062</v>
      </c>
      <c r="B35270">
        <v>1.47</v>
      </c>
    </row>
    <row r="35271" spans="1:2" x14ac:dyDescent="0.25">
      <c r="A35271" s="74">
        <v>40063</v>
      </c>
      <c r="B35271">
        <v>1.48</v>
      </c>
    </row>
    <row r="35272" spans="1:2" x14ac:dyDescent="0.25">
      <c r="A35272" s="74">
        <v>40064</v>
      </c>
      <c r="B35272">
        <v>1.46</v>
      </c>
    </row>
    <row r="35273" spans="1:2" x14ac:dyDescent="0.25">
      <c r="A35273" s="74">
        <v>40065</v>
      </c>
      <c r="B35273">
        <v>1.89</v>
      </c>
    </row>
    <row r="35274" spans="1:2" x14ac:dyDescent="0.25">
      <c r="A35274" s="74">
        <v>40066</v>
      </c>
      <c r="B35274">
        <v>2.2200000000000002</v>
      </c>
    </row>
    <row r="35275" spans="1:2" x14ac:dyDescent="0.25">
      <c r="A35275" s="74">
        <v>40067</v>
      </c>
      <c r="B35275">
        <v>2.17</v>
      </c>
    </row>
    <row r="35276" spans="1:2" x14ac:dyDescent="0.25">
      <c r="A35276" s="74">
        <v>40068</v>
      </c>
      <c r="B35276">
        <v>1.97</v>
      </c>
    </row>
    <row r="35277" spans="1:2" x14ac:dyDescent="0.25">
      <c r="A35277" s="74">
        <v>40069</v>
      </c>
      <c r="B35277">
        <v>1.88</v>
      </c>
    </row>
    <row r="35278" spans="1:2" x14ac:dyDescent="0.25">
      <c r="A35278" s="74">
        <v>40070</v>
      </c>
      <c r="B35278">
        <v>1.79</v>
      </c>
    </row>
    <row r="35279" spans="1:2" x14ac:dyDescent="0.25">
      <c r="A35279" s="74">
        <v>40071</v>
      </c>
      <c r="B35279">
        <v>1.71</v>
      </c>
    </row>
    <row r="35280" spans="1:2" x14ac:dyDescent="0.25">
      <c r="A35280" s="74">
        <v>40072</v>
      </c>
      <c r="B35280">
        <v>1.66</v>
      </c>
    </row>
    <row r="35281" spans="1:2" x14ac:dyDescent="0.25">
      <c r="A35281" s="74">
        <v>40073</v>
      </c>
      <c r="B35281">
        <v>1.6</v>
      </c>
    </row>
    <row r="35282" spans="1:2" x14ac:dyDescent="0.25">
      <c r="A35282" s="74">
        <v>40074</v>
      </c>
      <c r="B35282">
        <v>1.58</v>
      </c>
    </row>
    <row r="35283" spans="1:2" x14ac:dyDescent="0.25">
      <c r="A35283" s="74">
        <v>40075</v>
      </c>
      <c r="B35283">
        <v>1.56</v>
      </c>
    </row>
    <row r="35284" spans="1:2" x14ac:dyDescent="0.25">
      <c r="A35284" s="74">
        <v>40076</v>
      </c>
      <c r="B35284">
        <v>1.55</v>
      </c>
    </row>
    <row r="35285" spans="1:2" x14ac:dyDescent="0.25">
      <c r="A35285" s="74">
        <v>40077</v>
      </c>
      <c r="B35285">
        <v>1.51</v>
      </c>
    </row>
    <row r="35286" spans="1:2" x14ac:dyDescent="0.25">
      <c r="A35286" s="74">
        <v>40078</v>
      </c>
      <c r="B35286">
        <v>1.45</v>
      </c>
    </row>
    <row r="35287" spans="1:2" x14ac:dyDescent="0.25">
      <c r="A35287" s="74">
        <v>40079</v>
      </c>
      <c r="B35287">
        <v>1.38</v>
      </c>
    </row>
    <row r="35288" spans="1:2" x14ac:dyDescent="0.25">
      <c r="A35288" s="74">
        <v>40080</v>
      </c>
      <c r="B35288">
        <v>1.32</v>
      </c>
    </row>
    <row r="35289" spans="1:2" x14ac:dyDescent="0.25">
      <c r="A35289" s="74">
        <v>40081</v>
      </c>
      <c r="B35289">
        <v>1.25</v>
      </c>
    </row>
    <row r="35290" spans="1:2" x14ac:dyDescent="0.25">
      <c r="A35290" s="74">
        <v>40082</v>
      </c>
      <c r="B35290">
        <v>1.19</v>
      </c>
    </row>
    <row r="35291" spans="1:2" x14ac:dyDescent="0.25">
      <c r="A35291" s="74">
        <v>40083</v>
      </c>
      <c r="B35291">
        <v>1.1000000000000001</v>
      </c>
    </row>
    <row r="35292" spans="1:2" x14ac:dyDescent="0.25">
      <c r="A35292" s="74">
        <v>40084</v>
      </c>
      <c r="B35292">
        <v>1.04</v>
      </c>
    </row>
    <row r="35293" spans="1:2" x14ac:dyDescent="0.25">
      <c r="A35293" s="74">
        <v>40085</v>
      </c>
      <c r="B35293">
        <v>1.1399999999999999</v>
      </c>
    </row>
    <row r="35294" spans="1:2" x14ac:dyDescent="0.25">
      <c r="A35294" s="74">
        <v>40086</v>
      </c>
      <c r="B35294">
        <v>1.05</v>
      </c>
    </row>
    <row r="35295" spans="1:2" x14ac:dyDescent="0.25">
      <c r="A35295" s="74">
        <v>40087</v>
      </c>
      <c r="B35295">
        <v>0.97399999999999998</v>
      </c>
    </row>
    <row r="35296" spans="1:2" x14ac:dyDescent="0.25">
      <c r="A35296" s="74">
        <v>40088</v>
      </c>
      <c r="B35296">
        <v>0.92500000000000004</v>
      </c>
    </row>
    <row r="35297" spans="1:2" x14ac:dyDescent="0.25">
      <c r="A35297" s="74">
        <v>40089</v>
      </c>
      <c r="B35297">
        <v>0.89700000000000002</v>
      </c>
    </row>
    <row r="35298" spans="1:2" x14ac:dyDescent="0.25">
      <c r="A35298" s="74">
        <v>40090</v>
      </c>
      <c r="B35298">
        <v>0.875</v>
      </c>
    </row>
    <row r="35299" spans="1:2" x14ac:dyDescent="0.25">
      <c r="A35299" s="74">
        <v>40091</v>
      </c>
      <c r="B35299">
        <v>0.83099999999999996</v>
      </c>
    </row>
    <row r="35300" spans="1:2" x14ac:dyDescent="0.25">
      <c r="A35300" s="74">
        <v>40092</v>
      </c>
      <c r="B35300">
        <v>0.82</v>
      </c>
    </row>
    <row r="35301" spans="1:2" x14ac:dyDescent="0.25">
      <c r="A35301" s="74">
        <v>40093</v>
      </c>
      <c r="B35301">
        <v>0.82799999999999996</v>
      </c>
    </row>
    <row r="35302" spans="1:2" x14ac:dyDescent="0.25">
      <c r="A35302" s="74">
        <v>40094</v>
      </c>
      <c r="B35302">
        <v>0.80400000000000005</v>
      </c>
    </row>
    <row r="35303" spans="1:2" x14ac:dyDescent="0.25">
      <c r="A35303" s="74">
        <v>40095</v>
      </c>
      <c r="B35303">
        <v>0.82099999999999995</v>
      </c>
    </row>
    <row r="35304" spans="1:2" x14ac:dyDescent="0.25">
      <c r="A35304" s="74">
        <v>40096</v>
      </c>
      <c r="B35304">
        <v>0.80200000000000005</v>
      </c>
    </row>
    <row r="35305" spans="1:2" x14ac:dyDescent="0.25">
      <c r="A35305" s="74">
        <v>40097</v>
      </c>
      <c r="B35305">
        <v>0.76800000000000002</v>
      </c>
    </row>
    <row r="35306" spans="1:2" x14ac:dyDescent="0.25">
      <c r="A35306" s="74">
        <v>40098</v>
      </c>
      <c r="B35306">
        <v>0.76400000000000001</v>
      </c>
    </row>
    <row r="35307" spans="1:2" x14ac:dyDescent="0.25">
      <c r="A35307" s="74">
        <v>40099</v>
      </c>
      <c r="B35307">
        <v>0.77700000000000002</v>
      </c>
    </row>
    <row r="35308" spans="1:2" x14ac:dyDescent="0.25">
      <c r="A35308" s="74">
        <v>40100</v>
      </c>
      <c r="B35308">
        <v>0.94699999999999995</v>
      </c>
    </row>
    <row r="35309" spans="1:2" x14ac:dyDescent="0.25">
      <c r="A35309" s="74">
        <v>40101</v>
      </c>
      <c r="B35309">
        <v>1.77</v>
      </c>
    </row>
    <row r="35310" spans="1:2" x14ac:dyDescent="0.25">
      <c r="A35310" s="74">
        <v>40102</v>
      </c>
      <c r="B35310">
        <v>7.47</v>
      </c>
    </row>
    <row r="35311" spans="1:2" x14ac:dyDescent="0.25">
      <c r="A35311" s="74">
        <v>40103</v>
      </c>
      <c r="B35311">
        <v>9.9600000000000009</v>
      </c>
    </row>
    <row r="35312" spans="1:2" x14ac:dyDescent="0.25">
      <c r="A35312" s="74">
        <v>40104</v>
      </c>
      <c r="B35312">
        <v>12.8</v>
      </c>
    </row>
    <row r="35313" spans="1:2" x14ac:dyDescent="0.25">
      <c r="A35313" s="74">
        <v>40105</v>
      </c>
      <c r="B35313">
        <v>6.53</v>
      </c>
    </row>
    <row r="35314" spans="1:2" x14ac:dyDescent="0.25">
      <c r="A35314" s="74">
        <v>40106</v>
      </c>
      <c r="B35314">
        <v>4.25</v>
      </c>
    </row>
    <row r="35315" spans="1:2" x14ac:dyDescent="0.25">
      <c r="A35315" s="74">
        <v>40107</v>
      </c>
      <c r="B35315">
        <v>3.63</v>
      </c>
    </row>
    <row r="35316" spans="1:2" x14ac:dyDescent="0.25">
      <c r="A35316" s="74">
        <v>40108</v>
      </c>
      <c r="B35316">
        <v>4.3499999999999996</v>
      </c>
    </row>
    <row r="35317" spans="1:2" x14ac:dyDescent="0.25">
      <c r="A35317" s="74">
        <v>40109</v>
      </c>
      <c r="B35317">
        <v>4.63</v>
      </c>
    </row>
    <row r="35318" spans="1:2" x14ac:dyDescent="0.25">
      <c r="A35318" s="74">
        <v>40110</v>
      </c>
      <c r="B35318">
        <v>5.45</v>
      </c>
    </row>
    <row r="35319" spans="1:2" x14ac:dyDescent="0.25">
      <c r="A35319" s="74">
        <v>40111</v>
      </c>
      <c r="B35319">
        <v>4.43</v>
      </c>
    </row>
    <row r="35320" spans="1:2" x14ac:dyDescent="0.25">
      <c r="A35320" s="74">
        <v>40112</v>
      </c>
      <c r="B35320">
        <v>9.06</v>
      </c>
    </row>
    <row r="35321" spans="1:2" x14ac:dyDescent="0.25">
      <c r="A35321" s="74">
        <v>40113</v>
      </c>
      <c r="B35321">
        <v>8.82</v>
      </c>
    </row>
    <row r="35322" spans="1:2" x14ac:dyDescent="0.25">
      <c r="A35322" s="74">
        <v>40114</v>
      </c>
      <c r="B35322">
        <v>6.1</v>
      </c>
    </row>
    <row r="35323" spans="1:2" x14ac:dyDescent="0.25">
      <c r="A35323" s="74">
        <v>40115</v>
      </c>
      <c r="B35323">
        <v>5.58</v>
      </c>
    </row>
    <row r="35324" spans="1:2" x14ac:dyDescent="0.25">
      <c r="A35324" s="74">
        <v>40116</v>
      </c>
      <c r="B35324">
        <v>13.5</v>
      </c>
    </row>
    <row r="35325" spans="1:2" x14ac:dyDescent="0.25">
      <c r="A35325" s="74">
        <v>40117</v>
      </c>
      <c r="B35325">
        <v>46.8</v>
      </c>
    </row>
    <row r="35326" spans="1:2" x14ac:dyDescent="0.25">
      <c r="A35326" s="74">
        <v>40118</v>
      </c>
      <c r="B35326">
        <v>17.899999999999999</v>
      </c>
    </row>
    <row r="35327" spans="1:2" x14ac:dyDescent="0.25">
      <c r="A35327" s="74">
        <v>40119</v>
      </c>
      <c r="B35327">
        <v>11.5</v>
      </c>
    </row>
    <row r="35328" spans="1:2" x14ac:dyDescent="0.25">
      <c r="A35328" s="74">
        <v>40120</v>
      </c>
      <c r="B35328">
        <v>8.41</v>
      </c>
    </row>
    <row r="35329" spans="1:3" x14ac:dyDescent="0.25">
      <c r="A35329" s="74">
        <v>40121</v>
      </c>
      <c r="B35329">
        <v>6.67</v>
      </c>
    </row>
    <row r="35330" spans="1:3" x14ac:dyDescent="0.25">
      <c r="A35330" s="74">
        <v>40122</v>
      </c>
      <c r="B35330">
        <v>36.799999999999997</v>
      </c>
    </row>
    <row r="35331" spans="1:3" x14ac:dyDescent="0.25">
      <c r="A35331" s="74">
        <v>40123</v>
      </c>
      <c r="B35331">
        <v>58.3</v>
      </c>
    </row>
    <row r="35332" spans="1:3" x14ac:dyDescent="0.25">
      <c r="A35332" s="74">
        <v>40124</v>
      </c>
      <c r="B35332">
        <v>40.700000000000003</v>
      </c>
    </row>
    <row r="35333" spans="1:3" x14ac:dyDescent="0.25">
      <c r="A35333" s="74">
        <v>40125</v>
      </c>
      <c r="B35333">
        <v>26.5</v>
      </c>
    </row>
    <row r="35334" spans="1:3" x14ac:dyDescent="0.25">
      <c r="A35334" s="74">
        <v>40126</v>
      </c>
      <c r="B35334">
        <v>77.2</v>
      </c>
    </row>
    <row r="35335" spans="1:3" x14ac:dyDescent="0.25">
      <c r="A35335" s="74">
        <v>40127</v>
      </c>
      <c r="B35335">
        <v>48.1</v>
      </c>
    </row>
    <row r="35336" spans="1:3" x14ac:dyDescent="0.25">
      <c r="A35336" s="74">
        <v>40128</v>
      </c>
      <c r="B35336">
        <v>27.3</v>
      </c>
    </row>
    <row r="35337" spans="1:3" x14ac:dyDescent="0.25">
      <c r="A35337" s="74">
        <v>40129</v>
      </c>
      <c r="B35337">
        <v>19</v>
      </c>
    </row>
    <row r="35338" spans="1:3" x14ac:dyDescent="0.25">
      <c r="A35338" s="74">
        <v>40130</v>
      </c>
      <c r="B35338">
        <v>16.7</v>
      </c>
    </row>
    <row r="35339" spans="1:3" x14ac:dyDescent="0.25">
      <c r="A35339" s="74">
        <v>40131</v>
      </c>
      <c r="B35339">
        <v>14.7</v>
      </c>
    </row>
    <row r="35340" spans="1:3" x14ac:dyDescent="0.25">
      <c r="A35340" s="74">
        <v>40132</v>
      </c>
      <c r="B35340">
        <v>71</v>
      </c>
    </row>
    <row r="35341" spans="1:3" x14ac:dyDescent="0.25">
      <c r="A35341" s="74">
        <v>40133</v>
      </c>
      <c r="B35341">
        <v>303</v>
      </c>
      <c r="C35341" t="s">
        <v>141</v>
      </c>
    </row>
    <row r="35342" spans="1:3" x14ac:dyDescent="0.25">
      <c r="A35342" s="74">
        <v>40134</v>
      </c>
      <c r="B35342">
        <v>127</v>
      </c>
    </row>
    <row r="35343" spans="1:3" x14ac:dyDescent="0.25">
      <c r="A35343" s="74">
        <v>40135</v>
      </c>
      <c r="B35343">
        <v>58.4</v>
      </c>
    </row>
    <row r="35344" spans="1:3" x14ac:dyDescent="0.25">
      <c r="A35344" s="74">
        <v>40136</v>
      </c>
      <c r="B35344">
        <v>107</v>
      </c>
    </row>
    <row r="35345" spans="1:3" x14ac:dyDescent="0.25">
      <c r="A35345" s="74">
        <v>40137</v>
      </c>
      <c r="B35345">
        <v>179</v>
      </c>
      <c r="C35345" t="s">
        <v>141</v>
      </c>
    </row>
    <row r="35346" spans="1:3" x14ac:dyDescent="0.25">
      <c r="A35346" s="74">
        <v>40138</v>
      </c>
      <c r="B35346">
        <v>61.6</v>
      </c>
    </row>
    <row r="35347" spans="1:3" x14ac:dyDescent="0.25">
      <c r="A35347" s="74">
        <v>40139</v>
      </c>
      <c r="B35347">
        <v>44.9</v>
      </c>
    </row>
    <row r="35348" spans="1:3" x14ac:dyDescent="0.25">
      <c r="A35348" s="74">
        <v>40140</v>
      </c>
      <c r="B35348">
        <v>33.5</v>
      </c>
    </row>
    <row r="35349" spans="1:3" x14ac:dyDescent="0.25">
      <c r="A35349" s="74">
        <v>40141</v>
      </c>
      <c r="B35349">
        <v>31.7</v>
      </c>
    </row>
    <row r="35350" spans="1:3" x14ac:dyDescent="0.25">
      <c r="A35350" s="74">
        <v>40142</v>
      </c>
      <c r="B35350">
        <v>145</v>
      </c>
      <c r="C35350" t="s">
        <v>141</v>
      </c>
    </row>
    <row r="35351" spans="1:3" x14ac:dyDescent="0.25">
      <c r="A35351" s="74">
        <v>40143</v>
      </c>
      <c r="B35351">
        <v>102</v>
      </c>
    </row>
    <row r="35352" spans="1:3" x14ac:dyDescent="0.25">
      <c r="A35352" s="74">
        <v>40144</v>
      </c>
      <c r="B35352">
        <v>41.2</v>
      </c>
    </row>
    <row r="35353" spans="1:3" x14ac:dyDescent="0.25">
      <c r="A35353" s="74">
        <v>40145</v>
      </c>
      <c r="B35353">
        <v>21.8</v>
      </c>
    </row>
    <row r="35354" spans="1:3" x14ac:dyDescent="0.25">
      <c r="A35354" s="74">
        <v>40146</v>
      </c>
      <c r="B35354">
        <v>21.7</v>
      </c>
    </row>
    <row r="35355" spans="1:3" x14ac:dyDescent="0.25">
      <c r="A35355" s="74">
        <v>40147</v>
      </c>
      <c r="B35355">
        <v>39.6</v>
      </c>
    </row>
    <row r="35356" spans="1:3" x14ac:dyDescent="0.25">
      <c r="A35356" s="74">
        <v>40148</v>
      </c>
      <c r="B35356">
        <v>23.7</v>
      </c>
    </row>
    <row r="35357" spans="1:3" x14ac:dyDescent="0.25">
      <c r="A35357" s="74">
        <v>40149</v>
      </c>
      <c r="B35357">
        <v>15.5</v>
      </c>
    </row>
    <row r="35358" spans="1:3" x14ac:dyDescent="0.25">
      <c r="A35358" s="74">
        <v>40150</v>
      </c>
      <c r="B35358">
        <v>12.6</v>
      </c>
    </row>
    <row r="35359" spans="1:3" x14ac:dyDescent="0.25">
      <c r="A35359" s="74">
        <v>40151</v>
      </c>
      <c r="B35359">
        <v>10.7</v>
      </c>
    </row>
    <row r="35360" spans="1:3" x14ac:dyDescent="0.25">
      <c r="A35360" s="74">
        <v>40152</v>
      </c>
      <c r="B35360">
        <v>9.24</v>
      </c>
    </row>
    <row r="35361" spans="1:3" x14ac:dyDescent="0.25">
      <c r="A35361" s="74">
        <v>40153</v>
      </c>
      <c r="B35361">
        <v>8.2100000000000009</v>
      </c>
    </row>
    <row r="35362" spans="1:3" x14ac:dyDescent="0.25">
      <c r="A35362" s="74">
        <v>40154</v>
      </c>
      <c r="B35362">
        <v>7.28</v>
      </c>
    </row>
    <row r="35363" spans="1:3" x14ac:dyDescent="0.25">
      <c r="A35363" s="74">
        <v>40155</v>
      </c>
      <c r="B35363">
        <v>6.6</v>
      </c>
      <c r="C35363" t="s">
        <v>142</v>
      </c>
    </row>
    <row r="35364" spans="1:3" x14ac:dyDescent="0.25">
      <c r="A35364" s="74">
        <v>40156</v>
      </c>
      <c r="B35364">
        <v>6.15</v>
      </c>
      <c r="C35364" t="s">
        <v>142</v>
      </c>
    </row>
    <row r="35365" spans="1:3" x14ac:dyDescent="0.25">
      <c r="A35365" s="74">
        <v>40157</v>
      </c>
      <c r="B35365">
        <v>5.84</v>
      </c>
    </row>
    <row r="35366" spans="1:3" x14ac:dyDescent="0.25">
      <c r="A35366" s="74">
        <v>40158</v>
      </c>
      <c r="B35366">
        <v>5.58</v>
      </c>
    </row>
    <row r="35367" spans="1:3" x14ac:dyDescent="0.25">
      <c r="A35367" s="74">
        <v>40159</v>
      </c>
      <c r="B35367">
        <v>5.25</v>
      </c>
    </row>
    <row r="35368" spans="1:3" x14ac:dyDescent="0.25">
      <c r="A35368" s="74">
        <v>40160</v>
      </c>
      <c r="B35368">
        <v>4.97</v>
      </c>
    </row>
    <row r="35369" spans="1:3" x14ac:dyDescent="0.25">
      <c r="A35369" s="74">
        <v>40161</v>
      </c>
      <c r="B35369">
        <v>4.74</v>
      </c>
    </row>
    <row r="35370" spans="1:3" x14ac:dyDescent="0.25">
      <c r="A35370" s="74">
        <v>40162</v>
      </c>
      <c r="B35370">
        <v>4.96</v>
      </c>
    </row>
    <row r="35371" spans="1:3" x14ac:dyDescent="0.25">
      <c r="A35371" s="74">
        <v>40163</v>
      </c>
      <c r="B35371">
        <v>27</v>
      </c>
    </row>
    <row r="35372" spans="1:3" x14ac:dyDescent="0.25">
      <c r="A35372" s="74">
        <v>40164</v>
      </c>
      <c r="B35372">
        <v>45.7</v>
      </c>
    </row>
    <row r="35373" spans="1:3" x14ac:dyDescent="0.25">
      <c r="A35373" s="74">
        <v>40165</v>
      </c>
      <c r="B35373">
        <v>39.799999999999997</v>
      </c>
    </row>
    <row r="35374" spans="1:3" x14ac:dyDescent="0.25">
      <c r="A35374" s="74">
        <v>40166</v>
      </c>
      <c r="B35374">
        <v>24.9</v>
      </c>
    </row>
    <row r="35375" spans="1:3" x14ac:dyDescent="0.25">
      <c r="A35375" s="74">
        <v>40167</v>
      </c>
      <c r="B35375">
        <v>32.299999999999997</v>
      </c>
    </row>
    <row r="35376" spans="1:3" x14ac:dyDescent="0.25">
      <c r="A35376" s="74">
        <v>40168</v>
      </c>
      <c r="B35376">
        <v>56.7</v>
      </c>
    </row>
    <row r="35377" spans="1:2" x14ac:dyDescent="0.25">
      <c r="A35377" s="74">
        <v>40169</v>
      </c>
      <c r="B35377">
        <v>30.2</v>
      </c>
    </row>
    <row r="35378" spans="1:2" x14ac:dyDescent="0.25">
      <c r="A35378" s="74">
        <v>40170</v>
      </c>
      <c r="B35378">
        <v>17.399999999999999</v>
      </c>
    </row>
    <row r="35379" spans="1:2" x14ac:dyDescent="0.25">
      <c r="A35379" s="74">
        <v>40171</v>
      </c>
      <c r="B35379">
        <v>13.6</v>
      </c>
    </row>
    <row r="35380" spans="1:2" x14ac:dyDescent="0.25">
      <c r="A35380" s="74">
        <v>40172</v>
      </c>
      <c r="B35380">
        <v>11.3</v>
      </c>
    </row>
    <row r="35381" spans="1:2" x14ac:dyDescent="0.25">
      <c r="A35381" s="74">
        <v>40173</v>
      </c>
      <c r="B35381">
        <v>9.77</v>
      </c>
    </row>
    <row r="35382" spans="1:2" x14ac:dyDescent="0.25">
      <c r="A35382" s="74">
        <v>40174</v>
      </c>
      <c r="B35382">
        <v>8.58</v>
      </c>
    </row>
    <row r="35383" spans="1:2" x14ac:dyDescent="0.25">
      <c r="A35383" s="74">
        <v>40175</v>
      </c>
      <c r="B35383">
        <v>7.68</v>
      </c>
    </row>
    <row r="35384" spans="1:2" x14ac:dyDescent="0.25">
      <c r="A35384" s="74">
        <v>40176</v>
      </c>
      <c r="B35384">
        <v>7.1</v>
      </c>
    </row>
    <row r="35385" spans="1:2" x14ac:dyDescent="0.25">
      <c r="A35385" s="74">
        <v>40177</v>
      </c>
      <c r="B35385">
        <v>6.68</v>
      </c>
    </row>
    <row r="35386" spans="1:2" x14ac:dyDescent="0.25">
      <c r="A35386" s="74">
        <v>40178</v>
      </c>
      <c r="B35386">
        <v>6.49</v>
      </c>
    </row>
    <row r="35387" spans="1:2" x14ac:dyDescent="0.25">
      <c r="A35387" s="74">
        <v>40179</v>
      </c>
      <c r="B35387">
        <v>14.4</v>
      </c>
    </row>
    <row r="35388" spans="1:2" x14ac:dyDescent="0.25">
      <c r="A35388" s="74">
        <v>40180</v>
      </c>
      <c r="B35388">
        <v>24.4</v>
      </c>
    </row>
    <row r="35389" spans="1:2" x14ac:dyDescent="0.25">
      <c r="A35389" s="74">
        <v>40181</v>
      </c>
      <c r="B35389">
        <v>16.3</v>
      </c>
    </row>
    <row r="35390" spans="1:2" x14ac:dyDescent="0.25">
      <c r="A35390" s="74">
        <v>40182</v>
      </c>
      <c r="B35390">
        <v>15.6</v>
      </c>
    </row>
    <row r="35391" spans="1:2" x14ac:dyDescent="0.25">
      <c r="A35391" s="74">
        <v>40183</v>
      </c>
      <c r="B35391">
        <v>16.7</v>
      </c>
    </row>
    <row r="35392" spans="1:2" x14ac:dyDescent="0.25">
      <c r="A35392" s="74">
        <v>40184</v>
      </c>
      <c r="B35392">
        <v>14.8</v>
      </c>
    </row>
    <row r="35393" spans="1:2" x14ac:dyDescent="0.25">
      <c r="A35393" s="74">
        <v>40185</v>
      </c>
      <c r="B35393">
        <v>12.5</v>
      </c>
    </row>
    <row r="35394" spans="1:2" x14ac:dyDescent="0.25">
      <c r="A35394" s="74">
        <v>40186</v>
      </c>
      <c r="B35394">
        <v>12.6</v>
      </c>
    </row>
    <row r="35395" spans="1:2" x14ac:dyDescent="0.25">
      <c r="A35395" s="74">
        <v>40187</v>
      </c>
      <c r="B35395">
        <v>53.5</v>
      </c>
    </row>
    <row r="35396" spans="1:2" x14ac:dyDescent="0.25">
      <c r="A35396" s="74">
        <v>40188</v>
      </c>
      <c r="B35396">
        <v>52.4</v>
      </c>
    </row>
    <row r="35397" spans="1:2" x14ac:dyDescent="0.25">
      <c r="A35397" s="74">
        <v>40189</v>
      </c>
      <c r="B35397">
        <v>216</v>
      </c>
    </row>
    <row r="35398" spans="1:2" x14ac:dyDescent="0.25">
      <c r="A35398" s="74">
        <v>40190</v>
      </c>
      <c r="B35398">
        <v>155</v>
      </c>
    </row>
    <row r="35399" spans="1:2" x14ac:dyDescent="0.25">
      <c r="A35399" s="74">
        <v>40191</v>
      </c>
      <c r="B35399">
        <v>65.7</v>
      </c>
    </row>
    <row r="35400" spans="1:2" x14ac:dyDescent="0.25">
      <c r="A35400" s="74">
        <v>40192</v>
      </c>
      <c r="B35400">
        <v>60.2</v>
      </c>
    </row>
    <row r="35401" spans="1:2" x14ac:dyDescent="0.25">
      <c r="A35401" s="74">
        <v>40193</v>
      </c>
      <c r="B35401">
        <v>201</v>
      </c>
    </row>
    <row r="35402" spans="1:2" x14ac:dyDescent="0.25">
      <c r="A35402" s="74">
        <v>40194</v>
      </c>
      <c r="B35402">
        <v>85.4</v>
      </c>
    </row>
    <row r="35403" spans="1:2" x14ac:dyDescent="0.25">
      <c r="A35403" s="74">
        <v>40195</v>
      </c>
      <c r="B35403">
        <v>50.1</v>
      </c>
    </row>
    <row r="35404" spans="1:2" x14ac:dyDescent="0.25">
      <c r="A35404" s="74">
        <v>40196</v>
      </c>
      <c r="B35404">
        <v>68.099999999999994</v>
      </c>
    </row>
    <row r="35405" spans="1:2" x14ac:dyDescent="0.25">
      <c r="A35405" s="74">
        <v>40197</v>
      </c>
      <c r="B35405">
        <v>54.4</v>
      </c>
    </row>
    <row r="35406" spans="1:2" x14ac:dyDescent="0.25">
      <c r="A35406" s="74">
        <v>40198</v>
      </c>
      <c r="B35406">
        <v>36.200000000000003</v>
      </c>
    </row>
    <row r="35407" spans="1:2" x14ac:dyDescent="0.25">
      <c r="A35407" s="74">
        <v>40199</v>
      </c>
      <c r="B35407">
        <v>25.5</v>
      </c>
    </row>
    <row r="35408" spans="1:2" x14ac:dyDescent="0.25">
      <c r="A35408" s="74">
        <v>40200</v>
      </c>
      <c r="B35408">
        <v>18.600000000000001</v>
      </c>
    </row>
    <row r="35409" spans="1:2" x14ac:dyDescent="0.25">
      <c r="A35409" s="74">
        <v>40201</v>
      </c>
      <c r="B35409">
        <v>14.7</v>
      </c>
    </row>
    <row r="35410" spans="1:2" x14ac:dyDescent="0.25">
      <c r="A35410" s="74">
        <v>40202</v>
      </c>
      <c r="B35410">
        <v>12.7</v>
      </c>
    </row>
    <row r="35411" spans="1:2" x14ac:dyDescent="0.25">
      <c r="A35411" s="74">
        <v>40203</v>
      </c>
      <c r="B35411">
        <v>24.4</v>
      </c>
    </row>
    <row r="35412" spans="1:2" x14ac:dyDescent="0.25">
      <c r="A35412" s="74">
        <v>40204</v>
      </c>
      <c r="B35412">
        <v>38.299999999999997</v>
      </c>
    </row>
    <row r="35413" spans="1:2" x14ac:dyDescent="0.25">
      <c r="A35413" s="74">
        <v>40205</v>
      </c>
      <c r="B35413">
        <v>24.6</v>
      </c>
    </row>
    <row r="35414" spans="1:2" x14ac:dyDescent="0.25">
      <c r="A35414" s="74">
        <v>40206</v>
      </c>
      <c r="B35414">
        <v>17.3</v>
      </c>
    </row>
    <row r="35415" spans="1:2" x14ac:dyDescent="0.25">
      <c r="A35415" s="74">
        <v>40207</v>
      </c>
      <c r="B35415">
        <v>14.1</v>
      </c>
    </row>
    <row r="35416" spans="1:2" x14ac:dyDescent="0.25">
      <c r="A35416" s="74">
        <v>40208</v>
      </c>
      <c r="B35416">
        <v>13</v>
      </c>
    </row>
    <row r="35417" spans="1:2" x14ac:dyDescent="0.25">
      <c r="A35417" s="74">
        <v>40209</v>
      </c>
      <c r="B35417">
        <v>12.1</v>
      </c>
    </row>
    <row r="35418" spans="1:2" x14ac:dyDescent="0.25">
      <c r="A35418" s="74">
        <v>40210</v>
      </c>
      <c r="B35418">
        <v>11.2</v>
      </c>
    </row>
    <row r="35419" spans="1:2" x14ac:dyDescent="0.25">
      <c r="A35419" s="74">
        <v>40211</v>
      </c>
      <c r="B35419">
        <v>11.1</v>
      </c>
    </row>
    <row r="35420" spans="1:2" x14ac:dyDescent="0.25">
      <c r="A35420" s="74">
        <v>40212</v>
      </c>
      <c r="B35420">
        <v>10.5</v>
      </c>
    </row>
    <row r="35421" spans="1:2" x14ac:dyDescent="0.25">
      <c r="A35421" s="74">
        <v>40213</v>
      </c>
      <c r="B35421">
        <v>9.7799999999999994</v>
      </c>
    </row>
    <row r="35422" spans="1:2" x14ac:dyDescent="0.25">
      <c r="A35422" s="74">
        <v>40214</v>
      </c>
      <c r="B35422">
        <v>11.1</v>
      </c>
    </row>
    <row r="35423" spans="1:2" x14ac:dyDescent="0.25">
      <c r="A35423" s="74">
        <v>40215</v>
      </c>
      <c r="B35423">
        <v>11.9</v>
      </c>
    </row>
    <row r="35424" spans="1:2" x14ac:dyDescent="0.25">
      <c r="A35424" s="74">
        <v>40216</v>
      </c>
      <c r="B35424">
        <v>11.1</v>
      </c>
    </row>
    <row r="35425" spans="1:2" x14ac:dyDescent="0.25">
      <c r="A35425" s="74">
        <v>40217</v>
      </c>
      <c r="B35425">
        <v>9.99</v>
      </c>
    </row>
    <row r="35426" spans="1:2" x14ac:dyDescent="0.25">
      <c r="A35426" s="74">
        <v>40218</v>
      </c>
      <c r="B35426">
        <v>8.9700000000000006</v>
      </c>
    </row>
    <row r="35427" spans="1:2" x14ac:dyDescent="0.25">
      <c r="A35427" s="74">
        <v>40219</v>
      </c>
      <c r="B35427">
        <v>8.19</v>
      </c>
    </row>
    <row r="35428" spans="1:2" x14ac:dyDescent="0.25">
      <c r="A35428" s="74">
        <v>40220</v>
      </c>
      <c r="B35428">
        <v>9.92</v>
      </c>
    </row>
    <row r="35429" spans="1:2" x14ac:dyDescent="0.25">
      <c r="A35429" s="74">
        <v>40221</v>
      </c>
      <c r="B35429">
        <v>36.4</v>
      </c>
    </row>
    <row r="35430" spans="1:2" x14ac:dyDescent="0.25">
      <c r="A35430" s="74">
        <v>40222</v>
      </c>
      <c r="B35430">
        <v>48.1</v>
      </c>
    </row>
    <row r="35431" spans="1:2" x14ac:dyDescent="0.25">
      <c r="A35431" s="74">
        <v>40223</v>
      </c>
      <c r="B35431">
        <v>92.6</v>
      </c>
    </row>
    <row r="35432" spans="1:2" x14ac:dyDescent="0.25">
      <c r="A35432" s="74">
        <v>40224</v>
      </c>
      <c r="B35432">
        <v>45.2</v>
      </c>
    </row>
    <row r="35433" spans="1:2" x14ac:dyDescent="0.25">
      <c r="A35433" s="74">
        <v>40225</v>
      </c>
      <c r="B35433">
        <v>38.299999999999997</v>
      </c>
    </row>
    <row r="35434" spans="1:2" x14ac:dyDescent="0.25">
      <c r="A35434" s="74">
        <v>40226</v>
      </c>
      <c r="B35434">
        <v>28.5</v>
      </c>
    </row>
    <row r="35435" spans="1:2" x14ac:dyDescent="0.25">
      <c r="A35435" s="74">
        <v>40227</v>
      </c>
      <c r="B35435">
        <v>19.5</v>
      </c>
    </row>
    <row r="35436" spans="1:2" x14ac:dyDescent="0.25">
      <c r="A35436" s="74">
        <v>40228</v>
      </c>
      <c r="B35436">
        <v>14.8</v>
      </c>
    </row>
    <row r="35437" spans="1:2" x14ac:dyDescent="0.25">
      <c r="A35437" s="74">
        <v>40229</v>
      </c>
      <c r="B35437">
        <v>12.3</v>
      </c>
    </row>
    <row r="35438" spans="1:2" x14ac:dyDescent="0.25">
      <c r="A35438" s="74">
        <v>40230</v>
      </c>
      <c r="B35438">
        <v>10.5</v>
      </c>
    </row>
    <row r="35439" spans="1:2" x14ac:dyDescent="0.25">
      <c r="A35439" s="74">
        <v>40231</v>
      </c>
      <c r="B35439">
        <v>9.11</v>
      </c>
    </row>
    <row r="35440" spans="1:2" x14ac:dyDescent="0.25">
      <c r="A35440" s="74">
        <v>40232</v>
      </c>
      <c r="B35440">
        <v>8.18</v>
      </c>
    </row>
    <row r="35441" spans="1:2" x14ac:dyDescent="0.25">
      <c r="A35441" s="74">
        <v>40233</v>
      </c>
      <c r="B35441">
        <v>8</v>
      </c>
    </row>
    <row r="35442" spans="1:2" x14ac:dyDescent="0.25">
      <c r="A35442" s="74">
        <v>40234</v>
      </c>
      <c r="B35442">
        <v>12.1</v>
      </c>
    </row>
    <row r="35443" spans="1:2" x14ac:dyDescent="0.25">
      <c r="A35443" s="74">
        <v>40235</v>
      </c>
      <c r="B35443">
        <v>17.3</v>
      </c>
    </row>
    <row r="35444" spans="1:2" x14ac:dyDescent="0.25">
      <c r="A35444" s="74">
        <v>40236</v>
      </c>
      <c r="B35444">
        <v>30.4</v>
      </c>
    </row>
    <row r="35445" spans="1:2" x14ac:dyDescent="0.25">
      <c r="A35445" s="74">
        <v>40237</v>
      </c>
      <c r="B35445">
        <v>27.2</v>
      </c>
    </row>
    <row r="35446" spans="1:2" x14ac:dyDescent="0.25">
      <c r="A35446" s="74">
        <v>40238</v>
      </c>
      <c r="B35446">
        <v>18.5</v>
      </c>
    </row>
    <row r="35447" spans="1:2" x14ac:dyDescent="0.25">
      <c r="A35447" s="74">
        <v>40239</v>
      </c>
      <c r="B35447">
        <v>15.5</v>
      </c>
    </row>
    <row r="35448" spans="1:2" x14ac:dyDescent="0.25">
      <c r="A35448" s="74">
        <v>40240</v>
      </c>
      <c r="B35448">
        <v>14.5</v>
      </c>
    </row>
    <row r="35449" spans="1:2" x14ac:dyDescent="0.25">
      <c r="A35449" s="74">
        <v>40241</v>
      </c>
      <c r="B35449">
        <v>12</v>
      </c>
    </row>
    <row r="35450" spans="1:2" x14ac:dyDescent="0.25">
      <c r="A35450" s="74">
        <v>40242</v>
      </c>
      <c r="B35450">
        <v>10.199999999999999</v>
      </c>
    </row>
    <row r="35451" spans="1:2" x14ac:dyDescent="0.25">
      <c r="A35451" s="74">
        <v>40243</v>
      </c>
      <c r="B35451">
        <v>8.83</v>
      </c>
    </row>
    <row r="35452" spans="1:2" x14ac:dyDescent="0.25">
      <c r="A35452" s="74">
        <v>40244</v>
      </c>
      <c r="B35452">
        <v>8.07</v>
      </c>
    </row>
    <row r="35453" spans="1:2" x14ac:dyDescent="0.25">
      <c r="A35453" s="74">
        <v>40245</v>
      </c>
      <c r="B35453">
        <v>7.43</v>
      </c>
    </row>
    <row r="35454" spans="1:2" x14ac:dyDescent="0.25">
      <c r="A35454" s="74">
        <v>40246</v>
      </c>
      <c r="B35454">
        <v>6.65</v>
      </c>
    </row>
    <row r="35455" spans="1:2" x14ac:dyDescent="0.25">
      <c r="A35455" s="74">
        <v>40247</v>
      </c>
      <c r="B35455">
        <v>6.2</v>
      </c>
    </row>
    <row r="35456" spans="1:2" x14ac:dyDescent="0.25">
      <c r="A35456" s="74">
        <v>40248</v>
      </c>
      <c r="B35456">
        <v>6.99</v>
      </c>
    </row>
    <row r="35457" spans="1:2" x14ac:dyDescent="0.25">
      <c r="A35457" s="74">
        <v>40249</v>
      </c>
      <c r="B35457">
        <v>7.72</v>
      </c>
    </row>
    <row r="35458" spans="1:2" x14ac:dyDescent="0.25">
      <c r="A35458" s="74">
        <v>40250</v>
      </c>
      <c r="B35458">
        <v>8.41</v>
      </c>
    </row>
    <row r="35459" spans="1:2" x14ac:dyDescent="0.25">
      <c r="A35459" s="74">
        <v>40251</v>
      </c>
      <c r="B35459">
        <v>8.58</v>
      </c>
    </row>
    <row r="35460" spans="1:2" x14ac:dyDescent="0.25">
      <c r="A35460" s="74">
        <v>40252</v>
      </c>
      <c r="B35460">
        <v>10.6</v>
      </c>
    </row>
    <row r="35461" spans="1:2" x14ac:dyDescent="0.25">
      <c r="A35461" s="74">
        <v>40253</v>
      </c>
      <c r="B35461">
        <v>17.600000000000001</v>
      </c>
    </row>
    <row r="35462" spans="1:2" x14ac:dyDescent="0.25">
      <c r="A35462" s="74">
        <v>40254</v>
      </c>
      <c r="B35462">
        <v>39.4</v>
      </c>
    </row>
    <row r="35463" spans="1:2" x14ac:dyDescent="0.25">
      <c r="A35463" s="74">
        <v>40255</v>
      </c>
      <c r="B35463">
        <v>23.1</v>
      </c>
    </row>
    <row r="35464" spans="1:2" x14ac:dyDescent="0.25">
      <c r="A35464" s="74">
        <v>40256</v>
      </c>
      <c r="B35464">
        <v>15.7</v>
      </c>
    </row>
    <row r="35465" spans="1:2" x14ac:dyDescent="0.25">
      <c r="A35465" s="74">
        <v>40257</v>
      </c>
      <c r="B35465">
        <v>12.8</v>
      </c>
    </row>
    <row r="35466" spans="1:2" x14ac:dyDescent="0.25">
      <c r="A35466" s="74">
        <v>40258</v>
      </c>
      <c r="B35466">
        <v>13.7</v>
      </c>
    </row>
    <row r="35467" spans="1:2" x14ac:dyDescent="0.25">
      <c r="A35467" s="74">
        <v>40259</v>
      </c>
      <c r="B35467">
        <v>14.9</v>
      </c>
    </row>
    <row r="35468" spans="1:2" x14ac:dyDescent="0.25">
      <c r="A35468" s="74">
        <v>40260</v>
      </c>
      <c r="B35468">
        <v>12.4</v>
      </c>
    </row>
    <row r="35469" spans="1:2" x14ac:dyDescent="0.25">
      <c r="A35469" s="74">
        <v>40261</v>
      </c>
      <c r="B35469">
        <v>10.9</v>
      </c>
    </row>
    <row r="35470" spans="1:2" x14ac:dyDescent="0.25">
      <c r="A35470" s="74">
        <v>40262</v>
      </c>
      <c r="B35470">
        <v>10.8</v>
      </c>
    </row>
    <row r="35471" spans="1:2" x14ac:dyDescent="0.25">
      <c r="A35471" s="74">
        <v>40263</v>
      </c>
      <c r="B35471">
        <v>11.2</v>
      </c>
    </row>
    <row r="35472" spans="1:2" x14ac:dyDescent="0.25">
      <c r="A35472" s="74">
        <v>40264</v>
      </c>
      <c r="B35472">
        <v>10</v>
      </c>
    </row>
    <row r="35473" spans="1:2" x14ac:dyDescent="0.25">
      <c r="A35473" s="74">
        <v>40265</v>
      </c>
      <c r="B35473">
        <v>13.2</v>
      </c>
    </row>
    <row r="35474" spans="1:2" x14ac:dyDescent="0.25">
      <c r="A35474" s="74">
        <v>40266</v>
      </c>
      <c r="B35474">
        <v>51.4</v>
      </c>
    </row>
    <row r="35475" spans="1:2" x14ac:dyDescent="0.25">
      <c r="A35475" s="74">
        <v>40267</v>
      </c>
      <c r="B35475">
        <v>48.1</v>
      </c>
    </row>
    <row r="35476" spans="1:2" x14ac:dyDescent="0.25">
      <c r="A35476" s="74">
        <v>40268</v>
      </c>
      <c r="B35476">
        <v>29.4</v>
      </c>
    </row>
    <row r="35477" spans="1:2" x14ac:dyDescent="0.25">
      <c r="A35477" s="74">
        <v>40269</v>
      </c>
      <c r="B35477">
        <v>19.100000000000001</v>
      </c>
    </row>
    <row r="35478" spans="1:2" x14ac:dyDescent="0.25">
      <c r="A35478" s="74">
        <v>40270</v>
      </c>
      <c r="B35478">
        <v>26.6</v>
      </c>
    </row>
    <row r="35479" spans="1:2" x14ac:dyDescent="0.25">
      <c r="A35479" s="74">
        <v>40271</v>
      </c>
      <c r="B35479">
        <v>40.1</v>
      </c>
    </row>
    <row r="35480" spans="1:2" x14ac:dyDescent="0.25">
      <c r="A35480" s="74">
        <v>40272</v>
      </c>
      <c r="B35480">
        <v>23.7</v>
      </c>
    </row>
    <row r="35481" spans="1:2" x14ac:dyDescent="0.25">
      <c r="A35481" s="74">
        <v>40273</v>
      </c>
      <c r="B35481">
        <v>17.8</v>
      </c>
    </row>
    <row r="35482" spans="1:2" x14ac:dyDescent="0.25">
      <c r="A35482" s="74">
        <v>40274</v>
      </c>
      <c r="B35482">
        <v>15.5</v>
      </c>
    </row>
    <row r="35483" spans="1:2" x14ac:dyDescent="0.25">
      <c r="A35483" s="74">
        <v>40275</v>
      </c>
      <c r="B35483">
        <v>17.899999999999999</v>
      </c>
    </row>
    <row r="35484" spans="1:2" x14ac:dyDescent="0.25">
      <c r="A35484" s="74">
        <v>40276</v>
      </c>
      <c r="B35484">
        <v>44.5</v>
      </c>
    </row>
    <row r="35485" spans="1:2" x14ac:dyDescent="0.25">
      <c r="A35485" s="74">
        <v>40277</v>
      </c>
      <c r="B35485">
        <v>28.1</v>
      </c>
    </row>
    <row r="35486" spans="1:2" x14ac:dyDescent="0.25">
      <c r="A35486" s="74">
        <v>40278</v>
      </c>
      <c r="B35486">
        <v>18.600000000000001</v>
      </c>
    </row>
    <row r="35487" spans="1:2" x14ac:dyDescent="0.25">
      <c r="A35487" s="74">
        <v>40279</v>
      </c>
      <c r="B35487">
        <v>14.4</v>
      </c>
    </row>
    <row r="35488" spans="1:2" x14ac:dyDescent="0.25">
      <c r="A35488" s="74">
        <v>40280</v>
      </c>
      <c r="B35488">
        <v>12.3</v>
      </c>
    </row>
    <row r="35489" spans="1:2" x14ac:dyDescent="0.25">
      <c r="A35489" s="74">
        <v>40281</v>
      </c>
      <c r="B35489">
        <v>11.3</v>
      </c>
    </row>
    <row r="35490" spans="1:2" x14ac:dyDescent="0.25">
      <c r="A35490" s="74">
        <v>40282</v>
      </c>
      <c r="B35490">
        <v>11</v>
      </c>
    </row>
    <row r="35491" spans="1:2" x14ac:dyDescent="0.25">
      <c r="A35491" s="74">
        <v>40283</v>
      </c>
      <c r="B35491">
        <v>11.6</v>
      </c>
    </row>
    <row r="35492" spans="1:2" x14ac:dyDescent="0.25">
      <c r="A35492" s="74">
        <v>40284</v>
      </c>
      <c r="B35492">
        <v>12.9</v>
      </c>
    </row>
    <row r="35493" spans="1:2" x14ac:dyDescent="0.25">
      <c r="A35493" s="74">
        <v>40285</v>
      </c>
      <c r="B35493">
        <v>17.399999999999999</v>
      </c>
    </row>
    <row r="35494" spans="1:2" x14ac:dyDescent="0.25">
      <c r="A35494" s="74">
        <v>40286</v>
      </c>
      <c r="B35494">
        <v>27.8</v>
      </c>
    </row>
    <row r="35495" spans="1:2" x14ac:dyDescent="0.25">
      <c r="A35495" s="74">
        <v>40287</v>
      </c>
      <c r="B35495">
        <v>24.9</v>
      </c>
    </row>
    <row r="35496" spans="1:2" x14ac:dyDescent="0.25">
      <c r="A35496" s="74">
        <v>40288</v>
      </c>
      <c r="B35496">
        <v>38</v>
      </c>
    </row>
    <row r="35497" spans="1:2" x14ac:dyDescent="0.25">
      <c r="A35497" s="74">
        <v>40289</v>
      </c>
      <c r="B35497">
        <v>27.8</v>
      </c>
    </row>
    <row r="35498" spans="1:2" x14ac:dyDescent="0.25">
      <c r="A35498" s="74">
        <v>40290</v>
      </c>
      <c r="B35498">
        <v>19.399999999999999</v>
      </c>
    </row>
    <row r="35499" spans="1:2" x14ac:dyDescent="0.25">
      <c r="A35499" s="74">
        <v>40291</v>
      </c>
      <c r="B35499">
        <v>14.9</v>
      </c>
    </row>
    <row r="35500" spans="1:2" x14ac:dyDescent="0.25">
      <c r="A35500" s="74">
        <v>40292</v>
      </c>
      <c r="B35500">
        <v>13</v>
      </c>
    </row>
    <row r="35501" spans="1:2" x14ac:dyDescent="0.25">
      <c r="A35501" s="74">
        <v>40293</v>
      </c>
      <c r="B35501">
        <v>11.9</v>
      </c>
    </row>
    <row r="35502" spans="1:2" x14ac:dyDescent="0.25">
      <c r="A35502" s="74">
        <v>40294</v>
      </c>
      <c r="B35502">
        <v>10.9</v>
      </c>
    </row>
    <row r="35503" spans="1:2" x14ac:dyDescent="0.25">
      <c r="A35503" s="74">
        <v>40295</v>
      </c>
      <c r="B35503">
        <v>23.2</v>
      </c>
    </row>
    <row r="35504" spans="1:2" x14ac:dyDescent="0.25">
      <c r="A35504" s="74">
        <v>40296</v>
      </c>
      <c r="B35504">
        <v>18.399999999999999</v>
      </c>
    </row>
    <row r="35505" spans="1:2" x14ac:dyDescent="0.25">
      <c r="A35505" s="74">
        <v>40297</v>
      </c>
      <c r="B35505">
        <v>14.2</v>
      </c>
    </row>
    <row r="35506" spans="1:2" x14ac:dyDescent="0.25">
      <c r="A35506" s="74">
        <v>40298</v>
      </c>
      <c r="B35506">
        <v>12.2</v>
      </c>
    </row>
    <row r="35507" spans="1:2" x14ac:dyDescent="0.25">
      <c r="A35507" s="74">
        <v>40299</v>
      </c>
      <c r="B35507">
        <v>11.1</v>
      </c>
    </row>
    <row r="35508" spans="1:2" x14ac:dyDescent="0.25">
      <c r="A35508" s="74">
        <v>40300</v>
      </c>
      <c r="B35508">
        <v>10.4</v>
      </c>
    </row>
    <row r="35509" spans="1:2" x14ac:dyDescent="0.25">
      <c r="A35509" s="74">
        <v>40301</v>
      </c>
      <c r="B35509">
        <v>17.8</v>
      </c>
    </row>
    <row r="35510" spans="1:2" x14ac:dyDescent="0.25">
      <c r="A35510" s="74">
        <v>40302</v>
      </c>
      <c r="B35510">
        <v>14.5</v>
      </c>
    </row>
    <row r="35511" spans="1:2" x14ac:dyDescent="0.25">
      <c r="A35511" s="74">
        <v>40303</v>
      </c>
      <c r="B35511">
        <v>12.2</v>
      </c>
    </row>
    <row r="35512" spans="1:2" x14ac:dyDescent="0.25">
      <c r="A35512" s="74">
        <v>40304</v>
      </c>
      <c r="B35512">
        <v>10.8</v>
      </c>
    </row>
    <row r="35513" spans="1:2" x14ac:dyDescent="0.25">
      <c r="A35513" s="74">
        <v>40305</v>
      </c>
      <c r="B35513">
        <v>9.8000000000000007</v>
      </c>
    </row>
    <row r="35514" spans="1:2" x14ac:dyDescent="0.25">
      <c r="A35514" s="74">
        <v>40306</v>
      </c>
      <c r="B35514">
        <v>9.25</v>
      </c>
    </row>
    <row r="35515" spans="1:2" x14ac:dyDescent="0.25">
      <c r="A35515" s="74">
        <v>40307</v>
      </c>
      <c r="B35515">
        <v>8.84</v>
      </c>
    </row>
    <row r="35516" spans="1:2" x14ac:dyDescent="0.25">
      <c r="A35516" s="74">
        <v>40308</v>
      </c>
      <c r="B35516">
        <v>8.43</v>
      </c>
    </row>
    <row r="35517" spans="1:2" x14ac:dyDescent="0.25">
      <c r="A35517" s="74">
        <v>40309</v>
      </c>
      <c r="B35517">
        <v>8.5299999999999994</v>
      </c>
    </row>
    <row r="35518" spans="1:2" x14ac:dyDescent="0.25">
      <c r="A35518" s="74">
        <v>40310</v>
      </c>
      <c r="B35518">
        <v>9.31</v>
      </c>
    </row>
    <row r="35519" spans="1:2" x14ac:dyDescent="0.25">
      <c r="A35519" s="74">
        <v>40311</v>
      </c>
      <c r="B35519">
        <v>9.07</v>
      </c>
    </row>
    <row r="35520" spans="1:2" x14ac:dyDescent="0.25">
      <c r="A35520" s="74">
        <v>40312</v>
      </c>
      <c r="B35520">
        <v>9.7100000000000009</v>
      </c>
    </row>
    <row r="35521" spans="1:2" x14ac:dyDescent="0.25">
      <c r="A35521" s="74">
        <v>40313</v>
      </c>
      <c r="B35521">
        <v>11.3</v>
      </c>
    </row>
    <row r="35522" spans="1:2" x14ac:dyDescent="0.25">
      <c r="A35522" s="74">
        <v>40314</v>
      </c>
      <c r="B35522">
        <v>11.9</v>
      </c>
    </row>
    <row r="35523" spans="1:2" x14ac:dyDescent="0.25">
      <c r="A35523" s="74">
        <v>40315</v>
      </c>
      <c r="B35523">
        <v>11.9</v>
      </c>
    </row>
    <row r="35524" spans="1:2" x14ac:dyDescent="0.25">
      <c r="A35524" s="74">
        <v>40316</v>
      </c>
      <c r="B35524">
        <v>14.1</v>
      </c>
    </row>
    <row r="35525" spans="1:2" x14ac:dyDescent="0.25">
      <c r="A35525" s="74">
        <v>40317</v>
      </c>
      <c r="B35525">
        <v>14.6</v>
      </c>
    </row>
    <row r="35526" spans="1:2" x14ac:dyDescent="0.25">
      <c r="A35526" s="74">
        <v>40318</v>
      </c>
      <c r="B35526">
        <v>22.2</v>
      </c>
    </row>
    <row r="35527" spans="1:2" x14ac:dyDescent="0.25">
      <c r="A35527" s="74">
        <v>40319</v>
      </c>
      <c r="B35527">
        <v>18.2</v>
      </c>
    </row>
    <row r="35528" spans="1:2" x14ac:dyDescent="0.25">
      <c r="A35528" s="74">
        <v>40320</v>
      </c>
      <c r="B35528">
        <v>14.1</v>
      </c>
    </row>
    <row r="35529" spans="1:2" x14ac:dyDescent="0.25">
      <c r="A35529" s="74">
        <v>40321</v>
      </c>
      <c r="B35529">
        <v>12</v>
      </c>
    </row>
    <row r="35530" spans="1:2" x14ac:dyDescent="0.25">
      <c r="A35530" s="74">
        <v>40322</v>
      </c>
      <c r="B35530">
        <v>10.6</v>
      </c>
    </row>
    <row r="35531" spans="1:2" x14ac:dyDescent="0.25">
      <c r="A35531" s="74">
        <v>40323</v>
      </c>
      <c r="B35531">
        <v>12.6</v>
      </c>
    </row>
    <row r="35532" spans="1:2" x14ac:dyDescent="0.25">
      <c r="A35532" s="74">
        <v>40324</v>
      </c>
      <c r="B35532">
        <v>16.2</v>
      </c>
    </row>
    <row r="35533" spans="1:2" x14ac:dyDescent="0.25">
      <c r="A35533" s="74">
        <v>40325</v>
      </c>
      <c r="B35533">
        <v>22.1</v>
      </c>
    </row>
    <row r="35534" spans="1:2" x14ac:dyDescent="0.25">
      <c r="A35534" s="74">
        <v>40326</v>
      </c>
      <c r="B35534">
        <v>23.5</v>
      </c>
    </row>
    <row r="35535" spans="1:2" x14ac:dyDescent="0.25">
      <c r="A35535" s="74">
        <v>40327</v>
      </c>
      <c r="B35535">
        <v>27.8</v>
      </c>
    </row>
    <row r="35536" spans="1:2" x14ac:dyDescent="0.25">
      <c r="A35536" s="74">
        <v>40328</v>
      </c>
      <c r="B35536">
        <v>21.6</v>
      </c>
    </row>
    <row r="35537" spans="1:2" x14ac:dyDescent="0.25">
      <c r="A35537" s="74">
        <v>40329</v>
      </c>
      <c r="B35537">
        <v>19.899999999999999</v>
      </c>
    </row>
    <row r="35538" spans="1:2" x14ac:dyDescent="0.25">
      <c r="A35538" s="74">
        <v>40330</v>
      </c>
      <c r="B35538">
        <v>19</v>
      </c>
    </row>
    <row r="35539" spans="1:2" x14ac:dyDescent="0.25">
      <c r="A35539" s="74">
        <v>40331</v>
      </c>
      <c r="B35539">
        <v>25.5</v>
      </c>
    </row>
    <row r="35540" spans="1:2" x14ac:dyDescent="0.25">
      <c r="A35540" s="74">
        <v>40332</v>
      </c>
      <c r="B35540">
        <v>22.2</v>
      </c>
    </row>
    <row r="35541" spans="1:2" x14ac:dyDescent="0.25">
      <c r="A35541" s="74">
        <v>40333</v>
      </c>
      <c r="B35541">
        <v>15.5</v>
      </c>
    </row>
    <row r="35542" spans="1:2" x14ac:dyDescent="0.25">
      <c r="A35542" s="74">
        <v>40334</v>
      </c>
      <c r="B35542">
        <v>12.7</v>
      </c>
    </row>
    <row r="35543" spans="1:2" x14ac:dyDescent="0.25">
      <c r="A35543" s="74">
        <v>40335</v>
      </c>
      <c r="B35543">
        <v>11</v>
      </c>
    </row>
    <row r="35544" spans="1:2" x14ac:dyDescent="0.25">
      <c r="A35544" s="74">
        <v>40336</v>
      </c>
      <c r="B35544">
        <v>10.4</v>
      </c>
    </row>
    <row r="35545" spans="1:2" x14ac:dyDescent="0.25">
      <c r="A35545" s="74">
        <v>40337</v>
      </c>
      <c r="B35545">
        <v>10.3</v>
      </c>
    </row>
    <row r="35546" spans="1:2" x14ac:dyDescent="0.25">
      <c r="A35546" s="74">
        <v>40338</v>
      </c>
      <c r="B35546">
        <v>10.3</v>
      </c>
    </row>
    <row r="35547" spans="1:2" x14ac:dyDescent="0.25">
      <c r="A35547" s="74">
        <v>40339</v>
      </c>
      <c r="B35547">
        <v>9.7100000000000009</v>
      </c>
    </row>
    <row r="35548" spans="1:2" x14ac:dyDescent="0.25">
      <c r="A35548" s="74">
        <v>40340</v>
      </c>
      <c r="B35548">
        <v>8.91</v>
      </c>
    </row>
    <row r="35549" spans="1:2" x14ac:dyDescent="0.25">
      <c r="A35549" s="74">
        <v>40341</v>
      </c>
      <c r="B35549">
        <v>8.66</v>
      </c>
    </row>
    <row r="35550" spans="1:2" x14ac:dyDescent="0.25">
      <c r="A35550" s="74">
        <v>40342</v>
      </c>
      <c r="B35550">
        <v>9.44</v>
      </c>
    </row>
    <row r="35551" spans="1:2" x14ac:dyDescent="0.25">
      <c r="A35551" s="74">
        <v>40343</v>
      </c>
      <c r="B35551">
        <v>8.7799999999999994</v>
      </c>
    </row>
    <row r="35552" spans="1:2" x14ac:dyDescent="0.25">
      <c r="A35552" s="74">
        <v>40344</v>
      </c>
      <c r="B35552">
        <v>7.13</v>
      </c>
    </row>
    <row r="35553" spans="1:2" x14ac:dyDescent="0.25">
      <c r="A35553" s="74">
        <v>40345</v>
      </c>
      <c r="B35553">
        <v>6.09</v>
      </c>
    </row>
    <row r="35554" spans="1:2" x14ac:dyDescent="0.25">
      <c r="A35554" s="74">
        <v>40346</v>
      </c>
      <c r="B35554">
        <v>5.96</v>
      </c>
    </row>
    <row r="35555" spans="1:2" x14ac:dyDescent="0.25">
      <c r="A35555" s="74">
        <v>40347</v>
      </c>
      <c r="B35555">
        <v>5.76</v>
      </c>
    </row>
    <row r="35556" spans="1:2" x14ac:dyDescent="0.25">
      <c r="A35556" s="74">
        <v>40348</v>
      </c>
      <c r="B35556">
        <v>5.46</v>
      </c>
    </row>
    <row r="35557" spans="1:2" x14ac:dyDescent="0.25">
      <c r="A35557" s="74">
        <v>40349</v>
      </c>
      <c r="B35557">
        <v>5.94</v>
      </c>
    </row>
    <row r="35558" spans="1:2" x14ac:dyDescent="0.25">
      <c r="A35558" s="74">
        <v>40350</v>
      </c>
      <c r="B35558">
        <v>6.22</v>
      </c>
    </row>
    <row r="35559" spans="1:2" x14ac:dyDescent="0.25">
      <c r="A35559" s="74">
        <v>40351</v>
      </c>
      <c r="B35559">
        <v>5.62</v>
      </c>
    </row>
    <row r="35560" spans="1:2" x14ac:dyDescent="0.25">
      <c r="A35560" s="74">
        <v>40352</v>
      </c>
      <c r="B35560">
        <v>5.37</v>
      </c>
    </row>
    <row r="35561" spans="1:2" x14ac:dyDescent="0.25">
      <c r="A35561" s="74">
        <v>40353</v>
      </c>
      <c r="B35561">
        <v>5.73</v>
      </c>
    </row>
    <row r="35562" spans="1:2" x14ac:dyDescent="0.25">
      <c r="A35562" s="74">
        <v>40354</v>
      </c>
      <c r="B35562">
        <v>5.54</v>
      </c>
    </row>
    <row r="35563" spans="1:2" x14ac:dyDescent="0.25">
      <c r="A35563" s="74">
        <v>40355</v>
      </c>
      <c r="B35563">
        <v>5.29</v>
      </c>
    </row>
    <row r="35564" spans="1:2" x14ac:dyDescent="0.25">
      <c r="A35564" s="74">
        <v>40356</v>
      </c>
      <c r="B35564">
        <v>4.91</v>
      </c>
    </row>
    <row r="35565" spans="1:2" x14ac:dyDescent="0.25">
      <c r="A35565" s="74">
        <v>40357</v>
      </c>
      <c r="B35565">
        <v>4.6100000000000003</v>
      </c>
    </row>
    <row r="35566" spans="1:2" x14ac:dyDescent="0.25">
      <c r="A35566" s="74">
        <v>40358</v>
      </c>
      <c r="B35566">
        <v>3.93</v>
      </c>
    </row>
    <row r="35567" spans="1:2" x14ac:dyDescent="0.25">
      <c r="A35567" s="74">
        <v>40359</v>
      </c>
      <c r="B35567">
        <v>3.4</v>
      </c>
    </row>
    <row r="35568" spans="1:2" x14ac:dyDescent="0.25">
      <c r="A35568" s="74">
        <v>40360</v>
      </c>
      <c r="B35568">
        <v>3.12</v>
      </c>
    </row>
    <row r="35569" spans="1:2" x14ac:dyDescent="0.25">
      <c r="A35569" s="74">
        <v>40361</v>
      </c>
      <c r="B35569">
        <v>3.04</v>
      </c>
    </row>
    <row r="35570" spans="1:2" x14ac:dyDescent="0.25">
      <c r="A35570" s="74">
        <v>40362</v>
      </c>
      <c r="B35570">
        <v>2.98</v>
      </c>
    </row>
    <row r="35571" spans="1:2" x14ac:dyDescent="0.25">
      <c r="A35571" s="74">
        <v>40363</v>
      </c>
      <c r="B35571">
        <v>2.95</v>
      </c>
    </row>
    <row r="35572" spans="1:2" x14ac:dyDescent="0.25">
      <c r="A35572" s="74">
        <v>40364</v>
      </c>
      <c r="B35572">
        <v>3.12</v>
      </c>
    </row>
    <row r="35573" spans="1:2" x14ac:dyDescent="0.25">
      <c r="A35573" s="74">
        <v>40365</v>
      </c>
      <c r="B35573">
        <v>2.98</v>
      </c>
    </row>
    <row r="35574" spans="1:2" x14ac:dyDescent="0.25">
      <c r="A35574" s="74">
        <v>40366</v>
      </c>
      <c r="B35574">
        <v>3.16</v>
      </c>
    </row>
    <row r="35575" spans="1:2" x14ac:dyDescent="0.25">
      <c r="A35575" s="74">
        <v>40367</v>
      </c>
      <c r="B35575">
        <v>3.95</v>
      </c>
    </row>
    <row r="35576" spans="1:2" x14ac:dyDescent="0.25">
      <c r="A35576" s="74">
        <v>40368</v>
      </c>
      <c r="B35576">
        <v>4.29</v>
      </c>
    </row>
    <row r="35577" spans="1:2" x14ac:dyDescent="0.25">
      <c r="A35577" s="74">
        <v>40369</v>
      </c>
      <c r="B35577">
        <v>3.99</v>
      </c>
    </row>
    <row r="35578" spans="1:2" x14ac:dyDescent="0.25">
      <c r="A35578" s="74">
        <v>40370</v>
      </c>
      <c r="B35578">
        <v>3.8</v>
      </c>
    </row>
    <row r="35579" spans="1:2" x14ac:dyDescent="0.25">
      <c r="A35579" s="74">
        <v>40371</v>
      </c>
      <c r="B35579">
        <v>3.61</v>
      </c>
    </row>
    <row r="35580" spans="1:2" x14ac:dyDescent="0.25">
      <c r="A35580" s="74">
        <v>40372</v>
      </c>
      <c r="B35580">
        <v>2.78</v>
      </c>
    </row>
    <row r="35581" spans="1:2" x14ac:dyDescent="0.25">
      <c r="A35581" s="74">
        <v>40373</v>
      </c>
      <c r="B35581">
        <v>2.2799999999999998</v>
      </c>
    </row>
    <row r="35582" spans="1:2" x14ac:dyDescent="0.25">
      <c r="A35582" s="74">
        <v>40374</v>
      </c>
      <c r="B35582">
        <v>2.1800000000000002</v>
      </c>
    </row>
    <row r="35583" spans="1:2" x14ac:dyDescent="0.25">
      <c r="A35583" s="74">
        <v>40375</v>
      </c>
      <c r="B35583">
        <v>2.2799999999999998</v>
      </c>
    </row>
    <row r="35584" spans="1:2" x14ac:dyDescent="0.25">
      <c r="A35584" s="74">
        <v>40376</v>
      </c>
      <c r="B35584">
        <v>2.1</v>
      </c>
    </row>
    <row r="35585" spans="1:2" x14ac:dyDescent="0.25">
      <c r="A35585" s="74">
        <v>40377</v>
      </c>
      <c r="B35585">
        <v>2.0299999999999998</v>
      </c>
    </row>
    <row r="35586" spans="1:2" x14ac:dyDescent="0.25">
      <c r="A35586" s="74">
        <v>40378</v>
      </c>
      <c r="B35586">
        <v>2</v>
      </c>
    </row>
    <row r="35587" spans="1:2" x14ac:dyDescent="0.25">
      <c r="A35587" s="74">
        <v>40379</v>
      </c>
      <c r="B35587">
        <v>1.93</v>
      </c>
    </row>
    <row r="35588" spans="1:2" x14ac:dyDescent="0.25">
      <c r="A35588" s="74">
        <v>40380</v>
      </c>
      <c r="B35588">
        <v>1.81</v>
      </c>
    </row>
    <row r="35589" spans="1:2" x14ac:dyDescent="0.25">
      <c r="A35589" s="74">
        <v>40381</v>
      </c>
      <c r="B35589">
        <v>1.85</v>
      </c>
    </row>
    <row r="35590" spans="1:2" x14ac:dyDescent="0.25">
      <c r="A35590" s="74">
        <v>40382</v>
      </c>
      <c r="B35590">
        <v>1.81</v>
      </c>
    </row>
    <row r="35591" spans="1:2" x14ac:dyDescent="0.25">
      <c r="A35591" s="74">
        <v>40383</v>
      </c>
      <c r="B35591">
        <v>1.62</v>
      </c>
    </row>
    <row r="35592" spans="1:2" x14ac:dyDescent="0.25">
      <c r="A35592" s="74">
        <v>40384</v>
      </c>
      <c r="B35592">
        <v>1.53</v>
      </c>
    </row>
    <row r="35593" spans="1:2" x14ac:dyDescent="0.25">
      <c r="A35593" s="74">
        <v>40385</v>
      </c>
      <c r="B35593">
        <v>1.45</v>
      </c>
    </row>
    <row r="35594" spans="1:2" x14ac:dyDescent="0.25">
      <c r="A35594" s="74">
        <v>40386</v>
      </c>
      <c r="B35594">
        <v>1.58</v>
      </c>
    </row>
    <row r="35595" spans="1:2" x14ac:dyDescent="0.25">
      <c r="A35595" s="74">
        <v>40387</v>
      </c>
      <c r="B35595">
        <v>1.76</v>
      </c>
    </row>
    <row r="35596" spans="1:2" x14ac:dyDescent="0.25">
      <c r="A35596" s="74">
        <v>40388</v>
      </c>
      <c r="B35596">
        <v>1.73</v>
      </c>
    </row>
    <row r="35597" spans="1:2" x14ac:dyDescent="0.25">
      <c r="A35597" s="74">
        <v>40389</v>
      </c>
      <c r="B35597">
        <v>1.85</v>
      </c>
    </row>
    <row r="35598" spans="1:2" x14ac:dyDescent="0.25">
      <c r="A35598" s="74">
        <v>40390</v>
      </c>
      <c r="B35598">
        <v>1.91</v>
      </c>
    </row>
    <row r="35599" spans="1:2" x14ac:dyDescent="0.25">
      <c r="A35599" s="74">
        <v>40391</v>
      </c>
      <c r="B35599">
        <v>1.91</v>
      </c>
    </row>
    <row r="35600" spans="1:2" x14ac:dyDescent="0.25">
      <c r="A35600" s="74">
        <v>40392</v>
      </c>
      <c r="B35600">
        <v>1.89</v>
      </c>
    </row>
    <row r="35601" spans="1:2" x14ac:dyDescent="0.25">
      <c r="A35601" s="74">
        <v>40393</v>
      </c>
      <c r="B35601">
        <v>1.91</v>
      </c>
    </row>
    <row r="35602" spans="1:2" x14ac:dyDescent="0.25">
      <c r="A35602" s="74">
        <v>40394</v>
      </c>
      <c r="B35602">
        <v>2.12</v>
      </c>
    </row>
    <row r="35603" spans="1:2" x14ac:dyDescent="0.25">
      <c r="A35603" s="74">
        <v>40395</v>
      </c>
      <c r="B35603">
        <v>1.66</v>
      </c>
    </row>
    <row r="35604" spans="1:2" x14ac:dyDescent="0.25">
      <c r="A35604" s="74">
        <v>40396</v>
      </c>
      <c r="B35604">
        <v>1.58</v>
      </c>
    </row>
    <row r="35605" spans="1:2" x14ac:dyDescent="0.25">
      <c r="A35605" s="74">
        <v>40397</v>
      </c>
      <c r="B35605">
        <v>1.81</v>
      </c>
    </row>
    <row r="35606" spans="1:2" x14ac:dyDescent="0.25">
      <c r="A35606" s="74">
        <v>40398</v>
      </c>
      <c r="B35606">
        <v>1.63</v>
      </c>
    </row>
    <row r="35607" spans="1:2" x14ac:dyDescent="0.25">
      <c r="A35607" s="74">
        <v>40399</v>
      </c>
      <c r="B35607">
        <v>1.53</v>
      </c>
    </row>
    <row r="35608" spans="1:2" x14ac:dyDescent="0.25">
      <c r="A35608" s="74">
        <v>40400</v>
      </c>
      <c r="B35608">
        <v>1.42</v>
      </c>
    </row>
    <row r="35609" spans="1:2" x14ac:dyDescent="0.25">
      <c r="A35609" s="74">
        <v>40401</v>
      </c>
      <c r="B35609">
        <v>1.29</v>
      </c>
    </row>
    <row r="35610" spans="1:2" x14ac:dyDescent="0.25">
      <c r="A35610" s="74">
        <v>40402</v>
      </c>
      <c r="B35610">
        <v>1.34</v>
      </c>
    </row>
    <row r="35611" spans="1:2" x14ac:dyDescent="0.25">
      <c r="A35611" s="74">
        <v>40403</v>
      </c>
      <c r="B35611">
        <v>1.33</v>
      </c>
    </row>
    <row r="35612" spans="1:2" x14ac:dyDescent="0.25">
      <c r="A35612" s="74">
        <v>40404</v>
      </c>
      <c r="B35612">
        <v>1.5</v>
      </c>
    </row>
    <row r="35613" spans="1:2" x14ac:dyDescent="0.25">
      <c r="A35613" s="74">
        <v>40405</v>
      </c>
      <c r="B35613">
        <v>1.48</v>
      </c>
    </row>
    <row r="35614" spans="1:2" x14ac:dyDescent="0.25">
      <c r="A35614" s="74">
        <v>40406</v>
      </c>
      <c r="B35614">
        <v>1.44</v>
      </c>
    </row>
    <row r="35615" spans="1:2" x14ac:dyDescent="0.25">
      <c r="A35615" s="74">
        <v>40407</v>
      </c>
      <c r="B35615">
        <v>1.53</v>
      </c>
    </row>
    <row r="35616" spans="1:2" x14ac:dyDescent="0.25">
      <c r="A35616" s="74">
        <v>40408</v>
      </c>
      <c r="B35616">
        <v>1.6</v>
      </c>
    </row>
    <row r="35617" spans="1:2" x14ac:dyDescent="0.25">
      <c r="A35617" s="74">
        <v>40409</v>
      </c>
      <c r="B35617">
        <v>1.6</v>
      </c>
    </row>
    <row r="35618" spans="1:2" x14ac:dyDescent="0.25">
      <c r="A35618" s="74">
        <v>40410</v>
      </c>
      <c r="B35618">
        <v>1.62</v>
      </c>
    </row>
    <row r="35619" spans="1:2" x14ac:dyDescent="0.25">
      <c r="A35619" s="74">
        <v>40411</v>
      </c>
      <c r="B35619">
        <v>1.63</v>
      </c>
    </row>
    <row r="35620" spans="1:2" x14ac:dyDescent="0.25">
      <c r="A35620" s="74">
        <v>40412</v>
      </c>
      <c r="B35620">
        <v>1.61</v>
      </c>
    </row>
    <row r="35621" spans="1:2" x14ac:dyDescent="0.25">
      <c r="A35621" s="74">
        <v>40413</v>
      </c>
      <c r="B35621">
        <v>1.59</v>
      </c>
    </row>
    <row r="35622" spans="1:2" x14ac:dyDescent="0.25">
      <c r="A35622" s="74">
        <v>40414</v>
      </c>
      <c r="B35622">
        <v>1.69</v>
      </c>
    </row>
    <row r="35623" spans="1:2" x14ac:dyDescent="0.25">
      <c r="A35623" s="74">
        <v>40415</v>
      </c>
      <c r="B35623">
        <v>1.78</v>
      </c>
    </row>
    <row r="35624" spans="1:2" x14ac:dyDescent="0.25">
      <c r="A35624" s="74">
        <v>40416</v>
      </c>
      <c r="B35624">
        <v>1.79</v>
      </c>
    </row>
    <row r="35625" spans="1:2" x14ac:dyDescent="0.25">
      <c r="A35625" s="74">
        <v>40417</v>
      </c>
      <c r="B35625">
        <v>1.78</v>
      </c>
    </row>
    <row r="35626" spans="1:2" x14ac:dyDescent="0.25">
      <c r="A35626" s="74">
        <v>40418</v>
      </c>
      <c r="B35626">
        <v>1.82</v>
      </c>
    </row>
    <row r="35627" spans="1:2" x14ac:dyDescent="0.25">
      <c r="A35627" s="74">
        <v>40419</v>
      </c>
      <c r="B35627">
        <v>1.78</v>
      </c>
    </row>
    <row r="35628" spans="1:2" x14ac:dyDescent="0.25">
      <c r="A35628" s="74">
        <v>40420</v>
      </c>
      <c r="B35628">
        <v>1.79</v>
      </c>
    </row>
    <row r="35629" spans="1:2" x14ac:dyDescent="0.25">
      <c r="A35629" s="74">
        <v>40421</v>
      </c>
      <c r="B35629">
        <v>1.95</v>
      </c>
    </row>
    <row r="35630" spans="1:2" x14ac:dyDescent="0.25">
      <c r="A35630" s="74">
        <v>40422</v>
      </c>
      <c r="B35630">
        <v>1.9</v>
      </c>
    </row>
    <row r="35631" spans="1:2" x14ac:dyDescent="0.25">
      <c r="A35631" s="74">
        <v>40423</v>
      </c>
      <c r="B35631">
        <v>1.88</v>
      </c>
    </row>
    <row r="35632" spans="1:2" x14ac:dyDescent="0.25">
      <c r="A35632" s="74">
        <v>40424</v>
      </c>
      <c r="B35632">
        <v>1.78</v>
      </c>
    </row>
    <row r="35633" spans="1:2" x14ac:dyDescent="0.25">
      <c r="A35633" s="74">
        <v>40425</v>
      </c>
      <c r="B35633">
        <v>1.75</v>
      </c>
    </row>
    <row r="35634" spans="1:2" x14ac:dyDescent="0.25">
      <c r="A35634" s="74">
        <v>40426</v>
      </c>
      <c r="B35634">
        <v>1.76</v>
      </c>
    </row>
    <row r="35635" spans="1:2" x14ac:dyDescent="0.25">
      <c r="A35635" s="74">
        <v>40427</v>
      </c>
      <c r="B35635">
        <v>1.85</v>
      </c>
    </row>
    <row r="35636" spans="1:2" x14ac:dyDescent="0.25">
      <c r="A35636" s="74">
        <v>40428</v>
      </c>
      <c r="B35636">
        <v>2.0099999999999998</v>
      </c>
    </row>
    <row r="35637" spans="1:2" x14ac:dyDescent="0.25">
      <c r="A35637" s="74">
        <v>40429</v>
      </c>
      <c r="B35637">
        <v>1.98</v>
      </c>
    </row>
    <row r="35638" spans="1:2" x14ac:dyDescent="0.25">
      <c r="A35638" s="74">
        <v>40430</v>
      </c>
      <c r="B35638">
        <v>1.8</v>
      </c>
    </row>
    <row r="35639" spans="1:2" x14ac:dyDescent="0.25">
      <c r="A35639" s="74">
        <v>40431</v>
      </c>
      <c r="B35639">
        <v>1.8</v>
      </c>
    </row>
    <row r="35640" spans="1:2" x14ac:dyDescent="0.25">
      <c r="A35640" s="74">
        <v>40432</v>
      </c>
      <c r="B35640">
        <v>1.75</v>
      </c>
    </row>
    <row r="35641" spans="1:2" x14ac:dyDescent="0.25">
      <c r="A35641" s="74">
        <v>40433</v>
      </c>
      <c r="B35641">
        <v>1.82</v>
      </c>
    </row>
    <row r="35642" spans="1:2" x14ac:dyDescent="0.25">
      <c r="A35642" s="74">
        <v>40434</v>
      </c>
      <c r="B35642">
        <v>2.08</v>
      </c>
    </row>
    <row r="35643" spans="1:2" x14ac:dyDescent="0.25">
      <c r="A35643" s="74">
        <v>40435</v>
      </c>
      <c r="B35643">
        <v>2.14</v>
      </c>
    </row>
    <row r="35644" spans="1:2" x14ac:dyDescent="0.25">
      <c r="A35644" s="74">
        <v>40436</v>
      </c>
      <c r="B35644">
        <v>1.91</v>
      </c>
    </row>
    <row r="35645" spans="1:2" x14ac:dyDescent="0.25">
      <c r="A35645" s="74">
        <v>40437</v>
      </c>
      <c r="B35645">
        <v>1.83</v>
      </c>
    </row>
    <row r="35646" spans="1:2" x14ac:dyDescent="0.25">
      <c r="A35646" s="74">
        <v>40438</v>
      </c>
      <c r="B35646">
        <v>1.78</v>
      </c>
    </row>
    <row r="35647" spans="1:2" x14ac:dyDescent="0.25">
      <c r="A35647" s="74">
        <v>40439</v>
      </c>
      <c r="B35647">
        <v>2.0299999999999998</v>
      </c>
    </row>
    <row r="35648" spans="1:2" x14ac:dyDescent="0.25">
      <c r="A35648" s="74">
        <v>40440</v>
      </c>
      <c r="B35648">
        <v>2.83</v>
      </c>
    </row>
    <row r="35649" spans="1:2" x14ac:dyDescent="0.25">
      <c r="A35649" s="74">
        <v>40441</v>
      </c>
      <c r="B35649">
        <v>3.34</v>
      </c>
    </row>
    <row r="35650" spans="1:2" x14ac:dyDescent="0.25">
      <c r="A35650" s="74">
        <v>40442</v>
      </c>
      <c r="B35650">
        <v>3.05</v>
      </c>
    </row>
    <row r="35651" spans="1:2" x14ac:dyDescent="0.25">
      <c r="A35651" s="74">
        <v>40443</v>
      </c>
      <c r="B35651">
        <v>2.5499999999999998</v>
      </c>
    </row>
    <row r="35652" spans="1:2" x14ac:dyDescent="0.25">
      <c r="A35652" s="74">
        <v>40444</v>
      </c>
      <c r="B35652">
        <v>2.21</v>
      </c>
    </row>
    <row r="35653" spans="1:2" x14ac:dyDescent="0.25">
      <c r="A35653" s="74">
        <v>40445</v>
      </c>
      <c r="B35653">
        <v>2.97</v>
      </c>
    </row>
    <row r="35654" spans="1:2" x14ac:dyDescent="0.25">
      <c r="A35654" s="74">
        <v>40446</v>
      </c>
      <c r="B35654">
        <v>7.85</v>
      </c>
    </row>
    <row r="35655" spans="1:2" x14ac:dyDescent="0.25">
      <c r="A35655" s="74">
        <v>40447</v>
      </c>
      <c r="B35655">
        <v>22</v>
      </c>
    </row>
    <row r="35656" spans="1:2" x14ac:dyDescent="0.25">
      <c r="A35656" s="74">
        <v>40448</v>
      </c>
      <c r="B35656">
        <v>9.24</v>
      </c>
    </row>
    <row r="35657" spans="1:2" x14ac:dyDescent="0.25">
      <c r="A35657" s="74">
        <v>40449</v>
      </c>
      <c r="B35657">
        <v>8.73</v>
      </c>
    </row>
    <row r="35658" spans="1:2" x14ac:dyDescent="0.25">
      <c r="A35658" s="74">
        <v>40450</v>
      </c>
      <c r="B35658">
        <v>5.91</v>
      </c>
    </row>
    <row r="35659" spans="1:2" x14ac:dyDescent="0.25">
      <c r="A35659" s="74">
        <v>40451</v>
      </c>
      <c r="B35659">
        <v>4.51</v>
      </c>
    </row>
    <row r="35660" spans="1:2" x14ac:dyDescent="0.25">
      <c r="A35660" s="74">
        <v>40452</v>
      </c>
      <c r="B35660">
        <v>3.61</v>
      </c>
    </row>
    <row r="35661" spans="1:2" x14ac:dyDescent="0.25">
      <c r="A35661" s="74">
        <v>40453</v>
      </c>
      <c r="B35661">
        <v>3.01</v>
      </c>
    </row>
    <row r="35662" spans="1:2" x14ac:dyDescent="0.25">
      <c r="A35662" s="74">
        <v>40454</v>
      </c>
      <c r="B35662">
        <v>2.62</v>
      </c>
    </row>
    <row r="35663" spans="1:2" x14ac:dyDescent="0.25">
      <c r="A35663" s="74">
        <v>40455</v>
      </c>
      <c r="B35663">
        <v>2.35</v>
      </c>
    </row>
    <row r="35664" spans="1:2" x14ac:dyDescent="0.25">
      <c r="A35664" s="74">
        <v>40456</v>
      </c>
      <c r="B35664">
        <v>2.16</v>
      </c>
    </row>
    <row r="35665" spans="1:2" x14ac:dyDescent="0.25">
      <c r="A35665" s="74">
        <v>40457</v>
      </c>
      <c r="B35665">
        <v>2.0699999999999998</v>
      </c>
    </row>
    <row r="35666" spans="1:2" x14ac:dyDescent="0.25">
      <c r="A35666" s="74">
        <v>40458</v>
      </c>
      <c r="B35666">
        <v>2.0499999999999998</v>
      </c>
    </row>
    <row r="35667" spans="1:2" x14ac:dyDescent="0.25">
      <c r="A35667" s="74">
        <v>40459</v>
      </c>
      <c r="B35667">
        <v>2.0099999999999998</v>
      </c>
    </row>
    <row r="35668" spans="1:2" x14ac:dyDescent="0.25">
      <c r="A35668" s="74">
        <v>40460</v>
      </c>
      <c r="B35668">
        <v>3.97</v>
      </c>
    </row>
    <row r="35669" spans="1:2" x14ac:dyDescent="0.25">
      <c r="A35669" s="74">
        <v>40461</v>
      </c>
      <c r="B35669">
        <v>15.7</v>
      </c>
    </row>
    <row r="35670" spans="1:2" x14ac:dyDescent="0.25">
      <c r="A35670" s="74">
        <v>40462</v>
      </c>
      <c r="B35670">
        <v>9.76</v>
      </c>
    </row>
    <row r="35671" spans="1:2" x14ac:dyDescent="0.25">
      <c r="A35671" s="74">
        <v>40463</v>
      </c>
      <c r="B35671">
        <v>9.8800000000000008</v>
      </c>
    </row>
    <row r="35672" spans="1:2" x14ac:dyDescent="0.25">
      <c r="A35672" s="74">
        <v>40464</v>
      </c>
      <c r="B35672">
        <v>7.14</v>
      </c>
    </row>
    <row r="35673" spans="1:2" x14ac:dyDescent="0.25">
      <c r="A35673" s="74">
        <v>40465</v>
      </c>
      <c r="B35673">
        <v>5.53</v>
      </c>
    </row>
    <row r="35674" spans="1:2" x14ac:dyDescent="0.25">
      <c r="A35674" s="74">
        <v>40466</v>
      </c>
      <c r="B35674">
        <v>4.57</v>
      </c>
    </row>
    <row r="35675" spans="1:2" x14ac:dyDescent="0.25">
      <c r="A35675" s="74">
        <v>40467</v>
      </c>
      <c r="B35675">
        <v>3.94</v>
      </c>
    </row>
    <row r="35676" spans="1:2" x14ac:dyDescent="0.25">
      <c r="A35676" s="74">
        <v>40468</v>
      </c>
      <c r="B35676">
        <v>3.5</v>
      </c>
    </row>
    <row r="35677" spans="1:2" x14ac:dyDescent="0.25">
      <c r="A35677" s="74">
        <v>40469</v>
      </c>
      <c r="B35677">
        <v>3.27</v>
      </c>
    </row>
    <row r="35678" spans="1:2" x14ac:dyDescent="0.25">
      <c r="A35678" s="74">
        <v>40470</v>
      </c>
      <c r="B35678">
        <v>3.01</v>
      </c>
    </row>
    <row r="35679" spans="1:2" x14ac:dyDescent="0.25">
      <c r="A35679" s="74">
        <v>40471</v>
      </c>
      <c r="B35679">
        <v>2.8</v>
      </c>
    </row>
    <row r="35680" spans="1:2" x14ac:dyDescent="0.25">
      <c r="A35680" s="74">
        <v>40472</v>
      </c>
      <c r="B35680">
        <v>2.65</v>
      </c>
    </row>
    <row r="35681" spans="1:2" x14ac:dyDescent="0.25">
      <c r="A35681" s="74">
        <v>40473</v>
      </c>
      <c r="B35681">
        <v>3.1</v>
      </c>
    </row>
    <row r="35682" spans="1:2" x14ac:dyDescent="0.25">
      <c r="A35682" s="74">
        <v>40474</v>
      </c>
      <c r="B35682">
        <v>4.72</v>
      </c>
    </row>
    <row r="35683" spans="1:2" x14ac:dyDescent="0.25">
      <c r="A35683" s="74">
        <v>40475</v>
      </c>
      <c r="B35683">
        <v>28.5</v>
      </c>
    </row>
    <row r="35684" spans="1:2" x14ac:dyDescent="0.25">
      <c r="A35684" s="74">
        <v>40476</v>
      </c>
      <c r="B35684">
        <v>40.5</v>
      </c>
    </row>
    <row r="35685" spans="1:2" x14ac:dyDescent="0.25">
      <c r="A35685" s="74">
        <v>40477</v>
      </c>
      <c r="B35685">
        <v>36.200000000000003</v>
      </c>
    </row>
    <row r="35686" spans="1:2" x14ac:dyDescent="0.25">
      <c r="A35686" s="74">
        <v>40478</v>
      </c>
      <c r="B35686">
        <v>18.3</v>
      </c>
    </row>
    <row r="35687" spans="1:2" x14ac:dyDescent="0.25">
      <c r="A35687" s="74">
        <v>40479</v>
      </c>
      <c r="B35687">
        <v>13.1</v>
      </c>
    </row>
    <row r="35688" spans="1:2" x14ac:dyDescent="0.25">
      <c r="A35688" s="74">
        <v>40480</v>
      </c>
      <c r="B35688">
        <v>12.1</v>
      </c>
    </row>
    <row r="35689" spans="1:2" x14ac:dyDescent="0.25">
      <c r="A35689" s="74">
        <v>40481</v>
      </c>
      <c r="B35689">
        <v>10.6</v>
      </c>
    </row>
    <row r="35690" spans="1:2" x14ac:dyDescent="0.25">
      <c r="A35690" s="74">
        <v>40482</v>
      </c>
      <c r="B35690">
        <v>20.3</v>
      </c>
    </row>
    <row r="35691" spans="1:2" x14ac:dyDescent="0.25">
      <c r="A35691" s="74">
        <v>40483</v>
      </c>
      <c r="B35691">
        <v>75.599999999999994</v>
      </c>
    </row>
    <row r="35692" spans="1:2" x14ac:dyDescent="0.25">
      <c r="A35692" s="74">
        <v>40484</v>
      </c>
      <c r="B35692">
        <v>49.4</v>
      </c>
    </row>
    <row r="35693" spans="1:2" x14ac:dyDescent="0.25">
      <c r="A35693" s="74">
        <v>40485</v>
      </c>
      <c r="B35693">
        <v>24.6</v>
      </c>
    </row>
    <row r="35694" spans="1:2" x14ac:dyDescent="0.25">
      <c r="A35694" s="74">
        <v>40486</v>
      </c>
      <c r="B35694">
        <v>15.3</v>
      </c>
    </row>
    <row r="35695" spans="1:2" x14ac:dyDescent="0.25">
      <c r="A35695" s="74">
        <v>40487</v>
      </c>
      <c r="B35695">
        <v>12.5</v>
      </c>
    </row>
    <row r="35696" spans="1:2" x14ac:dyDescent="0.25">
      <c r="A35696" s="74">
        <v>40488</v>
      </c>
      <c r="B35696">
        <v>10.9</v>
      </c>
    </row>
    <row r="35697" spans="1:2" x14ac:dyDescent="0.25">
      <c r="A35697" s="74">
        <v>40489</v>
      </c>
      <c r="B35697">
        <v>26.8</v>
      </c>
    </row>
    <row r="35698" spans="1:2" x14ac:dyDescent="0.25">
      <c r="A35698" s="74">
        <v>40490</v>
      </c>
      <c r="B35698">
        <v>18.2</v>
      </c>
    </row>
    <row r="35699" spans="1:2" x14ac:dyDescent="0.25">
      <c r="A35699" s="74">
        <v>40491</v>
      </c>
      <c r="B35699">
        <v>14.2</v>
      </c>
    </row>
    <row r="35700" spans="1:2" x14ac:dyDescent="0.25">
      <c r="A35700" s="74">
        <v>40492</v>
      </c>
      <c r="B35700">
        <v>13.6</v>
      </c>
    </row>
    <row r="35701" spans="1:2" x14ac:dyDescent="0.25">
      <c r="A35701" s="74">
        <v>40493</v>
      </c>
      <c r="B35701">
        <v>12.6</v>
      </c>
    </row>
    <row r="35702" spans="1:2" x14ac:dyDescent="0.25">
      <c r="A35702" s="74">
        <v>40494</v>
      </c>
      <c r="B35702">
        <v>13.2</v>
      </c>
    </row>
    <row r="35703" spans="1:2" x14ac:dyDescent="0.25">
      <c r="A35703" s="74">
        <v>40495</v>
      </c>
      <c r="B35703">
        <v>11.4</v>
      </c>
    </row>
    <row r="35704" spans="1:2" x14ac:dyDescent="0.25">
      <c r="A35704" s="74">
        <v>40496</v>
      </c>
      <c r="B35704">
        <v>11.2</v>
      </c>
    </row>
    <row r="35705" spans="1:2" x14ac:dyDescent="0.25">
      <c r="A35705" s="74">
        <v>40497</v>
      </c>
      <c r="B35705">
        <v>11.2</v>
      </c>
    </row>
    <row r="35706" spans="1:2" x14ac:dyDescent="0.25">
      <c r="A35706" s="74">
        <v>40498</v>
      </c>
      <c r="B35706">
        <v>11.1</v>
      </c>
    </row>
    <row r="35707" spans="1:2" x14ac:dyDescent="0.25">
      <c r="A35707" s="74">
        <v>40499</v>
      </c>
      <c r="B35707">
        <v>12.9</v>
      </c>
    </row>
    <row r="35708" spans="1:2" x14ac:dyDescent="0.25">
      <c r="A35708" s="74">
        <v>40500</v>
      </c>
      <c r="B35708">
        <v>14.1</v>
      </c>
    </row>
    <row r="35709" spans="1:2" x14ac:dyDescent="0.25">
      <c r="A35709" s="74">
        <v>40501</v>
      </c>
      <c r="B35709">
        <v>11.9</v>
      </c>
    </row>
    <row r="35710" spans="1:2" x14ac:dyDescent="0.25">
      <c r="A35710" s="74">
        <v>40502</v>
      </c>
      <c r="B35710">
        <v>10.7</v>
      </c>
    </row>
    <row r="35711" spans="1:2" x14ac:dyDescent="0.25">
      <c r="A35711" s="74">
        <v>40503</v>
      </c>
      <c r="B35711">
        <v>9.18</v>
      </c>
    </row>
    <row r="35712" spans="1:2" x14ac:dyDescent="0.25">
      <c r="A35712" s="74">
        <v>40504</v>
      </c>
      <c r="B35712">
        <v>7.95</v>
      </c>
    </row>
    <row r="35713" spans="1:2" x14ac:dyDescent="0.25">
      <c r="A35713" s="74">
        <v>40505</v>
      </c>
      <c r="B35713">
        <v>6.81</v>
      </c>
    </row>
    <row r="35714" spans="1:2" x14ac:dyDescent="0.25">
      <c r="A35714" s="74">
        <v>40506</v>
      </c>
      <c r="B35714">
        <v>6.12</v>
      </c>
    </row>
    <row r="35715" spans="1:2" x14ac:dyDescent="0.25">
      <c r="A35715" s="74">
        <v>40507</v>
      </c>
      <c r="B35715">
        <v>5.61</v>
      </c>
    </row>
    <row r="35716" spans="1:2" x14ac:dyDescent="0.25">
      <c r="A35716" s="74">
        <v>40508</v>
      </c>
      <c r="B35716">
        <v>9.0500000000000007</v>
      </c>
    </row>
    <row r="35717" spans="1:2" x14ac:dyDescent="0.25">
      <c r="A35717" s="74">
        <v>40509</v>
      </c>
      <c r="B35717">
        <v>11.5</v>
      </c>
    </row>
    <row r="35718" spans="1:2" x14ac:dyDescent="0.25">
      <c r="A35718" s="74">
        <v>40510</v>
      </c>
      <c r="B35718">
        <v>10.3</v>
      </c>
    </row>
    <row r="35719" spans="1:2" x14ac:dyDescent="0.25">
      <c r="A35719" s="74">
        <v>40511</v>
      </c>
      <c r="B35719">
        <v>9.2200000000000006</v>
      </c>
    </row>
    <row r="35720" spans="1:2" x14ac:dyDescent="0.25">
      <c r="A35720" s="74">
        <v>40512</v>
      </c>
      <c r="B35720">
        <v>38</v>
      </c>
    </row>
    <row r="35721" spans="1:2" x14ac:dyDescent="0.25">
      <c r="A35721" s="74">
        <v>40513</v>
      </c>
      <c r="B35721">
        <v>32.700000000000003</v>
      </c>
    </row>
    <row r="35722" spans="1:2" x14ac:dyDescent="0.25">
      <c r="A35722" s="74">
        <v>40514</v>
      </c>
      <c r="B35722">
        <v>19.399999999999999</v>
      </c>
    </row>
    <row r="35723" spans="1:2" x14ac:dyDescent="0.25">
      <c r="A35723" s="74">
        <v>40515</v>
      </c>
      <c r="B35723">
        <v>14.2</v>
      </c>
    </row>
    <row r="35724" spans="1:2" x14ac:dyDescent="0.25">
      <c r="A35724" s="74">
        <v>40516</v>
      </c>
      <c r="B35724">
        <v>11.6</v>
      </c>
    </row>
    <row r="35725" spans="1:2" x14ac:dyDescent="0.25">
      <c r="A35725" s="74">
        <v>40517</v>
      </c>
      <c r="B35725">
        <v>9.76</v>
      </c>
    </row>
    <row r="35726" spans="1:2" x14ac:dyDescent="0.25">
      <c r="A35726" s="74">
        <v>40518</v>
      </c>
      <c r="B35726">
        <v>8.5</v>
      </c>
    </row>
    <row r="35727" spans="1:2" x14ac:dyDescent="0.25">
      <c r="A35727" s="74">
        <v>40519</v>
      </c>
      <c r="B35727">
        <v>60.7</v>
      </c>
    </row>
    <row r="35728" spans="1:2" x14ac:dyDescent="0.25">
      <c r="A35728" s="74">
        <v>40520</v>
      </c>
      <c r="B35728">
        <v>153</v>
      </c>
    </row>
    <row r="35729" spans="1:2" x14ac:dyDescent="0.25">
      <c r="A35729" s="74">
        <v>40521</v>
      </c>
      <c r="B35729">
        <v>110</v>
      </c>
    </row>
    <row r="35730" spans="1:2" x14ac:dyDescent="0.25">
      <c r="A35730" s="74">
        <v>40522</v>
      </c>
      <c r="B35730">
        <v>57.1</v>
      </c>
    </row>
    <row r="35731" spans="1:2" x14ac:dyDescent="0.25">
      <c r="A35731" s="74">
        <v>40523</v>
      </c>
      <c r="B35731">
        <v>32.1</v>
      </c>
    </row>
    <row r="35732" spans="1:2" x14ac:dyDescent="0.25">
      <c r="A35732" s="74">
        <v>40524</v>
      </c>
      <c r="B35732">
        <v>87.1</v>
      </c>
    </row>
    <row r="35733" spans="1:2" x14ac:dyDescent="0.25">
      <c r="A35733" s="74">
        <v>40525</v>
      </c>
      <c r="B35733">
        <v>62.8</v>
      </c>
    </row>
    <row r="35734" spans="1:2" x14ac:dyDescent="0.25">
      <c r="A35734" s="74">
        <v>40526</v>
      </c>
      <c r="B35734">
        <v>58.8</v>
      </c>
    </row>
    <row r="35735" spans="1:2" x14ac:dyDescent="0.25">
      <c r="A35735" s="74">
        <v>40527</v>
      </c>
      <c r="B35735">
        <v>37.799999999999997</v>
      </c>
    </row>
    <row r="35736" spans="1:2" x14ac:dyDescent="0.25">
      <c r="A35736" s="74">
        <v>40528</v>
      </c>
      <c r="B35736">
        <v>24.2</v>
      </c>
    </row>
    <row r="35737" spans="1:2" x14ac:dyDescent="0.25">
      <c r="A35737" s="74">
        <v>40529</v>
      </c>
      <c r="B35737">
        <v>16.899999999999999</v>
      </c>
    </row>
    <row r="35738" spans="1:2" x14ac:dyDescent="0.25">
      <c r="A35738" s="74">
        <v>40530</v>
      </c>
      <c r="B35738">
        <v>13.6</v>
      </c>
    </row>
    <row r="35739" spans="1:2" x14ac:dyDescent="0.25">
      <c r="A35739" s="74">
        <v>40531</v>
      </c>
      <c r="B35739">
        <v>11.5</v>
      </c>
    </row>
    <row r="35740" spans="1:2" x14ac:dyDescent="0.25">
      <c r="A35740" s="74">
        <v>40532</v>
      </c>
      <c r="B35740">
        <v>10</v>
      </c>
    </row>
    <row r="35741" spans="1:2" x14ac:dyDescent="0.25">
      <c r="A35741" s="74">
        <v>40533</v>
      </c>
      <c r="B35741">
        <v>10.6</v>
      </c>
    </row>
    <row r="35742" spans="1:2" x14ac:dyDescent="0.25">
      <c r="A35742" s="74">
        <v>40534</v>
      </c>
      <c r="B35742">
        <v>17.7</v>
      </c>
    </row>
    <row r="35743" spans="1:2" x14ac:dyDescent="0.25">
      <c r="A35743" s="74">
        <v>40535</v>
      </c>
      <c r="B35743">
        <v>36.5</v>
      </c>
    </row>
    <row r="35744" spans="1:2" x14ac:dyDescent="0.25">
      <c r="A35744" s="74">
        <v>40536</v>
      </c>
      <c r="B35744">
        <v>194</v>
      </c>
    </row>
    <row r="35745" spans="1:2" x14ac:dyDescent="0.25">
      <c r="A35745" s="74">
        <v>40537</v>
      </c>
      <c r="B35745">
        <v>161</v>
      </c>
    </row>
    <row r="35746" spans="1:2" x14ac:dyDescent="0.25">
      <c r="A35746" s="74">
        <v>40538</v>
      </c>
      <c r="B35746">
        <v>86.3</v>
      </c>
    </row>
    <row r="35747" spans="1:2" x14ac:dyDescent="0.25">
      <c r="A35747" s="74">
        <v>40539</v>
      </c>
      <c r="B35747">
        <v>50.7</v>
      </c>
    </row>
    <row r="35748" spans="1:2" x14ac:dyDescent="0.25">
      <c r="A35748" s="74">
        <v>40540</v>
      </c>
      <c r="B35748">
        <v>34.1</v>
      </c>
    </row>
    <row r="35749" spans="1:2" x14ac:dyDescent="0.25">
      <c r="A35749" s="74">
        <v>40541</v>
      </c>
      <c r="B35749">
        <v>23.1</v>
      </c>
    </row>
    <row r="35750" spans="1:2" x14ac:dyDescent="0.25">
      <c r="A35750" s="74">
        <v>40542</v>
      </c>
      <c r="B35750">
        <v>16.399999999999999</v>
      </c>
    </row>
    <row r="35751" spans="1:2" x14ac:dyDescent="0.25">
      <c r="A35751" s="74">
        <v>40543</v>
      </c>
      <c r="B35751">
        <v>13</v>
      </c>
    </row>
    <row r="35752" spans="1:2" x14ac:dyDescent="0.25">
      <c r="A35752" s="74">
        <v>40544</v>
      </c>
      <c r="B35752">
        <v>10.8</v>
      </c>
    </row>
    <row r="35753" spans="1:2" x14ac:dyDescent="0.25">
      <c r="A35753" s="74">
        <v>40545</v>
      </c>
      <c r="B35753">
        <v>9.15</v>
      </c>
    </row>
    <row r="35754" spans="1:2" x14ac:dyDescent="0.25">
      <c r="A35754" s="74">
        <v>40546</v>
      </c>
      <c r="B35754">
        <v>7.69</v>
      </c>
    </row>
    <row r="35755" spans="1:2" x14ac:dyDescent="0.25">
      <c r="A35755" s="74">
        <v>40547</v>
      </c>
      <c r="B35755">
        <v>6.79</v>
      </c>
    </row>
    <row r="35756" spans="1:2" x14ac:dyDescent="0.25">
      <c r="A35756" s="74">
        <v>40548</v>
      </c>
      <c r="B35756">
        <v>6.51</v>
      </c>
    </row>
    <row r="35757" spans="1:2" x14ac:dyDescent="0.25">
      <c r="A35757" s="74">
        <v>40549</v>
      </c>
      <c r="B35757">
        <v>11.8</v>
      </c>
    </row>
    <row r="35758" spans="1:2" x14ac:dyDescent="0.25">
      <c r="A35758" s="74">
        <v>40550</v>
      </c>
      <c r="B35758">
        <v>68.2</v>
      </c>
    </row>
    <row r="35759" spans="1:2" x14ac:dyDescent="0.25">
      <c r="A35759" s="74">
        <v>40551</v>
      </c>
      <c r="B35759">
        <v>46.9</v>
      </c>
    </row>
    <row r="35760" spans="1:2" x14ac:dyDescent="0.25">
      <c r="A35760" s="74">
        <v>40552</v>
      </c>
      <c r="B35760">
        <v>26.7</v>
      </c>
    </row>
    <row r="35761" spans="1:2" x14ac:dyDescent="0.25">
      <c r="A35761" s="74">
        <v>40553</v>
      </c>
      <c r="B35761">
        <v>17.2</v>
      </c>
    </row>
    <row r="35762" spans="1:2" x14ac:dyDescent="0.25">
      <c r="A35762" s="74">
        <v>40554</v>
      </c>
      <c r="B35762">
        <v>13.5</v>
      </c>
    </row>
    <row r="35763" spans="1:2" x14ac:dyDescent="0.25">
      <c r="A35763" s="74">
        <v>40555</v>
      </c>
      <c r="B35763">
        <v>12.8</v>
      </c>
    </row>
    <row r="35764" spans="1:2" x14ac:dyDescent="0.25">
      <c r="A35764" s="74">
        <v>40556</v>
      </c>
      <c r="B35764">
        <v>17.3</v>
      </c>
    </row>
    <row r="35765" spans="1:2" x14ac:dyDescent="0.25">
      <c r="A35765" s="74">
        <v>40557</v>
      </c>
      <c r="B35765">
        <v>49.9</v>
      </c>
    </row>
    <row r="35766" spans="1:2" x14ac:dyDescent="0.25">
      <c r="A35766" s="74">
        <v>40558</v>
      </c>
      <c r="B35766">
        <v>94.3</v>
      </c>
    </row>
    <row r="35767" spans="1:2" x14ac:dyDescent="0.25">
      <c r="A35767" s="74">
        <v>40559</v>
      </c>
      <c r="B35767">
        <v>90.2</v>
      </c>
    </row>
    <row r="35768" spans="1:2" x14ac:dyDescent="0.25">
      <c r="A35768" s="74">
        <v>40560</v>
      </c>
      <c r="B35768">
        <v>80.099999999999994</v>
      </c>
    </row>
    <row r="35769" spans="1:2" x14ac:dyDescent="0.25">
      <c r="A35769" s="74">
        <v>40561</v>
      </c>
      <c r="B35769">
        <v>43.9</v>
      </c>
    </row>
    <row r="35770" spans="1:2" x14ac:dyDescent="0.25">
      <c r="A35770" s="74">
        <v>40562</v>
      </c>
      <c r="B35770">
        <v>27.8</v>
      </c>
    </row>
    <row r="35771" spans="1:2" x14ac:dyDescent="0.25">
      <c r="A35771" s="74">
        <v>40563</v>
      </c>
      <c r="B35771">
        <v>19</v>
      </c>
    </row>
    <row r="35772" spans="1:2" x14ac:dyDescent="0.25">
      <c r="A35772" s="74">
        <v>40564</v>
      </c>
      <c r="B35772">
        <v>15.7</v>
      </c>
    </row>
    <row r="35773" spans="1:2" x14ac:dyDescent="0.25">
      <c r="A35773" s="74">
        <v>40565</v>
      </c>
      <c r="B35773">
        <v>14</v>
      </c>
    </row>
    <row r="35774" spans="1:2" x14ac:dyDescent="0.25">
      <c r="A35774" s="74">
        <v>40566</v>
      </c>
      <c r="B35774">
        <v>12.6</v>
      </c>
    </row>
    <row r="35775" spans="1:2" x14ac:dyDescent="0.25">
      <c r="A35775" s="74">
        <v>40567</v>
      </c>
      <c r="B35775">
        <v>12.4</v>
      </c>
    </row>
    <row r="35776" spans="1:2" x14ac:dyDescent="0.25">
      <c r="A35776" s="74">
        <v>40568</v>
      </c>
      <c r="B35776">
        <v>14.6</v>
      </c>
    </row>
    <row r="35777" spans="1:2" x14ac:dyDescent="0.25">
      <c r="A35777" s="74">
        <v>40569</v>
      </c>
      <c r="B35777">
        <v>14</v>
      </c>
    </row>
    <row r="35778" spans="1:2" x14ac:dyDescent="0.25">
      <c r="A35778" s="74">
        <v>40570</v>
      </c>
      <c r="B35778">
        <v>13.4</v>
      </c>
    </row>
    <row r="35779" spans="1:2" x14ac:dyDescent="0.25">
      <c r="A35779" s="74">
        <v>40571</v>
      </c>
      <c r="B35779">
        <v>13</v>
      </c>
    </row>
    <row r="35780" spans="1:2" x14ac:dyDescent="0.25">
      <c r="A35780" s="74">
        <v>40572</v>
      </c>
      <c r="B35780">
        <v>13.9</v>
      </c>
    </row>
    <row r="35781" spans="1:2" x14ac:dyDescent="0.25">
      <c r="A35781" s="74">
        <v>40573</v>
      </c>
      <c r="B35781">
        <v>13.8</v>
      </c>
    </row>
    <row r="35782" spans="1:2" x14ac:dyDescent="0.25">
      <c r="A35782" s="74">
        <v>40574</v>
      </c>
      <c r="B35782">
        <v>11.8</v>
      </c>
    </row>
    <row r="35783" spans="1:2" x14ac:dyDescent="0.25">
      <c r="A35783" s="74">
        <v>40575</v>
      </c>
      <c r="B35783">
        <v>10</v>
      </c>
    </row>
    <row r="35784" spans="1:2" x14ac:dyDescent="0.25">
      <c r="A35784" s="74">
        <v>40576</v>
      </c>
      <c r="B35784">
        <v>8.66</v>
      </c>
    </row>
    <row r="35785" spans="1:2" x14ac:dyDescent="0.25">
      <c r="A35785" s="74">
        <v>40577</v>
      </c>
      <c r="B35785">
        <v>8.27</v>
      </c>
    </row>
    <row r="35786" spans="1:2" x14ac:dyDescent="0.25">
      <c r="A35786" s="74">
        <v>40578</v>
      </c>
      <c r="B35786">
        <v>23.4</v>
      </c>
    </row>
    <row r="35787" spans="1:2" x14ac:dyDescent="0.25">
      <c r="A35787" s="74">
        <v>40579</v>
      </c>
      <c r="B35787">
        <v>23.6</v>
      </c>
    </row>
    <row r="35788" spans="1:2" x14ac:dyDescent="0.25">
      <c r="A35788" s="74">
        <v>40580</v>
      </c>
      <c r="B35788">
        <v>16.600000000000001</v>
      </c>
    </row>
    <row r="35789" spans="1:2" x14ac:dyDescent="0.25">
      <c r="A35789" s="74">
        <v>40581</v>
      </c>
      <c r="B35789">
        <v>15.8</v>
      </c>
    </row>
    <row r="35790" spans="1:2" x14ac:dyDescent="0.25">
      <c r="A35790" s="74">
        <v>40582</v>
      </c>
      <c r="B35790">
        <v>13.2</v>
      </c>
    </row>
    <row r="35791" spans="1:2" x14ac:dyDescent="0.25">
      <c r="A35791" s="74">
        <v>40583</v>
      </c>
      <c r="B35791">
        <v>11.1</v>
      </c>
    </row>
    <row r="35792" spans="1:2" x14ac:dyDescent="0.25">
      <c r="A35792" s="74">
        <v>40584</v>
      </c>
      <c r="B35792">
        <v>9.4700000000000006</v>
      </c>
    </row>
    <row r="35793" spans="1:2" x14ac:dyDescent="0.25">
      <c r="A35793" s="74">
        <v>40585</v>
      </c>
      <c r="B35793">
        <v>8.2100000000000009</v>
      </c>
    </row>
    <row r="35794" spans="1:2" x14ac:dyDescent="0.25">
      <c r="A35794" s="74">
        <v>40586</v>
      </c>
      <c r="B35794">
        <v>42.9</v>
      </c>
    </row>
    <row r="35795" spans="1:2" x14ac:dyDescent="0.25">
      <c r="A35795" s="74">
        <v>40587</v>
      </c>
      <c r="B35795">
        <v>64.8</v>
      </c>
    </row>
    <row r="35796" spans="1:2" x14ac:dyDescent="0.25">
      <c r="A35796" s="74">
        <v>40588</v>
      </c>
      <c r="B35796">
        <v>62.7</v>
      </c>
    </row>
    <row r="35797" spans="1:2" x14ac:dyDescent="0.25">
      <c r="A35797" s="74">
        <v>40589</v>
      </c>
      <c r="B35797">
        <v>67.599999999999994</v>
      </c>
    </row>
    <row r="35798" spans="1:2" x14ac:dyDescent="0.25">
      <c r="A35798" s="74">
        <v>40590</v>
      </c>
      <c r="B35798">
        <v>41.4</v>
      </c>
    </row>
    <row r="35799" spans="1:2" x14ac:dyDescent="0.25">
      <c r="A35799" s="74">
        <v>40591</v>
      </c>
      <c r="B35799">
        <v>27.4</v>
      </c>
    </row>
    <row r="35800" spans="1:2" x14ac:dyDescent="0.25">
      <c r="A35800" s="74">
        <v>40592</v>
      </c>
      <c r="B35800">
        <v>18.899999999999999</v>
      </c>
    </row>
    <row r="35801" spans="1:2" x14ac:dyDescent="0.25">
      <c r="A35801" s="74">
        <v>40593</v>
      </c>
      <c r="B35801">
        <v>14.3</v>
      </c>
    </row>
    <row r="35802" spans="1:2" x14ac:dyDescent="0.25">
      <c r="A35802" s="74">
        <v>40594</v>
      </c>
      <c r="B35802">
        <v>11.7</v>
      </c>
    </row>
    <row r="35803" spans="1:2" x14ac:dyDescent="0.25">
      <c r="A35803" s="74">
        <v>40595</v>
      </c>
      <c r="B35803">
        <v>9.9600000000000009</v>
      </c>
    </row>
    <row r="35804" spans="1:2" x14ac:dyDescent="0.25">
      <c r="A35804" s="74">
        <v>40596</v>
      </c>
      <c r="B35804">
        <v>8.7100000000000009</v>
      </c>
    </row>
    <row r="35805" spans="1:2" x14ac:dyDescent="0.25">
      <c r="A35805" s="74">
        <v>40597</v>
      </c>
      <c r="B35805">
        <v>7.6</v>
      </c>
    </row>
    <row r="35806" spans="1:2" x14ac:dyDescent="0.25">
      <c r="A35806" s="74">
        <v>40598</v>
      </c>
      <c r="B35806">
        <v>6.69</v>
      </c>
    </row>
    <row r="35807" spans="1:2" x14ac:dyDescent="0.25">
      <c r="A35807" s="74">
        <v>40599</v>
      </c>
      <c r="B35807">
        <v>5.69</v>
      </c>
    </row>
    <row r="35808" spans="1:2" x14ac:dyDescent="0.25">
      <c r="A35808" s="74">
        <v>40600</v>
      </c>
      <c r="B35808">
        <v>5.24</v>
      </c>
    </row>
    <row r="35809" spans="1:2" x14ac:dyDescent="0.25">
      <c r="A35809" s="74">
        <v>40601</v>
      </c>
      <c r="B35809">
        <v>5.14</v>
      </c>
    </row>
    <row r="35810" spans="1:2" x14ac:dyDescent="0.25">
      <c r="A35810" s="74">
        <v>40602</v>
      </c>
      <c r="B35810">
        <v>5.53</v>
      </c>
    </row>
    <row r="35811" spans="1:2" x14ac:dyDescent="0.25">
      <c r="A35811" s="74">
        <v>40603</v>
      </c>
      <c r="B35811">
        <v>5.09</v>
      </c>
    </row>
    <row r="35812" spans="1:2" x14ac:dyDescent="0.25">
      <c r="A35812" s="74">
        <v>40604</v>
      </c>
      <c r="B35812">
        <v>8.5299999999999994</v>
      </c>
    </row>
    <row r="35813" spans="1:2" x14ac:dyDescent="0.25">
      <c r="A35813" s="74">
        <v>40605</v>
      </c>
      <c r="B35813">
        <v>13.1</v>
      </c>
    </row>
    <row r="35814" spans="1:2" x14ac:dyDescent="0.25">
      <c r="A35814" s="74">
        <v>40606</v>
      </c>
      <c r="B35814">
        <v>11.6</v>
      </c>
    </row>
    <row r="35815" spans="1:2" x14ac:dyDescent="0.25">
      <c r="A35815" s="74">
        <v>40607</v>
      </c>
      <c r="B35815">
        <v>10.9</v>
      </c>
    </row>
    <row r="35816" spans="1:2" x14ac:dyDescent="0.25">
      <c r="A35816" s="74">
        <v>40608</v>
      </c>
      <c r="B35816">
        <v>9.65</v>
      </c>
    </row>
    <row r="35817" spans="1:2" x14ac:dyDescent="0.25">
      <c r="A35817" s="74">
        <v>40609</v>
      </c>
      <c r="B35817">
        <v>8.2899999999999991</v>
      </c>
    </row>
    <row r="35818" spans="1:2" x14ac:dyDescent="0.25">
      <c r="A35818" s="74">
        <v>40610</v>
      </c>
      <c r="B35818">
        <v>7.54</v>
      </c>
    </row>
    <row r="35819" spans="1:2" x14ac:dyDescent="0.25">
      <c r="A35819" s="74">
        <v>40611</v>
      </c>
      <c r="B35819">
        <v>16.5</v>
      </c>
    </row>
    <row r="35820" spans="1:2" x14ac:dyDescent="0.25">
      <c r="A35820" s="74">
        <v>40612</v>
      </c>
      <c r="B35820">
        <v>55.8</v>
      </c>
    </row>
    <row r="35821" spans="1:2" x14ac:dyDescent="0.25">
      <c r="A35821" s="74">
        <v>40613</v>
      </c>
      <c r="B35821">
        <v>53.1</v>
      </c>
    </row>
    <row r="35822" spans="1:2" x14ac:dyDescent="0.25">
      <c r="A35822" s="74">
        <v>40614</v>
      </c>
      <c r="B35822">
        <v>56.2</v>
      </c>
    </row>
    <row r="35823" spans="1:2" x14ac:dyDescent="0.25">
      <c r="A35823" s="74">
        <v>40615</v>
      </c>
      <c r="B35823">
        <v>71.599999999999994</v>
      </c>
    </row>
    <row r="35824" spans="1:2" x14ac:dyDescent="0.25">
      <c r="A35824" s="74">
        <v>40616</v>
      </c>
      <c r="B35824">
        <v>136</v>
      </c>
    </row>
    <row r="35825" spans="1:2" x14ac:dyDescent="0.25">
      <c r="A35825" s="74">
        <v>40617</v>
      </c>
      <c r="B35825">
        <v>118</v>
      </c>
    </row>
    <row r="35826" spans="1:2" x14ac:dyDescent="0.25">
      <c r="A35826" s="74">
        <v>40618</v>
      </c>
      <c r="B35826">
        <v>86.2</v>
      </c>
    </row>
    <row r="35827" spans="1:2" x14ac:dyDescent="0.25">
      <c r="A35827" s="74">
        <v>40619</v>
      </c>
      <c r="B35827">
        <v>44.3</v>
      </c>
    </row>
    <row r="35828" spans="1:2" x14ac:dyDescent="0.25">
      <c r="A35828" s="74">
        <v>40620</v>
      </c>
      <c r="B35828">
        <v>26.7</v>
      </c>
    </row>
    <row r="35829" spans="1:2" x14ac:dyDescent="0.25">
      <c r="A35829" s="74">
        <v>40621</v>
      </c>
      <c r="B35829">
        <v>20.7</v>
      </c>
    </row>
    <row r="35830" spans="1:2" x14ac:dyDescent="0.25">
      <c r="A35830" s="74">
        <v>40622</v>
      </c>
      <c r="B35830">
        <v>17.3</v>
      </c>
    </row>
    <row r="35831" spans="1:2" x14ac:dyDescent="0.25">
      <c r="A35831" s="74">
        <v>40623</v>
      </c>
      <c r="B35831">
        <v>15.1</v>
      </c>
    </row>
    <row r="35832" spans="1:2" x14ac:dyDescent="0.25">
      <c r="A35832" s="74">
        <v>40624</v>
      </c>
      <c r="B35832">
        <v>13.8</v>
      </c>
    </row>
    <row r="35833" spans="1:2" x14ac:dyDescent="0.25">
      <c r="A35833" s="74">
        <v>40625</v>
      </c>
      <c r="B35833">
        <v>12.6</v>
      </c>
    </row>
    <row r="35834" spans="1:2" x14ac:dyDescent="0.25">
      <c r="A35834" s="74">
        <v>40626</v>
      </c>
      <c r="B35834">
        <v>11.6</v>
      </c>
    </row>
    <row r="35835" spans="1:2" x14ac:dyDescent="0.25">
      <c r="A35835" s="74">
        <v>40627</v>
      </c>
      <c r="B35835">
        <v>11</v>
      </c>
    </row>
    <row r="35836" spans="1:2" x14ac:dyDescent="0.25">
      <c r="A35836" s="74">
        <v>40628</v>
      </c>
      <c r="B35836">
        <v>11.3</v>
      </c>
    </row>
    <row r="35837" spans="1:2" x14ac:dyDescent="0.25">
      <c r="A35837" s="74">
        <v>40629</v>
      </c>
      <c r="B35837">
        <v>11.2</v>
      </c>
    </row>
    <row r="35838" spans="1:2" x14ac:dyDescent="0.25">
      <c r="A35838" s="74">
        <v>40630</v>
      </c>
      <c r="B35838">
        <v>10.8</v>
      </c>
    </row>
    <row r="35839" spans="1:2" x14ac:dyDescent="0.25">
      <c r="A35839" s="74">
        <v>40631</v>
      </c>
      <c r="B35839">
        <v>11.8</v>
      </c>
    </row>
    <row r="35840" spans="1:2" x14ac:dyDescent="0.25">
      <c r="A35840" s="74">
        <v>40632</v>
      </c>
      <c r="B35840">
        <v>13.5</v>
      </c>
    </row>
    <row r="35841" spans="1:2" x14ac:dyDescent="0.25">
      <c r="A35841" s="74">
        <v>40633</v>
      </c>
      <c r="B35841">
        <v>23.7</v>
      </c>
    </row>
    <row r="35842" spans="1:2" x14ac:dyDescent="0.25">
      <c r="A35842" s="74">
        <v>40634</v>
      </c>
      <c r="B35842">
        <v>24.4</v>
      </c>
    </row>
    <row r="35843" spans="1:2" x14ac:dyDescent="0.25">
      <c r="A35843" s="74">
        <v>40635</v>
      </c>
      <c r="B35843">
        <v>17.8</v>
      </c>
    </row>
    <row r="35844" spans="1:2" x14ac:dyDescent="0.25">
      <c r="A35844" s="74">
        <v>40636</v>
      </c>
      <c r="B35844">
        <v>14.2</v>
      </c>
    </row>
    <row r="35845" spans="1:2" x14ac:dyDescent="0.25">
      <c r="A35845" s="74">
        <v>40637</v>
      </c>
      <c r="B35845">
        <v>12.3</v>
      </c>
    </row>
    <row r="35846" spans="1:2" x14ac:dyDescent="0.25">
      <c r="A35846" s="74">
        <v>40638</v>
      </c>
      <c r="B35846">
        <v>12.2</v>
      </c>
    </row>
    <row r="35847" spans="1:2" x14ac:dyDescent="0.25">
      <c r="A35847" s="74">
        <v>40639</v>
      </c>
      <c r="B35847">
        <v>11.6</v>
      </c>
    </row>
    <row r="35848" spans="1:2" x14ac:dyDescent="0.25">
      <c r="A35848" s="74">
        <v>40640</v>
      </c>
      <c r="B35848">
        <v>10.199999999999999</v>
      </c>
    </row>
    <row r="35849" spans="1:2" x14ac:dyDescent="0.25">
      <c r="A35849" s="74">
        <v>40641</v>
      </c>
      <c r="B35849">
        <v>9.06</v>
      </c>
    </row>
    <row r="35850" spans="1:2" x14ac:dyDescent="0.25">
      <c r="A35850" s="74">
        <v>40642</v>
      </c>
      <c r="B35850">
        <v>8.41</v>
      </c>
    </row>
    <row r="35851" spans="1:2" x14ac:dyDescent="0.25">
      <c r="A35851" s="74">
        <v>40643</v>
      </c>
      <c r="B35851">
        <v>10.7</v>
      </c>
    </row>
    <row r="35852" spans="1:2" x14ac:dyDescent="0.25">
      <c r="A35852" s="74">
        <v>40644</v>
      </c>
      <c r="B35852">
        <v>27</v>
      </c>
    </row>
    <row r="35853" spans="1:2" x14ac:dyDescent="0.25">
      <c r="A35853" s="74">
        <v>40645</v>
      </c>
      <c r="B35853">
        <v>17</v>
      </c>
    </row>
    <row r="35854" spans="1:2" x14ac:dyDescent="0.25">
      <c r="A35854" s="74">
        <v>40646</v>
      </c>
      <c r="B35854">
        <v>13.3</v>
      </c>
    </row>
    <row r="35855" spans="1:2" x14ac:dyDescent="0.25">
      <c r="A35855" s="74">
        <v>40647</v>
      </c>
      <c r="B35855">
        <v>11.8</v>
      </c>
    </row>
    <row r="35856" spans="1:2" x14ac:dyDescent="0.25">
      <c r="A35856" s="74">
        <v>40648</v>
      </c>
      <c r="B35856">
        <v>10.5</v>
      </c>
    </row>
    <row r="35857" spans="1:2" x14ac:dyDescent="0.25">
      <c r="A35857" s="74">
        <v>40649</v>
      </c>
      <c r="B35857">
        <v>9.35</v>
      </c>
    </row>
    <row r="35858" spans="1:2" x14ac:dyDescent="0.25">
      <c r="A35858" s="74">
        <v>40650</v>
      </c>
      <c r="B35858">
        <v>8.41</v>
      </c>
    </row>
    <row r="35859" spans="1:2" x14ac:dyDescent="0.25">
      <c r="A35859" s="74">
        <v>40651</v>
      </c>
      <c r="B35859">
        <v>7.68</v>
      </c>
    </row>
    <row r="35860" spans="1:2" x14ac:dyDescent="0.25">
      <c r="A35860" s="74">
        <v>40652</v>
      </c>
      <c r="B35860">
        <v>7.19</v>
      </c>
    </row>
    <row r="35861" spans="1:2" x14ac:dyDescent="0.25">
      <c r="A35861" s="74">
        <v>40653</v>
      </c>
      <c r="B35861">
        <v>6.93</v>
      </c>
    </row>
    <row r="35862" spans="1:2" x14ac:dyDescent="0.25">
      <c r="A35862" s="74">
        <v>40654</v>
      </c>
      <c r="B35862">
        <v>6.89</v>
      </c>
    </row>
    <row r="35863" spans="1:2" x14ac:dyDescent="0.25">
      <c r="A35863" s="74">
        <v>40655</v>
      </c>
      <c r="B35863">
        <v>6.52</v>
      </c>
    </row>
    <row r="35864" spans="1:2" x14ac:dyDescent="0.25">
      <c r="A35864" s="74">
        <v>40656</v>
      </c>
      <c r="B35864">
        <v>6.58</v>
      </c>
    </row>
    <row r="35865" spans="1:2" x14ac:dyDescent="0.25">
      <c r="A35865" s="74">
        <v>40657</v>
      </c>
      <c r="B35865">
        <v>7.2</v>
      </c>
    </row>
    <row r="35866" spans="1:2" x14ac:dyDescent="0.25">
      <c r="A35866" s="74">
        <v>40658</v>
      </c>
      <c r="B35866">
        <v>8.25</v>
      </c>
    </row>
    <row r="35867" spans="1:2" x14ac:dyDescent="0.25">
      <c r="A35867" s="74">
        <v>40659</v>
      </c>
      <c r="B35867">
        <v>9.49</v>
      </c>
    </row>
    <row r="35868" spans="1:2" x14ac:dyDescent="0.25">
      <c r="A35868" s="74">
        <v>40660</v>
      </c>
      <c r="B35868">
        <v>10.7</v>
      </c>
    </row>
    <row r="35869" spans="1:2" x14ac:dyDescent="0.25">
      <c r="A35869" s="74">
        <v>40661</v>
      </c>
      <c r="B35869">
        <v>11.5</v>
      </c>
    </row>
    <row r="35870" spans="1:2" x14ac:dyDescent="0.25">
      <c r="A35870" s="74">
        <v>40662</v>
      </c>
      <c r="B35870">
        <v>10.3</v>
      </c>
    </row>
    <row r="35871" spans="1:2" x14ac:dyDescent="0.25">
      <c r="A35871" s="74">
        <v>40663</v>
      </c>
      <c r="B35871">
        <v>9.65</v>
      </c>
    </row>
    <row r="35872" spans="1:2" x14ac:dyDescent="0.25">
      <c r="A35872" s="74">
        <v>40664</v>
      </c>
      <c r="B35872">
        <v>9.5</v>
      </c>
    </row>
    <row r="35873" spans="1:2" x14ac:dyDescent="0.25">
      <c r="A35873" s="74">
        <v>40665</v>
      </c>
      <c r="B35873">
        <v>11.1</v>
      </c>
    </row>
    <row r="35874" spans="1:2" x14ac:dyDescent="0.25">
      <c r="A35874" s="74">
        <v>40666</v>
      </c>
      <c r="B35874">
        <v>12.5</v>
      </c>
    </row>
    <row r="35875" spans="1:2" x14ac:dyDescent="0.25">
      <c r="A35875" s="74">
        <v>40667</v>
      </c>
      <c r="B35875">
        <v>11.6</v>
      </c>
    </row>
    <row r="35876" spans="1:2" x14ac:dyDescent="0.25">
      <c r="A35876" s="74">
        <v>40668</v>
      </c>
      <c r="B35876">
        <v>12.4</v>
      </c>
    </row>
    <row r="35877" spans="1:2" x14ac:dyDescent="0.25">
      <c r="A35877" s="74">
        <v>40669</v>
      </c>
      <c r="B35877">
        <v>13.7</v>
      </c>
    </row>
    <row r="35878" spans="1:2" x14ac:dyDescent="0.25">
      <c r="A35878" s="74">
        <v>40670</v>
      </c>
      <c r="B35878">
        <v>13.8</v>
      </c>
    </row>
    <row r="35879" spans="1:2" x14ac:dyDescent="0.25">
      <c r="A35879" s="74">
        <v>40671</v>
      </c>
      <c r="B35879">
        <v>13.4</v>
      </c>
    </row>
    <row r="35880" spans="1:2" x14ac:dyDescent="0.25">
      <c r="A35880" s="74">
        <v>40672</v>
      </c>
      <c r="B35880">
        <v>12.9</v>
      </c>
    </row>
    <row r="35881" spans="1:2" x14ac:dyDescent="0.25">
      <c r="A35881" s="74">
        <v>40673</v>
      </c>
      <c r="B35881">
        <v>14.9</v>
      </c>
    </row>
    <row r="35882" spans="1:2" x14ac:dyDescent="0.25">
      <c r="A35882" s="74">
        <v>40674</v>
      </c>
      <c r="B35882">
        <v>17.2</v>
      </c>
    </row>
    <row r="35883" spans="1:2" x14ac:dyDescent="0.25">
      <c r="A35883" s="74">
        <v>40675</v>
      </c>
      <c r="B35883">
        <v>17.100000000000001</v>
      </c>
    </row>
    <row r="35884" spans="1:2" x14ac:dyDescent="0.25">
      <c r="A35884" s="74">
        <v>40676</v>
      </c>
      <c r="B35884">
        <v>14.3</v>
      </c>
    </row>
    <row r="35885" spans="1:2" x14ac:dyDescent="0.25">
      <c r="A35885" s="74">
        <v>40677</v>
      </c>
      <c r="B35885">
        <v>13.6</v>
      </c>
    </row>
    <row r="35886" spans="1:2" x14ac:dyDescent="0.25">
      <c r="A35886" s="74">
        <v>40678</v>
      </c>
      <c r="B35886">
        <v>39.700000000000003</v>
      </c>
    </row>
    <row r="35887" spans="1:2" x14ac:dyDescent="0.25">
      <c r="A35887" s="74">
        <v>40679</v>
      </c>
      <c r="B35887">
        <v>44.3</v>
      </c>
    </row>
    <row r="35888" spans="1:2" x14ac:dyDescent="0.25">
      <c r="A35888" s="74">
        <v>40680</v>
      </c>
      <c r="B35888">
        <v>27.5</v>
      </c>
    </row>
    <row r="35889" spans="1:2" x14ac:dyDescent="0.25">
      <c r="A35889" s="74">
        <v>40681</v>
      </c>
      <c r="B35889">
        <v>19.399999999999999</v>
      </c>
    </row>
    <row r="35890" spans="1:2" x14ac:dyDescent="0.25">
      <c r="A35890" s="74">
        <v>40682</v>
      </c>
      <c r="B35890">
        <v>17.100000000000001</v>
      </c>
    </row>
    <row r="35891" spans="1:2" x14ac:dyDescent="0.25">
      <c r="A35891" s="74">
        <v>40683</v>
      </c>
      <c r="B35891">
        <v>17.899999999999999</v>
      </c>
    </row>
    <row r="35892" spans="1:2" x14ac:dyDescent="0.25">
      <c r="A35892" s="74">
        <v>40684</v>
      </c>
      <c r="B35892">
        <v>20.8</v>
      </c>
    </row>
    <row r="35893" spans="1:2" x14ac:dyDescent="0.25">
      <c r="A35893" s="74">
        <v>40685</v>
      </c>
      <c r="B35893">
        <v>18.899999999999999</v>
      </c>
    </row>
    <row r="35894" spans="1:2" x14ac:dyDescent="0.25">
      <c r="A35894" s="74">
        <v>40686</v>
      </c>
      <c r="B35894">
        <v>16.3</v>
      </c>
    </row>
    <row r="35895" spans="1:2" x14ac:dyDescent="0.25">
      <c r="A35895" s="74">
        <v>40687</v>
      </c>
      <c r="B35895">
        <v>16.399999999999999</v>
      </c>
    </row>
    <row r="35896" spans="1:2" x14ac:dyDescent="0.25">
      <c r="A35896" s="74">
        <v>40688</v>
      </c>
      <c r="B35896">
        <v>15.8</v>
      </c>
    </row>
    <row r="35897" spans="1:2" x14ac:dyDescent="0.25">
      <c r="A35897" s="74">
        <v>40689</v>
      </c>
      <c r="B35897">
        <v>18.7</v>
      </c>
    </row>
    <row r="35898" spans="1:2" x14ac:dyDescent="0.25">
      <c r="A35898" s="74">
        <v>40690</v>
      </c>
      <c r="B35898">
        <v>16.5</v>
      </c>
    </row>
    <row r="35899" spans="1:2" x14ac:dyDescent="0.25">
      <c r="A35899" s="74">
        <v>40691</v>
      </c>
      <c r="B35899">
        <v>15.2</v>
      </c>
    </row>
    <row r="35900" spans="1:2" x14ac:dyDescent="0.25">
      <c r="A35900" s="74">
        <v>40692</v>
      </c>
      <c r="B35900">
        <v>14.1</v>
      </c>
    </row>
    <row r="35901" spans="1:2" x14ac:dyDescent="0.25">
      <c r="A35901" s="74">
        <v>40693</v>
      </c>
      <c r="B35901">
        <v>16.5</v>
      </c>
    </row>
    <row r="35902" spans="1:2" x14ac:dyDescent="0.25">
      <c r="A35902" s="74">
        <v>40694</v>
      </c>
      <c r="B35902">
        <v>14.7</v>
      </c>
    </row>
    <row r="35903" spans="1:2" x14ac:dyDescent="0.25">
      <c r="A35903" s="74">
        <v>40695</v>
      </c>
      <c r="B35903">
        <v>16.5</v>
      </c>
    </row>
    <row r="35904" spans="1:2" x14ac:dyDescent="0.25">
      <c r="A35904" s="74">
        <v>40696</v>
      </c>
      <c r="B35904">
        <v>19.600000000000001</v>
      </c>
    </row>
    <row r="35905" spans="1:2" x14ac:dyDescent="0.25">
      <c r="A35905" s="74">
        <v>40697</v>
      </c>
      <c r="B35905">
        <v>18.2</v>
      </c>
    </row>
    <row r="35906" spans="1:2" x14ac:dyDescent="0.25">
      <c r="A35906" s="74">
        <v>40698</v>
      </c>
      <c r="B35906">
        <v>15.8</v>
      </c>
    </row>
    <row r="35907" spans="1:2" x14ac:dyDescent="0.25">
      <c r="A35907" s="74">
        <v>40699</v>
      </c>
      <c r="B35907">
        <v>18.899999999999999</v>
      </c>
    </row>
    <row r="35908" spans="1:2" x14ac:dyDescent="0.25">
      <c r="A35908" s="74">
        <v>40700</v>
      </c>
      <c r="B35908">
        <v>21.2</v>
      </c>
    </row>
    <row r="35909" spans="1:2" x14ac:dyDescent="0.25">
      <c r="A35909" s="74">
        <v>40701</v>
      </c>
      <c r="B35909">
        <v>21.5</v>
      </c>
    </row>
    <row r="35910" spans="1:2" x14ac:dyDescent="0.25">
      <c r="A35910" s="74">
        <v>40702</v>
      </c>
      <c r="B35910">
        <v>17.399999999999999</v>
      </c>
    </row>
    <row r="35911" spans="1:2" x14ac:dyDescent="0.25">
      <c r="A35911" s="74">
        <v>40703</v>
      </c>
      <c r="B35911">
        <v>18.5</v>
      </c>
    </row>
    <row r="35912" spans="1:2" x14ac:dyDescent="0.25">
      <c r="A35912" s="74">
        <v>40704</v>
      </c>
      <c r="B35912">
        <v>15.7</v>
      </c>
    </row>
    <row r="35913" spans="1:2" x14ac:dyDescent="0.25">
      <c r="A35913" s="74">
        <v>40705</v>
      </c>
      <c r="B35913">
        <v>14.1</v>
      </c>
    </row>
    <row r="35914" spans="1:2" x14ac:dyDescent="0.25">
      <c r="A35914" s="74">
        <v>40706</v>
      </c>
      <c r="B35914">
        <v>14.2</v>
      </c>
    </row>
    <row r="35915" spans="1:2" x14ac:dyDescent="0.25">
      <c r="A35915" s="74">
        <v>40707</v>
      </c>
      <c r="B35915">
        <v>13.9</v>
      </c>
    </row>
    <row r="35916" spans="1:2" x14ac:dyDescent="0.25">
      <c r="A35916" s="74">
        <v>40708</v>
      </c>
      <c r="B35916">
        <v>13.8</v>
      </c>
    </row>
    <row r="35917" spans="1:2" x14ac:dyDescent="0.25">
      <c r="A35917" s="74">
        <v>40709</v>
      </c>
      <c r="B35917">
        <v>11.5</v>
      </c>
    </row>
    <row r="35918" spans="1:2" x14ac:dyDescent="0.25">
      <c r="A35918" s="74">
        <v>40710</v>
      </c>
      <c r="B35918">
        <v>10.4</v>
      </c>
    </row>
    <row r="35919" spans="1:2" x14ac:dyDescent="0.25">
      <c r="A35919" s="74">
        <v>40711</v>
      </c>
      <c r="B35919">
        <v>10.9</v>
      </c>
    </row>
    <row r="35920" spans="1:2" x14ac:dyDescent="0.25">
      <c r="A35920" s="74">
        <v>40712</v>
      </c>
      <c r="B35920">
        <v>12.2</v>
      </c>
    </row>
    <row r="35921" spans="1:2" x14ac:dyDescent="0.25">
      <c r="A35921" s="74">
        <v>40713</v>
      </c>
      <c r="B35921">
        <v>12.1</v>
      </c>
    </row>
    <row r="35922" spans="1:2" x14ac:dyDescent="0.25">
      <c r="A35922" s="74">
        <v>40714</v>
      </c>
      <c r="B35922">
        <v>11.5</v>
      </c>
    </row>
    <row r="35923" spans="1:2" x14ac:dyDescent="0.25">
      <c r="A35923" s="74">
        <v>40715</v>
      </c>
      <c r="B35923">
        <v>11.4</v>
      </c>
    </row>
    <row r="35924" spans="1:2" x14ac:dyDescent="0.25">
      <c r="A35924" s="74">
        <v>40716</v>
      </c>
      <c r="B35924">
        <v>12.5</v>
      </c>
    </row>
    <row r="35925" spans="1:2" x14ac:dyDescent="0.25">
      <c r="A35925" s="74">
        <v>40717</v>
      </c>
      <c r="B35925">
        <v>12.2</v>
      </c>
    </row>
    <row r="35926" spans="1:2" x14ac:dyDescent="0.25">
      <c r="A35926" s="74">
        <v>40718</v>
      </c>
      <c r="B35926">
        <v>9.68</v>
      </c>
    </row>
    <row r="35927" spans="1:2" x14ac:dyDescent="0.25">
      <c r="A35927" s="74">
        <v>40719</v>
      </c>
      <c r="B35927">
        <v>9.15</v>
      </c>
    </row>
    <row r="35928" spans="1:2" x14ac:dyDescent="0.25">
      <c r="A35928" s="74">
        <v>40720</v>
      </c>
      <c r="B35928">
        <v>8.4700000000000006</v>
      </c>
    </row>
    <row r="35929" spans="1:2" x14ac:dyDescent="0.25">
      <c r="A35929" s="74">
        <v>40721</v>
      </c>
      <c r="B35929">
        <v>8.51</v>
      </c>
    </row>
    <row r="35930" spans="1:2" x14ac:dyDescent="0.25">
      <c r="A35930" s="74">
        <v>40722</v>
      </c>
      <c r="B35930">
        <v>10.1</v>
      </c>
    </row>
    <row r="35931" spans="1:2" x14ac:dyDescent="0.25">
      <c r="A35931" s="74">
        <v>40723</v>
      </c>
      <c r="B35931">
        <v>11.5</v>
      </c>
    </row>
    <row r="35932" spans="1:2" x14ac:dyDescent="0.25">
      <c r="A35932" s="74">
        <v>40724</v>
      </c>
      <c r="B35932">
        <v>10.1</v>
      </c>
    </row>
    <row r="35933" spans="1:2" x14ac:dyDescent="0.25">
      <c r="A35933" s="74">
        <v>40725</v>
      </c>
      <c r="B35933">
        <v>7.82</v>
      </c>
    </row>
    <row r="35934" spans="1:2" x14ac:dyDescent="0.25">
      <c r="A35934" s="74">
        <v>40726</v>
      </c>
      <c r="B35934">
        <v>6.86</v>
      </c>
    </row>
    <row r="35935" spans="1:2" x14ac:dyDescent="0.25">
      <c r="A35935" s="74">
        <v>40727</v>
      </c>
      <c r="B35935">
        <v>7.91</v>
      </c>
    </row>
    <row r="35936" spans="1:2" x14ac:dyDescent="0.25">
      <c r="A35936" s="74">
        <v>40728</v>
      </c>
      <c r="B35936">
        <v>7.9</v>
      </c>
    </row>
    <row r="35937" spans="1:2" x14ac:dyDescent="0.25">
      <c r="A35937" s="74">
        <v>40729</v>
      </c>
      <c r="B35937">
        <v>7.34</v>
      </c>
    </row>
    <row r="35938" spans="1:2" x14ac:dyDescent="0.25">
      <c r="A35938" s="74">
        <v>40730</v>
      </c>
      <c r="B35938">
        <v>8.0500000000000007</v>
      </c>
    </row>
    <row r="35939" spans="1:2" x14ac:dyDescent="0.25">
      <c r="A35939" s="74">
        <v>40731</v>
      </c>
      <c r="B35939">
        <v>8.81</v>
      </c>
    </row>
    <row r="35940" spans="1:2" x14ac:dyDescent="0.25">
      <c r="A35940" s="74">
        <v>40732</v>
      </c>
      <c r="B35940">
        <v>7.31</v>
      </c>
    </row>
    <row r="35941" spans="1:2" x14ac:dyDescent="0.25">
      <c r="A35941" s="74">
        <v>40733</v>
      </c>
      <c r="B35941">
        <v>5.58</v>
      </c>
    </row>
    <row r="35942" spans="1:2" x14ac:dyDescent="0.25">
      <c r="A35942" s="74">
        <v>40734</v>
      </c>
      <c r="B35942">
        <v>5.07</v>
      </c>
    </row>
    <row r="35943" spans="1:2" x14ac:dyDescent="0.25">
      <c r="A35943" s="74">
        <v>40735</v>
      </c>
      <c r="B35943">
        <v>5.37</v>
      </c>
    </row>
    <row r="35944" spans="1:2" x14ac:dyDescent="0.25">
      <c r="A35944" s="74">
        <v>40736</v>
      </c>
      <c r="B35944">
        <v>6.23</v>
      </c>
    </row>
    <row r="35945" spans="1:2" x14ac:dyDescent="0.25">
      <c r="A35945" s="74">
        <v>40737</v>
      </c>
      <c r="B35945">
        <v>7.98</v>
      </c>
    </row>
    <row r="35946" spans="1:2" x14ac:dyDescent="0.25">
      <c r="A35946" s="74">
        <v>40738</v>
      </c>
      <c r="B35946">
        <v>9.24</v>
      </c>
    </row>
    <row r="35947" spans="1:2" x14ac:dyDescent="0.25">
      <c r="A35947" s="74">
        <v>40739</v>
      </c>
      <c r="B35947">
        <v>7.67</v>
      </c>
    </row>
    <row r="35948" spans="1:2" x14ac:dyDescent="0.25">
      <c r="A35948" s="74">
        <v>40740</v>
      </c>
      <c r="B35948">
        <v>7.69</v>
      </c>
    </row>
    <row r="35949" spans="1:2" x14ac:dyDescent="0.25">
      <c r="A35949" s="74">
        <v>40741</v>
      </c>
      <c r="B35949">
        <v>8.43</v>
      </c>
    </row>
    <row r="35950" spans="1:2" x14ac:dyDescent="0.25">
      <c r="A35950" s="74">
        <v>40742</v>
      </c>
      <c r="B35950">
        <v>6.81</v>
      </c>
    </row>
    <row r="35951" spans="1:2" x14ac:dyDescent="0.25">
      <c r="A35951" s="74">
        <v>40743</v>
      </c>
      <c r="B35951">
        <v>6.08</v>
      </c>
    </row>
    <row r="35952" spans="1:2" x14ac:dyDescent="0.25">
      <c r="A35952" s="74">
        <v>40744</v>
      </c>
      <c r="B35952">
        <v>6.14</v>
      </c>
    </row>
    <row r="35953" spans="1:2" x14ac:dyDescent="0.25">
      <c r="A35953" s="74">
        <v>40745</v>
      </c>
      <c r="B35953">
        <v>5.89</v>
      </c>
    </row>
    <row r="35954" spans="1:2" x14ac:dyDescent="0.25">
      <c r="A35954" s="74">
        <v>40746</v>
      </c>
      <c r="B35954">
        <v>5.34</v>
      </c>
    </row>
    <row r="35955" spans="1:2" x14ac:dyDescent="0.25">
      <c r="A35955" s="74">
        <v>40747</v>
      </c>
      <c r="B35955">
        <v>4.54</v>
      </c>
    </row>
    <row r="35956" spans="1:2" x14ac:dyDescent="0.25">
      <c r="A35956" s="74">
        <v>40748</v>
      </c>
      <c r="B35956">
        <v>4.29</v>
      </c>
    </row>
    <row r="35957" spans="1:2" x14ac:dyDescent="0.25">
      <c r="A35957" s="74">
        <v>40749</v>
      </c>
      <c r="B35957">
        <v>4.8499999999999996</v>
      </c>
    </row>
    <row r="35958" spans="1:2" x14ac:dyDescent="0.25">
      <c r="A35958" s="74">
        <v>40750</v>
      </c>
      <c r="B35958">
        <v>4.9800000000000004</v>
      </c>
    </row>
    <row r="35959" spans="1:2" x14ac:dyDescent="0.25">
      <c r="A35959" s="74">
        <v>40751</v>
      </c>
      <c r="B35959">
        <v>4.1100000000000003</v>
      </c>
    </row>
    <row r="35960" spans="1:2" x14ac:dyDescent="0.25">
      <c r="A35960" s="74">
        <v>40752</v>
      </c>
      <c r="B35960">
        <v>3.78</v>
      </c>
    </row>
    <row r="35961" spans="1:2" x14ac:dyDescent="0.25">
      <c r="A35961" s="74">
        <v>40753</v>
      </c>
      <c r="B35961">
        <v>3.92</v>
      </c>
    </row>
    <row r="35962" spans="1:2" x14ac:dyDescent="0.25">
      <c r="A35962" s="74">
        <v>40754</v>
      </c>
      <c r="B35962">
        <v>3.74</v>
      </c>
    </row>
    <row r="35963" spans="1:2" x14ac:dyDescent="0.25">
      <c r="A35963" s="74">
        <v>40755</v>
      </c>
      <c r="B35963">
        <v>3.78</v>
      </c>
    </row>
    <row r="35964" spans="1:2" x14ac:dyDescent="0.25">
      <c r="A35964" s="74">
        <v>40756</v>
      </c>
      <c r="B35964">
        <v>3.52</v>
      </c>
    </row>
    <row r="35965" spans="1:2" x14ac:dyDescent="0.25">
      <c r="A35965" s="74">
        <v>40757</v>
      </c>
      <c r="B35965">
        <v>3.14</v>
      </c>
    </row>
    <row r="35966" spans="1:2" x14ac:dyDescent="0.25">
      <c r="A35966" s="74">
        <v>40758</v>
      </c>
      <c r="B35966">
        <v>3.01</v>
      </c>
    </row>
    <row r="35967" spans="1:2" x14ac:dyDescent="0.25">
      <c r="A35967" s="74">
        <v>40759</v>
      </c>
      <c r="B35967">
        <v>2.92</v>
      </c>
    </row>
    <row r="35968" spans="1:2" x14ac:dyDescent="0.25">
      <c r="A35968" s="74">
        <v>40760</v>
      </c>
      <c r="B35968">
        <v>2.94</v>
      </c>
    </row>
    <row r="35969" spans="1:2" x14ac:dyDescent="0.25">
      <c r="A35969" s="74">
        <v>40761</v>
      </c>
      <c r="B35969">
        <v>2.94</v>
      </c>
    </row>
    <row r="35970" spans="1:2" x14ac:dyDescent="0.25">
      <c r="A35970" s="74">
        <v>40762</v>
      </c>
      <c r="B35970">
        <v>2.8</v>
      </c>
    </row>
    <row r="35971" spans="1:2" x14ac:dyDescent="0.25">
      <c r="A35971" s="74">
        <v>40763</v>
      </c>
      <c r="B35971">
        <v>2.6</v>
      </c>
    </row>
    <row r="35972" spans="1:2" x14ac:dyDescent="0.25">
      <c r="A35972" s="74">
        <v>40764</v>
      </c>
      <c r="B35972">
        <v>2.4500000000000002</v>
      </c>
    </row>
    <row r="35973" spans="1:2" x14ac:dyDescent="0.25">
      <c r="A35973" s="74">
        <v>40765</v>
      </c>
      <c r="B35973">
        <v>2.21</v>
      </c>
    </row>
    <row r="35974" spans="1:2" x14ac:dyDescent="0.25">
      <c r="A35974" s="74">
        <v>40766</v>
      </c>
      <c r="B35974">
        <v>2.0499999999999998</v>
      </c>
    </row>
    <row r="35975" spans="1:2" x14ac:dyDescent="0.25">
      <c r="A35975" s="74">
        <v>40767</v>
      </c>
      <c r="B35975">
        <v>2</v>
      </c>
    </row>
    <row r="35976" spans="1:2" x14ac:dyDescent="0.25">
      <c r="A35976" s="74">
        <v>40768</v>
      </c>
      <c r="B35976">
        <v>1.95</v>
      </c>
    </row>
    <row r="35977" spans="1:2" x14ac:dyDescent="0.25">
      <c r="A35977" s="74">
        <v>40769</v>
      </c>
      <c r="B35977">
        <v>1.85</v>
      </c>
    </row>
    <row r="35978" spans="1:2" x14ac:dyDescent="0.25">
      <c r="A35978" s="74">
        <v>40770</v>
      </c>
      <c r="B35978">
        <v>1.7</v>
      </c>
    </row>
    <row r="35979" spans="1:2" x14ac:dyDescent="0.25">
      <c r="A35979" s="74">
        <v>40771</v>
      </c>
      <c r="B35979">
        <v>1.62</v>
      </c>
    </row>
    <row r="35980" spans="1:2" x14ac:dyDescent="0.25">
      <c r="A35980" s="74">
        <v>40772</v>
      </c>
      <c r="B35980">
        <v>1.63</v>
      </c>
    </row>
    <row r="35981" spans="1:2" x14ac:dyDescent="0.25">
      <c r="A35981" s="74">
        <v>40773</v>
      </c>
      <c r="B35981">
        <v>1.21</v>
      </c>
    </row>
    <row r="35982" spans="1:2" x14ac:dyDescent="0.25">
      <c r="A35982" s="74">
        <v>40774</v>
      </c>
      <c r="B35982">
        <v>1.29</v>
      </c>
    </row>
    <row r="35983" spans="1:2" x14ac:dyDescent="0.25">
      <c r="A35983" s="74">
        <v>40775</v>
      </c>
      <c r="B35983">
        <v>1.35</v>
      </c>
    </row>
    <row r="35984" spans="1:2" x14ac:dyDescent="0.25">
      <c r="A35984" s="74">
        <v>40776</v>
      </c>
      <c r="B35984">
        <v>1.4</v>
      </c>
    </row>
    <row r="35985" spans="1:2" x14ac:dyDescent="0.25">
      <c r="A35985" s="74">
        <v>40777</v>
      </c>
      <c r="B35985">
        <v>1.88</v>
      </c>
    </row>
    <row r="35986" spans="1:2" x14ac:dyDescent="0.25">
      <c r="A35986" s="74">
        <v>40778</v>
      </c>
      <c r="B35986">
        <v>3.55</v>
      </c>
    </row>
    <row r="35987" spans="1:2" x14ac:dyDescent="0.25">
      <c r="A35987" s="74">
        <v>40779</v>
      </c>
      <c r="B35987">
        <v>2.5299999999999998</v>
      </c>
    </row>
    <row r="35988" spans="1:2" x14ac:dyDescent="0.25">
      <c r="A35988" s="74">
        <v>40780</v>
      </c>
      <c r="B35988">
        <v>1.98</v>
      </c>
    </row>
    <row r="35989" spans="1:2" x14ac:dyDescent="0.25">
      <c r="A35989" s="74">
        <v>40781</v>
      </c>
      <c r="B35989">
        <v>1.7</v>
      </c>
    </row>
    <row r="35990" spans="1:2" x14ac:dyDescent="0.25">
      <c r="A35990" s="74">
        <v>40782</v>
      </c>
      <c r="B35990">
        <v>1.56</v>
      </c>
    </row>
    <row r="35991" spans="1:2" x14ac:dyDescent="0.25">
      <c r="A35991" s="74">
        <v>40783</v>
      </c>
      <c r="B35991">
        <v>1.45</v>
      </c>
    </row>
    <row r="35992" spans="1:2" x14ac:dyDescent="0.25">
      <c r="A35992" s="74">
        <v>40784</v>
      </c>
      <c r="B35992">
        <v>1.35</v>
      </c>
    </row>
    <row r="35993" spans="1:2" x14ac:dyDescent="0.25">
      <c r="A35993" s="74">
        <v>40785</v>
      </c>
      <c r="B35993">
        <v>1.45</v>
      </c>
    </row>
    <row r="35994" spans="1:2" x14ac:dyDescent="0.25">
      <c r="A35994" s="74">
        <v>40786</v>
      </c>
      <c r="B35994">
        <v>1.62</v>
      </c>
    </row>
    <row r="35995" spans="1:2" x14ac:dyDescent="0.25">
      <c r="A35995" s="74">
        <v>40787</v>
      </c>
      <c r="B35995">
        <v>1.59</v>
      </c>
    </row>
    <row r="35996" spans="1:2" x14ac:dyDescent="0.25">
      <c r="A35996" s="74">
        <v>40788</v>
      </c>
      <c r="B35996">
        <v>1.91</v>
      </c>
    </row>
    <row r="35997" spans="1:2" x14ac:dyDescent="0.25">
      <c r="A35997" s="74">
        <v>40789</v>
      </c>
      <c r="B35997">
        <v>1.89</v>
      </c>
    </row>
    <row r="35998" spans="1:2" x14ac:dyDescent="0.25">
      <c r="A35998" s="74">
        <v>40790</v>
      </c>
      <c r="B35998">
        <v>1.79</v>
      </c>
    </row>
    <row r="35999" spans="1:2" x14ac:dyDescent="0.25">
      <c r="A35999" s="74">
        <v>40791</v>
      </c>
      <c r="B35999">
        <v>1.75</v>
      </c>
    </row>
    <row r="36000" spans="1:2" x14ac:dyDescent="0.25">
      <c r="A36000" s="74">
        <v>40792</v>
      </c>
      <c r="B36000">
        <v>1.75</v>
      </c>
    </row>
    <row r="36001" spans="1:2" x14ac:dyDescent="0.25">
      <c r="A36001" s="74">
        <v>40793</v>
      </c>
      <c r="B36001">
        <v>1.81</v>
      </c>
    </row>
    <row r="36002" spans="1:2" x14ac:dyDescent="0.25">
      <c r="A36002" s="74">
        <v>40794</v>
      </c>
      <c r="B36002">
        <v>1.81</v>
      </c>
    </row>
    <row r="36003" spans="1:2" x14ac:dyDescent="0.25">
      <c r="A36003" s="74">
        <v>40795</v>
      </c>
      <c r="B36003">
        <v>1.82</v>
      </c>
    </row>
    <row r="36004" spans="1:2" x14ac:dyDescent="0.25">
      <c r="A36004" s="74">
        <v>40796</v>
      </c>
      <c r="B36004">
        <v>1.92</v>
      </c>
    </row>
    <row r="36005" spans="1:2" x14ac:dyDescent="0.25">
      <c r="A36005" s="74">
        <v>40797</v>
      </c>
      <c r="B36005">
        <v>1.93</v>
      </c>
    </row>
    <row r="36006" spans="1:2" x14ac:dyDescent="0.25">
      <c r="A36006" s="74">
        <v>40798</v>
      </c>
      <c r="B36006">
        <v>1.92</v>
      </c>
    </row>
    <row r="36007" spans="1:2" x14ac:dyDescent="0.25">
      <c r="A36007" s="74">
        <v>40799</v>
      </c>
      <c r="B36007">
        <v>1.91</v>
      </c>
    </row>
    <row r="36008" spans="1:2" x14ac:dyDescent="0.25">
      <c r="A36008" s="74">
        <v>40800</v>
      </c>
      <c r="B36008">
        <v>1.92</v>
      </c>
    </row>
    <row r="36009" spans="1:2" x14ac:dyDescent="0.25">
      <c r="A36009" s="74">
        <v>40801</v>
      </c>
      <c r="B36009">
        <v>1.94</v>
      </c>
    </row>
    <row r="36010" spans="1:2" x14ac:dyDescent="0.25">
      <c r="A36010" s="74">
        <v>40802</v>
      </c>
      <c r="B36010">
        <v>2.33</v>
      </c>
    </row>
    <row r="36011" spans="1:2" x14ac:dyDescent="0.25">
      <c r="A36011" s="74">
        <v>40803</v>
      </c>
      <c r="B36011">
        <v>2.42</v>
      </c>
    </row>
    <row r="36012" spans="1:2" x14ac:dyDescent="0.25">
      <c r="A36012" s="74">
        <v>40804</v>
      </c>
      <c r="B36012">
        <v>2.4300000000000002</v>
      </c>
    </row>
    <row r="36013" spans="1:2" x14ac:dyDescent="0.25">
      <c r="A36013" s="74">
        <v>40805</v>
      </c>
      <c r="B36013">
        <v>2.37</v>
      </c>
    </row>
    <row r="36014" spans="1:2" x14ac:dyDescent="0.25">
      <c r="A36014" s="74">
        <v>40806</v>
      </c>
      <c r="B36014">
        <v>2.15</v>
      </c>
    </row>
    <row r="36015" spans="1:2" x14ac:dyDescent="0.25">
      <c r="A36015" s="74">
        <v>40807</v>
      </c>
      <c r="B36015">
        <v>2.1800000000000002</v>
      </c>
    </row>
    <row r="36016" spans="1:2" x14ac:dyDescent="0.25">
      <c r="A36016" s="74">
        <v>40808</v>
      </c>
      <c r="B36016">
        <v>3.59</v>
      </c>
    </row>
    <row r="36017" spans="1:2" x14ac:dyDescent="0.25">
      <c r="A36017" s="74">
        <v>40809</v>
      </c>
      <c r="B36017">
        <v>7.52</v>
      </c>
    </row>
    <row r="36018" spans="1:2" x14ac:dyDescent="0.25">
      <c r="A36018" s="74">
        <v>40810</v>
      </c>
      <c r="B36018">
        <v>8.34</v>
      </c>
    </row>
    <row r="36019" spans="1:2" x14ac:dyDescent="0.25">
      <c r="A36019" s="74">
        <v>40811</v>
      </c>
      <c r="B36019">
        <v>9.0299999999999994</v>
      </c>
    </row>
    <row r="36020" spans="1:2" x14ac:dyDescent="0.25">
      <c r="A36020" s="74">
        <v>40812</v>
      </c>
      <c r="B36020">
        <v>19.3</v>
      </c>
    </row>
    <row r="36021" spans="1:2" x14ac:dyDescent="0.25">
      <c r="A36021" s="74">
        <v>40813</v>
      </c>
      <c r="B36021">
        <v>27.7</v>
      </c>
    </row>
    <row r="36022" spans="1:2" x14ac:dyDescent="0.25">
      <c r="A36022" s="74">
        <v>40814</v>
      </c>
      <c r="B36022">
        <v>14</v>
      </c>
    </row>
    <row r="36023" spans="1:2" x14ac:dyDescent="0.25">
      <c r="A36023" s="74">
        <v>40815</v>
      </c>
      <c r="B36023">
        <v>8.52</v>
      </c>
    </row>
    <row r="36024" spans="1:2" x14ac:dyDescent="0.25">
      <c r="A36024" s="74">
        <v>40816</v>
      </c>
      <c r="B36024">
        <v>5.86</v>
      </c>
    </row>
    <row r="36025" spans="1:2" x14ac:dyDescent="0.25">
      <c r="A36025" s="74">
        <v>40817</v>
      </c>
      <c r="B36025">
        <v>4.5999999999999996</v>
      </c>
    </row>
    <row r="36026" spans="1:2" x14ac:dyDescent="0.25">
      <c r="A36026" s="74">
        <v>40818</v>
      </c>
      <c r="B36026">
        <v>3.76</v>
      </c>
    </row>
    <row r="36027" spans="1:2" x14ac:dyDescent="0.25">
      <c r="A36027" s="74">
        <v>40819</v>
      </c>
      <c r="B36027">
        <v>4.25</v>
      </c>
    </row>
    <row r="36028" spans="1:2" x14ac:dyDescent="0.25">
      <c r="A36028" s="74">
        <v>40820</v>
      </c>
      <c r="B36028">
        <v>5.79</v>
      </c>
    </row>
    <row r="36029" spans="1:2" x14ac:dyDescent="0.25">
      <c r="A36029" s="74">
        <v>40821</v>
      </c>
      <c r="B36029">
        <v>6.38</v>
      </c>
    </row>
    <row r="36030" spans="1:2" x14ac:dyDescent="0.25">
      <c r="A36030" s="74">
        <v>40822</v>
      </c>
      <c r="B36030">
        <v>6.68</v>
      </c>
    </row>
    <row r="36031" spans="1:2" x14ac:dyDescent="0.25">
      <c r="A36031" s="74">
        <v>40823</v>
      </c>
      <c r="B36031">
        <v>5.64</v>
      </c>
    </row>
    <row r="36032" spans="1:2" x14ac:dyDescent="0.25">
      <c r="A36032" s="74">
        <v>40824</v>
      </c>
      <c r="B36032">
        <v>4.8099999999999996</v>
      </c>
    </row>
    <row r="36033" spans="1:2" x14ac:dyDescent="0.25">
      <c r="A36033" s="74">
        <v>40825</v>
      </c>
      <c r="B36033">
        <v>5.58</v>
      </c>
    </row>
    <row r="36034" spans="1:2" x14ac:dyDescent="0.25">
      <c r="A36034" s="74">
        <v>40826</v>
      </c>
      <c r="B36034">
        <v>5.47</v>
      </c>
    </row>
    <row r="36035" spans="1:2" x14ac:dyDescent="0.25">
      <c r="A36035" s="74">
        <v>40827</v>
      </c>
      <c r="B36035">
        <v>24.8</v>
      </c>
    </row>
    <row r="36036" spans="1:2" x14ac:dyDescent="0.25">
      <c r="A36036" s="74">
        <v>40828</v>
      </c>
      <c r="B36036">
        <v>25.5</v>
      </c>
    </row>
    <row r="36037" spans="1:2" x14ac:dyDescent="0.25">
      <c r="A36037" s="74">
        <v>40829</v>
      </c>
      <c r="B36037">
        <v>15.6</v>
      </c>
    </row>
    <row r="36038" spans="1:2" x14ac:dyDescent="0.25">
      <c r="A36038" s="74">
        <v>40830</v>
      </c>
      <c r="B36038">
        <v>10.7</v>
      </c>
    </row>
    <row r="36039" spans="1:2" x14ac:dyDescent="0.25">
      <c r="A36039" s="74">
        <v>40831</v>
      </c>
      <c r="B36039">
        <v>7.95</v>
      </c>
    </row>
    <row r="36040" spans="1:2" x14ac:dyDescent="0.25">
      <c r="A36040" s="74">
        <v>40832</v>
      </c>
      <c r="B36040">
        <v>6.33</v>
      </c>
    </row>
    <row r="36041" spans="1:2" x14ac:dyDescent="0.25">
      <c r="A36041" s="74">
        <v>40833</v>
      </c>
      <c r="B36041">
        <v>5.23</v>
      </c>
    </row>
    <row r="36042" spans="1:2" x14ac:dyDescent="0.25">
      <c r="A36042" s="74">
        <v>40834</v>
      </c>
      <c r="B36042">
        <v>4.53</v>
      </c>
    </row>
    <row r="36043" spans="1:2" x14ac:dyDescent="0.25">
      <c r="A36043" s="74">
        <v>40835</v>
      </c>
      <c r="B36043">
        <v>4.0199999999999996</v>
      </c>
    </row>
    <row r="36044" spans="1:2" x14ac:dyDescent="0.25">
      <c r="A36044" s="74">
        <v>40836</v>
      </c>
      <c r="B36044">
        <v>3.85</v>
      </c>
    </row>
    <row r="36045" spans="1:2" x14ac:dyDescent="0.25">
      <c r="A36045" s="74">
        <v>40837</v>
      </c>
      <c r="B36045">
        <v>3.92</v>
      </c>
    </row>
    <row r="36046" spans="1:2" x14ac:dyDescent="0.25">
      <c r="A36046" s="74">
        <v>40838</v>
      </c>
      <c r="B36046">
        <v>6.11</v>
      </c>
    </row>
    <row r="36047" spans="1:2" x14ac:dyDescent="0.25">
      <c r="A36047" s="74">
        <v>40839</v>
      </c>
      <c r="B36047">
        <v>6.34</v>
      </c>
    </row>
    <row r="36048" spans="1:2" x14ac:dyDescent="0.25">
      <c r="A36048" s="74">
        <v>40840</v>
      </c>
      <c r="B36048">
        <v>5.39</v>
      </c>
    </row>
    <row r="36049" spans="1:2" x14ac:dyDescent="0.25">
      <c r="A36049" s="74">
        <v>40841</v>
      </c>
      <c r="B36049">
        <v>4.68</v>
      </c>
    </row>
    <row r="36050" spans="1:2" x14ac:dyDescent="0.25">
      <c r="A36050" s="74">
        <v>40842</v>
      </c>
      <c r="B36050">
        <v>4.2</v>
      </c>
    </row>
    <row r="36051" spans="1:2" x14ac:dyDescent="0.25">
      <c r="A36051" s="74">
        <v>40843</v>
      </c>
      <c r="B36051">
        <v>4.08</v>
      </c>
    </row>
    <row r="36052" spans="1:2" x14ac:dyDescent="0.25">
      <c r="A36052" s="74">
        <v>40844</v>
      </c>
      <c r="B36052">
        <v>5.6</v>
      </c>
    </row>
    <row r="36053" spans="1:2" x14ac:dyDescent="0.25">
      <c r="A36053" s="74">
        <v>40845</v>
      </c>
      <c r="B36053">
        <v>8.98</v>
      </c>
    </row>
    <row r="36054" spans="1:2" x14ac:dyDescent="0.25">
      <c r="A36054" s="74">
        <v>40846</v>
      </c>
      <c r="B36054">
        <v>7.32</v>
      </c>
    </row>
    <row r="36055" spans="1:2" x14ac:dyDescent="0.25">
      <c r="A36055" s="74">
        <v>40847</v>
      </c>
      <c r="B36055">
        <v>6.71</v>
      </c>
    </row>
    <row r="36056" spans="1:2" x14ac:dyDescent="0.25">
      <c r="A36056" s="74">
        <v>40848</v>
      </c>
      <c r="B36056">
        <v>5.8</v>
      </c>
    </row>
    <row r="36057" spans="1:2" x14ac:dyDescent="0.25">
      <c r="A36057" s="74">
        <v>40849</v>
      </c>
      <c r="B36057">
        <v>5.31</v>
      </c>
    </row>
    <row r="36058" spans="1:2" x14ac:dyDescent="0.25">
      <c r="A36058" s="74">
        <v>40850</v>
      </c>
      <c r="B36058">
        <v>6.12</v>
      </c>
    </row>
    <row r="36059" spans="1:2" x14ac:dyDescent="0.25">
      <c r="A36059" s="74">
        <v>40851</v>
      </c>
      <c r="B36059">
        <v>5.51</v>
      </c>
    </row>
    <row r="36060" spans="1:2" x14ac:dyDescent="0.25">
      <c r="A36060" s="74">
        <v>40852</v>
      </c>
      <c r="B36060">
        <v>5</v>
      </c>
    </row>
    <row r="36061" spans="1:2" x14ac:dyDescent="0.25">
      <c r="A36061" s="74">
        <v>40853</v>
      </c>
      <c r="B36061">
        <v>4.5199999999999996</v>
      </c>
    </row>
    <row r="36062" spans="1:2" x14ac:dyDescent="0.25">
      <c r="A36062" s="74">
        <v>40854</v>
      </c>
      <c r="B36062">
        <v>4.08</v>
      </c>
    </row>
    <row r="36063" spans="1:2" x14ac:dyDescent="0.25">
      <c r="A36063" s="74">
        <v>40855</v>
      </c>
      <c r="B36063">
        <v>3.86</v>
      </c>
    </row>
    <row r="36064" spans="1:2" x14ac:dyDescent="0.25">
      <c r="A36064" s="74">
        <v>40856</v>
      </c>
      <c r="B36064">
        <v>3.93</v>
      </c>
    </row>
    <row r="36065" spans="1:2" x14ac:dyDescent="0.25">
      <c r="A36065" s="74">
        <v>40857</v>
      </c>
      <c r="B36065">
        <v>9.14</v>
      </c>
    </row>
    <row r="36066" spans="1:2" x14ac:dyDescent="0.25">
      <c r="A36066" s="74">
        <v>40858</v>
      </c>
      <c r="B36066">
        <v>11.1</v>
      </c>
    </row>
    <row r="36067" spans="1:2" x14ac:dyDescent="0.25">
      <c r="A36067" s="74">
        <v>40859</v>
      </c>
      <c r="B36067">
        <v>11.8</v>
      </c>
    </row>
    <row r="36068" spans="1:2" x14ac:dyDescent="0.25">
      <c r="A36068" s="74">
        <v>40860</v>
      </c>
      <c r="B36068">
        <v>9.6999999999999993</v>
      </c>
    </row>
    <row r="36069" spans="1:2" x14ac:dyDescent="0.25">
      <c r="A36069" s="74">
        <v>40861</v>
      </c>
      <c r="B36069">
        <v>8.0299999999999994</v>
      </c>
    </row>
    <row r="36070" spans="1:2" x14ac:dyDescent="0.25">
      <c r="A36070" s="74">
        <v>40862</v>
      </c>
      <c r="B36070">
        <v>6.87</v>
      </c>
    </row>
    <row r="36071" spans="1:2" x14ac:dyDescent="0.25">
      <c r="A36071" s="74">
        <v>40863</v>
      </c>
      <c r="B36071">
        <v>6.17</v>
      </c>
    </row>
    <row r="36072" spans="1:2" x14ac:dyDescent="0.25">
      <c r="A36072" s="74">
        <v>40864</v>
      </c>
      <c r="B36072">
        <v>11.1</v>
      </c>
    </row>
    <row r="36073" spans="1:2" x14ac:dyDescent="0.25">
      <c r="A36073" s="74">
        <v>40865</v>
      </c>
      <c r="B36073">
        <v>10.1</v>
      </c>
    </row>
    <row r="36074" spans="1:2" x14ac:dyDescent="0.25">
      <c r="A36074" s="74">
        <v>40866</v>
      </c>
      <c r="B36074">
        <v>8.3800000000000008</v>
      </c>
    </row>
    <row r="36075" spans="1:2" x14ac:dyDescent="0.25">
      <c r="A36075" s="74">
        <v>40867</v>
      </c>
      <c r="B36075">
        <v>6.95</v>
      </c>
    </row>
    <row r="36076" spans="1:2" x14ac:dyDescent="0.25">
      <c r="A36076" s="74">
        <v>40868</v>
      </c>
      <c r="B36076">
        <v>6.64</v>
      </c>
    </row>
    <row r="36077" spans="1:2" x14ac:dyDescent="0.25">
      <c r="A36077" s="74">
        <v>40869</v>
      </c>
      <c r="B36077">
        <v>81.3</v>
      </c>
    </row>
    <row r="36078" spans="1:2" x14ac:dyDescent="0.25">
      <c r="A36078" s="74">
        <v>40870</v>
      </c>
      <c r="B36078">
        <v>44.8</v>
      </c>
    </row>
    <row r="36079" spans="1:2" x14ac:dyDescent="0.25">
      <c r="A36079" s="74">
        <v>40871</v>
      </c>
      <c r="B36079">
        <v>26.9</v>
      </c>
    </row>
    <row r="36080" spans="1:2" x14ac:dyDescent="0.25">
      <c r="A36080" s="74">
        <v>40872</v>
      </c>
      <c r="B36080">
        <v>23.3</v>
      </c>
    </row>
    <row r="36081" spans="1:2" x14ac:dyDescent="0.25">
      <c r="A36081" s="74">
        <v>40873</v>
      </c>
      <c r="B36081">
        <v>19</v>
      </c>
    </row>
    <row r="36082" spans="1:2" x14ac:dyDescent="0.25">
      <c r="A36082" s="74">
        <v>40874</v>
      </c>
      <c r="B36082">
        <v>171</v>
      </c>
    </row>
    <row r="36083" spans="1:2" x14ac:dyDescent="0.25">
      <c r="A36083" s="74">
        <v>40875</v>
      </c>
      <c r="B36083">
        <v>75.400000000000006</v>
      </c>
    </row>
    <row r="36084" spans="1:2" x14ac:dyDescent="0.25">
      <c r="A36084" s="74">
        <v>40876</v>
      </c>
      <c r="B36084">
        <v>35.700000000000003</v>
      </c>
    </row>
    <row r="36085" spans="1:2" x14ac:dyDescent="0.25">
      <c r="A36085" s="74">
        <v>40877</v>
      </c>
      <c r="B36085">
        <v>22.2</v>
      </c>
    </row>
    <row r="36086" spans="1:2" x14ac:dyDescent="0.25">
      <c r="A36086" s="74">
        <v>40878</v>
      </c>
      <c r="B36086">
        <v>15.9</v>
      </c>
    </row>
    <row r="36087" spans="1:2" x14ac:dyDescent="0.25">
      <c r="A36087" s="74">
        <v>40879</v>
      </c>
      <c r="B36087">
        <v>12.7</v>
      </c>
    </row>
    <row r="36088" spans="1:2" x14ac:dyDescent="0.25">
      <c r="A36088" s="74">
        <v>40880</v>
      </c>
      <c r="B36088">
        <v>10.6</v>
      </c>
    </row>
    <row r="36089" spans="1:2" x14ac:dyDescent="0.25">
      <c r="A36089" s="74">
        <v>40881</v>
      </c>
      <c r="B36089">
        <v>9.17</v>
      </c>
    </row>
    <row r="36090" spans="1:2" x14ac:dyDescent="0.25">
      <c r="A36090" s="74">
        <v>40882</v>
      </c>
      <c r="B36090">
        <v>8.1300000000000008</v>
      </c>
    </row>
    <row r="36091" spans="1:2" x14ac:dyDescent="0.25">
      <c r="A36091" s="74">
        <v>40883</v>
      </c>
      <c r="B36091">
        <v>7.2</v>
      </c>
    </row>
    <row r="36092" spans="1:2" x14ac:dyDescent="0.25">
      <c r="A36092" s="74">
        <v>40884</v>
      </c>
      <c r="B36092">
        <v>6.67</v>
      </c>
    </row>
    <row r="36093" spans="1:2" x14ac:dyDescent="0.25">
      <c r="A36093" s="74">
        <v>40885</v>
      </c>
      <c r="B36093">
        <v>6.25</v>
      </c>
    </row>
    <row r="36094" spans="1:2" x14ac:dyDescent="0.25">
      <c r="A36094" s="74">
        <v>40886</v>
      </c>
      <c r="B36094">
        <v>5.76</v>
      </c>
    </row>
    <row r="36095" spans="1:2" x14ac:dyDescent="0.25">
      <c r="A36095" s="74">
        <v>40887</v>
      </c>
      <c r="B36095">
        <v>5.39</v>
      </c>
    </row>
    <row r="36096" spans="1:2" x14ac:dyDescent="0.25">
      <c r="A36096" s="74">
        <v>40888</v>
      </c>
      <c r="B36096">
        <v>5.17</v>
      </c>
    </row>
    <row r="36097" spans="1:2" x14ac:dyDescent="0.25">
      <c r="A36097" s="74">
        <v>40889</v>
      </c>
      <c r="B36097">
        <v>4.8899999999999997</v>
      </c>
    </row>
    <row r="36098" spans="1:2" x14ac:dyDescent="0.25">
      <c r="A36098" s="74">
        <v>40890</v>
      </c>
      <c r="B36098">
        <v>4.6500000000000004</v>
      </c>
    </row>
    <row r="36099" spans="1:2" x14ac:dyDescent="0.25">
      <c r="A36099" s="74">
        <v>40891</v>
      </c>
      <c r="B36099">
        <v>4.42</v>
      </c>
    </row>
    <row r="36100" spans="1:2" x14ac:dyDescent="0.25">
      <c r="A36100" s="74">
        <v>40892</v>
      </c>
      <c r="B36100">
        <v>4.28</v>
      </c>
    </row>
    <row r="36101" spans="1:2" x14ac:dyDescent="0.25">
      <c r="A36101" s="74">
        <v>40893</v>
      </c>
      <c r="B36101">
        <v>4.07</v>
      </c>
    </row>
    <row r="36102" spans="1:2" x14ac:dyDescent="0.25">
      <c r="A36102" s="74">
        <v>40894</v>
      </c>
      <c r="B36102">
        <v>4.13</v>
      </c>
    </row>
    <row r="36103" spans="1:2" x14ac:dyDescent="0.25">
      <c r="A36103" s="74">
        <v>40895</v>
      </c>
      <c r="B36103">
        <v>5.2</v>
      </c>
    </row>
    <row r="36104" spans="1:2" x14ac:dyDescent="0.25">
      <c r="A36104" s="74">
        <v>40896</v>
      </c>
      <c r="B36104">
        <v>5.44</v>
      </c>
    </row>
    <row r="36105" spans="1:2" x14ac:dyDescent="0.25">
      <c r="A36105" s="74">
        <v>40897</v>
      </c>
      <c r="B36105">
        <v>5.13</v>
      </c>
    </row>
    <row r="36106" spans="1:2" x14ac:dyDescent="0.25">
      <c r="A36106" s="74">
        <v>40898</v>
      </c>
      <c r="B36106">
        <v>5.0199999999999996</v>
      </c>
    </row>
    <row r="36107" spans="1:2" x14ac:dyDescent="0.25">
      <c r="A36107" s="74">
        <v>40899</v>
      </c>
      <c r="B36107">
        <v>4.74</v>
      </c>
    </row>
    <row r="36108" spans="1:2" x14ac:dyDescent="0.25">
      <c r="A36108" s="74">
        <v>40900</v>
      </c>
      <c r="B36108">
        <v>4.4800000000000004</v>
      </c>
    </row>
    <row r="36109" spans="1:2" x14ac:dyDescent="0.25">
      <c r="A36109" s="74">
        <v>40901</v>
      </c>
      <c r="B36109">
        <v>6.54</v>
      </c>
    </row>
    <row r="36110" spans="1:2" x14ac:dyDescent="0.25">
      <c r="A36110" s="74">
        <v>40902</v>
      </c>
      <c r="B36110">
        <v>10.5</v>
      </c>
    </row>
    <row r="36111" spans="1:2" x14ac:dyDescent="0.25">
      <c r="A36111" s="74">
        <v>40903</v>
      </c>
      <c r="B36111">
        <v>9.67</v>
      </c>
    </row>
    <row r="36112" spans="1:2" x14ac:dyDescent="0.25">
      <c r="A36112" s="74">
        <v>40904</v>
      </c>
      <c r="B36112">
        <v>11.6</v>
      </c>
    </row>
    <row r="36113" spans="1:2" x14ac:dyDescent="0.25">
      <c r="A36113" s="74">
        <v>40905</v>
      </c>
      <c r="B36113">
        <v>84.1</v>
      </c>
    </row>
    <row r="36114" spans="1:2" x14ac:dyDescent="0.25">
      <c r="A36114" s="74">
        <v>40906</v>
      </c>
      <c r="B36114">
        <v>81.099999999999994</v>
      </c>
    </row>
    <row r="36115" spans="1:2" x14ac:dyDescent="0.25">
      <c r="A36115" s="74">
        <v>40907</v>
      </c>
      <c r="B36115">
        <v>41.9</v>
      </c>
    </row>
    <row r="36116" spans="1:2" x14ac:dyDescent="0.25">
      <c r="A36116" s="74">
        <v>40908</v>
      </c>
      <c r="B36116">
        <v>25.3</v>
      </c>
    </row>
    <row r="36117" spans="1:2" x14ac:dyDescent="0.25">
      <c r="A36117" s="74">
        <v>40909</v>
      </c>
      <c r="B36117">
        <v>16.8</v>
      </c>
    </row>
    <row r="36118" spans="1:2" x14ac:dyDescent="0.25">
      <c r="A36118" s="74">
        <v>40910</v>
      </c>
      <c r="B36118">
        <v>13.2</v>
      </c>
    </row>
    <row r="36119" spans="1:2" x14ac:dyDescent="0.25">
      <c r="A36119" s="74">
        <v>40911</v>
      </c>
      <c r="B36119">
        <v>38.200000000000003</v>
      </c>
    </row>
    <row r="36120" spans="1:2" x14ac:dyDescent="0.25">
      <c r="A36120" s="74">
        <v>40912</v>
      </c>
      <c r="B36120">
        <v>234</v>
      </c>
    </row>
    <row r="36121" spans="1:2" x14ac:dyDescent="0.25">
      <c r="A36121" s="74">
        <v>40913</v>
      </c>
      <c r="B36121">
        <v>135</v>
      </c>
    </row>
    <row r="36122" spans="1:2" x14ac:dyDescent="0.25">
      <c r="A36122" s="74">
        <v>40914</v>
      </c>
      <c r="B36122">
        <v>57.3</v>
      </c>
    </row>
    <row r="36123" spans="1:2" x14ac:dyDescent="0.25">
      <c r="A36123" s="74">
        <v>40915</v>
      </c>
      <c r="B36123">
        <v>31.2</v>
      </c>
    </row>
    <row r="36124" spans="1:2" x14ac:dyDescent="0.25">
      <c r="A36124" s="74">
        <v>40916</v>
      </c>
      <c r="B36124">
        <v>21.3</v>
      </c>
    </row>
    <row r="36125" spans="1:2" x14ac:dyDescent="0.25">
      <c r="A36125" s="74">
        <v>40917</v>
      </c>
      <c r="B36125">
        <v>25.4</v>
      </c>
    </row>
    <row r="36126" spans="1:2" x14ac:dyDescent="0.25">
      <c r="A36126" s="74">
        <v>40918</v>
      </c>
      <c r="B36126">
        <v>20.2</v>
      </c>
    </row>
    <row r="36127" spans="1:2" x14ac:dyDescent="0.25">
      <c r="A36127" s="74">
        <v>40919</v>
      </c>
      <c r="B36127">
        <v>15.2</v>
      </c>
    </row>
    <row r="36128" spans="1:2" x14ac:dyDescent="0.25">
      <c r="A36128" s="74">
        <v>40920</v>
      </c>
      <c r="B36128">
        <v>12.5</v>
      </c>
    </row>
    <row r="36129" spans="1:2" x14ac:dyDescent="0.25">
      <c r="A36129" s="74">
        <v>40921</v>
      </c>
      <c r="B36129">
        <v>10.8</v>
      </c>
    </row>
    <row r="36130" spans="1:2" x14ac:dyDescent="0.25">
      <c r="A36130" s="74">
        <v>40922</v>
      </c>
      <c r="B36130">
        <v>9.73</v>
      </c>
    </row>
    <row r="36131" spans="1:2" x14ac:dyDescent="0.25">
      <c r="A36131" s="74">
        <v>40923</v>
      </c>
      <c r="B36131">
        <v>8.6199999999999992</v>
      </c>
    </row>
    <row r="36132" spans="1:2" x14ac:dyDescent="0.25">
      <c r="A36132" s="74">
        <v>40924</v>
      </c>
      <c r="B36132">
        <v>7.58</v>
      </c>
    </row>
    <row r="36133" spans="1:2" x14ac:dyDescent="0.25">
      <c r="A36133" s="74">
        <v>40925</v>
      </c>
      <c r="B36133">
        <v>7.08</v>
      </c>
    </row>
    <row r="36134" spans="1:2" x14ac:dyDescent="0.25">
      <c r="A36134" s="74">
        <v>40926</v>
      </c>
      <c r="B36134">
        <v>6.74</v>
      </c>
    </row>
    <row r="36135" spans="1:2" x14ac:dyDescent="0.25">
      <c r="A36135" s="74">
        <v>40927</v>
      </c>
      <c r="B36135">
        <v>6.21</v>
      </c>
    </row>
    <row r="36136" spans="1:2" x14ac:dyDescent="0.25">
      <c r="A36136" s="74">
        <v>40928</v>
      </c>
      <c r="B36136">
        <v>6.13</v>
      </c>
    </row>
    <row r="36137" spans="1:2" x14ac:dyDescent="0.25">
      <c r="A36137" s="74">
        <v>40929</v>
      </c>
      <c r="B36137">
        <v>14.3</v>
      </c>
    </row>
    <row r="36138" spans="1:2" x14ac:dyDescent="0.25">
      <c r="A36138" s="74">
        <v>40930</v>
      </c>
      <c r="B36138">
        <v>14.8</v>
      </c>
    </row>
    <row r="36139" spans="1:2" x14ac:dyDescent="0.25">
      <c r="A36139" s="74">
        <v>40931</v>
      </c>
      <c r="B36139">
        <v>19.3</v>
      </c>
    </row>
    <row r="36140" spans="1:2" x14ac:dyDescent="0.25">
      <c r="A36140" s="74">
        <v>40932</v>
      </c>
      <c r="B36140">
        <v>27.9</v>
      </c>
    </row>
    <row r="36141" spans="1:2" x14ac:dyDescent="0.25">
      <c r="A36141" s="74">
        <v>40933</v>
      </c>
      <c r="B36141">
        <v>62.3</v>
      </c>
    </row>
    <row r="36142" spans="1:2" x14ac:dyDescent="0.25">
      <c r="A36142" s="74">
        <v>40934</v>
      </c>
      <c r="B36142">
        <v>35.799999999999997</v>
      </c>
    </row>
    <row r="36143" spans="1:2" x14ac:dyDescent="0.25">
      <c r="A36143" s="74">
        <v>40935</v>
      </c>
      <c r="B36143">
        <v>22.7</v>
      </c>
    </row>
    <row r="36144" spans="1:2" x14ac:dyDescent="0.25">
      <c r="A36144" s="74">
        <v>40936</v>
      </c>
      <c r="B36144">
        <v>17</v>
      </c>
    </row>
    <row r="36145" spans="1:2" x14ac:dyDescent="0.25">
      <c r="A36145" s="74">
        <v>40937</v>
      </c>
      <c r="B36145">
        <v>43.3</v>
      </c>
    </row>
    <row r="36146" spans="1:2" x14ac:dyDescent="0.25">
      <c r="A36146" s="74">
        <v>40938</v>
      </c>
      <c r="B36146">
        <v>42.1</v>
      </c>
    </row>
    <row r="36147" spans="1:2" x14ac:dyDescent="0.25">
      <c r="A36147" s="74">
        <v>40939</v>
      </c>
      <c r="B36147">
        <v>29.8</v>
      </c>
    </row>
    <row r="36148" spans="1:2" x14ac:dyDescent="0.25">
      <c r="A36148" s="74">
        <v>40940</v>
      </c>
      <c r="B36148">
        <v>26.7</v>
      </c>
    </row>
    <row r="36149" spans="1:2" x14ac:dyDescent="0.25">
      <c r="A36149" s="74">
        <v>40941</v>
      </c>
      <c r="B36149">
        <v>20.6</v>
      </c>
    </row>
    <row r="36150" spans="1:2" x14ac:dyDescent="0.25">
      <c r="A36150" s="74">
        <v>40942</v>
      </c>
      <c r="B36150">
        <v>16.8</v>
      </c>
    </row>
    <row r="36151" spans="1:2" x14ac:dyDescent="0.25">
      <c r="A36151" s="74">
        <v>40943</v>
      </c>
      <c r="B36151">
        <v>14.4</v>
      </c>
    </row>
    <row r="36152" spans="1:2" x14ac:dyDescent="0.25">
      <c r="A36152" s="74">
        <v>40944</v>
      </c>
      <c r="B36152">
        <v>12.9</v>
      </c>
    </row>
    <row r="36153" spans="1:2" x14ac:dyDescent="0.25">
      <c r="A36153" s="74">
        <v>40945</v>
      </c>
      <c r="B36153">
        <v>11.7</v>
      </c>
    </row>
    <row r="36154" spans="1:2" x14ac:dyDescent="0.25">
      <c r="A36154" s="74">
        <v>40946</v>
      </c>
      <c r="B36154">
        <v>10.7</v>
      </c>
    </row>
    <row r="36155" spans="1:2" x14ac:dyDescent="0.25">
      <c r="A36155" s="74">
        <v>40947</v>
      </c>
      <c r="B36155">
        <v>10.5</v>
      </c>
    </row>
    <row r="36156" spans="1:2" x14ac:dyDescent="0.25">
      <c r="A36156" s="74">
        <v>40948</v>
      </c>
      <c r="B36156">
        <v>15.3</v>
      </c>
    </row>
    <row r="36157" spans="1:2" x14ac:dyDescent="0.25">
      <c r="A36157" s="74">
        <v>40949</v>
      </c>
      <c r="B36157">
        <v>41.6</v>
      </c>
    </row>
    <row r="36158" spans="1:2" x14ac:dyDescent="0.25">
      <c r="A36158" s="74">
        <v>40950</v>
      </c>
      <c r="B36158">
        <v>45.8</v>
      </c>
    </row>
    <row r="36159" spans="1:2" x14ac:dyDescent="0.25">
      <c r="A36159" s="74">
        <v>40951</v>
      </c>
      <c r="B36159">
        <v>29.9</v>
      </c>
    </row>
    <row r="36160" spans="1:2" x14ac:dyDescent="0.25">
      <c r="A36160" s="74">
        <v>40952</v>
      </c>
      <c r="B36160">
        <v>24.3</v>
      </c>
    </row>
    <row r="36161" spans="1:2" x14ac:dyDescent="0.25">
      <c r="A36161" s="74">
        <v>40953</v>
      </c>
      <c r="B36161">
        <v>19.5</v>
      </c>
    </row>
    <row r="36162" spans="1:2" x14ac:dyDescent="0.25">
      <c r="A36162" s="74">
        <v>40954</v>
      </c>
      <c r="B36162">
        <v>16</v>
      </c>
    </row>
    <row r="36163" spans="1:2" x14ac:dyDescent="0.25">
      <c r="A36163" s="74">
        <v>40955</v>
      </c>
      <c r="B36163">
        <v>13.7</v>
      </c>
    </row>
    <row r="36164" spans="1:2" x14ac:dyDescent="0.25">
      <c r="A36164" s="74">
        <v>40956</v>
      </c>
      <c r="B36164">
        <v>12.8</v>
      </c>
    </row>
    <row r="36165" spans="1:2" x14ac:dyDescent="0.25">
      <c r="A36165" s="74">
        <v>40957</v>
      </c>
      <c r="B36165">
        <v>19.3</v>
      </c>
    </row>
    <row r="36166" spans="1:2" x14ac:dyDescent="0.25">
      <c r="A36166" s="74">
        <v>40958</v>
      </c>
      <c r="B36166">
        <v>19.8</v>
      </c>
    </row>
    <row r="36167" spans="1:2" x14ac:dyDescent="0.25">
      <c r="A36167" s="74">
        <v>40959</v>
      </c>
      <c r="B36167">
        <v>16</v>
      </c>
    </row>
    <row r="36168" spans="1:2" x14ac:dyDescent="0.25">
      <c r="A36168" s="74">
        <v>40960</v>
      </c>
      <c r="B36168">
        <v>13.9</v>
      </c>
    </row>
    <row r="36169" spans="1:2" x14ac:dyDescent="0.25">
      <c r="A36169" s="74">
        <v>40961</v>
      </c>
      <c r="B36169">
        <v>15.1</v>
      </c>
    </row>
    <row r="36170" spans="1:2" x14ac:dyDescent="0.25">
      <c r="A36170" s="74">
        <v>40962</v>
      </c>
      <c r="B36170">
        <v>13.8</v>
      </c>
    </row>
    <row r="36171" spans="1:2" x14ac:dyDescent="0.25">
      <c r="A36171" s="74">
        <v>40963</v>
      </c>
      <c r="B36171">
        <v>14.3</v>
      </c>
    </row>
    <row r="36172" spans="1:2" x14ac:dyDescent="0.25">
      <c r="A36172" s="74">
        <v>40964</v>
      </c>
      <c r="B36172">
        <v>18.8</v>
      </c>
    </row>
    <row r="36173" spans="1:2" x14ac:dyDescent="0.25">
      <c r="A36173" s="74">
        <v>40965</v>
      </c>
      <c r="B36173">
        <v>15.5</v>
      </c>
    </row>
    <row r="36174" spans="1:2" x14ac:dyDescent="0.25">
      <c r="A36174" s="74">
        <v>40966</v>
      </c>
      <c r="B36174">
        <v>12.8</v>
      </c>
    </row>
    <row r="36175" spans="1:2" x14ac:dyDescent="0.25">
      <c r="A36175" s="74">
        <v>40967</v>
      </c>
      <c r="B36175">
        <v>11.3</v>
      </c>
    </row>
    <row r="36176" spans="1:2" x14ac:dyDescent="0.25">
      <c r="A36176" s="74">
        <v>40968</v>
      </c>
      <c r="B36176">
        <v>10.8</v>
      </c>
    </row>
    <row r="36177" spans="1:2" x14ac:dyDescent="0.25">
      <c r="A36177" s="74">
        <v>40969</v>
      </c>
      <c r="B36177">
        <v>9.6300000000000008</v>
      </c>
    </row>
    <row r="36178" spans="1:2" x14ac:dyDescent="0.25">
      <c r="A36178" s="74">
        <v>40970</v>
      </c>
      <c r="B36178">
        <v>8.5</v>
      </c>
    </row>
    <row r="36179" spans="1:2" x14ac:dyDescent="0.25">
      <c r="A36179" s="74">
        <v>40971</v>
      </c>
      <c r="B36179">
        <v>8.09</v>
      </c>
    </row>
    <row r="36180" spans="1:2" x14ac:dyDescent="0.25">
      <c r="A36180" s="74">
        <v>40972</v>
      </c>
      <c r="B36180">
        <v>9.14</v>
      </c>
    </row>
    <row r="36181" spans="1:2" x14ac:dyDescent="0.25">
      <c r="A36181" s="74">
        <v>40973</v>
      </c>
      <c r="B36181">
        <v>25.2</v>
      </c>
    </row>
    <row r="36182" spans="1:2" x14ac:dyDescent="0.25">
      <c r="A36182" s="74">
        <v>40974</v>
      </c>
      <c r="B36182">
        <v>20.9</v>
      </c>
    </row>
    <row r="36183" spans="1:2" x14ac:dyDescent="0.25">
      <c r="A36183" s="74">
        <v>40975</v>
      </c>
      <c r="B36183">
        <v>15.5</v>
      </c>
    </row>
    <row r="36184" spans="1:2" x14ac:dyDescent="0.25">
      <c r="A36184" s="74">
        <v>40976</v>
      </c>
      <c r="B36184">
        <v>12.8</v>
      </c>
    </row>
    <row r="36185" spans="1:2" x14ac:dyDescent="0.25">
      <c r="A36185" s="74">
        <v>40977</v>
      </c>
      <c r="B36185">
        <v>12.6</v>
      </c>
    </row>
    <row r="36186" spans="1:2" x14ac:dyDescent="0.25">
      <c r="A36186" s="74">
        <v>40978</v>
      </c>
      <c r="B36186">
        <v>14.6</v>
      </c>
    </row>
    <row r="36187" spans="1:2" x14ac:dyDescent="0.25">
      <c r="A36187" s="74">
        <v>40979</v>
      </c>
      <c r="B36187">
        <v>15.7</v>
      </c>
    </row>
    <row r="36188" spans="1:2" x14ac:dyDescent="0.25">
      <c r="A36188" s="74">
        <v>40980</v>
      </c>
      <c r="B36188">
        <v>19.2</v>
      </c>
    </row>
    <row r="36189" spans="1:2" x14ac:dyDescent="0.25">
      <c r="A36189" s="74">
        <v>40981</v>
      </c>
      <c r="B36189">
        <v>20.100000000000001</v>
      </c>
    </row>
    <row r="36190" spans="1:2" x14ac:dyDescent="0.25">
      <c r="A36190" s="74">
        <v>40982</v>
      </c>
      <c r="B36190">
        <v>15.5</v>
      </c>
    </row>
    <row r="36191" spans="1:2" x14ac:dyDescent="0.25">
      <c r="A36191" s="74">
        <v>40983</v>
      </c>
      <c r="B36191">
        <v>40.1</v>
      </c>
    </row>
    <row r="36192" spans="1:2" x14ac:dyDescent="0.25">
      <c r="A36192" s="74">
        <v>40984</v>
      </c>
      <c r="B36192">
        <v>44.5</v>
      </c>
    </row>
    <row r="36193" spans="1:2" x14ac:dyDescent="0.25">
      <c r="A36193" s="74">
        <v>40985</v>
      </c>
      <c r="B36193">
        <v>25.6</v>
      </c>
    </row>
    <row r="36194" spans="1:2" x14ac:dyDescent="0.25">
      <c r="A36194" s="74">
        <v>40986</v>
      </c>
      <c r="B36194">
        <v>18</v>
      </c>
    </row>
    <row r="36195" spans="1:2" x14ac:dyDescent="0.25">
      <c r="A36195" s="74">
        <v>40987</v>
      </c>
      <c r="B36195">
        <v>14.4</v>
      </c>
    </row>
    <row r="36196" spans="1:2" x14ac:dyDescent="0.25">
      <c r="A36196" s="74">
        <v>40988</v>
      </c>
      <c r="B36196">
        <v>13.7</v>
      </c>
    </row>
    <row r="36197" spans="1:2" x14ac:dyDescent="0.25">
      <c r="A36197" s="74">
        <v>40989</v>
      </c>
      <c r="B36197">
        <v>12.5</v>
      </c>
    </row>
    <row r="36198" spans="1:2" x14ac:dyDescent="0.25">
      <c r="A36198" s="74">
        <v>40990</v>
      </c>
      <c r="B36198">
        <v>11</v>
      </c>
    </row>
    <row r="36199" spans="1:2" x14ac:dyDescent="0.25">
      <c r="A36199" s="74">
        <v>40991</v>
      </c>
      <c r="B36199">
        <v>10.199999999999999</v>
      </c>
    </row>
    <row r="36200" spans="1:2" x14ac:dyDescent="0.25">
      <c r="A36200" s="74">
        <v>40992</v>
      </c>
      <c r="B36200">
        <v>9.3699999999999992</v>
      </c>
    </row>
    <row r="36201" spans="1:2" x14ac:dyDescent="0.25">
      <c r="A36201" s="74">
        <v>40993</v>
      </c>
      <c r="B36201">
        <v>8.7100000000000009</v>
      </c>
    </row>
    <row r="36202" spans="1:2" x14ac:dyDescent="0.25">
      <c r="A36202" s="74">
        <v>40994</v>
      </c>
      <c r="B36202">
        <v>8.5299999999999994</v>
      </c>
    </row>
    <row r="36203" spans="1:2" x14ac:dyDescent="0.25">
      <c r="A36203" s="74">
        <v>40995</v>
      </c>
      <c r="B36203">
        <v>10.4</v>
      </c>
    </row>
    <row r="36204" spans="1:2" x14ac:dyDescent="0.25">
      <c r="A36204" s="74">
        <v>40996</v>
      </c>
      <c r="B36204">
        <v>26.4</v>
      </c>
    </row>
    <row r="36205" spans="1:2" x14ac:dyDescent="0.25">
      <c r="A36205" s="74">
        <v>40997</v>
      </c>
      <c r="B36205">
        <v>50.6</v>
      </c>
    </row>
    <row r="36206" spans="1:2" x14ac:dyDescent="0.25">
      <c r="A36206" s="74">
        <v>40998</v>
      </c>
      <c r="B36206">
        <v>32.9</v>
      </c>
    </row>
    <row r="36207" spans="1:2" x14ac:dyDescent="0.25">
      <c r="A36207" s="74">
        <v>40999</v>
      </c>
      <c r="B36207">
        <v>21.4</v>
      </c>
    </row>
    <row r="36208" spans="1:2" x14ac:dyDescent="0.25">
      <c r="A36208" s="74">
        <v>41000</v>
      </c>
      <c r="B36208">
        <v>18.3</v>
      </c>
    </row>
    <row r="36209" spans="1:2" x14ac:dyDescent="0.25">
      <c r="A36209" s="74">
        <v>41001</v>
      </c>
      <c r="B36209">
        <v>19.899999999999999</v>
      </c>
    </row>
    <row r="36210" spans="1:2" x14ac:dyDescent="0.25">
      <c r="A36210" s="74">
        <v>41002</v>
      </c>
      <c r="B36210">
        <v>58.6</v>
      </c>
    </row>
    <row r="36211" spans="1:2" x14ac:dyDescent="0.25">
      <c r="A36211" s="74">
        <v>41003</v>
      </c>
      <c r="B36211">
        <v>37.4</v>
      </c>
    </row>
    <row r="36212" spans="1:2" x14ac:dyDescent="0.25">
      <c r="A36212" s="74">
        <v>41004</v>
      </c>
      <c r="B36212">
        <v>23.8</v>
      </c>
    </row>
    <row r="36213" spans="1:2" x14ac:dyDescent="0.25">
      <c r="A36213" s="74">
        <v>41005</v>
      </c>
      <c r="B36213">
        <v>17.600000000000001</v>
      </c>
    </row>
    <row r="36214" spans="1:2" x14ac:dyDescent="0.25">
      <c r="A36214" s="74">
        <v>41006</v>
      </c>
      <c r="B36214">
        <v>14.6</v>
      </c>
    </row>
    <row r="36215" spans="1:2" x14ac:dyDescent="0.25">
      <c r="A36215" s="74">
        <v>41007</v>
      </c>
      <c r="B36215">
        <v>12.8</v>
      </c>
    </row>
    <row r="36216" spans="1:2" x14ac:dyDescent="0.25">
      <c r="A36216" s="74">
        <v>41008</v>
      </c>
      <c r="B36216">
        <v>11.8</v>
      </c>
    </row>
    <row r="36217" spans="1:2" x14ac:dyDescent="0.25">
      <c r="A36217" s="74">
        <v>41009</v>
      </c>
      <c r="B36217">
        <v>13.5</v>
      </c>
    </row>
    <row r="36218" spans="1:2" x14ac:dyDescent="0.25">
      <c r="A36218" s="74">
        <v>41010</v>
      </c>
      <c r="B36218">
        <v>17.7</v>
      </c>
    </row>
    <row r="36219" spans="1:2" x14ac:dyDescent="0.25">
      <c r="A36219" s="74">
        <v>41011</v>
      </c>
      <c r="B36219">
        <v>19.5</v>
      </c>
    </row>
    <row r="36220" spans="1:2" x14ac:dyDescent="0.25">
      <c r="A36220" s="74">
        <v>41012</v>
      </c>
      <c r="B36220">
        <v>18.5</v>
      </c>
    </row>
    <row r="36221" spans="1:2" x14ac:dyDescent="0.25">
      <c r="A36221" s="74">
        <v>41013</v>
      </c>
      <c r="B36221">
        <v>16.8</v>
      </c>
    </row>
    <row r="36222" spans="1:2" x14ac:dyDescent="0.25">
      <c r="A36222" s="74">
        <v>41014</v>
      </c>
      <c r="B36222">
        <v>16.8</v>
      </c>
    </row>
    <row r="36223" spans="1:2" x14ac:dyDescent="0.25">
      <c r="A36223" s="74">
        <v>41015</v>
      </c>
      <c r="B36223">
        <v>21.4</v>
      </c>
    </row>
    <row r="36224" spans="1:2" x14ac:dyDescent="0.25">
      <c r="A36224" s="74">
        <v>41016</v>
      </c>
      <c r="B36224">
        <v>23.6</v>
      </c>
    </row>
    <row r="36225" spans="1:2" x14ac:dyDescent="0.25">
      <c r="A36225" s="74">
        <v>41017</v>
      </c>
      <c r="B36225">
        <v>18.7</v>
      </c>
    </row>
    <row r="36226" spans="1:2" x14ac:dyDescent="0.25">
      <c r="A36226" s="74">
        <v>41018</v>
      </c>
      <c r="B36226">
        <v>16.899999999999999</v>
      </c>
    </row>
    <row r="36227" spans="1:2" x14ac:dyDescent="0.25">
      <c r="A36227" s="74">
        <v>41019</v>
      </c>
      <c r="B36227">
        <v>19.399999999999999</v>
      </c>
    </row>
    <row r="36228" spans="1:2" x14ac:dyDescent="0.25">
      <c r="A36228" s="74">
        <v>41020</v>
      </c>
      <c r="B36228">
        <v>18.2</v>
      </c>
    </row>
    <row r="36229" spans="1:2" x14ac:dyDescent="0.25">
      <c r="A36229" s="74">
        <v>41021</v>
      </c>
      <c r="B36229">
        <v>17.2</v>
      </c>
    </row>
    <row r="36230" spans="1:2" x14ac:dyDescent="0.25">
      <c r="A36230" s="74">
        <v>41022</v>
      </c>
      <c r="B36230">
        <v>31.4</v>
      </c>
    </row>
    <row r="36231" spans="1:2" x14ac:dyDescent="0.25">
      <c r="A36231" s="74">
        <v>41023</v>
      </c>
      <c r="B36231">
        <v>32.200000000000003</v>
      </c>
    </row>
    <row r="36232" spans="1:2" x14ac:dyDescent="0.25">
      <c r="A36232" s="74">
        <v>41024</v>
      </c>
      <c r="B36232">
        <v>62.1</v>
      </c>
    </row>
    <row r="36233" spans="1:2" x14ac:dyDescent="0.25">
      <c r="A36233" s="74">
        <v>41025</v>
      </c>
      <c r="B36233">
        <v>58</v>
      </c>
    </row>
    <row r="36234" spans="1:2" x14ac:dyDescent="0.25">
      <c r="A36234" s="74">
        <v>41026</v>
      </c>
      <c r="B36234">
        <v>30.9</v>
      </c>
    </row>
    <row r="36235" spans="1:2" x14ac:dyDescent="0.25">
      <c r="A36235" s="74">
        <v>41027</v>
      </c>
      <c r="B36235">
        <v>21.1</v>
      </c>
    </row>
    <row r="36236" spans="1:2" x14ac:dyDescent="0.25">
      <c r="A36236" s="74">
        <v>41028</v>
      </c>
      <c r="B36236">
        <v>19.3</v>
      </c>
    </row>
    <row r="36237" spans="1:2" x14ac:dyDescent="0.25">
      <c r="A36237" s="74">
        <v>41029</v>
      </c>
      <c r="B36237">
        <v>20.2</v>
      </c>
    </row>
    <row r="36238" spans="1:2" x14ac:dyDescent="0.25">
      <c r="A36238" s="74">
        <v>41030</v>
      </c>
      <c r="B36238">
        <v>19.7</v>
      </c>
    </row>
    <row r="36239" spans="1:2" x14ac:dyDescent="0.25">
      <c r="A36239" s="74">
        <v>41031</v>
      </c>
      <c r="B36239">
        <v>15.6</v>
      </c>
    </row>
    <row r="36240" spans="1:2" x14ac:dyDescent="0.25">
      <c r="A36240" s="74">
        <v>41032</v>
      </c>
      <c r="B36240">
        <v>14</v>
      </c>
    </row>
    <row r="36241" spans="1:3" x14ac:dyDescent="0.25">
      <c r="A36241" s="74">
        <v>41033</v>
      </c>
      <c r="B36241">
        <v>13.6</v>
      </c>
      <c r="C36241" t="s">
        <v>140</v>
      </c>
    </row>
    <row r="36242" spans="1:3" x14ac:dyDescent="0.25">
      <c r="A36242" s="74">
        <v>41034</v>
      </c>
      <c r="B36242">
        <v>15.3</v>
      </c>
      <c r="C36242" t="s">
        <v>141</v>
      </c>
    </row>
    <row r="36243" spans="1:3" x14ac:dyDescent="0.25">
      <c r="A36243" s="74">
        <v>41035</v>
      </c>
      <c r="B36243">
        <v>12.8</v>
      </c>
      <c r="C36243" t="s">
        <v>141</v>
      </c>
    </row>
    <row r="36244" spans="1:3" x14ac:dyDescent="0.25">
      <c r="A36244" s="74">
        <v>41036</v>
      </c>
      <c r="B36244">
        <v>13.2</v>
      </c>
      <c r="C36244" t="s">
        <v>141</v>
      </c>
    </row>
    <row r="36245" spans="1:3" x14ac:dyDescent="0.25">
      <c r="A36245" s="74">
        <v>41037</v>
      </c>
      <c r="B36245">
        <v>16</v>
      </c>
      <c r="C36245" t="s">
        <v>140</v>
      </c>
    </row>
    <row r="36246" spans="1:3" x14ac:dyDescent="0.25">
      <c r="A36246" s="74">
        <v>41038</v>
      </c>
      <c r="B36246">
        <v>15.5</v>
      </c>
    </row>
    <row r="36247" spans="1:3" x14ac:dyDescent="0.25">
      <c r="A36247" s="74">
        <v>41039</v>
      </c>
      <c r="B36247">
        <v>12.2</v>
      </c>
    </row>
    <row r="36248" spans="1:3" x14ac:dyDescent="0.25">
      <c r="A36248" s="74">
        <v>41040</v>
      </c>
      <c r="B36248">
        <v>10.3</v>
      </c>
    </row>
    <row r="36249" spans="1:3" x14ac:dyDescent="0.25">
      <c r="A36249" s="74">
        <v>41041</v>
      </c>
      <c r="B36249">
        <v>9.7200000000000006</v>
      </c>
    </row>
    <row r="36250" spans="1:3" x14ac:dyDescent="0.25">
      <c r="A36250" s="74">
        <v>41042</v>
      </c>
      <c r="B36250">
        <v>11.5</v>
      </c>
    </row>
    <row r="36251" spans="1:3" x14ac:dyDescent="0.25">
      <c r="A36251" s="74">
        <v>41043</v>
      </c>
      <c r="B36251">
        <v>16</v>
      </c>
    </row>
    <row r="36252" spans="1:3" x14ac:dyDescent="0.25">
      <c r="A36252" s="74">
        <v>41044</v>
      </c>
      <c r="B36252">
        <v>19.600000000000001</v>
      </c>
    </row>
    <row r="36253" spans="1:3" x14ac:dyDescent="0.25">
      <c r="A36253" s="74">
        <v>41045</v>
      </c>
      <c r="B36253">
        <v>18.600000000000001</v>
      </c>
    </row>
    <row r="36254" spans="1:3" x14ac:dyDescent="0.25">
      <c r="A36254" s="74">
        <v>41046</v>
      </c>
      <c r="B36254">
        <v>14.8</v>
      </c>
    </row>
    <row r="36255" spans="1:3" x14ac:dyDescent="0.25">
      <c r="A36255" s="74">
        <v>41047</v>
      </c>
      <c r="B36255">
        <v>12.2</v>
      </c>
    </row>
    <row r="36256" spans="1:3" x14ac:dyDescent="0.25">
      <c r="A36256" s="74">
        <v>41048</v>
      </c>
      <c r="B36256">
        <v>10.5</v>
      </c>
    </row>
    <row r="36257" spans="1:2" x14ac:dyDescent="0.25">
      <c r="A36257" s="74">
        <v>41049</v>
      </c>
      <c r="B36257">
        <v>10.5</v>
      </c>
    </row>
    <row r="36258" spans="1:2" x14ac:dyDescent="0.25">
      <c r="A36258" s="74">
        <v>41050</v>
      </c>
      <c r="B36258">
        <v>17.3</v>
      </c>
    </row>
    <row r="36259" spans="1:2" x14ac:dyDescent="0.25">
      <c r="A36259" s="74">
        <v>41051</v>
      </c>
      <c r="B36259">
        <v>20.3</v>
      </c>
    </row>
    <row r="36260" spans="1:2" x14ac:dyDescent="0.25">
      <c r="A36260" s="74">
        <v>41052</v>
      </c>
      <c r="B36260">
        <v>14.3</v>
      </c>
    </row>
    <row r="36261" spans="1:2" x14ac:dyDescent="0.25">
      <c r="A36261" s="74">
        <v>41053</v>
      </c>
      <c r="B36261">
        <v>12</v>
      </c>
    </row>
    <row r="36262" spans="1:2" x14ac:dyDescent="0.25">
      <c r="A36262" s="74">
        <v>41054</v>
      </c>
      <c r="B36262">
        <v>10.4</v>
      </c>
    </row>
    <row r="36263" spans="1:2" x14ac:dyDescent="0.25">
      <c r="A36263" s="74">
        <v>41055</v>
      </c>
      <c r="B36263">
        <v>12.2</v>
      </c>
    </row>
    <row r="36264" spans="1:2" x14ac:dyDescent="0.25">
      <c r="A36264" s="74">
        <v>41056</v>
      </c>
      <c r="B36264">
        <v>13.6</v>
      </c>
    </row>
    <row r="36265" spans="1:2" x14ac:dyDescent="0.25">
      <c r="A36265" s="74">
        <v>41057</v>
      </c>
      <c r="B36265">
        <v>12.6</v>
      </c>
    </row>
    <row r="36266" spans="1:2" x14ac:dyDescent="0.25">
      <c r="A36266" s="74">
        <v>41058</v>
      </c>
      <c r="B36266">
        <v>10.9</v>
      </c>
    </row>
    <row r="36267" spans="1:2" x14ac:dyDescent="0.25">
      <c r="A36267" s="74">
        <v>41059</v>
      </c>
      <c r="B36267">
        <v>9.4600000000000009</v>
      </c>
    </row>
    <row r="36268" spans="1:2" x14ac:dyDescent="0.25">
      <c r="A36268" s="74">
        <v>41060</v>
      </c>
      <c r="B36268">
        <v>11.6</v>
      </c>
    </row>
    <row r="36269" spans="1:2" x14ac:dyDescent="0.25">
      <c r="A36269" s="74">
        <v>41061</v>
      </c>
      <c r="B36269">
        <v>16.600000000000001</v>
      </c>
    </row>
    <row r="36270" spans="1:2" x14ac:dyDescent="0.25">
      <c r="A36270" s="74">
        <v>41062</v>
      </c>
      <c r="B36270">
        <v>15.7</v>
      </c>
    </row>
    <row r="36271" spans="1:2" x14ac:dyDescent="0.25">
      <c r="A36271" s="74">
        <v>41063</v>
      </c>
      <c r="B36271">
        <v>11.3</v>
      </c>
    </row>
    <row r="36272" spans="1:2" x14ac:dyDescent="0.25">
      <c r="A36272" s="74">
        <v>41064</v>
      </c>
      <c r="B36272">
        <v>9.09</v>
      </c>
    </row>
    <row r="36273" spans="1:2" x14ac:dyDescent="0.25">
      <c r="A36273" s="74">
        <v>41065</v>
      </c>
      <c r="B36273">
        <v>7.72</v>
      </c>
    </row>
    <row r="36274" spans="1:2" x14ac:dyDescent="0.25">
      <c r="A36274" s="74">
        <v>41066</v>
      </c>
      <c r="B36274">
        <v>7.16</v>
      </c>
    </row>
    <row r="36275" spans="1:2" x14ac:dyDescent="0.25">
      <c r="A36275" s="74">
        <v>41067</v>
      </c>
      <c r="B36275">
        <v>7.99</v>
      </c>
    </row>
    <row r="36276" spans="1:2" x14ac:dyDescent="0.25">
      <c r="A36276" s="74">
        <v>41068</v>
      </c>
      <c r="B36276">
        <v>9.9499999999999993</v>
      </c>
    </row>
    <row r="36277" spans="1:2" x14ac:dyDescent="0.25">
      <c r="A36277" s="74">
        <v>41069</v>
      </c>
      <c r="B36277">
        <v>8.2799999999999994</v>
      </c>
    </row>
    <row r="36278" spans="1:2" x14ac:dyDescent="0.25">
      <c r="A36278" s="74">
        <v>41070</v>
      </c>
      <c r="B36278">
        <v>8.5500000000000007</v>
      </c>
    </row>
    <row r="36279" spans="1:2" x14ac:dyDescent="0.25">
      <c r="A36279" s="74">
        <v>41071</v>
      </c>
      <c r="B36279">
        <v>8.3699999999999992</v>
      </c>
    </row>
    <row r="36280" spans="1:2" x14ac:dyDescent="0.25">
      <c r="A36280" s="74">
        <v>41072</v>
      </c>
      <c r="B36280">
        <v>9.1300000000000008</v>
      </c>
    </row>
    <row r="36281" spans="1:2" x14ac:dyDescent="0.25">
      <c r="A36281" s="74">
        <v>41073</v>
      </c>
      <c r="B36281">
        <v>10.5</v>
      </c>
    </row>
    <row r="36282" spans="1:2" x14ac:dyDescent="0.25">
      <c r="A36282" s="74">
        <v>41074</v>
      </c>
      <c r="B36282">
        <v>9.51</v>
      </c>
    </row>
    <row r="36283" spans="1:2" x14ac:dyDescent="0.25">
      <c r="A36283" s="74">
        <v>41075</v>
      </c>
      <c r="B36283">
        <v>7.41</v>
      </c>
    </row>
    <row r="36284" spans="1:2" x14ac:dyDescent="0.25">
      <c r="A36284" s="74">
        <v>41076</v>
      </c>
      <c r="B36284">
        <v>8.74</v>
      </c>
    </row>
    <row r="36285" spans="1:2" x14ac:dyDescent="0.25">
      <c r="A36285" s="74">
        <v>41077</v>
      </c>
      <c r="B36285">
        <v>11.8</v>
      </c>
    </row>
    <row r="36286" spans="1:2" x14ac:dyDescent="0.25">
      <c r="A36286" s="74">
        <v>41078</v>
      </c>
      <c r="B36286">
        <v>9.4</v>
      </c>
    </row>
    <row r="36287" spans="1:2" x14ac:dyDescent="0.25">
      <c r="A36287" s="74">
        <v>41079</v>
      </c>
      <c r="B36287">
        <v>7.22</v>
      </c>
    </row>
    <row r="36288" spans="1:2" x14ac:dyDescent="0.25">
      <c r="A36288" s="74">
        <v>41080</v>
      </c>
      <c r="B36288">
        <v>6.02</v>
      </c>
    </row>
    <row r="36289" spans="1:2" x14ac:dyDescent="0.25">
      <c r="A36289" s="74">
        <v>41081</v>
      </c>
      <c r="B36289">
        <v>5.84</v>
      </c>
    </row>
    <row r="36290" spans="1:2" x14ac:dyDescent="0.25">
      <c r="A36290" s="74">
        <v>41082</v>
      </c>
      <c r="B36290">
        <v>7.21</v>
      </c>
    </row>
    <row r="36291" spans="1:2" x14ac:dyDescent="0.25">
      <c r="A36291" s="74">
        <v>41083</v>
      </c>
      <c r="B36291">
        <v>14.6</v>
      </c>
    </row>
    <row r="36292" spans="1:2" x14ac:dyDescent="0.25">
      <c r="A36292" s="74">
        <v>41084</v>
      </c>
      <c r="B36292">
        <v>14.3</v>
      </c>
    </row>
    <row r="36293" spans="1:2" x14ac:dyDescent="0.25">
      <c r="A36293" s="74">
        <v>41085</v>
      </c>
      <c r="B36293">
        <v>11.1</v>
      </c>
    </row>
    <row r="36294" spans="1:2" x14ac:dyDescent="0.25">
      <c r="A36294" s="74">
        <v>41086</v>
      </c>
      <c r="B36294">
        <v>8.86</v>
      </c>
    </row>
    <row r="36295" spans="1:2" x14ac:dyDescent="0.25">
      <c r="A36295" s="74">
        <v>41087</v>
      </c>
      <c r="B36295">
        <v>7.54</v>
      </c>
    </row>
    <row r="36296" spans="1:2" x14ac:dyDescent="0.25">
      <c r="A36296" s="74">
        <v>41088</v>
      </c>
      <c r="B36296">
        <v>6.77</v>
      </c>
    </row>
    <row r="36297" spans="1:2" x14ac:dyDescent="0.25">
      <c r="A36297" s="74">
        <v>41089</v>
      </c>
      <c r="B36297">
        <v>8.23</v>
      </c>
    </row>
    <row r="36298" spans="1:2" x14ac:dyDescent="0.25">
      <c r="A36298" s="74">
        <v>41090</v>
      </c>
      <c r="B36298">
        <v>10.4</v>
      </c>
    </row>
    <row r="36299" spans="1:2" x14ac:dyDescent="0.25">
      <c r="A36299" s="74">
        <v>41091</v>
      </c>
      <c r="B36299">
        <v>9.24</v>
      </c>
    </row>
    <row r="36300" spans="1:2" x14ac:dyDescent="0.25">
      <c r="A36300" s="74">
        <v>41092</v>
      </c>
      <c r="B36300">
        <v>7.83</v>
      </c>
    </row>
    <row r="36301" spans="1:2" x14ac:dyDescent="0.25">
      <c r="A36301" s="74">
        <v>41093</v>
      </c>
      <c r="B36301">
        <v>7.97</v>
      </c>
    </row>
    <row r="36302" spans="1:2" x14ac:dyDescent="0.25">
      <c r="A36302" s="74">
        <v>41094</v>
      </c>
      <c r="B36302">
        <v>7.89</v>
      </c>
    </row>
    <row r="36303" spans="1:2" x14ac:dyDescent="0.25">
      <c r="A36303" s="74">
        <v>41095</v>
      </c>
      <c r="B36303">
        <v>6.39</v>
      </c>
    </row>
    <row r="36304" spans="1:2" x14ac:dyDescent="0.25">
      <c r="A36304" s="74">
        <v>41096</v>
      </c>
      <c r="B36304">
        <v>5.7</v>
      </c>
    </row>
    <row r="36305" spans="1:2" x14ac:dyDescent="0.25">
      <c r="A36305" s="74">
        <v>41097</v>
      </c>
      <c r="B36305">
        <v>5.8</v>
      </c>
    </row>
    <row r="36306" spans="1:2" x14ac:dyDescent="0.25">
      <c r="A36306" s="74">
        <v>41098</v>
      </c>
      <c r="B36306">
        <v>5.8</v>
      </c>
    </row>
    <row r="36307" spans="1:2" x14ac:dyDescent="0.25">
      <c r="A36307" s="74">
        <v>41099</v>
      </c>
      <c r="B36307">
        <v>5.98</v>
      </c>
    </row>
    <row r="36308" spans="1:2" x14ac:dyDescent="0.25">
      <c r="A36308" s="74">
        <v>41100</v>
      </c>
      <c r="B36308">
        <v>5.75</v>
      </c>
    </row>
    <row r="36309" spans="1:2" x14ac:dyDescent="0.25">
      <c r="A36309" s="74">
        <v>41101</v>
      </c>
      <c r="B36309">
        <v>5.28</v>
      </c>
    </row>
    <row r="36310" spans="1:2" x14ac:dyDescent="0.25">
      <c r="A36310" s="74">
        <v>41102</v>
      </c>
      <c r="B36310">
        <v>5.01</v>
      </c>
    </row>
    <row r="36311" spans="1:2" x14ac:dyDescent="0.25">
      <c r="A36311" s="74">
        <v>41103</v>
      </c>
      <c r="B36311">
        <v>4.8600000000000003</v>
      </c>
    </row>
    <row r="36312" spans="1:2" x14ac:dyDescent="0.25">
      <c r="A36312" s="74">
        <v>41104</v>
      </c>
      <c r="B36312">
        <v>4.66</v>
      </c>
    </row>
    <row r="36313" spans="1:2" x14ac:dyDescent="0.25">
      <c r="A36313" s="74">
        <v>41105</v>
      </c>
      <c r="B36313">
        <v>4.59</v>
      </c>
    </row>
    <row r="36314" spans="1:2" x14ac:dyDescent="0.25">
      <c r="A36314" s="74">
        <v>41106</v>
      </c>
      <c r="B36314">
        <v>4.0199999999999996</v>
      </c>
    </row>
    <row r="36315" spans="1:2" x14ac:dyDescent="0.25">
      <c r="A36315" s="74">
        <v>41107</v>
      </c>
      <c r="B36315">
        <v>3.95</v>
      </c>
    </row>
    <row r="36316" spans="1:2" x14ac:dyDescent="0.25">
      <c r="A36316" s="74">
        <v>41108</v>
      </c>
      <c r="B36316">
        <v>3.74</v>
      </c>
    </row>
    <row r="36317" spans="1:2" x14ac:dyDescent="0.25">
      <c r="A36317" s="74">
        <v>41109</v>
      </c>
      <c r="B36317">
        <v>3.15</v>
      </c>
    </row>
    <row r="36318" spans="1:2" x14ac:dyDescent="0.25">
      <c r="A36318" s="74">
        <v>41110</v>
      </c>
      <c r="B36318">
        <v>2.98</v>
      </c>
    </row>
    <row r="36319" spans="1:2" x14ac:dyDescent="0.25">
      <c r="A36319" s="74">
        <v>41111</v>
      </c>
      <c r="B36319">
        <v>2.88</v>
      </c>
    </row>
    <row r="36320" spans="1:2" x14ac:dyDescent="0.25">
      <c r="A36320" s="74">
        <v>41112</v>
      </c>
      <c r="B36320">
        <v>2.81</v>
      </c>
    </row>
    <row r="36321" spans="1:2" x14ac:dyDescent="0.25">
      <c r="A36321" s="74">
        <v>41113</v>
      </c>
      <c r="B36321">
        <v>2.74</v>
      </c>
    </row>
    <row r="36322" spans="1:2" x14ac:dyDescent="0.25">
      <c r="A36322" s="74">
        <v>41114</v>
      </c>
      <c r="B36322">
        <v>2.4300000000000002</v>
      </c>
    </row>
    <row r="36323" spans="1:2" x14ac:dyDescent="0.25">
      <c r="A36323" s="74">
        <v>41115</v>
      </c>
      <c r="B36323">
        <v>2.19</v>
      </c>
    </row>
    <row r="36324" spans="1:2" x14ac:dyDescent="0.25">
      <c r="A36324" s="74">
        <v>41116</v>
      </c>
      <c r="B36324">
        <v>2.09</v>
      </c>
    </row>
    <row r="36325" spans="1:2" x14ac:dyDescent="0.25">
      <c r="A36325" s="74">
        <v>41117</v>
      </c>
      <c r="B36325">
        <v>2.09</v>
      </c>
    </row>
    <row r="36326" spans="1:2" x14ac:dyDescent="0.25">
      <c r="A36326" s="74">
        <v>41118</v>
      </c>
      <c r="B36326">
        <v>2.06</v>
      </c>
    </row>
    <row r="36327" spans="1:2" x14ac:dyDescent="0.25">
      <c r="A36327" s="74">
        <v>41119</v>
      </c>
      <c r="B36327">
        <v>1.88</v>
      </c>
    </row>
    <row r="36328" spans="1:2" x14ac:dyDescent="0.25">
      <c r="A36328" s="74">
        <v>41120</v>
      </c>
      <c r="B36328">
        <v>1.83</v>
      </c>
    </row>
    <row r="36329" spans="1:2" x14ac:dyDescent="0.25">
      <c r="A36329" s="74">
        <v>41121</v>
      </c>
      <c r="B36329">
        <v>1.94</v>
      </c>
    </row>
    <row r="36330" spans="1:2" x14ac:dyDescent="0.25">
      <c r="A36330" s="74">
        <v>41122</v>
      </c>
      <c r="B36330">
        <v>2.12</v>
      </c>
    </row>
    <row r="36331" spans="1:2" x14ac:dyDescent="0.25">
      <c r="A36331" s="74">
        <v>41123</v>
      </c>
      <c r="B36331">
        <v>2.27</v>
      </c>
    </row>
    <row r="36332" spans="1:2" x14ac:dyDescent="0.25">
      <c r="A36332" s="74">
        <v>41124</v>
      </c>
      <c r="B36332">
        <v>1.9</v>
      </c>
    </row>
    <row r="36333" spans="1:2" x14ac:dyDescent="0.25">
      <c r="A36333" s="74">
        <v>41125</v>
      </c>
      <c r="B36333">
        <v>1.76</v>
      </c>
    </row>
    <row r="36334" spans="1:2" x14ac:dyDescent="0.25">
      <c r="A36334" s="74">
        <v>41126</v>
      </c>
      <c r="B36334">
        <v>1.76</v>
      </c>
    </row>
    <row r="36335" spans="1:2" x14ac:dyDescent="0.25">
      <c r="A36335" s="74">
        <v>41127</v>
      </c>
      <c r="B36335">
        <v>1.81</v>
      </c>
    </row>
    <row r="36336" spans="1:2" x14ac:dyDescent="0.25">
      <c r="A36336" s="74">
        <v>41128</v>
      </c>
      <c r="B36336">
        <v>1.82</v>
      </c>
    </row>
    <row r="36337" spans="1:3" x14ac:dyDescent="0.25">
      <c r="A36337" s="74">
        <v>41129</v>
      </c>
      <c r="B36337">
        <v>1.78</v>
      </c>
    </row>
    <row r="36338" spans="1:3" x14ac:dyDescent="0.25">
      <c r="A36338" s="74">
        <v>41130</v>
      </c>
      <c r="B36338">
        <v>1.68</v>
      </c>
    </row>
    <row r="36339" spans="1:3" x14ac:dyDescent="0.25">
      <c r="A36339" s="74">
        <v>41131</v>
      </c>
      <c r="B36339">
        <v>1.61</v>
      </c>
      <c r="C36339" t="s">
        <v>141</v>
      </c>
    </row>
    <row r="36340" spans="1:3" x14ac:dyDescent="0.25">
      <c r="A36340" s="74">
        <v>41132</v>
      </c>
      <c r="B36340">
        <v>1.73</v>
      </c>
      <c r="C36340" t="s">
        <v>141</v>
      </c>
    </row>
    <row r="36341" spans="1:3" x14ac:dyDescent="0.25">
      <c r="A36341" s="74">
        <v>41133</v>
      </c>
      <c r="B36341">
        <v>1.79</v>
      </c>
      <c r="C36341" t="s">
        <v>141</v>
      </c>
    </row>
    <row r="36342" spans="1:3" x14ac:dyDescent="0.25">
      <c r="A36342" s="74">
        <v>41134</v>
      </c>
      <c r="B36342">
        <v>1.77</v>
      </c>
      <c r="C36342" t="s">
        <v>141</v>
      </c>
    </row>
    <row r="36343" spans="1:3" x14ac:dyDescent="0.25">
      <c r="A36343" s="74">
        <v>41135</v>
      </c>
      <c r="B36343">
        <v>1.85</v>
      </c>
      <c r="C36343" t="s">
        <v>141</v>
      </c>
    </row>
    <row r="36344" spans="1:3" x14ac:dyDescent="0.25">
      <c r="A36344" s="74">
        <v>41136</v>
      </c>
      <c r="B36344">
        <v>1.78</v>
      </c>
    </row>
    <row r="36345" spans="1:3" x14ac:dyDescent="0.25">
      <c r="A36345" s="74">
        <v>41137</v>
      </c>
      <c r="B36345">
        <v>1.68</v>
      </c>
    </row>
    <row r="36346" spans="1:3" x14ac:dyDescent="0.25">
      <c r="A36346" s="74">
        <v>41138</v>
      </c>
      <c r="B36346">
        <v>1.66</v>
      </c>
    </row>
    <row r="36347" spans="1:3" x14ac:dyDescent="0.25">
      <c r="A36347" s="74">
        <v>41139</v>
      </c>
      <c r="B36347">
        <v>1.85</v>
      </c>
    </row>
    <row r="36348" spans="1:3" x14ac:dyDescent="0.25">
      <c r="A36348" s="74">
        <v>41140</v>
      </c>
      <c r="B36348">
        <v>1.87</v>
      </c>
    </row>
    <row r="36349" spans="1:3" x14ac:dyDescent="0.25">
      <c r="A36349" s="74">
        <v>41141</v>
      </c>
      <c r="B36349">
        <v>1.82</v>
      </c>
      <c r="C36349" t="s">
        <v>141</v>
      </c>
    </row>
    <row r="36350" spans="1:3" x14ac:dyDescent="0.25">
      <c r="A36350" s="74">
        <v>41142</v>
      </c>
      <c r="B36350">
        <v>1.77</v>
      </c>
      <c r="C36350" t="s">
        <v>141</v>
      </c>
    </row>
    <row r="36351" spans="1:3" x14ac:dyDescent="0.25">
      <c r="A36351" s="74">
        <v>41143</v>
      </c>
      <c r="B36351">
        <v>1.74</v>
      </c>
    </row>
    <row r="36352" spans="1:3" x14ac:dyDescent="0.25">
      <c r="A36352" s="74">
        <v>41144</v>
      </c>
      <c r="B36352">
        <v>1.71</v>
      </c>
    </row>
    <row r="36353" spans="1:3" x14ac:dyDescent="0.25">
      <c r="A36353" s="74">
        <v>41145</v>
      </c>
      <c r="B36353">
        <v>1.66</v>
      </c>
    </row>
    <row r="36354" spans="1:3" x14ac:dyDescent="0.25">
      <c r="A36354" s="74">
        <v>41146</v>
      </c>
      <c r="B36354">
        <v>1.62</v>
      </c>
    </row>
    <row r="36355" spans="1:3" x14ac:dyDescent="0.25">
      <c r="A36355" s="74">
        <v>41147</v>
      </c>
      <c r="B36355">
        <v>1.6</v>
      </c>
    </row>
    <row r="36356" spans="1:3" x14ac:dyDescent="0.25">
      <c r="A36356" s="74">
        <v>41148</v>
      </c>
      <c r="B36356">
        <v>1.59</v>
      </c>
    </row>
    <row r="36357" spans="1:3" x14ac:dyDescent="0.25">
      <c r="A36357" s="74">
        <v>41149</v>
      </c>
      <c r="B36357">
        <v>1.56</v>
      </c>
      <c r="C36357" t="s">
        <v>141</v>
      </c>
    </row>
    <row r="36358" spans="1:3" x14ac:dyDescent="0.25">
      <c r="A36358" s="74">
        <v>41150</v>
      </c>
      <c r="B36358">
        <v>1.54</v>
      </c>
      <c r="C36358" t="s">
        <v>141</v>
      </c>
    </row>
    <row r="36359" spans="1:3" x14ac:dyDescent="0.25">
      <c r="A36359" s="74">
        <v>41151</v>
      </c>
      <c r="B36359">
        <v>1.53</v>
      </c>
      <c r="C36359" t="s">
        <v>141</v>
      </c>
    </row>
    <row r="36360" spans="1:3" x14ac:dyDescent="0.25">
      <c r="A36360" s="74">
        <v>41152</v>
      </c>
      <c r="B36360">
        <v>1.55</v>
      </c>
    </row>
    <row r="36361" spans="1:3" x14ac:dyDescent="0.25">
      <c r="A36361" s="74">
        <v>41153</v>
      </c>
      <c r="B36361">
        <v>1.53</v>
      </c>
    </row>
    <row r="36362" spans="1:3" x14ac:dyDescent="0.25">
      <c r="A36362" s="74">
        <v>41154</v>
      </c>
      <c r="B36362">
        <v>1.54</v>
      </c>
    </row>
    <row r="36363" spans="1:3" x14ac:dyDescent="0.25">
      <c r="A36363" s="74">
        <v>41155</v>
      </c>
      <c r="B36363">
        <v>1.52</v>
      </c>
    </row>
    <row r="36364" spans="1:3" x14ac:dyDescent="0.25">
      <c r="A36364" s="74">
        <v>41156</v>
      </c>
      <c r="B36364">
        <v>1.61</v>
      </c>
    </row>
    <row r="36365" spans="1:3" x14ac:dyDescent="0.25">
      <c r="A36365" s="74">
        <v>41157</v>
      </c>
      <c r="B36365">
        <v>1.64</v>
      </c>
    </row>
    <row r="36366" spans="1:3" x14ac:dyDescent="0.25">
      <c r="A36366" s="74">
        <v>41158</v>
      </c>
      <c r="B36366">
        <v>1.65</v>
      </c>
      <c r="C36366" t="s">
        <v>141</v>
      </c>
    </row>
    <row r="36367" spans="1:3" x14ac:dyDescent="0.25">
      <c r="A36367" s="74">
        <v>41159</v>
      </c>
      <c r="B36367">
        <v>1.63</v>
      </c>
      <c r="C36367" t="s">
        <v>141</v>
      </c>
    </row>
    <row r="36368" spans="1:3" x14ac:dyDescent="0.25">
      <c r="A36368" s="74">
        <v>41160</v>
      </c>
      <c r="B36368">
        <v>1.6</v>
      </c>
      <c r="C36368" t="s">
        <v>141</v>
      </c>
    </row>
    <row r="36369" spans="1:3" x14ac:dyDescent="0.25">
      <c r="A36369" s="74">
        <v>41161</v>
      </c>
      <c r="B36369">
        <v>1.57</v>
      </c>
      <c r="C36369" t="s">
        <v>141</v>
      </c>
    </row>
    <row r="36370" spans="1:3" x14ac:dyDescent="0.25">
      <c r="A36370" s="74">
        <v>41162</v>
      </c>
      <c r="B36370">
        <v>1.57</v>
      </c>
      <c r="C36370" t="s">
        <v>141</v>
      </c>
    </row>
    <row r="36371" spans="1:3" x14ac:dyDescent="0.25">
      <c r="A36371" s="74">
        <v>41163</v>
      </c>
      <c r="B36371">
        <v>1.7</v>
      </c>
    </row>
    <row r="36372" spans="1:3" x14ac:dyDescent="0.25">
      <c r="A36372" s="74">
        <v>41164</v>
      </c>
      <c r="B36372">
        <v>1.65</v>
      </c>
      <c r="C36372" t="s">
        <v>141</v>
      </c>
    </row>
    <row r="36373" spans="1:3" x14ac:dyDescent="0.25">
      <c r="A36373" s="74">
        <v>41165</v>
      </c>
      <c r="B36373">
        <v>1.61</v>
      </c>
      <c r="C36373" t="s">
        <v>141</v>
      </c>
    </row>
    <row r="36374" spans="1:3" x14ac:dyDescent="0.25">
      <c r="A36374" s="74">
        <v>41166</v>
      </c>
      <c r="B36374">
        <v>1.61</v>
      </c>
      <c r="C36374" t="s">
        <v>141</v>
      </c>
    </row>
    <row r="36375" spans="1:3" x14ac:dyDescent="0.25">
      <c r="A36375" s="74">
        <v>41167</v>
      </c>
      <c r="B36375">
        <v>1.6</v>
      </c>
      <c r="C36375" t="s">
        <v>141</v>
      </c>
    </row>
    <row r="36376" spans="1:3" x14ac:dyDescent="0.25">
      <c r="A36376" s="74">
        <v>41168</v>
      </c>
      <c r="B36376">
        <v>1.58</v>
      </c>
      <c r="C36376" t="s">
        <v>141</v>
      </c>
    </row>
    <row r="36377" spans="1:3" x14ac:dyDescent="0.25">
      <c r="A36377" s="74">
        <v>41169</v>
      </c>
      <c r="B36377">
        <v>1.58</v>
      </c>
      <c r="C36377" t="s">
        <v>141</v>
      </c>
    </row>
    <row r="36378" spans="1:3" x14ac:dyDescent="0.25">
      <c r="A36378" s="74">
        <v>41170</v>
      </c>
      <c r="B36378">
        <v>1.57</v>
      </c>
      <c r="C36378" t="s">
        <v>141</v>
      </c>
    </row>
    <row r="36379" spans="1:3" x14ac:dyDescent="0.25">
      <c r="A36379" s="74">
        <v>41171</v>
      </c>
      <c r="B36379">
        <v>1.56</v>
      </c>
      <c r="C36379" t="s">
        <v>141</v>
      </c>
    </row>
    <row r="36380" spans="1:3" x14ac:dyDescent="0.25">
      <c r="A36380" s="74">
        <v>41172</v>
      </c>
      <c r="B36380">
        <v>1.57</v>
      </c>
      <c r="C36380" t="s">
        <v>141</v>
      </c>
    </row>
    <row r="36381" spans="1:3" x14ac:dyDescent="0.25">
      <c r="A36381" s="74">
        <v>41173</v>
      </c>
      <c r="B36381">
        <v>1.59</v>
      </c>
      <c r="C36381" t="s">
        <v>141</v>
      </c>
    </row>
    <row r="36382" spans="1:3" x14ac:dyDescent="0.25">
      <c r="A36382" s="74">
        <v>41174</v>
      </c>
      <c r="B36382">
        <v>1.76</v>
      </c>
      <c r="C36382" t="s">
        <v>141</v>
      </c>
    </row>
    <row r="36383" spans="1:3" x14ac:dyDescent="0.25">
      <c r="A36383" s="74">
        <v>41175</v>
      </c>
      <c r="B36383">
        <v>1.83</v>
      </c>
      <c r="C36383" t="s">
        <v>141</v>
      </c>
    </row>
    <row r="36384" spans="1:3" x14ac:dyDescent="0.25">
      <c r="A36384" s="74">
        <v>41176</v>
      </c>
      <c r="B36384">
        <v>1.83</v>
      </c>
      <c r="C36384" t="s">
        <v>141</v>
      </c>
    </row>
    <row r="36385" spans="1:3" x14ac:dyDescent="0.25">
      <c r="A36385" s="74">
        <v>41177</v>
      </c>
      <c r="B36385">
        <v>1.82</v>
      </c>
      <c r="C36385" t="s">
        <v>141</v>
      </c>
    </row>
    <row r="36386" spans="1:3" x14ac:dyDescent="0.25">
      <c r="A36386" s="74">
        <v>41178</v>
      </c>
      <c r="B36386">
        <v>1.69</v>
      </c>
      <c r="C36386" t="s">
        <v>141</v>
      </c>
    </row>
    <row r="36387" spans="1:3" x14ac:dyDescent="0.25">
      <c r="A36387" s="74">
        <v>41179</v>
      </c>
      <c r="B36387">
        <v>1.66</v>
      </c>
      <c r="C36387" t="s">
        <v>141</v>
      </c>
    </row>
    <row r="36388" spans="1:3" x14ac:dyDescent="0.25">
      <c r="A36388" s="74">
        <v>41180</v>
      </c>
      <c r="B36388">
        <v>1.67</v>
      </c>
      <c r="C36388" t="s">
        <v>141</v>
      </c>
    </row>
    <row r="36389" spans="1:3" x14ac:dyDescent="0.25">
      <c r="A36389" s="74">
        <v>41181</v>
      </c>
      <c r="B36389">
        <v>1.66</v>
      </c>
      <c r="C36389" t="s">
        <v>141</v>
      </c>
    </row>
    <row r="36390" spans="1:3" x14ac:dyDescent="0.25">
      <c r="A36390" s="74">
        <v>41182</v>
      </c>
      <c r="B36390">
        <v>1.65</v>
      </c>
      <c r="C36390" t="s">
        <v>141</v>
      </c>
    </row>
    <row r="36391" spans="1:3" x14ac:dyDescent="0.25">
      <c r="A36391" s="74">
        <v>41183</v>
      </c>
      <c r="B36391">
        <v>1.64</v>
      </c>
      <c r="C36391" t="s">
        <v>141</v>
      </c>
    </row>
    <row r="36392" spans="1:3" x14ac:dyDescent="0.25">
      <c r="A36392" s="74">
        <v>41184</v>
      </c>
      <c r="B36392">
        <v>1.61</v>
      </c>
      <c r="C36392" t="s">
        <v>141</v>
      </c>
    </row>
    <row r="36393" spans="1:3" x14ac:dyDescent="0.25">
      <c r="A36393" s="74">
        <v>41185</v>
      </c>
      <c r="B36393">
        <v>1.59</v>
      </c>
      <c r="C36393" t="s">
        <v>141</v>
      </c>
    </row>
    <row r="36394" spans="1:3" x14ac:dyDescent="0.25">
      <c r="A36394" s="74">
        <v>41186</v>
      </c>
      <c r="B36394">
        <v>1.59</v>
      </c>
      <c r="C36394" t="s">
        <v>141</v>
      </c>
    </row>
    <row r="36395" spans="1:3" x14ac:dyDescent="0.25">
      <c r="A36395" s="74">
        <v>41187</v>
      </c>
      <c r="B36395">
        <v>1.59</v>
      </c>
      <c r="C36395" t="s">
        <v>141</v>
      </c>
    </row>
    <row r="36396" spans="1:3" x14ac:dyDescent="0.25">
      <c r="A36396" s="74">
        <v>41188</v>
      </c>
      <c r="B36396">
        <v>1.59</v>
      </c>
      <c r="C36396" t="s">
        <v>141</v>
      </c>
    </row>
    <row r="36397" spans="1:3" x14ac:dyDescent="0.25">
      <c r="A36397" s="74">
        <v>41189</v>
      </c>
      <c r="B36397">
        <v>1.59</v>
      </c>
      <c r="C36397" t="s">
        <v>141</v>
      </c>
    </row>
    <row r="36398" spans="1:3" x14ac:dyDescent="0.25">
      <c r="A36398" s="74">
        <v>41190</v>
      </c>
      <c r="B36398">
        <v>1.6</v>
      </c>
      <c r="C36398" t="s">
        <v>141</v>
      </c>
    </row>
    <row r="36399" spans="1:3" x14ac:dyDescent="0.25">
      <c r="A36399" s="74">
        <v>41191</v>
      </c>
      <c r="B36399">
        <v>1.59</v>
      </c>
      <c r="C36399" t="s">
        <v>141</v>
      </c>
    </row>
    <row r="36400" spans="1:3" x14ac:dyDescent="0.25">
      <c r="A36400" s="74">
        <v>41192</v>
      </c>
      <c r="B36400">
        <v>1.59</v>
      </c>
      <c r="C36400" t="s">
        <v>141</v>
      </c>
    </row>
    <row r="36401" spans="1:3" x14ac:dyDescent="0.25">
      <c r="A36401" s="74">
        <v>41193</v>
      </c>
      <c r="B36401">
        <v>1.59</v>
      </c>
      <c r="C36401" t="s">
        <v>141</v>
      </c>
    </row>
    <row r="36402" spans="1:3" x14ac:dyDescent="0.25">
      <c r="A36402" s="74">
        <v>41194</v>
      </c>
      <c r="B36402">
        <v>1.64</v>
      </c>
      <c r="C36402" t="s">
        <v>141</v>
      </c>
    </row>
    <row r="36403" spans="1:3" x14ac:dyDescent="0.25">
      <c r="A36403" s="74">
        <v>41195</v>
      </c>
      <c r="B36403">
        <v>1.64</v>
      </c>
      <c r="C36403" t="s">
        <v>141</v>
      </c>
    </row>
    <row r="36404" spans="1:3" x14ac:dyDescent="0.25">
      <c r="A36404" s="74">
        <v>41196</v>
      </c>
      <c r="B36404">
        <v>4.07</v>
      </c>
      <c r="C36404" t="s">
        <v>141</v>
      </c>
    </row>
    <row r="36405" spans="1:3" x14ac:dyDescent="0.25">
      <c r="A36405" s="74">
        <v>41197</v>
      </c>
      <c r="B36405">
        <v>4.28</v>
      </c>
      <c r="C36405" t="s">
        <v>141</v>
      </c>
    </row>
    <row r="36406" spans="1:3" x14ac:dyDescent="0.25">
      <c r="A36406" s="74">
        <v>41198</v>
      </c>
      <c r="B36406">
        <v>6.26</v>
      </c>
      <c r="C36406" t="s">
        <v>141</v>
      </c>
    </row>
    <row r="36407" spans="1:3" x14ac:dyDescent="0.25">
      <c r="A36407" s="74">
        <v>41199</v>
      </c>
      <c r="B36407">
        <v>4.1500000000000004</v>
      </c>
    </row>
    <row r="36408" spans="1:3" x14ac:dyDescent="0.25">
      <c r="A36408" s="74">
        <v>41200</v>
      </c>
      <c r="B36408">
        <v>3.07</v>
      </c>
    </row>
    <row r="36409" spans="1:3" x14ac:dyDescent="0.25">
      <c r="A36409" s="74">
        <v>41201</v>
      </c>
      <c r="B36409">
        <v>13.9</v>
      </c>
    </row>
    <row r="36410" spans="1:3" x14ac:dyDescent="0.25">
      <c r="A36410" s="74">
        <v>41202</v>
      </c>
      <c r="B36410">
        <v>8.14</v>
      </c>
    </row>
    <row r="36411" spans="1:3" x14ac:dyDescent="0.25">
      <c r="A36411" s="74">
        <v>41203</v>
      </c>
      <c r="B36411">
        <v>5.22</v>
      </c>
    </row>
    <row r="36412" spans="1:3" x14ac:dyDescent="0.25">
      <c r="A36412" s="74">
        <v>41204</v>
      </c>
      <c r="B36412">
        <v>3.95</v>
      </c>
    </row>
    <row r="36413" spans="1:3" x14ac:dyDescent="0.25">
      <c r="A36413" s="74">
        <v>41205</v>
      </c>
      <c r="B36413">
        <v>3.33</v>
      </c>
    </row>
    <row r="36414" spans="1:3" x14ac:dyDescent="0.25">
      <c r="A36414" s="74">
        <v>41206</v>
      </c>
      <c r="B36414">
        <v>3.05</v>
      </c>
    </row>
    <row r="36415" spans="1:3" x14ac:dyDescent="0.25">
      <c r="A36415" s="74">
        <v>41207</v>
      </c>
      <c r="B36415">
        <v>2.82</v>
      </c>
    </row>
    <row r="36416" spans="1:3" x14ac:dyDescent="0.25">
      <c r="A36416" s="74">
        <v>41208</v>
      </c>
      <c r="B36416">
        <v>2.73</v>
      </c>
    </row>
    <row r="36417" spans="1:2" x14ac:dyDescent="0.25">
      <c r="A36417" s="74">
        <v>41209</v>
      </c>
      <c r="B36417">
        <v>3.98</v>
      </c>
    </row>
    <row r="36418" spans="1:2" x14ac:dyDescent="0.25">
      <c r="A36418" s="74">
        <v>41210</v>
      </c>
      <c r="B36418">
        <v>7.58</v>
      </c>
    </row>
    <row r="36419" spans="1:2" x14ac:dyDescent="0.25">
      <c r="A36419" s="74">
        <v>41211</v>
      </c>
      <c r="B36419">
        <v>10.3</v>
      </c>
    </row>
    <row r="36420" spans="1:2" x14ac:dyDescent="0.25">
      <c r="A36420" s="74">
        <v>41212</v>
      </c>
      <c r="B36420">
        <v>18.5</v>
      </c>
    </row>
    <row r="36421" spans="1:2" x14ac:dyDescent="0.25">
      <c r="A36421" s="74">
        <v>41213</v>
      </c>
      <c r="B36421">
        <v>44.7</v>
      </c>
    </row>
    <row r="36422" spans="1:2" x14ac:dyDescent="0.25">
      <c r="A36422" s="74">
        <v>41214</v>
      </c>
      <c r="B36422">
        <v>39.1</v>
      </c>
    </row>
    <row r="36423" spans="1:2" x14ac:dyDescent="0.25">
      <c r="A36423" s="74">
        <v>41215</v>
      </c>
      <c r="B36423">
        <v>19.600000000000001</v>
      </c>
    </row>
    <row r="36424" spans="1:2" x14ac:dyDescent="0.25">
      <c r="A36424" s="74">
        <v>41216</v>
      </c>
      <c r="B36424">
        <v>17</v>
      </c>
    </row>
    <row r="36425" spans="1:2" x14ac:dyDescent="0.25">
      <c r="A36425" s="74">
        <v>41217</v>
      </c>
      <c r="B36425">
        <v>21.8</v>
      </c>
    </row>
    <row r="36426" spans="1:2" x14ac:dyDescent="0.25">
      <c r="A36426" s="74">
        <v>41218</v>
      </c>
      <c r="B36426">
        <v>20.7</v>
      </c>
    </row>
    <row r="36427" spans="1:2" x14ac:dyDescent="0.25">
      <c r="A36427" s="74">
        <v>41219</v>
      </c>
      <c r="B36427">
        <v>13.9</v>
      </c>
    </row>
    <row r="36428" spans="1:2" x14ac:dyDescent="0.25">
      <c r="A36428" s="74">
        <v>41220</v>
      </c>
      <c r="B36428">
        <v>10.5</v>
      </c>
    </row>
    <row r="36429" spans="1:2" x14ac:dyDescent="0.25">
      <c r="A36429" s="74">
        <v>41221</v>
      </c>
      <c r="B36429">
        <v>8.85</v>
      </c>
    </row>
    <row r="36430" spans="1:2" x14ac:dyDescent="0.25">
      <c r="A36430" s="74">
        <v>41222</v>
      </c>
      <c r="B36430">
        <v>7.38</v>
      </c>
    </row>
    <row r="36431" spans="1:2" x14ac:dyDescent="0.25">
      <c r="A36431" s="74">
        <v>41223</v>
      </c>
      <c r="B36431">
        <v>6.14</v>
      </c>
    </row>
    <row r="36432" spans="1:2" x14ac:dyDescent="0.25">
      <c r="A36432" s="74">
        <v>41224</v>
      </c>
      <c r="B36432">
        <v>5.33</v>
      </c>
    </row>
    <row r="36433" spans="1:2" x14ac:dyDescent="0.25">
      <c r="A36433" s="74">
        <v>41225</v>
      </c>
      <c r="B36433">
        <v>5.07</v>
      </c>
    </row>
    <row r="36434" spans="1:2" x14ac:dyDescent="0.25">
      <c r="A36434" s="74">
        <v>41226</v>
      </c>
      <c r="B36434">
        <v>5.46</v>
      </c>
    </row>
    <row r="36435" spans="1:2" x14ac:dyDescent="0.25">
      <c r="A36435" s="74">
        <v>41227</v>
      </c>
      <c r="B36435">
        <v>5.64</v>
      </c>
    </row>
    <row r="36436" spans="1:2" x14ac:dyDescent="0.25">
      <c r="A36436" s="74">
        <v>41228</v>
      </c>
      <c r="B36436">
        <v>5.25</v>
      </c>
    </row>
    <row r="36437" spans="1:2" x14ac:dyDescent="0.25">
      <c r="A36437" s="74">
        <v>41229</v>
      </c>
      <c r="B36437">
        <v>4.8</v>
      </c>
    </row>
    <row r="36438" spans="1:2" x14ac:dyDescent="0.25">
      <c r="A36438" s="74">
        <v>41230</v>
      </c>
      <c r="B36438">
        <v>8.3699999999999992</v>
      </c>
    </row>
    <row r="36439" spans="1:2" x14ac:dyDescent="0.25">
      <c r="A36439" s="74">
        <v>41231</v>
      </c>
      <c r="B36439">
        <v>22.7</v>
      </c>
    </row>
    <row r="36440" spans="1:2" x14ac:dyDescent="0.25">
      <c r="A36440" s="74">
        <v>41232</v>
      </c>
      <c r="B36440">
        <v>50.1</v>
      </c>
    </row>
    <row r="36441" spans="1:2" x14ac:dyDescent="0.25">
      <c r="A36441" s="74">
        <v>41233</v>
      </c>
      <c r="B36441">
        <v>37.700000000000003</v>
      </c>
    </row>
    <row r="36442" spans="1:2" x14ac:dyDescent="0.25">
      <c r="A36442" s="74">
        <v>41234</v>
      </c>
      <c r="B36442">
        <v>37.6</v>
      </c>
    </row>
    <row r="36443" spans="1:2" x14ac:dyDescent="0.25">
      <c r="A36443" s="74">
        <v>41235</v>
      </c>
      <c r="B36443">
        <v>24.1</v>
      </c>
    </row>
    <row r="36444" spans="1:2" x14ac:dyDescent="0.25">
      <c r="A36444" s="74">
        <v>41236</v>
      </c>
      <c r="B36444">
        <v>60.3</v>
      </c>
    </row>
    <row r="36445" spans="1:2" x14ac:dyDescent="0.25">
      <c r="A36445" s="74">
        <v>41237</v>
      </c>
      <c r="B36445">
        <v>39.200000000000003</v>
      </c>
    </row>
    <row r="36446" spans="1:2" x14ac:dyDescent="0.25">
      <c r="A36446" s="74">
        <v>41238</v>
      </c>
      <c r="B36446">
        <v>23.3</v>
      </c>
    </row>
    <row r="36447" spans="1:2" x14ac:dyDescent="0.25">
      <c r="A36447" s="74">
        <v>41239</v>
      </c>
      <c r="B36447">
        <v>16</v>
      </c>
    </row>
    <row r="36448" spans="1:2" x14ac:dyDescent="0.25">
      <c r="A36448" s="74">
        <v>41240</v>
      </c>
      <c r="B36448">
        <v>12.1</v>
      </c>
    </row>
    <row r="36449" spans="1:2" x14ac:dyDescent="0.25">
      <c r="A36449" s="74">
        <v>41241</v>
      </c>
      <c r="B36449">
        <v>10.1</v>
      </c>
    </row>
    <row r="36450" spans="1:2" x14ac:dyDescent="0.25">
      <c r="A36450" s="74">
        <v>41242</v>
      </c>
      <c r="B36450">
        <v>58.7</v>
      </c>
    </row>
    <row r="36451" spans="1:2" x14ac:dyDescent="0.25">
      <c r="A36451" s="74">
        <v>41243</v>
      </c>
      <c r="B36451">
        <v>85.6</v>
      </c>
    </row>
    <row r="36452" spans="1:2" x14ac:dyDescent="0.25">
      <c r="A36452" s="74">
        <v>41244</v>
      </c>
      <c r="B36452">
        <v>100</v>
      </c>
    </row>
    <row r="36453" spans="1:2" x14ac:dyDescent="0.25">
      <c r="A36453" s="74">
        <v>41245</v>
      </c>
      <c r="B36453">
        <v>81.5</v>
      </c>
    </row>
    <row r="36454" spans="1:2" x14ac:dyDescent="0.25">
      <c r="A36454" s="74">
        <v>41246</v>
      </c>
      <c r="B36454">
        <v>58.5</v>
      </c>
    </row>
    <row r="36455" spans="1:2" x14ac:dyDescent="0.25">
      <c r="A36455" s="74">
        <v>41247</v>
      </c>
      <c r="B36455">
        <v>65.2</v>
      </c>
    </row>
    <row r="36456" spans="1:2" x14ac:dyDescent="0.25">
      <c r="A36456" s="74">
        <v>41248</v>
      </c>
      <c r="B36456">
        <v>53.1</v>
      </c>
    </row>
    <row r="36457" spans="1:2" x14ac:dyDescent="0.25">
      <c r="A36457" s="74">
        <v>41249</v>
      </c>
      <c r="B36457">
        <v>33.1</v>
      </c>
    </row>
    <row r="36458" spans="1:2" x14ac:dyDescent="0.25">
      <c r="A36458" s="74">
        <v>41250</v>
      </c>
      <c r="B36458">
        <v>23</v>
      </c>
    </row>
    <row r="36459" spans="1:2" x14ac:dyDescent="0.25">
      <c r="A36459" s="74">
        <v>41251</v>
      </c>
      <c r="B36459">
        <v>16.8</v>
      </c>
    </row>
    <row r="36460" spans="1:2" x14ac:dyDescent="0.25">
      <c r="A36460" s="74">
        <v>41252</v>
      </c>
      <c r="B36460">
        <v>13.2</v>
      </c>
    </row>
    <row r="36461" spans="1:2" x14ac:dyDescent="0.25">
      <c r="A36461" s="74">
        <v>41253</v>
      </c>
      <c r="B36461">
        <v>10.9</v>
      </c>
    </row>
    <row r="36462" spans="1:2" x14ac:dyDescent="0.25">
      <c r="A36462" s="74">
        <v>41254</v>
      </c>
      <c r="B36462">
        <v>9.76</v>
      </c>
    </row>
    <row r="36463" spans="1:2" x14ac:dyDescent="0.25">
      <c r="A36463" s="74">
        <v>41255</v>
      </c>
      <c r="B36463">
        <v>9.42</v>
      </c>
    </row>
    <row r="36464" spans="1:2" x14ac:dyDescent="0.25">
      <c r="A36464" s="74">
        <v>41256</v>
      </c>
      <c r="B36464">
        <v>8.35</v>
      </c>
    </row>
    <row r="36465" spans="1:2" x14ac:dyDescent="0.25">
      <c r="A36465" s="74">
        <v>41257</v>
      </c>
      <c r="B36465">
        <v>7.61</v>
      </c>
    </row>
    <row r="36466" spans="1:2" x14ac:dyDescent="0.25">
      <c r="A36466" s="74">
        <v>41258</v>
      </c>
      <c r="B36466">
        <v>7.38</v>
      </c>
    </row>
    <row r="36467" spans="1:2" x14ac:dyDescent="0.25">
      <c r="A36467" s="74">
        <v>41259</v>
      </c>
      <c r="B36467">
        <v>7.4</v>
      </c>
    </row>
    <row r="36468" spans="1:2" x14ac:dyDescent="0.25">
      <c r="A36468" s="74">
        <v>41260</v>
      </c>
      <c r="B36468">
        <v>7.89</v>
      </c>
    </row>
    <row r="36469" spans="1:2" x14ac:dyDescent="0.25">
      <c r="A36469" s="74">
        <v>41261</v>
      </c>
      <c r="B36469">
        <v>7.17</v>
      </c>
    </row>
    <row r="36470" spans="1:2" x14ac:dyDescent="0.25">
      <c r="A36470" s="74">
        <v>41262</v>
      </c>
      <c r="B36470">
        <v>7.46</v>
      </c>
    </row>
    <row r="36471" spans="1:2" x14ac:dyDescent="0.25">
      <c r="A36471" s="74">
        <v>41263</v>
      </c>
      <c r="B36471">
        <v>8.98</v>
      </c>
    </row>
    <row r="36472" spans="1:2" x14ac:dyDescent="0.25">
      <c r="A36472" s="74">
        <v>41264</v>
      </c>
      <c r="B36472">
        <v>8.91</v>
      </c>
    </row>
    <row r="36473" spans="1:2" x14ac:dyDescent="0.25">
      <c r="A36473" s="74">
        <v>41265</v>
      </c>
      <c r="B36473">
        <v>9.4</v>
      </c>
    </row>
    <row r="36474" spans="1:2" x14ac:dyDescent="0.25">
      <c r="A36474" s="74">
        <v>41266</v>
      </c>
      <c r="B36474">
        <v>12.7</v>
      </c>
    </row>
    <row r="36475" spans="1:2" x14ac:dyDescent="0.25">
      <c r="A36475" s="74">
        <v>41267</v>
      </c>
      <c r="B36475">
        <v>12.7</v>
      </c>
    </row>
    <row r="36476" spans="1:2" x14ac:dyDescent="0.25">
      <c r="A36476" s="74">
        <v>41268</v>
      </c>
      <c r="B36476">
        <v>11.2</v>
      </c>
    </row>
    <row r="36477" spans="1:2" x14ac:dyDescent="0.25">
      <c r="A36477" s="74">
        <v>41269</v>
      </c>
      <c r="B36477">
        <v>10.8</v>
      </c>
    </row>
    <row r="36478" spans="1:2" x14ac:dyDescent="0.25">
      <c r="A36478" s="74">
        <v>41270</v>
      </c>
      <c r="B36478">
        <v>10.1</v>
      </c>
    </row>
    <row r="36479" spans="1:2" x14ac:dyDescent="0.25">
      <c r="A36479" s="74">
        <v>41271</v>
      </c>
      <c r="B36479">
        <v>9.08</v>
      </c>
    </row>
    <row r="36480" spans="1:2" x14ac:dyDescent="0.25">
      <c r="A36480" s="74">
        <v>41272</v>
      </c>
      <c r="B36480">
        <v>8.8699999999999992</v>
      </c>
    </row>
    <row r="36481" spans="1:2" x14ac:dyDescent="0.25">
      <c r="A36481" s="74">
        <v>41273</v>
      </c>
      <c r="B36481">
        <v>8.91</v>
      </c>
    </row>
    <row r="36482" spans="1:2" x14ac:dyDescent="0.25">
      <c r="A36482" s="74">
        <v>41274</v>
      </c>
      <c r="B36482">
        <v>8.27</v>
      </c>
    </row>
    <row r="36483" spans="1:2" x14ac:dyDescent="0.25">
      <c r="A36483" s="74">
        <v>41275</v>
      </c>
      <c r="B36483">
        <v>7.47</v>
      </c>
    </row>
    <row r="36484" spans="1:2" x14ac:dyDescent="0.25">
      <c r="A36484" s="74">
        <v>41276</v>
      </c>
      <c r="B36484">
        <v>6.62</v>
      </c>
    </row>
    <row r="36485" spans="1:2" x14ac:dyDescent="0.25">
      <c r="A36485" s="74">
        <v>41277</v>
      </c>
      <c r="B36485">
        <v>5.96</v>
      </c>
    </row>
    <row r="36486" spans="1:2" x14ac:dyDescent="0.25">
      <c r="A36486" s="74">
        <v>41278</v>
      </c>
      <c r="B36486">
        <v>5.58</v>
      </c>
    </row>
    <row r="36487" spans="1:2" x14ac:dyDescent="0.25">
      <c r="A36487" s="74">
        <v>41279</v>
      </c>
      <c r="B36487">
        <v>5.36</v>
      </c>
    </row>
    <row r="36488" spans="1:2" x14ac:dyDescent="0.25">
      <c r="A36488" s="74">
        <v>41280</v>
      </c>
      <c r="B36488">
        <v>6.49</v>
      </c>
    </row>
    <row r="36489" spans="1:2" x14ac:dyDescent="0.25">
      <c r="A36489" s="74">
        <v>41281</v>
      </c>
      <c r="B36489">
        <v>7.95</v>
      </c>
    </row>
    <row r="36490" spans="1:2" x14ac:dyDescent="0.25">
      <c r="A36490" s="74">
        <v>41282</v>
      </c>
      <c r="B36490">
        <v>15.5</v>
      </c>
    </row>
    <row r="36491" spans="1:2" x14ac:dyDescent="0.25">
      <c r="A36491" s="74">
        <v>41283</v>
      </c>
      <c r="B36491">
        <v>67.3</v>
      </c>
    </row>
    <row r="36492" spans="1:2" x14ac:dyDescent="0.25">
      <c r="A36492" s="74">
        <v>41284</v>
      </c>
      <c r="B36492">
        <v>34.200000000000003</v>
      </c>
    </row>
    <row r="36493" spans="1:2" x14ac:dyDescent="0.25">
      <c r="A36493" s="74">
        <v>41285</v>
      </c>
      <c r="B36493">
        <v>20.399999999999999</v>
      </c>
    </row>
    <row r="36494" spans="1:2" x14ac:dyDescent="0.25">
      <c r="A36494" s="74">
        <v>41286</v>
      </c>
      <c r="B36494">
        <v>14.3</v>
      </c>
    </row>
    <row r="36495" spans="1:2" x14ac:dyDescent="0.25">
      <c r="A36495" s="74">
        <v>41287</v>
      </c>
      <c r="B36495">
        <v>11.2</v>
      </c>
    </row>
    <row r="36496" spans="1:2" x14ac:dyDescent="0.25">
      <c r="A36496" s="74">
        <v>41288</v>
      </c>
      <c r="B36496">
        <v>9.33</v>
      </c>
    </row>
    <row r="36497" spans="1:2" x14ac:dyDescent="0.25">
      <c r="A36497" s="74">
        <v>41289</v>
      </c>
      <c r="B36497">
        <v>7.97</v>
      </c>
    </row>
    <row r="36498" spans="1:2" x14ac:dyDescent="0.25">
      <c r="A36498" s="74">
        <v>41290</v>
      </c>
      <c r="B36498">
        <v>6.94</v>
      </c>
    </row>
    <row r="36499" spans="1:2" x14ac:dyDescent="0.25">
      <c r="A36499" s="74">
        <v>41291</v>
      </c>
      <c r="B36499">
        <v>6.21</v>
      </c>
    </row>
    <row r="36500" spans="1:2" x14ac:dyDescent="0.25">
      <c r="A36500" s="74">
        <v>41292</v>
      </c>
      <c r="B36500">
        <v>5.68</v>
      </c>
    </row>
    <row r="36501" spans="1:2" x14ac:dyDescent="0.25">
      <c r="A36501" s="74">
        <v>41293</v>
      </c>
      <c r="B36501">
        <v>5.24</v>
      </c>
    </row>
    <row r="36502" spans="1:2" x14ac:dyDescent="0.25">
      <c r="A36502" s="74">
        <v>41294</v>
      </c>
      <c r="B36502">
        <v>4.92</v>
      </c>
    </row>
    <row r="36503" spans="1:2" x14ac:dyDescent="0.25">
      <c r="A36503" s="74">
        <v>41295</v>
      </c>
      <c r="B36503">
        <v>4.79</v>
      </c>
    </row>
    <row r="36504" spans="1:2" x14ac:dyDescent="0.25">
      <c r="A36504" s="74">
        <v>41296</v>
      </c>
      <c r="B36504">
        <v>4.87</v>
      </c>
    </row>
    <row r="36505" spans="1:2" x14ac:dyDescent="0.25">
      <c r="A36505" s="74">
        <v>41297</v>
      </c>
      <c r="B36505">
        <v>5.29</v>
      </c>
    </row>
    <row r="36506" spans="1:2" x14ac:dyDescent="0.25">
      <c r="A36506" s="74">
        <v>41298</v>
      </c>
      <c r="B36506">
        <v>6.02</v>
      </c>
    </row>
    <row r="36507" spans="1:2" x14ac:dyDescent="0.25">
      <c r="A36507" s="74">
        <v>41299</v>
      </c>
      <c r="B36507">
        <v>6.34</v>
      </c>
    </row>
    <row r="36508" spans="1:2" x14ac:dyDescent="0.25">
      <c r="A36508" s="74">
        <v>41300</v>
      </c>
      <c r="B36508">
        <v>6.82</v>
      </c>
    </row>
    <row r="36509" spans="1:2" x14ac:dyDescent="0.25">
      <c r="A36509" s="74">
        <v>41301</v>
      </c>
      <c r="B36509">
        <v>7.01</v>
      </c>
    </row>
    <row r="36510" spans="1:2" x14ac:dyDescent="0.25">
      <c r="A36510" s="74">
        <v>41302</v>
      </c>
      <c r="B36510">
        <v>6.55</v>
      </c>
    </row>
    <row r="36511" spans="1:2" x14ac:dyDescent="0.25">
      <c r="A36511" s="74">
        <v>41303</v>
      </c>
      <c r="B36511">
        <v>6</v>
      </c>
    </row>
    <row r="36512" spans="1:2" x14ac:dyDescent="0.25">
      <c r="A36512" s="74">
        <v>41304</v>
      </c>
      <c r="B36512">
        <v>5.62</v>
      </c>
    </row>
    <row r="36513" spans="1:2" x14ac:dyDescent="0.25">
      <c r="A36513" s="74">
        <v>41305</v>
      </c>
      <c r="B36513">
        <v>5.66</v>
      </c>
    </row>
    <row r="36514" spans="1:2" x14ac:dyDescent="0.25">
      <c r="A36514" s="74">
        <v>41306</v>
      </c>
      <c r="B36514">
        <v>6.86</v>
      </c>
    </row>
    <row r="36515" spans="1:2" x14ac:dyDescent="0.25">
      <c r="A36515" s="74">
        <v>41307</v>
      </c>
      <c r="B36515">
        <v>7.16</v>
      </c>
    </row>
    <row r="36516" spans="1:2" x14ac:dyDescent="0.25">
      <c r="A36516" s="74">
        <v>41308</v>
      </c>
      <c r="B36516">
        <v>6.93</v>
      </c>
    </row>
    <row r="36517" spans="1:2" x14ac:dyDescent="0.25">
      <c r="A36517" s="74">
        <v>41309</v>
      </c>
      <c r="B36517">
        <v>6.88</v>
      </c>
    </row>
    <row r="36518" spans="1:2" x14ac:dyDescent="0.25">
      <c r="A36518" s="74">
        <v>41310</v>
      </c>
      <c r="B36518">
        <v>10.6</v>
      </c>
    </row>
    <row r="36519" spans="1:2" x14ac:dyDescent="0.25">
      <c r="A36519" s="74">
        <v>41311</v>
      </c>
      <c r="B36519">
        <v>24.3</v>
      </c>
    </row>
    <row r="36520" spans="1:2" x14ac:dyDescent="0.25">
      <c r="A36520" s="74">
        <v>41312</v>
      </c>
      <c r="B36520">
        <v>26.8</v>
      </c>
    </row>
    <row r="36521" spans="1:2" x14ac:dyDescent="0.25">
      <c r="A36521" s="74">
        <v>41313</v>
      </c>
      <c r="B36521">
        <v>19.3</v>
      </c>
    </row>
    <row r="36522" spans="1:2" x14ac:dyDescent="0.25">
      <c r="A36522" s="74">
        <v>41314</v>
      </c>
      <c r="B36522">
        <v>13.7</v>
      </c>
    </row>
    <row r="36523" spans="1:2" x14ac:dyDescent="0.25">
      <c r="A36523" s="74">
        <v>41315</v>
      </c>
      <c r="B36523">
        <v>10.8</v>
      </c>
    </row>
    <row r="36524" spans="1:2" x14ac:dyDescent="0.25">
      <c r="A36524" s="74">
        <v>41316</v>
      </c>
      <c r="B36524">
        <v>9.1999999999999993</v>
      </c>
    </row>
    <row r="36525" spans="1:2" x14ac:dyDescent="0.25">
      <c r="A36525" s="74">
        <v>41317</v>
      </c>
      <c r="B36525">
        <v>8.26</v>
      </c>
    </row>
    <row r="36526" spans="1:2" x14ac:dyDescent="0.25">
      <c r="A36526" s="74">
        <v>41318</v>
      </c>
      <c r="B36526">
        <v>8.18</v>
      </c>
    </row>
    <row r="36527" spans="1:2" x14ac:dyDescent="0.25">
      <c r="A36527" s="74">
        <v>41319</v>
      </c>
      <c r="B36527">
        <v>8</v>
      </c>
    </row>
    <row r="36528" spans="1:2" x14ac:dyDescent="0.25">
      <c r="A36528" s="74">
        <v>41320</v>
      </c>
      <c r="B36528">
        <v>7.68</v>
      </c>
    </row>
    <row r="36529" spans="1:2" x14ac:dyDescent="0.25">
      <c r="A36529" s="74">
        <v>41321</v>
      </c>
      <c r="B36529">
        <v>7.5</v>
      </c>
    </row>
    <row r="36530" spans="1:2" x14ac:dyDescent="0.25">
      <c r="A36530" s="74">
        <v>41322</v>
      </c>
      <c r="B36530">
        <v>7.69</v>
      </c>
    </row>
    <row r="36531" spans="1:2" x14ac:dyDescent="0.25">
      <c r="A36531" s="74">
        <v>41323</v>
      </c>
      <c r="B36531">
        <v>7.2</v>
      </c>
    </row>
    <row r="36532" spans="1:2" x14ac:dyDescent="0.25">
      <c r="A36532" s="74">
        <v>41324</v>
      </c>
      <c r="B36532">
        <v>7.25</v>
      </c>
    </row>
    <row r="36533" spans="1:2" x14ac:dyDescent="0.25">
      <c r="A36533" s="74">
        <v>41325</v>
      </c>
      <c r="B36533">
        <v>6.7</v>
      </c>
    </row>
    <row r="36534" spans="1:2" x14ac:dyDescent="0.25">
      <c r="A36534" s="74">
        <v>41326</v>
      </c>
      <c r="B36534">
        <v>6.14</v>
      </c>
    </row>
    <row r="36535" spans="1:2" x14ac:dyDescent="0.25">
      <c r="A36535" s="74">
        <v>41327</v>
      </c>
      <c r="B36535">
        <v>6.76</v>
      </c>
    </row>
    <row r="36536" spans="1:2" x14ac:dyDescent="0.25">
      <c r="A36536" s="74">
        <v>41328</v>
      </c>
      <c r="B36536">
        <v>8.06</v>
      </c>
    </row>
    <row r="36537" spans="1:2" x14ac:dyDescent="0.25">
      <c r="A36537" s="74">
        <v>41329</v>
      </c>
      <c r="B36537">
        <v>7.21</v>
      </c>
    </row>
    <row r="36538" spans="1:2" x14ac:dyDescent="0.25">
      <c r="A36538" s="74">
        <v>41330</v>
      </c>
      <c r="B36538">
        <v>21.2</v>
      </c>
    </row>
    <row r="36539" spans="1:2" x14ac:dyDescent="0.25">
      <c r="A36539" s="74">
        <v>41331</v>
      </c>
      <c r="B36539">
        <v>16.600000000000001</v>
      </c>
    </row>
    <row r="36540" spans="1:2" x14ac:dyDescent="0.25">
      <c r="A36540" s="74">
        <v>41332</v>
      </c>
      <c r="B36540">
        <v>12.6</v>
      </c>
    </row>
    <row r="36541" spans="1:2" x14ac:dyDescent="0.25">
      <c r="A36541" s="74">
        <v>41333</v>
      </c>
      <c r="B36541">
        <v>10.5</v>
      </c>
    </row>
    <row r="36542" spans="1:2" x14ac:dyDescent="0.25">
      <c r="A36542" s="74">
        <v>41334</v>
      </c>
      <c r="B36542">
        <v>103</v>
      </c>
    </row>
    <row r="36543" spans="1:2" x14ac:dyDescent="0.25">
      <c r="A36543" s="74">
        <v>41335</v>
      </c>
      <c r="B36543">
        <v>97</v>
      </c>
    </row>
    <row r="36544" spans="1:2" x14ac:dyDescent="0.25">
      <c r="A36544" s="74">
        <v>41336</v>
      </c>
      <c r="B36544">
        <v>43.4</v>
      </c>
    </row>
    <row r="36545" spans="1:2" x14ac:dyDescent="0.25">
      <c r="A36545" s="74">
        <v>41337</v>
      </c>
      <c r="B36545">
        <v>25.8</v>
      </c>
    </row>
    <row r="36546" spans="1:2" x14ac:dyDescent="0.25">
      <c r="A36546" s="74">
        <v>41338</v>
      </c>
      <c r="B36546">
        <v>18.2</v>
      </c>
    </row>
    <row r="36547" spans="1:2" x14ac:dyDescent="0.25">
      <c r="A36547" s="74">
        <v>41339</v>
      </c>
      <c r="B36547">
        <v>14.5</v>
      </c>
    </row>
    <row r="36548" spans="1:2" x14ac:dyDescent="0.25">
      <c r="A36548" s="74">
        <v>41340</v>
      </c>
      <c r="B36548">
        <v>12.1</v>
      </c>
    </row>
    <row r="36549" spans="1:2" x14ac:dyDescent="0.25">
      <c r="A36549" s="74">
        <v>41341</v>
      </c>
      <c r="B36549">
        <v>10.6</v>
      </c>
    </row>
    <row r="36550" spans="1:2" x14ac:dyDescent="0.25">
      <c r="A36550" s="74">
        <v>41342</v>
      </c>
      <c r="B36550">
        <v>9.26</v>
      </c>
    </row>
    <row r="36551" spans="1:2" x14ac:dyDescent="0.25">
      <c r="A36551" s="74">
        <v>41343</v>
      </c>
      <c r="B36551">
        <v>8.27</v>
      </c>
    </row>
    <row r="36552" spans="1:2" x14ac:dyDescent="0.25">
      <c r="A36552" s="74">
        <v>41344</v>
      </c>
      <c r="B36552">
        <v>7.62</v>
      </c>
    </row>
    <row r="36553" spans="1:2" x14ac:dyDescent="0.25">
      <c r="A36553" s="74">
        <v>41345</v>
      </c>
      <c r="B36553">
        <v>23.1</v>
      </c>
    </row>
    <row r="36554" spans="1:2" x14ac:dyDescent="0.25">
      <c r="A36554" s="74">
        <v>41346</v>
      </c>
      <c r="B36554">
        <v>34.299999999999997</v>
      </c>
    </row>
    <row r="36555" spans="1:2" x14ac:dyDescent="0.25">
      <c r="A36555" s="74">
        <v>41347</v>
      </c>
      <c r="B36555">
        <v>45.4</v>
      </c>
    </row>
    <row r="36556" spans="1:2" x14ac:dyDescent="0.25">
      <c r="A36556" s="74">
        <v>41348</v>
      </c>
      <c r="B36556">
        <v>51.9</v>
      </c>
    </row>
    <row r="36557" spans="1:2" x14ac:dyDescent="0.25">
      <c r="A36557" s="74">
        <v>41349</v>
      </c>
      <c r="B36557">
        <v>31.8</v>
      </c>
    </row>
    <row r="36558" spans="1:2" x14ac:dyDescent="0.25">
      <c r="A36558" s="74">
        <v>41350</v>
      </c>
      <c r="B36558">
        <v>21.6</v>
      </c>
    </row>
    <row r="36559" spans="1:2" x14ac:dyDescent="0.25">
      <c r="A36559" s="74">
        <v>41351</v>
      </c>
      <c r="B36559">
        <v>15.9</v>
      </c>
    </row>
    <row r="36560" spans="1:2" x14ac:dyDescent="0.25">
      <c r="A36560" s="74">
        <v>41352</v>
      </c>
      <c r="B36560">
        <v>12.7</v>
      </c>
    </row>
    <row r="36561" spans="1:2" x14ac:dyDescent="0.25">
      <c r="A36561" s="74">
        <v>41353</v>
      </c>
      <c r="B36561">
        <v>26.3</v>
      </c>
    </row>
    <row r="36562" spans="1:2" x14ac:dyDescent="0.25">
      <c r="A36562" s="74">
        <v>41354</v>
      </c>
      <c r="B36562">
        <v>26.3</v>
      </c>
    </row>
    <row r="36563" spans="1:2" x14ac:dyDescent="0.25">
      <c r="A36563" s="74">
        <v>41355</v>
      </c>
      <c r="B36563">
        <v>18.399999999999999</v>
      </c>
    </row>
    <row r="36564" spans="1:2" x14ac:dyDescent="0.25">
      <c r="A36564" s="74">
        <v>41356</v>
      </c>
      <c r="B36564">
        <v>14.2</v>
      </c>
    </row>
    <row r="36565" spans="1:2" x14ac:dyDescent="0.25">
      <c r="A36565" s="74">
        <v>41357</v>
      </c>
      <c r="B36565">
        <v>11.7</v>
      </c>
    </row>
    <row r="36566" spans="1:2" x14ac:dyDescent="0.25">
      <c r="A36566" s="74">
        <v>41358</v>
      </c>
      <c r="B36566">
        <v>9.85</v>
      </c>
    </row>
    <row r="36567" spans="1:2" x14ac:dyDescent="0.25">
      <c r="A36567" s="74">
        <v>41359</v>
      </c>
      <c r="B36567">
        <v>8.6999999999999993</v>
      </c>
    </row>
    <row r="36568" spans="1:2" x14ac:dyDescent="0.25">
      <c r="A36568" s="74">
        <v>41360</v>
      </c>
      <c r="B36568">
        <v>8.02</v>
      </c>
    </row>
    <row r="36569" spans="1:2" x14ac:dyDescent="0.25">
      <c r="A36569" s="74">
        <v>41361</v>
      </c>
      <c r="B36569">
        <v>7.94</v>
      </c>
    </row>
    <row r="36570" spans="1:2" x14ac:dyDescent="0.25">
      <c r="A36570" s="74">
        <v>41362</v>
      </c>
      <c r="B36570">
        <v>8.7100000000000009</v>
      </c>
    </row>
    <row r="36571" spans="1:2" x14ac:dyDescent="0.25">
      <c r="A36571" s="74">
        <v>41363</v>
      </c>
      <c r="B36571">
        <v>9.26</v>
      </c>
    </row>
    <row r="36572" spans="1:2" x14ac:dyDescent="0.25">
      <c r="A36572" s="74">
        <v>41364</v>
      </c>
      <c r="B36572">
        <v>10.199999999999999</v>
      </c>
    </row>
    <row r="36573" spans="1:2" x14ac:dyDescent="0.25">
      <c r="A36573" s="74">
        <v>41365</v>
      </c>
      <c r="B36573">
        <v>11.9</v>
      </c>
    </row>
    <row r="36574" spans="1:2" x14ac:dyDescent="0.25">
      <c r="A36574" s="74">
        <v>41366</v>
      </c>
      <c r="B36574">
        <v>13.9</v>
      </c>
    </row>
    <row r="36575" spans="1:2" x14ac:dyDescent="0.25">
      <c r="A36575" s="74">
        <v>41367</v>
      </c>
      <c r="B36575">
        <v>12.5</v>
      </c>
    </row>
    <row r="36576" spans="1:2" x14ac:dyDescent="0.25">
      <c r="A36576" s="74">
        <v>41368</v>
      </c>
      <c r="B36576">
        <v>12.1</v>
      </c>
    </row>
    <row r="36577" spans="1:2" x14ac:dyDescent="0.25">
      <c r="A36577" s="74">
        <v>41369</v>
      </c>
      <c r="B36577">
        <v>23.5</v>
      </c>
    </row>
    <row r="36578" spans="1:2" x14ac:dyDescent="0.25">
      <c r="A36578" s="74">
        <v>41370</v>
      </c>
      <c r="B36578">
        <v>31.9</v>
      </c>
    </row>
    <row r="36579" spans="1:2" x14ac:dyDescent="0.25">
      <c r="A36579" s="74">
        <v>41371</v>
      </c>
      <c r="B36579">
        <v>22.2</v>
      </c>
    </row>
    <row r="36580" spans="1:2" x14ac:dyDescent="0.25">
      <c r="A36580" s="74">
        <v>41372</v>
      </c>
      <c r="B36580">
        <v>15.1</v>
      </c>
    </row>
    <row r="36581" spans="1:2" x14ac:dyDescent="0.25">
      <c r="A36581" s="74">
        <v>41373</v>
      </c>
      <c r="B36581">
        <v>12.3</v>
      </c>
    </row>
    <row r="36582" spans="1:2" x14ac:dyDescent="0.25">
      <c r="A36582" s="74">
        <v>41374</v>
      </c>
      <c r="B36582">
        <v>28</v>
      </c>
    </row>
    <row r="36583" spans="1:2" x14ac:dyDescent="0.25">
      <c r="A36583" s="74">
        <v>41375</v>
      </c>
      <c r="B36583">
        <v>28.2</v>
      </c>
    </row>
    <row r="36584" spans="1:2" x14ac:dyDescent="0.25">
      <c r="A36584" s="74">
        <v>41376</v>
      </c>
      <c r="B36584">
        <v>18.8</v>
      </c>
    </row>
    <row r="36585" spans="1:2" x14ac:dyDescent="0.25">
      <c r="A36585" s="74">
        <v>41377</v>
      </c>
      <c r="B36585">
        <v>14</v>
      </c>
    </row>
    <row r="36586" spans="1:2" x14ac:dyDescent="0.25">
      <c r="A36586" s="74">
        <v>41378</v>
      </c>
      <c r="B36586">
        <v>11</v>
      </c>
    </row>
    <row r="36587" spans="1:2" x14ac:dyDescent="0.25">
      <c r="A36587" s="74">
        <v>41379</v>
      </c>
      <c r="B36587">
        <v>9</v>
      </c>
    </row>
    <row r="36588" spans="1:2" x14ac:dyDescent="0.25">
      <c r="A36588" s="74">
        <v>41380</v>
      </c>
      <c r="B36588">
        <v>7.73</v>
      </c>
    </row>
    <row r="36589" spans="1:2" x14ac:dyDescent="0.25">
      <c r="A36589" s="74">
        <v>41381</v>
      </c>
      <c r="B36589">
        <v>7.01</v>
      </c>
    </row>
    <row r="36590" spans="1:2" x14ac:dyDescent="0.25">
      <c r="A36590" s="74">
        <v>41382</v>
      </c>
      <c r="B36590">
        <v>6.88</v>
      </c>
    </row>
    <row r="36591" spans="1:2" x14ac:dyDescent="0.25">
      <c r="A36591" s="74">
        <v>41383</v>
      </c>
      <c r="B36591">
        <v>7.98</v>
      </c>
    </row>
    <row r="36592" spans="1:2" x14ac:dyDescent="0.25">
      <c r="A36592" s="74">
        <v>41384</v>
      </c>
      <c r="B36592">
        <v>9.7100000000000009</v>
      </c>
    </row>
    <row r="36593" spans="1:2" x14ac:dyDescent="0.25">
      <c r="A36593" s="74">
        <v>41385</v>
      </c>
      <c r="B36593">
        <v>9.26</v>
      </c>
    </row>
    <row r="36594" spans="1:2" x14ac:dyDescent="0.25">
      <c r="A36594" s="74">
        <v>41386</v>
      </c>
      <c r="B36594">
        <v>7.95</v>
      </c>
    </row>
    <row r="36595" spans="1:2" x14ac:dyDescent="0.25">
      <c r="A36595" s="74">
        <v>41387</v>
      </c>
      <c r="B36595">
        <v>7.06</v>
      </c>
    </row>
    <row r="36596" spans="1:2" x14ac:dyDescent="0.25">
      <c r="A36596" s="74">
        <v>41388</v>
      </c>
      <c r="B36596">
        <v>6.67</v>
      </c>
    </row>
    <row r="36597" spans="1:2" x14ac:dyDescent="0.25">
      <c r="A36597" s="74">
        <v>41389</v>
      </c>
      <c r="B36597">
        <v>7.38</v>
      </c>
    </row>
    <row r="36598" spans="1:2" x14ac:dyDescent="0.25">
      <c r="A36598" s="74">
        <v>41390</v>
      </c>
      <c r="B36598">
        <v>9.4499999999999993</v>
      </c>
    </row>
    <row r="36599" spans="1:2" x14ac:dyDescent="0.25">
      <c r="A36599" s="74">
        <v>41391</v>
      </c>
      <c r="B36599">
        <v>10.4</v>
      </c>
    </row>
    <row r="36600" spans="1:2" x14ac:dyDescent="0.25">
      <c r="A36600" s="74">
        <v>41392</v>
      </c>
      <c r="B36600">
        <v>10.3</v>
      </c>
    </row>
    <row r="36601" spans="1:2" x14ac:dyDescent="0.25">
      <c r="A36601" s="74">
        <v>41393</v>
      </c>
      <c r="B36601">
        <v>8.76</v>
      </c>
    </row>
    <row r="36602" spans="1:2" x14ac:dyDescent="0.25">
      <c r="A36602" s="74">
        <v>41394</v>
      </c>
      <c r="B36602">
        <v>7.2</v>
      </c>
    </row>
    <row r="36603" spans="1:2" x14ac:dyDescent="0.25">
      <c r="A36603" s="74">
        <v>41395</v>
      </c>
      <c r="B36603">
        <v>6.16</v>
      </c>
    </row>
    <row r="36604" spans="1:2" x14ac:dyDescent="0.25">
      <c r="A36604" s="74">
        <v>41396</v>
      </c>
      <c r="B36604">
        <v>5.68</v>
      </c>
    </row>
    <row r="36605" spans="1:2" x14ac:dyDescent="0.25">
      <c r="A36605" s="74">
        <v>41397</v>
      </c>
      <c r="B36605">
        <v>5.62</v>
      </c>
    </row>
    <row r="36606" spans="1:2" x14ac:dyDescent="0.25">
      <c r="A36606" s="74">
        <v>41398</v>
      </c>
      <c r="B36606">
        <v>7.8</v>
      </c>
    </row>
    <row r="36607" spans="1:2" x14ac:dyDescent="0.25">
      <c r="A36607" s="74">
        <v>41399</v>
      </c>
      <c r="B36607">
        <v>11.7</v>
      </c>
    </row>
    <row r="36608" spans="1:2" x14ac:dyDescent="0.25">
      <c r="A36608" s="74">
        <v>41400</v>
      </c>
      <c r="B36608">
        <v>15.9</v>
      </c>
    </row>
    <row r="36609" spans="1:2" x14ac:dyDescent="0.25">
      <c r="A36609" s="74">
        <v>41401</v>
      </c>
      <c r="B36609">
        <v>17</v>
      </c>
    </row>
    <row r="36610" spans="1:2" x14ac:dyDescent="0.25">
      <c r="A36610" s="74">
        <v>41402</v>
      </c>
      <c r="B36610">
        <v>16.399999999999999</v>
      </c>
    </row>
    <row r="36611" spans="1:2" x14ac:dyDescent="0.25">
      <c r="A36611" s="74">
        <v>41403</v>
      </c>
      <c r="B36611">
        <v>15</v>
      </c>
    </row>
    <row r="36612" spans="1:2" x14ac:dyDescent="0.25">
      <c r="A36612" s="74">
        <v>41404</v>
      </c>
      <c r="B36612">
        <v>14.2</v>
      </c>
    </row>
    <row r="36613" spans="1:2" x14ac:dyDescent="0.25">
      <c r="A36613" s="74">
        <v>41405</v>
      </c>
      <c r="B36613">
        <v>12.4</v>
      </c>
    </row>
    <row r="36614" spans="1:2" x14ac:dyDescent="0.25">
      <c r="A36614" s="74">
        <v>41406</v>
      </c>
      <c r="B36614">
        <v>27.7</v>
      </c>
    </row>
    <row r="36615" spans="1:2" x14ac:dyDescent="0.25">
      <c r="A36615" s="74">
        <v>41407</v>
      </c>
      <c r="B36615">
        <v>20.6</v>
      </c>
    </row>
    <row r="36616" spans="1:2" x14ac:dyDescent="0.25">
      <c r="A36616" s="74">
        <v>41408</v>
      </c>
      <c r="B36616">
        <v>16.600000000000001</v>
      </c>
    </row>
    <row r="36617" spans="1:2" x14ac:dyDescent="0.25">
      <c r="A36617" s="74">
        <v>41409</v>
      </c>
      <c r="B36617">
        <v>10.5</v>
      </c>
    </row>
    <row r="36618" spans="1:2" x14ac:dyDescent="0.25">
      <c r="A36618" s="74">
        <v>41410</v>
      </c>
      <c r="B36618">
        <v>8.32</v>
      </c>
    </row>
    <row r="36619" spans="1:2" x14ac:dyDescent="0.25">
      <c r="A36619" s="74">
        <v>41411</v>
      </c>
      <c r="B36619">
        <v>8.52</v>
      </c>
    </row>
    <row r="36620" spans="1:2" x14ac:dyDescent="0.25">
      <c r="A36620" s="74">
        <v>41412</v>
      </c>
      <c r="B36620">
        <v>8.3800000000000008</v>
      </c>
    </row>
    <row r="36621" spans="1:2" x14ac:dyDescent="0.25">
      <c r="A36621" s="74">
        <v>41413</v>
      </c>
      <c r="B36621">
        <v>7.46</v>
      </c>
    </row>
    <row r="36622" spans="1:2" x14ac:dyDescent="0.25">
      <c r="A36622" s="74">
        <v>41414</v>
      </c>
      <c r="B36622">
        <v>6.89</v>
      </c>
    </row>
    <row r="36623" spans="1:2" x14ac:dyDescent="0.25">
      <c r="A36623" s="74">
        <v>41415</v>
      </c>
      <c r="B36623">
        <v>7.16</v>
      </c>
    </row>
    <row r="36624" spans="1:2" x14ac:dyDescent="0.25">
      <c r="A36624" s="74">
        <v>41416</v>
      </c>
      <c r="B36624">
        <v>8.23</v>
      </c>
    </row>
    <row r="36625" spans="1:2" x14ac:dyDescent="0.25">
      <c r="A36625" s="74">
        <v>41417</v>
      </c>
      <c r="B36625">
        <v>7.81</v>
      </c>
    </row>
    <row r="36626" spans="1:2" x14ac:dyDescent="0.25">
      <c r="A36626" s="74">
        <v>41418</v>
      </c>
      <c r="B36626">
        <v>7.45</v>
      </c>
    </row>
    <row r="36627" spans="1:2" x14ac:dyDescent="0.25">
      <c r="A36627" s="74">
        <v>41419</v>
      </c>
      <c r="B36627">
        <v>7.26</v>
      </c>
    </row>
    <row r="36628" spans="1:2" x14ac:dyDescent="0.25">
      <c r="A36628" s="74">
        <v>41420</v>
      </c>
      <c r="B36628">
        <v>8.35</v>
      </c>
    </row>
    <row r="36629" spans="1:2" x14ac:dyDescent="0.25">
      <c r="A36629" s="74">
        <v>41421</v>
      </c>
      <c r="B36629">
        <v>8.19</v>
      </c>
    </row>
    <row r="36630" spans="1:2" x14ac:dyDescent="0.25">
      <c r="A36630" s="74">
        <v>41422</v>
      </c>
      <c r="B36630">
        <v>10.3</v>
      </c>
    </row>
    <row r="36631" spans="1:2" x14ac:dyDescent="0.25">
      <c r="A36631" s="74">
        <v>41423</v>
      </c>
      <c r="B36631">
        <v>11.5</v>
      </c>
    </row>
    <row r="36632" spans="1:2" x14ac:dyDescent="0.25">
      <c r="A36632" s="74">
        <v>41424</v>
      </c>
      <c r="B36632">
        <v>11.9</v>
      </c>
    </row>
    <row r="36633" spans="1:2" x14ac:dyDescent="0.25">
      <c r="A36633" s="74">
        <v>41425</v>
      </c>
      <c r="B36633">
        <v>10.5</v>
      </c>
    </row>
    <row r="36634" spans="1:2" x14ac:dyDescent="0.25">
      <c r="A36634" s="74">
        <v>41426</v>
      </c>
      <c r="B36634">
        <v>9.25</v>
      </c>
    </row>
    <row r="36635" spans="1:2" x14ac:dyDescent="0.25">
      <c r="A36635" s="74">
        <v>41427</v>
      </c>
      <c r="B36635">
        <v>7.97</v>
      </c>
    </row>
    <row r="36636" spans="1:2" x14ac:dyDescent="0.25">
      <c r="A36636" s="74">
        <v>41428</v>
      </c>
      <c r="B36636">
        <v>7.31</v>
      </c>
    </row>
    <row r="36637" spans="1:2" x14ac:dyDescent="0.25">
      <c r="A36637" s="74">
        <v>41429</v>
      </c>
      <c r="B36637">
        <v>6.52</v>
      </c>
    </row>
    <row r="36638" spans="1:2" x14ac:dyDescent="0.25">
      <c r="A36638" s="74">
        <v>41430</v>
      </c>
      <c r="B36638">
        <v>6.43</v>
      </c>
    </row>
    <row r="36639" spans="1:2" x14ac:dyDescent="0.25">
      <c r="A36639" s="74">
        <v>41431</v>
      </c>
      <c r="B36639">
        <v>6.63</v>
      </c>
    </row>
    <row r="36640" spans="1:2" x14ac:dyDescent="0.25">
      <c r="A36640" s="74">
        <v>41432</v>
      </c>
      <c r="B36640">
        <v>6.49</v>
      </c>
    </row>
    <row r="36641" spans="1:2" x14ac:dyDescent="0.25">
      <c r="A36641" s="74">
        <v>41433</v>
      </c>
      <c r="B36641">
        <v>5.97</v>
      </c>
    </row>
    <row r="36642" spans="1:2" x14ac:dyDescent="0.25">
      <c r="A36642" s="74">
        <v>41434</v>
      </c>
      <c r="B36642">
        <v>4.87</v>
      </c>
    </row>
    <row r="36643" spans="1:2" x14ac:dyDescent="0.25">
      <c r="A36643" s="74">
        <v>41435</v>
      </c>
      <c r="B36643">
        <v>4.26</v>
      </c>
    </row>
    <row r="36644" spans="1:2" x14ac:dyDescent="0.25">
      <c r="A36644" s="74">
        <v>41436</v>
      </c>
      <c r="B36644">
        <v>3.84</v>
      </c>
    </row>
    <row r="36645" spans="1:2" x14ac:dyDescent="0.25">
      <c r="A36645" s="74">
        <v>41437</v>
      </c>
      <c r="B36645">
        <v>3.86</v>
      </c>
    </row>
    <row r="36646" spans="1:2" x14ac:dyDescent="0.25">
      <c r="A36646" s="74">
        <v>41438</v>
      </c>
      <c r="B36646">
        <v>4.1100000000000003</v>
      </c>
    </row>
    <row r="36647" spans="1:2" x14ac:dyDescent="0.25">
      <c r="A36647" s="74">
        <v>41439</v>
      </c>
      <c r="B36647">
        <v>3.74</v>
      </c>
    </row>
    <row r="36648" spans="1:2" x14ac:dyDescent="0.25">
      <c r="A36648" s="74">
        <v>41440</v>
      </c>
      <c r="B36648">
        <v>3.56</v>
      </c>
    </row>
    <row r="36649" spans="1:2" x14ac:dyDescent="0.25">
      <c r="A36649" s="74">
        <v>41441</v>
      </c>
      <c r="B36649">
        <v>3.51</v>
      </c>
    </row>
    <row r="36650" spans="1:2" x14ac:dyDescent="0.25">
      <c r="A36650" s="74">
        <v>41442</v>
      </c>
      <c r="B36650">
        <v>3.82</v>
      </c>
    </row>
    <row r="36651" spans="1:2" x14ac:dyDescent="0.25">
      <c r="A36651" s="74">
        <v>41443</v>
      </c>
      <c r="B36651">
        <v>4.8499999999999996</v>
      </c>
    </row>
    <row r="36652" spans="1:2" x14ac:dyDescent="0.25">
      <c r="A36652" s="74">
        <v>41444</v>
      </c>
      <c r="B36652">
        <v>4.99</v>
      </c>
    </row>
    <row r="36653" spans="1:2" x14ac:dyDescent="0.25">
      <c r="A36653" s="74">
        <v>41445</v>
      </c>
      <c r="B36653">
        <v>4.3499999999999996</v>
      </c>
    </row>
    <row r="36654" spans="1:2" x14ac:dyDescent="0.25">
      <c r="A36654" s="74">
        <v>41446</v>
      </c>
      <c r="B36654">
        <v>4.16</v>
      </c>
    </row>
    <row r="36655" spans="1:2" x14ac:dyDescent="0.25">
      <c r="A36655" s="74">
        <v>41447</v>
      </c>
      <c r="B36655">
        <v>4.4400000000000004</v>
      </c>
    </row>
    <row r="36656" spans="1:2" x14ac:dyDescent="0.25">
      <c r="A36656" s="74">
        <v>41448</v>
      </c>
      <c r="B36656">
        <v>4.13</v>
      </c>
    </row>
    <row r="36657" spans="1:2" x14ac:dyDescent="0.25">
      <c r="A36657" s="74">
        <v>41449</v>
      </c>
      <c r="B36657">
        <v>4.7300000000000004</v>
      </c>
    </row>
    <row r="36658" spans="1:2" x14ac:dyDescent="0.25">
      <c r="A36658" s="74">
        <v>41450</v>
      </c>
      <c r="B36658">
        <v>5.04</v>
      </c>
    </row>
    <row r="36659" spans="1:2" x14ac:dyDescent="0.25">
      <c r="A36659" s="74">
        <v>41451</v>
      </c>
      <c r="B36659">
        <v>5.32</v>
      </c>
    </row>
    <row r="36660" spans="1:2" x14ac:dyDescent="0.25">
      <c r="A36660" s="74">
        <v>41452</v>
      </c>
      <c r="B36660">
        <v>6.75</v>
      </c>
    </row>
    <row r="36661" spans="1:2" x14ac:dyDescent="0.25">
      <c r="A36661" s="74">
        <v>41453</v>
      </c>
      <c r="B36661">
        <v>8.2100000000000009</v>
      </c>
    </row>
    <row r="36662" spans="1:2" x14ac:dyDescent="0.25">
      <c r="A36662" s="74">
        <v>41454</v>
      </c>
      <c r="B36662">
        <v>6.33</v>
      </c>
    </row>
    <row r="36663" spans="1:2" x14ac:dyDescent="0.25">
      <c r="A36663" s="74">
        <v>41455</v>
      </c>
      <c r="B36663">
        <v>5.26</v>
      </c>
    </row>
    <row r="36664" spans="1:2" x14ac:dyDescent="0.25">
      <c r="A36664" s="74">
        <v>41456</v>
      </c>
      <c r="B36664">
        <v>4.57</v>
      </c>
    </row>
    <row r="36665" spans="1:2" x14ac:dyDescent="0.25">
      <c r="A36665" s="74">
        <v>41457</v>
      </c>
      <c r="B36665">
        <v>4.04</v>
      </c>
    </row>
    <row r="36666" spans="1:2" x14ac:dyDescent="0.25">
      <c r="A36666" s="74">
        <v>41458</v>
      </c>
      <c r="B36666">
        <v>3.36</v>
      </c>
    </row>
    <row r="36667" spans="1:2" x14ac:dyDescent="0.25">
      <c r="A36667" s="74">
        <v>41459</v>
      </c>
      <c r="B36667">
        <v>2.9</v>
      </c>
    </row>
    <row r="36668" spans="1:2" x14ac:dyDescent="0.25">
      <c r="A36668" s="74">
        <v>41460</v>
      </c>
      <c r="B36668">
        <v>2.58</v>
      </c>
    </row>
    <row r="36669" spans="1:2" x14ac:dyDescent="0.25">
      <c r="A36669" s="74">
        <v>41461</v>
      </c>
      <c r="B36669">
        <v>2.35</v>
      </c>
    </row>
    <row r="36670" spans="1:2" x14ac:dyDescent="0.25">
      <c r="A36670" s="74">
        <v>41462</v>
      </c>
      <c r="B36670">
        <v>2.16</v>
      </c>
    </row>
    <row r="36671" spans="1:2" x14ac:dyDescent="0.25">
      <c r="A36671" s="74">
        <v>41463</v>
      </c>
      <c r="B36671">
        <v>2.11</v>
      </c>
    </row>
    <row r="36672" spans="1:2" x14ac:dyDescent="0.25">
      <c r="A36672" s="74">
        <v>41464</v>
      </c>
      <c r="B36672">
        <v>1.95</v>
      </c>
    </row>
    <row r="36673" spans="1:2" x14ac:dyDescent="0.25">
      <c r="A36673" s="74">
        <v>41465</v>
      </c>
      <c r="B36673">
        <v>1.82</v>
      </c>
    </row>
    <row r="36674" spans="1:2" x14ac:dyDescent="0.25">
      <c r="A36674" s="74">
        <v>41466</v>
      </c>
      <c r="B36674">
        <v>1.7</v>
      </c>
    </row>
    <row r="36675" spans="1:2" x14ac:dyDescent="0.25">
      <c r="A36675" s="74">
        <v>41467</v>
      </c>
      <c r="B36675">
        <v>1.55</v>
      </c>
    </row>
    <row r="36676" spans="1:2" x14ac:dyDescent="0.25">
      <c r="A36676" s="74">
        <v>41468</v>
      </c>
      <c r="B36676">
        <v>1.55</v>
      </c>
    </row>
    <row r="36677" spans="1:2" x14ac:dyDescent="0.25">
      <c r="A36677" s="74">
        <v>41469</v>
      </c>
      <c r="B36677">
        <v>1.66</v>
      </c>
    </row>
    <row r="36678" spans="1:2" x14ac:dyDescent="0.25">
      <c r="A36678" s="74">
        <v>41470</v>
      </c>
      <c r="B36678">
        <v>1.71</v>
      </c>
    </row>
    <row r="36679" spans="1:2" x14ac:dyDescent="0.25">
      <c r="A36679" s="74">
        <v>41471</v>
      </c>
      <c r="B36679">
        <v>1.65</v>
      </c>
    </row>
    <row r="36680" spans="1:2" x14ac:dyDescent="0.25">
      <c r="A36680" s="74">
        <v>41472</v>
      </c>
      <c r="B36680">
        <v>1.81</v>
      </c>
    </row>
    <row r="36681" spans="1:2" x14ac:dyDescent="0.25">
      <c r="A36681" s="74">
        <v>41473</v>
      </c>
      <c r="B36681">
        <v>1.88</v>
      </c>
    </row>
    <row r="36682" spans="1:2" x14ac:dyDescent="0.25">
      <c r="A36682" s="74">
        <v>41474</v>
      </c>
      <c r="B36682">
        <v>1.79</v>
      </c>
    </row>
    <row r="36683" spans="1:2" x14ac:dyDescent="0.25">
      <c r="A36683" s="74">
        <v>41475</v>
      </c>
      <c r="B36683">
        <v>1.75</v>
      </c>
    </row>
    <row r="36684" spans="1:2" x14ac:dyDescent="0.25">
      <c r="A36684" s="74">
        <v>41476</v>
      </c>
      <c r="B36684">
        <v>1.71</v>
      </c>
    </row>
    <row r="36685" spans="1:2" x14ac:dyDescent="0.25">
      <c r="A36685" s="74">
        <v>41477</v>
      </c>
      <c r="B36685">
        <v>1.65</v>
      </c>
    </row>
    <row r="36686" spans="1:2" x14ac:dyDescent="0.25">
      <c r="A36686" s="74">
        <v>41478</v>
      </c>
      <c r="B36686">
        <v>1.68</v>
      </c>
    </row>
    <row r="36687" spans="1:2" x14ac:dyDescent="0.25">
      <c r="A36687" s="74">
        <v>41479</v>
      </c>
      <c r="B36687">
        <v>1.64</v>
      </c>
    </row>
    <row r="36688" spans="1:2" x14ac:dyDescent="0.25">
      <c r="A36688" s="74">
        <v>41480</v>
      </c>
      <c r="B36688">
        <v>1.6</v>
      </c>
    </row>
    <row r="36689" spans="1:2" x14ac:dyDescent="0.25">
      <c r="A36689" s="74">
        <v>41481</v>
      </c>
      <c r="B36689">
        <v>1.57</v>
      </c>
    </row>
    <row r="36690" spans="1:2" x14ac:dyDescent="0.25">
      <c r="A36690" s="74">
        <v>41482</v>
      </c>
      <c r="B36690">
        <v>1.65</v>
      </c>
    </row>
    <row r="36691" spans="1:2" x14ac:dyDescent="0.25">
      <c r="A36691" s="74">
        <v>41483</v>
      </c>
      <c r="B36691">
        <v>1.63</v>
      </c>
    </row>
    <row r="36692" spans="1:2" x14ac:dyDescent="0.25">
      <c r="A36692" s="74">
        <v>41484</v>
      </c>
      <c r="B36692">
        <v>1.67</v>
      </c>
    </row>
    <row r="36693" spans="1:2" x14ac:dyDescent="0.25">
      <c r="A36693" s="74">
        <v>41485</v>
      </c>
      <c r="B36693">
        <v>1.67</v>
      </c>
    </row>
    <row r="36694" spans="1:2" x14ac:dyDescent="0.25">
      <c r="A36694" s="74">
        <v>41486</v>
      </c>
      <c r="B36694">
        <v>1.65</v>
      </c>
    </row>
    <row r="36695" spans="1:2" x14ac:dyDescent="0.25">
      <c r="A36695" s="74">
        <v>41487</v>
      </c>
      <c r="B36695">
        <v>1.64</v>
      </c>
    </row>
    <row r="36696" spans="1:2" x14ac:dyDescent="0.25">
      <c r="A36696" s="74">
        <v>41488</v>
      </c>
      <c r="B36696">
        <v>1.68</v>
      </c>
    </row>
    <row r="36697" spans="1:2" x14ac:dyDescent="0.25">
      <c r="A36697" s="74">
        <v>41489</v>
      </c>
      <c r="B36697">
        <v>1.68</v>
      </c>
    </row>
    <row r="36698" spans="1:2" x14ac:dyDescent="0.25">
      <c r="A36698" s="74">
        <v>41490</v>
      </c>
      <c r="B36698">
        <v>1.65</v>
      </c>
    </row>
    <row r="36699" spans="1:2" x14ac:dyDescent="0.25">
      <c r="A36699" s="74">
        <v>41491</v>
      </c>
      <c r="B36699">
        <v>1.6</v>
      </c>
    </row>
    <row r="36700" spans="1:2" x14ac:dyDescent="0.25">
      <c r="A36700" s="74">
        <v>41492</v>
      </c>
      <c r="B36700">
        <v>1.63</v>
      </c>
    </row>
    <row r="36701" spans="1:2" x14ac:dyDescent="0.25">
      <c r="A36701" s="74">
        <v>41493</v>
      </c>
      <c r="B36701">
        <v>1.6</v>
      </c>
    </row>
    <row r="36702" spans="1:2" x14ac:dyDescent="0.25">
      <c r="A36702" s="74">
        <v>41494</v>
      </c>
      <c r="B36702">
        <v>1.57</v>
      </c>
    </row>
    <row r="36703" spans="1:2" x14ac:dyDescent="0.25">
      <c r="A36703" s="74">
        <v>41495</v>
      </c>
      <c r="B36703">
        <v>1.59</v>
      </c>
    </row>
    <row r="36704" spans="1:2" x14ac:dyDescent="0.25">
      <c r="A36704" s="74">
        <v>41496</v>
      </c>
      <c r="B36704">
        <v>1.69</v>
      </c>
    </row>
    <row r="36705" spans="1:2" x14ac:dyDescent="0.25">
      <c r="A36705" s="74">
        <v>41497</v>
      </c>
      <c r="B36705">
        <v>1.74</v>
      </c>
    </row>
    <row r="36706" spans="1:2" x14ac:dyDescent="0.25">
      <c r="A36706" s="74">
        <v>41498</v>
      </c>
      <c r="B36706">
        <v>1.78</v>
      </c>
    </row>
    <row r="36707" spans="1:2" x14ac:dyDescent="0.25">
      <c r="A36707" s="74">
        <v>41499</v>
      </c>
      <c r="B36707">
        <v>1.77</v>
      </c>
    </row>
    <row r="36708" spans="1:2" x14ac:dyDescent="0.25">
      <c r="A36708" s="74">
        <v>41500</v>
      </c>
      <c r="B36708">
        <v>1.78</v>
      </c>
    </row>
    <row r="36709" spans="1:2" x14ac:dyDescent="0.25">
      <c r="A36709" s="74">
        <v>41501</v>
      </c>
      <c r="B36709">
        <v>1.67</v>
      </c>
    </row>
    <row r="36710" spans="1:2" x14ac:dyDescent="0.25">
      <c r="A36710" s="74">
        <v>41502</v>
      </c>
      <c r="B36710">
        <v>1.61</v>
      </c>
    </row>
    <row r="36711" spans="1:2" x14ac:dyDescent="0.25">
      <c r="A36711" s="74">
        <v>41503</v>
      </c>
      <c r="B36711">
        <v>1.59</v>
      </c>
    </row>
    <row r="36712" spans="1:2" x14ac:dyDescent="0.25">
      <c r="A36712" s="74">
        <v>41504</v>
      </c>
      <c r="B36712">
        <v>1.6</v>
      </c>
    </row>
    <row r="36713" spans="1:2" x14ac:dyDescent="0.25">
      <c r="A36713" s="74">
        <v>41505</v>
      </c>
      <c r="B36713">
        <v>1.52</v>
      </c>
    </row>
    <row r="36714" spans="1:2" x14ac:dyDescent="0.25">
      <c r="A36714" s="74">
        <v>41506</v>
      </c>
      <c r="B36714">
        <v>1.46</v>
      </c>
    </row>
    <row r="36715" spans="1:2" x14ac:dyDescent="0.25">
      <c r="A36715" s="74">
        <v>41507</v>
      </c>
      <c r="B36715">
        <v>1.6</v>
      </c>
    </row>
    <row r="36716" spans="1:2" x14ac:dyDescent="0.25">
      <c r="A36716" s="74">
        <v>41508</v>
      </c>
      <c r="B36716">
        <v>1.59</v>
      </c>
    </row>
    <row r="36717" spans="1:2" x14ac:dyDescent="0.25">
      <c r="A36717" s="74">
        <v>41509</v>
      </c>
      <c r="B36717">
        <v>1.34</v>
      </c>
    </row>
    <row r="36718" spans="1:2" x14ac:dyDescent="0.25">
      <c r="A36718" s="74">
        <v>41510</v>
      </c>
      <c r="B36718">
        <v>1.29</v>
      </c>
    </row>
    <row r="36719" spans="1:2" x14ac:dyDescent="0.25">
      <c r="A36719" s="74">
        <v>41511</v>
      </c>
      <c r="B36719">
        <v>1.28</v>
      </c>
    </row>
    <row r="36720" spans="1:2" x14ac:dyDescent="0.25">
      <c r="A36720" s="74">
        <v>41512</v>
      </c>
      <c r="B36720">
        <v>1.33</v>
      </c>
    </row>
    <row r="36721" spans="1:2" x14ac:dyDescent="0.25">
      <c r="A36721" s="74">
        <v>41513</v>
      </c>
      <c r="B36721">
        <v>1.38</v>
      </c>
    </row>
    <row r="36722" spans="1:2" x14ac:dyDescent="0.25">
      <c r="A36722" s="74">
        <v>41514</v>
      </c>
      <c r="B36722">
        <v>1.52</v>
      </c>
    </row>
    <row r="36723" spans="1:2" x14ac:dyDescent="0.25">
      <c r="A36723" s="74">
        <v>41515</v>
      </c>
      <c r="B36723">
        <v>1.79</v>
      </c>
    </row>
    <row r="36724" spans="1:2" x14ac:dyDescent="0.25">
      <c r="A36724" s="74">
        <v>41516</v>
      </c>
      <c r="B36724">
        <v>4.8499999999999996</v>
      </c>
    </row>
    <row r="36725" spans="1:2" x14ac:dyDescent="0.25">
      <c r="A36725" s="74">
        <v>41517</v>
      </c>
      <c r="B36725">
        <v>2.84</v>
      </c>
    </row>
    <row r="36726" spans="1:2" x14ac:dyDescent="0.25">
      <c r="A36726" s="74">
        <v>41518</v>
      </c>
      <c r="B36726">
        <v>1.95</v>
      </c>
    </row>
    <row r="36727" spans="1:2" x14ac:dyDescent="0.25">
      <c r="A36727" s="74">
        <v>41519</v>
      </c>
      <c r="B36727">
        <v>1.61</v>
      </c>
    </row>
    <row r="36728" spans="1:2" x14ac:dyDescent="0.25">
      <c r="A36728" s="74">
        <v>41520</v>
      </c>
      <c r="B36728">
        <v>1.61</v>
      </c>
    </row>
    <row r="36729" spans="1:2" x14ac:dyDescent="0.25">
      <c r="A36729" s="74">
        <v>41521</v>
      </c>
      <c r="B36729">
        <v>1.22</v>
      </c>
    </row>
    <row r="36730" spans="1:2" x14ac:dyDescent="0.25">
      <c r="A36730" s="74">
        <v>41522</v>
      </c>
      <c r="B36730">
        <v>1.21</v>
      </c>
    </row>
    <row r="36731" spans="1:2" x14ac:dyDescent="0.25">
      <c r="A36731" s="74">
        <v>41523</v>
      </c>
      <c r="B36731">
        <v>1.39</v>
      </c>
    </row>
    <row r="36732" spans="1:2" x14ac:dyDescent="0.25">
      <c r="A36732" s="74">
        <v>41524</v>
      </c>
      <c r="B36732">
        <v>1.37</v>
      </c>
    </row>
    <row r="36733" spans="1:2" x14ac:dyDescent="0.25">
      <c r="A36733" s="74">
        <v>41525</v>
      </c>
      <c r="B36733">
        <v>1.32</v>
      </c>
    </row>
    <row r="36734" spans="1:2" x14ac:dyDescent="0.25">
      <c r="A36734" s="74">
        <v>41526</v>
      </c>
      <c r="B36734">
        <v>1.3</v>
      </c>
    </row>
    <row r="36735" spans="1:2" x14ac:dyDescent="0.25">
      <c r="A36735" s="74">
        <v>41527</v>
      </c>
      <c r="B36735">
        <v>1.6</v>
      </c>
    </row>
    <row r="36736" spans="1:2" x14ac:dyDescent="0.25">
      <c r="A36736" s="74">
        <v>41528</v>
      </c>
      <c r="B36736">
        <v>1.61</v>
      </c>
    </row>
    <row r="36737" spans="1:2" x14ac:dyDescent="0.25">
      <c r="A36737" s="74">
        <v>41529</v>
      </c>
      <c r="B36737">
        <v>1.55</v>
      </c>
    </row>
    <row r="36738" spans="1:2" x14ac:dyDescent="0.25">
      <c r="A36738" s="74">
        <v>41530</v>
      </c>
      <c r="B36738">
        <v>1.45</v>
      </c>
    </row>
    <row r="36739" spans="1:2" x14ac:dyDescent="0.25">
      <c r="A36739" s="74">
        <v>41531</v>
      </c>
      <c r="B36739">
        <v>1.41</v>
      </c>
    </row>
    <row r="36740" spans="1:2" x14ac:dyDescent="0.25">
      <c r="A36740" s="74">
        <v>41532</v>
      </c>
      <c r="B36740">
        <v>1.41</v>
      </c>
    </row>
    <row r="36741" spans="1:2" x14ac:dyDescent="0.25">
      <c r="A36741" s="74">
        <v>41533</v>
      </c>
      <c r="B36741">
        <v>1.57</v>
      </c>
    </row>
    <row r="36742" spans="1:2" x14ac:dyDescent="0.25">
      <c r="A36742" s="74">
        <v>41534</v>
      </c>
      <c r="B36742">
        <v>1.51</v>
      </c>
    </row>
    <row r="36743" spans="1:2" x14ac:dyDescent="0.25">
      <c r="A36743" s="74">
        <v>41535</v>
      </c>
      <c r="B36743">
        <v>1.49</v>
      </c>
    </row>
    <row r="36744" spans="1:2" x14ac:dyDescent="0.25">
      <c r="A36744" s="74">
        <v>41536</v>
      </c>
      <c r="B36744">
        <v>1.41</v>
      </c>
    </row>
    <row r="36745" spans="1:2" x14ac:dyDescent="0.25">
      <c r="A36745" s="74">
        <v>41537</v>
      </c>
      <c r="B36745">
        <v>1.46</v>
      </c>
    </row>
    <row r="36746" spans="1:2" x14ac:dyDescent="0.25">
      <c r="A36746" s="74">
        <v>41538</v>
      </c>
      <c r="B36746">
        <v>1.65</v>
      </c>
    </row>
    <row r="36747" spans="1:2" x14ac:dyDescent="0.25">
      <c r="A36747" s="74">
        <v>41539</v>
      </c>
      <c r="B36747">
        <v>2.61</v>
      </c>
    </row>
    <row r="36748" spans="1:2" x14ac:dyDescent="0.25">
      <c r="A36748" s="74">
        <v>41540</v>
      </c>
      <c r="B36748">
        <v>4.4000000000000004</v>
      </c>
    </row>
    <row r="36749" spans="1:2" x14ac:dyDescent="0.25">
      <c r="A36749" s="74">
        <v>41541</v>
      </c>
      <c r="B36749">
        <v>3.59</v>
      </c>
    </row>
    <row r="36750" spans="1:2" x14ac:dyDescent="0.25">
      <c r="A36750" s="74">
        <v>41542</v>
      </c>
      <c r="B36750">
        <v>3.45</v>
      </c>
    </row>
    <row r="36751" spans="1:2" x14ac:dyDescent="0.25">
      <c r="A36751" s="74">
        <v>41543</v>
      </c>
      <c r="B36751">
        <v>2.58</v>
      </c>
    </row>
    <row r="36752" spans="1:2" x14ac:dyDescent="0.25">
      <c r="A36752" s="74">
        <v>41544</v>
      </c>
      <c r="B36752">
        <v>2.3199999999999998</v>
      </c>
    </row>
    <row r="36753" spans="1:2" x14ac:dyDescent="0.25">
      <c r="A36753" s="74">
        <v>41545</v>
      </c>
      <c r="B36753">
        <v>7.04</v>
      </c>
    </row>
    <row r="36754" spans="1:2" x14ac:dyDescent="0.25">
      <c r="A36754" s="74">
        <v>41546</v>
      </c>
      <c r="B36754">
        <v>37.5</v>
      </c>
    </row>
    <row r="36755" spans="1:2" x14ac:dyDescent="0.25">
      <c r="A36755" s="74">
        <v>41547</v>
      </c>
      <c r="B36755">
        <v>79.599999999999994</v>
      </c>
    </row>
    <row r="36756" spans="1:2" x14ac:dyDescent="0.25">
      <c r="A36756" s="74">
        <v>41548</v>
      </c>
      <c r="B36756">
        <v>40.1</v>
      </c>
    </row>
    <row r="36757" spans="1:2" x14ac:dyDescent="0.25">
      <c r="A36757" s="74">
        <v>41549</v>
      </c>
      <c r="B36757">
        <v>24.7</v>
      </c>
    </row>
    <row r="36758" spans="1:2" x14ac:dyDescent="0.25">
      <c r="A36758" s="74">
        <v>41550</v>
      </c>
      <c r="B36758">
        <v>18</v>
      </c>
    </row>
    <row r="36759" spans="1:2" x14ac:dyDescent="0.25">
      <c r="A36759" s="74">
        <v>41551</v>
      </c>
      <c r="B36759">
        <v>12.5</v>
      </c>
    </row>
    <row r="36760" spans="1:2" x14ac:dyDescent="0.25">
      <c r="A36760" s="74">
        <v>41552</v>
      </c>
      <c r="B36760">
        <v>9.3000000000000007</v>
      </c>
    </row>
    <row r="36761" spans="1:2" x14ac:dyDescent="0.25">
      <c r="A36761" s="74">
        <v>41553</v>
      </c>
      <c r="B36761">
        <v>7.82</v>
      </c>
    </row>
    <row r="36762" spans="1:2" x14ac:dyDescent="0.25">
      <c r="A36762" s="74">
        <v>41554</v>
      </c>
      <c r="B36762">
        <v>7.31</v>
      </c>
    </row>
    <row r="36763" spans="1:2" x14ac:dyDescent="0.25">
      <c r="A36763" s="74">
        <v>41555</v>
      </c>
      <c r="B36763">
        <v>7.1</v>
      </c>
    </row>
    <row r="36764" spans="1:2" x14ac:dyDescent="0.25">
      <c r="A36764" s="74">
        <v>41556</v>
      </c>
      <c r="B36764">
        <v>6</v>
      </c>
    </row>
    <row r="36765" spans="1:2" x14ac:dyDescent="0.25">
      <c r="A36765" s="74">
        <v>41557</v>
      </c>
      <c r="B36765">
        <v>5.08</v>
      </c>
    </row>
    <row r="36766" spans="1:2" x14ac:dyDescent="0.25">
      <c r="A36766" s="74">
        <v>41558</v>
      </c>
      <c r="B36766">
        <v>4.4800000000000004</v>
      </c>
    </row>
    <row r="36767" spans="1:2" x14ac:dyDescent="0.25">
      <c r="A36767" s="74">
        <v>41559</v>
      </c>
      <c r="B36767">
        <v>4.07</v>
      </c>
    </row>
    <row r="36768" spans="1:2" x14ac:dyDescent="0.25">
      <c r="A36768" s="74">
        <v>41560</v>
      </c>
      <c r="B36768">
        <v>3.77</v>
      </c>
    </row>
    <row r="36769" spans="1:2" x14ac:dyDescent="0.25">
      <c r="A36769" s="74">
        <v>41561</v>
      </c>
      <c r="B36769">
        <v>3.48</v>
      </c>
    </row>
    <row r="36770" spans="1:2" x14ac:dyDescent="0.25">
      <c r="A36770" s="74">
        <v>41562</v>
      </c>
      <c r="B36770">
        <v>3.18</v>
      </c>
    </row>
    <row r="36771" spans="1:2" x14ac:dyDescent="0.25">
      <c r="A36771" s="74">
        <v>41563</v>
      </c>
      <c r="B36771">
        <v>2.89</v>
      </c>
    </row>
    <row r="36772" spans="1:2" x14ac:dyDescent="0.25">
      <c r="A36772" s="74">
        <v>41564</v>
      </c>
      <c r="B36772">
        <v>2.73</v>
      </c>
    </row>
    <row r="36773" spans="1:2" x14ac:dyDescent="0.25">
      <c r="A36773" s="74">
        <v>41565</v>
      </c>
      <c r="B36773">
        <v>2.56</v>
      </c>
    </row>
    <row r="36774" spans="1:2" x14ac:dyDescent="0.25">
      <c r="A36774" s="74">
        <v>41566</v>
      </c>
      <c r="B36774">
        <v>2.41</v>
      </c>
    </row>
    <row r="36775" spans="1:2" x14ac:dyDescent="0.25">
      <c r="A36775" s="74">
        <v>41567</v>
      </c>
      <c r="B36775">
        <v>2.27</v>
      </c>
    </row>
    <row r="36776" spans="1:2" x14ac:dyDescent="0.25">
      <c r="A36776" s="74">
        <v>41568</v>
      </c>
      <c r="B36776">
        <v>2.12</v>
      </c>
    </row>
    <row r="36777" spans="1:2" x14ac:dyDescent="0.25">
      <c r="A36777" s="74">
        <v>41569</v>
      </c>
      <c r="B36777">
        <v>2.02</v>
      </c>
    </row>
    <row r="36778" spans="1:2" x14ac:dyDescent="0.25">
      <c r="A36778" s="74">
        <v>41570</v>
      </c>
      <c r="B36778">
        <v>1.92</v>
      </c>
    </row>
    <row r="36779" spans="1:2" x14ac:dyDescent="0.25">
      <c r="A36779" s="74">
        <v>41571</v>
      </c>
      <c r="B36779">
        <v>1.82</v>
      </c>
    </row>
    <row r="36780" spans="1:2" x14ac:dyDescent="0.25">
      <c r="A36780" s="74">
        <v>41572</v>
      </c>
      <c r="B36780">
        <v>1.71</v>
      </c>
    </row>
    <row r="36781" spans="1:2" x14ac:dyDescent="0.25">
      <c r="A36781" s="74">
        <v>41573</v>
      </c>
      <c r="B36781">
        <v>1.61</v>
      </c>
    </row>
    <row r="36782" spans="1:2" x14ac:dyDescent="0.25">
      <c r="A36782" s="74">
        <v>41574</v>
      </c>
      <c r="B36782">
        <v>1.53</v>
      </c>
    </row>
    <row r="36783" spans="1:2" x14ac:dyDescent="0.25">
      <c r="A36783" s="74">
        <v>41575</v>
      </c>
      <c r="B36783">
        <v>1.51</v>
      </c>
    </row>
    <row r="36784" spans="1:2" x14ac:dyDescent="0.25">
      <c r="A36784" s="74">
        <v>41576</v>
      </c>
      <c r="B36784">
        <v>1.43</v>
      </c>
    </row>
    <row r="36785" spans="1:2" x14ac:dyDescent="0.25">
      <c r="A36785" s="74">
        <v>41577</v>
      </c>
      <c r="B36785">
        <v>1.35</v>
      </c>
    </row>
    <row r="36786" spans="1:2" x14ac:dyDescent="0.25">
      <c r="A36786" s="74">
        <v>41578</v>
      </c>
      <c r="B36786">
        <v>1.26</v>
      </c>
    </row>
    <row r="36787" spans="1:2" x14ac:dyDescent="0.25">
      <c r="A36787" s="74">
        <v>41579</v>
      </c>
      <c r="B36787">
        <v>1.27</v>
      </c>
    </row>
    <row r="36788" spans="1:2" x14ac:dyDescent="0.25">
      <c r="A36788" s="74">
        <v>41580</v>
      </c>
      <c r="B36788">
        <v>7.69</v>
      </c>
    </row>
    <row r="36789" spans="1:2" x14ac:dyDescent="0.25">
      <c r="A36789" s="74">
        <v>41581</v>
      </c>
      <c r="B36789">
        <v>9.82</v>
      </c>
    </row>
    <row r="36790" spans="1:2" x14ac:dyDescent="0.25">
      <c r="A36790" s="74">
        <v>41582</v>
      </c>
      <c r="B36790">
        <v>6.91</v>
      </c>
    </row>
    <row r="36791" spans="1:2" x14ac:dyDescent="0.25">
      <c r="A36791" s="74">
        <v>41583</v>
      </c>
      <c r="B36791">
        <v>5.54</v>
      </c>
    </row>
    <row r="36792" spans="1:2" x14ac:dyDescent="0.25">
      <c r="A36792" s="74">
        <v>41584</v>
      </c>
      <c r="B36792">
        <v>4.6100000000000003</v>
      </c>
    </row>
    <row r="36793" spans="1:2" x14ac:dyDescent="0.25">
      <c r="A36793" s="74">
        <v>41585</v>
      </c>
      <c r="B36793">
        <v>18.399999999999999</v>
      </c>
    </row>
    <row r="36794" spans="1:2" x14ac:dyDescent="0.25">
      <c r="A36794" s="74">
        <v>41586</v>
      </c>
      <c r="B36794">
        <v>21.5</v>
      </c>
    </row>
    <row r="36795" spans="1:2" x14ac:dyDescent="0.25">
      <c r="A36795" s="74">
        <v>41587</v>
      </c>
      <c r="B36795">
        <v>13.7</v>
      </c>
    </row>
    <row r="36796" spans="1:2" x14ac:dyDescent="0.25">
      <c r="A36796" s="74">
        <v>41588</v>
      </c>
      <c r="B36796">
        <v>10.199999999999999</v>
      </c>
    </row>
    <row r="36797" spans="1:2" x14ac:dyDescent="0.25">
      <c r="A36797" s="74">
        <v>41589</v>
      </c>
      <c r="B36797">
        <v>8.16</v>
      </c>
    </row>
    <row r="36798" spans="1:2" x14ac:dyDescent="0.25">
      <c r="A36798" s="74">
        <v>41590</v>
      </c>
      <c r="B36798">
        <v>9.36</v>
      </c>
    </row>
    <row r="36799" spans="1:2" x14ac:dyDescent="0.25">
      <c r="A36799" s="74">
        <v>41591</v>
      </c>
      <c r="B36799">
        <v>21.1</v>
      </c>
    </row>
    <row r="36800" spans="1:2" x14ac:dyDescent="0.25">
      <c r="A36800" s="74">
        <v>41592</v>
      </c>
      <c r="B36800">
        <v>14.7</v>
      </c>
    </row>
    <row r="36801" spans="1:2" x14ac:dyDescent="0.25">
      <c r="A36801" s="74">
        <v>41593</v>
      </c>
      <c r="B36801">
        <v>11</v>
      </c>
    </row>
    <row r="36802" spans="1:2" x14ac:dyDescent="0.25">
      <c r="A36802" s="74">
        <v>41594</v>
      </c>
      <c r="B36802">
        <v>9.09</v>
      </c>
    </row>
    <row r="36803" spans="1:2" x14ac:dyDescent="0.25">
      <c r="A36803" s="74">
        <v>41595</v>
      </c>
      <c r="B36803">
        <v>7.47</v>
      </c>
    </row>
    <row r="36804" spans="1:2" x14ac:dyDescent="0.25">
      <c r="A36804" s="74">
        <v>41596</v>
      </c>
      <c r="B36804">
        <v>7.02</v>
      </c>
    </row>
    <row r="36805" spans="1:2" x14ac:dyDescent="0.25">
      <c r="A36805" s="74">
        <v>41597</v>
      </c>
      <c r="B36805">
        <v>7.72</v>
      </c>
    </row>
    <row r="36806" spans="1:2" x14ac:dyDescent="0.25">
      <c r="A36806" s="74">
        <v>41598</v>
      </c>
      <c r="B36806">
        <v>6.81</v>
      </c>
    </row>
    <row r="36807" spans="1:2" x14ac:dyDescent="0.25">
      <c r="A36807" s="74">
        <v>41599</v>
      </c>
      <c r="B36807">
        <v>5.88</v>
      </c>
    </row>
    <row r="36808" spans="1:2" x14ac:dyDescent="0.25">
      <c r="A36808" s="74">
        <v>41600</v>
      </c>
      <c r="B36808">
        <v>5.27</v>
      </c>
    </row>
    <row r="36809" spans="1:2" x14ac:dyDescent="0.25">
      <c r="A36809" s="74">
        <v>41601</v>
      </c>
      <c r="B36809">
        <v>4.83</v>
      </c>
    </row>
    <row r="36810" spans="1:2" x14ac:dyDescent="0.25">
      <c r="A36810" s="74">
        <v>41602</v>
      </c>
      <c r="B36810">
        <v>4.5</v>
      </c>
    </row>
    <row r="36811" spans="1:2" x14ac:dyDescent="0.25">
      <c r="A36811" s="74">
        <v>41603</v>
      </c>
      <c r="B36811">
        <v>4.16</v>
      </c>
    </row>
    <row r="36812" spans="1:2" x14ac:dyDescent="0.25">
      <c r="A36812" s="74">
        <v>41604</v>
      </c>
      <c r="B36812">
        <v>3.86</v>
      </c>
    </row>
    <row r="36813" spans="1:2" x14ac:dyDescent="0.25">
      <c r="A36813" s="74">
        <v>41605</v>
      </c>
      <c r="B36813">
        <v>3.64</v>
      </c>
    </row>
    <row r="36814" spans="1:2" x14ac:dyDescent="0.25">
      <c r="A36814" s="74">
        <v>41606</v>
      </c>
      <c r="B36814">
        <v>3.46</v>
      </c>
    </row>
    <row r="36815" spans="1:2" x14ac:dyDescent="0.25">
      <c r="A36815" s="74">
        <v>41607</v>
      </c>
      <c r="B36815">
        <v>3.32</v>
      </c>
    </row>
    <row r="36816" spans="1:2" x14ac:dyDescent="0.25">
      <c r="A36816" s="74">
        <v>41608</v>
      </c>
      <c r="B36816">
        <v>3.36</v>
      </c>
    </row>
    <row r="36817" spans="1:2" x14ac:dyDescent="0.25">
      <c r="A36817" s="74">
        <v>41609</v>
      </c>
      <c r="B36817">
        <v>3.56</v>
      </c>
    </row>
    <row r="36818" spans="1:2" x14ac:dyDescent="0.25">
      <c r="A36818" s="74">
        <v>41610</v>
      </c>
      <c r="B36818">
        <v>3.96</v>
      </c>
    </row>
    <row r="36819" spans="1:2" x14ac:dyDescent="0.25">
      <c r="A36819" s="74">
        <v>41611</v>
      </c>
      <c r="B36819">
        <v>3.48</v>
      </c>
    </row>
    <row r="36820" spans="1:2" x14ac:dyDescent="0.25">
      <c r="A36820" s="74">
        <v>41612</v>
      </c>
      <c r="B36820">
        <v>3.1</v>
      </c>
    </row>
    <row r="36821" spans="1:2" x14ac:dyDescent="0.25">
      <c r="A36821" s="74">
        <v>41613</v>
      </c>
      <c r="B36821">
        <v>2.89</v>
      </c>
    </row>
    <row r="36822" spans="1:2" x14ac:dyDescent="0.25">
      <c r="A36822" s="74">
        <v>41614</v>
      </c>
      <c r="B36822">
        <v>2.57</v>
      </c>
    </row>
    <row r="36823" spans="1:2" x14ac:dyDescent="0.25">
      <c r="A36823" s="74">
        <v>41615</v>
      </c>
      <c r="B36823">
        <v>1.79</v>
      </c>
    </row>
    <row r="36824" spans="1:2" x14ac:dyDescent="0.25">
      <c r="A36824" s="74">
        <v>41616</v>
      </c>
      <c r="B36824">
        <v>2.0299999999999998</v>
      </c>
    </row>
    <row r="36825" spans="1:2" x14ac:dyDescent="0.25">
      <c r="A36825" s="74">
        <v>41617</v>
      </c>
      <c r="B36825">
        <v>2.4700000000000002</v>
      </c>
    </row>
    <row r="36826" spans="1:2" x14ac:dyDescent="0.25">
      <c r="A36826" s="74">
        <v>41618</v>
      </c>
      <c r="B36826">
        <v>2.48</v>
      </c>
    </row>
    <row r="36827" spans="1:2" x14ac:dyDescent="0.25">
      <c r="A36827" s="74">
        <v>41619</v>
      </c>
      <c r="B36827">
        <v>2.27</v>
      </c>
    </row>
    <row r="36828" spans="1:2" x14ac:dyDescent="0.25">
      <c r="A36828" s="74">
        <v>41620</v>
      </c>
      <c r="B36828">
        <v>2.25</v>
      </c>
    </row>
    <row r="36829" spans="1:2" x14ac:dyDescent="0.25">
      <c r="A36829" s="74">
        <v>41621</v>
      </c>
      <c r="B36829">
        <v>2.37</v>
      </c>
    </row>
    <row r="36830" spans="1:2" x14ac:dyDescent="0.25">
      <c r="A36830" s="74">
        <v>41622</v>
      </c>
      <c r="B36830">
        <v>2.2999999999999998</v>
      </c>
    </row>
    <row r="36831" spans="1:2" x14ac:dyDescent="0.25">
      <c r="A36831" s="74">
        <v>41623</v>
      </c>
      <c r="B36831">
        <v>2.84</v>
      </c>
    </row>
    <row r="36832" spans="1:2" x14ac:dyDescent="0.25">
      <c r="A36832" s="74">
        <v>41624</v>
      </c>
      <c r="B36832">
        <v>3.38</v>
      </c>
    </row>
    <row r="36833" spans="1:2" x14ac:dyDescent="0.25">
      <c r="A36833" s="74">
        <v>41625</v>
      </c>
      <c r="B36833">
        <v>3.07</v>
      </c>
    </row>
    <row r="36834" spans="1:2" x14ac:dyDescent="0.25">
      <c r="A36834" s="74">
        <v>41626</v>
      </c>
      <c r="B36834">
        <v>2.94</v>
      </c>
    </row>
    <row r="36835" spans="1:2" x14ac:dyDescent="0.25">
      <c r="A36835" s="74">
        <v>41627</v>
      </c>
      <c r="B36835">
        <v>2.73</v>
      </c>
    </row>
    <row r="36836" spans="1:2" x14ac:dyDescent="0.25">
      <c r="A36836" s="74">
        <v>41628</v>
      </c>
      <c r="B36836">
        <v>2.67</v>
      </c>
    </row>
    <row r="36837" spans="1:2" x14ac:dyDescent="0.25">
      <c r="A36837" s="74">
        <v>41629</v>
      </c>
      <c r="B36837">
        <v>2.61</v>
      </c>
    </row>
    <row r="36838" spans="1:2" x14ac:dyDescent="0.25">
      <c r="A36838" s="74">
        <v>41630</v>
      </c>
      <c r="B36838">
        <v>2.59</v>
      </c>
    </row>
    <row r="36839" spans="1:2" x14ac:dyDescent="0.25">
      <c r="A36839" s="74">
        <v>41631</v>
      </c>
      <c r="B36839">
        <v>3.45</v>
      </c>
    </row>
    <row r="36840" spans="1:2" x14ac:dyDescent="0.25">
      <c r="A36840" s="74">
        <v>41632</v>
      </c>
      <c r="B36840">
        <v>4.42</v>
      </c>
    </row>
    <row r="36841" spans="1:2" x14ac:dyDescent="0.25">
      <c r="A36841" s="74">
        <v>41633</v>
      </c>
      <c r="B36841">
        <v>3.97</v>
      </c>
    </row>
    <row r="36842" spans="1:2" x14ac:dyDescent="0.25">
      <c r="A36842" s="74">
        <v>41634</v>
      </c>
      <c r="B36842">
        <v>3.71</v>
      </c>
    </row>
    <row r="36843" spans="1:2" x14ac:dyDescent="0.25">
      <c r="A36843" s="74">
        <v>41635</v>
      </c>
      <c r="B36843">
        <v>4.03</v>
      </c>
    </row>
    <row r="36844" spans="1:2" x14ac:dyDescent="0.25">
      <c r="A36844" s="74">
        <v>41636</v>
      </c>
      <c r="B36844">
        <v>5.61</v>
      </c>
    </row>
    <row r="36845" spans="1:2" x14ac:dyDescent="0.25">
      <c r="A36845" s="74">
        <v>41637</v>
      </c>
      <c r="B36845">
        <v>5</v>
      </c>
    </row>
    <row r="36846" spans="1:2" x14ac:dyDescent="0.25">
      <c r="A36846" s="74">
        <v>41638</v>
      </c>
      <c r="B36846">
        <v>4.6500000000000004</v>
      </c>
    </row>
    <row r="36847" spans="1:2" x14ac:dyDescent="0.25">
      <c r="A36847" s="74">
        <v>41639</v>
      </c>
      <c r="B36847">
        <v>4.37</v>
      </c>
    </row>
    <row r="36848" spans="1:2" x14ac:dyDescent="0.25">
      <c r="A36848" s="74">
        <v>40544</v>
      </c>
      <c r="B36848">
        <v>1.401</v>
      </c>
    </row>
    <row r="36849" spans="1:2" x14ac:dyDescent="0.25">
      <c r="A36849" s="74">
        <v>40545</v>
      </c>
      <c r="B36849">
        <v>1.3740000000000001</v>
      </c>
    </row>
    <row r="36850" spans="1:2" x14ac:dyDescent="0.25">
      <c r="A36850" s="74">
        <v>40546</v>
      </c>
      <c r="B36850">
        <v>1.349</v>
      </c>
    </row>
    <row r="36851" spans="1:2" x14ac:dyDescent="0.25">
      <c r="A36851" s="74">
        <v>40547</v>
      </c>
      <c r="B36851">
        <v>1.331</v>
      </c>
    </row>
    <row r="36852" spans="1:2" x14ac:dyDescent="0.25">
      <c r="A36852" s="74">
        <v>40548</v>
      </c>
      <c r="B36852">
        <v>1.325</v>
      </c>
    </row>
    <row r="36853" spans="1:2" x14ac:dyDescent="0.25">
      <c r="A36853" s="74">
        <v>40549</v>
      </c>
      <c r="B36853">
        <v>1.4179999999999999</v>
      </c>
    </row>
    <row r="36854" spans="1:2" x14ac:dyDescent="0.25">
      <c r="A36854" s="74">
        <v>40550</v>
      </c>
      <c r="B36854">
        <v>1.956</v>
      </c>
    </row>
    <row r="36855" spans="1:2" x14ac:dyDescent="0.25">
      <c r="A36855" s="74">
        <v>40551</v>
      </c>
      <c r="B36855">
        <v>1.8089999999999999</v>
      </c>
    </row>
    <row r="36856" spans="1:2" x14ac:dyDescent="0.25">
      <c r="A36856" s="74">
        <v>40552</v>
      </c>
      <c r="B36856">
        <v>1.607</v>
      </c>
    </row>
    <row r="36857" spans="1:2" x14ac:dyDescent="0.25">
      <c r="A36857" s="74">
        <v>40553</v>
      </c>
      <c r="B36857">
        <v>1.5009999999999999</v>
      </c>
    </row>
    <row r="36858" spans="1:2" x14ac:dyDescent="0.25">
      <c r="A36858" s="74">
        <v>40554</v>
      </c>
      <c r="B36858">
        <v>1.446</v>
      </c>
    </row>
    <row r="36859" spans="1:2" x14ac:dyDescent="0.25">
      <c r="A36859" s="74">
        <v>40555</v>
      </c>
      <c r="B36859">
        <v>1.4350000000000001</v>
      </c>
    </row>
    <row r="36860" spans="1:2" x14ac:dyDescent="0.25">
      <c r="A36860" s="74">
        <v>40556</v>
      </c>
      <c r="B36860">
        <v>1.498</v>
      </c>
    </row>
    <row r="36861" spans="1:2" x14ac:dyDescent="0.25">
      <c r="A36861" s="74">
        <v>40557</v>
      </c>
      <c r="B36861">
        <v>1.819</v>
      </c>
    </row>
    <row r="36862" spans="1:2" x14ac:dyDescent="0.25">
      <c r="A36862" s="74">
        <v>40558</v>
      </c>
      <c r="B36862">
        <v>2.173</v>
      </c>
    </row>
    <row r="36863" spans="1:2" x14ac:dyDescent="0.25">
      <c r="A36863" s="74">
        <v>40559</v>
      </c>
      <c r="B36863">
        <v>2.145</v>
      </c>
    </row>
    <row r="36864" spans="1:2" x14ac:dyDescent="0.25">
      <c r="A36864" s="74">
        <v>40560</v>
      </c>
      <c r="B36864">
        <v>2.0710000000000002</v>
      </c>
    </row>
    <row r="36865" spans="1:2" x14ac:dyDescent="0.25">
      <c r="A36865" s="74">
        <v>40561</v>
      </c>
      <c r="B36865">
        <v>1.7829999999999999</v>
      </c>
    </row>
    <row r="36866" spans="1:2" x14ac:dyDescent="0.25">
      <c r="A36866" s="74">
        <v>40562</v>
      </c>
      <c r="B36866">
        <v>1.619</v>
      </c>
    </row>
    <row r="36867" spans="1:2" x14ac:dyDescent="0.25">
      <c r="A36867" s="74">
        <v>40563</v>
      </c>
      <c r="B36867">
        <v>1.524</v>
      </c>
    </row>
    <row r="36868" spans="1:2" x14ac:dyDescent="0.25">
      <c r="A36868" s="74">
        <v>40564</v>
      </c>
      <c r="B36868">
        <v>1.482</v>
      </c>
    </row>
    <row r="36869" spans="1:2" x14ac:dyDescent="0.25">
      <c r="A36869" s="74">
        <v>40565</v>
      </c>
      <c r="B36869">
        <v>1.456</v>
      </c>
    </row>
    <row r="36870" spans="1:2" x14ac:dyDescent="0.25">
      <c r="A36870" s="74">
        <v>40566</v>
      </c>
      <c r="B36870">
        <v>1.4319999999999999</v>
      </c>
    </row>
    <row r="36871" spans="1:2" x14ac:dyDescent="0.25">
      <c r="A36871" s="74">
        <v>40567</v>
      </c>
      <c r="B36871">
        <v>1.429</v>
      </c>
    </row>
    <row r="36872" spans="1:2" x14ac:dyDescent="0.25">
      <c r="A36872" s="74">
        <v>40568</v>
      </c>
      <c r="B36872">
        <v>1.466</v>
      </c>
    </row>
    <row r="36873" spans="1:2" x14ac:dyDescent="0.25">
      <c r="A36873" s="74">
        <v>40569</v>
      </c>
      <c r="B36873">
        <v>1.454</v>
      </c>
    </row>
    <row r="36874" spans="1:2" x14ac:dyDescent="0.25">
      <c r="A36874" s="74">
        <v>40570</v>
      </c>
      <c r="B36874">
        <v>1.446</v>
      </c>
    </row>
    <row r="36875" spans="1:2" x14ac:dyDescent="0.25">
      <c r="A36875" s="74">
        <v>40571</v>
      </c>
      <c r="B36875">
        <v>1.4390000000000001</v>
      </c>
    </row>
    <row r="36876" spans="1:2" x14ac:dyDescent="0.25">
      <c r="A36876" s="74">
        <v>40572</v>
      </c>
      <c r="B36876">
        <v>1.4530000000000001</v>
      </c>
    </row>
    <row r="36877" spans="1:2" x14ac:dyDescent="0.25">
      <c r="A36877" s="74">
        <v>40573</v>
      </c>
      <c r="B36877">
        <v>1.4510000000000001</v>
      </c>
    </row>
    <row r="36878" spans="1:2" x14ac:dyDescent="0.25">
      <c r="A36878" s="74">
        <v>40574</v>
      </c>
      <c r="B36878">
        <v>1.419</v>
      </c>
    </row>
    <row r="36879" spans="1:2" x14ac:dyDescent="0.25">
      <c r="A36879" s="74">
        <v>40575</v>
      </c>
      <c r="B36879">
        <v>1.389</v>
      </c>
    </row>
    <row r="36880" spans="1:2" x14ac:dyDescent="0.25">
      <c r="A36880" s="74">
        <v>40576</v>
      </c>
      <c r="B36880">
        <v>1.3660000000000001</v>
      </c>
    </row>
    <row r="36881" spans="1:2" x14ac:dyDescent="0.25">
      <c r="A36881" s="74">
        <v>40577</v>
      </c>
      <c r="B36881">
        <v>1.36</v>
      </c>
    </row>
    <row r="36882" spans="1:2" x14ac:dyDescent="0.25">
      <c r="A36882" s="74">
        <v>40578</v>
      </c>
      <c r="B36882">
        <v>1.5609999999999999</v>
      </c>
    </row>
    <row r="36883" spans="1:2" x14ac:dyDescent="0.25">
      <c r="A36883" s="74">
        <v>40579</v>
      </c>
      <c r="B36883">
        <v>1.573</v>
      </c>
    </row>
    <row r="36884" spans="1:2" x14ac:dyDescent="0.25">
      <c r="A36884" s="74">
        <v>40580</v>
      </c>
      <c r="B36884">
        <v>1.494</v>
      </c>
    </row>
    <row r="36885" spans="1:2" x14ac:dyDescent="0.25">
      <c r="A36885" s="74">
        <v>40581</v>
      </c>
      <c r="B36885">
        <v>1.4830000000000001</v>
      </c>
    </row>
    <row r="36886" spans="1:2" x14ac:dyDescent="0.25">
      <c r="A36886" s="74">
        <v>40582</v>
      </c>
      <c r="B36886">
        <v>1.4419999999999999</v>
      </c>
    </row>
    <row r="36887" spans="1:2" x14ac:dyDescent="0.25">
      <c r="A36887" s="74">
        <v>40583</v>
      </c>
      <c r="B36887">
        <v>1.407</v>
      </c>
    </row>
    <row r="36888" spans="1:2" x14ac:dyDescent="0.25">
      <c r="A36888" s="74">
        <v>40584</v>
      </c>
      <c r="B36888">
        <v>1.379</v>
      </c>
    </row>
    <row r="36889" spans="1:2" x14ac:dyDescent="0.25">
      <c r="A36889" s="74">
        <v>40585</v>
      </c>
      <c r="B36889">
        <v>1.359</v>
      </c>
    </row>
    <row r="36890" spans="1:2" x14ac:dyDescent="0.25">
      <c r="A36890" s="74">
        <v>40586</v>
      </c>
      <c r="B36890">
        <v>1.696</v>
      </c>
    </row>
    <row r="36891" spans="1:2" x14ac:dyDescent="0.25">
      <c r="A36891" s="74">
        <v>40587</v>
      </c>
      <c r="B36891">
        <v>1.956</v>
      </c>
    </row>
    <row r="36892" spans="1:2" x14ac:dyDescent="0.25">
      <c r="A36892" s="74">
        <v>40588</v>
      </c>
      <c r="B36892">
        <v>1.931</v>
      </c>
    </row>
    <row r="36893" spans="1:2" x14ac:dyDescent="0.25">
      <c r="A36893" s="74">
        <v>40589</v>
      </c>
      <c r="B36893">
        <v>1.98</v>
      </c>
    </row>
    <row r="36894" spans="1:2" x14ac:dyDescent="0.25">
      <c r="A36894" s="74">
        <v>40590</v>
      </c>
      <c r="B36894">
        <v>1.76</v>
      </c>
    </row>
    <row r="36895" spans="1:2" x14ac:dyDescent="0.25">
      <c r="A36895" s="74">
        <v>40591</v>
      </c>
      <c r="B36895">
        <v>1.615</v>
      </c>
    </row>
    <row r="36896" spans="1:2" x14ac:dyDescent="0.25">
      <c r="A36896" s="74">
        <v>40592</v>
      </c>
      <c r="B36896">
        <v>1.522</v>
      </c>
    </row>
    <row r="36897" spans="1:2" x14ac:dyDescent="0.25">
      <c r="A36897" s="74">
        <v>40593</v>
      </c>
      <c r="B36897">
        <v>1.4590000000000001</v>
      </c>
    </row>
    <row r="36898" spans="1:2" x14ac:dyDescent="0.25">
      <c r="A36898" s="74">
        <v>40594</v>
      </c>
      <c r="B36898">
        <v>1.4159999999999999</v>
      </c>
    </row>
    <row r="36899" spans="1:2" x14ac:dyDescent="0.25">
      <c r="A36899" s="74">
        <v>40595</v>
      </c>
      <c r="B36899">
        <v>1.3879999999999999</v>
      </c>
    </row>
    <row r="36900" spans="1:2" x14ac:dyDescent="0.25">
      <c r="A36900" s="74">
        <v>40596</v>
      </c>
      <c r="B36900">
        <v>1.367</v>
      </c>
    </row>
    <row r="36901" spans="1:2" x14ac:dyDescent="0.25">
      <c r="A36901" s="74">
        <v>40597</v>
      </c>
      <c r="B36901">
        <v>1.3480000000000001</v>
      </c>
    </row>
    <row r="36902" spans="1:2" x14ac:dyDescent="0.25">
      <c r="A36902" s="74">
        <v>40598</v>
      </c>
      <c r="B36902">
        <v>1.329</v>
      </c>
    </row>
    <row r="36903" spans="1:2" x14ac:dyDescent="0.25">
      <c r="A36903" s="74">
        <v>40599</v>
      </c>
      <c r="B36903">
        <v>1.3080000000000001</v>
      </c>
    </row>
    <row r="36904" spans="1:2" x14ac:dyDescent="0.25">
      <c r="A36904" s="74">
        <v>40600</v>
      </c>
      <c r="B36904">
        <v>1.296</v>
      </c>
    </row>
    <row r="36905" spans="1:2" x14ac:dyDescent="0.25">
      <c r="A36905" s="74">
        <v>40601</v>
      </c>
      <c r="B36905">
        <v>1.2929999999999999</v>
      </c>
    </row>
    <row r="36906" spans="1:2" x14ac:dyDescent="0.25">
      <c r="A36906" s="74">
        <v>40602</v>
      </c>
      <c r="B36906">
        <v>1.304</v>
      </c>
    </row>
    <row r="36907" spans="1:2" x14ac:dyDescent="0.25">
      <c r="A36907" s="74">
        <v>40603</v>
      </c>
      <c r="B36907">
        <v>1.292</v>
      </c>
    </row>
    <row r="36908" spans="1:2" x14ac:dyDescent="0.25">
      <c r="A36908" s="74">
        <v>40604</v>
      </c>
      <c r="B36908">
        <v>1.359</v>
      </c>
    </row>
    <row r="36909" spans="1:2" x14ac:dyDescent="0.25">
      <c r="A36909" s="74">
        <v>40605</v>
      </c>
      <c r="B36909">
        <v>1.4390000000000001</v>
      </c>
    </row>
    <row r="36910" spans="1:2" x14ac:dyDescent="0.25">
      <c r="A36910" s="74">
        <v>40606</v>
      </c>
      <c r="B36910">
        <v>1.4159999999999999</v>
      </c>
    </row>
    <row r="36911" spans="1:2" x14ac:dyDescent="0.25">
      <c r="A36911" s="74">
        <v>40607</v>
      </c>
      <c r="B36911">
        <v>1.4039999999999999</v>
      </c>
    </row>
    <row r="36912" spans="1:2" x14ac:dyDescent="0.25">
      <c r="A36912" s="74">
        <v>40608</v>
      </c>
      <c r="B36912">
        <v>1.383</v>
      </c>
    </row>
    <row r="36913" spans="1:2" x14ac:dyDescent="0.25">
      <c r="A36913" s="74">
        <v>40609</v>
      </c>
      <c r="B36913">
        <v>1.36</v>
      </c>
    </row>
    <row r="36914" spans="1:2" x14ac:dyDescent="0.25">
      <c r="A36914" s="74">
        <v>40610</v>
      </c>
      <c r="B36914">
        <v>1.347</v>
      </c>
    </row>
    <row r="36915" spans="1:2" x14ac:dyDescent="0.25">
      <c r="A36915" s="74">
        <v>40611</v>
      </c>
      <c r="B36915">
        <v>1.47</v>
      </c>
    </row>
    <row r="36916" spans="1:2" x14ac:dyDescent="0.25">
      <c r="A36916" s="74">
        <v>40612</v>
      </c>
      <c r="B36916">
        <v>1.8839999999999999</v>
      </c>
    </row>
    <row r="36917" spans="1:2" x14ac:dyDescent="0.25">
      <c r="A36917" s="74">
        <v>40613</v>
      </c>
      <c r="B36917">
        <v>1.865</v>
      </c>
    </row>
    <row r="36918" spans="1:2" x14ac:dyDescent="0.25">
      <c r="A36918" s="74">
        <v>40614</v>
      </c>
      <c r="B36918">
        <v>1.893</v>
      </c>
    </row>
    <row r="36919" spans="1:2" x14ac:dyDescent="0.25">
      <c r="A36919" s="74">
        <v>40615</v>
      </c>
      <c r="B36919">
        <v>1.9990000000000001</v>
      </c>
    </row>
    <row r="36920" spans="1:2" x14ac:dyDescent="0.25">
      <c r="A36920" s="74">
        <v>40616</v>
      </c>
      <c r="B36920">
        <v>2.4390000000000001</v>
      </c>
    </row>
    <row r="36921" spans="1:2" x14ac:dyDescent="0.25">
      <c r="A36921" s="74">
        <v>40617</v>
      </c>
      <c r="B36921">
        <v>2.3250000000000002</v>
      </c>
    </row>
    <row r="36922" spans="1:2" x14ac:dyDescent="0.25">
      <c r="A36922" s="74">
        <v>40618</v>
      </c>
      <c r="B36922">
        <v>2.1139999999999999</v>
      </c>
    </row>
    <row r="36923" spans="1:2" x14ac:dyDescent="0.25">
      <c r="A36923" s="74">
        <v>40619</v>
      </c>
      <c r="B36923">
        <v>1.786</v>
      </c>
    </row>
    <row r="36924" spans="1:2" x14ac:dyDescent="0.25">
      <c r="A36924" s="74">
        <v>40620</v>
      </c>
      <c r="B36924">
        <v>1.6060000000000001</v>
      </c>
    </row>
    <row r="36925" spans="1:2" x14ac:dyDescent="0.25">
      <c r="A36925" s="74">
        <v>40621</v>
      </c>
      <c r="B36925">
        <v>1.534</v>
      </c>
    </row>
    <row r="36926" spans="1:2" x14ac:dyDescent="0.25">
      <c r="A36926" s="74">
        <v>40622</v>
      </c>
      <c r="B36926">
        <v>1.4870000000000001</v>
      </c>
    </row>
    <row r="36927" spans="1:2" x14ac:dyDescent="0.25">
      <c r="A36927" s="74">
        <v>40623</v>
      </c>
      <c r="B36927">
        <v>1.4510000000000001</v>
      </c>
    </row>
    <row r="36928" spans="1:2" x14ac:dyDescent="0.25">
      <c r="A36928" s="74">
        <v>40624</v>
      </c>
      <c r="B36928">
        <v>1.43</v>
      </c>
    </row>
    <row r="36929" spans="1:2" x14ac:dyDescent="0.25">
      <c r="A36929" s="74">
        <v>40625</v>
      </c>
      <c r="B36929">
        <v>1.409</v>
      </c>
    </row>
    <row r="36930" spans="1:2" x14ac:dyDescent="0.25">
      <c r="A36930" s="74">
        <v>40626</v>
      </c>
      <c r="B36930">
        <v>1.391</v>
      </c>
    </row>
    <row r="36931" spans="1:2" x14ac:dyDescent="0.25">
      <c r="A36931" s="74">
        <v>40627</v>
      </c>
      <c r="B36931">
        <v>1.379</v>
      </c>
    </row>
    <row r="36932" spans="1:2" x14ac:dyDescent="0.25">
      <c r="A36932" s="74">
        <v>40628</v>
      </c>
      <c r="B36932">
        <v>1.385</v>
      </c>
    </row>
    <row r="36933" spans="1:2" x14ac:dyDescent="0.25">
      <c r="A36933" s="74">
        <v>40629</v>
      </c>
      <c r="B36933">
        <v>1.383</v>
      </c>
    </row>
    <row r="36934" spans="1:2" x14ac:dyDescent="0.25">
      <c r="A36934" s="74">
        <v>40630</v>
      </c>
      <c r="B36934">
        <v>1.3740000000000001</v>
      </c>
    </row>
    <row r="36935" spans="1:2" x14ac:dyDescent="0.25">
      <c r="A36935" s="74">
        <v>40631</v>
      </c>
      <c r="B36935">
        <v>1.3939999999999999</v>
      </c>
    </row>
    <row r="36936" spans="1:2" x14ac:dyDescent="0.25">
      <c r="A36936" s="74">
        <v>40632</v>
      </c>
      <c r="B36936">
        <v>1.4239999999999999</v>
      </c>
    </row>
    <row r="36937" spans="1:2" x14ac:dyDescent="0.25">
      <c r="A36937" s="74">
        <v>40633</v>
      </c>
      <c r="B36937">
        <v>1.57</v>
      </c>
    </row>
    <row r="36938" spans="1:2" x14ac:dyDescent="0.25">
      <c r="A36938" s="74">
        <v>40634</v>
      </c>
      <c r="B36938">
        <v>1.58</v>
      </c>
    </row>
    <row r="36939" spans="1:2" x14ac:dyDescent="0.25">
      <c r="A36939" s="74">
        <v>40635</v>
      </c>
      <c r="B36939">
        <v>1.494</v>
      </c>
    </row>
    <row r="36940" spans="1:2" x14ac:dyDescent="0.25">
      <c r="A36940" s="74">
        <v>40636</v>
      </c>
      <c r="B36940">
        <v>1.4359999999999999</v>
      </c>
    </row>
    <row r="36941" spans="1:2" x14ac:dyDescent="0.25">
      <c r="A36941" s="74">
        <v>40637</v>
      </c>
      <c r="B36941">
        <v>1.403</v>
      </c>
    </row>
    <row r="36942" spans="1:2" x14ac:dyDescent="0.25">
      <c r="A36942" s="74">
        <v>40638</v>
      </c>
      <c r="B36942">
        <v>1.401</v>
      </c>
    </row>
    <row r="36943" spans="1:2" x14ac:dyDescent="0.25">
      <c r="A36943" s="74">
        <v>40639</v>
      </c>
      <c r="B36943">
        <v>1.39</v>
      </c>
    </row>
    <row r="36944" spans="1:2" x14ac:dyDescent="0.25">
      <c r="A36944" s="74">
        <v>40640</v>
      </c>
      <c r="B36944">
        <v>1.3640000000000001</v>
      </c>
    </row>
    <row r="36945" spans="1:2" x14ac:dyDescent="0.25">
      <c r="A36945" s="74">
        <v>40641</v>
      </c>
      <c r="B36945">
        <v>1.34</v>
      </c>
    </row>
    <row r="36946" spans="1:2" x14ac:dyDescent="0.25">
      <c r="A36946" s="74">
        <v>40642</v>
      </c>
      <c r="B36946">
        <v>1.3260000000000001</v>
      </c>
    </row>
    <row r="36947" spans="1:2" x14ac:dyDescent="0.25">
      <c r="A36947" s="74">
        <v>40643</v>
      </c>
      <c r="B36947">
        <v>1.367</v>
      </c>
    </row>
    <row r="36948" spans="1:2" x14ac:dyDescent="0.25">
      <c r="A36948" s="74">
        <v>40644</v>
      </c>
      <c r="B36948">
        <v>1.6080000000000001</v>
      </c>
    </row>
    <row r="36949" spans="1:2" x14ac:dyDescent="0.25">
      <c r="A36949" s="74">
        <v>40645</v>
      </c>
      <c r="B36949">
        <v>1.4810000000000001</v>
      </c>
    </row>
    <row r="36950" spans="1:2" x14ac:dyDescent="0.25">
      <c r="A36950" s="74">
        <v>40646</v>
      </c>
      <c r="B36950">
        <v>1.42</v>
      </c>
    </row>
    <row r="36951" spans="1:2" x14ac:dyDescent="0.25">
      <c r="A36951" s="74">
        <v>40647</v>
      </c>
      <c r="B36951">
        <v>1.3939999999999999</v>
      </c>
    </row>
    <row r="36952" spans="1:2" x14ac:dyDescent="0.25">
      <c r="A36952" s="74">
        <v>40648</v>
      </c>
      <c r="B36952">
        <v>1.369</v>
      </c>
    </row>
    <row r="36953" spans="1:2" x14ac:dyDescent="0.25">
      <c r="A36953" s="74">
        <v>40649</v>
      </c>
      <c r="B36953">
        <v>1.3460000000000001</v>
      </c>
    </row>
    <row r="36954" spans="1:2" x14ac:dyDescent="0.25">
      <c r="A36954" s="74">
        <v>40650</v>
      </c>
      <c r="B36954">
        <v>1.3260000000000001</v>
      </c>
    </row>
    <row r="36955" spans="1:2" x14ac:dyDescent="0.25">
      <c r="A36955" s="74">
        <v>40651</v>
      </c>
      <c r="B36955">
        <v>1.31</v>
      </c>
    </row>
    <row r="36956" spans="1:2" x14ac:dyDescent="0.25">
      <c r="A36956" s="74">
        <v>40652</v>
      </c>
      <c r="B36956">
        <v>1.298</v>
      </c>
    </row>
    <row r="36957" spans="1:2" x14ac:dyDescent="0.25">
      <c r="A36957" s="74">
        <v>40653</v>
      </c>
      <c r="B36957">
        <v>1.2909999999999999</v>
      </c>
    </row>
    <row r="36958" spans="1:2" x14ac:dyDescent="0.25">
      <c r="A36958" s="74">
        <v>40654</v>
      </c>
      <c r="B36958">
        <v>1.29</v>
      </c>
    </row>
    <row r="36959" spans="1:2" x14ac:dyDescent="0.25">
      <c r="A36959" s="74">
        <v>40655</v>
      </c>
      <c r="B36959">
        <v>1.28</v>
      </c>
    </row>
    <row r="36960" spans="1:2" x14ac:dyDescent="0.25">
      <c r="A36960" s="74">
        <v>40656</v>
      </c>
      <c r="B36960">
        <v>1.282</v>
      </c>
    </row>
    <row r="36961" spans="1:2" x14ac:dyDescent="0.25">
      <c r="A36961" s="74">
        <v>40657</v>
      </c>
      <c r="B36961">
        <v>1.298</v>
      </c>
    </row>
    <row r="36962" spans="1:2" x14ac:dyDescent="0.25">
      <c r="A36962" s="74">
        <v>40658</v>
      </c>
      <c r="B36962">
        <v>1.3220000000000001</v>
      </c>
    </row>
    <row r="36963" spans="1:2" x14ac:dyDescent="0.25">
      <c r="A36963" s="74">
        <v>40659</v>
      </c>
      <c r="B36963">
        <v>1.349</v>
      </c>
    </row>
    <row r="36964" spans="1:2" x14ac:dyDescent="0.25">
      <c r="A36964" s="74">
        <v>40660</v>
      </c>
      <c r="B36964">
        <v>1.373</v>
      </c>
    </row>
    <row r="36965" spans="1:2" x14ac:dyDescent="0.25">
      <c r="A36965" s="74">
        <v>40661</v>
      </c>
      <c r="B36965">
        <v>1.3879999999999999</v>
      </c>
    </row>
    <row r="36966" spans="1:2" x14ac:dyDescent="0.25">
      <c r="A36966" s="74">
        <v>40662</v>
      </c>
      <c r="B36966">
        <v>1.3660000000000001</v>
      </c>
    </row>
    <row r="36967" spans="1:2" x14ac:dyDescent="0.25">
      <c r="A36967" s="74">
        <v>40663</v>
      </c>
      <c r="B36967">
        <v>1.353</v>
      </c>
    </row>
    <row r="36968" spans="1:2" x14ac:dyDescent="0.25">
      <c r="A36968" s="74">
        <v>40664</v>
      </c>
      <c r="B36968">
        <v>1.35</v>
      </c>
    </row>
    <row r="36969" spans="1:2" x14ac:dyDescent="0.25">
      <c r="A36969" s="74">
        <v>40665</v>
      </c>
      <c r="B36969">
        <v>1.381</v>
      </c>
    </row>
    <row r="36970" spans="1:2" x14ac:dyDescent="0.25">
      <c r="A36970" s="74">
        <v>40666</v>
      </c>
      <c r="B36970">
        <v>1.407</v>
      </c>
    </row>
    <row r="36971" spans="1:2" x14ac:dyDescent="0.25">
      <c r="A36971" s="74">
        <v>40667</v>
      </c>
      <c r="B36971">
        <v>1.39</v>
      </c>
    </row>
    <row r="36972" spans="1:2" x14ac:dyDescent="0.25">
      <c r="A36972" s="74">
        <v>40668</v>
      </c>
      <c r="B36972">
        <v>1.405</v>
      </c>
    </row>
    <row r="36973" spans="1:2" x14ac:dyDescent="0.25">
      <c r="A36973" s="74">
        <v>40669</v>
      </c>
      <c r="B36973">
        <v>1.4279999999999999</v>
      </c>
    </row>
    <row r="36974" spans="1:2" x14ac:dyDescent="0.25">
      <c r="A36974" s="74">
        <v>40670</v>
      </c>
      <c r="B36974">
        <v>1.429</v>
      </c>
    </row>
    <row r="36975" spans="1:2" x14ac:dyDescent="0.25">
      <c r="A36975" s="74">
        <v>40671</v>
      </c>
      <c r="B36975">
        <v>1.423</v>
      </c>
    </row>
    <row r="36976" spans="1:2" x14ac:dyDescent="0.25">
      <c r="A36976" s="74">
        <v>40672</v>
      </c>
      <c r="B36976">
        <v>1.4139999999999999</v>
      </c>
    </row>
    <row r="36977" spans="1:2" x14ac:dyDescent="0.25">
      <c r="A36977" s="74">
        <v>40673</v>
      </c>
      <c r="B36977">
        <v>1.448</v>
      </c>
    </row>
    <row r="36978" spans="1:2" x14ac:dyDescent="0.25">
      <c r="A36978" s="74">
        <v>40674</v>
      </c>
      <c r="B36978">
        <v>1.484</v>
      </c>
    </row>
    <row r="36979" spans="1:2" x14ac:dyDescent="0.25">
      <c r="A36979" s="74">
        <v>40675</v>
      </c>
      <c r="B36979">
        <v>1.482</v>
      </c>
    </row>
    <row r="36980" spans="1:2" x14ac:dyDescent="0.25">
      <c r="A36980" s="74">
        <v>40676</v>
      </c>
      <c r="B36980">
        <v>1.4379999999999999</v>
      </c>
    </row>
    <row r="36981" spans="1:2" x14ac:dyDescent="0.25">
      <c r="A36981" s="74">
        <v>40677</v>
      </c>
      <c r="B36981">
        <v>1.4259999999999999</v>
      </c>
    </row>
    <row r="36982" spans="1:2" x14ac:dyDescent="0.25">
      <c r="A36982" s="74">
        <v>40678</v>
      </c>
      <c r="B36982">
        <v>1.7350000000000001</v>
      </c>
    </row>
    <row r="36983" spans="1:2" x14ac:dyDescent="0.25">
      <c r="A36983" s="74">
        <v>40679</v>
      </c>
      <c r="B36983">
        <v>1.786</v>
      </c>
    </row>
    <row r="36984" spans="1:2" x14ac:dyDescent="0.25">
      <c r="A36984" s="74">
        <v>40680</v>
      </c>
      <c r="B36984">
        <v>1.6140000000000001</v>
      </c>
    </row>
    <row r="36985" spans="1:2" x14ac:dyDescent="0.25">
      <c r="A36985" s="74">
        <v>40681</v>
      </c>
      <c r="B36985">
        <v>1.516</v>
      </c>
    </row>
    <row r="36986" spans="1:2" x14ac:dyDescent="0.25">
      <c r="A36986" s="74">
        <v>40682</v>
      </c>
      <c r="B36986">
        <v>1.484</v>
      </c>
    </row>
    <row r="36987" spans="1:2" x14ac:dyDescent="0.25">
      <c r="A36987" s="74">
        <v>40683</v>
      </c>
      <c r="B36987">
        <v>1.4950000000000001</v>
      </c>
    </row>
    <row r="36988" spans="1:2" x14ac:dyDescent="0.25">
      <c r="A36988" s="74">
        <v>40684</v>
      </c>
      <c r="B36988">
        <v>1.536</v>
      </c>
    </row>
    <row r="36989" spans="1:2" x14ac:dyDescent="0.25">
      <c r="A36989" s="74">
        <v>40685</v>
      </c>
      <c r="B36989">
        <v>1.5089999999999999</v>
      </c>
    </row>
    <row r="36990" spans="1:2" x14ac:dyDescent="0.25">
      <c r="A36990" s="74">
        <v>40686</v>
      </c>
      <c r="B36990">
        <v>1.47</v>
      </c>
    </row>
    <row r="36991" spans="1:2" x14ac:dyDescent="0.25">
      <c r="A36991" s="74">
        <v>40687</v>
      </c>
      <c r="B36991">
        <v>1.4730000000000001</v>
      </c>
    </row>
    <row r="36992" spans="1:2" x14ac:dyDescent="0.25">
      <c r="A36992" s="74">
        <v>40688</v>
      </c>
      <c r="B36992">
        <v>1.462</v>
      </c>
    </row>
    <row r="36993" spans="1:2" x14ac:dyDescent="0.25">
      <c r="A36993" s="74">
        <v>40689</v>
      </c>
      <c r="B36993">
        <v>1.506</v>
      </c>
    </row>
    <row r="36994" spans="1:2" x14ac:dyDescent="0.25">
      <c r="A36994" s="74">
        <v>40690</v>
      </c>
      <c r="B36994">
        <v>1.474</v>
      </c>
    </row>
    <row r="36995" spans="1:2" x14ac:dyDescent="0.25">
      <c r="A36995" s="74">
        <v>40691</v>
      </c>
      <c r="B36995">
        <v>1.4530000000000001</v>
      </c>
    </row>
    <row r="36996" spans="1:2" x14ac:dyDescent="0.25">
      <c r="A36996" s="74">
        <v>40692</v>
      </c>
      <c r="B36996">
        <v>1.4339999999999999</v>
      </c>
    </row>
    <row r="36997" spans="1:2" x14ac:dyDescent="0.25">
      <c r="A36997" s="74">
        <v>40693</v>
      </c>
      <c r="B36997">
        <v>1.474</v>
      </c>
    </row>
    <row r="36998" spans="1:2" x14ac:dyDescent="0.25">
      <c r="A36998" s="74">
        <v>40694</v>
      </c>
      <c r="B36998">
        <v>1.4450000000000001</v>
      </c>
    </row>
    <row r="36999" spans="1:2" x14ac:dyDescent="0.25">
      <c r="A36999" s="74">
        <v>40695</v>
      </c>
      <c r="B36999">
        <v>1.4730000000000001</v>
      </c>
    </row>
    <row r="37000" spans="1:2" x14ac:dyDescent="0.25">
      <c r="A37000" s="74">
        <v>40696</v>
      </c>
      <c r="B37000">
        <v>1.52</v>
      </c>
    </row>
    <row r="37001" spans="1:2" x14ac:dyDescent="0.25">
      <c r="A37001" s="74">
        <v>40697</v>
      </c>
      <c r="B37001">
        <v>1.498</v>
      </c>
    </row>
    <row r="37002" spans="1:2" x14ac:dyDescent="0.25">
      <c r="A37002" s="74">
        <v>40698</v>
      </c>
      <c r="B37002">
        <v>1.462</v>
      </c>
    </row>
    <row r="37003" spans="1:2" x14ac:dyDescent="0.25">
      <c r="A37003" s="74">
        <v>40699</v>
      </c>
      <c r="B37003">
        <v>1.5089999999999999</v>
      </c>
    </row>
    <row r="37004" spans="1:2" x14ac:dyDescent="0.25">
      <c r="A37004" s="74">
        <v>40700</v>
      </c>
      <c r="B37004">
        <v>1.5409999999999999</v>
      </c>
    </row>
    <row r="37005" spans="1:2" x14ac:dyDescent="0.25">
      <c r="A37005" s="74">
        <v>40701</v>
      </c>
      <c r="B37005">
        <v>1.542</v>
      </c>
    </row>
    <row r="37006" spans="1:2" x14ac:dyDescent="0.25">
      <c r="A37006" s="74">
        <v>40702</v>
      </c>
      <c r="B37006">
        <v>1.486</v>
      </c>
    </row>
    <row r="37007" spans="1:2" x14ac:dyDescent="0.25">
      <c r="A37007" s="74">
        <v>40703</v>
      </c>
      <c r="B37007">
        <v>1.5029999999999999</v>
      </c>
    </row>
    <row r="37008" spans="1:2" x14ac:dyDescent="0.25">
      <c r="A37008" s="74">
        <v>40704</v>
      </c>
      <c r="B37008">
        <v>1.4610000000000001</v>
      </c>
    </row>
    <row r="37009" spans="1:2" x14ac:dyDescent="0.25">
      <c r="A37009" s="74">
        <v>40705</v>
      </c>
      <c r="B37009">
        <v>1.4350000000000001</v>
      </c>
    </row>
    <row r="37010" spans="1:2" x14ac:dyDescent="0.25">
      <c r="A37010" s="74">
        <v>40706</v>
      </c>
      <c r="B37010">
        <v>1.4370000000000001</v>
      </c>
    </row>
    <row r="37011" spans="1:2" x14ac:dyDescent="0.25">
      <c r="A37011" s="74">
        <v>40707</v>
      </c>
      <c r="B37011">
        <v>1.431</v>
      </c>
    </row>
    <row r="37012" spans="1:2" x14ac:dyDescent="0.25">
      <c r="A37012" s="74">
        <v>40708</v>
      </c>
      <c r="B37012">
        <v>1.43</v>
      </c>
    </row>
    <row r="37013" spans="1:2" x14ac:dyDescent="0.25">
      <c r="A37013" s="74">
        <v>40709</v>
      </c>
      <c r="B37013">
        <v>1.3879999999999999</v>
      </c>
    </row>
    <row r="37014" spans="1:2" x14ac:dyDescent="0.25">
      <c r="A37014" s="74">
        <v>40710</v>
      </c>
      <c r="B37014">
        <v>1.367</v>
      </c>
    </row>
    <row r="37015" spans="1:2" x14ac:dyDescent="0.25">
      <c r="A37015" s="74">
        <v>40711</v>
      </c>
      <c r="B37015">
        <v>1.377</v>
      </c>
    </row>
    <row r="37016" spans="1:2" x14ac:dyDescent="0.25">
      <c r="A37016" s="74">
        <v>40712</v>
      </c>
      <c r="B37016">
        <v>1.401</v>
      </c>
    </row>
    <row r="37017" spans="1:2" x14ac:dyDescent="0.25">
      <c r="A37017" s="74">
        <v>40713</v>
      </c>
      <c r="B37017">
        <v>1.399</v>
      </c>
    </row>
    <row r="37018" spans="1:2" x14ac:dyDescent="0.25">
      <c r="A37018" s="74">
        <v>40714</v>
      </c>
      <c r="B37018">
        <v>1.389</v>
      </c>
    </row>
    <row r="37019" spans="1:2" x14ac:dyDescent="0.25">
      <c r="A37019" s="74">
        <v>40715</v>
      </c>
      <c r="B37019">
        <v>1.3859999999999999</v>
      </c>
    </row>
    <row r="37020" spans="1:2" x14ac:dyDescent="0.25">
      <c r="A37020" s="74">
        <v>40716</v>
      </c>
      <c r="B37020">
        <v>1.407</v>
      </c>
    </row>
    <row r="37021" spans="1:2" x14ac:dyDescent="0.25">
      <c r="A37021" s="74">
        <v>40717</v>
      </c>
      <c r="B37021">
        <v>1.4</v>
      </c>
    </row>
    <row r="37022" spans="1:2" x14ac:dyDescent="0.25">
      <c r="A37022" s="74">
        <v>40718</v>
      </c>
      <c r="B37022">
        <v>1.353</v>
      </c>
    </row>
    <row r="37023" spans="1:2" x14ac:dyDescent="0.25">
      <c r="A37023" s="74">
        <v>40719</v>
      </c>
      <c r="B37023">
        <v>1.3420000000000001</v>
      </c>
    </row>
    <row r="37024" spans="1:2" x14ac:dyDescent="0.25">
      <c r="A37024" s="74">
        <v>40720</v>
      </c>
      <c r="B37024">
        <v>1.327</v>
      </c>
    </row>
    <row r="37025" spans="1:2" x14ac:dyDescent="0.25">
      <c r="A37025" s="74">
        <v>40721</v>
      </c>
      <c r="B37025">
        <v>1.3280000000000001</v>
      </c>
    </row>
    <row r="37026" spans="1:2" x14ac:dyDescent="0.25">
      <c r="A37026" s="74">
        <v>40722</v>
      </c>
      <c r="B37026">
        <v>1.3620000000000001</v>
      </c>
    </row>
    <row r="37027" spans="1:2" x14ac:dyDescent="0.25">
      <c r="A37027" s="74">
        <v>40723</v>
      </c>
      <c r="B37027">
        <v>1.389</v>
      </c>
    </row>
    <row r="37028" spans="1:2" x14ac:dyDescent="0.25">
      <c r="A37028" s="74">
        <v>40724</v>
      </c>
      <c r="B37028">
        <v>1.36</v>
      </c>
    </row>
    <row r="37029" spans="1:2" x14ac:dyDescent="0.25">
      <c r="A37029" s="74">
        <v>40725</v>
      </c>
      <c r="B37029">
        <v>1.3120000000000001</v>
      </c>
    </row>
    <row r="37030" spans="1:2" x14ac:dyDescent="0.25">
      <c r="A37030" s="74">
        <v>40726</v>
      </c>
      <c r="B37030">
        <v>1.2889999999999999</v>
      </c>
    </row>
    <row r="37031" spans="1:2" x14ac:dyDescent="0.25">
      <c r="A37031" s="74">
        <v>40727</v>
      </c>
      <c r="B37031">
        <v>1.3149999999999999</v>
      </c>
    </row>
    <row r="37032" spans="1:2" x14ac:dyDescent="0.25">
      <c r="A37032" s="74">
        <v>40728</v>
      </c>
      <c r="B37032">
        <v>1.3140000000000001</v>
      </c>
    </row>
    <row r="37033" spans="1:2" x14ac:dyDescent="0.25">
      <c r="A37033" s="74">
        <v>40729</v>
      </c>
      <c r="B37033">
        <v>1.3009999999999999</v>
      </c>
    </row>
    <row r="37034" spans="1:2" x14ac:dyDescent="0.25">
      <c r="A37034" s="74">
        <v>40730</v>
      </c>
      <c r="B37034">
        <v>1.3180000000000001</v>
      </c>
    </row>
    <row r="37035" spans="1:2" x14ac:dyDescent="0.25">
      <c r="A37035" s="74">
        <v>40731</v>
      </c>
      <c r="B37035">
        <v>1.3340000000000001</v>
      </c>
    </row>
    <row r="37036" spans="1:2" x14ac:dyDescent="0.25">
      <c r="A37036" s="74">
        <v>40732</v>
      </c>
      <c r="B37036">
        <v>1.3</v>
      </c>
    </row>
    <row r="37037" spans="1:2" x14ac:dyDescent="0.25">
      <c r="A37037" s="74">
        <v>40733</v>
      </c>
      <c r="B37037">
        <v>1.2549999999999999</v>
      </c>
    </row>
    <row r="37038" spans="1:2" x14ac:dyDescent="0.25">
      <c r="A37038" s="74">
        <v>40734</v>
      </c>
      <c r="B37038">
        <v>1.2410000000000001</v>
      </c>
    </row>
    <row r="37039" spans="1:2" x14ac:dyDescent="0.25">
      <c r="A37039" s="74">
        <v>40735</v>
      </c>
      <c r="B37039">
        <v>1.25</v>
      </c>
    </row>
    <row r="37040" spans="1:2" x14ac:dyDescent="0.25">
      <c r="A37040" s="74">
        <v>40736</v>
      </c>
      <c r="B37040">
        <v>1.2729999999999999</v>
      </c>
    </row>
    <row r="37041" spans="1:2" x14ac:dyDescent="0.25">
      <c r="A37041" s="74">
        <v>40737</v>
      </c>
      <c r="B37041">
        <v>1.3149999999999999</v>
      </c>
    </row>
    <row r="37042" spans="1:2" x14ac:dyDescent="0.25">
      <c r="A37042" s="74">
        <v>40738</v>
      </c>
      <c r="B37042">
        <v>1.343</v>
      </c>
    </row>
    <row r="37043" spans="1:2" x14ac:dyDescent="0.25">
      <c r="A37043" s="74">
        <v>40739</v>
      </c>
      <c r="B37043">
        <v>1.3089999999999999</v>
      </c>
    </row>
    <row r="37044" spans="1:2" x14ac:dyDescent="0.25">
      <c r="A37044" s="74">
        <v>40740</v>
      </c>
      <c r="B37044">
        <v>1.31</v>
      </c>
    </row>
    <row r="37045" spans="1:2" x14ac:dyDescent="0.25">
      <c r="A37045" s="74">
        <v>40741</v>
      </c>
      <c r="B37045">
        <v>1.3260000000000001</v>
      </c>
    </row>
    <row r="37046" spans="1:2" x14ac:dyDescent="0.25">
      <c r="A37046" s="74">
        <v>40742</v>
      </c>
      <c r="B37046">
        <v>1.288</v>
      </c>
    </row>
    <row r="37047" spans="1:2" x14ac:dyDescent="0.25">
      <c r="A37047" s="74">
        <v>40743</v>
      </c>
      <c r="B37047">
        <v>1.2689999999999999</v>
      </c>
    </row>
    <row r="37048" spans="1:2" x14ac:dyDescent="0.25">
      <c r="A37048" s="74">
        <v>40744</v>
      </c>
      <c r="B37048">
        <v>1.27</v>
      </c>
    </row>
    <row r="37049" spans="1:2" x14ac:dyDescent="0.25">
      <c r="A37049" s="74">
        <v>40745</v>
      </c>
      <c r="B37049">
        <v>1.264</v>
      </c>
    </row>
    <row r="37050" spans="1:2" x14ac:dyDescent="0.25">
      <c r="A37050" s="74">
        <v>40746</v>
      </c>
      <c r="B37050">
        <v>1.2490000000000001</v>
      </c>
    </row>
    <row r="37051" spans="1:2" x14ac:dyDescent="0.25">
      <c r="A37051" s="74">
        <v>40747</v>
      </c>
      <c r="B37051">
        <v>1.226</v>
      </c>
    </row>
    <row r="37052" spans="1:2" x14ac:dyDescent="0.25">
      <c r="A37052" s="74">
        <v>40748</v>
      </c>
      <c r="B37052">
        <v>1.218</v>
      </c>
    </row>
    <row r="37053" spans="1:2" x14ac:dyDescent="0.25">
      <c r="A37053" s="74">
        <v>40749</v>
      </c>
      <c r="B37053">
        <v>1.2350000000000001</v>
      </c>
    </row>
    <row r="37054" spans="1:2" x14ac:dyDescent="0.25">
      <c r="A37054" s="74">
        <v>40750</v>
      </c>
      <c r="B37054">
        <v>1.238</v>
      </c>
    </row>
    <row r="37055" spans="1:2" x14ac:dyDescent="0.25">
      <c r="A37055" s="74">
        <v>40751</v>
      </c>
      <c r="B37055">
        <v>1.2130000000000001</v>
      </c>
    </row>
    <row r="37056" spans="1:2" x14ac:dyDescent="0.25">
      <c r="A37056" s="74">
        <v>40752</v>
      </c>
      <c r="B37056">
        <v>1.2030000000000001</v>
      </c>
    </row>
    <row r="37057" spans="1:2" x14ac:dyDescent="0.25">
      <c r="A37057" s="74">
        <v>40753</v>
      </c>
      <c r="B37057">
        <v>1.2070000000000001</v>
      </c>
    </row>
    <row r="37058" spans="1:2" x14ac:dyDescent="0.25">
      <c r="A37058" s="74">
        <v>40754</v>
      </c>
      <c r="B37058">
        <v>1.202</v>
      </c>
    </row>
    <row r="37059" spans="1:2" x14ac:dyDescent="0.25">
      <c r="A37059" s="74">
        <v>40755</v>
      </c>
      <c r="B37059">
        <v>1.2030000000000001</v>
      </c>
    </row>
    <row r="37060" spans="1:2" x14ac:dyDescent="0.25">
      <c r="A37060" s="74">
        <v>40756</v>
      </c>
      <c r="B37060">
        <v>1.1950000000000001</v>
      </c>
    </row>
    <row r="37061" spans="1:2" x14ac:dyDescent="0.25">
      <c r="A37061" s="74">
        <v>40757</v>
      </c>
      <c r="B37061">
        <v>1.1830000000000001</v>
      </c>
    </row>
    <row r="37062" spans="1:2" x14ac:dyDescent="0.25">
      <c r="A37062" s="74">
        <v>40758</v>
      </c>
      <c r="B37062">
        <v>1.18</v>
      </c>
    </row>
    <row r="37063" spans="1:2" x14ac:dyDescent="0.25">
      <c r="A37063" s="74">
        <v>40759</v>
      </c>
      <c r="B37063">
        <v>1.177</v>
      </c>
    </row>
    <row r="37064" spans="1:2" x14ac:dyDescent="0.25">
      <c r="A37064" s="74">
        <v>40760</v>
      </c>
      <c r="B37064">
        <v>1.1779999999999999</v>
      </c>
    </row>
    <row r="37065" spans="1:2" x14ac:dyDescent="0.25">
      <c r="A37065" s="74">
        <v>40761</v>
      </c>
      <c r="B37065">
        <v>1.1779999999999999</v>
      </c>
    </row>
    <row r="37066" spans="1:2" x14ac:dyDescent="0.25">
      <c r="A37066" s="74">
        <v>40762</v>
      </c>
      <c r="B37066">
        <v>1.173</v>
      </c>
    </row>
    <row r="37067" spans="1:2" x14ac:dyDescent="0.25">
      <c r="A37067" s="74">
        <v>40763</v>
      </c>
      <c r="B37067">
        <v>1.167</v>
      </c>
    </row>
    <row r="37068" spans="1:2" x14ac:dyDescent="0.25">
      <c r="A37068" s="74">
        <v>40764</v>
      </c>
      <c r="B37068">
        <v>1.163</v>
      </c>
    </row>
    <row r="37069" spans="1:2" x14ac:dyDescent="0.25">
      <c r="A37069" s="74">
        <v>40765</v>
      </c>
      <c r="B37069">
        <v>1.155</v>
      </c>
    </row>
    <row r="37070" spans="1:2" x14ac:dyDescent="0.25">
      <c r="A37070" s="74">
        <v>40766</v>
      </c>
      <c r="B37070">
        <v>1.149</v>
      </c>
    </row>
    <row r="37071" spans="1:2" x14ac:dyDescent="0.25">
      <c r="A37071" s="74">
        <v>40767</v>
      </c>
      <c r="B37071">
        <v>1.1479999999999999</v>
      </c>
    </row>
    <row r="37072" spans="1:2" x14ac:dyDescent="0.25">
      <c r="A37072" s="74">
        <v>40768</v>
      </c>
      <c r="B37072">
        <v>1.1459999999999999</v>
      </c>
    </row>
    <row r="37073" spans="1:2" x14ac:dyDescent="0.25">
      <c r="A37073" s="74">
        <v>40769</v>
      </c>
      <c r="B37073">
        <v>1.1419999999999999</v>
      </c>
    </row>
    <row r="37074" spans="1:2" x14ac:dyDescent="0.25">
      <c r="A37074" s="74">
        <v>40770</v>
      </c>
      <c r="B37074">
        <v>1.137</v>
      </c>
    </row>
    <row r="37075" spans="1:2" x14ac:dyDescent="0.25">
      <c r="A37075" s="74">
        <v>40771</v>
      </c>
      <c r="B37075">
        <v>1.1339999999999999</v>
      </c>
    </row>
    <row r="37076" spans="1:2" x14ac:dyDescent="0.25">
      <c r="A37076" s="74">
        <v>40772</v>
      </c>
      <c r="B37076">
        <v>1.135</v>
      </c>
    </row>
    <row r="37077" spans="1:2" x14ac:dyDescent="0.25">
      <c r="A37077" s="74">
        <v>40773</v>
      </c>
      <c r="B37077">
        <v>1.1200000000000001</v>
      </c>
    </row>
    <row r="37078" spans="1:2" x14ac:dyDescent="0.25">
      <c r="A37078" s="74">
        <v>40774</v>
      </c>
      <c r="B37078">
        <v>1.123</v>
      </c>
    </row>
    <row r="37079" spans="1:2" x14ac:dyDescent="0.25">
      <c r="A37079" s="74">
        <v>40775</v>
      </c>
      <c r="B37079">
        <v>1.125</v>
      </c>
    </row>
    <row r="37080" spans="1:2" x14ac:dyDescent="0.25">
      <c r="A37080" s="74">
        <v>40776</v>
      </c>
      <c r="B37080">
        <v>1.127</v>
      </c>
    </row>
    <row r="37081" spans="1:2" x14ac:dyDescent="0.25">
      <c r="A37081" s="74">
        <v>40777</v>
      </c>
      <c r="B37081">
        <v>1.143</v>
      </c>
    </row>
    <row r="37082" spans="1:2" x14ac:dyDescent="0.25">
      <c r="A37082" s="74">
        <v>40778</v>
      </c>
      <c r="B37082">
        <v>1.196</v>
      </c>
    </row>
    <row r="37083" spans="1:2" x14ac:dyDescent="0.25">
      <c r="A37083" s="74">
        <v>40779</v>
      </c>
      <c r="B37083">
        <v>1.165</v>
      </c>
    </row>
    <row r="37084" spans="1:2" x14ac:dyDescent="0.25">
      <c r="A37084" s="74">
        <v>40780</v>
      </c>
      <c r="B37084">
        <v>1.147</v>
      </c>
    </row>
    <row r="37085" spans="1:2" x14ac:dyDescent="0.25">
      <c r="A37085" s="74">
        <v>40781</v>
      </c>
      <c r="B37085">
        <v>1.137</v>
      </c>
    </row>
    <row r="37086" spans="1:2" x14ac:dyDescent="0.25">
      <c r="A37086" s="74">
        <v>40782</v>
      </c>
      <c r="B37086">
        <v>1.1319999999999999</v>
      </c>
    </row>
    <row r="37087" spans="1:2" x14ac:dyDescent="0.25">
      <c r="A37087" s="74">
        <v>40783</v>
      </c>
      <c r="B37087">
        <v>1.129</v>
      </c>
    </row>
    <row r="37088" spans="1:2" x14ac:dyDescent="0.25">
      <c r="A37088" s="74">
        <v>40784</v>
      </c>
      <c r="B37088">
        <v>1.125</v>
      </c>
    </row>
    <row r="37089" spans="1:2" x14ac:dyDescent="0.25">
      <c r="A37089" s="74">
        <v>40785</v>
      </c>
      <c r="B37089">
        <v>1.129</v>
      </c>
    </row>
    <row r="37090" spans="1:2" x14ac:dyDescent="0.25">
      <c r="A37090" s="74">
        <v>40786</v>
      </c>
      <c r="B37090">
        <v>1.135</v>
      </c>
    </row>
    <row r="37091" spans="1:2" x14ac:dyDescent="0.25">
      <c r="A37091" s="74">
        <v>40787</v>
      </c>
      <c r="B37091">
        <v>1.133</v>
      </c>
    </row>
    <row r="37092" spans="1:2" x14ac:dyDescent="0.25">
      <c r="A37092" s="74">
        <v>40788</v>
      </c>
      <c r="B37092">
        <v>1.145</v>
      </c>
    </row>
    <row r="37093" spans="1:2" x14ac:dyDescent="0.25">
      <c r="A37093" s="74">
        <v>40789</v>
      </c>
      <c r="B37093">
        <v>1.1439999999999999</v>
      </c>
    </row>
    <row r="37094" spans="1:2" x14ac:dyDescent="0.25">
      <c r="A37094" s="74">
        <v>40790</v>
      </c>
      <c r="B37094">
        <v>1.1399999999999999</v>
      </c>
    </row>
    <row r="37095" spans="1:2" x14ac:dyDescent="0.25">
      <c r="A37095" s="74">
        <v>40791</v>
      </c>
      <c r="B37095">
        <v>1.139</v>
      </c>
    </row>
    <row r="37096" spans="1:2" x14ac:dyDescent="0.25">
      <c r="A37096" s="74">
        <v>40792</v>
      </c>
      <c r="B37096">
        <v>1.139</v>
      </c>
    </row>
    <row r="37097" spans="1:2" x14ac:dyDescent="0.25">
      <c r="A37097" s="74">
        <v>40793</v>
      </c>
      <c r="B37097">
        <v>1.141</v>
      </c>
    </row>
    <row r="37098" spans="1:2" x14ac:dyDescent="0.25">
      <c r="A37098" s="74">
        <v>40794</v>
      </c>
      <c r="B37098">
        <v>1.141</v>
      </c>
    </row>
    <row r="37099" spans="1:2" x14ac:dyDescent="0.25">
      <c r="A37099" s="74">
        <v>40795</v>
      </c>
      <c r="B37099">
        <v>1.141</v>
      </c>
    </row>
    <row r="37100" spans="1:2" x14ac:dyDescent="0.25">
      <c r="A37100" s="74">
        <v>40796</v>
      </c>
      <c r="B37100">
        <v>1.145</v>
      </c>
    </row>
    <row r="37101" spans="1:2" x14ac:dyDescent="0.25">
      <c r="A37101" s="74">
        <v>40797</v>
      </c>
      <c r="B37101">
        <v>1.145</v>
      </c>
    </row>
    <row r="37102" spans="1:2" x14ac:dyDescent="0.25">
      <c r="A37102" s="74">
        <v>40798</v>
      </c>
      <c r="B37102">
        <v>1.145</v>
      </c>
    </row>
    <row r="37103" spans="1:2" x14ac:dyDescent="0.25">
      <c r="A37103" s="74">
        <v>40799</v>
      </c>
      <c r="B37103">
        <v>1.145</v>
      </c>
    </row>
    <row r="37104" spans="1:2" x14ac:dyDescent="0.25">
      <c r="A37104" s="74">
        <v>40800</v>
      </c>
      <c r="B37104">
        <v>1.145</v>
      </c>
    </row>
    <row r="37105" spans="1:2" x14ac:dyDescent="0.25">
      <c r="A37105" s="74">
        <v>40801</v>
      </c>
      <c r="B37105">
        <v>1.145</v>
      </c>
    </row>
    <row r="37106" spans="1:2" x14ac:dyDescent="0.25">
      <c r="A37106" s="74">
        <v>40802</v>
      </c>
      <c r="B37106">
        <v>1.159</v>
      </c>
    </row>
    <row r="37107" spans="1:2" x14ac:dyDescent="0.25">
      <c r="A37107" s="74">
        <v>40803</v>
      </c>
      <c r="B37107">
        <v>1.1619999999999999</v>
      </c>
    </row>
    <row r="37108" spans="1:2" x14ac:dyDescent="0.25">
      <c r="A37108" s="74">
        <v>40804</v>
      </c>
      <c r="B37108">
        <v>1.1619999999999999</v>
      </c>
    </row>
    <row r="37109" spans="1:2" x14ac:dyDescent="0.25">
      <c r="A37109" s="74">
        <v>40805</v>
      </c>
      <c r="B37109">
        <v>1.1599999999999999</v>
      </c>
    </row>
    <row r="37110" spans="1:2" x14ac:dyDescent="0.25">
      <c r="A37110" s="74">
        <v>40806</v>
      </c>
      <c r="B37110">
        <v>1.153</v>
      </c>
    </row>
    <row r="37111" spans="1:2" x14ac:dyDescent="0.25">
      <c r="A37111" s="74">
        <v>40807</v>
      </c>
      <c r="B37111">
        <v>1.1539999999999999</v>
      </c>
    </row>
    <row r="37112" spans="1:2" x14ac:dyDescent="0.25">
      <c r="A37112" s="74">
        <v>40808</v>
      </c>
      <c r="B37112">
        <v>1.1970000000000001</v>
      </c>
    </row>
    <row r="37113" spans="1:2" x14ac:dyDescent="0.25">
      <c r="A37113" s="74">
        <v>40809</v>
      </c>
      <c r="B37113">
        <v>1.3</v>
      </c>
    </row>
    <row r="37114" spans="1:2" x14ac:dyDescent="0.25">
      <c r="A37114" s="74">
        <v>40810</v>
      </c>
      <c r="B37114">
        <v>1.323</v>
      </c>
    </row>
    <row r="37115" spans="1:2" x14ac:dyDescent="0.25">
      <c r="A37115" s="74">
        <v>40811</v>
      </c>
      <c r="B37115">
        <v>1.329</v>
      </c>
    </row>
    <row r="37116" spans="1:2" x14ac:dyDescent="0.25">
      <c r="A37116" s="74">
        <v>40812</v>
      </c>
      <c r="B37116">
        <v>1.4870000000000001</v>
      </c>
    </row>
    <row r="37117" spans="1:2" x14ac:dyDescent="0.25">
      <c r="A37117" s="74">
        <v>40813</v>
      </c>
      <c r="B37117">
        <v>1.615</v>
      </c>
    </row>
    <row r="37118" spans="1:2" x14ac:dyDescent="0.25">
      <c r="A37118" s="74">
        <v>40814</v>
      </c>
      <c r="B37118">
        <v>1.431</v>
      </c>
    </row>
    <row r="37119" spans="1:2" x14ac:dyDescent="0.25">
      <c r="A37119" s="74">
        <v>40815</v>
      </c>
      <c r="B37119">
        <v>1.3280000000000001</v>
      </c>
    </row>
    <row r="37120" spans="1:2" x14ac:dyDescent="0.25">
      <c r="A37120" s="74">
        <v>40816</v>
      </c>
      <c r="B37120">
        <v>1.2629999999999999</v>
      </c>
    </row>
    <row r="37121" spans="1:2" x14ac:dyDescent="0.25">
      <c r="A37121" s="74">
        <v>40817</v>
      </c>
      <c r="B37121">
        <v>1.2270000000000001</v>
      </c>
    </row>
    <row r="37122" spans="1:2" x14ac:dyDescent="0.25">
      <c r="A37122" s="74">
        <v>40818</v>
      </c>
      <c r="B37122">
        <v>1.202</v>
      </c>
    </row>
    <row r="37123" spans="1:2" x14ac:dyDescent="0.25">
      <c r="A37123" s="74">
        <v>40819</v>
      </c>
      <c r="B37123">
        <v>1.2170000000000001</v>
      </c>
    </row>
    <row r="37124" spans="1:2" x14ac:dyDescent="0.25">
      <c r="A37124" s="74">
        <v>40820</v>
      </c>
      <c r="B37124">
        <v>1.2609999999999999</v>
      </c>
    </row>
    <row r="37125" spans="1:2" x14ac:dyDescent="0.25">
      <c r="A37125" s="74">
        <v>40821</v>
      </c>
      <c r="B37125">
        <v>1.2769999999999999</v>
      </c>
    </row>
    <row r="37126" spans="1:2" x14ac:dyDescent="0.25">
      <c r="A37126" s="74">
        <v>40822</v>
      </c>
      <c r="B37126">
        <v>1.2849999999999999</v>
      </c>
    </row>
    <row r="37127" spans="1:2" x14ac:dyDescent="0.25">
      <c r="A37127" s="74">
        <v>40823</v>
      </c>
      <c r="B37127">
        <v>1.2569999999999999</v>
      </c>
    </row>
    <row r="37128" spans="1:2" x14ac:dyDescent="0.25">
      <c r="A37128" s="74">
        <v>40824</v>
      </c>
      <c r="B37128">
        <v>1.2330000000000001</v>
      </c>
    </row>
    <row r="37129" spans="1:2" x14ac:dyDescent="0.25">
      <c r="A37129" s="74">
        <v>40825</v>
      </c>
      <c r="B37129">
        <v>1.2549999999999999</v>
      </c>
    </row>
    <row r="37130" spans="1:2" x14ac:dyDescent="0.25">
      <c r="A37130" s="74">
        <v>40826</v>
      </c>
      <c r="B37130">
        <v>1.252</v>
      </c>
    </row>
    <row r="37131" spans="1:2" x14ac:dyDescent="0.25">
      <c r="A37131" s="74">
        <v>40827</v>
      </c>
      <c r="B37131">
        <v>1.575</v>
      </c>
    </row>
    <row r="37132" spans="1:2" x14ac:dyDescent="0.25">
      <c r="A37132" s="74">
        <v>40828</v>
      </c>
      <c r="B37132">
        <v>1.593</v>
      </c>
    </row>
    <row r="37133" spans="1:2" x14ac:dyDescent="0.25">
      <c r="A37133" s="74">
        <v>40829</v>
      </c>
      <c r="B37133">
        <v>1.458</v>
      </c>
    </row>
    <row r="37134" spans="1:2" x14ac:dyDescent="0.25">
      <c r="A37134" s="74">
        <v>40830</v>
      </c>
      <c r="B37134">
        <v>1.3720000000000001</v>
      </c>
    </row>
    <row r="37135" spans="1:2" x14ac:dyDescent="0.25">
      <c r="A37135" s="74">
        <v>40831</v>
      </c>
      <c r="B37135">
        <v>1.3149999999999999</v>
      </c>
    </row>
    <row r="37136" spans="1:2" x14ac:dyDescent="0.25">
      <c r="A37136" s="74">
        <v>40832</v>
      </c>
      <c r="B37136">
        <v>1.2749999999999999</v>
      </c>
    </row>
    <row r="37137" spans="1:2" x14ac:dyDescent="0.25">
      <c r="A37137" s="74">
        <v>40833</v>
      </c>
      <c r="B37137">
        <v>1.2450000000000001</v>
      </c>
    </row>
    <row r="37138" spans="1:2" x14ac:dyDescent="0.25">
      <c r="A37138" s="74">
        <v>40834</v>
      </c>
      <c r="B37138">
        <v>1.2250000000000001</v>
      </c>
    </row>
    <row r="37139" spans="1:2" x14ac:dyDescent="0.25">
      <c r="A37139" s="74">
        <v>40835</v>
      </c>
      <c r="B37139">
        <v>1.21</v>
      </c>
    </row>
    <row r="37140" spans="1:2" x14ac:dyDescent="0.25">
      <c r="A37140" s="74">
        <v>40836</v>
      </c>
      <c r="B37140">
        <v>1.2050000000000001</v>
      </c>
    </row>
    <row r="37141" spans="1:2" x14ac:dyDescent="0.25">
      <c r="A37141" s="74">
        <v>40837</v>
      </c>
      <c r="B37141">
        <v>1.2070000000000001</v>
      </c>
    </row>
    <row r="37142" spans="1:2" x14ac:dyDescent="0.25">
      <c r="A37142" s="74">
        <v>40838</v>
      </c>
      <c r="B37142">
        <v>1.27</v>
      </c>
    </row>
    <row r="37143" spans="1:2" x14ac:dyDescent="0.25">
      <c r="A37143" s="74">
        <v>40839</v>
      </c>
      <c r="B37143">
        <v>1.276</v>
      </c>
    </row>
    <row r="37144" spans="1:2" x14ac:dyDescent="0.25">
      <c r="A37144" s="74">
        <v>40840</v>
      </c>
      <c r="B37144">
        <v>1.25</v>
      </c>
    </row>
    <row r="37145" spans="1:2" x14ac:dyDescent="0.25">
      <c r="A37145" s="74">
        <v>40841</v>
      </c>
      <c r="B37145">
        <v>1.23</v>
      </c>
    </row>
    <row r="37146" spans="1:2" x14ac:dyDescent="0.25">
      <c r="A37146" s="74">
        <v>40842</v>
      </c>
      <c r="B37146">
        <v>1.216</v>
      </c>
    </row>
    <row r="37147" spans="1:2" x14ac:dyDescent="0.25">
      <c r="A37147" s="74">
        <v>40843</v>
      </c>
      <c r="B37147">
        <v>1.212</v>
      </c>
    </row>
    <row r="37148" spans="1:2" x14ac:dyDescent="0.25">
      <c r="A37148" s="74">
        <v>40844</v>
      </c>
      <c r="B37148">
        <v>1.25</v>
      </c>
    </row>
    <row r="37149" spans="1:2" x14ac:dyDescent="0.25">
      <c r="A37149" s="74">
        <v>40845</v>
      </c>
      <c r="B37149">
        <v>1.3380000000000001</v>
      </c>
    </row>
    <row r="37150" spans="1:2" x14ac:dyDescent="0.25">
      <c r="A37150" s="74">
        <v>40846</v>
      </c>
      <c r="B37150">
        <v>1.3009999999999999</v>
      </c>
    </row>
    <row r="37151" spans="1:2" x14ac:dyDescent="0.25">
      <c r="A37151" s="74">
        <v>40847</v>
      </c>
      <c r="B37151">
        <v>1.2849999999999999</v>
      </c>
    </row>
    <row r="37152" spans="1:2" x14ac:dyDescent="0.25">
      <c r="A37152" s="74">
        <v>40848</v>
      </c>
      <c r="B37152">
        <v>1.262</v>
      </c>
    </row>
    <row r="37153" spans="1:2" x14ac:dyDescent="0.25">
      <c r="A37153" s="74">
        <v>40849</v>
      </c>
      <c r="B37153">
        <v>1.248</v>
      </c>
    </row>
    <row r="37154" spans="1:2" x14ac:dyDescent="0.25">
      <c r="A37154" s="74">
        <v>40850</v>
      </c>
      <c r="B37154">
        <v>1.27</v>
      </c>
    </row>
    <row r="37155" spans="1:2" x14ac:dyDescent="0.25">
      <c r="A37155" s="74">
        <v>40851</v>
      </c>
      <c r="B37155">
        <v>1.2529999999999999</v>
      </c>
    </row>
    <row r="37156" spans="1:2" x14ac:dyDescent="0.25">
      <c r="A37156" s="74">
        <v>40852</v>
      </c>
      <c r="B37156">
        <v>1.2390000000000001</v>
      </c>
    </row>
    <row r="37157" spans="1:2" x14ac:dyDescent="0.25">
      <c r="A37157" s="74">
        <v>40853</v>
      </c>
      <c r="B37157">
        <v>1.2250000000000001</v>
      </c>
    </row>
    <row r="37158" spans="1:2" x14ac:dyDescent="0.25">
      <c r="A37158" s="74">
        <v>40854</v>
      </c>
      <c r="B37158">
        <v>1.212</v>
      </c>
    </row>
    <row r="37159" spans="1:2" x14ac:dyDescent="0.25">
      <c r="A37159" s="74">
        <v>40855</v>
      </c>
      <c r="B37159">
        <v>1.2050000000000001</v>
      </c>
    </row>
    <row r="37160" spans="1:2" x14ac:dyDescent="0.25">
      <c r="A37160" s="74">
        <v>40856</v>
      </c>
      <c r="B37160">
        <v>1.2070000000000001</v>
      </c>
    </row>
    <row r="37161" spans="1:2" x14ac:dyDescent="0.25">
      <c r="A37161" s="74">
        <v>40857</v>
      </c>
      <c r="B37161">
        <v>1.339</v>
      </c>
    </row>
    <row r="37162" spans="1:2" x14ac:dyDescent="0.25">
      <c r="A37162" s="74">
        <v>40858</v>
      </c>
      <c r="B37162">
        <v>1.379</v>
      </c>
    </row>
    <row r="37163" spans="1:2" x14ac:dyDescent="0.25">
      <c r="A37163" s="74">
        <v>40859</v>
      </c>
      <c r="B37163">
        <v>1.3939999999999999</v>
      </c>
    </row>
    <row r="37164" spans="1:2" x14ac:dyDescent="0.25">
      <c r="A37164" s="74">
        <v>40860</v>
      </c>
      <c r="B37164">
        <v>1.353</v>
      </c>
    </row>
    <row r="37165" spans="1:2" x14ac:dyDescent="0.25">
      <c r="A37165" s="74">
        <v>40861</v>
      </c>
      <c r="B37165">
        <v>1.3169999999999999</v>
      </c>
    </row>
    <row r="37166" spans="1:2" x14ac:dyDescent="0.25">
      <c r="A37166" s="74">
        <v>40862</v>
      </c>
      <c r="B37166">
        <v>1.2889999999999999</v>
      </c>
    </row>
    <row r="37167" spans="1:2" x14ac:dyDescent="0.25">
      <c r="A37167" s="74">
        <v>40863</v>
      </c>
      <c r="B37167">
        <v>1.2709999999999999</v>
      </c>
    </row>
    <row r="37168" spans="1:2" x14ac:dyDescent="0.25">
      <c r="A37168" s="74">
        <v>40864</v>
      </c>
      <c r="B37168">
        <v>1.379</v>
      </c>
    </row>
    <row r="37169" spans="1:2" x14ac:dyDescent="0.25">
      <c r="A37169" s="74">
        <v>40865</v>
      </c>
      <c r="B37169">
        <v>1.3620000000000001</v>
      </c>
    </row>
    <row r="37170" spans="1:2" x14ac:dyDescent="0.25">
      <c r="A37170" s="74">
        <v>40866</v>
      </c>
      <c r="B37170">
        <v>1.325</v>
      </c>
    </row>
    <row r="37171" spans="1:2" x14ac:dyDescent="0.25">
      <c r="A37171" s="74">
        <v>40867</v>
      </c>
      <c r="B37171">
        <v>1.2909999999999999</v>
      </c>
    </row>
    <row r="37172" spans="1:2" x14ac:dyDescent="0.25">
      <c r="A37172" s="74">
        <v>40868</v>
      </c>
      <c r="B37172">
        <v>1.284</v>
      </c>
    </row>
    <row r="37173" spans="1:2" x14ac:dyDescent="0.25">
      <c r="A37173" s="74">
        <v>40869</v>
      </c>
      <c r="B37173">
        <v>2.0619999999999998</v>
      </c>
    </row>
    <row r="37174" spans="1:2" x14ac:dyDescent="0.25">
      <c r="A37174" s="74">
        <v>40870</v>
      </c>
      <c r="B37174">
        <v>1.806</v>
      </c>
    </row>
    <row r="37175" spans="1:2" x14ac:dyDescent="0.25">
      <c r="A37175" s="74">
        <v>40871</v>
      </c>
      <c r="B37175">
        <v>1.633</v>
      </c>
    </row>
    <row r="37176" spans="1:2" x14ac:dyDescent="0.25">
      <c r="A37176" s="74">
        <v>40872</v>
      </c>
      <c r="B37176">
        <v>1.599</v>
      </c>
    </row>
    <row r="37177" spans="1:2" x14ac:dyDescent="0.25">
      <c r="A37177" s="74">
        <v>40873</v>
      </c>
      <c r="B37177">
        <v>1.5469999999999999</v>
      </c>
    </row>
    <row r="37178" spans="1:2" x14ac:dyDescent="0.25">
      <c r="A37178" s="74">
        <v>40874</v>
      </c>
      <c r="B37178">
        <v>2.6480000000000001</v>
      </c>
    </row>
    <row r="37179" spans="1:2" x14ac:dyDescent="0.25">
      <c r="A37179" s="74">
        <v>40875</v>
      </c>
      <c r="B37179">
        <v>2.0790000000000002</v>
      </c>
    </row>
    <row r="37180" spans="1:2" x14ac:dyDescent="0.25">
      <c r="A37180" s="74">
        <v>40876</v>
      </c>
      <c r="B37180">
        <v>1.752</v>
      </c>
    </row>
    <row r="37181" spans="1:2" x14ac:dyDescent="0.25">
      <c r="A37181" s="74">
        <v>40877</v>
      </c>
      <c r="B37181">
        <v>1.6020000000000001</v>
      </c>
    </row>
    <row r="37182" spans="1:2" x14ac:dyDescent="0.25">
      <c r="A37182" s="74">
        <v>40878</v>
      </c>
      <c r="B37182">
        <v>1.514</v>
      </c>
    </row>
    <row r="37183" spans="1:2" x14ac:dyDescent="0.25">
      <c r="A37183" s="74">
        <v>40879</v>
      </c>
      <c r="B37183">
        <v>1.4610000000000001</v>
      </c>
    </row>
    <row r="37184" spans="1:2" x14ac:dyDescent="0.25">
      <c r="A37184" s="74">
        <v>40880</v>
      </c>
      <c r="B37184">
        <v>1.42</v>
      </c>
    </row>
    <row r="37185" spans="1:2" x14ac:dyDescent="0.25">
      <c r="A37185" s="74">
        <v>40881</v>
      </c>
      <c r="B37185">
        <v>1.39</v>
      </c>
    </row>
    <row r="37186" spans="1:2" x14ac:dyDescent="0.25">
      <c r="A37186" s="74">
        <v>40882</v>
      </c>
      <c r="B37186">
        <v>1.3660000000000001</v>
      </c>
    </row>
    <row r="37187" spans="1:2" x14ac:dyDescent="0.25">
      <c r="A37187" s="74">
        <v>40883</v>
      </c>
      <c r="B37187">
        <v>1.3440000000000001</v>
      </c>
    </row>
    <row r="37188" spans="1:2" x14ac:dyDescent="0.25">
      <c r="A37188" s="74">
        <v>40884</v>
      </c>
      <c r="B37188">
        <v>1.33</v>
      </c>
    </row>
    <row r="37189" spans="1:2" x14ac:dyDescent="0.25">
      <c r="A37189" s="74">
        <v>40885</v>
      </c>
      <c r="B37189">
        <v>1.319</v>
      </c>
    </row>
    <row r="37190" spans="1:2" x14ac:dyDescent="0.25">
      <c r="A37190" s="74">
        <v>40886</v>
      </c>
      <c r="B37190">
        <v>1.306</v>
      </c>
    </row>
    <row r="37191" spans="1:2" x14ac:dyDescent="0.25">
      <c r="A37191" s="74">
        <v>40887</v>
      </c>
      <c r="B37191">
        <v>1.2949999999999999</v>
      </c>
    </row>
    <row r="37192" spans="1:2" x14ac:dyDescent="0.25">
      <c r="A37192" s="74">
        <v>40888</v>
      </c>
      <c r="B37192">
        <v>1.288</v>
      </c>
    </row>
    <row r="37193" spans="1:2" x14ac:dyDescent="0.25">
      <c r="A37193" s="74">
        <v>40889</v>
      </c>
      <c r="B37193">
        <v>1.28</v>
      </c>
    </row>
    <row r="37194" spans="1:2" x14ac:dyDescent="0.25">
      <c r="A37194" s="74">
        <v>40890</v>
      </c>
      <c r="B37194">
        <v>1.2729999999999999</v>
      </c>
    </row>
    <row r="37195" spans="1:2" x14ac:dyDescent="0.25">
      <c r="A37195" s="74">
        <v>40891</v>
      </c>
      <c r="B37195">
        <v>1.266</v>
      </c>
    </row>
    <row r="37196" spans="1:2" x14ac:dyDescent="0.25">
      <c r="A37196" s="74">
        <v>40892</v>
      </c>
      <c r="B37196">
        <v>1.262</v>
      </c>
    </row>
    <row r="37197" spans="1:2" x14ac:dyDescent="0.25">
      <c r="A37197" s="74">
        <v>40893</v>
      </c>
      <c r="B37197">
        <v>1.2549999999999999</v>
      </c>
    </row>
    <row r="37198" spans="1:2" x14ac:dyDescent="0.25">
      <c r="A37198" s="74">
        <v>40894</v>
      </c>
      <c r="B37198">
        <v>1.2569999999999999</v>
      </c>
    </row>
    <row r="37199" spans="1:2" x14ac:dyDescent="0.25">
      <c r="A37199" s="74">
        <v>40895</v>
      </c>
      <c r="B37199">
        <v>1.2889999999999999</v>
      </c>
    </row>
    <row r="37200" spans="1:2" x14ac:dyDescent="0.25">
      <c r="A37200" s="74">
        <v>40896</v>
      </c>
      <c r="B37200">
        <v>1.296</v>
      </c>
    </row>
    <row r="37201" spans="1:2" x14ac:dyDescent="0.25">
      <c r="A37201" s="74">
        <v>40897</v>
      </c>
      <c r="B37201">
        <v>1.2869999999999999</v>
      </c>
    </row>
    <row r="37202" spans="1:2" x14ac:dyDescent="0.25">
      <c r="A37202" s="74">
        <v>40898</v>
      </c>
      <c r="B37202">
        <v>1.284</v>
      </c>
    </row>
    <row r="37203" spans="1:2" x14ac:dyDescent="0.25">
      <c r="A37203" s="74">
        <v>40899</v>
      </c>
      <c r="B37203">
        <v>1.2749999999999999</v>
      </c>
    </row>
    <row r="37204" spans="1:2" x14ac:dyDescent="0.25">
      <c r="A37204" s="74">
        <v>40900</v>
      </c>
      <c r="B37204">
        <v>1.268</v>
      </c>
    </row>
    <row r="37205" spans="1:2" x14ac:dyDescent="0.25">
      <c r="A37205" s="74">
        <v>40901</v>
      </c>
      <c r="B37205">
        <v>1.3220000000000001</v>
      </c>
    </row>
    <row r="37206" spans="1:2" x14ac:dyDescent="0.25">
      <c r="A37206" s="74">
        <v>40902</v>
      </c>
      <c r="B37206">
        <v>1.4179999999999999</v>
      </c>
    </row>
    <row r="37207" spans="1:2" x14ac:dyDescent="0.25">
      <c r="A37207" s="74">
        <v>40903</v>
      </c>
      <c r="B37207">
        <v>1.401</v>
      </c>
    </row>
    <row r="37208" spans="1:2" x14ac:dyDescent="0.25">
      <c r="A37208" s="74">
        <v>40904</v>
      </c>
      <c r="B37208">
        <v>1.4370000000000001</v>
      </c>
    </row>
    <row r="37209" spans="1:2" x14ac:dyDescent="0.25">
      <c r="A37209" s="74">
        <v>40905</v>
      </c>
      <c r="B37209">
        <v>2.1379999999999999</v>
      </c>
    </row>
    <row r="37210" spans="1:2" x14ac:dyDescent="0.25">
      <c r="A37210" s="74">
        <v>40906</v>
      </c>
      <c r="B37210">
        <v>2.117</v>
      </c>
    </row>
    <row r="37211" spans="1:2" x14ac:dyDescent="0.25">
      <c r="A37211" s="74">
        <v>40907</v>
      </c>
      <c r="B37211">
        <v>1.8149999999999999</v>
      </c>
    </row>
    <row r="37212" spans="1:2" x14ac:dyDescent="0.25">
      <c r="A37212" s="74">
        <v>40908</v>
      </c>
      <c r="B37212">
        <v>1.64</v>
      </c>
    </row>
    <row r="37213" spans="1:2" x14ac:dyDescent="0.25">
      <c r="A37213" s="74">
        <v>40909</v>
      </c>
      <c r="B37213">
        <v>1.5289999999999999</v>
      </c>
    </row>
    <row r="37214" spans="1:2" x14ac:dyDescent="0.25">
      <c r="A37214" s="74">
        <v>40910</v>
      </c>
      <c r="B37214">
        <v>1.47</v>
      </c>
    </row>
    <row r="37215" spans="1:2" x14ac:dyDescent="0.25">
      <c r="A37215" s="74">
        <v>40911</v>
      </c>
      <c r="B37215">
        <v>1.698</v>
      </c>
    </row>
    <row r="37216" spans="1:2" x14ac:dyDescent="0.25">
      <c r="A37216" s="74">
        <v>40912</v>
      </c>
      <c r="B37216">
        <v>3.0190000000000001</v>
      </c>
    </row>
    <row r="37217" spans="1:2" x14ac:dyDescent="0.25">
      <c r="A37217" s="74">
        <v>40913</v>
      </c>
      <c r="B37217">
        <v>2.4569999999999999</v>
      </c>
    </row>
    <row r="37218" spans="1:2" x14ac:dyDescent="0.25">
      <c r="A37218" s="74">
        <v>40914</v>
      </c>
      <c r="B37218">
        <v>1.9470000000000001</v>
      </c>
    </row>
    <row r="37219" spans="1:2" x14ac:dyDescent="0.25">
      <c r="A37219" s="74">
        <v>40915</v>
      </c>
      <c r="B37219">
        <v>1.7050000000000001</v>
      </c>
    </row>
    <row r="37220" spans="1:2" x14ac:dyDescent="0.25">
      <c r="A37220" s="74">
        <v>40916</v>
      </c>
      <c r="B37220">
        <v>1.5920000000000001</v>
      </c>
    </row>
    <row r="37221" spans="1:2" x14ac:dyDescent="0.25">
      <c r="A37221" s="74">
        <v>40917</v>
      </c>
      <c r="B37221">
        <v>1.6419999999999999</v>
      </c>
    </row>
    <row r="37222" spans="1:2" x14ac:dyDescent="0.25">
      <c r="A37222" s="74">
        <v>40918</v>
      </c>
      <c r="B37222">
        <v>1.577</v>
      </c>
    </row>
    <row r="37223" spans="1:2" x14ac:dyDescent="0.25">
      <c r="A37223" s="74">
        <v>40919</v>
      </c>
      <c r="B37223">
        <v>1.5029999999999999</v>
      </c>
    </row>
    <row r="37224" spans="1:2" x14ac:dyDescent="0.25">
      <c r="A37224" s="74">
        <v>40920</v>
      </c>
      <c r="B37224">
        <v>1.4570000000000001</v>
      </c>
    </row>
    <row r="37225" spans="1:2" x14ac:dyDescent="0.25">
      <c r="A37225" s="74">
        <v>40921</v>
      </c>
      <c r="B37225">
        <v>1.423</v>
      </c>
    </row>
    <row r="37226" spans="1:2" x14ac:dyDescent="0.25">
      <c r="A37226" s="74">
        <v>40922</v>
      </c>
      <c r="B37226">
        <v>1.4019999999999999</v>
      </c>
    </row>
    <row r="37227" spans="1:2" x14ac:dyDescent="0.25">
      <c r="A37227" s="74">
        <v>40923</v>
      </c>
      <c r="B37227">
        <v>1.3779999999999999</v>
      </c>
    </row>
    <row r="37228" spans="1:2" x14ac:dyDescent="0.25">
      <c r="A37228" s="74">
        <v>40924</v>
      </c>
      <c r="B37228">
        <v>1.3540000000000001</v>
      </c>
    </row>
    <row r="37229" spans="1:2" x14ac:dyDescent="0.25">
      <c r="A37229" s="74">
        <v>40925</v>
      </c>
      <c r="B37229">
        <v>1.341</v>
      </c>
    </row>
    <row r="37230" spans="1:2" x14ac:dyDescent="0.25">
      <c r="A37230" s="74">
        <v>40926</v>
      </c>
      <c r="B37230">
        <v>1.3320000000000001</v>
      </c>
    </row>
    <row r="37231" spans="1:2" x14ac:dyDescent="0.25">
      <c r="A37231" s="74">
        <v>40927</v>
      </c>
      <c r="B37231">
        <v>1.3180000000000001</v>
      </c>
    </row>
    <row r="37232" spans="1:2" x14ac:dyDescent="0.25">
      <c r="A37232" s="74">
        <v>40928</v>
      </c>
      <c r="B37232">
        <v>1.3160000000000001</v>
      </c>
    </row>
    <row r="37233" spans="1:2" x14ac:dyDescent="0.25">
      <c r="A37233" s="74">
        <v>40929</v>
      </c>
      <c r="B37233">
        <v>1.4850000000000001</v>
      </c>
    </row>
    <row r="37234" spans="1:2" x14ac:dyDescent="0.25">
      <c r="A37234" s="74">
        <v>40930</v>
      </c>
      <c r="B37234">
        <v>1.496</v>
      </c>
    </row>
    <row r="37235" spans="1:2" x14ac:dyDescent="0.25">
      <c r="A37235" s="74">
        <v>40931</v>
      </c>
      <c r="B37235">
        <v>1.5649999999999999</v>
      </c>
    </row>
    <row r="37236" spans="1:2" x14ac:dyDescent="0.25">
      <c r="A37236" s="74">
        <v>40932</v>
      </c>
      <c r="B37236">
        <v>1.6559999999999999</v>
      </c>
    </row>
    <row r="37237" spans="1:2" x14ac:dyDescent="0.25">
      <c r="A37237" s="74">
        <v>40933</v>
      </c>
      <c r="B37237">
        <v>1.9890000000000001</v>
      </c>
    </row>
    <row r="37238" spans="1:2" x14ac:dyDescent="0.25">
      <c r="A37238" s="74">
        <v>40934</v>
      </c>
      <c r="B37238">
        <v>1.7410000000000001</v>
      </c>
    </row>
    <row r="37239" spans="1:2" x14ac:dyDescent="0.25">
      <c r="A37239" s="74">
        <v>40935</v>
      </c>
      <c r="B37239">
        <v>1.583</v>
      </c>
    </row>
    <row r="37240" spans="1:2" x14ac:dyDescent="0.25">
      <c r="A37240" s="74">
        <v>40936</v>
      </c>
      <c r="B37240">
        <v>1.5009999999999999</v>
      </c>
    </row>
    <row r="37241" spans="1:2" x14ac:dyDescent="0.25">
      <c r="A37241" s="74">
        <v>40937</v>
      </c>
      <c r="B37241">
        <v>1.8069999999999999</v>
      </c>
    </row>
    <row r="37242" spans="1:2" x14ac:dyDescent="0.25">
      <c r="A37242" s="74">
        <v>40938</v>
      </c>
      <c r="B37242">
        <v>1.8080000000000001</v>
      </c>
    </row>
    <row r="37243" spans="1:2" x14ac:dyDescent="0.25">
      <c r="A37243" s="74">
        <v>40939</v>
      </c>
      <c r="B37243">
        <v>1.6739999999999999</v>
      </c>
    </row>
    <row r="37244" spans="1:2" x14ac:dyDescent="0.25">
      <c r="A37244" s="74">
        <v>40940</v>
      </c>
      <c r="B37244">
        <v>1.6359999999999999</v>
      </c>
    </row>
    <row r="37245" spans="1:2" x14ac:dyDescent="0.25">
      <c r="A37245" s="74">
        <v>40941</v>
      </c>
      <c r="B37245">
        <v>1.5529999999999999</v>
      </c>
    </row>
    <row r="37246" spans="1:2" x14ac:dyDescent="0.25">
      <c r="A37246" s="74">
        <v>40942</v>
      </c>
      <c r="B37246">
        <v>1.4970000000000001</v>
      </c>
    </row>
    <row r="37247" spans="1:2" x14ac:dyDescent="0.25">
      <c r="A37247" s="74">
        <v>40943</v>
      </c>
      <c r="B37247">
        <v>1.4590000000000001</v>
      </c>
    </row>
    <row r="37248" spans="1:2" x14ac:dyDescent="0.25">
      <c r="A37248" s="74">
        <v>40944</v>
      </c>
      <c r="B37248">
        <v>1.4339999999999999</v>
      </c>
    </row>
    <row r="37249" spans="1:2" x14ac:dyDescent="0.25">
      <c r="A37249" s="74">
        <v>40945</v>
      </c>
      <c r="B37249">
        <v>1.413</v>
      </c>
    </row>
    <row r="37250" spans="1:2" x14ac:dyDescent="0.25">
      <c r="A37250" s="74">
        <v>40946</v>
      </c>
      <c r="B37250">
        <v>1.393</v>
      </c>
    </row>
    <row r="37251" spans="1:2" x14ac:dyDescent="0.25">
      <c r="A37251" s="74">
        <v>40947</v>
      </c>
      <c r="B37251">
        <v>1.391</v>
      </c>
    </row>
    <row r="37252" spans="1:2" x14ac:dyDescent="0.25">
      <c r="A37252" s="74">
        <v>40948</v>
      </c>
      <c r="B37252">
        <v>1.472</v>
      </c>
    </row>
    <row r="37253" spans="1:2" x14ac:dyDescent="0.25">
      <c r="A37253" s="74">
        <v>40949</v>
      </c>
      <c r="B37253">
        <v>1.8029999999999999</v>
      </c>
    </row>
    <row r="37254" spans="1:2" x14ac:dyDescent="0.25">
      <c r="A37254" s="74">
        <v>40950</v>
      </c>
      <c r="B37254">
        <v>1.8460000000000001</v>
      </c>
    </row>
    <row r="37255" spans="1:2" x14ac:dyDescent="0.25">
      <c r="A37255" s="74">
        <v>40951</v>
      </c>
      <c r="B37255">
        <v>1.675</v>
      </c>
    </row>
    <row r="37256" spans="1:2" x14ac:dyDescent="0.25">
      <c r="A37256" s="74">
        <v>40952</v>
      </c>
      <c r="B37256">
        <v>1.6040000000000001</v>
      </c>
    </row>
    <row r="37257" spans="1:2" x14ac:dyDescent="0.25">
      <c r="A37257" s="74">
        <v>40953</v>
      </c>
      <c r="B37257">
        <v>1.538</v>
      </c>
    </row>
    <row r="37258" spans="1:2" x14ac:dyDescent="0.25">
      <c r="A37258" s="74">
        <v>40954</v>
      </c>
      <c r="B37258">
        <v>1.4850000000000001</v>
      </c>
    </row>
    <row r="37259" spans="1:2" x14ac:dyDescent="0.25">
      <c r="A37259" s="74">
        <v>40955</v>
      </c>
      <c r="B37259">
        <v>1.448</v>
      </c>
    </row>
    <row r="37260" spans="1:2" x14ac:dyDescent="0.25">
      <c r="A37260" s="74">
        <v>40956</v>
      </c>
      <c r="B37260">
        <v>1.4330000000000001</v>
      </c>
    </row>
    <row r="37261" spans="1:2" x14ac:dyDescent="0.25">
      <c r="A37261" s="74">
        <v>40957</v>
      </c>
      <c r="B37261">
        <v>1.536</v>
      </c>
    </row>
    <row r="37262" spans="1:2" x14ac:dyDescent="0.25">
      <c r="A37262" s="74">
        <v>40958</v>
      </c>
      <c r="B37262">
        <v>1.5429999999999999</v>
      </c>
    </row>
    <row r="37263" spans="1:2" x14ac:dyDescent="0.25">
      <c r="A37263" s="74">
        <v>40959</v>
      </c>
      <c r="B37263">
        <v>1.486</v>
      </c>
    </row>
    <row r="37264" spans="1:2" x14ac:dyDescent="0.25">
      <c r="A37264" s="74">
        <v>40960</v>
      </c>
      <c r="B37264">
        <v>1.4510000000000001</v>
      </c>
    </row>
    <row r="37265" spans="1:2" x14ac:dyDescent="0.25">
      <c r="A37265" s="74">
        <v>40961</v>
      </c>
      <c r="B37265">
        <v>1.4710000000000001</v>
      </c>
    </row>
    <row r="37266" spans="1:2" x14ac:dyDescent="0.25">
      <c r="A37266" s="74">
        <v>40962</v>
      </c>
      <c r="B37266">
        <v>1.4490000000000001</v>
      </c>
    </row>
    <row r="37267" spans="1:2" x14ac:dyDescent="0.25">
      <c r="A37267" s="74">
        <v>40963</v>
      </c>
      <c r="B37267">
        <v>1.4570000000000001</v>
      </c>
    </row>
    <row r="37268" spans="1:2" x14ac:dyDescent="0.25">
      <c r="A37268" s="74">
        <v>40964</v>
      </c>
      <c r="B37268">
        <v>1.5289999999999999</v>
      </c>
    </row>
    <row r="37269" spans="1:2" x14ac:dyDescent="0.25">
      <c r="A37269" s="74">
        <v>40965</v>
      </c>
      <c r="B37269">
        <v>1.4770000000000001</v>
      </c>
    </row>
    <row r="37270" spans="1:2" x14ac:dyDescent="0.25">
      <c r="A37270" s="74">
        <v>40966</v>
      </c>
      <c r="B37270">
        <v>1.4330000000000001</v>
      </c>
    </row>
    <row r="37271" spans="1:2" x14ac:dyDescent="0.25">
      <c r="A37271" s="74">
        <v>40967</v>
      </c>
      <c r="B37271">
        <v>1.4059999999999999</v>
      </c>
    </row>
    <row r="37272" spans="1:2" x14ac:dyDescent="0.25">
      <c r="A37272" s="74">
        <v>40968</v>
      </c>
      <c r="B37272">
        <v>1.395</v>
      </c>
    </row>
    <row r="37273" spans="1:2" x14ac:dyDescent="0.25">
      <c r="A37273" s="74">
        <v>40969</v>
      </c>
      <c r="B37273">
        <v>1.373</v>
      </c>
    </row>
    <row r="37274" spans="1:2" x14ac:dyDescent="0.25">
      <c r="A37274" s="74">
        <v>40970</v>
      </c>
      <c r="B37274">
        <v>1.35</v>
      </c>
    </row>
    <row r="37275" spans="1:2" x14ac:dyDescent="0.25">
      <c r="A37275" s="74">
        <v>40971</v>
      </c>
      <c r="B37275">
        <v>1.3420000000000001</v>
      </c>
    </row>
    <row r="37276" spans="1:2" x14ac:dyDescent="0.25">
      <c r="A37276" s="74">
        <v>40972</v>
      </c>
      <c r="B37276">
        <v>1.363</v>
      </c>
    </row>
    <row r="37277" spans="1:2" x14ac:dyDescent="0.25">
      <c r="A37277" s="74">
        <v>40973</v>
      </c>
      <c r="B37277">
        <v>1.6120000000000001</v>
      </c>
    </row>
    <row r="37278" spans="1:2" x14ac:dyDescent="0.25">
      <c r="A37278" s="74">
        <v>40974</v>
      </c>
      <c r="B37278">
        <v>1.5580000000000001</v>
      </c>
    </row>
    <row r="37279" spans="1:2" x14ac:dyDescent="0.25">
      <c r="A37279" s="74">
        <v>40975</v>
      </c>
      <c r="B37279">
        <v>1.478</v>
      </c>
    </row>
    <row r="37280" spans="1:2" x14ac:dyDescent="0.25">
      <c r="A37280" s="74">
        <v>40976</v>
      </c>
      <c r="B37280">
        <v>1.4330000000000001</v>
      </c>
    </row>
    <row r="37281" spans="1:2" x14ac:dyDescent="0.25">
      <c r="A37281" s="74">
        <v>40977</v>
      </c>
      <c r="B37281">
        <v>1.429</v>
      </c>
    </row>
    <row r="37282" spans="1:2" x14ac:dyDescent="0.25">
      <c r="A37282" s="74">
        <v>40978</v>
      </c>
      <c r="B37282">
        <v>1.462</v>
      </c>
    </row>
    <row r="37283" spans="1:2" x14ac:dyDescent="0.25">
      <c r="A37283" s="74">
        <v>40979</v>
      </c>
      <c r="B37283">
        <v>1.482</v>
      </c>
    </row>
    <row r="37284" spans="1:2" x14ac:dyDescent="0.25">
      <c r="A37284" s="74">
        <v>40980</v>
      </c>
      <c r="B37284">
        <v>1.5329999999999999</v>
      </c>
    </row>
    <row r="37285" spans="1:2" x14ac:dyDescent="0.25">
      <c r="A37285" s="74">
        <v>40981</v>
      </c>
      <c r="B37285">
        <v>1.5469999999999999</v>
      </c>
    </row>
    <row r="37286" spans="1:2" x14ac:dyDescent="0.25">
      <c r="A37286" s="74">
        <v>40982</v>
      </c>
      <c r="B37286">
        <v>1.4770000000000001</v>
      </c>
    </row>
    <row r="37287" spans="1:2" x14ac:dyDescent="0.25">
      <c r="A37287" s="74">
        <v>40983</v>
      </c>
      <c r="B37287">
        <v>1.7649999999999999</v>
      </c>
    </row>
    <row r="37288" spans="1:2" x14ac:dyDescent="0.25">
      <c r="A37288" s="74">
        <v>40984</v>
      </c>
      <c r="B37288">
        <v>1.831</v>
      </c>
    </row>
    <row r="37289" spans="1:2" x14ac:dyDescent="0.25">
      <c r="A37289" s="74">
        <v>40985</v>
      </c>
      <c r="B37289">
        <v>1.62</v>
      </c>
    </row>
    <row r="37290" spans="1:2" x14ac:dyDescent="0.25">
      <c r="A37290" s="74">
        <v>40986</v>
      </c>
      <c r="B37290">
        <v>1.516</v>
      </c>
    </row>
    <row r="37291" spans="1:2" x14ac:dyDescent="0.25">
      <c r="A37291" s="74">
        <v>40987</v>
      </c>
      <c r="B37291">
        <v>1.4590000000000001</v>
      </c>
    </row>
    <row r="37292" spans="1:2" x14ac:dyDescent="0.25">
      <c r="A37292" s="74">
        <v>40988</v>
      </c>
      <c r="B37292">
        <v>1.448</v>
      </c>
    </row>
    <row r="37293" spans="1:2" x14ac:dyDescent="0.25">
      <c r="A37293" s="74">
        <v>40989</v>
      </c>
      <c r="B37293">
        <v>1.427</v>
      </c>
    </row>
    <row r="37294" spans="1:2" x14ac:dyDescent="0.25">
      <c r="A37294" s="74">
        <v>40990</v>
      </c>
      <c r="B37294">
        <v>1.4</v>
      </c>
    </row>
    <row r="37295" spans="1:2" x14ac:dyDescent="0.25">
      <c r="A37295" s="74">
        <v>40991</v>
      </c>
      <c r="B37295">
        <v>1.3839999999999999</v>
      </c>
    </row>
    <row r="37296" spans="1:2" x14ac:dyDescent="0.25">
      <c r="A37296" s="74">
        <v>40992</v>
      </c>
      <c r="B37296">
        <v>1.3680000000000001</v>
      </c>
    </row>
    <row r="37297" spans="1:2" x14ac:dyDescent="0.25">
      <c r="A37297" s="74">
        <v>40993</v>
      </c>
      <c r="B37297">
        <v>1.355</v>
      </c>
    </row>
    <row r="37298" spans="1:2" x14ac:dyDescent="0.25">
      <c r="A37298" s="74">
        <v>40994</v>
      </c>
      <c r="B37298">
        <v>1.351</v>
      </c>
    </row>
    <row r="37299" spans="1:2" x14ac:dyDescent="0.25">
      <c r="A37299" s="74">
        <v>40995</v>
      </c>
      <c r="B37299">
        <v>1.387</v>
      </c>
    </row>
    <row r="37300" spans="1:2" x14ac:dyDescent="0.25">
      <c r="A37300" s="74">
        <v>40996</v>
      </c>
      <c r="B37300">
        <v>1.625</v>
      </c>
    </row>
    <row r="37301" spans="1:2" x14ac:dyDescent="0.25">
      <c r="A37301" s="74">
        <v>40997</v>
      </c>
      <c r="B37301">
        <v>1.8919999999999999</v>
      </c>
    </row>
    <row r="37302" spans="1:2" x14ac:dyDescent="0.25">
      <c r="A37302" s="74">
        <v>40998</v>
      </c>
      <c r="B37302">
        <v>1.708</v>
      </c>
    </row>
    <row r="37303" spans="1:2" x14ac:dyDescent="0.25">
      <c r="A37303" s="74">
        <v>40999</v>
      </c>
      <c r="B37303">
        <v>1.5640000000000001</v>
      </c>
    </row>
    <row r="37304" spans="1:2" x14ac:dyDescent="0.25">
      <c r="A37304" s="74">
        <v>41000</v>
      </c>
      <c r="B37304">
        <v>1.5209999999999999</v>
      </c>
    </row>
    <row r="37305" spans="1:2" x14ac:dyDescent="0.25">
      <c r="A37305" s="74">
        <v>41001</v>
      </c>
      <c r="B37305">
        <v>1.542</v>
      </c>
    </row>
    <row r="37306" spans="1:2" x14ac:dyDescent="0.25">
      <c r="A37306" s="74">
        <v>41002</v>
      </c>
      <c r="B37306">
        <v>1.964</v>
      </c>
    </row>
    <row r="37307" spans="1:2" x14ac:dyDescent="0.25">
      <c r="A37307" s="74">
        <v>41003</v>
      </c>
      <c r="B37307">
        <v>1.758</v>
      </c>
    </row>
    <row r="37308" spans="1:2" x14ac:dyDescent="0.25">
      <c r="A37308" s="74">
        <v>41004</v>
      </c>
      <c r="B37308">
        <v>1.5980000000000001</v>
      </c>
    </row>
    <row r="37309" spans="1:2" x14ac:dyDescent="0.25">
      <c r="A37309" s="74">
        <v>41005</v>
      </c>
      <c r="B37309">
        <v>1.5109999999999999</v>
      </c>
    </row>
    <row r="37310" spans="1:2" x14ac:dyDescent="0.25">
      <c r="A37310" s="74">
        <v>41006</v>
      </c>
      <c r="B37310">
        <v>1.4630000000000001</v>
      </c>
    </row>
    <row r="37311" spans="1:2" x14ac:dyDescent="0.25">
      <c r="A37311" s="74">
        <v>41007</v>
      </c>
      <c r="B37311">
        <v>1.4319999999999999</v>
      </c>
    </row>
    <row r="37312" spans="1:2" x14ac:dyDescent="0.25">
      <c r="A37312" s="74">
        <v>41008</v>
      </c>
      <c r="B37312">
        <v>1.415</v>
      </c>
    </row>
    <row r="37313" spans="1:2" x14ac:dyDescent="0.25">
      <c r="A37313" s="74">
        <v>41009</v>
      </c>
      <c r="B37313">
        <v>1.4450000000000001</v>
      </c>
    </row>
    <row r="37314" spans="1:2" x14ac:dyDescent="0.25">
      <c r="A37314" s="74">
        <v>41010</v>
      </c>
      <c r="B37314">
        <v>1.512</v>
      </c>
    </row>
    <row r="37315" spans="1:2" x14ac:dyDescent="0.25">
      <c r="A37315" s="74">
        <v>41011</v>
      </c>
      <c r="B37315">
        <v>1.5389999999999999</v>
      </c>
    </row>
    <row r="37316" spans="1:2" x14ac:dyDescent="0.25">
      <c r="A37316" s="74">
        <v>41012</v>
      </c>
      <c r="B37316">
        <v>1.524</v>
      </c>
    </row>
    <row r="37317" spans="1:2" x14ac:dyDescent="0.25">
      <c r="A37317" s="74">
        <v>41013</v>
      </c>
      <c r="B37317">
        <v>1.498</v>
      </c>
    </row>
    <row r="37318" spans="1:2" x14ac:dyDescent="0.25">
      <c r="A37318" s="74">
        <v>41014</v>
      </c>
      <c r="B37318">
        <v>1.4970000000000001</v>
      </c>
    </row>
    <row r="37319" spans="1:2" x14ac:dyDescent="0.25">
      <c r="A37319" s="74">
        <v>41015</v>
      </c>
      <c r="B37319">
        <v>1.5640000000000001</v>
      </c>
    </row>
    <row r="37320" spans="1:2" x14ac:dyDescent="0.25">
      <c r="A37320" s="74">
        <v>41016</v>
      </c>
      <c r="B37320">
        <v>1.5940000000000001</v>
      </c>
    </row>
    <row r="37321" spans="1:2" x14ac:dyDescent="0.25">
      <c r="A37321" s="74">
        <v>41017</v>
      </c>
      <c r="B37321">
        <v>1.5269999999999999</v>
      </c>
    </row>
    <row r="37322" spans="1:2" x14ac:dyDescent="0.25">
      <c r="A37322" s="74">
        <v>41018</v>
      </c>
      <c r="B37322">
        <v>1.5</v>
      </c>
    </row>
    <row r="37323" spans="1:2" x14ac:dyDescent="0.25">
      <c r="A37323" s="74">
        <v>41019</v>
      </c>
      <c r="B37323">
        <v>1.5369999999999999</v>
      </c>
    </row>
    <row r="37324" spans="1:2" x14ac:dyDescent="0.25">
      <c r="A37324" s="74">
        <v>41020</v>
      </c>
      <c r="B37324">
        <v>1.5189999999999999</v>
      </c>
    </row>
    <row r="37325" spans="1:2" x14ac:dyDescent="0.25">
      <c r="A37325" s="74">
        <v>41021</v>
      </c>
      <c r="B37325">
        <v>1.5049999999999999</v>
      </c>
    </row>
    <row r="37326" spans="1:2" x14ac:dyDescent="0.25">
      <c r="A37326" s="74">
        <v>41022</v>
      </c>
      <c r="B37326">
        <v>1.69</v>
      </c>
    </row>
    <row r="37327" spans="1:2" x14ac:dyDescent="0.25">
      <c r="A37327" s="74">
        <v>41023</v>
      </c>
      <c r="B37327">
        <v>1.7010000000000001</v>
      </c>
    </row>
    <row r="37328" spans="1:2" x14ac:dyDescent="0.25">
      <c r="A37328" s="74">
        <v>41024</v>
      </c>
      <c r="B37328">
        <v>1.9850000000000001</v>
      </c>
    </row>
    <row r="37329" spans="1:3" x14ac:dyDescent="0.25">
      <c r="A37329" s="74">
        <v>41025</v>
      </c>
      <c r="B37329">
        <v>1.9570000000000001</v>
      </c>
    </row>
    <row r="37330" spans="1:3" x14ac:dyDescent="0.25">
      <c r="A37330" s="74">
        <v>41026</v>
      </c>
      <c r="B37330">
        <v>1.6859999999999999</v>
      </c>
    </row>
    <row r="37331" spans="1:3" x14ac:dyDescent="0.25">
      <c r="A37331" s="74">
        <v>41027</v>
      </c>
      <c r="B37331">
        <v>1.5620000000000001</v>
      </c>
    </row>
    <row r="37332" spans="1:3" x14ac:dyDescent="0.25">
      <c r="A37332" s="74">
        <v>41028</v>
      </c>
      <c r="B37332">
        <v>1.5349999999999999</v>
      </c>
    </row>
    <row r="37333" spans="1:3" x14ac:dyDescent="0.25">
      <c r="A37333" s="74">
        <v>41029</v>
      </c>
      <c r="B37333">
        <v>1.548</v>
      </c>
    </row>
    <row r="37334" spans="1:3" x14ac:dyDescent="0.25">
      <c r="A37334" s="74">
        <v>41030</v>
      </c>
      <c r="B37334">
        <v>1.5409999999999999</v>
      </c>
    </row>
    <row r="37335" spans="1:3" x14ac:dyDescent="0.25">
      <c r="A37335" s="74">
        <v>41031</v>
      </c>
      <c r="B37335">
        <v>1.478</v>
      </c>
    </row>
    <row r="37336" spans="1:3" x14ac:dyDescent="0.25">
      <c r="A37336" s="74">
        <v>41032</v>
      </c>
      <c r="B37336">
        <v>1.452</v>
      </c>
    </row>
    <row r="37337" spans="1:3" x14ac:dyDescent="0.25">
      <c r="A37337" s="74">
        <v>41033</v>
      </c>
      <c r="B37337">
        <v>1.4470000000000001</v>
      </c>
      <c r="C37337" t="s">
        <v>140</v>
      </c>
    </row>
    <row r="37338" spans="1:3" x14ac:dyDescent="0.25">
      <c r="A37338" s="74">
        <v>41034</v>
      </c>
    </row>
    <row r="37339" spans="1:3" x14ac:dyDescent="0.25">
      <c r="A37339" s="74">
        <v>41035</v>
      </c>
    </row>
    <row r="37340" spans="1:3" x14ac:dyDescent="0.25">
      <c r="A37340" s="74">
        <v>41036</v>
      </c>
    </row>
    <row r="37341" spans="1:3" x14ac:dyDescent="0.25">
      <c r="A37341" s="74">
        <v>41037</v>
      </c>
      <c r="B37341">
        <v>1.4850000000000001</v>
      </c>
      <c r="C37341" t="s">
        <v>140</v>
      </c>
    </row>
    <row r="37342" spans="1:3" x14ac:dyDescent="0.25">
      <c r="A37342" s="74">
        <v>41038</v>
      </c>
      <c r="B37342">
        <v>1.4770000000000001</v>
      </c>
    </row>
    <row r="37343" spans="1:3" x14ac:dyDescent="0.25">
      <c r="A37343" s="74">
        <v>41039</v>
      </c>
      <c r="B37343">
        <v>1.4219999999999999</v>
      </c>
    </row>
    <row r="37344" spans="1:3" x14ac:dyDescent="0.25">
      <c r="A37344" s="74">
        <v>41040</v>
      </c>
      <c r="B37344">
        <v>1.3859999999999999</v>
      </c>
    </row>
    <row r="37345" spans="1:2" x14ac:dyDescent="0.25">
      <c r="A37345" s="74">
        <v>41041</v>
      </c>
      <c r="B37345">
        <v>1.375</v>
      </c>
    </row>
    <row r="37346" spans="1:2" x14ac:dyDescent="0.25">
      <c r="A37346" s="74">
        <v>41042</v>
      </c>
      <c r="B37346">
        <v>1.41</v>
      </c>
    </row>
    <row r="37347" spans="1:2" x14ac:dyDescent="0.25">
      <c r="A37347" s="74">
        <v>41043</v>
      </c>
      <c r="B37347">
        <v>1.4850000000000001</v>
      </c>
    </row>
    <row r="37348" spans="1:2" x14ac:dyDescent="0.25">
      <c r="A37348" s="74">
        <v>41044</v>
      </c>
      <c r="B37348">
        <v>1.5389999999999999</v>
      </c>
    </row>
    <row r="37349" spans="1:2" x14ac:dyDescent="0.25">
      <c r="A37349" s="74">
        <v>41045</v>
      </c>
      <c r="B37349">
        <v>1.5249999999999999</v>
      </c>
    </row>
    <row r="37350" spans="1:2" x14ac:dyDescent="0.25">
      <c r="A37350" s="74">
        <v>41046</v>
      </c>
      <c r="B37350">
        <v>1.466</v>
      </c>
    </row>
    <row r="37351" spans="1:2" x14ac:dyDescent="0.25">
      <c r="A37351" s="74">
        <v>41047</v>
      </c>
      <c r="B37351">
        <v>1.4219999999999999</v>
      </c>
    </row>
    <row r="37352" spans="1:2" x14ac:dyDescent="0.25">
      <c r="A37352" s="74">
        <v>41048</v>
      </c>
      <c r="B37352">
        <v>1.391</v>
      </c>
    </row>
    <row r="37353" spans="1:2" x14ac:dyDescent="0.25">
      <c r="A37353" s="74">
        <v>41049</v>
      </c>
      <c r="B37353">
        <v>1.391</v>
      </c>
    </row>
    <row r="37354" spans="1:2" x14ac:dyDescent="0.25">
      <c r="A37354" s="74">
        <v>41050</v>
      </c>
      <c r="B37354">
        <v>1.4990000000000001</v>
      </c>
    </row>
    <row r="37355" spans="1:2" x14ac:dyDescent="0.25">
      <c r="A37355" s="74">
        <v>41051</v>
      </c>
      <c r="B37355">
        <v>1.5489999999999999</v>
      </c>
    </row>
    <row r="37356" spans="1:2" x14ac:dyDescent="0.25">
      <c r="A37356" s="74">
        <v>41052</v>
      </c>
      <c r="B37356">
        <v>1.4570000000000001</v>
      </c>
    </row>
    <row r="37357" spans="1:2" x14ac:dyDescent="0.25">
      <c r="A37357" s="74">
        <v>41053</v>
      </c>
      <c r="B37357">
        <v>1.4179999999999999</v>
      </c>
    </row>
    <row r="37358" spans="1:2" x14ac:dyDescent="0.25">
      <c r="A37358" s="74">
        <v>41054</v>
      </c>
      <c r="B37358">
        <v>1.389</v>
      </c>
    </row>
    <row r="37359" spans="1:2" x14ac:dyDescent="0.25">
      <c r="A37359" s="74">
        <v>41055</v>
      </c>
      <c r="B37359">
        <v>1.4219999999999999</v>
      </c>
    </row>
    <row r="37360" spans="1:2" x14ac:dyDescent="0.25">
      <c r="A37360" s="74">
        <v>41056</v>
      </c>
      <c r="B37360">
        <v>1.4470000000000001</v>
      </c>
    </row>
    <row r="37361" spans="1:2" x14ac:dyDescent="0.25">
      <c r="A37361" s="74">
        <v>41057</v>
      </c>
      <c r="B37361">
        <v>1.429</v>
      </c>
    </row>
    <row r="37362" spans="1:2" x14ac:dyDescent="0.25">
      <c r="A37362" s="74">
        <v>41058</v>
      </c>
      <c r="B37362">
        <v>1.397</v>
      </c>
    </row>
    <row r="37363" spans="1:2" x14ac:dyDescent="0.25">
      <c r="A37363" s="74">
        <v>41059</v>
      </c>
      <c r="B37363">
        <v>1.37</v>
      </c>
    </row>
    <row r="37364" spans="1:2" x14ac:dyDescent="0.25">
      <c r="A37364" s="74">
        <v>41060</v>
      </c>
      <c r="B37364">
        <v>1.41</v>
      </c>
    </row>
    <row r="37365" spans="1:2" x14ac:dyDescent="0.25">
      <c r="A37365" s="74">
        <v>41061</v>
      </c>
      <c r="B37365">
        <v>1.4930000000000001</v>
      </c>
    </row>
    <row r="37366" spans="1:2" x14ac:dyDescent="0.25">
      <c r="A37366" s="74">
        <v>41062</v>
      </c>
      <c r="B37366">
        <v>1.4790000000000001</v>
      </c>
    </row>
    <row r="37367" spans="1:2" x14ac:dyDescent="0.25">
      <c r="A37367" s="74">
        <v>41063</v>
      </c>
      <c r="B37367">
        <v>1.4059999999999999</v>
      </c>
    </row>
    <row r="37368" spans="1:2" x14ac:dyDescent="0.25">
      <c r="A37368" s="74">
        <v>41064</v>
      </c>
      <c r="B37368">
        <v>1.3620000000000001</v>
      </c>
    </row>
    <row r="37369" spans="1:2" x14ac:dyDescent="0.25">
      <c r="A37369" s="74">
        <v>41065</v>
      </c>
      <c r="B37369">
        <v>1.333</v>
      </c>
    </row>
    <row r="37370" spans="1:2" x14ac:dyDescent="0.25">
      <c r="A37370" s="74">
        <v>41066</v>
      </c>
      <c r="B37370">
        <v>1.321</v>
      </c>
    </row>
    <row r="37371" spans="1:2" x14ac:dyDescent="0.25">
      <c r="A37371" s="74">
        <v>41067</v>
      </c>
      <c r="B37371">
        <v>1.3380000000000001</v>
      </c>
    </row>
    <row r="37372" spans="1:2" x14ac:dyDescent="0.25">
      <c r="A37372" s="74">
        <v>41068</v>
      </c>
      <c r="B37372">
        <v>1.379</v>
      </c>
    </row>
    <row r="37373" spans="1:2" x14ac:dyDescent="0.25">
      <c r="A37373" s="74">
        <v>41069</v>
      </c>
      <c r="B37373">
        <v>1.3460000000000001</v>
      </c>
    </row>
    <row r="37374" spans="1:2" x14ac:dyDescent="0.25">
      <c r="A37374" s="74">
        <v>41070</v>
      </c>
      <c r="B37374">
        <v>1.351</v>
      </c>
    </row>
    <row r="37375" spans="1:2" x14ac:dyDescent="0.25">
      <c r="A37375" s="74">
        <v>41071</v>
      </c>
      <c r="B37375">
        <v>1.347</v>
      </c>
    </row>
    <row r="37376" spans="1:2" x14ac:dyDescent="0.25">
      <c r="A37376" s="74">
        <v>41072</v>
      </c>
      <c r="B37376">
        <v>1.363</v>
      </c>
    </row>
    <row r="37377" spans="1:2" x14ac:dyDescent="0.25">
      <c r="A37377" s="74">
        <v>41073</v>
      </c>
      <c r="B37377">
        <v>1.391</v>
      </c>
    </row>
    <row r="37378" spans="1:2" x14ac:dyDescent="0.25">
      <c r="A37378" s="74">
        <v>41074</v>
      </c>
      <c r="B37378">
        <v>1.371</v>
      </c>
    </row>
    <row r="37379" spans="1:2" x14ac:dyDescent="0.25">
      <c r="A37379" s="74">
        <v>41075</v>
      </c>
      <c r="B37379">
        <v>1.327</v>
      </c>
    </row>
    <row r="37380" spans="1:2" x14ac:dyDescent="0.25">
      <c r="A37380" s="74">
        <v>41076</v>
      </c>
      <c r="B37380">
        <v>1.3540000000000001</v>
      </c>
    </row>
    <row r="37381" spans="1:2" x14ac:dyDescent="0.25">
      <c r="A37381" s="74">
        <v>41077</v>
      </c>
      <c r="B37381">
        <v>1.415</v>
      </c>
    </row>
    <row r="37382" spans="1:2" x14ac:dyDescent="0.25">
      <c r="A37382" s="74">
        <v>41078</v>
      </c>
      <c r="B37382">
        <v>1.3680000000000001</v>
      </c>
    </row>
    <row r="37383" spans="1:2" x14ac:dyDescent="0.25">
      <c r="A37383" s="74">
        <v>41079</v>
      </c>
      <c r="B37383">
        <v>1.3220000000000001</v>
      </c>
    </row>
    <row r="37384" spans="1:2" x14ac:dyDescent="0.25">
      <c r="A37384" s="74">
        <v>41080</v>
      </c>
      <c r="B37384">
        <v>1.294</v>
      </c>
    </row>
    <row r="37385" spans="1:2" x14ac:dyDescent="0.25">
      <c r="A37385" s="74">
        <v>41081</v>
      </c>
      <c r="B37385">
        <v>1.29</v>
      </c>
    </row>
    <row r="37386" spans="1:2" x14ac:dyDescent="0.25">
      <c r="A37386" s="74">
        <v>41082</v>
      </c>
      <c r="B37386">
        <v>1.3220000000000001</v>
      </c>
    </row>
    <row r="37387" spans="1:2" x14ac:dyDescent="0.25">
      <c r="A37387" s="74">
        <v>41083</v>
      </c>
      <c r="B37387">
        <v>1.4610000000000001</v>
      </c>
    </row>
    <row r="37388" spans="1:2" x14ac:dyDescent="0.25">
      <c r="A37388" s="74">
        <v>41084</v>
      </c>
      <c r="B37388">
        <v>1.4570000000000001</v>
      </c>
    </row>
    <row r="37389" spans="1:2" x14ac:dyDescent="0.25">
      <c r="A37389" s="74">
        <v>41085</v>
      </c>
      <c r="B37389">
        <v>1.401</v>
      </c>
    </row>
    <row r="37390" spans="1:2" x14ac:dyDescent="0.25">
      <c r="A37390" s="74">
        <v>41086</v>
      </c>
      <c r="B37390">
        <v>1.3580000000000001</v>
      </c>
    </row>
    <row r="37391" spans="1:2" x14ac:dyDescent="0.25">
      <c r="A37391" s="74">
        <v>41087</v>
      </c>
      <c r="B37391">
        <v>1.329</v>
      </c>
    </row>
    <row r="37392" spans="1:2" x14ac:dyDescent="0.25">
      <c r="A37392" s="74">
        <v>41088</v>
      </c>
      <c r="B37392">
        <v>1.3120000000000001</v>
      </c>
    </row>
    <row r="37393" spans="1:2" x14ac:dyDescent="0.25">
      <c r="A37393" s="74">
        <v>41089</v>
      </c>
      <c r="B37393">
        <v>1.3440000000000001</v>
      </c>
    </row>
    <row r="37394" spans="1:2" x14ac:dyDescent="0.25">
      <c r="A37394" s="74">
        <v>41090</v>
      </c>
      <c r="B37394">
        <v>1.3879999999999999</v>
      </c>
    </row>
    <row r="37395" spans="1:2" x14ac:dyDescent="0.25">
      <c r="A37395" s="74">
        <v>41091</v>
      </c>
      <c r="B37395">
        <v>1.365</v>
      </c>
    </row>
    <row r="37396" spans="1:2" x14ac:dyDescent="0.25">
      <c r="A37396" s="74">
        <v>41092</v>
      </c>
      <c r="B37396">
        <v>1.3360000000000001</v>
      </c>
    </row>
    <row r="37397" spans="1:2" x14ac:dyDescent="0.25">
      <c r="A37397" s="74">
        <v>41093</v>
      </c>
      <c r="B37397">
        <v>1.339</v>
      </c>
    </row>
    <row r="37398" spans="1:2" x14ac:dyDescent="0.25">
      <c r="A37398" s="74">
        <v>41094</v>
      </c>
      <c r="B37398">
        <v>1.337</v>
      </c>
    </row>
    <row r="37399" spans="1:2" x14ac:dyDescent="0.25">
      <c r="A37399" s="74">
        <v>41095</v>
      </c>
      <c r="B37399">
        <v>1.3029999999999999</v>
      </c>
    </row>
    <row r="37400" spans="1:2" x14ac:dyDescent="0.25">
      <c r="A37400" s="74">
        <v>41096</v>
      </c>
      <c r="B37400">
        <v>1.286</v>
      </c>
    </row>
    <row r="37401" spans="1:2" x14ac:dyDescent="0.25">
      <c r="A37401" s="74">
        <v>41097</v>
      </c>
      <c r="B37401">
        <v>1.2889999999999999</v>
      </c>
    </row>
    <row r="37402" spans="1:2" x14ac:dyDescent="0.25">
      <c r="A37402" s="74">
        <v>41098</v>
      </c>
      <c r="B37402">
        <v>1.2889999999999999</v>
      </c>
    </row>
    <row r="37403" spans="1:2" x14ac:dyDescent="0.25">
      <c r="A37403" s="74">
        <v>41099</v>
      </c>
      <c r="B37403">
        <v>1.2929999999999999</v>
      </c>
    </row>
    <row r="37404" spans="1:2" x14ac:dyDescent="0.25">
      <c r="A37404" s="74">
        <v>41100</v>
      </c>
      <c r="B37404">
        <v>1.2869999999999999</v>
      </c>
    </row>
    <row r="37405" spans="1:2" x14ac:dyDescent="0.25">
      <c r="A37405" s="74">
        <v>41101</v>
      </c>
      <c r="B37405">
        <v>1.2749999999999999</v>
      </c>
    </row>
    <row r="37406" spans="1:2" x14ac:dyDescent="0.25">
      <c r="A37406" s="74">
        <v>41102</v>
      </c>
      <c r="B37406">
        <v>1.268</v>
      </c>
    </row>
    <row r="37407" spans="1:2" x14ac:dyDescent="0.25">
      <c r="A37407" s="74">
        <v>41103</v>
      </c>
      <c r="B37407">
        <v>1.264</v>
      </c>
    </row>
    <row r="37408" spans="1:2" x14ac:dyDescent="0.25">
      <c r="A37408" s="74">
        <v>41104</v>
      </c>
      <c r="B37408">
        <v>1.2589999999999999</v>
      </c>
    </row>
    <row r="37409" spans="1:2" x14ac:dyDescent="0.25">
      <c r="A37409" s="74">
        <v>41105</v>
      </c>
      <c r="B37409">
        <v>1.2569999999999999</v>
      </c>
    </row>
    <row r="37410" spans="1:2" x14ac:dyDescent="0.25">
      <c r="A37410" s="74">
        <v>41106</v>
      </c>
      <c r="B37410">
        <v>1.2410000000000001</v>
      </c>
    </row>
    <row r="37411" spans="1:2" x14ac:dyDescent="0.25">
      <c r="A37411" s="74">
        <v>41107</v>
      </c>
      <c r="B37411">
        <v>1.2390000000000001</v>
      </c>
    </row>
    <row r="37412" spans="1:2" x14ac:dyDescent="0.25">
      <c r="A37412" s="74">
        <v>41108</v>
      </c>
      <c r="B37412">
        <v>1.232</v>
      </c>
    </row>
    <row r="37413" spans="1:2" x14ac:dyDescent="0.25">
      <c r="A37413" s="74">
        <v>41109</v>
      </c>
      <c r="B37413">
        <v>1.214</v>
      </c>
    </row>
    <row r="37414" spans="1:2" x14ac:dyDescent="0.25">
      <c r="A37414" s="74">
        <v>41110</v>
      </c>
      <c r="B37414">
        <v>1.208</v>
      </c>
    </row>
    <row r="37415" spans="1:2" x14ac:dyDescent="0.25">
      <c r="A37415" s="74">
        <v>41111</v>
      </c>
      <c r="B37415">
        <v>1.2050000000000001</v>
      </c>
    </row>
    <row r="37416" spans="1:2" x14ac:dyDescent="0.25">
      <c r="A37416" s="74">
        <v>41112</v>
      </c>
      <c r="B37416">
        <v>1.2030000000000001</v>
      </c>
    </row>
    <row r="37417" spans="1:2" x14ac:dyDescent="0.25">
      <c r="A37417" s="74">
        <v>41113</v>
      </c>
      <c r="B37417">
        <v>1.2</v>
      </c>
    </row>
    <row r="37418" spans="1:2" x14ac:dyDescent="0.25">
      <c r="A37418" s="74">
        <v>41114</v>
      </c>
      <c r="B37418">
        <v>1.1890000000000001</v>
      </c>
    </row>
    <row r="37419" spans="1:2" x14ac:dyDescent="0.25">
      <c r="A37419" s="74">
        <v>41115</v>
      </c>
      <c r="B37419">
        <v>1.18</v>
      </c>
    </row>
    <row r="37420" spans="1:2" x14ac:dyDescent="0.25">
      <c r="A37420" s="74">
        <v>41116</v>
      </c>
      <c r="B37420">
        <v>1.1759999999999999</v>
      </c>
    </row>
    <row r="37421" spans="1:2" x14ac:dyDescent="0.25">
      <c r="A37421" s="74">
        <v>41117</v>
      </c>
      <c r="B37421">
        <v>1.1759999999999999</v>
      </c>
    </row>
    <row r="37422" spans="1:2" x14ac:dyDescent="0.25">
      <c r="A37422" s="74">
        <v>41118</v>
      </c>
      <c r="B37422">
        <v>1.175</v>
      </c>
    </row>
    <row r="37423" spans="1:2" x14ac:dyDescent="0.25">
      <c r="A37423" s="74">
        <v>41119</v>
      </c>
      <c r="B37423">
        <v>1.1679999999999999</v>
      </c>
    </row>
    <row r="37424" spans="1:2" x14ac:dyDescent="0.25">
      <c r="A37424" s="74">
        <v>41120</v>
      </c>
      <c r="B37424">
        <v>1.165</v>
      </c>
    </row>
    <row r="37425" spans="1:3" x14ac:dyDescent="0.25">
      <c r="A37425" s="74">
        <v>41121</v>
      </c>
      <c r="B37425">
        <v>1.17</v>
      </c>
    </row>
    <row r="37426" spans="1:3" x14ac:dyDescent="0.25">
      <c r="A37426" s="74">
        <v>41122</v>
      </c>
      <c r="B37426">
        <v>1.177</v>
      </c>
    </row>
    <row r="37427" spans="1:3" x14ac:dyDescent="0.25">
      <c r="A37427" s="74">
        <v>41123</v>
      </c>
      <c r="B37427">
        <v>1.1830000000000001</v>
      </c>
    </row>
    <row r="37428" spans="1:3" x14ac:dyDescent="0.25">
      <c r="A37428" s="74">
        <v>41124</v>
      </c>
      <c r="B37428">
        <v>1.1679999999999999</v>
      </c>
    </row>
    <row r="37429" spans="1:3" x14ac:dyDescent="0.25">
      <c r="A37429" s="74">
        <v>41125</v>
      </c>
      <c r="B37429">
        <v>1.1619999999999999</v>
      </c>
    </row>
    <row r="37430" spans="1:3" x14ac:dyDescent="0.25">
      <c r="A37430" s="74">
        <v>41126</v>
      </c>
      <c r="B37430">
        <v>1.1619999999999999</v>
      </c>
    </row>
    <row r="37431" spans="1:3" x14ac:dyDescent="0.25">
      <c r="A37431" s="74">
        <v>41127</v>
      </c>
      <c r="B37431">
        <v>1.165</v>
      </c>
    </row>
    <row r="37432" spans="1:3" x14ac:dyDescent="0.25">
      <c r="A37432" s="74">
        <v>41128</v>
      </c>
      <c r="B37432">
        <v>1.165</v>
      </c>
    </row>
    <row r="37433" spans="1:3" x14ac:dyDescent="0.25">
      <c r="A37433" s="74">
        <v>41129</v>
      </c>
      <c r="B37433">
        <v>1.1639999999999999</v>
      </c>
    </row>
    <row r="37434" spans="1:3" x14ac:dyDescent="0.25">
      <c r="A37434" s="74">
        <v>41130</v>
      </c>
      <c r="B37434">
        <v>1.159</v>
      </c>
    </row>
    <row r="37435" spans="1:3" x14ac:dyDescent="0.25">
      <c r="A37435" s="74">
        <v>41131</v>
      </c>
      <c r="B37435">
        <v>1.1559999999999999</v>
      </c>
      <c r="C37435" t="s">
        <v>140</v>
      </c>
    </row>
    <row r="37436" spans="1:3" x14ac:dyDescent="0.25">
      <c r="A37436" s="74">
        <v>41132</v>
      </c>
    </row>
    <row r="37437" spans="1:3" x14ac:dyDescent="0.25">
      <c r="A37437" s="74">
        <v>41133</v>
      </c>
    </row>
    <row r="37438" spans="1:3" x14ac:dyDescent="0.25">
      <c r="A37438" s="74">
        <v>41134</v>
      </c>
    </row>
    <row r="37439" spans="1:3" x14ac:dyDescent="0.25">
      <c r="A37439" s="74">
        <v>41135</v>
      </c>
      <c r="B37439">
        <v>1.169</v>
      </c>
      <c r="C37439" t="s">
        <v>140</v>
      </c>
    </row>
    <row r="37440" spans="1:3" x14ac:dyDescent="0.25">
      <c r="A37440" s="74">
        <v>41136</v>
      </c>
      <c r="B37440">
        <v>1.163</v>
      </c>
    </row>
    <row r="37441" spans="1:3" x14ac:dyDescent="0.25">
      <c r="A37441" s="74">
        <v>41137</v>
      </c>
      <c r="B37441">
        <v>1.159</v>
      </c>
    </row>
    <row r="37442" spans="1:3" x14ac:dyDescent="0.25">
      <c r="A37442" s="74">
        <v>41138</v>
      </c>
      <c r="B37442">
        <v>1.1579999999999999</v>
      </c>
    </row>
    <row r="37443" spans="1:3" x14ac:dyDescent="0.25">
      <c r="A37443" s="74">
        <v>41139</v>
      </c>
      <c r="B37443">
        <v>1.1659999999999999</v>
      </c>
    </row>
    <row r="37444" spans="1:3" x14ac:dyDescent="0.25">
      <c r="A37444" s="74">
        <v>41140</v>
      </c>
      <c r="B37444">
        <v>1.167</v>
      </c>
    </row>
    <row r="37445" spans="1:3" x14ac:dyDescent="0.25">
      <c r="A37445" s="74">
        <v>41141</v>
      </c>
      <c r="B37445">
        <v>1.165</v>
      </c>
    </row>
    <row r="37446" spans="1:3" x14ac:dyDescent="0.25">
      <c r="A37446" s="74">
        <v>41142</v>
      </c>
      <c r="B37446">
        <v>1.163</v>
      </c>
      <c r="C37446" t="s">
        <v>140</v>
      </c>
    </row>
    <row r="37447" spans="1:3" x14ac:dyDescent="0.25">
      <c r="A37447" s="74">
        <v>41143</v>
      </c>
      <c r="B37447">
        <v>1.1619999999999999</v>
      </c>
    </row>
    <row r="37448" spans="1:3" x14ac:dyDescent="0.25">
      <c r="A37448" s="74">
        <v>41144</v>
      </c>
      <c r="B37448">
        <v>1.1599999999999999</v>
      </c>
    </row>
    <row r="37449" spans="1:3" x14ac:dyDescent="0.25">
      <c r="A37449" s="74">
        <v>41145</v>
      </c>
      <c r="B37449">
        <v>1.1579999999999999</v>
      </c>
    </row>
    <row r="37450" spans="1:3" x14ac:dyDescent="0.25">
      <c r="A37450" s="74">
        <v>41146</v>
      </c>
      <c r="B37450">
        <v>1.157</v>
      </c>
    </row>
    <row r="37451" spans="1:3" x14ac:dyDescent="0.25">
      <c r="A37451" s="74">
        <v>41147</v>
      </c>
      <c r="B37451">
        <v>1.155</v>
      </c>
    </row>
    <row r="37452" spans="1:3" x14ac:dyDescent="0.25">
      <c r="A37452" s="74">
        <v>41148</v>
      </c>
      <c r="B37452">
        <v>1.155</v>
      </c>
    </row>
    <row r="37453" spans="1:3" x14ac:dyDescent="0.25">
      <c r="A37453" s="74">
        <v>41149</v>
      </c>
      <c r="B37453">
        <v>1.1539999999999999</v>
      </c>
      <c r="C37453" t="s">
        <v>140</v>
      </c>
    </row>
    <row r="37454" spans="1:3" x14ac:dyDescent="0.25">
      <c r="A37454" s="74">
        <v>41150</v>
      </c>
    </row>
    <row r="37455" spans="1:3" x14ac:dyDescent="0.25">
      <c r="A37455" s="74">
        <v>41151</v>
      </c>
      <c r="B37455">
        <v>1.153</v>
      </c>
      <c r="C37455" t="s">
        <v>140</v>
      </c>
    </row>
    <row r="37456" spans="1:3" x14ac:dyDescent="0.25">
      <c r="A37456" s="74">
        <v>41152</v>
      </c>
      <c r="B37456">
        <v>1.153</v>
      </c>
    </row>
    <row r="37457" spans="1:3" x14ac:dyDescent="0.25">
      <c r="A37457" s="74">
        <v>41153</v>
      </c>
      <c r="B37457">
        <v>1.1519999999999999</v>
      </c>
    </row>
    <row r="37458" spans="1:3" x14ac:dyDescent="0.25">
      <c r="A37458" s="74">
        <v>41154</v>
      </c>
      <c r="B37458">
        <v>1.153</v>
      </c>
    </row>
    <row r="37459" spans="1:3" x14ac:dyDescent="0.25">
      <c r="A37459" s="74">
        <v>41155</v>
      </c>
      <c r="B37459">
        <v>1.1519999999999999</v>
      </c>
    </row>
    <row r="37460" spans="1:3" x14ac:dyDescent="0.25">
      <c r="A37460" s="74">
        <v>41156</v>
      </c>
      <c r="B37460">
        <v>1.1559999999999999</v>
      </c>
    </row>
    <row r="37461" spans="1:3" x14ac:dyDescent="0.25">
      <c r="A37461" s="74">
        <v>41157</v>
      </c>
      <c r="B37461">
        <v>1.1579999999999999</v>
      </c>
    </row>
    <row r="37462" spans="1:3" x14ac:dyDescent="0.25">
      <c r="A37462" s="74">
        <v>41158</v>
      </c>
      <c r="B37462">
        <v>1.1579999999999999</v>
      </c>
      <c r="C37462" t="s">
        <v>140</v>
      </c>
    </row>
    <row r="37463" spans="1:3" x14ac:dyDescent="0.25">
      <c r="A37463" s="74">
        <v>41159</v>
      </c>
    </row>
    <row r="37464" spans="1:3" x14ac:dyDescent="0.25">
      <c r="A37464" s="74">
        <v>41160</v>
      </c>
    </row>
    <row r="37465" spans="1:3" x14ac:dyDescent="0.25">
      <c r="A37465" s="74">
        <v>41161</v>
      </c>
    </row>
    <row r="37466" spans="1:3" x14ac:dyDescent="0.25">
      <c r="A37466" s="74">
        <v>41162</v>
      </c>
      <c r="B37466">
        <v>1.155</v>
      </c>
      <c r="C37466" t="s">
        <v>140</v>
      </c>
    </row>
    <row r="37467" spans="1:3" x14ac:dyDescent="0.25">
      <c r="A37467" s="74">
        <v>41163</v>
      </c>
      <c r="B37467">
        <v>1.1599999999999999</v>
      </c>
    </row>
    <row r="37468" spans="1:3" x14ac:dyDescent="0.25">
      <c r="A37468" s="74">
        <v>41164</v>
      </c>
      <c r="B37468">
        <v>1.159</v>
      </c>
      <c r="C37468" t="s">
        <v>140</v>
      </c>
    </row>
    <row r="37469" spans="1:3" x14ac:dyDescent="0.25">
      <c r="A37469" s="74">
        <v>41165</v>
      </c>
    </row>
    <row r="37470" spans="1:3" x14ac:dyDescent="0.25">
      <c r="A37470" s="74">
        <v>41166</v>
      </c>
    </row>
    <row r="37471" spans="1:3" x14ac:dyDescent="0.25">
      <c r="A37471" s="74">
        <v>41167</v>
      </c>
    </row>
    <row r="37472" spans="1:3" x14ac:dyDescent="0.25">
      <c r="A37472" s="74">
        <v>41168</v>
      </c>
    </row>
    <row r="37473" spans="1:1" x14ac:dyDescent="0.25">
      <c r="A37473" s="74">
        <v>41169</v>
      </c>
    </row>
    <row r="37474" spans="1:1" x14ac:dyDescent="0.25">
      <c r="A37474" s="74">
        <v>41170</v>
      </c>
    </row>
    <row r="37475" spans="1:1" x14ac:dyDescent="0.25">
      <c r="A37475" s="74">
        <v>41171</v>
      </c>
    </row>
    <row r="37476" spans="1:1" x14ac:dyDescent="0.25">
      <c r="A37476" s="74">
        <v>41172</v>
      </c>
    </row>
    <row r="37477" spans="1:1" x14ac:dyDescent="0.25">
      <c r="A37477" s="74">
        <v>41173</v>
      </c>
    </row>
    <row r="37478" spans="1:1" x14ac:dyDescent="0.25">
      <c r="A37478" s="74">
        <v>41174</v>
      </c>
    </row>
    <row r="37479" spans="1:1" x14ac:dyDescent="0.25">
      <c r="A37479" s="74">
        <v>41175</v>
      </c>
    </row>
    <row r="37480" spans="1:1" x14ac:dyDescent="0.25">
      <c r="A37480" s="74">
        <v>41176</v>
      </c>
    </row>
    <row r="37481" spans="1:1" x14ac:dyDescent="0.25">
      <c r="A37481" s="74">
        <v>41177</v>
      </c>
    </row>
    <row r="37482" spans="1:1" x14ac:dyDescent="0.25">
      <c r="A37482" s="74">
        <v>41178</v>
      </c>
    </row>
    <row r="37483" spans="1:1" x14ac:dyDescent="0.25">
      <c r="A37483" s="74">
        <v>41179</v>
      </c>
    </row>
    <row r="37484" spans="1:1" x14ac:dyDescent="0.25">
      <c r="A37484" s="74">
        <v>41180</v>
      </c>
    </row>
    <row r="37485" spans="1:1" x14ac:dyDescent="0.25">
      <c r="A37485" s="74">
        <v>41181</v>
      </c>
    </row>
    <row r="37486" spans="1:1" x14ac:dyDescent="0.25">
      <c r="A37486" s="74">
        <v>41182</v>
      </c>
    </row>
    <row r="37487" spans="1:1" x14ac:dyDescent="0.25">
      <c r="A37487" s="74">
        <v>41183</v>
      </c>
    </row>
    <row r="37488" spans="1:1" x14ac:dyDescent="0.25">
      <c r="A37488" s="74">
        <v>41184</v>
      </c>
    </row>
    <row r="37489" spans="1:3" x14ac:dyDescent="0.25">
      <c r="A37489" s="74">
        <v>41185</v>
      </c>
    </row>
    <row r="37490" spans="1:3" x14ac:dyDescent="0.25">
      <c r="A37490" s="74">
        <v>41186</v>
      </c>
    </row>
    <row r="37491" spans="1:3" x14ac:dyDescent="0.25">
      <c r="A37491" s="74">
        <v>41187</v>
      </c>
    </row>
    <row r="37492" spans="1:3" x14ac:dyDescent="0.25">
      <c r="A37492" s="74">
        <v>41188</v>
      </c>
    </row>
    <row r="37493" spans="1:3" x14ac:dyDescent="0.25">
      <c r="A37493" s="74">
        <v>41189</v>
      </c>
    </row>
    <row r="37494" spans="1:3" x14ac:dyDescent="0.25">
      <c r="A37494" s="74">
        <v>41190</v>
      </c>
    </row>
    <row r="37495" spans="1:3" x14ac:dyDescent="0.25">
      <c r="A37495" s="74">
        <v>41191</v>
      </c>
    </row>
    <row r="37496" spans="1:3" x14ac:dyDescent="0.25">
      <c r="A37496" s="74">
        <v>41192</v>
      </c>
    </row>
    <row r="37497" spans="1:3" x14ac:dyDescent="0.25">
      <c r="A37497" s="74">
        <v>41193</v>
      </c>
    </row>
    <row r="37498" spans="1:3" x14ac:dyDescent="0.25">
      <c r="A37498" s="74">
        <v>41194</v>
      </c>
    </row>
    <row r="37499" spans="1:3" x14ac:dyDescent="0.25">
      <c r="A37499" s="74">
        <v>41195</v>
      </c>
    </row>
    <row r="37500" spans="1:3" x14ac:dyDescent="0.25">
      <c r="A37500" s="74">
        <v>41196</v>
      </c>
    </row>
    <row r="37501" spans="1:3" x14ac:dyDescent="0.25">
      <c r="A37501" s="74">
        <v>41197</v>
      </c>
    </row>
    <row r="37502" spans="1:3" x14ac:dyDescent="0.25">
      <c r="A37502" s="74">
        <v>41198</v>
      </c>
      <c r="B37502">
        <v>1.302</v>
      </c>
      <c r="C37502" t="s">
        <v>140</v>
      </c>
    </row>
    <row r="37503" spans="1:3" x14ac:dyDescent="0.25">
      <c r="A37503" s="74">
        <v>41199</v>
      </c>
      <c r="B37503">
        <v>1.244</v>
      </c>
    </row>
    <row r="37504" spans="1:3" x14ac:dyDescent="0.25">
      <c r="A37504" s="74">
        <v>41200</v>
      </c>
      <c r="B37504">
        <v>1.2110000000000001</v>
      </c>
    </row>
    <row r="37505" spans="1:2" x14ac:dyDescent="0.25">
      <c r="A37505" s="74">
        <v>41201</v>
      </c>
      <c r="B37505">
        <v>1.4430000000000001</v>
      </c>
    </row>
    <row r="37506" spans="1:2" x14ac:dyDescent="0.25">
      <c r="A37506" s="74">
        <v>41202</v>
      </c>
      <c r="B37506">
        <v>1.3420000000000001</v>
      </c>
    </row>
    <row r="37507" spans="1:2" x14ac:dyDescent="0.25">
      <c r="A37507" s="74">
        <v>41203</v>
      </c>
      <c r="B37507">
        <v>1.274</v>
      </c>
    </row>
    <row r="37508" spans="1:2" x14ac:dyDescent="0.25">
      <c r="A37508" s="74">
        <v>41204</v>
      </c>
      <c r="B37508">
        <v>1.2390000000000001</v>
      </c>
    </row>
    <row r="37509" spans="1:2" x14ac:dyDescent="0.25">
      <c r="A37509" s="74">
        <v>41205</v>
      </c>
      <c r="B37509">
        <v>1.22</v>
      </c>
    </row>
    <row r="37510" spans="1:2" x14ac:dyDescent="0.25">
      <c r="A37510" s="74">
        <v>41206</v>
      </c>
      <c r="B37510">
        <v>1.2110000000000001</v>
      </c>
    </row>
    <row r="37511" spans="1:2" x14ac:dyDescent="0.25">
      <c r="A37511" s="74">
        <v>41207</v>
      </c>
      <c r="B37511">
        <v>1.2030000000000001</v>
      </c>
    </row>
    <row r="37512" spans="1:2" x14ac:dyDescent="0.25">
      <c r="A37512" s="74">
        <v>41208</v>
      </c>
      <c r="B37512">
        <v>1.2</v>
      </c>
    </row>
    <row r="37513" spans="1:2" x14ac:dyDescent="0.25">
      <c r="A37513" s="74">
        <v>41209</v>
      </c>
      <c r="B37513">
        <v>1.2390000000000001</v>
      </c>
    </row>
    <row r="37514" spans="1:2" x14ac:dyDescent="0.25">
      <c r="A37514" s="74">
        <v>41210</v>
      </c>
      <c r="B37514">
        <v>1.33</v>
      </c>
    </row>
    <row r="37515" spans="1:2" x14ac:dyDescent="0.25">
      <c r="A37515" s="74">
        <v>41211</v>
      </c>
      <c r="B37515">
        <v>1.3819999999999999</v>
      </c>
    </row>
    <row r="37516" spans="1:2" x14ac:dyDescent="0.25">
      <c r="A37516" s="74">
        <v>41212</v>
      </c>
      <c r="B37516">
        <v>1.5229999999999999</v>
      </c>
    </row>
    <row r="37517" spans="1:2" x14ac:dyDescent="0.25">
      <c r="A37517" s="74">
        <v>41213</v>
      </c>
      <c r="B37517">
        <v>1.835</v>
      </c>
    </row>
    <row r="37518" spans="1:2" x14ac:dyDescent="0.25">
      <c r="A37518" s="74">
        <v>41214</v>
      </c>
      <c r="B37518">
        <v>1.7729999999999999</v>
      </c>
    </row>
    <row r="37519" spans="1:2" x14ac:dyDescent="0.25">
      <c r="A37519" s="74">
        <v>41215</v>
      </c>
      <c r="B37519">
        <v>1.538</v>
      </c>
    </row>
    <row r="37520" spans="1:2" x14ac:dyDescent="0.25">
      <c r="A37520" s="74">
        <v>41216</v>
      </c>
      <c r="B37520">
        <v>1.498</v>
      </c>
    </row>
    <row r="37521" spans="1:2" x14ac:dyDescent="0.25">
      <c r="A37521" s="74">
        <v>41217</v>
      </c>
      <c r="B37521">
        <v>1.571</v>
      </c>
    </row>
    <row r="37522" spans="1:2" x14ac:dyDescent="0.25">
      <c r="A37522" s="74">
        <v>41218</v>
      </c>
      <c r="B37522">
        <v>1.554</v>
      </c>
    </row>
    <row r="37523" spans="1:2" x14ac:dyDescent="0.25">
      <c r="A37523" s="74">
        <v>41219</v>
      </c>
      <c r="B37523">
        <v>1.45</v>
      </c>
    </row>
    <row r="37524" spans="1:2" x14ac:dyDescent="0.25">
      <c r="A37524" s="74">
        <v>41220</v>
      </c>
      <c r="B37524">
        <v>1.39</v>
      </c>
    </row>
    <row r="37525" spans="1:2" x14ac:dyDescent="0.25">
      <c r="A37525" s="74">
        <v>41221</v>
      </c>
      <c r="B37525">
        <v>1.357</v>
      </c>
    </row>
    <row r="37526" spans="1:2" x14ac:dyDescent="0.25">
      <c r="A37526" s="74">
        <v>41222</v>
      </c>
      <c r="B37526">
        <v>1.3260000000000001</v>
      </c>
    </row>
    <row r="37527" spans="1:2" x14ac:dyDescent="0.25">
      <c r="A37527" s="74">
        <v>41223</v>
      </c>
      <c r="B37527">
        <v>1.2969999999999999</v>
      </c>
    </row>
    <row r="37528" spans="1:2" x14ac:dyDescent="0.25">
      <c r="A37528" s="74">
        <v>41224</v>
      </c>
      <c r="B37528">
        <v>1.2769999999999999</v>
      </c>
    </row>
    <row r="37529" spans="1:2" x14ac:dyDescent="0.25">
      <c r="A37529" s="74">
        <v>41225</v>
      </c>
      <c r="B37529">
        <v>1.27</v>
      </c>
    </row>
    <row r="37530" spans="1:2" x14ac:dyDescent="0.25">
      <c r="A37530" s="74">
        <v>41226</v>
      </c>
      <c r="B37530">
        <v>1.28</v>
      </c>
    </row>
    <row r="37531" spans="1:2" x14ac:dyDescent="0.25">
      <c r="A37531" s="74">
        <v>41227</v>
      </c>
      <c r="B37531">
        <v>1.2849999999999999</v>
      </c>
    </row>
    <row r="37532" spans="1:2" x14ac:dyDescent="0.25">
      <c r="A37532" s="74">
        <v>41228</v>
      </c>
      <c r="B37532">
        <v>1.2749999999999999</v>
      </c>
    </row>
    <row r="37533" spans="1:2" x14ac:dyDescent="0.25">
      <c r="A37533" s="74">
        <v>41229</v>
      </c>
      <c r="B37533">
        <v>1.2629999999999999</v>
      </c>
    </row>
    <row r="37534" spans="1:2" x14ac:dyDescent="0.25">
      <c r="A37534" s="74">
        <v>41230</v>
      </c>
      <c r="B37534">
        <v>1.3360000000000001</v>
      </c>
    </row>
    <row r="37535" spans="1:2" x14ac:dyDescent="0.25">
      <c r="A37535" s="74">
        <v>41231</v>
      </c>
      <c r="B37535">
        <v>1.58</v>
      </c>
    </row>
    <row r="37536" spans="1:2" x14ac:dyDescent="0.25">
      <c r="A37536" s="74">
        <v>41232</v>
      </c>
      <c r="B37536">
        <v>1.889</v>
      </c>
    </row>
    <row r="37537" spans="1:2" x14ac:dyDescent="0.25">
      <c r="A37537" s="74">
        <v>41233</v>
      </c>
      <c r="B37537">
        <v>1.7629999999999999</v>
      </c>
    </row>
    <row r="37538" spans="1:2" x14ac:dyDescent="0.25">
      <c r="A37538" s="74">
        <v>41234</v>
      </c>
      <c r="B37538">
        <v>1.7609999999999999</v>
      </c>
    </row>
    <row r="37539" spans="1:2" x14ac:dyDescent="0.25">
      <c r="A37539" s="74">
        <v>41235</v>
      </c>
      <c r="B37539">
        <v>1.601</v>
      </c>
    </row>
    <row r="37540" spans="1:2" x14ac:dyDescent="0.25">
      <c r="A37540" s="74">
        <v>41236</v>
      </c>
      <c r="B37540">
        <v>1.9650000000000001</v>
      </c>
    </row>
    <row r="37541" spans="1:2" x14ac:dyDescent="0.25">
      <c r="A37541" s="74">
        <v>41237</v>
      </c>
      <c r="B37541">
        <v>1.7769999999999999</v>
      </c>
    </row>
    <row r="37542" spans="1:2" x14ac:dyDescent="0.25">
      <c r="A37542" s="74">
        <v>41238</v>
      </c>
      <c r="B37542">
        <v>1.59</v>
      </c>
    </row>
    <row r="37543" spans="1:2" x14ac:dyDescent="0.25">
      <c r="A37543" s="74">
        <v>41239</v>
      </c>
      <c r="B37543">
        <v>1.484</v>
      </c>
    </row>
    <row r="37544" spans="1:2" x14ac:dyDescent="0.25">
      <c r="A37544" s="74">
        <v>41240</v>
      </c>
      <c r="B37544">
        <v>1.419</v>
      </c>
    </row>
    <row r="37545" spans="1:2" x14ac:dyDescent="0.25">
      <c r="A37545" s="74">
        <v>41241</v>
      </c>
      <c r="B37545">
        <v>1.3819999999999999</v>
      </c>
    </row>
    <row r="37546" spans="1:2" x14ac:dyDescent="0.25">
      <c r="A37546" s="74">
        <v>41242</v>
      </c>
      <c r="B37546">
        <v>1.9319999999999999</v>
      </c>
    </row>
    <row r="37547" spans="1:2" x14ac:dyDescent="0.25">
      <c r="A37547" s="74">
        <v>41243</v>
      </c>
      <c r="B37547">
        <v>2.1859999999999999</v>
      </c>
    </row>
    <row r="37548" spans="1:2" x14ac:dyDescent="0.25">
      <c r="A37548" s="74">
        <v>41244</v>
      </c>
      <c r="B37548">
        <v>2.2909999999999999</v>
      </c>
    </row>
    <row r="37549" spans="1:2" x14ac:dyDescent="0.25">
      <c r="A37549" s="74">
        <v>41245</v>
      </c>
      <c r="B37549">
        <v>2.15</v>
      </c>
    </row>
    <row r="37550" spans="1:2" x14ac:dyDescent="0.25">
      <c r="A37550" s="74">
        <v>41246</v>
      </c>
      <c r="B37550">
        <v>1.958</v>
      </c>
    </row>
    <row r="37551" spans="1:2" x14ac:dyDescent="0.25">
      <c r="A37551" s="74">
        <v>41247</v>
      </c>
      <c r="B37551">
        <v>2.0179999999999998</v>
      </c>
    </row>
    <row r="37552" spans="1:2" x14ac:dyDescent="0.25">
      <c r="A37552" s="74">
        <v>41248</v>
      </c>
      <c r="B37552">
        <v>1.9059999999999999</v>
      </c>
    </row>
    <row r="37553" spans="1:2" x14ac:dyDescent="0.25">
      <c r="A37553" s="74">
        <v>41249</v>
      </c>
      <c r="B37553">
        <v>1.6990000000000001</v>
      </c>
    </row>
    <row r="37554" spans="1:2" x14ac:dyDescent="0.25">
      <c r="A37554" s="74">
        <v>41250</v>
      </c>
      <c r="B37554">
        <v>1.5740000000000001</v>
      </c>
    </row>
    <row r="37555" spans="1:2" x14ac:dyDescent="0.25">
      <c r="A37555" s="74">
        <v>41251</v>
      </c>
      <c r="B37555">
        <v>1.4850000000000001</v>
      </c>
    </row>
    <row r="37556" spans="1:2" x14ac:dyDescent="0.25">
      <c r="A37556" s="74">
        <v>41252</v>
      </c>
      <c r="B37556">
        <v>1.4259999999999999</v>
      </c>
    </row>
    <row r="37557" spans="1:2" x14ac:dyDescent="0.25">
      <c r="A37557" s="74">
        <v>41253</v>
      </c>
      <c r="B37557">
        <v>1.385</v>
      </c>
    </row>
    <row r="37558" spans="1:2" x14ac:dyDescent="0.25">
      <c r="A37558" s="74">
        <v>41254</v>
      </c>
      <c r="B37558">
        <v>1.3640000000000001</v>
      </c>
    </row>
    <row r="37559" spans="1:2" x14ac:dyDescent="0.25">
      <c r="A37559" s="74">
        <v>41255</v>
      </c>
      <c r="B37559">
        <v>1.357</v>
      </c>
    </row>
    <row r="37560" spans="1:2" x14ac:dyDescent="0.25">
      <c r="A37560" s="74">
        <v>41256</v>
      </c>
      <c r="B37560">
        <v>1.335</v>
      </c>
    </row>
    <row r="37561" spans="1:2" x14ac:dyDescent="0.25">
      <c r="A37561" s="74">
        <v>41257</v>
      </c>
      <c r="B37561">
        <v>1.319</v>
      </c>
    </row>
    <row r="37562" spans="1:2" x14ac:dyDescent="0.25">
      <c r="A37562" s="74">
        <v>41258</v>
      </c>
      <c r="B37562">
        <v>1.3140000000000001</v>
      </c>
    </row>
    <row r="37563" spans="1:2" x14ac:dyDescent="0.25">
      <c r="A37563" s="74">
        <v>41259</v>
      </c>
      <c r="B37563">
        <v>1.3149999999999999</v>
      </c>
    </row>
    <row r="37564" spans="1:2" x14ac:dyDescent="0.25">
      <c r="A37564" s="74">
        <v>41260</v>
      </c>
      <c r="B37564">
        <v>1.325</v>
      </c>
    </row>
    <row r="37565" spans="1:2" x14ac:dyDescent="0.25">
      <c r="A37565" s="74">
        <v>41261</v>
      </c>
      <c r="B37565">
        <v>1.3089999999999999</v>
      </c>
    </row>
    <row r="37566" spans="1:2" x14ac:dyDescent="0.25">
      <c r="A37566" s="74">
        <v>41262</v>
      </c>
      <c r="B37566">
        <v>1.3160000000000001</v>
      </c>
    </row>
    <row r="37567" spans="1:2" x14ac:dyDescent="0.25">
      <c r="A37567" s="74">
        <v>41263</v>
      </c>
      <c r="B37567">
        <v>1.349</v>
      </c>
    </row>
    <row r="37568" spans="1:2" x14ac:dyDescent="0.25">
      <c r="A37568" s="74">
        <v>41264</v>
      </c>
      <c r="B37568">
        <v>1.347</v>
      </c>
    </row>
    <row r="37569" spans="1:2" x14ac:dyDescent="0.25">
      <c r="A37569" s="74">
        <v>41265</v>
      </c>
      <c r="B37569">
        <v>1.357</v>
      </c>
    </row>
    <row r="37570" spans="1:2" x14ac:dyDescent="0.25">
      <c r="A37570" s="74">
        <v>41266</v>
      </c>
      <c r="B37570">
        <v>1.4179999999999999</v>
      </c>
    </row>
    <row r="37571" spans="1:2" x14ac:dyDescent="0.25">
      <c r="A37571" s="74">
        <v>41267</v>
      </c>
      <c r="B37571">
        <v>1.419</v>
      </c>
    </row>
    <row r="37572" spans="1:2" x14ac:dyDescent="0.25">
      <c r="A37572" s="74">
        <v>41268</v>
      </c>
      <c r="B37572">
        <v>1.393</v>
      </c>
    </row>
    <row r="37573" spans="1:2" x14ac:dyDescent="0.25">
      <c r="A37573" s="74">
        <v>41269</v>
      </c>
      <c r="B37573">
        <v>1.385</v>
      </c>
    </row>
    <row r="37574" spans="1:2" x14ac:dyDescent="0.25">
      <c r="A37574" s="74">
        <v>41270</v>
      </c>
      <c r="B37574">
        <v>1.3720000000000001</v>
      </c>
    </row>
    <row r="37575" spans="1:2" x14ac:dyDescent="0.25">
      <c r="A37575" s="74">
        <v>41271</v>
      </c>
      <c r="B37575">
        <v>1.351</v>
      </c>
    </row>
    <row r="37576" spans="1:2" x14ac:dyDescent="0.25">
      <c r="A37576" s="74">
        <v>41272</v>
      </c>
      <c r="B37576">
        <v>1.347</v>
      </c>
    </row>
    <row r="37577" spans="1:2" x14ac:dyDescent="0.25">
      <c r="A37577" s="74">
        <v>41273</v>
      </c>
      <c r="B37577">
        <v>1.3480000000000001</v>
      </c>
    </row>
    <row r="37578" spans="1:2" x14ac:dyDescent="0.25">
      <c r="A37578" s="74">
        <v>41274</v>
      </c>
      <c r="B37578">
        <v>1.335</v>
      </c>
    </row>
    <row r="37579" spans="1:2" x14ac:dyDescent="0.25">
      <c r="A37579" s="74">
        <v>41275</v>
      </c>
      <c r="B37579">
        <v>1.3169999999999999</v>
      </c>
    </row>
    <row r="37580" spans="1:2" x14ac:dyDescent="0.25">
      <c r="A37580" s="74">
        <v>41276</v>
      </c>
      <c r="B37580">
        <v>1.298</v>
      </c>
    </row>
    <row r="37581" spans="1:2" x14ac:dyDescent="0.25">
      <c r="A37581" s="74">
        <v>41277</v>
      </c>
      <c r="B37581">
        <v>1.282</v>
      </c>
    </row>
    <row r="37582" spans="1:2" x14ac:dyDescent="0.25">
      <c r="A37582" s="74">
        <v>41278</v>
      </c>
      <c r="B37582">
        <v>1.2729999999999999</v>
      </c>
    </row>
    <row r="37583" spans="1:2" x14ac:dyDescent="0.25">
      <c r="A37583" s="74">
        <v>41279</v>
      </c>
      <c r="B37583">
        <v>1.2669999999999999</v>
      </c>
    </row>
    <row r="37584" spans="1:2" x14ac:dyDescent="0.25">
      <c r="A37584" s="74">
        <v>41280</v>
      </c>
      <c r="B37584">
        <v>1.2949999999999999</v>
      </c>
    </row>
    <row r="37585" spans="1:2" x14ac:dyDescent="0.25">
      <c r="A37585" s="74">
        <v>41281</v>
      </c>
      <c r="B37585">
        <v>1.3280000000000001</v>
      </c>
    </row>
    <row r="37586" spans="1:2" x14ac:dyDescent="0.25">
      <c r="A37586" s="74">
        <v>41282</v>
      </c>
      <c r="B37586">
        <v>1.444</v>
      </c>
    </row>
    <row r="37587" spans="1:2" x14ac:dyDescent="0.25">
      <c r="A37587" s="74">
        <v>41283</v>
      </c>
      <c r="B37587">
        <v>2.0339999999999998</v>
      </c>
    </row>
    <row r="37588" spans="1:2" x14ac:dyDescent="0.25">
      <c r="A37588" s="74">
        <v>41284</v>
      </c>
      <c r="B37588">
        <v>1.7130000000000001</v>
      </c>
    </row>
    <row r="37589" spans="1:2" x14ac:dyDescent="0.25">
      <c r="A37589" s="74">
        <v>41285</v>
      </c>
      <c r="B37589">
        <v>1.5409999999999999</v>
      </c>
    </row>
    <row r="37590" spans="1:2" x14ac:dyDescent="0.25">
      <c r="A37590" s="74">
        <v>41286</v>
      </c>
      <c r="B37590">
        <v>1.448</v>
      </c>
    </row>
    <row r="37591" spans="1:2" x14ac:dyDescent="0.25">
      <c r="A37591" s="74">
        <v>41287</v>
      </c>
      <c r="B37591">
        <v>1.393</v>
      </c>
    </row>
    <row r="37592" spans="1:2" x14ac:dyDescent="0.25">
      <c r="A37592" s="74">
        <v>41288</v>
      </c>
      <c r="B37592">
        <v>1.3580000000000001</v>
      </c>
    </row>
    <row r="37593" spans="1:2" x14ac:dyDescent="0.25">
      <c r="A37593" s="74">
        <v>41289</v>
      </c>
      <c r="B37593">
        <v>1.33</v>
      </c>
    </row>
    <row r="37594" spans="1:2" x14ac:dyDescent="0.25">
      <c r="A37594" s="74">
        <v>41290</v>
      </c>
      <c r="B37594">
        <v>1.3069999999999999</v>
      </c>
    </row>
    <row r="37595" spans="1:2" x14ac:dyDescent="0.25">
      <c r="A37595" s="74">
        <v>41291</v>
      </c>
      <c r="B37595">
        <v>1.29</v>
      </c>
    </row>
    <row r="37596" spans="1:2" x14ac:dyDescent="0.25">
      <c r="A37596" s="74">
        <v>41292</v>
      </c>
      <c r="B37596">
        <v>1.2769999999999999</v>
      </c>
    </row>
    <row r="37597" spans="1:2" x14ac:dyDescent="0.25">
      <c r="A37597" s="74">
        <v>41293</v>
      </c>
      <c r="B37597">
        <v>1.2649999999999999</v>
      </c>
    </row>
    <row r="37598" spans="1:2" x14ac:dyDescent="0.25">
      <c r="A37598" s="74">
        <v>41294</v>
      </c>
      <c r="B37598">
        <v>1.2569999999999999</v>
      </c>
    </row>
    <row r="37599" spans="1:2" x14ac:dyDescent="0.25">
      <c r="A37599" s="74">
        <v>41295</v>
      </c>
      <c r="B37599">
        <v>1.254</v>
      </c>
    </row>
    <row r="37600" spans="1:2" x14ac:dyDescent="0.25">
      <c r="A37600" s="74">
        <v>41296</v>
      </c>
      <c r="B37600">
        <v>1.256</v>
      </c>
    </row>
    <row r="37601" spans="1:2" x14ac:dyDescent="0.25">
      <c r="A37601" s="74">
        <v>41297</v>
      </c>
      <c r="B37601">
        <v>1.2669999999999999</v>
      </c>
    </row>
    <row r="37602" spans="1:2" x14ac:dyDescent="0.25">
      <c r="A37602" s="74">
        <v>41298</v>
      </c>
      <c r="B37602">
        <v>1.2849999999999999</v>
      </c>
    </row>
    <row r="37603" spans="1:2" x14ac:dyDescent="0.25">
      <c r="A37603" s="74">
        <v>41299</v>
      </c>
      <c r="B37603">
        <v>1.2929999999999999</v>
      </c>
    </row>
    <row r="37604" spans="1:2" x14ac:dyDescent="0.25">
      <c r="A37604" s="74">
        <v>41300</v>
      </c>
      <c r="B37604">
        <v>1.3049999999999999</v>
      </c>
    </row>
    <row r="37605" spans="1:2" x14ac:dyDescent="0.25">
      <c r="A37605" s="74">
        <v>41301</v>
      </c>
      <c r="B37605">
        <v>1.3089999999999999</v>
      </c>
    </row>
    <row r="37606" spans="1:2" x14ac:dyDescent="0.25">
      <c r="A37606" s="74">
        <v>41302</v>
      </c>
      <c r="B37606">
        <v>1.2989999999999999</v>
      </c>
    </row>
    <row r="37607" spans="1:2" x14ac:dyDescent="0.25">
      <c r="A37607" s="74">
        <v>41303</v>
      </c>
      <c r="B37607">
        <v>1.2849999999999999</v>
      </c>
    </row>
    <row r="37608" spans="1:2" x14ac:dyDescent="0.25">
      <c r="A37608" s="74">
        <v>41304</v>
      </c>
      <c r="B37608">
        <v>1.276</v>
      </c>
    </row>
    <row r="37609" spans="1:2" x14ac:dyDescent="0.25">
      <c r="A37609" s="74">
        <v>41305</v>
      </c>
      <c r="B37609">
        <v>1.2769999999999999</v>
      </c>
    </row>
    <row r="37610" spans="1:2" x14ac:dyDescent="0.25">
      <c r="A37610" s="74">
        <v>41306</v>
      </c>
      <c r="B37610">
        <v>1.306</v>
      </c>
    </row>
    <row r="37611" spans="1:2" x14ac:dyDescent="0.25">
      <c r="A37611" s="74">
        <v>41307</v>
      </c>
      <c r="B37611">
        <v>1.3129999999999999</v>
      </c>
    </row>
    <row r="37612" spans="1:2" x14ac:dyDescent="0.25">
      <c r="A37612" s="74">
        <v>41308</v>
      </c>
      <c r="B37612">
        <v>1.3080000000000001</v>
      </c>
    </row>
    <row r="37613" spans="1:2" x14ac:dyDescent="0.25">
      <c r="A37613" s="74">
        <v>41309</v>
      </c>
      <c r="B37613">
        <v>1.3069999999999999</v>
      </c>
    </row>
    <row r="37614" spans="1:2" x14ac:dyDescent="0.25">
      <c r="A37614" s="74">
        <v>41310</v>
      </c>
      <c r="B37614">
        <v>1.379</v>
      </c>
    </row>
    <row r="37615" spans="1:2" x14ac:dyDescent="0.25">
      <c r="A37615" s="74">
        <v>41311</v>
      </c>
      <c r="B37615">
        <v>1.5980000000000001</v>
      </c>
    </row>
    <row r="37616" spans="1:2" x14ac:dyDescent="0.25">
      <c r="A37616" s="74">
        <v>41312</v>
      </c>
      <c r="B37616">
        <v>1.629</v>
      </c>
    </row>
    <row r="37617" spans="1:2" x14ac:dyDescent="0.25">
      <c r="A37617" s="74">
        <v>41313</v>
      </c>
      <c r="B37617">
        <v>1.528</v>
      </c>
    </row>
    <row r="37618" spans="1:2" x14ac:dyDescent="0.25">
      <c r="A37618" s="74">
        <v>41314</v>
      </c>
      <c r="B37618">
        <v>1.4390000000000001</v>
      </c>
    </row>
    <row r="37619" spans="1:2" x14ac:dyDescent="0.25">
      <c r="A37619" s="74">
        <v>41315</v>
      </c>
      <c r="B37619">
        <v>1.3879999999999999</v>
      </c>
    </row>
    <row r="37620" spans="1:2" x14ac:dyDescent="0.25">
      <c r="A37620" s="74">
        <v>41316</v>
      </c>
      <c r="B37620">
        <v>1.357</v>
      </c>
    </row>
    <row r="37621" spans="1:2" x14ac:dyDescent="0.25">
      <c r="A37621" s="74">
        <v>41317</v>
      </c>
      <c r="B37621">
        <v>1.3380000000000001</v>
      </c>
    </row>
    <row r="37622" spans="1:2" x14ac:dyDescent="0.25">
      <c r="A37622" s="74">
        <v>41318</v>
      </c>
      <c r="B37622">
        <v>1.3360000000000001</v>
      </c>
    </row>
    <row r="37623" spans="1:2" x14ac:dyDescent="0.25">
      <c r="A37623" s="74">
        <v>41319</v>
      </c>
      <c r="B37623">
        <v>1.3320000000000001</v>
      </c>
    </row>
    <row r="37624" spans="1:2" x14ac:dyDescent="0.25">
      <c r="A37624" s="74">
        <v>41320</v>
      </c>
      <c r="B37624">
        <v>1.325</v>
      </c>
    </row>
    <row r="37625" spans="1:2" x14ac:dyDescent="0.25">
      <c r="A37625" s="74">
        <v>41321</v>
      </c>
      <c r="B37625">
        <v>1.321</v>
      </c>
    </row>
    <row r="37626" spans="1:2" x14ac:dyDescent="0.25">
      <c r="A37626" s="74">
        <v>41322</v>
      </c>
      <c r="B37626">
        <v>1.325</v>
      </c>
    </row>
    <row r="37627" spans="1:2" x14ac:dyDescent="0.25">
      <c r="A37627" s="74">
        <v>41323</v>
      </c>
      <c r="B37627">
        <v>1.3140000000000001</v>
      </c>
    </row>
    <row r="37628" spans="1:2" x14ac:dyDescent="0.25">
      <c r="A37628" s="74">
        <v>41324</v>
      </c>
      <c r="B37628">
        <v>1.3149999999999999</v>
      </c>
    </row>
    <row r="37629" spans="1:2" x14ac:dyDescent="0.25">
      <c r="A37629" s="74">
        <v>41325</v>
      </c>
      <c r="B37629">
        <v>1.3029999999999999</v>
      </c>
    </row>
    <row r="37630" spans="1:2" x14ac:dyDescent="0.25">
      <c r="A37630" s="74">
        <v>41326</v>
      </c>
      <c r="B37630">
        <v>1.2889999999999999</v>
      </c>
    </row>
    <row r="37631" spans="1:2" x14ac:dyDescent="0.25">
      <c r="A37631" s="74">
        <v>41327</v>
      </c>
      <c r="B37631">
        <v>1.3029999999999999</v>
      </c>
    </row>
    <row r="37632" spans="1:2" x14ac:dyDescent="0.25">
      <c r="A37632" s="74">
        <v>41328</v>
      </c>
      <c r="B37632">
        <v>1.333</v>
      </c>
    </row>
    <row r="37633" spans="1:2" x14ac:dyDescent="0.25">
      <c r="A37633" s="74">
        <v>41329</v>
      </c>
      <c r="B37633">
        <v>1.3149999999999999</v>
      </c>
    </row>
    <row r="37634" spans="1:2" x14ac:dyDescent="0.25">
      <c r="A37634" s="74">
        <v>41330</v>
      </c>
      <c r="B37634">
        <v>1.5509999999999999</v>
      </c>
    </row>
    <row r="37635" spans="1:2" x14ac:dyDescent="0.25">
      <c r="A37635" s="74">
        <v>41331</v>
      </c>
      <c r="B37635">
        <v>1.488</v>
      </c>
    </row>
    <row r="37636" spans="1:2" x14ac:dyDescent="0.25">
      <c r="A37636" s="74">
        <v>41332</v>
      </c>
      <c r="B37636">
        <v>1.4219999999999999</v>
      </c>
    </row>
    <row r="37637" spans="1:2" x14ac:dyDescent="0.25">
      <c r="A37637" s="74">
        <v>41333</v>
      </c>
      <c r="B37637">
        <v>1.3839999999999999</v>
      </c>
    </row>
    <row r="37638" spans="1:2" x14ac:dyDescent="0.25">
      <c r="A37638" s="74">
        <v>41334</v>
      </c>
      <c r="B37638">
        <v>2.2170000000000001</v>
      </c>
    </row>
    <row r="37639" spans="1:2" x14ac:dyDescent="0.25">
      <c r="A37639" s="74">
        <v>41335</v>
      </c>
      <c r="B37639">
        <v>2.254</v>
      </c>
    </row>
    <row r="37640" spans="1:2" x14ac:dyDescent="0.25">
      <c r="A37640" s="74">
        <v>41336</v>
      </c>
      <c r="B37640">
        <v>1.8149999999999999</v>
      </c>
    </row>
    <row r="37641" spans="1:2" x14ac:dyDescent="0.25">
      <c r="A37641" s="74">
        <v>41337</v>
      </c>
      <c r="B37641">
        <v>1.6160000000000001</v>
      </c>
    </row>
    <row r="37642" spans="1:2" x14ac:dyDescent="0.25">
      <c r="A37642" s="74">
        <v>41338</v>
      </c>
      <c r="B37642">
        <v>1.5109999999999999</v>
      </c>
    </row>
    <row r="37643" spans="1:2" x14ac:dyDescent="0.25">
      <c r="A37643" s="74">
        <v>41339</v>
      </c>
      <c r="B37643">
        <v>1.454</v>
      </c>
    </row>
    <row r="37644" spans="1:2" x14ac:dyDescent="0.25">
      <c r="A37644" s="74">
        <v>41340</v>
      </c>
      <c r="B37644">
        <v>1.413</v>
      </c>
    </row>
    <row r="37645" spans="1:2" x14ac:dyDescent="0.25">
      <c r="A37645" s="74">
        <v>41341</v>
      </c>
      <c r="B37645">
        <v>1.385</v>
      </c>
    </row>
    <row r="37646" spans="1:2" x14ac:dyDescent="0.25">
      <c r="A37646" s="74">
        <v>41342</v>
      </c>
      <c r="B37646">
        <v>1.359</v>
      </c>
    </row>
    <row r="37647" spans="1:2" x14ac:dyDescent="0.25">
      <c r="A37647" s="74">
        <v>41343</v>
      </c>
      <c r="B37647">
        <v>1.3380000000000001</v>
      </c>
    </row>
    <row r="37648" spans="1:2" x14ac:dyDescent="0.25">
      <c r="A37648" s="74">
        <v>41344</v>
      </c>
      <c r="B37648">
        <v>1.3240000000000001</v>
      </c>
    </row>
    <row r="37649" spans="1:2" x14ac:dyDescent="0.25">
      <c r="A37649" s="74">
        <v>41345</v>
      </c>
      <c r="B37649">
        <v>1.5620000000000001</v>
      </c>
    </row>
    <row r="37650" spans="1:2" x14ac:dyDescent="0.25">
      <c r="A37650" s="74">
        <v>41346</v>
      </c>
      <c r="B37650">
        <v>1.7190000000000001</v>
      </c>
    </row>
    <row r="37651" spans="1:2" x14ac:dyDescent="0.25">
      <c r="A37651" s="74">
        <v>41347</v>
      </c>
      <c r="B37651">
        <v>1.83</v>
      </c>
    </row>
    <row r="37652" spans="1:2" x14ac:dyDescent="0.25">
      <c r="A37652" s="74">
        <v>41348</v>
      </c>
      <c r="B37652">
        <v>1.897</v>
      </c>
    </row>
    <row r="37653" spans="1:2" x14ac:dyDescent="0.25">
      <c r="A37653" s="74">
        <v>41349</v>
      </c>
      <c r="B37653">
        <v>1.69</v>
      </c>
    </row>
    <row r="37654" spans="1:2" x14ac:dyDescent="0.25">
      <c r="A37654" s="74">
        <v>41350</v>
      </c>
      <c r="B37654">
        <v>1.5609999999999999</v>
      </c>
    </row>
    <row r="37655" spans="1:2" x14ac:dyDescent="0.25">
      <c r="A37655" s="74">
        <v>41351</v>
      </c>
      <c r="B37655">
        <v>1.4770000000000001</v>
      </c>
    </row>
    <row r="37656" spans="1:2" x14ac:dyDescent="0.25">
      <c r="A37656" s="74">
        <v>41352</v>
      </c>
      <c r="B37656">
        <v>1.4239999999999999</v>
      </c>
    </row>
    <row r="37657" spans="1:2" x14ac:dyDescent="0.25">
      <c r="A37657" s="74">
        <v>41353</v>
      </c>
      <c r="B37657">
        <v>1.6140000000000001</v>
      </c>
    </row>
    <row r="37658" spans="1:2" x14ac:dyDescent="0.25">
      <c r="A37658" s="74">
        <v>41354</v>
      </c>
      <c r="B37658">
        <v>1.623</v>
      </c>
    </row>
    <row r="37659" spans="1:2" x14ac:dyDescent="0.25">
      <c r="A37659" s="74">
        <v>41355</v>
      </c>
      <c r="B37659">
        <v>1.5149999999999999</v>
      </c>
    </row>
    <row r="37660" spans="1:2" x14ac:dyDescent="0.25">
      <c r="A37660" s="74">
        <v>41356</v>
      </c>
      <c r="B37660">
        <v>1.448</v>
      </c>
    </row>
    <row r="37661" spans="1:2" x14ac:dyDescent="0.25">
      <c r="A37661" s="74">
        <v>41357</v>
      </c>
      <c r="B37661">
        <v>1.405</v>
      </c>
    </row>
    <row r="37662" spans="1:2" x14ac:dyDescent="0.25">
      <c r="A37662" s="74">
        <v>41358</v>
      </c>
      <c r="B37662">
        <v>1.371</v>
      </c>
    </row>
    <row r="37663" spans="1:2" x14ac:dyDescent="0.25">
      <c r="A37663" s="74">
        <v>41359</v>
      </c>
      <c r="B37663">
        <v>1.347</v>
      </c>
    </row>
    <row r="37664" spans="1:2" x14ac:dyDescent="0.25">
      <c r="A37664" s="74">
        <v>41360</v>
      </c>
      <c r="B37664">
        <v>1.333</v>
      </c>
    </row>
    <row r="37665" spans="1:2" x14ac:dyDescent="0.25">
      <c r="A37665" s="74">
        <v>41361</v>
      </c>
      <c r="B37665">
        <v>1.331</v>
      </c>
    </row>
    <row r="37666" spans="1:2" x14ac:dyDescent="0.25">
      <c r="A37666" s="74">
        <v>41362</v>
      </c>
      <c r="B37666">
        <v>1.3480000000000001</v>
      </c>
    </row>
    <row r="37667" spans="1:2" x14ac:dyDescent="0.25">
      <c r="A37667" s="74">
        <v>41363</v>
      </c>
      <c r="B37667">
        <v>1.359</v>
      </c>
    </row>
    <row r="37668" spans="1:2" x14ac:dyDescent="0.25">
      <c r="A37668" s="74">
        <v>41364</v>
      </c>
      <c r="B37668">
        <v>1.377</v>
      </c>
    </row>
    <row r="37669" spans="1:2" x14ac:dyDescent="0.25">
      <c r="A37669" s="74">
        <v>41365</v>
      </c>
      <c r="B37669">
        <v>1.409</v>
      </c>
    </row>
    <row r="37670" spans="1:2" x14ac:dyDescent="0.25">
      <c r="A37670" s="74">
        <v>41366</v>
      </c>
      <c r="B37670">
        <v>1.444</v>
      </c>
    </row>
    <row r="37671" spans="1:2" x14ac:dyDescent="0.25">
      <c r="A37671" s="74">
        <v>41367</v>
      </c>
      <c r="B37671">
        <v>1.42</v>
      </c>
    </row>
    <row r="37672" spans="1:2" x14ac:dyDescent="0.25">
      <c r="A37672" s="74">
        <v>41368</v>
      </c>
      <c r="B37672">
        <v>1.413</v>
      </c>
    </row>
    <row r="37673" spans="1:2" x14ac:dyDescent="0.25">
      <c r="A37673" s="74">
        <v>41369</v>
      </c>
      <c r="B37673">
        <v>1.5860000000000001</v>
      </c>
    </row>
    <row r="37674" spans="1:2" x14ac:dyDescent="0.25">
      <c r="A37674" s="74">
        <v>41370</v>
      </c>
      <c r="B37674">
        <v>1.6910000000000001</v>
      </c>
    </row>
    <row r="37675" spans="1:2" x14ac:dyDescent="0.25">
      <c r="A37675" s="74">
        <v>41371</v>
      </c>
      <c r="B37675">
        <v>1.569</v>
      </c>
    </row>
    <row r="37676" spans="1:2" x14ac:dyDescent="0.25">
      <c r="A37676" s="74">
        <v>41372</v>
      </c>
      <c r="B37676">
        <v>1.464</v>
      </c>
    </row>
    <row r="37677" spans="1:2" x14ac:dyDescent="0.25">
      <c r="A37677" s="74">
        <v>41373</v>
      </c>
      <c r="B37677">
        <v>1.4159999999999999</v>
      </c>
    </row>
    <row r="37678" spans="1:2" x14ac:dyDescent="0.25">
      <c r="A37678" s="74">
        <v>41374</v>
      </c>
      <c r="B37678">
        <v>1.6240000000000001</v>
      </c>
    </row>
    <row r="37679" spans="1:2" x14ac:dyDescent="0.25">
      <c r="A37679" s="74">
        <v>41375</v>
      </c>
      <c r="B37679">
        <v>1.6459999999999999</v>
      </c>
    </row>
    <row r="37680" spans="1:2" x14ac:dyDescent="0.25">
      <c r="A37680" s="74">
        <v>41376</v>
      </c>
      <c r="B37680">
        <v>1.5209999999999999</v>
      </c>
    </row>
    <row r="37681" spans="1:2" x14ac:dyDescent="0.25">
      <c r="A37681" s="74">
        <v>41377</v>
      </c>
      <c r="B37681">
        <v>1.446</v>
      </c>
    </row>
    <row r="37682" spans="1:2" x14ac:dyDescent="0.25">
      <c r="A37682" s="74">
        <v>41378</v>
      </c>
      <c r="B37682">
        <v>1.3919999999999999</v>
      </c>
    </row>
    <row r="37683" spans="1:2" x14ac:dyDescent="0.25">
      <c r="A37683" s="74">
        <v>41379</v>
      </c>
      <c r="B37683">
        <v>1.353</v>
      </c>
    </row>
    <row r="37684" spans="1:2" x14ac:dyDescent="0.25">
      <c r="A37684" s="74">
        <v>41380</v>
      </c>
      <c r="B37684">
        <v>1.327</v>
      </c>
    </row>
    <row r="37685" spans="1:2" x14ac:dyDescent="0.25">
      <c r="A37685" s="74">
        <v>41381</v>
      </c>
      <c r="B37685">
        <v>1.31</v>
      </c>
    </row>
    <row r="37686" spans="1:2" x14ac:dyDescent="0.25">
      <c r="A37686" s="74">
        <v>41382</v>
      </c>
      <c r="B37686">
        <v>1.3080000000000001</v>
      </c>
    </row>
    <row r="37687" spans="1:2" x14ac:dyDescent="0.25">
      <c r="A37687" s="74">
        <v>41383</v>
      </c>
      <c r="B37687">
        <v>1.3320000000000001</v>
      </c>
    </row>
    <row r="37688" spans="1:2" x14ac:dyDescent="0.25">
      <c r="A37688" s="74">
        <v>41384</v>
      </c>
      <c r="B37688">
        <v>1.3680000000000001</v>
      </c>
    </row>
    <row r="37689" spans="1:2" x14ac:dyDescent="0.25">
      <c r="A37689" s="74">
        <v>41385</v>
      </c>
      <c r="B37689">
        <v>1.359</v>
      </c>
    </row>
    <row r="37690" spans="1:2" x14ac:dyDescent="0.25">
      <c r="A37690" s="74">
        <v>41386</v>
      </c>
      <c r="B37690">
        <v>1.331</v>
      </c>
    </row>
    <row r="37691" spans="1:2" x14ac:dyDescent="0.25">
      <c r="A37691" s="74">
        <v>41387</v>
      </c>
      <c r="B37691">
        <v>1.3120000000000001</v>
      </c>
    </row>
    <row r="37692" spans="1:2" x14ac:dyDescent="0.25">
      <c r="A37692" s="74">
        <v>41388</v>
      </c>
      <c r="B37692">
        <v>1.3029999999999999</v>
      </c>
    </row>
    <row r="37693" spans="1:2" x14ac:dyDescent="0.25">
      <c r="A37693" s="74">
        <v>41389</v>
      </c>
      <c r="B37693">
        <v>1.319</v>
      </c>
    </row>
    <row r="37694" spans="1:2" x14ac:dyDescent="0.25">
      <c r="A37694" s="74">
        <v>41390</v>
      </c>
      <c r="B37694">
        <v>1.363</v>
      </c>
    </row>
    <row r="37695" spans="1:2" x14ac:dyDescent="0.25">
      <c r="A37695" s="74">
        <v>41391</v>
      </c>
      <c r="B37695">
        <v>1.3819999999999999</v>
      </c>
    </row>
    <row r="37696" spans="1:2" x14ac:dyDescent="0.25">
      <c r="A37696" s="74">
        <v>41392</v>
      </c>
      <c r="B37696">
        <v>1.38</v>
      </c>
    </row>
    <row r="37697" spans="1:2" x14ac:dyDescent="0.25">
      <c r="A37697" s="74">
        <v>41393</v>
      </c>
      <c r="B37697">
        <v>1.3480000000000001</v>
      </c>
    </row>
    <row r="37698" spans="1:2" x14ac:dyDescent="0.25">
      <c r="A37698" s="74">
        <v>41394</v>
      </c>
      <c r="B37698">
        <v>1.3149999999999999</v>
      </c>
    </row>
    <row r="37699" spans="1:2" x14ac:dyDescent="0.25">
      <c r="A37699" s="74">
        <v>41395</v>
      </c>
      <c r="B37699">
        <v>1.2909999999999999</v>
      </c>
    </row>
    <row r="37700" spans="1:2" x14ac:dyDescent="0.25">
      <c r="A37700" s="74">
        <v>41396</v>
      </c>
      <c r="B37700">
        <v>1.2789999999999999</v>
      </c>
    </row>
    <row r="37701" spans="1:2" x14ac:dyDescent="0.25">
      <c r="A37701" s="74">
        <v>41397</v>
      </c>
      <c r="B37701">
        <v>1.2769999999999999</v>
      </c>
    </row>
    <row r="37702" spans="1:2" x14ac:dyDescent="0.25">
      <c r="A37702" s="74">
        <v>41398</v>
      </c>
      <c r="B37702">
        <v>1.3280000000000001</v>
      </c>
    </row>
    <row r="37703" spans="1:2" x14ac:dyDescent="0.25">
      <c r="A37703" s="74">
        <v>41399</v>
      </c>
      <c r="B37703">
        <v>1.405</v>
      </c>
    </row>
    <row r="37704" spans="1:2" x14ac:dyDescent="0.25">
      <c r="A37704" s="74">
        <v>41400</v>
      </c>
      <c r="B37704">
        <v>1.476</v>
      </c>
    </row>
    <row r="37705" spans="1:2" x14ac:dyDescent="0.25">
      <c r="A37705" s="74">
        <v>41401</v>
      </c>
      <c r="B37705">
        <v>1.494</v>
      </c>
    </row>
    <row r="37706" spans="1:2" x14ac:dyDescent="0.25">
      <c r="A37706" s="74">
        <v>41402</v>
      </c>
      <c r="B37706">
        <v>1.484</v>
      </c>
    </row>
    <row r="37707" spans="1:2" x14ac:dyDescent="0.25">
      <c r="A37707" s="74">
        <v>41403</v>
      </c>
      <c r="B37707">
        <v>1.462</v>
      </c>
    </row>
    <row r="37708" spans="1:2" x14ac:dyDescent="0.25">
      <c r="A37708" s="74">
        <v>41404</v>
      </c>
      <c r="B37708">
        <v>1.448</v>
      </c>
    </row>
    <row r="37709" spans="1:2" x14ac:dyDescent="0.25">
      <c r="A37709" s="74">
        <v>41405</v>
      </c>
      <c r="B37709">
        <v>1.4179999999999999</v>
      </c>
    </row>
    <row r="37710" spans="1:2" x14ac:dyDescent="0.25">
      <c r="A37710" s="74">
        <v>41406</v>
      </c>
      <c r="B37710">
        <v>1.6379999999999999</v>
      </c>
    </row>
    <row r="37711" spans="1:2" x14ac:dyDescent="0.25">
      <c r="A37711" s="74">
        <v>41407</v>
      </c>
      <c r="B37711">
        <v>1.5469999999999999</v>
      </c>
    </row>
    <row r="37712" spans="1:2" x14ac:dyDescent="0.25">
      <c r="A37712" s="74">
        <v>41408</v>
      </c>
      <c r="B37712">
        <v>1.4850000000000001</v>
      </c>
    </row>
    <row r="37713" spans="1:2" x14ac:dyDescent="0.25">
      <c r="A37713" s="74">
        <v>41409</v>
      </c>
      <c r="B37713">
        <v>1.383</v>
      </c>
    </row>
    <row r="37714" spans="1:2" x14ac:dyDescent="0.25">
      <c r="A37714" s="74">
        <v>41410</v>
      </c>
      <c r="B37714">
        <v>1.339</v>
      </c>
    </row>
    <row r="37715" spans="1:2" x14ac:dyDescent="0.25">
      <c r="A37715" s="74">
        <v>41411</v>
      </c>
      <c r="B37715">
        <v>1.3440000000000001</v>
      </c>
    </row>
    <row r="37716" spans="1:2" x14ac:dyDescent="0.25">
      <c r="A37716" s="74">
        <v>41412</v>
      </c>
      <c r="B37716">
        <v>1.341</v>
      </c>
    </row>
    <row r="37717" spans="1:2" x14ac:dyDescent="0.25">
      <c r="A37717" s="74">
        <v>41413</v>
      </c>
      <c r="B37717">
        <v>1.321</v>
      </c>
    </row>
    <row r="37718" spans="1:2" x14ac:dyDescent="0.25">
      <c r="A37718" s="74">
        <v>41414</v>
      </c>
      <c r="B37718">
        <v>1.3080000000000001</v>
      </c>
    </row>
    <row r="37719" spans="1:2" x14ac:dyDescent="0.25">
      <c r="A37719" s="74">
        <v>41415</v>
      </c>
      <c r="B37719">
        <v>1.3140000000000001</v>
      </c>
    </row>
    <row r="37720" spans="1:2" x14ac:dyDescent="0.25">
      <c r="A37720" s="74">
        <v>41416</v>
      </c>
      <c r="B37720">
        <v>1.337</v>
      </c>
    </row>
    <row r="37721" spans="1:2" x14ac:dyDescent="0.25">
      <c r="A37721" s="74">
        <v>41417</v>
      </c>
      <c r="B37721">
        <v>1.3280000000000001</v>
      </c>
    </row>
    <row r="37722" spans="1:2" x14ac:dyDescent="0.25">
      <c r="A37722" s="74">
        <v>41418</v>
      </c>
      <c r="B37722">
        <v>1.32</v>
      </c>
    </row>
    <row r="37723" spans="1:2" x14ac:dyDescent="0.25">
      <c r="A37723" s="74">
        <v>41419</v>
      </c>
      <c r="B37723">
        <v>1.3160000000000001</v>
      </c>
    </row>
    <row r="37724" spans="1:2" x14ac:dyDescent="0.25">
      <c r="A37724" s="74">
        <v>41420</v>
      </c>
      <c r="B37724">
        <v>1.34</v>
      </c>
    </row>
    <row r="37725" spans="1:2" x14ac:dyDescent="0.25">
      <c r="A37725" s="74">
        <v>41421</v>
      </c>
      <c r="B37725">
        <v>1.337</v>
      </c>
    </row>
    <row r="37726" spans="1:2" x14ac:dyDescent="0.25">
      <c r="A37726" s="74">
        <v>41422</v>
      </c>
      <c r="B37726">
        <v>1.38</v>
      </c>
    </row>
    <row r="37727" spans="1:2" x14ac:dyDescent="0.25">
      <c r="A37727" s="74">
        <v>41423</v>
      </c>
      <c r="B37727">
        <v>1.401</v>
      </c>
    </row>
    <row r="37728" spans="1:2" x14ac:dyDescent="0.25">
      <c r="A37728" s="74">
        <v>41424</v>
      </c>
      <c r="B37728">
        <v>1.409</v>
      </c>
    </row>
    <row r="37729" spans="1:2" x14ac:dyDescent="0.25">
      <c r="A37729" s="74">
        <v>41425</v>
      </c>
      <c r="B37729">
        <v>1.383</v>
      </c>
    </row>
    <row r="37730" spans="1:2" x14ac:dyDescent="0.25">
      <c r="A37730" s="74">
        <v>41426</v>
      </c>
      <c r="B37730">
        <v>1.359</v>
      </c>
    </row>
    <row r="37731" spans="1:2" x14ac:dyDescent="0.25">
      <c r="A37731" s="74">
        <v>41427</v>
      </c>
      <c r="B37731">
        <v>1.3320000000000001</v>
      </c>
    </row>
    <row r="37732" spans="1:2" x14ac:dyDescent="0.25">
      <c r="A37732" s="74">
        <v>41428</v>
      </c>
      <c r="B37732">
        <v>1.3169999999999999</v>
      </c>
    </row>
    <row r="37733" spans="1:2" x14ac:dyDescent="0.25">
      <c r="A37733" s="74">
        <v>41429</v>
      </c>
      <c r="B37733">
        <v>1.2989999999999999</v>
      </c>
    </row>
    <row r="37734" spans="1:2" x14ac:dyDescent="0.25">
      <c r="A37734" s="74">
        <v>41430</v>
      </c>
      <c r="B37734">
        <v>1.2969999999999999</v>
      </c>
    </row>
    <row r="37735" spans="1:2" x14ac:dyDescent="0.25">
      <c r="A37735" s="74">
        <v>41431</v>
      </c>
      <c r="B37735">
        <v>1.302</v>
      </c>
    </row>
    <row r="37736" spans="1:2" x14ac:dyDescent="0.25">
      <c r="A37736" s="74">
        <v>41432</v>
      </c>
      <c r="B37736">
        <v>1.298</v>
      </c>
    </row>
    <row r="37737" spans="1:2" x14ac:dyDescent="0.25">
      <c r="A37737" s="74">
        <v>41433</v>
      </c>
      <c r="B37737">
        <v>1.286</v>
      </c>
    </row>
    <row r="37738" spans="1:2" x14ac:dyDescent="0.25">
      <c r="A37738" s="74">
        <v>41434</v>
      </c>
      <c r="B37738">
        <v>1.258</v>
      </c>
    </row>
    <row r="37739" spans="1:2" x14ac:dyDescent="0.25">
      <c r="A37739" s="74">
        <v>41435</v>
      </c>
      <c r="B37739">
        <v>1.2410000000000001</v>
      </c>
    </row>
    <row r="37740" spans="1:2" x14ac:dyDescent="0.25">
      <c r="A37740" s="74">
        <v>41436</v>
      </c>
      <c r="B37740">
        <v>1.2290000000000001</v>
      </c>
    </row>
    <row r="37741" spans="1:2" x14ac:dyDescent="0.25">
      <c r="A37741" s="74">
        <v>41437</v>
      </c>
      <c r="B37741">
        <v>1.2290000000000001</v>
      </c>
    </row>
    <row r="37742" spans="1:2" x14ac:dyDescent="0.25">
      <c r="A37742" s="74">
        <v>41438</v>
      </c>
      <c r="B37742">
        <v>1.236</v>
      </c>
    </row>
    <row r="37743" spans="1:2" x14ac:dyDescent="0.25">
      <c r="A37743" s="74">
        <v>41439</v>
      </c>
      <c r="B37743">
        <v>1.2250000000000001</v>
      </c>
    </row>
    <row r="37744" spans="1:2" x14ac:dyDescent="0.25">
      <c r="A37744" s="74">
        <v>41440</v>
      </c>
      <c r="B37744">
        <v>1.22</v>
      </c>
    </row>
    <row r="37745" spans="1:2" x14ac:dyDescent="0.25">
      <c r="A37745" s="74">
        <v>41441</v>
      </c>
      <c r="B37745">
        <v>1.218</v>
      </c>
    </row>
    <row r="37746" spans="1:2" x14ac:dyDescent="0.25">
      <c r="A37746" s="74">
        <v>41442</v>
      </c>
      <c r="B37746">
        <v>1.228</v>
      </c>
    </row>
    <row r="37747" spans="1:2" x14ac:dyDescent="0.25">
      <c r="A37747" s="74">
        <v>41443</v>
      </c>
      <c r="B37747">
        <v>1.2569999999999999</v>
      </c>
    </row>
    <row r="37748" spans="1:2" x14ac:dyDescent="0.25">
      <c r="A37748" s="74">
        <v>41444</v>
      </c>
      <c r="B37748">
        <v>1.2609999999999999</v>
      </c>
    </row>
    <row r="37749" spans="1:2" x14ac:dyDescent="0.25">
      <c r="A37749" s="74">
        <v>41445</v>
      </c>
      <c r="B37749">
        <v>1.2430000000000001</v>
      </c>
    </row>
    <row r="37750" spans="1:2" x14ac:dyDescent="0.25">
      <c r="A37750" s="74">
        <v>41446</v>
      </c>
      <c r="B37750">
        <v>1.238</v>
      </c>
    </row>
    <row r="37751" spans="1:2" x14ac:dyDescent="0.25">
      <c r="A37751" s="74">
        <v>41447</v>
      </c>
      <c r="B37751">
        <v>1.246</v>
      </c>
    </row>
    <row r="37752" spans="1:2" x14ac:dyDescent="0.25">
      <c r="A37752" s="74">
        <v>41448</v>
      </c>
      <c r="B37752">
        <v>1.2370000000000001</v>
      </c>
    </row>
    <row r="37753" spans="1:2" x14ac:dyDescent="0.25">
      <c r="A37753" s="74">
        <v>41449</v>
      </c>
      <c r="B37753">
        <v>1.254</v>
      </c>
    </row>
    <row r="37754" spans="1:2" x14ac:dyDescent="0.25">
      <c r="A37754" s="74">
        <v>41450</v>
      </c>
      <c r="B37754">
        <v>1.262</v>
      </c>
    </row>
    <row r="37755" spans="1:2" x14ac:dyDescent="0.25">
      <c r="A37755" s="74">
        <v>41451</v>
      </c>
      <c r="B37755">
        <v>1.27</v>
      </c>
    </row>
    <row r="37756" spans="1:2" x14ac:dyDescent="0.25">
      <c r="A37756" s="74">
        <v>41452</v>
      </c>
      <c r="B37756">
        <v>1.304</v>
      </c>
    </row>
    <row r="37757" spans="1:2" x14ac:dyDescent="0.25">
      <c r="A37757" s="74">
        <v>41453</v>
      </c>
      <c r="B37757">
        <v>1.337</v>
      </c>
    </row>
    <row r="37758" spans="1:2" x14ac:dyDescent="0.25">
      <c r="A37758" s="74">
        <v>41454</v>
      </c>
      <c r="B37758">
        <v>1.294</v>
      </c>
    </row>
    <row r="37759" spans="1:2" x14ac:dyDescent="0.25">
      <c r="A37759" s="74">
        <v>41455</v>
      </c>
      <c r="B37759">
        <v>1.268</v>
      </c>
    </row>
    <row r="37760" spans="1:2" x14ac:dyDescent="0.25">
      <c r="A37760" s="74">
        <v>41456</v>
      </c>
      <c r="B37760">
        <v>1.2490000000000001</v>
      </c>
    </row>
    <row r="37761" spans="1:2" x14ac:dyDescent="0.25">
      <c r="A37761" s="74">
        <v>41457</v>
      </c>
      <c r="B37761">
        <v>1.234</v>
      </c>
    </row>
    <row r="37762" spans="1:2" x14ac:dyDescent="0.25">
      <c r="A37762" s="74">
        <v>41458</v>
      </c>
      <c r="B37762">
        <v>1.2130000000000001</v>
      </c>
    </row>
    <row r="37763" spans="1:2" x14ac:dyDescent="0.25">
      <c r="A37763" s="74">
        <v>41459</v>
      </c>
      <c r="B37763">
        <v>1.198</v>
      </c>
    </row>
    <row r="37764" spans="1:2" x14ac:dyDescent="0.25">
      <c r="A37764" s="74">
        <v>41460</v>
      </c>
      <c r="B37764">
        <v>1.1879999999999999</v>
      </c>
    </row>
    <row r="37765" spans="1:2" x14ac:dyDescent="0.25">
      <c r="A37765" s="74">
        <v>41461</v>
      </c>
      <c r="B37765">
        <v>1.179</v>
      </c>
    </row>
    <row r="37766" spans="1:2" x14ac:dyDescent="0.25">
      <c r="A37766" s="74">
        <v>41462</v>
      </c>
      <c r="B37766">
        <v>1.1719999999999999</v>
      </c>
    </row>
    <row r="37767" spans="1:2" x14ac:dyDescent="0.25">
      <c r="A37767" s="74">
        <v>41463</v>
      </c>
      <c r="B37767">
        <v>1.17</v>
      </c>
    </row>
    <row r="37768" spans="1:2" x14ac:dyDescent="0.25">
      <c r="A37768" s="74">
        <v>41464</v>
      </c>
      <c r="B37768">
        <v>1.163</v>
      </c>
    </row>
    <row r="37769" spans="1:2" x14ac:dyDescent="0.25">
      <c r="A37769" s="74">
        <v>41465</v>
      </c>
      <c r="B37769">
        <v>1.1579999999999999</v>
      </c>
    </row>
    <row r="37770" spans="1:2" x14ac:dyDescent="0.25">
      <c r="A37770" s="74">
        <v>41466</v>
      </c>
      <c r="B37770">
        <v>1.153</v>
      </c>
    </row>
    <row r="37771" spans="1:2" x14ac:dyDescent="0.25">
      <c r="A37771" s="74">
        <v>41467</v>
      </c>
      <c r="B37771">
        <v>1.147</v>
      </c>
    </row>
    <row r="37772" spans="1:2" x14ac:dyDescent="0.25">
      <c r="A37772" s="74">
        <v>41468</v>
      </c>
      <c r="B37772">
        <v>1.147</v>
      </c>
    </row>
    <row r="37773" spans="1:2" x14ac:dyDescent="0.25">
      <c r="A37773" s="74">
        <v>41469</v>
      </c>
      <c r="B37773">
        <v>1.151</v>
      </c>
    </row>
    <row r="37774" spans="1:2" x14ac:dyDescent="0.25">
      <c r="A37774" s="74">
        <v>41470</v>
      </c>
      <c r="B37774">
        <v>1.1539999999999999</v>
      </c>
    </row>
    <row r="37775" spans="1:2" x14ac:dyDescent="0.25">
      <c r="A37775" s="74">
        <v>41471</v>
      </c>
      <c r="B37775">
        <v>1.151</v>
      </c>
    </row>
    <row r="37776" spans="1:2" x14ac:dyDescent="0.25">
      <c r="A37776" s="74">
        <v>41472</v>
      </c>
      <c r="B37776">
        <v>1.1579999999999999</v>
      </c>
    </row>
    <row r="37777" spans="1:2" x14ac:dyDescent="0.25">
      <c r="A37777" s="74">
        <v>41473</v>
      </c>
      <c r="B37777">
        <v>1.161</v>
      </c>
    </row>
    <row r="37778" spans="1:2" x14ac:dyDescent="0.25">
      <c r="A37778" s="74">
        <v>41474</v>
      </c>
      <c r="B37778">
        <v>1.157</v>
      </c>
    </row>
    <row r="37779" spans="1:2" x14ac:dyDescent="0.25">
      <c r="A37779" s="74">
        <v>41475</v>
      </c>
      <c r="B37779">
        <v>1.155</v>
      </c>
    </row>
    <row r="37780" spans="1:2" x14ac:dyDescent="0.25">
      <c r="A37780" s="74">
        <v>41476</v>
      </c>
      <c r="B37780">
        <v>1.153</v>
      </c>
    </row>
    <row r="37781" spans="1:2" x14ac:dyDescent="0.25">
      <c r="A37781" s="74">
        <v>41477</v>
      </c>
      <c r="B37781">
        <v>1.151</v>
      </c>
    </row>
    <row r="37782" spans="1:2" x14ac:dyDescent="0.25">
      <c r="A37782" s="74">
        <v>41478</v>
      </c>
      <c r="B37782">
        <v>1.1519999999999999</v>
      </c>
    </row>
    <row r="37783" spans="1:2" x14ac:dyDescent="0.25">
      <c r="A37783" s="74">
        <v>41479</v>
      </c>
      <c r="B37783">
        <v>1.151</v>
      </c>
    </row>
    <row r="37784" spans="1:2" x14ac:dyDescent="0.25">
      <c r="A37784" s="74">
        <v>41480</v>
      </c>
      <c r="B37784">
        <v>1.149</v>
      </c>
    </row>
    <row r="37785" spans="1:2" x14ac:dyDescent="0.25">
      <c r="A37785" s="74">
        <v>41481</v>
      </c>
      <c r="B37785">
        <v>1.147</v>
      </c>
    </row>
    <row r="37786" spans="1:2" x14ac:dyDescent="0.25">
      <c r="A37786" s="74">
        <v>41482</v>
      </c>
      <c r="B37786">
        <v>1.151</v>
      </c>
    </row>
    <row r="37787" spans="1:2" x14ac:dyDescent="0.25">
      <c r="A37787" s="74">
        <v>41483</v>
      </c>
      <c r="B37787">
        <v>1.1499999999999999</v>
      </c>
    </row>
    <row r="37788" spans="1:2" x14ac:dyDescent="0.25">
      <c r="A37788" s="74">
        <v>41484</v>
      </c>
      <c r="B37788">
        <v>1.1519999999999999</v>
      </c>
    </row>
    <row r="37789" spans="1:2" x14ac:dyDescent="0.25">
      <c r="A37789" s="74">
        <v>41485</v>
      </c>
      <c r="B37789">
        <v>1.1519999999999999</v>
      </c>
    </row>
    <row r="37790" spans="1:2" x14ac:dyDescent="0.25">
      <c r="A37790" s="74">
        <v>41486</v>
      </c>
      <c r="B37790">
        <v>1.151</v>
      </c>
    </row>
    <row r="37791" spans="1:2" x14ac:dyDescent="0.25">
      <c r="A37791" s="74">
        <v>41487</v>
      </c>
      <c r="B37791">
        <v>1.151</v>
      </c>
    </row>
    <row r="37792" spans="1:2" x14ac:dyDescent="0.25">
      <c r="A37792" s="74">
        <v>41488</v>
      </c>
      <c r="B37792">
        <v>1.1519999999999999</v>
      </c>
    </row>
    <row r="37793" spans="1:2" x14ac:dyDescent="0.25">
      <c r="A37793" s="74">
        <v>41489</v>
      </c>
      <c r="B37793">
        <v>1.1519999999999999</v>
      </c>
    </row>
    <row r="37794" spans="1:2" x14ac:dyDescent="0.25">
      <c r="A37794" s="74">
        <v>41490</v>
      </c>
      <c r="B37794">
        <v>1.151</v>
      </c>
    </row>
    <row r="37795" spans="1:2" x14ac:dyDescent="0.25">
      <c r="A37795" s="74">
        <v>41491</v>
      </c>
      <c r="B37795">
        <v>1.149</v>
      </c>
    </row>
    <row r="37796" spans="1:2" x14ac:dyDescent="0.25">
      <c r="A37796" s="74">
        <v>41492</v>
      </c>
      <c r="B37796">
        <v>1.1499999999999999</v>
      </c>
    </row>
    <row r="37797" spans="1:2" x14ac:dyDescent="0.25">
      <c r="A37797" s="74">
        <v>41493</v>
      </c>
      <c r="B37797">
        <v>1.149</v>
      </c>
    </row>
    <row r="37798" spans="1:2" x14ac:dyDescent="0.25">
      <c r="A37798" s="74">
        <v>41494</v>
      </c>
      <c r="B37798">
        <v>1.147</v>
      </c>
    </row>
    <row r="37799" spans="1:2" x14ac:dyDescent="0.25">
      <c r="A37799" s="74">
        <v>41495</v>
      </c>
      <c r="B37799">
        <v>1.1479999999999999</v>
      </c>
    </row>
    <row r="37800" spans="1:2" x14ac:dyDescent="0.25">
      <c r="A37800" s="74">
        <v>41496</v>
      </c>
      <c r="B37800">
        <v>1.153</v>
      </c>
    </row>
    <row r="37801" spans="1:2" x14ac:dyDescent="0.25">
      <c r="A37801" s="74">
        <v>41497</v>
      </c>
      <c r="B37801">
        <v>1.155</v>
      </c>
    </row>
    <row r="37802" spans="1:2" x14ac:dyDescent="0.25">
      <c r="A37802" s="74">
        <v>41498</v>
      </c>
      <c r="B37802">
        <v>1.1559999999999999</v>
      </c>
    </row>
    <row r="37803" spans="1:2" x14ac:dyDescent="0.25">
      <c r="A37803" s="74">
        <v>41499</v>
      </c>
      <c r="B37803">
        <v>1.1559999999999999</v>
      </c>
    </row>
    <row r="37804" spans="1:2" x14ac:dyDescent="0.25">
      <c r="A37804" s="74">
        <v>41500</v>
      </c>
      <c r="B37804">
        <v>1.1559999999999999</v>
      </c>
    </row>
    <row r="37805" spans="1:2" x14ac:dyDescent="0.25">
      <c r="A37805" s="74">
        <v>41501</v>
      </c>
      <c r="B37805">
        <v>1.1519999999999999</v>
      </c>
    </row>
    <row r="37806" spans="1:2" x14ac:dyDescent="0.25">
      <c r="A37806" s="74">
        <v>41502</v>
      </c>
      <c r="B37806">
        <v>1.149</v>
      </c>
    </row>
    <row r="37807" spans="1:2" x14ac:dyDescent="0.25">
      <c r="A37807" s="74">
        <v>41503</v>
      </c>
      <c r="B37807">
        <v>1.1479999999999999</v>
      </c>
    </row>
    <row r="37808" spans="1:2" x14ac:dyDescent="0.25">
      <c r="A37808" s="74">
        <v>41504</v>
      </c>
      <c r="B37808">
        <v>1.1479999999999999</v>
      </c>
    </row>
    <row r="37809" spans="1:2" x14ac:dyDescent="0.25">
      <c r="A37809" s="74">
        <v>41505</v>
      </c>
      <c r="B37809">
        <v>1.145</v>
      </c>
    </row>
    <row r="37810" spans="1:2" x14ac:dyDescent="0.25">
      <c r="A37810" s="74">
        <v>41506</v>
      </c>
      <c r="B37810">
        <v>1.1419999999999999</v>
      </c>
    </row>
    <row r="37811" spans="1:2" x14ac:dyDescent="0.25">
      <c r="A37811" s="74">
        <v>41507</v>
      </c>
      <c r="B37811">
        <v>1.149</v>
      </c>
    </row>
    <row r="37812" spans="1:2" x14ac:dyDescent="0.25">
      <c r="A37812" s="74">
        <v>41508</v>
      </c>
      <c r="B37812">
        <v>1.1479999999999999</v>
      </c>
    </row>
    <row r="37813" spans="1:2" x14ac:dyDescent="0.25">
      <c r="A37813" s="74">
        <v>41509</v>
      </c>
      <c r="B37813">
        <v>1.137</v>
      </c>
    </row>
    <row r="37814" spans="1:2" x14ac:dyDescent="0.25">
      <c r="A37814" s="74">
        <v>41510</v>
      </c>
      <c r="B37814">
        <v>1.1339999999999999</v>
      </c>
    </row>
    <row r="37815" spans="1:2" x14ac:dyDescent="0.25">
      <c r="A37815" s="74">
        <v>41511</v>
      </c>
      <c r="B37815">
        <v>1.1339999999999999</v>
      </c>
    </row>
    <row r="37816" spans="1:2" x14ac:dyDescent="0.25">
      <c r="A37816" s="74">
        <v>41512</v>
      </c>
      <c r="B37816">
        <v>1.1359999999999999</v>
      </c>
    </row>
    <row r="37817" spans="1:2" x14ac:dyDescent="0.25">
      <c r="A37817" s="74">
        <v>41513</v>
      </c>
      <c r="B37817">
        <v>1.139</v>
      </c>
    </row>
    <row r="37818" spans="1:2" x14ac:dyDescent="0.25">
      <c r="A37818" s="74">
        <v>41514</v>
      </c>
      <c r="B37818">
        <v>1.145</v>
      </c>
    </row>
    <row r="37819" spans="1:2" x14ac:dyDescent="0.25">
      <c r="A37819" s="74">
        <v>41515</v>
      </c>
      <c r="B37819">
        <v>1.157</v>
      </c>
    </row>
    <row r="37820" spans="1:2" x14ac:dyDescent="0.25">
      <c r="A37820" s="74">
        <v>41516</v>
      </c>
      <c r="B37820">
        <v>1.254</v>
      </c>
    </row>
    <row r="37821" spans="1:2" x14ac:dyDescent="0.25">
      <c r="A37821" s="74">
        <v>41517</v>
      </c>
      <c r="B37821">
        <v>1.196</v>
      </c>
    </row>
    <row r="37822" spans="1:2" x14ac:dyDescent="0.25">
      <c r="A37822" s="74">
        <v>41518</v>
      </c>
      <c r="B37822">
        <v>1.163</v>
      </c>
    </row>
    <row r="37823" spans="1:2" x14ac:dyDescent="0.25">
      <c r="A37823" s="74">
        <v>41519</v>
      </c>
      <c r="B37823">
        <v>1.149</v>
      </c>
    </row>
    <row r="37824" spans="1:2" x14ac:dyDescent="0.25">
      <c r="A37824" s="74">
        <v>41520</v>
      </c>
      <c r="B37824">
        <v>1.149</v>
      </c>
    </row>
    <row r="37825" spans="1:2" x14ac:dyDescent="0.25">
      <c r="A37825" s="74">
        <v>41521</v>
      </c>
      <c r="B37825">
        <v>1.131</v>
      </c>
    </row>
    <row r="37826" spans="1:2" x14ac:dyDescent="0.25">
      <c r="A37826" s="74">
        <v>41522</v>
      </c>
      <c r="B37826">
        <v>1.131</v>
      </c>
    </row>
    <row r="37827" spans="1:2" x14ac:dyDescent="0.25">
      <c r="A37827" s="74">
        <v>41523</v>
      </c>
      <c r="B37827">
        <v>1.139</v>
      </c>
    </row>
    <row r="37828" spans="1:2" x14ac:dyDescent="0.25">
      <c r="A37828" s="74">
        <v>41524</v>
      </c>
      <c r="B37828">
        <v>1.1379999999999999</v>
      </c>
    </row>
    <row r="37829" spans="1:2" x14ac:dyDescent="0.25">
      <c r="A37829" s="74">
        <v>41525</v>
      </c>
      <c r="B37829">
        <v>1.1359999999999999</v>
      </c>
    </row>
    <row r="37830" spans="1:2" x14ac:dyDescent="0.25">
      <c r="A37830" s="74">
        <v>41526</v>
      </c>
      <c r="B37830">
        <v>1.135</v>
      </c>
    </row>
    <row r="37831" spans="1:2" x14ac:dyDescent="0.25">
      <c r="A37831" s="74">
        <v>41527</v>
      </c>
      <c r="B37831">
        <v>1.149</v>
      </c>
    </row>
    <row r="37832" spans="1:2" x14ac:dyDescent="0.25">
      <c r="A37832" s="74">
        <v>41528</v>
      </c>
      <c r="B37832">
        <v>1.149</v>
      </c>
    </row>
    <row r="37833" spans="1:2" x14ac:dyDescent="0.25">
      <c r="A37833" s="74">
        <v>41529</v>
      </c>
      <c r="B37833">
        <v>1.1459999999999999</v>
      </c>
    </row>
    <row r="37834" spans="1:2" x14ac:dyDescent="0.25">
      <c r="A37834" s="74">
        <v>41530</v>
      </c>
      <c r="B37834">
        <v>1.1419999999999999</v>
      </c>
    </row>
    <row r="37835" spans="1:2" x14ac:dyDescent="0.25">
      <c r="A37835" s="74">
        <v>41531</v>
      </c>
      <c r="B37835">
        <v>1.1399999999999999</v>
      </c>
    </row>
    <row r="37836" spans="1:2" x14ac:dyDescent="0.25">
      <c r="A37836" s="74">
        <v>41532</v>
      </c>
      <c r="B37836">
        <v>1.1399999999999999</v>
      </c>
    </row>
    <row r="37837" spans="1:2" x14ac:dyDescent="0.25">
      <c r="A37837" s="74">
        <v>41533</v>
      </c>
      <c r="B37837">
        <v>1.147</v>
      </c>
    </row>
    <row r="37838" spans="1:2" x14ac:dyDescent="0.25">
      <c r="A37838" s="74">
        <v>41534</v>
      </c>
      <c r="B37838">
        <v>1.145</v>
      </c>
    </row>
    <row r="37839" spans="1:2" x14ac:dyDescent="0.25">
      <c r="A37839" s="74">
        <v>41535</v>
      </c>
      <c r="B37839">
        <v>1.1439999999999999</v>
      </c>
    </row>
    <row r="37840" spans="1:2" x14ac:dyDescent="0.25">
      <c r="A37840" s="74">
        <v>41536</v>
      </c>
      <c r="B37840">
        <v>1.1399999999999999</v>
      </c>
    </row>
    <row r="37841" spans="1:2" x14ac:dyDescent="0.25">
      <c r="A37841" s="74">
        <v>41537</v>
      </c>
      <c r="B37841">
        <v>1.1419999999999999</v>
      </c>
    </row>
    <row r="37842" spans="1:2" x14ac:dyDescent="0.25">
      <c r="A37842" s="74">
        <v>41538</v>
      </c>
      <c r="B37842">
        <v>1.151</v>
      </c>
    </row>
    <row r="37843" spans="1:2" x14ac:dyDescent="0.25">
      <c r="A37843" s="74">
        <v>41539</v>
      </c>
      <c r="B37843">
        <v>1.1839999999999999</v>
      </c>
    </row>
    <row r="37844" spans="1:2" x14ac:dyDescent="0.25">
      <c r="A37844" s="74">
        <v>41540</v>
      </c>
      <c r="B37844">
        <v>1.244</v>
      </c>
    </row>
    <row r="37845" spans="1:2" x14ac:dyDescent="0.25">
      <c r="A37845" s="74">
        <v>41541</v>
      </c>
      <c r="B37845">
        <v>1.2210000000000001</v>
      </c>
    </row>
    <row r="37846" spans="1:2" x14ac:dyDescent="0.25">
      <c r="A37846" s="74">
        <v>41542</v>
      </c>
      <c r="B37846">
        <v>1.2170000000000001</v>
      </c>
    </row>
    <row r="37847" spans="1:2" x14ac:dyDescent="0.25">
      <c r="A37847" s="74">
        <v>41543</v>
      </c>
      <c r="B37847">
        <v>1.1870000000000001</v>
      </c>
    </row>
    <row r="37848" spans="1:2" x14ac:dyDescent="0.25">
      <c r="A37848" s="74">
        <v>41544</v>
      </c>
      <c r="B37848">
        <v>1.1779999999999999</v>
      </c>
    </row>
    <row r="37849" spans="1:2" x14ac:dyDescent="0.25">
      <c r="A37849" s="74">
        <v>41545</v>
      </c>
      <c r="B37849">
        <v>1.276</v>
      </c>
    </row>
    <row r="37850" spans="1:2" x14ac:dyDescent="0.25">
      <c r="A37850" s="74">
        <v>41546</v>
      </c>
      <c r="B37850">
        <v>1.744</v>
      </c>
    </row>
    <row r="37851" spans="1:2" x14ac:dyDescent="0.25">
      <c r="A37851" s="74">
        <v>41547</v>
      </c>
      <c r="B37851">
        <v>2.1320000000000001</v>
      </c>
    </row>
    <row r="37852" spans="1:2" x14ac:dyDescent="0.25">
      <c r="A37852" s="74">
        <v>41548</v>
      </c>
      <c r="B37852">
        <v>1.78</v>
      </c>
    </row>
    <row r="37853" spans="1:2" x14ac:dyDescent="0.25">
      <c r="A37853" s="74">
        <v>41549</v>
      </c>
      <c r="B37853">
        <v>1.6020000000000001</v>
      </c>
    </row>
    <row r="37854" spans="1:2" x14ac:dyDescent="0.25">
      <c r="A37854" s="74">
        <v>41550</v>
      </c>
      <c r="B37854">
        <v>1.508</v>
      </c>
    </row>
    <row r="37855" spans="1:2" x14ac:dyDescent="0.25">
      <c r="A37855" s="74">
        <v>41551</v>
      </c>
      <c r="B37855">
        <v>1.42</v>
      </c>
    </row>
    <row r="37856" spans="1:2" x14ac:dyDescent="0.25">
      <c r="A37856" s="74">
        <v>41552</v>
      </c>
      <c r="B37856">
        <v>1.36</v>
      </c>
    </row>
    <row r="37857" spans="1:2" x14ac:dyDescent="0.25">
      <c r="A37857" s="74">
        <v>41553</v>
      </c>
      <c r="B37857">
        <v>1.329</v>
      </c>
    </row>
    <row r="37858" spans="1:2" x14ac:dyDescent="0.25">
      <c r="A37858" s="74">
        <v>41554</v>
      </c>
      <c r="B37858">
        <v>1.3169999999999999</v>
      </c>
    </row>
    <row r="37859" spans="1:2" x14ac:dyDescent="0.25">
      <c r="A37859" s="74">
        <v>41555</v>
      </c>
      <c r="B37859">
        <v>1.3120000000000001</v>
      </c>
    </row>
    <row r="37860" spans="1:2" x14ac:dyDescent="0.25">
      <c r="A37860" s="74">
        <v>41556</v>
      </c>
      <c r="B37860">
        <v>1.286</v>
      </c>
    </row>
    <row r="37861" spans="1:2" x14ac:dyDescent="0.25">
      <c r="A37861" s="74">
        <v>41557</v>
      </c>
      <c r="B37861">
        <v>1.2629999999999999</v>
      </c>
    </row>
    <row r="37862" spans="1:2" x14ac:dyDescent="0.25">
      <c r="A37862" s="74">
        <v>41558</v>
      </c>
      <c r="B37862">
        <v>1.2470000000000001</v>
      </c>
    </row>
    <row r="37863" spans="1:2" x14ac:dyDescent="0.25">
      <c r="A37863" s="74">
        <v>41559</v>
      </c>
      <c r="B37863">
        <v>1.2350000000000001</v>
      </c>
    </row>
    <row r="37864" spans="1:2" x14ac:dyDescent="0.25">
      <c r="A37864" s="74">
        <v>41560</v>
      </c>
      <c r="B37864">
        <v>1.226</v>
      </c>
    </row>
    <row r="37865" spans="1:2" x14ac:dyDescent="0.25">
      <c r="A37865" s="74">
        <v>41561</v>
      </c>
      <c r="B37865">
        <v>1.2170000000000001</v>
      </c>
    </row>
    <row r="37866" spans="1:2" x14ac:dyDescent="0.25">
      <c r="A37866" s="74">
        <v>41562</v>
      </c>
      <c r="B37866">
        <v>1.208</v>
      </c>
    </row>
    <row r="37867" spans="1:2" x14ac:dyDescent="0.25">
      <c r="A37867" s="74">
        <v>41563</v>
      </c>
      <c r="B37867">
        <v>1.198</v>
      </c>
    </row>
    <row r="37868" spans="1:2" x14ac:dyDescent="0.25">
      <c r="A37868" s="74">
        <v>41564</v>
      </c>
      <c r="B37868">
        <v>1.1930000000000001</v>
      </c>
    </row>
    <row r="37869" spans="1:2" x14ac:dyDescent="0.25">
      <c r="A37869" s="74">
        <v>41565</v>
      </c>
      <c r="B37869">
        <v>1.1870000000000001</v>
      </c>
    </row>
    <row r="37870" spans="1:2" x14ac:dyDescent="0.25">
      <c r="A37870" s="74">
        <v>41566</v>
      </c>
      <c r="B37870">
        <v>1.181</v>
      </c>
    </row>
    <row r="37871" spans="1:2" x14ac:dyDescent="0.25">
      <c r="A37871" s="74">
        <v>41567</v>
      </c>
      <c r="B37871">
        <v>1.1759999999999999</v>
      </c>
    </row>
    <row r="37872" spans="1:2" x14ac:dyDescent="0.25">
      <c r="A37872" s="74">
        <v>41568</v>
      </c>
      <c r="B37872">
        <v>1.17</v>
      </c>
    </row>
    <row r="37873" spans="1:2" x14ac:dyDescent="0.25">
      <c r="A37873" s="74">
        <v>41569</v>
      </c>
      <c r="B37873">
        <v>1.1659999999999999</v>
      </c>
    </row>
    <row r="37874" spans="1:2" x14ac:dyDescent="0.25">
      <c r="A37874" s="74">
        <v>41570</v>
      </c>
      <c r="B37874">
        <v>1.1619999999999999</v>
      </c>
    </row>
    <row r="37875" spans="1:2" x14ac:dyDescent="0.25">
      <c r="A37875" s="74">
        <v>41571</v>
      </c>
      <c r="B37875">
        <v>1.1579999999999999</v>
      </c>
    </row>
    <row r="37876" spans="1:2" x14ac:dyDescent="0.25">
      <c r="A37876" s="74">
        <v>41572</v>
      </c>
      <c r="B37876">
        <v>1.1539999999999999</v>
      </c>
    </row>
    <row r="37877" spans="1:2" x14ac:dyDescent="0.25">
      <c r="A37877" s="74">
        <v>41573</v>
      </c>
      <c r="B37877">
        <v>1.149</v>
      </c>
    </row>
    <row r="37878" spans="1:2" x14ac:dyDescent="0.25">
      <c r="A37878" s="74">
        <v>41574</v>
      </c>
      <c r="B37878">
        <v>1.145</v>
      </c>
    </row>
    <row r="37879" spans="1:2" x14ac:dyDescent="0.25">
      <c r="A37879" s="74">
        <v>41575</v>
      </c>
      <c r="B37879">
        <v>1.145</v>
      </c>
    </row>
    <row r="37880" spans="1:2" x14ac:dyDescent="0.25">
      <c r="A37880" s="74">
        <v>41576</v>
      </c>
      <c r="B37880">
        <v>1.141</v>
      </c>
    </row>
    <row r="37881" spans="1:2" x14ac:dyDescent="0.25">
      <c r="A37881" s="74">
        <v>41577</v>
      </c>
      <c r="B37881">
        <v>1.137</v>
      </c>
    </row>
    <row r="37882" spans="1:2" x14ac:dyDescent="0.25">
      <c r="A37882" s="74">
        <v>41578</v>
      </c>
      <c r="B37882">
        <v>1.133</v>
      </c>
    </row>
    <row r="37883" spans="1:2" x14ac:dyDescent="0.25">
      <c r="A37883" s="74">
        <v>41579</v>
      </c>
      <c r="B37883">
        <v>1.133</v>
      </c>
    </row>
    <row r="37884" spans="1:2" x14ac:dyDescent="0.25">
      <c r="A37884" s="74">
        <v>41580</v>
      </c>
      <c r="B37884">
        <v>1.3080000000000001</v>
      </c>
    </row>
    <row r="37885" spans="1:2" x14ac:dyDescent="0.25">
      <c r="A37885" s="74">
        <v>41581</v>
      </c>
      <c r="B37885">
        <v>1.37</v>
      </c>
    </row>
    <row r="37886" spans="1:2" x14ac:dyDescent="0.25">
      <c r="A37886" s="74">
        <v>41582</v>
      </c>
      <c r="B37886">
        <v>1.3080000000000001</v>
      </c>
    </row>
    <row r="37887" spans="1:2" x14ac:dyDescent="0.25">
      <c r="A37887" s="74">
        <v>41583</v>
      </c>
      <c r="B37887">
        <v>1.2749999999999999</v>
      </c>
    </row>
    <row r="37888" spans="1:2" x14ac:dyDescent="0.25">
      <c r="A37888" s="74">
        <v>41584</v>
      </c>
      <c r="B37888">
        <v>1.25</v>
      </c>
    </row>
    <row r="37889" spans="1:2" x14ac:dyDescent="0.25">
      <c r="A37889" s="74">
        <v>41585</v>
      </c>
      <c r="B37889">
        <v>1.4830000000000001</v>
      </c>
    </row>
    <row r="37890" spans="1:2" x14ac:dyDescent="0.25">
      <c r="A37890" s="74">
        <v>41586</v>
      </c>
      <c r="B37890">
        <v>1.5580000000000001</v>
      </c>
    </row>
    <row r="37891" spans="1:2" x14ac:dyDescent="0.25">
      <c r="A37891" s="74">
        <v>41587</v>
      </c>
      <c r="B37891">
        <v>1.4410000000000001</v>
      </c>
    </row>
    <row r="37892" spans="1:2" x14ac:dyDescent="0.25">
      <c r="A37892" s="74">
        <v>41588</v>
      </c>
      <c r="B37892">
        <v>1.3779999999999999</v>
      </c>
    </row>
    <row r="37893" spans="1:2" x14ac:dyDescent="0.25">
      <c r="A37893" s="74">
        <v>41589</v>
      </c>
      <c r="B37893">
        <v>1.3360000000000001</v>
      </c>
    </row>
    <row r="37894" spans="1:2" x14ac:dyDescent="0.25">
      <c r="A37894" s="74">
        <v>41590</v>
      </c>
      <c r="B37894">
        <v>1.357</v>
      </c>
    </row>
    <row r="37895" spans="1:2" x14ac:dyDescent="0.25">
      <c r="A37895" s="74">
        <v>41591</v>
      </c>
      <c r="B37895">
        <v>1.554</v>
      </c>
    </row>
    <row r="37896" spans="1:2" x14ac:dyDescent="0.25">
      <c r="A37896" s="74">
        <v>41592</v>
      </c>
      <c r="B37896">
        <v>1.456</v>
      </c>
    </row>
    <row r="37897" spans="1:2" x14ac:dyDescent="0.25">
      <c r="A37897" s="74">
        <v>41593</v>
      </c>
      <c r="B37897">
        <v>1.3919999999999999</v>
      </c>
    </row>
    <row r="37898" spans="1:2" x14ac:dyDescent="0.25">
      <c r="A37898" s="74">
        <v>41594</v>
      </c>
      <c r="B37898">
        <v>1.355</v>
      </c>
    </row>
    <row r="37899" spans="1:2" x14ac:dyDescent="0.25">
      <c r="A37899" s="74">
        <v>41595</v>
      </c>
      <c r="B37899">
        <v>1.321</v>
      </c>
    </row>
    <row r="37900" spans="1:2" x14ac:dyDescent="0.25">
      <c r="A37900" s="74">
        <v>41596</v>
      </c>
      <c r="B37900">
        <v>1.3109999999999999</v>
      </c>
    </row>
    <row r="37901" spans="1:2" x14ac:dyDescent="0.25">
      <c r="A37901" s="74">
        <v>41597</v>
      </c>
      <c r="B37901">
        <v>1.327</v>
      </c>
    </row>
    <row r="37902" spans="1:2" x14ac:dyDescent="0.25">
      <c r="A37902" s="74">
        <v>41598</v>
      </c>
      <c r="B37902">
        <v>1.306</v>
      </c>
    </row>
    <row r="37903" spans="1:2" x14ac:dyDescent="0.25">
      <c r="A37903" s="74">
        <v>41599</v>
      </c>
      <c r="B37903">
        <v>1.284</v>
      </c>
    </row>
    <row r="37904" spans="1:2" x14ac:dyDescent="0.25">
      <c r="A37904" s="74">
        <v>41600</v>
      </c>
      <c r="B37904">
        <v>1.268</v>
      </c>
    </row>
    <row r="37905" spans="1:2" x14ac:dyDescent="0.25">
      <c r="A37905" s="74">
        <v>41601</v>
      </c>
      <c r="B37905">
        <v>1.256</v>
      </c>
    </row>
    <row r="37906" spans="1:2" x14ac:dyDescent="0.25">
      <c r="A37906" s="74">
        <v>41602</v>
      </c>
      <c r="B37906">
        <v>1.2470000000000001</v>
      </c>
    </row>
    <row r="37907" spans="1:2" x14ac:dyDescent="0.25">
      <c r="A37907" s="74">
        <v>41603</v>
      </c>
      <c r="B37907">
        <v>1.238</v>
      </c>
    </row>
    <row r="37908" spans="1:2" x14ac:dyDescent="0.25">
      <c r="A37908" s="74">
        <v>41604</v>
      </c>
      <c r="B37908">
        <v>1.2290000000000001</v>
      </c>
    </row>
    <row r="37909" spans="1:2" x14ac:dyDescent="0.25">
      <c r="A37909" s="74">
        <v>41605</v>
      </c>
      <c r="B37909">
        <v>1.222</v>
      </c>
    </row>
    <row r="37910" spans="1:2" x14ac:dyDescent="0.25">
      <c r="A37910" s="74">
        <v>41606</v>
      </c>
      <c r="B37910">
        <v>1.2170000000000001</v>
      </c>
    </row>
    <row r="37911" spans="1:2" x14ac:dyDescent="0.25">
      <c r="A37911" s="74">
        <v>41607</v>
      </c>
      <c r="B37911">
        <v>1.212</v>
      </c>
    </row>
    <row r="37912" spans="1:2" x14ac:dyDescent="0.25">
      <c r="A37912" s="74">
        <v>41608</v>
      </c>
      <c r="B37912">
        <v>1.214</v>
      </c>
    </row>
    <row r="37913" spans="1:2" x14ac:dyDescent="0.25">
      <c r="A37913" s="74">
        <v>41609</v>
      </c>
      <c r="B37913">
        <v>1.22</v>
      </c>
    </row>
    <row r="37914" spans="1:2" x14ac:dyDescent="0.25">
      <c r="A37914" s="74">
        <v>41610</v>
      </c>
      <c r="B37914">
        <v>1.232</v>
      </c>
    </row>
    <row r="37915" spans="1:2" x14ac:dyDescent="0.25">
      <c r="A37915" s="74">
        <v>41611</v>
      </c>
      <c r="B37915">
        <v>1.218</v>
      </c>
    </row>
    <row r="37916" spans="1:2" x14ac:dyDescent="0.25">
      <c r="A37916" s="74">
        <v>41612</v>
      </c>
      <c r="B37916">
        <v>1.2050000000000001</v>
      </c>
    </row>
    <row r="37917" spans="1:2" x14ac:dyDescent="0.25">
      <c r="A37917" s="74">
        <v>41613</v>
      </c>
      <c r="B37917">
        <v>1.198</v>
      </c>
    </row>
    <row r="37918" spans="1:2" x14ac:dyDescent="0.25">
      <c r="A37918" s="74">
        <v>41614</v>
      </c>
      <c r="B37918">
        <v>1.1870000000000001</v>
      </c>
    </row>
    <row r="37919" spans="1:2" x14ac:dyDescent="0.25">
      <c r="A37919" s="74">
        <v>41615</v>
      </c>
      <c r="B37919">
        <v>1.157</v>
      </c>
    </row>
    <row r="37920" spans="1:2" x14ac:dyDescent="0.25">
      <c r="A37920" s="74">
        <v>41616</v>
      </c>
      <c r="B37920">
        <v>1.1659999999999999</v>
      </c>
    </row>
    <row r="37921" spans="1:2" x14ac:dyDescent="0.25">
      <c r="A37921" s="74">
        <v>41617</v>
      </c>
      <c r="B37921">
        <v>1.1830000000000001</v>
      </c>
    </row>
    <row r="37922" spans="1:2" x14ac:dyDescent="0.25">
      <c r="A37922" s="74">
        <v>41618</v>
      </c>
      <c r="B37922">
        <v>1.1839999999999999</v>
      </c>
    </row>
    <row r="37923" spans="1:2" x14ac:dyDescent="0.25">
      <c r="A37923" s="74">
        <v>41619</v>
      </c>
      <c r="B37923">
        <v>1.1759999999999999</v>
      </c>
    </row>
    <row r="37924" spans="1:2" x14ac:dyDescent="0.25">
      <c r="A37924" s="74">
        <v>41620</v>
      </c>
      <c r="B37924">
        <v>1.175</v>
      </c>
    </row>
    <row r="37925" spans="1:2" x14ac:dyDescent="0.25">
      <c r="A37925" s="74">
        <v>41621</v>
      </c>
      <c r="B37925">
        <v>1.18</v>
      </c>
    </row>
    <row r="37926" spans="1:2" x14ac:dyDescent="0.25">
      <c r="A37926" s="74">
        <v>41622</v>
      </c>
      <c r="B37926">
        <v>1.177</v>
      </c>
    </row>
    <row r="37927" spans="1:2" x14ac:dyDescent="0.25">
      <c r="A37927" s="74">
        <v>41623</v>
      </c>
      <c r="B37927">
        <v>1.196</v>
      </c>
    </row>
    <row r="37928" spans="1:2" x14ac:dyDescent="0.25">
      <c r="A37928" s="74">
        <v>41624</v>
      </c>
      <c r="B37928">
        <v>1.214</v>
      </c>
    </row>
    <row r="37929" spans="1:2" x14ac:dyDescent="0.25">
      <c r="A37929" s="74">
        <v>41625</v>
      </c>
      <c r="B37929">
        <v>1.204</v>
      </c>
    </row>
    <row r="37930" spans="1:2" x14ac:dyDescent="0.25">
      <c r="A37930" s="74">
        <v>41626</v>
      </c>
      <c r="B37930">
        <v>1.2</v>
      </c>
    </row>
    <row r="37931" spans="1:2" x14ac:dyDescent="0.25">
      <c r="A37931" s="74">
        <v>41627</v>
      </c>
      <c r="B37931">
        <v>1.1930000000000001</v>
      </c>
    </row>
    <row r="37932" spans="1:2" x14ac:dyDescent="0.25">
      <c r="A37932" s="74">
        <v>41628</v>
      </c>
      <c r="B37932">
        <v>1.1910000000000001</v>
      </c>
    </row>
    <row r="37933" spans="1:2" x14ac:dyDescent="0.25">
      <c r="A37933" s="74">
        <v>41629</v>
      </c>
      <c r="B37933">
        <v>1.1879999999999999</v>
      </c>
    </row>
    <row r="37934" spans="1:2" x14ac:dyDescent="0.25">
      <c r="A37934" s="74">
        <v>41630</v>
      </c>
      <c r="B37934">
        <v>1.1879999999999999</v>
      </c>
    </row>
    <row r="37935" spans="1:2" x14ac:dyDescent="0.25">
      <c r="A37935" s="74">
        <v>41631</v>
      </c>
      <c r="B37935">
        <v>1.2150000000000001</v>
      </c>
    </row>
    <row r="37936" spans="1:2" x14ac:dyDescent="0.25">
      <c r="A37936" s="74">
        <v>41632</v>
      </c>
      <c r="B37936">
        <v>1.2450000000000001</v>
      </c>
    </row>
    <row r="37937" spans="1:2" x14ac:dyDescent="0.25">
      <c r="A37937" s="74">
        <v>41633</v>
      </c>
      <c r="B37937">
        <v>1.232</v>
      </c>
    </row>
    <row r="37938" spans="1:2" x14ac:dyDescent="0.25">
      <c r="A37938" s="74">
        <v>41634</v>
      </c>
      <c r="B37938">
        <v>1.2250000000000001</v>
      </c>
    </row>
    <row r="37939" spans="1:2" x14ac:dyDescent="0.25">
      <c r="A37939" s="74">
        <v>41635</v>
      </c>
      <c r="B37939">
        <v>1.234</v>
      </c>
    </row>
    <row r="37940" spans="1:2" x14ac:dyDescent="0.25">
      <c r="A37940" s="74">
        <v>41636</v>
      </c>
      <c r="B37940">
        <v>1.2769999999999999</v>
      </c>
    </row>
    <row r="37941" spans="1:2" x14ac:dyDescent="0.25">
      <c r="A37941" s="74">
        <v>41637</v>
      </c>
      <c r="B37941">
        <v>1.2609999999999999</v>
      </c>
    </row>
    <row r="37942" spans="1:2" x14ac:dyDescent="0.25">
      <c r="A37942" s="74">
        <v>41638</v>
      </c>
      <c r="B37942">
        <v>1.252</v>
      </c>
    </row>
    <row r="37943" spans="1:2" x14ac:dyDescent="0.25">
      <c r="A37943" s="74">
        <v>41639</v>
      </c>
      <c r="B37943">
        <v>1.244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"/>
  <sheetViews>
    <sheetView topLeftCell="D6" zoomScale="136" workbookViewId="0">
      <selection activeCell="F18" sqref="F18"/>
    </sheetView>
  </sheetViews>
  <sheetFormatPr defaultColWidth="8.77734375" defaultRowHeight="13.2" x14ac:dyDescent="0.25"/>
  <cols>
    <col min="2" max="2" width="12.6640625" style="61" bestFit="1" customWidth="1"/>
    <col min="3" max="3" width="10.77734375" style="60" customWidth="1"/>
    <col min="4" max="4" width="31.109375" bestFit="1" customWidth="1"/>
  </cols>
  <sheetData>
    <row r="1" spans="1:16" s="63" customFormat="1" ht="15.6" x14ac:dyDescent="0.3">
      <c r="A1" s="66" t="s">
        <v>104</v>
      </c>
      <c r="B1" s="64"/>
      <c r="C1" s="70"/>
    </row>
    <row r="2" spans="1:16" x14ac:dyDescent="0.25">
      <c r="A2" s="67" t="s">
        <v>112</v>
      </c>
    </row>
    <row r="3" spans="1:16" x14ac:dyDescent="0.25">
      <c r="A3" s="62"/>
    </row>
    <row r="4" spans="1:16" s="59" customFormat="1" x14ac:dyDescent="0.25">
      <c r="A4" s="68" t="s">
        <v>74</v>
      </c>
      <c r="B4" s="65" t="s">
        <v>99</v>
      </c>
      <c r="C4" s="59" t="s">
        <v>0</v>
      </c>
      <c r="D4" s="59" t="s">
        <v>98</v>
      </c>
    </row>
    <row r="5" spans="1:16" x14ac:dyDescent="0.25">
      <c r="A5" s="69" t="s">
        <v>75</v>
      </c>
      <c r="B5" s="61">
        <v>13.04</v>
      </c>
      <c r="C5" s="60">
        <v>30063</v>
      </c>
      <c r="D5" t="s">
        <v>100</v>
      </c>
    </row>
    <row r="6" spans="1:16" x14ac:dyDescent="0.25">
      <c r="A6" s="69" t="s">
        <v>76</v>
      </c>
      <c r="B6" s="61">
        <v>19.71</v>
      </c>
      <c r="C6" s="60">
        <v>30419</v>
      </c>
      <c r="D6" t="s">
        <v>100</v>
      </c>
    </row>
    <row r="7" spans="1:16" x14ac:dyDescent="0.25">
      <c r="A7" s="69" t="s">
        <v>77</v>
      </c>
      <c r="B7" s="61">
        <v>20.92</v>
      </c>
      <c r="C7" s="60">
        <v>30774</v>
      </c>
      <c r="D7" t="s">
        <v>101</v>
      </c>
    </row>
    <row r="8" spans="1:16" x14ac:dyDescent="0.25">
      <c r="A8" s="69" t="s">
        <v>78</v>
      </c>
      <c r="B8" s="61">
        <v>31.4</v>
      </c>
      <c r="C8" s="60">
        <v>31124</v>
      </c>
      <c r="D8" t="s">
        <v>102</v>
      </c>
    </row>
    <row r="9" spans="1:16" x14ac:dyDescent="0.25">
      <c r="A9" s="69" t="s">
        <v>79</v>
      </c>
      <c r="B9" s="61">
        <v>8.6</v>
      </c>
      <c r="C9" s="60">
        <v>31452</v>
      </c>
      <c r="D9" t="s">
        <v>103</v>
      </c>
    </row>
    <row r="10" spans="1:16" x14ac:dyDescent="0.25">
      <c r="A10" s="69" t="s">
        <v>80</v>
      </c>
      <c r="B10" s="61">
        <v>43.39</v>
      </c>
      <c r="C10" s="60">
        <v>31863</v>
      </c>
      <c r="D10" t="s">
        <v>105</v>
      </c>
    </row>
    <row r="11" spans="1:16" x14ac:dyDescent="0.25">
      <c r="A11" s="69" t="s">
        <v>81</v>
      </c>
      <c r="B11" s="61">
        <v>36.549999999999997</v>
      </c>
      <c r="C11" s="60">
        <v>32197</v>
      </c>
      <c r="D11" t="s">
        <v>106</v>
      </c>
    </row>
    <row r="12" spans="1:16" x14ac:dyDescent="0.25">
      <c r="A12" s="69" t="s">
        <v>82</v>
      </c>
      <c r="B12" s="61">
        <v>9.3000000000000007</v>
      </c>
      <c r="C12" s="60">
        <v>32548</v>
      </c>
      <c r="D12" t="s">
        <v>107</v>
      </c>
    </row>
    <row r="13" spans="1:16" x14ac:dyDescent="0.25">
      <c r="A13" s="69" t="s">
        <v>83</v>
      </c>
      <c r="B13" s="61">
        <v>11.96</v>
      </c>
      <c r="C13" s="60">
        <v>32923</v>
      </c>
      <c r="D13" t="s">
        <v>108</v>
      </c>
      <c r="P13" t="s">
        <v>122</v>
      </c>
    </row>
    <row r="14" spans="1:16" x14ac:dyDescent="0.25">
      <c r="A14" s="69" t="s">
        <v>84</v>
      </c>
      <c r="B14" s="61">
        <v>5.0999999999999996</v>
      </c>
      <c r="C14" s="60">
        <v>33323</v>
      </c>
      <c r="D14" t="s">
        <v>109</v>
      </c>
    </row>
    <row r="15" spans="1:16" x14ac:dyDescent="0.25">
      <c r="A15" s="69" t="s">
        <v>85</v>
      </c>
      <c r="B15" s="61">
        <v>17.88</v>
      </c>
      <c r="C15" s="60">
        <v>33705</v>
      </c>
      <c r="D15" t="s">
        <v>109</v>
      </c>
    </row>
    <row r="16" spans="1:16" x14ac:dyDescent="0.25">
      <c r="A16" s="69" t="s">
        <v>86</v>
      </c>
      <c r="B16" s="61">
        <v>8.8000000000000007</v>
      </c>
      <c r="C16" s="60">
        <v>34025</v>
      </c>
      <c r="D16" t="s">
        <v>109</v>
      </c>
    </row>
    <row r="17" spans="1:4" x14ac:dyDescent="0.25">
      <c r="A17" s="69" t="s">
        <v>87</v>
      </c>
      <c r="B17" s="61">
        <v>2.0699999999999998</v>
      </c>
      <c r="C17" s="60">
        <v>34421</v>
      </c>
      <c r="D17" t="s">
        <v>109</v>
      </c>
    </row>
    <row r="18" spans="1:4" x14ac:dyDescent="0.25">
      <c r="A18" s="69" t="s">
        <v>88</v>
      </c>
      <c r="B18" s="61">
        <v>4.38</v>
      </c>
      <c r="C18" s="60">
        <v>34759</v>
      </c>
      <c r="D18" t="s">
        <v>109</v>
      </c>
    </row>
    <row r="19" spans="1:4" x14ac:dyDescent="0.25">
      <c r="A19" s="69" t="s">
        <v>89</v>
      </c>
      <c r="B19" s="61">
        <v>3.65</v>
      </c>
      <c r="C19" s="60">
        <v>35152</v>
      </c>
      <c r="D19" t="s">
        <v>109</v>
      </c>
    </row>
    <row r="20" spans="1:4" x14ac:dyDescent="0.25">
      <c r="A20" s="69" t="s">
        <v>90</v>
      </c>
      <c r="B20" s="61">
        <v>2.5</v>
      </c>
      <c r="C20" s="71" t="s">
        <v>110</v>
      </c>
      <c r="D20" s="72" t="s">
        <v>110</v>
      </c>
    </row>
    <row r="21" spans="1:4" x14ac:dyDescent="0.25">
      <c r="A21" s="69" t="s">
        <v>91</v>
      </c>
      <c r="B21" s="61">
        <v>3.77</v>
      </c>
      <c r="C21" s="60">
        <v>35913</v>
      </c>
      <c r="D21" t="s">
        <v>109</v>
      </c>
    </row>
    <row r="22" spans="1:4" x14ac:dyDescent="0.25">
      <c r="A22" s="69" t="s">
        <v>92</v>
      </c>
      <c r="B22" s="61">
        <v>9.31</v>
      </c>
      <c r="C22" s="60">
        <v>36258</v>
      </c>
      <c r="D22" t="s">
        <v>111</v>
      </c>
    </row>
    <row r="23" spans="1:4" x14ac:dyDescent="0.25">
      <c r="A23" s="69" t="s">
        <v>93</v>
      </c>
      <c r="B23" s="61">
        <v>1.8</v>
      </c>
      <c r="C23" s="60">
        <v>36628</v>
      </c>
      <c r="D23" t="s">
        <v>109</v>
      </c>
    </row>
    <row r="24" spans="1:4" x14ac:dyDescent="0.25">
      <c r="A24" s="69" t="s">
        <v>94</v>
      </c>
      <c r="B24" s="61">
        <v>8.0299999999999994</v>
      </c>
      <c r="C24" s="60">
        <v>36963</v>
      </c>
      <c r="D24" t="s">
        <v>109</v>
      </c>
    </row>
    <row r="25" spans="1:4" x14ac:dyDescent="0.25">
      <c r="A25" s="69" t="s">
        <v>95</v>
      </c>
      <c r="B25" s="61">
        <v>4.54</v>
      </c>
      <c r="C25" s="56">
        <v>37372</v>
      </c>
      <c r="D25" t="s">
        <v>113</v>
      </c>
    </row>
    <row r="26" spans="1:4" x14ac:dyDescent="0.25">
      <c r="A26" s="69" t="s">
        <v>96</v>
      </c>
      <c r="B26" s="61">
        <v>3.1</v>
      </c>
      <c r="C26" s="56">
        <v>37734</v>
      </c>
      <c r="D26" t="s">
        <v>113</v>
      </c>
    </row>
    <row r="27" spans="1:4" x14ac:dyDescent="0.25">
      <c r="A27" s="69" t="s">
        <v>97</v>
      </c>
      <c r="B27" s="61">
        <v>3.6</v>
      </c>
      <c r="C27" s="56">
        <v>38091</v>
      </c>
      <c r="D27" t="s">
        <v>113</v>
      </c>
    </row>
    <row r="28" spans="1:4" x14ac:dyDescent="0.25">
      <c r="A28" s="62">
        <v>2005</v>
      </c>
      <c r="B28" s="61">
        <v>4.5</v>
      </c>
      <c r="C28" s="56">
        <v>38457</v>
      </c>
      <c r="D28" t="s">
        <v>113</v>
      </c>
    </row>
    <row r="29" spans="1:4" x14ac:dyDescent="0.25">
      <c r="A29" s="62">
        <v>2006</v>
      </c>
      <c r="B29" s="61">
        <f>62/15</f>
        <v>4.1333333333333337</v>
      </c>
      <c r="C29" s="56">
        <v>38820</v>
      </c>
      <c r="D29" t="s">
        <v>113</v>
      </c>
    </row>
    <row r="30" spans="1:4" x14ac:dyDescent="0.25">
      <c r="A30" s="62">
        <v>2007</v>
      </c>
      <c r="B30" s="61">
        <f>60/15</f>
        <v>4</v>
      </c>
      <c r="C30" s="56">
        <v>39192</v>
      </c>
      <c r="D30" t="s">
        <v>113</v>
      </c>
    </row>
    <row r="31" spans="1:4" x14ac:dyDescent="0.25">
      <c r="A31" s="62">
        <v>2008</v>
      </c>
      <c r="B31" s="61">
        <f>18/15</f>
        <v>1.2</v>
      </c>
      <c r="C31" s="60">
        <v>39515</v>
      </c>
      <c r="D31" t="s">
        <v>113</v>
      </c>
    </row>
    <row r="32" spans="1:4" x14ac:dyDescent="0.25">
      <c r="A32" s="62">
        <v>2009</v>
      </c>
      <c r="B32" s="61">
        <f>38/15</f>
        <v>2.5333333333333332</v>
      </c>
      <c r="C32" s="60">
        <v>39930</v>
      </c>
      <c r="D32" t="s">
        <v>113</v>
      </c>
    </row>
    <row r="33" spans="1:4" x14ac:dyDescent="0.25">
      <c r="A33" s="62">
        <v>2010</v>
      </c>
      <c r="B33" s="61">
        <v>3.6</v>
      </c>
      <c r="C33" s="60">
        <v>40283</v>
      </c>
      <c r="D33" t="s">
        <v>113</v>
      </c>
    </row>
    <row r="34" spans="1:4" x14ac:dyDescent="0.25">
      <c r="A34" s="62">
        <v>2011</v>
      </c>
      <c r="B34" s="61">
        <f>103/15</f>
        <v>6.8666666666666663</v>
      </c>
    </row>
    <row r="35" spans="1:4" x14ac:dyDescent="0.25">
      <c r="A35" s="62">
        <v>2012</v>
      </c>
      <c r="B35" s="61">
        <f>42/15</f>
        <v>2.8</v>
      </c>
    </row>
    <row r="36" spans="1:4" x14ac:dyDescent="0.25">
      <c r="A36" s="62">
        <v>2013</v>
      </c>
      <c r="B36" s="61">
        <f>93/15</f>
        <v>6.2</v>
      </c>
    </row>
    <row r="37" spans="1:4" x14ac:dyDescent="0.25">
      <c r="A37" s="62">
        <v>2014</v>
      </c>
      <c r="B37" s="61">
        <v>4.5</v>
      </c>
    </row>
    <row r="38" spans="1:4" x14ac:dyDescent="0.25">
      <c r="A38" s="62">
        <v>2015</v>
      </c>
      <c r="B38" s="61">
        <f>109/15</f>
        <v>7.2666666666666666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scale="5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5"/>
  <sheetViews>
    <sheetView topLeftCell="AR18" zoomScaleNormal="70" workbookViewId="0">
      <selection activeCell="AS5" sqref="AS5"/>
    </sheetView>
  </sheetViews>
  <sheetFormatPr defaultColWidth="8.77734375" defaultRowHeight="13.2" x14ac:dyDescent="0.25"/>
  <cols>
    <col min="1" max="1" width="9.109375" style="1"/>
    <col min="2" max="2" width="18.109375" customWidth="1"/>
    <col min="6" max="6" width="11.44140625" customWidth="1"/>
    <col min="12" max="12" width="11.33203125" customWidth="1"/>
    <col min="14" max="14" width="9.6640625" bestFit="1" customWidth="1"/>
    <col min="18" max="18" width="9.6640625" bestFit="1" customWidth="1"/>
    <col min="19" max="19" width="12" customWidth="1"/>
    <col min="22" max="22" width="9.33203125" bestFit="1" customWidth="1"/>
    <col min="26" max="26" width="10.44140625" customWidth="1"/>
    <col min="30" max="30" width="9.33203125" bestFit="1" customWidth="1"/>
    <col min="34" max="34" width="9.33203125" bestFit="1" customWidth="1"/>
    <col min="37" max="37" width="11.6640625" customWidth="1"/>
    <col min="38" max="38" width="9.6640625" bestFit="1" customWidth="1"/>
    <col min="42" max="42" width="9.6640625" bestFit="1" customWidth="1"/>
    <col min="46" max="46" width="9.6640625" bestFit="1" customWidth="1"/>
    <col min="50" max="50" width="10.77734375" customWidth="1"/>
    <col min="54" max="54" width="11" customWidth="1"/>
    <col min="58" max="58" width="10.33203125" style="74" bestFit="1" customWidth="1"/>
  </cols>
  <sheetData>
    <row r="1" spans="1:60" x14ac:dyDescent="0.25">
      <c r="A1" s="1">
        <v>2002</v>
      </c>
      <c r="E1" s="1">
        <v>2003</v>
      </c>
      <c r="I1">
        <v>2004</v>
      </c>
      <c r="M1">
        <v>2005</v>
      </c>
      <c r="Q1">
        <v>2006</v>
      </c>
      <c r="U1">
        <v>2007</v>
      </c>
      <c r="Y1">
        <v>2008</v>
      </c>
      <c r="AC1">
        <v>2009</v>
      </c>
      <c r="AG1">
        <v>2010</v>
      </c>
      <c r="AK1">
        <v>2011</v>
      </c>
      <c r="AO1">
        <v>2012</v>
      </c>
      <c r="AS1">
        <v>2013</v>
      </c>
      <c r="AW1">
        <v>2014</v>
      </c>
      <c r="BA1">
        <v>2015</v>
      </c>
      <c r="BE1">
        <v>2016</v>
      </c>
    </row>
    <row r="2" spans="1:60" x14ac:dyDescent="0.25">
      <c r="A2" s="1" t="s">
        <v>1</v>
      </c>
      <c r="B2" t="s">
        <v>0</v>
      </c>
      <c r="C2" t="s">
        <v>2</v>
      </c>
      <c r="E2" s="1" t="s">
        <v>1</v>
      </c>
      <c r="F2" t="s">
        <v>0</v>
      </c>
      <c r="G2" t="s">
        <v>2</v>
      </c>
      <c r="I2" s="1" t="s">
        <v>66</v>
      </c>
      <c r="J2" t="s">
        <v>0</v>
      </c>
      <c r="K2" t="s">
        <v>67</v>
      </c>
      <c r="M2" t="s">
        <v>66</v>
      </c>
      <c r="N2" t="s">
        <v>0</v>
      </c>
      <c r="O2" t="s">
        <v>68</v>
      </c>
      <c r="Q2" t="s">
        <v>66</v>
      </c>
      <c r="R2" t="s">
        <v>0</v>
      </c>
      <c r="S2" t="s">
        <v>68</v>
      </c>
      <c r="U2" t="s">
        <v>66</v>
      </c>
      <c r="V2" t="s">
        <v>0</v>
      </c>
      <c r="W2" t="s">
        <v>68</v>
      </c>
      <c r="Y2" t="s">
        <v>66</v>
      </c>
      <c r="Z2" t="s">
        <v>0</v>
      </c>
      <c r="AA2" t="s">
        <v>68</v>
      </c>
      <c r="AC2" t="s">
        <v>66</v>
      </c>
      <c r="AD2" t="s">
        <v>0</v>
      </c>
      <c r="AE2" t="s">
        <v>68</v>
      </c>
      <c r="AG2" t="s">
        <v>66</v>
      </c>
      <c r="AH2" t="s">
        <v>0</v>
      </c>
      <c r="AI2" t="s">
        <v>68</v>
      </c>
      <c r="AK2" t="s">
        <v>66</v>
      </c>
      <c r="AL2" t="s">
        <v>0</v>
      </c>
      <c r="AM2" t="s">
        <v>68</v>
      </c>
      <c r="AO2" s="75" t="s">
        <v>66</v>
      </c>
      <c r="AP2" s="75" t="s">
        <v>0</v>
      </c>
      <c r="AQ2" s="75" t="s">
        <v>121</v>
      </c>
      <c r="AS2" s="75" t="s">
        <v>66</v>
      </c>
      <c r="AT2" s="75" t="s">
        <v>0</v>
      </c>
      <c r="AU2" s="75" t="s">
        <v>121</v>
      </c>
      <c r="AW2" s="75" t="s">
        <v>66</v>
      </c>
      <c r="AX2" s="75" t="s">
        <v>0</v>
      </c>
      <c r="AY2" s="75" t="s">
        <v>121</v>
      </c>
      <c r="BA2" s="75" t="s">
        <v>66</v>
      </c>
      <c r="BB2" s="75" t="s">
        <v>0</v>
      </c>
      <c r="BC2" s="75" t="s">
        <v>121</v>
      </c>
      <c r="BE2" t="s">
        <v>66</v>
      </c>
      <c r="BF2" s="74" t="s">
        <v>0</v>
      </c>
      <c r="BG2" t="s">
        <v>121</v>
      </c>
    </row>
    <row r="3" spans="1:60" x14ac:dyDescent="0.25">
      <c r="A3" s="1">
        <v>0</v>
      </c>
      <c r="B3" s="2">
        <v>37987</v>
      </c>
      <c r="C3">
        <v>0</v>
      </c>
      <c r="E3" s="1">
        <v>0</v>
      </c>
      <c r="F3" s="2">
        <v>37987</v>
      </c>
      <c r="G3">
        <v>0</v>
      </c>
      <c r="I3" s="1">
        <v>0</v>
      </c>
      <c r="J3" s="2">
        <v>37987</v>
      </c>
      <c r="K3" s="1">
        <v>0</v>
      </c>
      <c r="M3">
        <v>0</v>
      </c>
      <c r="N3" s="55">
        <v>38353</v>
      </c>
      <c r="O3">
        <v>0</v>
      </c>
      <c r="Q3">
        <v>0</v>
      </c>
      <c r="R3" s="55">
        <v>38353</v>
      </c>
      <c r="S3">
        <v>0</v>
      </c>
      <c r="U3">
        <v>0</v>
      </c>
      <c r="V3" s="55">
        <v>39083</v>
      </c>
      <c r="W3">
        <v>0</v>
      </c>
      <c r="Y3">
        <v>0</v>
      </c>
      <c r="Z3" s="55">
        <v>39083</v>
      </c>
      <c r="AA3">
        <v>0</v>
      </c>
      <c r="AC3">
        <v>0</v>
      </c>
      <c r="AD3" s="55">
        <v>39814</v>
      </c>
      <c r="AE3">
        <v>0</v>
      </c>
      <c r="AG3">
        <v>0</v>
      </c>
      <c r="AH3" s="55">
        <v>40179</v>
      </c>
      <c r="AI3">
        <v>0</v>
      </c>
      <c r="AK3">
        <v>0</v>
      </c>
      <c r="AL3" s="55">
        <v>40179</v>
      </c>
      <c r="AM3">
        <v>0</v>
      </c>
      <c r="AO3">
        <v>0</v>
      </c>
      <c r="AP3" s="55">
        <v>40179</v>
      </c>
      <c r="AQ3">
        <v>0</v>
      </c>
      <c r="AS3">
        <v>0</v>
      </c>
      <c r="AT3" s="55">
        <v>41275</v>
      </c>
      <c r="AU3">
        <v>0</v>
      </c>
      <c r="AW3">
        <v>0</v>
      </c>
      <c r="AX3" s="55">
        <v>41275</v>
      </c>
      <c r="AY3">
        <v>0</v>
      </c>
      <c r="BA3">
        <v>0</v>
      </c>
      <c r="BB3" s="55">
        <v>41275</v>
      </c>
      <c r="BC3">
        <v>0</v>
      </c>
      <c r="BE3">
        <v>0</v>
      </c>
      <c r="BF3" s="74">
        <v>42370</v>
      </c>
      <c r="BG3">
        <v>0</v>
      </c>
    </row>
    <row r="4" spans="1:60" x14ac:dyDescent="0.25">
      <c r="A4" s="1">
        <v>17</v>
      </c>
      <c r="B4" s="2">
        <v>38004</v>
      </c>
      <c r="C4">
        <v>17</v>
      </c>
      <c r="D4">
        <f>0.5*(A4-A3)*C4</f>
        <v>144.5</v>
      </c>
      <c r="E4" s="1">
        <v>20</v>
      </c>
      <c r="F4" s="2">
        <v>38006</v>
      </c>
      <c r="G4">
        <v>5</v>
      </c>
      <c r="H4">
        <f>0.5*(E4-E3)*G4</f>
        <v>50</v>
      </c>
      <c r="I4" s="1">
        <v>35</v>
      </c>
      <c r="J4" t="s">
        <v>3</v>
      </c>
      <c r="K4" s="1">
        <v>6</v>
      </c>
      <c r="L4">
        <f>0.5*(I4-I3)*K4</f>
        <v>105</v>
      </c>
      <c r="M4">
        <v>41</v>
      </c>
      <c r="N4" s="56">
        <v>38394</v>
      </c>
      <c r="O4">
        <v>9</v>
      </c>
      <c r="P4">
        <f>0.5*(M4-M3)*O4</f>
        <v>184.5</v>
      </c>
      <c r="Q4">
        <v>45</v>
      </c>
      <c r="R4" s="56">
        <v>38763</v>
      </c>
      <c r="S4">
        <v>32</v>
      </c>
      <c r="T4">
        <f>0.5*(Q4-Q3)*S4</f>
        <v>720</v>
      </c>
      <c r="U4">
        <f>31+22</f>
        <v>53</v>
      </c>
      <c r="V4" s="56">
        <v>39136</v>
      </c>
      <c r="W4">
        <v>18</v>
      </c>
      <c r="X4">
        <f>0.5*(U4-U3)*W4</f>
        <v>477</v>
      </c>
      <c r="Y4">
        <v>66</v>
      </c>
      <c r="Z4" s="56">
        <v>39515</v>
      </c>
      <c r="AA4">
        <v>18</v>
      </c>
      <c r="AB4">
        <f>0.5*(Y4-Y3)*AA4</f>
        <v>594</v>
      </c>
      <c r="AC4">
        <v>84</v>
      </c>
      <c r="AD4" s="56">
        <v>39898</v>
      </c>
      <c r="AE4">
        <v>24</v>
      </c>
      <c r="AF4">
        <f>0.5*(AC4-AC3)*AE4</f>
        <v>1008</v>
      </c>
      <c r="AG4">
        <v>68</v>
      </c>
      <c r="AH4" s="56">
        <v>40247</v>
      </c>
      <c r="AI4">
        <v>42</v>
      </c>
      <c r="AJ4">
        <f>0.5*(AG4-AG3)*AI4</f>
        <v>1428</v>
      </c>
      <c r="AK4">
        <v>86</v>
      </c>
      <c r="AL4" s="56">
        <v>40630</v>
      </c>
      <c r="AM4">
        <v>68</v>
      </c>
      <c r="AN4">
        <f>0.5*(AK4-AK3)*AM4</f>
        <v>2924</v>
      </c>
      <c r="AO4">
        <v>82</v>
      </c>
      <c r="AP4" s="56">
        <v>40991</v>
      </c>
      <c r="AQ4">
        <v>33</v>
      </c>
      <c r="AR4">
        <f>0.5*(AO4-AO3)*AQ4</f>
        <v>1353</v>
      </c>
      <c r="AS4">
        <v>85</v>
      </c>
      <c r="AT4" s="76">
        <v>41359</v>
      </c>
      <c r="AU4">
        <v>84</v>
      </c>
      <c r="AV4">
        <f>0.5*(AS4-AS3)*AU4</f>
        <v>3570</v>
      </c>
      <c r="AW4">
        <v>84</v>
      </c>
      <c r="AX4" s="76">
        <v>41723</v>
      </c>
      <c r="AY4">
        <v>32</v>
      </c>
      <c r="AZ4">
        <f>0.5*(AW4-AW3)*AY4</f>
        <v>1344</v>
      </c>
      <c r="BA4">
        <v>86</v>
      </c>
      <c r="BB4" s="76" t="s">
        <v>123</v>
      </c>
      <c r="BC4">
        <v>109</v>
      </c>
      <c r="BD4">
        <f>0.5*(BA4-BA3)*BC4</f>
        <v>4687</v>
      </c>
      <c r="BE4">
        <v>90</v>
      </c>
      <c r="BF4" s="74">
        <v>42456</v>
      </c>
      <c r="BG4">
        <v>81</v>
      </c>
      <c r="BH4">
        <f>0.5*(BE4-BE3)*BG4</f>
        <v>3645</v>
      </c>
    </row>
    <row r="5" spans="1:60" x14ac:dyDescent="0.25">
      <c r="A5" s="1">
        <v>43</v>
      </c>
      <c r="B5" s="2">
        <v>38030</v>
      </c>
      <c r="C5">
        <v>16</v>
      </c>
      <c r="D5">
        <f>((A5-A4)*C5)-((A5-A4)*(C5-C4)*0.5)</f>
        <v>429</v>
      </c>
      <c r="E5" s="1">
        <v>42</v>
      </c>
      <c r="F5" s="2">
        <v>38029</v>
      </c>
      <c r="G5">
        <v>19</v>
      </c>
      <c r="H5">
        <f>((E5-E4)*G5)-((E5-E4)*(G5-G4)*0.5)</f>
        <v>264</v>
      </c>
      <c r="I5" s="1">
        <v>61</v>
      </c>
      <c r="J5" t="s">
        <v>4</v>
      </c>
      <c r="K5" s="1">
        <v>21</v>
      </c>
      <c r="L5">
        <f>((I5-I4)*K5)-((I5-I4)*(K5-K4)*0.5)</f>
        <v>351</v>
      </c>
      <c r="M5">
        <v>66</v>
      </c>
      <c r="N5" s="56">
        <v>38419</v>
      </c>
      <c r="O5">
        <v>32</v>
      </c>
      <c r="P5">
        <f>((M5-M4)*O5)-((M5-M4)*(O5-O4)*0.5)</f>
        <v>512.5</v>
      </c>
      <c r="Q5">
        <v>79</v>
      </c>
      <c r="R5" s="56">
        <v>38797</v>
      </c>
      <c r="S5">
        <v>59</v>
      </c>
      <c r="T5">
        <f>((Q5-Q4)*S5)-((Q5-Q4)*(S5-S4)*0.5)</f>
        <v>1547</v>
      </c>
      <c r="U5">
        <v>87</v>
      </c>
      <c r="V5" s="56">
        <v>39170</v>
      </c>
      <c r="W5">
        <v>50</v>
      </c>
      <c r="X5">
        <f>((U5-U4)*W5)-((U5-U4)*(W5-W4)*0.5)</f>
        <v>1156</v>
      </c>
      <c r="Y5">
        <v>108</v>
      </c>
      <c r="Z5" s="56">
        <v>39555</v>
      </c>
      <c r="AA5">
        <v>17</v>
      </c>
      <c r="AB5">
        <f>((Y5-Y4)*AA5)-((Y5-Y4)*(AA5-AA4)*0.5)</f>
        <v>735</v>
      </c>
      <c r="AC5">
        <v>116</v>
      </c>
      <c r="AD5" s="56">
        <v>39930</v>
      </c>
      <c r="AE5">
        <v>38</v>
      </c>
      <c r="AF5">
        <f>((AC5-AC4)*AE5)-((AC5-AC4)*(AE5-AE4)*0.5)</f>
        <v>992</v>
      </c>
      <c r="AG5">
        <v>110</v>
      </c>
      <c r="AH5" s="56">
        <v>40283</v>
      </c>
      <c r="AI5">
        <v>54</v>
      </c>
      <c r="AJ5">
        <f>((AG5-AG4)*AI5)-((AG5-AG4)*(AI5-AI4)*0.5)</f>
        <v>2016</v>
      </c>
      <c r="AK5">
        <v>110</v>
      </c>
      <c r="AL5" s="76">
        <v>40652</v>
      </c>
      <c r="AM5">
        <v>103</v>
      </c>
      <c r="AN5">
        <f>((AK5-AK4)*AM5)-((AK5-AK4)*(AM5-AM4)*0.5)</f>
        <v>2052</v>
      </c>
      <c r="AO5">
        <v>115</v>
      </c>
      <c r="AP5" s="76">
        <v>41024</v>
      </c>
      <c r="AQ5">
        <v>38</v>
      </c>
      <c r="AR5">
        <f>((AO5-AO4)*AQ5)-((AO5-AO4)*(AQ5-AQ4)*0.5)</f>
        <v>1171.5</v>
      </c>
      <c r="AS5">
        <v>86</v>
      </c>
      <c r="AT5" s="76">
        <v>41360</v>
      </c>
      <c r="AU5">
        <v>87</v>
      </c>
      <c r="AV5">
        <f>((AS5-AS4)*AU5)-((AS5-AS4)*(AU5-AU4)*0.5)</f>
        <v>85.5</v>
      </c>
      <c r="AW5">
        <v>101</v>
      </c>
      <c r="AX5" s="76">
        <v>41740</v>
      </c>
      <c r="AY5">
        <v>68</v>
      </c>
      <c r="AZ5">
        <f>((AW5-AW4)*AY5)-((AW5-AW4)*(AY5-AY4)*0.5)</f>
        <v>850</v>
      </c>
      <c r="BA5">
        <v>98</v>
      </c>
      <c r="BB5" s="76">
        <v>42102</v>
      </c>
      <c r="BC5">
        <v>106</v>
      </c>
      <c r="BD5">
        <f>((BA5-BA4)*BC5)-((BA5-BA4)*(BC5-BC4)*0.5)</f>
        <v>1290</v>
      </c>
      <c r="BE5">
        <v>98</v>
      </c>
      <c r="BF5" s="74">
        <v>42102</v>
      </c>
      <c r="BG5">
        <v>94</v>
      </c>
      <c r="BH5">
        <f>((BE5-BE4)*BG5)-((BE5-BE4)*(BG5-BG4)*0.5)</f>
        <v>700</v>
      </c>
    </row>
    <row r="6" spans="1:60" x14ac:dyDescent="0.25">
      <c r="A6" s="1">
        <v>67</v>
      </c>
      <c r="B6" s="2">
        <v>38055</v>
      </c>
      <c r="C6">
        <v>46</v>
      </c>
      <c r="D6">
        <f>((A6-A5)*C6)-((A6-A5)*(C6-C5)*0.5)</f>
        <v>744</v>
      </c>
      <c r="E6" s="1">
        <v>65</v>
      </c>
      <c r="F6" s="2">
        <v>38053</v>
      </c>
      <c r="G6">
        <v>21</v>
      </c>
      <c r="H6">
        <f>((E6-E5)*G6)-((E6-E5)*(G6-G5)*0.5)</f>
        <v>460</v>
      </c>
      <c r="I6" s="1">
        <v>82</v>
      </c>
      <c r="J6" t="s">
        <v>5</v>
      </c>
      <c r="K6" s="1">
        <v>24</v>
      </c>
      <c r="L6">
        <f>((I6-I5)*K6)-((I6-I5)*(K6-K5)*0.5)</f>
        <v>472.5</v>
      </c>
      <c r="M6">
        <v>104</v>
      </c>
      <c r="N6" s="56">
        <v>38457</v>
      </c>
      <c r="O6">
        <v>61</v>
      </c>
      <c r="P6">
        <f>((M6-M5)*O6)-((M6-M5)*(O6-O5)*0.5)</f>
        <v>1767</v>
      </c>
      <c r="Q6">
        <v>102</v>
      </c>
      <c r="R6" s="56">
        <v>38820</v>
      </c>
      <c r="S6">
        <v>62</v>
      </c>
      <c r="T6">
        <f>((Q6-Q5)*S6)-((Q6-Q5)*(S6-S5)*0.5)</f>
        <v>1391.5</v>
      </c>
      <c r="U6">
        <v>109</v>
      </c>
      <c r="V6" s="60">
        <v>39192</v>
      </c>
      <c r="W6">
        <v>60</v>
      </c>
      <c r="X6">
        <f>((U6-U5)*W6)-((U6-U5)*(W6-W5)*0.5)</f>
        <v>1210</v>
      </c>
      <c r="Y6">
        <v>151</v>
      </c>
      <c r="Z6" s="55">
        <v>39233</v>
      </c>
      <c r="AA6">
        <v>0</v>
      </c>
      <c r="AB6">
        <f>0.5*(Y6-Y5)*AA5</f>
        <v>365.5</v>
      </c>
      <c r="AC6">
        <v>151</v>
      </c>
      <c r="AD6" s="55">
        <v>39233</v>
      </c>
      <c r="AE6">
        <v>0</v>
      </c>
      <c r="AF6">
        <f>0.5*(AC6-AC5)*AE5</f>
        <v>665</v>
      </c>
      <c r="AG6">
        <v>151</v>
      </c>
      <c r="AH6" s="55">
        <v>40329</v>
      </c>
      <c r="AI6">
        <v>0</v>
      </c>
      <c r="AJ6">
        <f>0.5*(AG6-AG5)*AI5</f>
        <v>1107</v>
      </c>
      <c r="AK6">
        <v>151</v>
      </c>
      <c r="AL6" s="76">
        <v>40694</v>
      </c>
      <c r="AM6">
        <v>0</v>
      </c>
      <c r="AN6">
        <f>0.5*(AK6-AK5)*AM5</f>
        <v>2111.5</v>
      </c>
      <c r="AO6">
        <v>127</v>
      </c>
      <c r="AP6" s="76">
        <v>41036</v>
      </c>
      <c r="AQ6">
        <v>42</v>
      </c>
      <c r="AR6">
        <f>0.5*(AO6-AO5)*AQ5</f>
        <v>228</v>
      </c>
      <c r="AS6">
        <v>107</v>
      </c>
      <c r="AT6" s="76">
        <v>41381</v>
      </c>
      <c r="AU6">
        <v>89</v>
      </c>
      <c r="AV6">
        <f>((AS6-AS5)*AU6)-((AS6-AS5)*(AU6-AU5)*0.5)</f>
        <v>1848</v>
      </c>
      <c r="AW6">
        <v>114</v>
      </c>
      <c r="AX6" s="76">
        <v>41753</v>
      </c>
      <c r="AY6">
        <v>62</v>
      </c>
      <c r="AZ6">
        <f>((AW6-AW5)*AY6)-((AW6-AW5)*(AY6-AY5)*0.5)</f>
        <v>845</v>
      </c>
      <c r="BA6">
        <v>117</v>
      </c>
      <c r="BB6" s="76">
        <v>42121</v>
      </c>
      <c r="BC6">
        <v>81</v>
      </c>
      <c r="BD6">
        <f>((BA6-BA5)*BC6)-((BA6-BA5)*(BC6-BC5)*0.5)</f>
        <v>1776.5</v>
      </c>
      <c r="BE6">
        <v>111</v>
      </c>
      <c r="BF6" s="74">
        <v>42121</v>
      </c>
      <c r="BG6">
        <v>96</v>
      </c>
      <c r="BH6">
        <f>((BE6-BE5)*BG6)-((BE6-BE5)*(BG6-BG5)*0.5)</f>
        <v>1235</v>
      </c>
    </row>
    <row r="7" spans="1:60" x14ac:dyDescent="0.25">
      <c r="A7" s="1">
        <v>80</v>
      </c>
      <c r="B7" s="2">
        <v>38068</v>
      </c>
      <c r="C7">
        <v>50</v>
      </c>
      <c r="D7">
        <f>((A7-A6)*C7)-((A7-A6)*(C7-C6)*0.5)</f>
        <v>624</v>
      </c>
      <c r="E7" s="1">
        <v>96</v>
      </c>
      <c r="F7" s="2">
        <v>38084</v>
      </c>
      <c r="G7">
        <v>46</v>
      </c>
      <c r="H7">
        <f>((E7-E6)*G7)-((E7-E6)*(G7-G6)*0.5)</f>
        <v>1038.5</v>
      </c>
      <c r="I7" s="1">
        <v>104</v>
      </c>
      <c r="J7" t="s">
        <v>6</v>
      </c>
      <c r="K7" s="1">
        <v>45</v>
      </c>
      <c r="L7">
        <f>((I7-I6)*K7)-((I7-I6)*(K7-K6)*0.5)</f>
        <v>759</v>
      </c>
      <c r="M7">
        <v>118</v>
      </c>
      <c r="N7" s="56">
        <v>38471</v>
      </c>
      <c r="O7">
        <v>47</v>
      </c>
      <c r="P7">
        <f>((M7-M6)*O7)-((M7-M6)*(O7-O6)*0.5)</f>
        <v>756</v>
      </c>
      <c r="Q7">
        <v>125</v>
      </c>
      <c r="R7" s="56">
        <v>38842</v>
      </c>
      <c r="S7">
        <v>62</v>
      </c>
      <c r="T7">
        <f>((Q7-Q6)*S7)-((Q7-Q6)*(S7-S6)*0.5)</f>
        <v>1426</v>
      </c>
      <c r="U7">
        <v>151</v>
      </c>
      <c r="V7" s="55">
        <v>39233</v>
      </c>
      <c r="W7">
        <v>0</v>
      </c>
      <c r="X7">
        <f>0.5*(U7-U6)*W6</f>
        <v>1260</v>
      </c>
      <c r="Z7" s="55"/>
      <c r="AG7" s="55"/>
      <c r="AK7">
        <v>206</v>
      </c>
      <c r="AL7" s="55"/>
      <c r="AO7">
        <v>151</v>
      </c>
      <c r="AP7" s="76">
        <v>41060</v>
      </c>
      <c r="AQ7">
        <v>0</v>
      </c>
      <c r="AS7">
        <v>115</v>
      </c>
      <c r="AT7" s="76">
        <v>41389</v>
      </c>
      <c r="AU7">
        <v>89</v>
      </c>
      <c r="AV7">
        <f>((AS7-AS6)*AU7)-((AS7-AS6)*(AU7-AU6)*0.5)</f>
        <v>712</v>
      </c>
      <c r="AW7">
        <v>151</v>
      </c>
      <c r="AX7" s="76">
        <v>41790</v>
      </c>
      <c r="AY7">
        <v>0</v>
      </c>
      <c r="AZ7">
        <f>((AW7-AW6)*AY7)-((AW7-AW6)*(AY7-AY6)*0.5)</f>
        <v>1147</v>
      </c>
      <c r="BA7">
        <v>151</v>
      </c>
      <c r="BB7" s="76">
        <v>41790</v>
      </c>
      <c r="BC7">
        <v>0</v>
      </c>
      <c r="BD7">
        <f>((BA7-BA6)*BC7)-((BA7-BA6)*(BC7-BC6)*0.5)</f>
        <v>1377</v>
      </c>
      <c r="BE7">
        <v>151</v>
      </c>
      <c r="BF7" s="74">
        <v>41790</v>
      </c>
      <c r="BG7">
        <v>0</v>
      </c>
      <c r="BH7">
        <f>((BE7-BE6)*BG7)-((BE7-BE6)*(BG7-BG6)*0.5)</f>
        <v>1920</v>
      </c>
    </row>
    <row r="8" spans="1:60" x14ac:dyDescent="0.25">
      <c r="A8" s="1">
        <v>115</v>
      </c>
      <c r="B8" s="2">
        <v>38103</v>
      </c>
      <c r="C8">
        <v>73</v>
      </c>
      <c r="D8">
        <f>((A8-A7)*C8)-((A8-A7)*(C8-C7)*0.5)</f>
        <v>2152.5</v>
      </c>
      <c r="E8" s="1">
        <v>112</v>
      </c>
      <c r="F8" s="2">
        <v>38100</v>
      </c>
      <c r="G8">
        <v>50</v>
      </c>
      <c r="H8">
        <f>((E8-E7)*G8)-((E8-E7)*(G8-G7)*0.5)</f>
        <v>768</v>
      </c>
      <c r="I8" s="1">
        <v>119</v>
      </c>
      <c r="J8" t="s">
        <v>7</v>
      </c>
      <c r="K8" s="1">
        <v>41</v>
      </c>
      <c r="L8">
        <f>((I8-I7)*K8)-((I8-I7)*(K8-K7)*0.5)</f>
        <v>645</v>
      </c>
      <c r="M8">
        <v>151</v>
      </c>
      <c r="N8" s="56">
        <v>38868</v>
      </c>
      <c r="O8">
        <v>0</v>
      </c>
      <c r="P8">
        <f>0.5*(M8-M7)*O7</f>
        <v>775.5</v>
      </c>
      <c r="Q8" s="1">
        <v>151</v>
      </c>
      <c r="R8" s="2">
        <v>38868</v>
      </c>
      <c r="S8" s="1">
        <v>0</v>
      </c>
      <c r="T8">
        <f>0.5*(Q8-Q7)*S7</f>
        <v>806</v>
      </c>
      <c r="AG8" s="73"/>
      <c r="AS8">
        <v>123</v>
      </c>
      <c r="AT8" s="76">
        <v>41397</v>
      </c>
      <c r="AU8">
        <v>89</v>
      </c>
      <c r="AV8">
        <f>0.5*(AS9-AS8)*AU8</f>
        <v>1246</v>
      </c>
      <c r="AX8" s="76"/>
      <c r="BB8" s="76"/>
    </row>
    <row r="9" spans="1:60" x14ac:dyDescent="0.25">
      <c r="A9" s="1">
        <v>133</v>
      </c>
      <c r="B9" s="2">
        <v>38121</v>
      </c>
      <c r="C9">
        <v>29</v>
      </c>
      <c r="D9">
        <f>((A9-A8)*C9)-((A9-A8)*(C9-C8)*0.5)</f>
        <v>918</v>
      </c>
      <c r="E9" s="1">
        <v>133</v>
      </c>
      <c r="F9" s="2">
        <v>38121</v>
      </c>
      <c r="G9">
        <v>20</v>
      </c>
      <c r="H9">
        <f>((E9-E8)*G9)-((E9-E8)*(G9-G8)*0.5)</f>
        <v>735</v>
      </c>
      <c r="I9" s="1">
        <v>134</v>
      </c>
      <c r="J9" t="s">
        <v>8</v>
      </c>
      <c r="K9" s="1">
        <v>26</v>
      </c>
      <c r="L9">
        <f>((I9-I8)*K9)-((I9-I8)*(K9-K8)*0.5)</f>
        <v>502.5</v>
      </c>
      <c r="P9">
        <f>SUM(P2:P8)</f>
        <v>3995.5</v>
      </c>
      <c r="T9">
        <f>SUM(T2:T8)</f>
        <v>5890.5</v>
      </c>
      <c r="X9">
        <f>SUM(X2:X8)</f>
        <v>4103</v>
      </c>
      <c r="AB9">
        <f>SUM(AB2:AB8)</f>
        <v>1694.5</v>
      </c>
      <c r="AF9">
        <f>SUM(AF2:AF8)</f>
        <v>2665</v>
      </c>
      <c r="AG9" s="73"/>
      <c r="AJ9">
        <f>SUM(AJ4:AJ6)</f>
        <v>4551</v>
      </c>
      <c r="AN9">
        <f>SUM(AN4:AN6)</f>
        <v>7087.5</v>
      </c>
      <c r="AS9">
        <v>151</v>
      </c>
      <c r="AT9" s="76">
        <v>41425</v>
      </c>
      <c r="AU9">
        <v>0</v>
      </c>
      <c r="AX9" s="76"/>
      <c r="BB9" s="76"/>
    </row>
    <row r="10" spans="1:60" x14ac:dyDescent="0.25">
      <c r="A10" s="1">
        <v>150</v>
      </c>
      <c r="B10" s="2">
        <v>38168</v>
      </c>
      <c r="C10">
        <v>0</v>
      </c>
      <c r="D10">
        <f>0.5*(A10-A9)*C9</f>
        <v>246.5</v>
      </c>
      <c r="E10" s="1">
        <v>150</v>
      </c>
      <c r="F10" s="2">
        <v>38138</v>
      </c>
      <c r="G10">
        <v>0</v>
      </c>
      <c r="H10">
        <f>0.5*(E10-E9)*G9</f>
        <v>170</v>
      </c>
      <c r="I10" s="1">
        <v>151</v>
      </c>
      <c r="J10" s="2">
        <v>38138</v>
      </c>
      <c r="K10" s="1">
        <v>0</v>
      </c>
      <c r="L10">
        <f>0.5*(I10-I9)*K9</f>
        <v>221</v>
      </c>
      <c r="AG10" s="74"/>
    </row>
    <row r="11" spans="1:60" x14ac:dyDescent="0.25">
      <c r="D11">
        <f>SUM(D4:D10)</f>
        <v>5258.5</v>
      </c>
      <c r="H11">
        <f>SUM(H4:H10)</f>
        <v>3485.5</v>
      </c>
      <c r="L11">
        <f>SUM(L4:L10)</f>
        <v>3056</v>
      </c>
      <c r="AR11">
        <f>SUM(AR4:AR6)</f>
        <v>2752.5</v>
      </c>
      <c r="AV11">
        <f>SUM(AV4:AV8)</f>
        <v>7461.5</v>
      </c>
      <c r="AZ11">
        <f>SUM(AZ4:AZ7)</f>
        <v>4186</v>
      </c>
      <c r="BD11">
        <f>SUM(BD4:BD7)</f>
        <v>9130.5</v>
      </c>
      <c r="BH11">
        <f>SUM(BH4:BH7)</f>
        <v>7500</v>
      </c>
    </row>
    <row r="13" spans="1:60" x14ac:dyDescent="0.25">
      <c r="J13">
        <v>73</v>
      </c>
      <c r="K13" s="1">
        <v>6</v>
      </c>
      <c r="L13">
        <f t="shared" ref="L13:L18" si="0">J13-K13</f>
        <v>67</v>
      </c>
      <c r="M13">
        <f t="shared" ref="M13:M18" si="1">L13/15</f>
        <v>4.4666666666666668</v>
      </c>
    </row>
    <row r="14" spans="1:60" x14ac:dyDescent="0.25">
      <c r="J14">
        <v>50</v>
      </c>
      <c r="K14" s="1">
        <v>4</v>
      </c>
      <c r="L14">
        <f t="shared" si="0"/>
        <v>46</v>
      </c>
      <c r="M14">
        <f t="shared" si="1"/>
        <v>3.0666666666666669</v>
      </c>
    </row>
    <row r="15" spans="1:60" x14ac:dyDescent="0.25">
      <c r="J15">
        <v>41</v>
      </c>
      <c r="K15" s="1">
        <v>1</v>
      </c>
      <c r="L15">
        <f t="shared" si="0"/>
        <v>40</v>
      </c>
      <c r="M15">
        <f t="shared" si="1"/>
        <v>2.6666666666666665</v>
      </c>
    </row>
    <row r="16" spans="1:60" x14ac:dyDescent="0.25">
      <c r="J16">
        <v>61</v>
      </c>
      <c r="K16" s="1">
        <v>2</v>
      </c>
      <c r="L16">
        <f t="shared" si="0"/>
        <v>59</v>
      </c>
      <c r="M16">
        <f t="shared" si="1"/>
        <v>3.9333333333333331</v>
      </c>
      <c r="R16" s="2">
        <v>38055</v>
      </c>
      <c r="S16">
        <v>46</v>
      </c>
    </row>
    <row r="17" spans="1:37" customFormat="1" x14ac:dyDescent="0.25">
      <c r="A17" s="1"/>
      <c r="B17">
        <f>AVERAGE(C8,G8,K7,O6,S6,W6,AA4)</f>
        <v>52.714285714285715</v>
      </c>
      <c r="J17">
        <v>62</v>
      </c>
      <c r="L17">
        <f t="shared" si="0"/>
        <v>62</v>
      </c>
      <c r="M17">
        <f t="shared" si="1"/>
        <v>4.1333333333333337</v>
      </c>
      <c r="R17" s="2">
        <v>38068</v>
      </c>
      <c r="S17">
        <v>50</v>
      </c>
    </row>
    <row r="18" spans="1:37" customFormat="1" x14ac:dyDescent="0.25">
      <c r="A18" s="1"/>
      <c r="J18">
        <v>60</v>
      </c>
      <c r="L18">
        <f t="shared" si="0"/>
        <v>60</v>
      </c>
      <c r="M18">
        <f t="shared" si="1"/>
        <v>4</v>
      </c>
      <c r="R18" s="2">
        <v>38103</v>
      </c>
      <c r="S18">
        <v>73</v>
      </c>
    </row>
    <row r="19" spans="1:37" customFormat="1" x14ac:dyDescent="0.25">
      <c r="A19" s="1"/>
      <c r="R19" s="2">
        <v>38121</v>
      </c>
      <c r="S19">
        <v>29</v>
      </c>
    </row>
    <row r="22" spans="1:37" customFormat="1" x14ac:dyDescent="0.25">
      <c r="A22" s="1"/>
      <c r="F22" s="56"/>
    </row>
    <row r="23" spans="1:37" customFormat="1" x14ac:dyDescent="0.25">
      <c r="A23" s="1"/>
      <c r="F23" s="76"/>
    </row>
    <row r="24" spans="1:37" customFormat="1" x14ac:dyDescent="0.25">
      <c r="A24" s="1"/>
      <c r="F24" s="56"/>
    </row>
    <row r="25" spans="1:37" customFormat="1" x14ac:dyDescent="0.25">
      <c r="A25" s="1"/>
      <c r="F25" s="91"/>
      <c r="G25" s="56"/>
    </row>
    <row r="26" spans="1:37" customFormat="1" x14ac:dyDescent="0.25">
      <c r="A26" s="98"/>
      <c r="B26" s="81"/>
      <c r="C26" s="82"/>
      <c r="D26" s="80" t="s">
        <v>124</v>
      </c>
      <c r="E26" s="81"/>
      <c r="F26" s="81"/>
      <c r="G26" s="82"/>
      <c r="H26" s="80" t="s">
        <v>126</v>
      </c>
      <c r="I26" s="81"/>
      <c r="J26" s="81"/>
      <c r="K26" s="82"/>
      <c r="L26" s="103" t="s">
        <v>126</v>
      </c>
      <c r="M26" s="81"/>
      <c r="N26" s="81" t="s">
        <v>127</v>
      </c>
      <c r="O26" s="82"/>
      <c r="P26" s="104" t="s">
        <v>126</v>
      </c>
      <c r="Q26" s="105"/>
      <c r="R26" s="105" t="s">
        <v>127</v>
      </c>
      <c r="S26" s="106"/>
    </row>
    <row r="27" spans="1:37" customFormat="1" x14ac:dyDescent="0.25">
      <c r="A27" s="99"/>
      <c r="C27" s="84"/>
      <c r="D27" s="83" t="s">
        <v>125</v>
      </c>
      <c r="G27" s="92"/>
      <c r="H27" s="83" t="s">
        <v>127</v>
      </c>
      <c r="K27" s="84"/>
      <c r="L27" s="85">
        <v>0.7</v>
      </c>
      <c r="M27" s="75" t="s">
        <v>128</v>
      </c>
      <c r="O27" s="84"/>
      <c r="P27" s="86">
        <v>0.6</v>
      </c>
      <c r="Q27" s="61" t="s">
        <v>128</v>
      </c>
      <c r="R27" s="61"/>
      <c r="S27" s="87"/>
    </row>
    <row r="28" spans="1:37" customFormat="1" x14ac:dyDescent="0.25">
      <c r="A28" s="95"/>
      <c r="B28" s="96" t="s">
        <v>116</v>
      </c>
      <c r="C28" s="97" t="s">
        <v>117</v>
      </c>
      <c r="D28" s="101">
        <v>40</v>
      </c>
      <c r="E28" s="101">
        <v>50</v>
      </c>
      <c r="F28" s="101">
        <v>60</v>
      </c>
      <c r="G28" s="102">
        <v>70</v>
      </c>
      <c r="H28" s="101">
        <v>40</v>
      </c>
      <c r="I28" s="101">
        <v>50</v>
      </c>
      <c r="J28" s="101">
        <v>60</v>
      </c>
      <c r="K28" s="101">
        <v>70</v>
      </c>
      <c r="L28" s="101">
        <v>40</v>
      </c>
      <c r="M28" s="101">
        <v>50</v>
      </c>
      <c r="N28" s="101">
        <v>60</v>
      </c>
      <c r="O28" s="101">
        <v>70</v>
      </c>
      <c r="P28" s="107">
        <v>40</v>
      </c>
      <c r="Q28" s="107">
        <v>50</v>
      </c>
      <c r="R28" s="107">
        <v>60</v>
      </c>
      <c r="S28" s="107">
        <v>70</v>
      </c>
    </row>
    <row r="29" spans="1:37" customFormat="1" x14ac:dyDescent="0.25">
      <c r="A29" s="85">
        <v>2002</v>
      </c>
      <c r="B29">
        <f>D11</f>
        <v>5258.5</v>
      </c>
      <c r="C29" s="84">
        <v>73</v>
      </c>
      <c r="D29" s="93">
        <f>$B$29/D28</f>
        <v>131.46250000000001</v>
      </c>
      <c r="E29" s="77">
        <f>$B$29/E28</f>
        <v>105.17</v>
      </c>
      <c r="F29" s="77">
        <f>$B$29/F28</f>
        <v>87.641666666666666</v>
      </c>
      <c r="G29" s="94">
        <f>$B$29/G28</f>
        <v>75.121428571428567</v>
      </c>
      <c r="H29" s="86">
        <f t="shared" ref="H29:H43" si="2">D29/$C29</f>
        <v>1.8008561643835617</v>
      </c>
      <c r="I29" s="61">
        <f t="shared" ref="I29:I43" si="3">E29/$C29</f>
        <v>1.4406849315068493</v>
      </c>
      <c r="J29" s="61">
        <f t="shared" ref="J29:J43" si="4">F29/$C29</f>
        <v>1.2005707762557078</v>
      </c>
      <c r="K29" s="87">
        <f t="shared" ref="K29:K43" si="5">G29/$C29</f>
        <v>1.0290606653620351</v>
      </c>
      <c r="L29" s="104">
        <f>(($B29/$L$27)/$L$28)/C29</f>
        <v>2.5726516634050882</v>
      </c>
      <c r="M29" s="105">
        <f>(($B29/$L$27)/$M$28)/C29</f>
        <v>2.0581213307240707</v>
      </c>
      <c r="N29" s="105">
        <f>(($B29/$L$27)/$N$28)/C29</f>
        <v>1.7151011089367256</v>
      </c>
      <c r="O29" s="106">
        <f>(($B29/$L$27)/$O$28)/C29</f>
        <v>1.4700866648029076</v>
      </c>
      <c r="P29" s="86">
        <f>(($B29/$P$27)/$P$28)/C29</f>
        <v>3.0014269406392695</v>
      </c>
      <c r="Q29" s="61">
        <f>(($B29/$P$27)/$Q$28)/C29</f>
        <v>2.4011415525114157</v>
      </c>
      <c r="R29" s="61">
        <f>(($B29/$P$27)/$R$28)/C29</f>
        <v>2.0009512937595133</v>
      </c>
      <c r="S29" s="87">
        <f>(($B29/$P$27)/$S$28)/C29</f>
        <v>1.7151011089367256</v>
      </c>
      <c r="AK29">
        <f>AJ33*AI33</f>
        <v>100</v>
      </c>
    </row>
    <row r="30" spans="1:37" customFormat="1" x14ac:dyDescent="0.25">
      <c r="A30" s="85">
        <v>2003</v>
      </c>
      <c r="B30">
        <f>H11</f>
        <v>3485.5</v>
      </c>
      <c r="C30" s="84">
        <v>50</v>
      </c>
      <c r="D30" s="93">
        <f>$B$30/D28</f>
        <v>87.137500000000003</v>
      </c>
      <c r="E30" s="77">
        <f>$B$30/E28</f>
        <v>69.709999999999994</v>
      </c>
      <c r="F30" s="77">
        <f>$B$30/F28</f>
        <v>58.091666666666669</v>
      </c>
      <c r="G30" s="94">
        <f>$B$30/G28</f>
        <v>49.792857142857144</v>
      </c>
      <c r="H30" s="86">
        <f t="shared" si="2"/>
        <v>1.74275</v>
      </c>
      <c r="I30" s="61">
        <f t="shared" si="3"/>
        <v>1.3941999999999999</v>
      </c>
      <c r="J30" s="61">
        <f t="shared" si="4"/>
        <v>1.1618333333333333</v>
      </c>
      <c r="K30" s="87">
        <f t="shared" si="5"/>
        <v>0.99585714285714289</v>
      </c>
      <c r="L30" s="86">
        <f t="shared" ref="L30:L43" si="6">(($B30/$L$27)/$L$28)/C30</f>
        <v>2.489642857142857</v>
      </c>
      <c r="M30" s="61">
        <f t="shared" ref="M30:M43" si="7">(($B30/$L$27)/$M$28)/C30</f>
        <v>1.9917142857142858</v>
      </c>
      <c r="N30" s="61">
        <f t="shared" ref="N30:N43" si="8">(($B30/$L$27)/$N$28)/C30</f>
        <v>1.6597619047619048</v>
      </c>
      <c r="O30" s="87">
        <f t="shared" ref="O30:O43" si="9">(($B30/$L$27)/$O$28)/C30</f>
        <v>1.4226530612244901</v>
      </c>
      <c r="P30" s="86">
        <f t="shared" ref="P30:P43" si="10">(($B30/$P$27)/$P$28)/C30</f>
        <v>2.9045833333333335</v>
      </c>
      <c r="Q30" s="61">
        <f t="shared" ref="Q30:Q43" si="11">(($B30/$P$27)/$Q$28)/C30</f>
        <v>2.3236666666666665</v>
      </c>
      <c r="R30" s="61">
        <f t="shared" ref="R30:R43" si="12">(($B30/$L$27)/$N$28)/G30</f>
        <v>1.6666666666666667</v>
      </c>
      <c r="S30" s="87">
        <f t="shared" ref="S30:S43" si="13">(($B30/$P$27)/$S$28)/C30</f>
        <v>1.6597619047619048</v>
      </c>
    </row>
    <row r="31" spans="1:37" customFormat="1" x14ac:dyDescent="0.25">
      <c r="A31" s="85">
        <v>2004</v>
      </c>
      <c r="B31">
        <f>L11</f>
        <v>3056</v>
      </c>
      <c r="C31" s="84">
        <v>45</v>
      </c>
      <c r="D31" s="93">
        <f>$B$31/D28</f>
        <v>76.400000000000006</v>
      </c>
      <c r="E31" s="77">
        <f>$B$31/E28</f>
        <v>61.12</v>
      </c>
      <c r="F31" s="77">
        <f>$B$31/F28</f>
        <v>50.93333333333333</v>
      </c>
      <c r="G31" s="94">
        <f>$B$31/G28</f>
        <v>43.657142857142858</v>
      </c>
      <c r="H31" s="86">
        <f t="shared" si="2"/>
        <v>1.6977777777777778</v>
      </c>
      <c r="I31" s="61">
        <f t="shared" si="3"/>
        <v>1.3582222222222222</v>
      </c>
      <c r="J31" s="61">
        <f t="shared" si="4"/>
        <v>1.1318518518518519</v>
      </c>
      <c r="K31" s="87">
        <f t="shared" si="5"/>
        <v>0.97015873015873022</v>
      </c>
      <c r="L31" s="86">
        <f t="shared" si="6"/>
        <v>2.4253968253968257</v>
      </c>
      <c r="M31" s="61">
        <f t="shared" si="7"/>
        <v>1.9403174603174607</v>
      </c>
      <c r="N31" s="61">
        <f t="shared" si="8"/>
        <v>1.6169312169312171</v>
      </c>
      <c r="O31" s="87">
        <f t="shared" si="9"/>
        <v>1.3859410430839003</v>
      </c>
      <c r="P31" s="86">
        <f t="shared" si="10"/>
        <v>2.8296296296296299</v>
      </c>
      <c r="Q31" s="61">
        <f t="shared" si="11"/>
        <v>2.2637037037037038</v>
      </c>
      <c r="R31" s="61">
        <f t="shared" si="12"/>
        <v>1.666666666666667</v>
      </c>
      <c r="S31" s="87">
        <f t="shared" si="13"/>
        <v>1.6169312169312171</v>
      </c>
    </row>
    <row r="32" spans="1:37" customFormat="1" x14ac:dyDescent="0.25">
      <c r="A32" s="85">
        <v>2005</v>
      </c>
      <c r="B32">
        <f>P9</f>
        <v>3995.5</v>
      </c>
      <c r="C32" s="84">
        <v>61</v>
      </c>
      <c r="D32" s="93">
        <f>$B$32/D28</f>
        <v>99.887500000000003</v>
      </c>
      <c r="E32" s="77">
        <f>$B$32/E28</f>
        <v>79.91</v>
      </c>
      <c r="F32" s="77">
        <f>$B$32/F28</f>
        <v>66.591666666666669</v>
      </c>
      <c r="G32" s="94">
        <f>$B$32/G28</f>
        <v>57.078571428571429</v>
      </c>
      <c r="H32" s="86">
        <f t="shared" si="2"/>
        <v>1.6375</v>
      </c>
      <c r="I32" s="61">
        <f t="shared" si="3"/>
        <v>1.31</v>
      </c>
      <c r="J32" s="61">
        <f t="shared" si="4"/>
        <v>1.0916666666666668</v>
      </c>
      <c r="K32" s="87">
        <f t="shared" si="5"/>
        <v>0.93571428571428572</v>
      </c>
      <c r="L32" s="86">
        <f t="shared" si="6"/>
        <v>2.3392857142857144</v>
      </c>
      <c r="M32" s="61">
        <f t="shared" si="7"/>
        <v>1.8714285714285714</v>
      </c>
      <c r="N32" s="61">
        <f t="shared" si="8"/>
        <v>1.5595238095238095</v>
      </c>
      <c r="O32" s="87">
        <f t="shared" si="9"/>
        <v>1.3367346938775511</v>
      </c>
      <c r="P32" s="86">
        <f t="shared" si="10"/>
        <v>2.729166666666667</v>
      </c>
      <c r="Q32" s="61">
        <f t="shared" si="11"/>
        <v>2.1833333333333336</v>
      </c>
      <c r="R32" s="61">
        <f t="shared" si="12"/>
        <v>1.6666666666666665</v>
      </c>
      <c r="S32" s="87">
        <f t="shared" si="13"/>
        <v>1.5595238095238095</v>
      </c>
    </row>
    <row r="33" spans="1:37" customFormat="1" x14ac:dyDescent="0.25">
      <c r="A33" s="85">
        <v>2006</v>
      </c>
      <c r="B33">
        <f>T9</f>
        <v>5890.5</v>
      </c>
      <c r="C33" s="84">
        <v>62</v>
      </c>
      <c r="D33" s="93">
        <f>$B$33/D28</f>
        <v>147.26249999999999</v>
      </c>
      <c r="E33" s="77">
        <f>$B$33/E28</f>
        <v>117.81</v>
      </c>
      <c r="F33" s="77">
        <f>$B$33/F28</f>
        <v>98.174999999999997</v>
      </c>
      <c r="G33" s="94">
        <f>$B$33/G28</f>
        <v>84.15</v>
      </c>
      <c r="H33" s="86">
        <f t="shared" si="2"/>
        <v>2.3752016129032256</v>
      </c>
      <c r="I33" s="61">
        <f t="shared" si="3"/>
        <v>1.9001612903225806</v>
      </c>
      <c r="J33" s="61">
        <f t="shared" si="4"/>
        <v>1.5834677419354839</v>
      </c>
      <c r="K33" s="87">
        <f t="shared" si="5"/>
        <v>1.3572580645161292</v>
      </c>
      <c r="L33" s="86">
        <f t="shared" si="6"/>
        <v>3.3931451612903225</v>
      </c>
      <c r="M33" s="61">
        <f t="shared" si="7"/>
        <v>2.7145161290322584</v>
      </c>
      <c r="N33" s="61">
        <f t="shared" si="8"/>
        <v>2.2620967741935485</v>
      </c>
      <c r="O33" s="87">
        <f t="shared" si="9"/>
        <v>1.9389400921658986</v>
      </c>
      <c r="P33" s="86">
        <f t="shared" si="10"/>
        <v>3.9586693548387095</v>
      </c>
      <c r="Q33" s="61">
        <f t="shared" si="11"/>
        <v>3.1669354838709678</v>
      </c>
      <c r="R33" s="61">
        <f t="shared" si="12"/>
        <v>1.6666666666666665</v>
      </c>
      <c r="S33" s="87">
        <f t="shared" si="13"/>
        <v>2.2620967741935485</v>
      </c>
      <c r="AG33">
        <v>108</v>
      </c>
      <c r="AH33">
        <v>100</v>
      </c>
      <c r="AI33">
        <v>0.7</v>
      </c>
      <c r="AJ33">
        <f>AH33/AI33</f>
        <v>142.85714285714286</v>
      </c>
    </row>
    <row r="34" spans="1:37" customFormat="1" x14ac:dyDescent="0.25">
      <c r="A34" s="85">
        <v>2007</v>
      </c>
      <c r="B34">
        <f>X9</f>
        <v>4103</v>
      </c>
      <c r="C34" s="84">
        <v>60</v>
      </c>
      <c r="D34" s="93">
        <f>$B$34/D28</f>
        <v>102.575</v>
      </c>
      <c r="E34" s="77">
        <f>$B$34/E28</f>
        <v>82.06</v>
      </c>
      <c r="F34" s="77">
        <f>$B$34/F28</f>
        <v>68.38333333333334</v>
      </c>
      <c r="G34" s="94">
        <f>$B$34/G28</f>
        <v>58.614285714285714</v>
      </c>
      <c r="H34" s="86">
        <f t="shared" si="2"/>
        <v>1.7095833333333335</v>
      </c>
      <c r="I34" s="61">
        <f t="shared" si="3"/>
        <v>1.3676666666666668</v>
      </c>
      <c r="J34" s="61">
        <f t="shared" si="4"/>
        <v>1.1397222222222223</v>
      </c>
      <c r="K34" s="87">
        <f t="shared" si="5"/>
        <v>0.97690476190476194</v>
      </c>
      <c r="L34" s="86">
        <f t="shared" si="6"/>
        <v>2.4422619047619047</v>
      </c>
      <c r="M34" s="61">
        <f t="shared" si="7"/>
        <v>1.9538095238095239</v>
      </c>
      <c r="N34" s="61">
        <f t="shared" si="8"/>
        <v>1.6281746031746032</v>
      </c>
      <c r="O34" s="87">
        <f t="shared" si="9"/>
        <v>1.3955782312925171</v>
      </c>
      <c r="P34" s="86">
        <f t="shared" si="10"/>
        <v>2.8493055555555555</v>
      </c>
      <c r="Q34" s="61">
        <f t="shared" si="11"/>
        <v>2.2794444444444446</v>
      </c>
      <c r="R34" s="61">
        <f t="shared" si="12"/>
        <v>1.6666666666666667</v>
      </c>
      <c r="S34" s="87">
        <f t="shared" si="13"/>
        <v>1.6281746031746034</v>
      </c>
      <c r="AE34" t="s">
        <v>118</v>
      </c>
    </row>
    <row r="35" spans="1:37" customFormat="1" x14ac:dyDescent="0.25">
      <c r="A35" s="85">
        <v>2008</v>
      </c>
      <c r="B35">
        <f>AB9</f>
        <v>1694.5</v>
      </c>
      <c r="C35" s="84">
        <v>18</v>
      </c>
      <c r="D35" s="93">
        <f>$B$35/D28</f>
        <v>42.362499999999997</v>
      </c>
      <c r="E35" s="77">
        <f>$B$35/E28</f>
        <v>33.89</v>
      </c>
      <c r="F35" s="77">
        <f>$B$35/F28</f>
        <v>28.241666666666667</v>
      </c>
      <c r="G35" s="94">
        <f>$B$35/G28</f>
        <v>24.207142857142856</v>
      </c>
      <c r="H35" s="86">
        <f t="shared" si="2"/>
        <v>2.353472222222222</v>
      </c>
      <c r="I35" s="61">
        <f t="shared" si="3"/>
        <v>1.8827777777777779</v>
      </c>
      <c r="J35" s="61">
        <f t="shared" si="4"/>
        <v>1.5689814814814815</v>
      </c>
      <c r="K35" s="87">
        <f t="shared" si="5"/>
        <v>1.3448412698412697</v>
      </c>
      <c r="L35" s="86">
        <f t="shared" si="6"/>
        <v>3.3621031746031749</v>
      </c>
      <c r="M35" s="61">
        <f t="shared" si="7"/>
        <v>2.6896825396825399</v>
      </c>
      <c r="N35" s="61">
        <f t="shared" si="8"/>
        <v>2.2414021164021163</v>
      </c>
      <c r="O35" s="87">
        <f t="shared" si="9"/>
        <v>1.9212018140589571</v>
      </c>
      <c r="P35" s="86">
        <f t="shared" si="10"/>
        <v>3.9224537037037042</v>
      </c>
      <c r="Q35" s="61">
        <f t="shared" si="11"/>
        <v>3.1379629629629635</v>
      </c>
      <c r="R35" s="61">
        <f t="shared" si="12"/>
        <v>1.6666666666666667</v>
      </c>
      <c r="S35" s="87">
        <f t="shared" si="13"/>
        <v>2.2414021164021167</v>
      </c>
      <c r="AC35">
        <v>4551</v>
      </c>
      <c r="AE35">
        <v>0.75</v>
      </c>
    </row>
    <row r="36" spans="1:37" customFormat="1" x14ac:dyDescent="0.25">
      <c r="A36" s="85">
        <v>2009</v>
      </c>
      <c r="B36">
        <f>AF9</f>
        <v>2665</v>
      </c>
      <c r="C36" s="84">
        <v>38</v>
      </c>
      <c r="D36" s="93">
        <f>$B$36/D28</f>
        <v>66.625</v>
      </c>
      <c r="E36" s="77">
        <f>$B$36/E28</f>
        <v>53.3</v>
      </c>
      <c r="F36" s="77">
        <f>$B$36/F28</f>
        <v>44.416666666666664</v>
      </c>
      <c r="G36" s="94">
        <f>$B$36/G28</f>
        <v>38.071428571428569</v>
      </c>
      <c r="H36" s="86">
        <f t="shared" si="2"/>
        <v>1.7532894736842106</v>
      </c>
      <c r="I36" s="61">
        <f t="shared" si="3"/>
        <v>1.4026315789473685</v>
      </c>
      <c r="J36" s="61">
        <f t="shared" si="4"/>
        <v>1.1688596491228069</v>
      </c>
      <c r="K36" s="87">
        <f t="shared" si="5"/>
        <v>1.0018796992481203</v>
      </c>
      <c r="L36" s="86">
        <f t="shared" si="6"/>
        <v>2.5046992481203008</v>
      </c>
      <c r="M36" s="61">
        <f t="shared" si="7"/>
        <v>2.003759398496241</v>
      </c>
      <c r="N36" s="61">
        <f t="shared" si="8"/>
        <v>1.6697994987468672</v>
      </c>
      <c r="O36" s="87">
        <f t="shared" si="9"/>
        <v>1.4312567132116005</v>
      </c>
      <c r="P36" s="86">
        <f t="shared" si="10"/>
        <v>2.9221491228070176</v>
      </c>
      <c r="Q36" s="61">
        <f t="shared" si="11"/>
        <v>2.3377192982456143</v>
      </c>
      <c r="R36" s="61">
        <f t="shared" si="12"/>
        <v>1.666666666666667</v>
      </c>
      <c r="S36" s="87">
        <f t="shared" si="13"/>
        <v>1.6697994987468672</v>
      </c>
      <c r="AC36">
        <v>40</v>
      </c>
      <c r="AD36">
        <f t="shared" ref="AD36:AD41" si="14">$AC$35/AC36</f>
        <v>113.77500000000001</v>
      </c>
      <c r="AE36">
        <f t="shared" ref="AE36:AE41" si="15">AD36/$AE$35</f>
        <v>151.70000000000002</v>
      </c>
    </row>
    <row r="37" spans="1:37" customFormat="1" x14ac:dyDescent="0.25">
      <c r="A37" s="85">
        <v>2010</v>
      </c>
      <c r="B37">
        <f>AJ9</f>
        <v>4551</v>
      </c>
      <c r="C37" s="84">
        <v>54</v>
      </c>
      <c r="D37" s="93">
        <f>$B$37/D28</f>
        <v>113.77500000000001</v>
      </c>
      <c r="E37" s="77">
        <f>$B$37/E28</f>
        <v>91.02</v>
      </c>
      <c r="F37" s="77">
        <f>$B$37/F28</f>
        <v>75.849999999999994</v>
      </c>
      <c r="G37" s="94">
        <f>$B$37/G28</f>
        <v>65.01428571428572</v>
      </c>
      <c r="H37" s="86">
        <f t="shared" si="2"/>
        <v>2.1069444444444447</v>
      </c>
      <c r="I37" s="61">
        <f t="shared" si="3"/>
        <v>1.6855555555555555</v>
      </c>
      <c r="J37" s="61">
        <f t="shared" si="4"/>
        <v>1.4046296296296295</v>
      </c>
      <c r="K37" s="87">
        <f t="shared" si="5"/>
        <v>1.2039682539682541</v>
      </c>
      <c r="L37" s="86">
        <f t="shared" si="6"/>
        <v>3.0099206349206349</v>
      </c>
      <c r="M37" s="61">
        <f t="shared" si="7"/>
        <v>2.4079365079365083</v>
      </c>
      <c r="N37" s="61">
        <f t="shared" si="8"/>
        <v>2.0066137566137567</v>
      </c>
      <c r="O37" s="87">
        <f t="shared" si="9"/>
        <v>1.719954648526077</v>
      </c>
      <c r="P37" s="86">
        <f t="shared" si="10"/>
        <v>3.511574074074074</v>
      </c>
      <c r="Q37" s="61">
        <f t="shared" si="11"/>
        <v>2.8092592592592589</v>
      </c>
      <c r="R37" s="61">
        <f t="shared" si="12"/>
        <v>1.6666666666666665</v>
      </c>
      <c r="S37" s="87">
        <f t="shared" si="13"/>
        <v>2.0066137566137567</v>
      </c>
      <c r="AC37">
        <v>45</v>
      </c>
      <c r="AD37">
        <f t="shared" si="14"/>
        <v>101.13333333333334</v>
      </c>
      <c r="AE37">
        <f t="shared" si="15"/>
        <v>134.84444444444446</v>
      </c>
    </row>
    <row r="38" spans="1:37" customFormat="1" x14ac:dyDescent="0.25">
      <c r="A38" s="85">
        <v>2011</v>
      </c>
      <c r="B38">
        <v>7088</v>
      </c>
      <c r="C38" s="84">
        <v>103</v>
      </c>
      <c r="D38" s="93">
        <f>$B$38/D28</f>
        <v>177.2</v>
      </c>
      <c r="E38" s="77">
        <f>$B$38/E28</f>
        <v>141.76</v>
      </c>
      <c r="F38" s="77">
        <f>$B$38/F28</f>
        <v>118.13333333333334</v>
      </c>
      <c r="G38" s="94">
        <f>$B$38/G28</f>
        <v>101.25714285714285</v>
      </c>
      <c r="H38" s="86">
        <f t="shared" si="2"/>
        <v>1.7203883495145631</v>
      </c>
      <c r="I38" s="61">
        <f t="shared" si="3"/>
        <v>1.3763106796116504</v>
      </c>
      <c r="J38" s="61">
        <f t="shared" si="4"/>
        <v>1.1469255663430422</v>
      </c>
      <c r="K38" s="87">
        <f t="shared" si="5"/>
        <v>0.9830790568654646</v>
      </c>
      <c r="L38" s="86">
        <f t="shared" si="6"/>
        <v>2.4576976421636618</v>
      </c>
      <c r="M38" s="61">
        <f t="shared" si="7"/>
        <v>1.9661581137309294</v>
      </c>
      <c r="N38" s="61">
        <f t="shared" si="8"/>
        <v>1.6384650947757744</v>
      </c>
      <c r="O38" s="87">
        <f t="shared" si="9"/>
        <v>1.4043986526649495</v>
      </c>
      <c r="P38" s="86">
        <f t="shared" si="10"/>
        <v>2.8673139158576055</v>
      </c>
      <c r="Q38" s="61">
        <f t="shared" si="11"/>
        <v>2.2938511326860844</v>
      </c>
      <c r="R38" s="61">
        <f t="shared" si="12"/>
        <v>1.6666666666666667</v>
      </c>
      <c r="S38" s="87">
        <f t="shared" si="13"/>
        <v>1.6384650947757744</v>
      </c>
      <c r="AC38">
        <v>50</v>
      </c>
      <c r="AD38">
        <f t="shared" si="14"/>
        <v>91.02</v>
      </c>
      <c r="AE38">
        <f t="shared" si="15"/>
        <v>121.36</v>
      </c>
    </row>
    <row r="39" spans="1:37" customFormat="1" x14ac:dyDescent="0.25">
      <c r="A39" s="85">
        <v>2012</v>
      </c>
      <c r="B39">
        <f>AR11</f>
        <v>2752.5</v>
      </c>
      <c r="C39" s="84">
        <f>MAX(AQ3:AQ7)</f>
        <v>42</v>
      </c>
      <c r="D39" s="93">
        <f>$B$39/D28</f>
        <v>68.8125</v>
      </c>
      <c r="E39" s="77">
        <f>$B$39/E28</f>
        <v>55.05</v>
      </c>
      <c r="F39" s="77">
        <f>$B$39/F28</f>
        <v>45.875</v>
      </c>
      <c r="G39" s="94">
        <f>$B$39/G28</f>
        <v>39.321428571428569</v>
      </c>
      <c r="H39" s="86">
        <f t="shared" si="2"/>
        <v>1.6383928571428572</v>
      </c>
      <c r="I39" s="61">
        <f t="shared" si="3"/>
        <v>1.3107142857142857</v>
      </c>
      <c r="J39" s="61">
        <f t="shared" si="4"/>
        <v>1.0922619047619047</v>
      </c>
      <c r="K39" s="87">
        <f t="shared" si="5"/>
        <v>0.93622448979591832</v>
      </c>
      <c r="L39" s="86">
        <f t="shared" si="6"/>
        <v>2.3405612244897958</v>
      </c>
      <c r="M39" s="61">
        <f t="shared" si="7"/>
        <v>1.8724489795918369</v>
      </c>
      <c r="N39" s="61">
        <f t="shared" si="8"/>
        <v>1.560374149659864</v>
      </c>
      <c r="O39" s="87">
        <f t="shared" si="9"/>
        <v>1.337463556851312</v>
      </c>
      <c r="P39" s="86">
        <f t="shared" si="10"/>
        <v>2.7306547619047619</v>
      </c>
      <c r="Q39" s="61">
        <f t="shared" si="11"/>
        <v>2.1845238095238093</v>
      </c>
      <c r="R39" s="61">
        <f t="shared" si="12"/>
        <v>1.666666666666667</v>
      </c>
      <c r="S39" s="87">
        <f t="shared" si="13"/>
        <v>1.560374149659864</v>
      </c>
      <c r="AC39">
        <v>55</v>
      </c>
      <c r="AD39">
        <f t="shared" si="14"/>
        <v>82.74545454545455</v>
      </c>
      <c r="AE39">
        <f t="shared" si="15"/>
        <v>110.32727272727273</v>
      </c>
      <c r="AH39">
        <f>110/2</f>
        <v>55</v>
      </c>
      <c r="AI39">
        <v>4000</v>
      </c>
      <c r="AJ39">
        <f>AI39*AH39</f>
        <v>220000</v>
      </c>
      <c r="AK39">
        <f>AJ39*0.01</f>
        <v>2200</v>
      </c>
    </row>
    <row r="40" spans="1:37" customFormat="1" x14ac:dyDescent="0.25">
      <c r="A40" s="85">
        <v>2013</v>
      </c>
      <c r="B40">
        <f>AV11</f>
        <v>7461.5</v>
      </c>
      <c r="C40" s="84">
        <f>MAX(AU4:AU8)</f>
        <v>89</v>
      </c>
      <c r="D40" s="93">
        <f>$B$40/D28</f>
        <v>186.53749999999999</v>
      </c>
      <c r="E40" s="77">
        <f>$B$40/E28</f>
        <v>149.22999999999999</v>
      </c>
      <c r="F40" s="77">
        <f>$B$40/F28</f>
        <v>124.35833333333333</v>
      </c>
      <c r="G40" s="94">
        <f>$B$40/G28</f>
        <v>106.59285714285714</v>
      </c>
      <c r="H40" s="86">
        <f t="shared" si="2"/>
        <v>2.0959269662921347</v>
      </c>
      <c r="I40" s="61">
        <f t="shared" si="3"/>
        <v>1.6767415730337079</v>
      </c>
      <c r="J40" s="61">
        <f t="shared" si="4"/>
        <v>1.3972846441947566</v>
      </c>
      <c r="K40" s="87">
        <f t="shared" si="5"/>
        <v>1.1976725521669342</v>
      </c>
      <c r="L40" s="86">
        <f t="shared" si="6"/>
        <v>2.9941813804173361</v>
      </c>
      <c r="M40" s="61">
        <f t="shared" si="7"/>
        <v>2.3953451043338685</v>
      </c>
      <c r="N40" s="61">
        <f t="shared" si="8"/>
        <v>1.996120920278224</v>
      </c>
      <c r="O40" s="87">
        <f t="shared" si="9"/>
        <v>1.7109607888099063</v>
      </c>
      <c r="P40" s="86">
        <f t="shared" si="10"/>
        <v>3.4932116104868918</v>
      </c>
      <c r="Q40" s="61">
        <f t="shared" si="11"/>
        <v>2.7945692883895132</v>
      </c>
      <c r="R40" s="61">
        <f t="shared" si="12"/>
        <v>1.666666666666667</v>
      </c>
      <c r="S40" s="87">
        <f t="shared" si="13"/>
        <v>1.996120920278224</v>
      </c>
      <c r="AC40">
        <v>60</v>
      </c>
      <c r="AD40">
        <f t="shared" si="14"/>
        <v>75.849999999999994</v>
      </c>
      <c r="AE40">
        <f t="shared" si="15"/>
        <v>101.13333333333333</v>
      </c>
    </row>
    <row r="41" spans="1:37" customFormat="1" x14ac:dyDescent="0.25">
      <c r="A41" s="85">
        <v>2014</v>
      </c>
      <c r="B41">
        <f>AZ11</f>
        <v>4186</v>
      </c>
      <c r="C41" s="84">
        <f>MAX(AY3:AY7)</f>
        <v>68</v>
      </c>
      <c r="D41" s="93">
        <f>$B$41/D28</f>
        <v>104.65</v>
      </c>
      <c r="E41" s="77">
        <f>$B$41/E28</f>
        <v>83.72</v>
      </c>
      <c r="F41" s="77">
        <f>$B$41/F28</f>
        <v>69.766666666666666</v>
      </c>
      <c r="G41" s="94">
        <f>$B$41/G28</f>
        <v>59.8</v>
      </c>
      <c r="H41" s="86">
        <f t="shared" si="2"/>
        <v>1.5389705882352942</v>
      </c>
      <c r="I41" s="61">
        <f t="shared" si="3"/>
        <v>1.2311764705882353</v>
      </c>
      <c r="J41" s="61">
        <f t="shared" si="4"/>
        <v>1.0259803921568627</v>
      </c>
      <c r="K41" s="87">
        <f t="shared" si="5"/>
        <v>0.87941176470588234</v>
      </c>
      <c r="L41" s="86">
        <f t="shared" si="6"/>
        <v>2.1985294117647061</v>
      </c>
      <c r="M41" s="61">
        <f t="shared" si="7"/>
        <v>1.7588235294117647</v>
      </c>
      <c r="N41" s="61">
        <f t="shared" si="8"/>
        <v>1.465686274509804</v>
      </c>
      <c r="O41" s="87">
        <f t="shared" si="9"/>
        <v>1.2563025210084033</v>
      </c>
      <c r="P41" s="86">
        <f t="shared" si="10"/>
        <v>2.5649509803921573</v>
      </c>
      <c r="Q41" s="61">
        <f t="shared" si="11"/>
        <v>2.0519607843137253</v>
      </c>
      <c r="R41" s="61">
        <f t="shared" si="12"/>
        <v>1.6666666666666667</v>
      </c>
      <c r="S41" s="87">
        <f t="shared" si="13"/>
        <v>1.465686274509804</v>
      </c>
      <c r="AC41">
        <v>65</v>
      </c>
      <c r="AD41">
        <f t="shared" si="14"/>
        <v>70.015384615384619</v>
      </c>
      <c r="AE41">
        <f t="shared" si="15"/>
        <v>93.353846153846163</v>
      </c>
    </row>
    <row r="42" spans="1:37" customFormat="1" x14ac:dyDescent="0.25">
      <c r="A42" s="85">
        <v>2015</v>
      </c>
      <c r="B42">
        <f>BD11</f>
        <v>9130.5</v>
      </c>
      <c r="C42" s="84">
        <v>109</v>
      </c>
      <c r="D42" s="93">
        <f>$B$42/D28</f>
        <v>228.26249999999999</v>
      </c>
      <c r="E42" s="77">
        <f>$B$42/E28</f>
        <v>182.61</v>
      </c>
      <c r="F42" s="77">
        <f>$B$42/F28</f>
        <v>152.17500000000001</v>
      </c>
      <c r="G42" s="94">
        <f>$B$42/G28</f>
        <v>130.43571428571428</v>
      </c>
      <c r="H42" s="86">
        <f t="shared" si="2"/>
        <v>2.0941513761467889</v>
      </c>
      <c r="I42" s="61">
        <f t="shared" si="3"/>
        <v>1.6753211009174314</v>
      </c>
      <c r="J42" s="61">
        <f t="shared" si="4"/>
        <v>1.3961009174311927</v>
      </c>
      <c r="K42" s="87">
        <f t="shared" si="5"/>
        <v>1.1966579292267365</v>
      </c>
      <c r="L42" s="86">
        <f t="shared" si="6"/>
        <v>2.9916448230668413</v>
      </c>
      <c r="M42" s="61">
        <f t="shared" si="7"/>
        <v>2.3933158584534731</v>
      </c>
      <c r="N42" s="61">
        <f t="shared" si="8"/>
        <v>1.9944298820445612</v>
      </c>
      <c r="O42" s="87">
        <f t="shared" si="9"/>
        <v>1.7095113274667666</v>
      </c>
      <c r="P42" s="86">
        <f t="shared" si="10"/>
        <v>3.4902522935779818</v>
      </c>
      <c r="Q42" s="61">
        <f t="shared" si="11"/>
        <v>2.7922018348623854</v>
      </c>
      <c r="R42" s="61">
        <f t="shared" si="12"/>
        <v>1.666666666666667</v>
      </c>
      <c r="S42" s="87">
        <f t="shared" si="13"/>
        <v>1.994429882044561</v>
      </c>
      <c r="AK42">
        <f>AK39*0.06</f>
        <v>132</v>
      </c>
    </row>
    <row r="43" spans="1:37" customFormat="1" x14ac:dyDescent="0.25">
      <c r="A43" s="85">
        <v>2016</v>
      </c>
      <c r="B43">
        <f>BH11</f>
        <v>7500</v>
      </c>
      <c r="C43" s="84">
        <f>BG6</f>
        <v>96</v>
      </c>
      <c r="D43" s="93">
        <f>$B$43/D28</f>
        <v>187.5</v>
      </c>
      <c r="E43" s="77">
        <f>$B$43/E28</f>
        <v>150</v>
      </c>
      <c r="F43" s="77">
        <f>$B$43/F28</f>
        <v>125</v>
      </c>
      <c r="G43" s="94">
        <f>$B$43/G28</f>
        <v>107.14285714285714</v>
      </c>
      <c r="H43" s="86">
        <f t="shared" si="2"/>
        <v>1.953125</v>
      </c>
      <c r="I43" s="61">
        <f t="shared" si="3"/>
        <v>1.5625</v>
      </c>
      <c r="J43" s="61">
        <f t="shared" si="4"/>
        <v>1.3020833333333333</v>
      </c>
      <c r="K43" s="87">
        <f t="shared" si="5"/>
        <v>1.1160714285714286</v>
      </c>
      <c r="L43" s="86">
        <f t="shared" si="6"/>
        <v>2.7901785714285716</v>
      </c>
      <c r="M43" s="61">
        <f t="shared" si="7"/>
        <v>2.2321428571428572</v>
      </c>
      <c r="N43" s="61">
        <f t="shared" si="8"/>
        <v>1.8601190476190477</v>
      </c>
      <c r="O43" s="87">
        <f t="shared" si="9"/>
        <v>1.5943877551020409</v>
      </c>
      <c r="P43" s="86">
        <f t="shared" si="10"/>
        <v>3.2552083333333335</v>
      </c>
      <c r="Q43" s="61">
        <f t="shared" si="11"/>
        <v>2.6041666666666665</v>
      </c>
      <c r="R43" s="61">
        <f t="shared" si="12"/>
        <v>1.6666666666666667</v>
      </c>
      <c r="S43" s="87">
        <f t="shared" si="13"/>
        <v>1.8601190476190477</v>
      </c>
    </row>
    <row r="44" spans="1:37" customFormat="1" x14ac:dyDescent="0.25">
      <c r="A44" s="85"/>
      <c r="C44" s="84"/>
      <c r="D44" s="85"/>
      <c r="G44" s="84"/>
      <c r="H44" s="85"/>
      <c r="I44" s="61"/>
      <c r="J44" s="61"/>
      <c r="K44" s="87"/>
      <c r="L44" s="86"/>
      <c r="M44" s="61"/>
      <c r="N44" s="61"/>
      <c r="O44" s="87"/>
      <c r="P44" s="86"/>
      <c r="Q44" s="61"/>
      <c r="R44" s="61"/>
      <c r="S44" s="87"/>
    </row>
    <row r="45" spans="1:37" customFormat="1" x14ac:dyDescent="0.25">
      <c r="A45" s="100"/>
      <c r="B45" s="96"/>
      <c r="C45" s="97"/>
      <c r="D45" s="95"/>
      <c r="E45" s="96"/>
      <c r="F45" s="96"/>
      <c r="G45" s="97"/>
      <c r="H45" s="88">
        <f t="shared" ref="H45:S45" si="16">AVERAGE(H29:H43)</f>
        <v>1.8812220110720281</v>
      </c>
      <c r="I45" s="89">
        <f t="shared" si="16"/>
        <v>1.5049776088576223</v>
      </c>
      <c r="J45" s="89">
        <f t="shared" si="16"/>
        <v>1.2541480073813516</v>
      </c>
      <c r="K45" s="90">
        <f t="shared" si="16"/>
        <v>1.074984006326873</v>
      </c>
      <c r="L45" s="88">
        <f t="shared" si="16"/>
        <v>2.687460015817182</v>
      </c>
      <c r="M45" s="89">
        <f t="shared" si="16"/>
        <v>2.1499680126537459</v>
      </c>
      <c r="N45" s="89">
        <f t="shared" si="16"/>
        <v>1.7916400105447883</v>
      </c>
      <c r="O45" s="90">
        <f t="shared" si="16"/>
        <v>1.5356914376098187</v>
      </c>
      <c r="P45" s="88">
        <f t="shared" si="16"/>
        <v>3.1353700184533793</v>
      </c>
      <c r="Q45" s="89">
        <f t="shared" si="16"/>
        <v>2.5082960147627031</v>
      </c>
      <c r="R45" s="89">
        <f t="shared" si="16"/>
        <v>1.6889523084728566</v>
      </c>
      <c r="S45" s="90">
        <f t="shared" si="16"/>
        <v>1.7916400105447883</v>
      </c>
    </row>
  </sheetData>
  <phoneticPr fontId="2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57"/>
  <sheetViews>
    <sheetView topLeftCell="F20" zoomScale="75" workbookViewId="0">
      <selection activeCell="N32" sqref="N32"/>
    </sheetView>
  </sheetViews>
  <sheetFormatPr defaultColWidth="8.77734375" defaultRowHeight="13.2" x14ac:dyDescent="0.25"/>
  <cols>
    <col min="1" max="1" width="29.109375" bestFit="1" customWidth="1"/>
    <col min="2" max="2" width="15.6640625" customWidth="1"/>
    <col min="3" max="4" width="15.109375" customWidth="1"/>
    <col min="5" max="5" width="22.33203125" customWidth="1"/>
    <col min="6" max="6" width="11.6640625" customWidth="1"/>
    <col min="7" max="7" width="7.109375" bestFit="1" customWidth="1"/>
    <col min="8" max="8" width="64.44140625" customWidth="1"/>
    <col min="9" max="9" width="10.77734375" bestFit="1" customWidth="1"/>
    <col min="10" max="10" width="16" hidden="1" customWidth="1"/>
    <col min="11" max="11" width="2.77734375" customWidth="1"/>
    <col min="15" max="15" width="12.33203125" bestFit="1" customWidth="1"/>
  </cols>
  <sheetData>
    <row r="2" spans="1:24" ht="15" x14ac:dyDescent="0.25">
      <c r="Q2" s="7" t="s">
        <v>12</v>
      </c>
    </row>
    <row r="3" spans="1:24" ht="16.2" thickBot="1" x14ac:dyDescent="0.35">
      <c r="A3" s="3" t="s">
        <v>9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  <c r="M3" t="s">
        <v>10</v>
      </c>
      <c r="N3" t="s">
        <v>11</v>
      </c>
      <c r="O3" t="s">
        <v>115</v>
      </c>
      <c r="P3" t="s">
        <v>114</v>
      </c>
      <c r="Q3" t="s">
        <v>69</v>
      </c>
      <c r="R3" t="s">
        <v>70</v>
      </c>
      <c r="S3" t="s">
        <v>71</v>
      </c>
      <c r="T3" t="s">
        <v>72</v>
      </c>
      <c r="V3" t="s">
        <v>73</v>
      </c>
      <c r="X3" s="57"/>
    </row>
    <row r="4" spans="1:24" ht="16.8" thickTop="1" thickBot="1" x14ac:dyDescent="0.35">
      <c r="A4" s="8" t="s">
        <v>13</v>
      </c>
      <c r="B4" s="9" t="s">
        <v>14</v>
      </c>
      <c r="C4" s="10" t="s">
        <v>15</v>
      </c>
      <c r="D4" s="9" t="s">
        <v>16</v>
      </c>
      <c r="E4" s="10" t="s">
        <v>17</v>
      </c>
      <c r="F4" s="9" t="s">
        <v>18</v>
      </c>
      <c r="G4" s="417" t="s">
        <v>19</v>
      </c>
      <c r="H4" s="418"/>
      <c r="I4" s="11" t="s">
        <v>20</v>
      </c>
      <c r="J4" s="12" t="s">
        <v>21</v>
      </c>
      <c r="K4" s="13"/>
      <c r="L4" s="6"/>
      <c r="M4">
        <v>1985</v>
      </c>
      <c r="N4">
        <v>31.4</v>
      </c>
      <c r="Q4" s="57">
        <v>25.298098614244278</v>
      </c>
      <c r="R4">
        <f>15*N4</f>
        <v>471</v>
      </c>
      <c r="S4">
        <f>R4/0.75</f>
        <v>628</v>
      </c>
      <c r="T4">
        <f t="shared" ref="T4:T11" si="0">S4/U4</f>
        <v>2482.4</v>
      </c>
      <c r="U4">
        <f t="shared" ref="U4:U15" si="1">Q4/100</f>
        <v>0.2529809861424428</v>
      </c>
      <c r="V4">
        <f>2600*U4</f>
        <v>657.75056397035132</v>
      </c>
      <c r="X4" s="57"/>
    </row>
    <row r="5" spans="1:24" ht="15.6" x14ac:dyDescent="0.3">
      <c r="A5" s="14">
        <v>38797</v>
      </c>
      <c r="B5" s="15"/>
      <c r="C5" s="4">
        <v>32</v>
      </c>
      <c r="D5" s="15">
        <v>17</v>
      </c>
      <c r="E5" s="4"/>
      <c r="F5" s="15">
        <v>59</v>
      </c>
      <c r="G5" s="16">
        <v>8.8000000000000007</v>
      </c>
      <c r="H5" s="7" t="s">
        <v>12</v>
      </c>
      <c r="I5" s="17">
        <f>(C5+D5)/8.8</f>
        <v>5.5681818181818175</v>
      </c>
      <c r="J5" s="18"/>
      <c r="K5" s="13"/>
      <c r="L5" s="6"/>
      <c r="M5">
        <v>1991</v>
      </c>
      <c r="N5">
        <f>42/8.2</f>
        <v>5.1219512195121952</v>
      </c>
      <c r="Q5" s="57">
        <v>3.5526859423163701</v>
      </c>
      <c r="R5">
        <f>8.2*N5/0.58</f>
        <v>72.413793103448285</v>
      </c>
      <c r="S5">
        <f t="shared" ref="S5:S19" si="2">R5/0.75</f>
        <v>96.551724137931046</v>
      </c>
      <c r="T5">
        <f t="shared" si="0"/>
        <v>2717.7106478198525</v>
      </c>
      <c r="U5">
        <f t="shared" si="1"/>
        <v>3.5526859423163699E-2</v>
      </c>
      <c r="V5">
        <f t="shared" ref="V5:V16" si="3">2600*U5</f>
        <v>92.369834500225622</v>
      </c>
      <c r="X5" s="57"/>
    </row>
    <row r="6" spans="1:24" ht="15.6" x14ac:dyDescent="0.3">
      <c r="A6" s="14">
        <v>38796</v>
      </c>
      <c r="B6" s="15">
        <v>10</v>
      </c>
      <c r="C6" s="4"/>
      <c r="D6" s="15"/>
      <c r="E6" s="4"/>
      <c r="F6" s="15"/>
      <c r="G6" s="16">
        <v>6.2</v>
      </c>
      <c r="H6" s="7" t="s">
        <v>22</v>
      </c>
      <c r="I6" s="17">
        <f>B6/6.2</f>
        <v>1.6129032258064515</v>
      </c>
      <c r="J6" s="18"/>
      <c r="K6" s="13"/>
      <c r="L6" s="6"/>
      <c r="M6">
        <v>1992</v>
      </c>
      <c r="N6">
        <f>83/8.2</f>
        <v>10.121951219512196</v>
      </c>
      <c r="Q6" s="57">
        <v>3.0109653043693219</v>
      </c>
      <c r="R6">
        <f t="shared" ref="R6:R11" si="4">8.2*N6/0.58</f>
        <v>143.10344827586209</v>
      </c>
      <c r="S6">
        <f t="shared" si="2"/>
        <v>190.80459770114945</v>
      </c>
      <c r="T6">
        <f t="shared" si="0"/>
        <v>6336.9909119931044</v>
      </c>
      <c r="U6">
        <f t="shared" si="1"/>
        <v>3.0109653043693219E-2</v>
      </c>
      <c r="V6">
        <f t="shared" si="3"/>
        <v>78.285097913602371</v>
      </c>
      <c r="X6" s="57"/>
    </row>
    <row r="7" spans="1:24" ht="15.6" x14ac:dyDescent="0.3">
      <c r="A7" s="14">
        <v>38419</v>
      </c>
      <c r="B7" s="15"/>
      <c r="C7" s="4">
        <v>18</v>
      </c>
      <c r="D7" s="15">
        <v>3</v>
      </c>
      <c r="E7" s="4"/>
      <c r="F7" s="15">
        <v>32</v>
      </c>
      <c r="G7" s="16">
        <v>8.8000000000000007</v>
      </c>
      <c r="H7" s="7" t="s">
        <v>12</v>
      </c>
      <c r="I7" s="19">
        <f>(C7+D7)/8.8</f>
        <v>2.3863636363636362</v>
      </c>
      <c r="J7" s="18"/>
      <c r="K7" s="13"/>
      <c r="L7" s="6"/>
      <c r="M7">
        <v>1994</v>
      </c>
      <c r="N7">
        <f>17/8.2</f>
        <v>2.0731707317073171</v>
      </c>
      <c r="Q7" s="57">
        <v>2.6400704018773831</v>
      </c>
      <c r="R7">
        <f t="shared" si="4"/>
        <v>29.31034482758621</v>
      </c>
      <c r="S7">
        <f t="shared" si="2"/>
        <v>39.080459770114949</v>
      </c>
      <c r="T7">
        <f t="shared" si="0"/>
        <v>1480.2809706257988</v>
      </c>
      <c r="U7">
        <f t="shared" si="1"/>
        <v>2.640070401877383E-2</v>
      </c>
      <c r="V7">
        <f t="shared" si="3"/>
        <v>68.641830448811959</v>
      </c>
      <c r="X7" s="57"/>
    </row>
    <row r="8" spans="1:24" ht="15.6" x14ac:dyDescent="0.3">
      <c r="A8" s="14">
        <v>38418</v>
      </c>
      <c r="B8" s="15">
        <v>10</v>
      </c>
      <c r="C8" s="4"/>
      <c r="D8" s="15"/>
      <c r="E8" s="4"/>
      <c r="F8" s="15"/>
      <c r="G8" s="16">
        <v>6.2</v>
      </c>
      <c r="H8" s="7" t="s">
        <v>22</v>
      </c>
      <c r="I8" s="19">
        <f>B8/6.2</f>
        <v>1.6129032258064515</v>
      </c>
      <c r="J8" s="18"/>
      <c r="K8" s="13"/>
      <c r="L8" s="6"/>
      <c r="M8">
        <v>1995</v>
      </c>
      <c r="N8">
        <f>36/8.2</f>
        <v>4.3902439024390247</v>
      </c>
      <c r="Q8" s="57">
        <v>3.990450204638472</v>
      </c>
      <c r="R8">
        <f t="shared" si="4"/>
        <v>62.068965517241381</v>
      </c>
      <c r="S8">
        <f t="shared" si="2"/>
        <v>82.758620689655174</v>
      </c>
      <c r="T8">
        <f t="shared" si="0"/>
        <v>2073.9168877099914</v>
      </c>
      <c r="U8">
        <f t="shared" si="1"/>
        <v>3.9904502046384717E-2</v>
      </c>
      <c r="V8">
        <f t="shared" si="3"/>
        <v>103.75170532060027</v>
      </c>
      <c r="X8" s="57"/>
    </row>
    <row r="9" spans="1:24" ht="15.6" x14ac:dyDescent="0.3">
      <c r="A9" s="14">
        <v>38069</v>
      </c>
      <c r="B9" s="15"/>
      <c r="C9" s="4">
        <v>20</v>
      </c>
      <c r="D9" s="15">
        <v>1</v>
      </c>
      <c r="E9" s="4"/>
      <c r="F9" s="15">
        <v>24</v>
      </c>
      <c r="G9" s="16">
        <v>8.8000000000000007</v>
      </c>
      <c r="H9" s="7" t="s">
        <v>12</v>
      </c>
      <c r="I9" s="17">
        <f>(C9+D9)/8.8</f>
        <v>2.3863636363636362</v>
      </c>
      <c r="J9" s="18"/>
      <c r="K9" s="13"/>
      <c r="L9" s="6"/>
      <c r="M9">
        <v>1996</v>
      </c>
      <c r="N9">
        <f>30/8.2</f>
        <v>3.6585365853658538</v>
      </c>
      <c r="Q9" s="57">
        <v>2.3684210526315788</v>
      </c>
      <c r="R9">
        <f t="shared" si="4"/>
        <v>51.724137931034484</v>
      </c>
      <c r="S9">
        <f t="shared" si="2"/>
        <v>68.965517241379317</v>
      </c>
      <c r="T9">
        <f t="shared" si="0"/>
        <v>2911.8773946360161</v>
      </c>
      <c r="U9">
        <f t="shared" si="1"/>
        <v>2.3684210526315787E-2</v>
      </c>
      <c r="V9">
        <f t="shared" si="3"/>
        <v>61.578947368421048</v>
      </c>
      <c r="X9" s="57"/>
    </row>
    <row r="10" spans="1:24" ht="15.6" x14ac:dyDescent="0.3">
      <c r="A10" s="14">
        <v>38068</v>
      </c>
      <c r="B10" s="15">
        <v>0</v>
      </c>
      <c r="C10" s="4"/>
      <c r="D10" s="15"/>
      <c r="E10" s="4"/>
      <c r="F10" s="15"/>
      <c r="G10" s="16">
        <v>6.2</v>
      </c>
      <c r="H10" s="7" t="s">
        <v>22</v>
      </c>
      <c r="I10" s="17">
        <f>B10/6.2</f>
        <v>0</v>
      </c>
      <c r="J10" s="18"/>
      <c r="K10" s="13"/>
      <c r="L10" s="6"/>
      <c r="M10">
        <v>1999</v>
      </c>
      <c r="N10">
        <f>17/8.2</f>
        <v>2.0731707317073171</v>
      </c>
      <c r="Q10" s="57">
        <v>4.5211473018959651</v>
      </c>
      <c r="R10">
        <f t="shared" si="4"/>
        <v>29.31034482758621</v>
      </c>
      <c r="S10">
        <f t="shared" si="2"/>
        <v>39.080459770114949</v>
      </c>
      <c r="T10">
        <f t="shared" si="0"/>
        <v>864.39253491533816</v>
      </c>
      <c r="U10">
        <f t="shared" si="1"/>
        <v>4.5211473018959648E-2</v>
      </c>
      <c r="V10">
        <f t="shared" si="3"/>
        <v>117.54982984929508</v>
      </c>
      <c r="X10" s="57"/>
    </row>
    <row r="11" spans="1:24" ht="15.6" x14ac:dyDescent="0.3">
      <c r="A11" s="14">
        <v>37687</v>
      </c>
      <c r="B11" s="15"/>
      <c r="C11" s="4">
        <v>13</v>
      </c>
      <c r="D11" s="15">
        <v>6</v>
      </c>
      <c r="E11" s="4"/>
      <c r="F11" s="15">
        <v>21</v>
      </c>
      <c r="G11" s="16">
        <v>8.8000000000000007</v>
      </c>
      <c r="H11" s="7" t="s">
        <v>12</v>
      </c>
      <c r="I11" s="19">
        <f>(C11+D11)/8.8</f>
        <v>2.1590909090909087</v>
      </c>
      <c r="J11" s="18"/>
      <c r="K11" s="13"/>
      <c r="L11" s="6"/>
      <c r="M11">
        <v>2001</v>
      </c>
      <c r="N11">
        <f>66/8.2</f>
        <v>8.0487804878048781</v>
      </c>
      <c r="Q11" s="58">
        <v>2.2388059701492535</v>
      </c>
      <c r="R11">
        <f t="shared" si="4"/>
        <v>113.79310344827587</v>
      </c>
      <c r="S11">
        <f t="shared" si="2"/>
        <v>151.72413793103451</v>
      </c>
      <c r="T11">
        <f t="shared" si="0"/>
        <v>6777.0114942528753</v>
      </c>
      <c r="U11">
        <f t="shared" si="1"/>
        <v>2.2388059701492536E-2</v>
      </c>
      <c r="V11">
        <f t="shared" si="3"/>
        <v>58.208955223880594</v>
      </c>
    </row>
    <row r="12" spans="1:24" ht="15.6" x14ac:dyDescent="0.3">
      <c r="A12" s="14">
        <v>37686</v>
      </c>
      <c r="B12" s="15">
        <v>2</v>
      </c>
      <c r="C12" s="4"/>
      <c r="D12" s="15"/>
      <c r="E12" s="4">
        <v>0</v>
      </c>
      <c r="F12" s="15"/>
      <c r="G12" s="16">
        <v>6.2</v>
      </c>
      <c r="H12" s="7" t="s">
        <v>22</v>
      </c>
      <c r="I12" s="19">
        <f>B12/6.2</f>
        <v>0.32258064516129031</v>
      </c>
      <c r="J12" s="18"/>
      <c r="K12" s="13"/>
      <c r="L12" s="6"/>
      <c r="M12">
        <v>2002</v>
      </c>
      <c r="N12">
        <f>39/8.8</f>
        <v>4.4318181818181817</v>
      </c>
      <c r="O12">
        <v>50</v>
      </c>
      <c r="P12">
        <v>73</v>
      </c>
      <c r="R12">
        <f t="shared" ref="R12:R19" si="5">8.8*N12/0.58</f>
        <v>67.241379310344826</v>
      </c>
      <c r="S12">
        <f t="shared" si="2"/>
        <v>89.655172413793096</v>
      </c>
      <c r="T12" t="e">
        <f>S12/U12</f>
        <v>#DIV/0!</v>
      </c>
      <c r="U12">
        <f t="shared" si="1"/>
        <v>0</v>
      </c>
      <c r="V12">
        <f t="shared" si="3"/>
        <v>0</v>
      </c>
      <c r="X12" s="57"/>
    </row>
    <row r="13" spans="1:24" ht="15" x14ac:dyDescent="0.25">
      <c r="A13" s="20" t="s">
        <v>23</v>
      </c>
      <c r="B13" s="21"/>
      <c r="C13" s="22"/>
      <c r="D13" s="21"/>
      <c r="E13" s="22">
        <v>0</v>
      </c>
      <c r="F13" s="21">
        <f t="shared" ref="F13:F44" si="6">SUM(B13:E13)</f>
        <v>0</v>
      </c>
      <c r="G13" s="23">
        <v>4.5</v>
      </c>
      <c r="H13" s="24" t="s">
        <v>24</v>
      </c>
      <c r="I13" s="25">
        <f t="shared" ref="I13:I44" si="7">F13/G13</f>
        <v>0</v>
      </c>
      <c r="J13" s="26">
        <v>5</v>
      </c>
      <c r="K13" s="6"/>
      <c r="L13" s="6"/>
      <c r="M13">
        <v>2003</v>
      </c>
      <c r="N13">
        <v>2.16</v>
      </c>
      <c r="O13">
        <v>21</v>
      </c>
      <c r="P13">
        <v>50</v>
      </c>
      <c r="R13">
        <f t="shared" si="5"/>
        <v>32.772413793103453</v>
      </c>
      <c r="S13">
        <f t="shared" si="2"/>
        <v>43.69655172413794</v>
      </c>
      <c r="T13" t="e">
        <f>S13/U13</f>
        <v>#DIV/0!</v>
      </c>
      <c r="U13">
        <f t="shared" si="1"/>
        <v>0</v>
      </c>
      <c r="V13">
        <f t="shared" si="3"/>
        <v>0</v>
      </c>
      <c r="X13" s="57"/>
    </row>
    <row r="14" spans="1:24" ht="15" x14ac:dyDescent="0.25">
      <c r="A14" s="20" t="s">
        <v>25</v>
      </c>
      <c r="B14" s="21"/>
      <c r="C14" s="22"/>
      <c r="D14" s="21">
        <v>9</v>
      </c>
      <c r="E14" s="22"/>
      <c r="F14" s="21">
        <f t="shared" si="6"/>
        <v>9</v>
      </c>
      <c r="G14" s="23">
        <v>4.2</v>
      </c>
      <c r="H14" s="24" t="s">
        <v>26</v>
      </c>
      <c r="I14" s="25">
        <f t="shared" si="7"/>
        <v>2.1428571428571428</v>
      </c>
      <c r="J14" s="26">
        <v>3</v>
      </c>
      <c r="K14" s="6"/>
      <c r="L14" s="6"/>
      <c r="M14">
        <v>2004</v>
      </c>
      <c r="N14">
        <v>2.39</v>
      </c>
      <c r="O14">
        <v>24</v>
      </c>
      <c r="P14">
        <v>45</v>
      </c>
      <c r="R14">
        <f t="shared" si="5"/>
        <v>36.262068965517251</v>
      </c>
      <c r="S14">
        <f t="shared" si="2"/>
        <v>48.349425287356333</v>
      </c>
      <c r="T14" t="e">
        <f>S14/U14</f>
        <v>#DIV/0!</v>
      </c>
      <c r="U14">
        <f t="shared" si="1"/>
        <v>0</v>
      </c>
      <c r="V14">
        <f t="shared" si="3"/>
        <v>0</v>
      </c>
      <c r="X14" s="57"/>
    </row>
    <row r="15" spans="1:24" ht="15" x14ac:dyDescent="0.25">
      <c r="A15" s="27" t="s">
        <v>27</v>
      </c>
      <c r="B15" s="15"/>
      <c r="C15" s="4">
        <v>30</v>
      </c>
      <c r="D15" s="15"/>
      <c r="E15" s="4"/>
      <c r="F15" s="15">
        <f t="shared" si="6"/>
        <v>30</v>
      </c>
      <c r="G15" s="16">
        <v>4.5999999999999996</v>
      </c>
      <c r="H15" s="7" t="s">
        <v>28</v>
      </c>
      <c r="I15" s="19">
        <f t="shared" si="7"/>
        <v>6.5217391304347831</v>
      </c>
      <c r="J15" s="28">
        <v>3</v>
      </c>
      <c r="K15" s="6"/>
      <c r="L15" s="6"/>
      <c r="M15">
        <v>2005</v>
      </c>
      <c r="N15">
        <v>2.39</v>
      </c>
      <c r="O15">
        <v>32</v>
      </c>
      <c r="P15">
        <v>61</v>
      </c>
      <c r="R15">
        <f t="shared" si="5"/>
        <v>36.262068965517251</v>
      </c>
      <c r="S15">
        <f t="shared" si="2"/>
        <v>48.349425287356333</v>
      </c>
      <c r="T15" t="e">
        <f>S15/U15</f>
        <v>#DIV/0!</v>
      </c>
      <c r="U15">
        <f t="shared" si="1"/>
        <v>0</v>
      </c>
      <c r="V15">
        <f t="shared" si="3"/>
        <v>0</v>
      </c>
      <c r="X15" s="57"/>
    </row>
    <row r="16" spans="1:24" ht="15" x14ac:dyDescent="0.25">
      <c r="A16" s="27" t="s">
        <v>27</v>
      </c>
      <c r="B16" s="15">
        <v>11</v>
      </c>
      <c r="C16" s="4"/>
      <c r="D16" s="15"/>
      <c r="E16" s="4"/>
      <c r="F16" s="15">
        <f t="shared" si="6"/>
        <v>11</v>
      </c>
      <c r="G16" s="16">
        <v>6.2</v>
      </c>
      <c r="H16" s="7" t="s">
        <v>22</v>
      </c>
      <c r="I16" s="19">
        <f t="shared" si="7"/>
        <v>1.7741935483870968</v>
      </c>
      <c r="J16" s="28">
        <v>8</v>
      </c>
      <c r="K16" s="6"/>
      <c r="L16" s="6"/>
      <c r="M16">
        <v>2006</v>
      </c>
      <c r="N16">
        <v>5.57</v>
      </c>
      <c r="O16">
        <v>59</v>
      </c>
      <c r="P16">
        <v>62</v>
      </c>
      <c r="R16">
        <f t="shared" si="5"/>
        <v>84.510344827586223</v>
      </c>
      <c r="S16">
        <f t="shared" si="2"/>
        <v>112.68045977011496</v>
      </c>
      <c r="T16">
        <f>S16/U16</f>
        <v>1878.0076628352494</v>
      </c>
      <c r="U16">
        <v>0.06</v>
      </c>
      <c r="V16">
        <f t="shared" si="3"/>
        <v>156</v>
      </c>
      <c r="X16" s="57"/>
    </row>
    <row r="17" spans="1:24" ht="15" x14ac:dyDescent="0.25">
      <c r="A17" s="20" t="s">
        <v>29</v>
      </c>
      <c r="B17" s="21"/>
      <c r="C17" s="22"/>
      <c r="D17" s="21"/>
      <c r="E17" s="22">
        <v>0</v>
      </c>
      <c r="F17" s="21">
        <f t="shared" si="6"/>
        <v>0</v>
      </c>
      <c r="G17" s="23">
        <v>4.5</v>
      </c>
      <c r="H17" s="24" t="s">
        <v>24</v>
      </c>
      <c r="I17" s="25">
        <f t="shared" si="7"/>
        <v>0</v>
      </c>
      <c r="J17" s="26">
        <v>5</v>
      </c>
      <c r="K17" s="6"/>
      <c r="L17" s="6"/>
      <c r="M17">
        <v>2007</v>
      </c>
      <c r="N17">
        <f>35/8.2</f>
        <v>4.2682926829268295</v>
      </c>
      <c r="O17">
        <v>50</v>
      </c>
      <c r="P17">
        <v>60</v>
      </c>
      <c r="R17">
        <f t="shared" si="5"/>
        <v>64.760302775441573</v>
      </c>
      <c r="S17">
        <f t="shared" si="2"/>
        <v>86.347070367255427</v>
      </c>
    </row>
    <row r="18" spans="1:24" ht="15" x14ac:dyDescent="0.25">
      <c r="A18" s="20" t="s">
        <v>30</v>
      </c>
      <c r="B18" s="21"/>
      <c r="C18" s="22"/>
      <c r="D18" s="21">
        <v>11</v>
      </c>
      <c r="E18" s="22"/>
      <c r="F18" s="21">
        <f t="shared" si="6"/>
        <v>11</v>
      </c>
      <c r="G18" s="23">
        <v>4.2</v>
      </c>
      <c r="H18" s="24" t="s">
        <v>26</v>
      </c>
      <c r="I18" s="25">
        <f t="shared" si="7"/>
        <v>2.6190476190476191</v>
      </c>
      <c r="J18" s="26">
        <v>4</v>
      </c>
      <c r="K18" s="6"/>
      <c r="L18" s="6"/>
      <c r="M18">
        <v>2008</v>
      </c>
      <c r="N18">
        <f>17/8.2</f>
        <v>2.0731707317073171</v>
      </c>
      <c r="O18">
        <v>18</v>
      </c>
      <c r="P18">
        <v>18</v>
      </c>
      <c r="R18">
        <f t="shared" si="5"/>
        <v>31.455004205214472</v>
      </c>
      <c r="S18">
        <f t="shared" si="2"/>
        <v>41.940005606952631</v>
      </c>
    </row>
    <row r="19" spans="1:24" ht="15" x14ac:dyDescent="0.25">
      <c r="A19" s="27" t="s">
        <v>30</v>
      </c>
      <c r="B19" s="15"/>
      <c r="C19" s="4">
        <v>29</v>
      </c>
      <c r="D19" s="15"/>
      <c r="E19" s="4"/>
      <c r="F19" s="15">
        <f t="shared" si="6"/>
        <v>29</v>
      </c>
      <c r="G19" s="16">
        <v>4.5999999999999996</v>
      </c>
      <c r="H19" s="7" t="s">
        <v>28</v>
      </c>
      <c r="I19" s="19">
        <f t="shared" si="7"/>
        <v>6.304347826086957</v>
      </c>
      <c r="J19" s="28">
        <v>4</v>
      </c>
      <c r="K19" s="6"/>
      <c r="L19" s="6"/>
      <c r="M19">
        <v>2009</v>
      </c>
      <c r="N19">
        <f>19/8.2</f>
        <v>2.3170731707317076</v>
      </c>
      <c r="O19">
        <v>24</v>
      </c>
      <c r="R19">
        <f t="shared" si="5"/>
        <v>35.155592935239703</v>
      </c>
      <c r="S19">
        <f t="shared" si="2"/>
        <v>46.874123913652937</v>
      </c>
      <c r="X19" s="57"/>
    </row>
    <row r="20" spans="1:24" ht="15" x14ac:dyDescent="0.25">
      <c r="A20" s="27" t="s">
        <v>31</v>
      </c>
      <c r="B20" s="15">
        <v>6</v>
      </c>
      <c r="C20" s="4"/>
      <c r="D20" s="15"/>
      <c r="E20" s="4"/>
      <c r="F20" s="15">
        <f t="shared" si="6"/>
        <v>6</v>
      </c>
      <c r="G20" s="16">
        <v>6.2</v>
      </c>
      <c r="H20" s="7" t="s">
        <v>22</v>
      </c>
      <c r="I20" s="19">
        <f t="shared" si="7"/>
        <v>0.96774193548387089</v>
      </c>
      <c r="J20" s="28">
        <v>8</v>
      </c>
      <c r="K20" s="6"/>
      <c r="L20" s="6"/>
    </row>
    <row r="21" spans="1:24" ht="15.6" thickBot="1" x14ac:dyDescent="0.3">
      <c r="A21" s="20" t="s">
        <v>32</v>
      </c>
      <c r="B21" s="21"/>
      <c r="C21" s="22">
        <v>12</v>
      </c>
      <c r="D21" s="21"/>
      <c r="E21" s="22"/>
      <c r="F21" s="21">
        <f t="shared" si="6"/>
        <v>12</v>
      </c>
      <c r="G21" s="23">
        <v>3.22</v>
      </c>
      <c r="H21" s="24" t="s">
        <v>33</v>
      </c>
      <c r="I21" s="25">
        <f t="shared" si="7"/>
        <v>3.7267080745341614</v>
      </c>
      <c r="J21" s="26">
        <v>5</v>
      </c>
      <c r="K21" s="6"/>
      <c r="L21" s="6"/>
    </row>
    <row r="22" spans="1:24" ht="15.6" thickBot="1" x14ac:dyDescent="0.3">
      <c r="A22" s="20" t="s">
        <v>32</v>
      </c>
      <c r="B22" s="21"/>
      <c r="C22" s="397">
        <v>54</v>
      </c>
      <c r="D22" s="398"/>
      <c r="E22" s="22"/>
      <c r="F22" s="21">
        <f t="shared" si="6"/>
        <v>54</v>
      </c>
      <c r="G22" s="23">
        <v>5</v>
      </c>
      <c r="H22" s="24" t="s">
        <v>34</v>
      </c>
      <c r="I22" s="25">
        <f t="shared" si="7"/>
        <v>10.8</v>
      </c>
      <c r="J22" s="26">
        <v>5</v>
      </c>
      <c r="K22" s="6"/>
      <c r="L22" s="6"/>
    </row>
    <row r="23" spans="1:24" ht="15.6" thickBot="1" x14ac:dyDescent="0.3">
      <c r="A23" s="27" t="s">
        <v>35</v>
      </c>
      <c r="B23" s="15"/>
      <c r="C23" s="399">
        <v>7</v>
      </c>
      <c r="D23" s="401"/>
      <c r="E23" s="4"/>
      <c r="F23" s="15">
        <f t="shared" si="6"/>
        <v>7</v>
      </c>
      <c r="G23" s="16">
        <v>4.18</v>
      </c>
      <c r="H23" s="7" t="s">
        <v>36</v>
      </c>
      <c r="I23" s="19">
        <f t="shared" si="7"/>
        <v>1.6746411483253589</v>
      </c>
      <c r="J23" s="28">
        <v>3.5</v>
      </c>
      <c r="K23" s="6"/>
      <c r="L23" s="6"/>
      <c r="X23" s="57"/>
    </row>
    <row r="24" spans="1:24" ht="15" x14ac:dyDescent="0.25">
      <c r="A24" s="27" t="s">
        <v>37</v>
      </c>
      <c r="B24" s="31"/>
      <c r="C24" s="32">
        <v>7</v>
      </c>
      <c r="D24" s="32"/>
      <c r="E24" s="4"/>
      <c r="F24" s="15">
        <f t="shared" si="6"/>
        <v>7</v>
      </c>
      <c r="G24" s="16">
        <v>4</v>
      </c>
      <c r="H24" s="7" t="s">
        <v>38</v>
      </c>
      <c r="I24" s="19">
        <f t="shared" si="7"/>
        <v>1.75</v>
      </c>
      <c r="J24" s="28">
        <v>3</v>
      </c>
      <c r="K24" s="6"/>
      <c r="L24" s="6"/>
      <c r="M24" t="s">
        <v>75</v>
      </c>
      <c r="N24">
        <v>13.04</v>
      </c>
      <c r="O24" s="74">
        <v>30063</v>
      </c>
      <c r="P24" t="s">
        <v>100</v>
      </c>
      <c r="S24">
        <v>11.57</v>
      </c>
      <c r="T24">
        <f>N24*S24</f>
        <v>150.87279999999998</v>
      </c>
      <c r="X24" s="57"/>
    </row>
    <row r="25" spans="1:24" ht="15.6" thickBot="1" x14ac:dyDescent="0.3">
      <c r="A25" s="20" t="s">
        <v>37</v>
      </c>
      <c r="B25" s="33"/>
      <c r="C25" s="34"/>
      <c r="D25" s="34">
        <v>10</v>
      </c>
      <c r="E25" s="22"/>
      <c r="F25" s="21">
        <f t="shared" si="6"/>
        <v>10</v>
      </c>
      <c r="G25" s="23">
        <v>4.2</v>
      </c>
      <c r="H25" s="24" t="s">
        <v>39</v>
      </c>
      <c r="I25" s="25">
        <f t="shared" si="7"/>
        <v>2.3809523809523809</v>
      </c>
      <c r="J25" s="26"/>
      <c r="K25" s="6"/>
      <c r="L25" s="6"/>
      <c r="M25" t="s">
        <v>76</v>
      </c>
      <c r="N25">
        <v>19.71</v>
      </c>
      <c r="O25" s="74">
        <v>30419</v>
      </c>
      <c r="P25" t="s">
        <v>100</v>
      </c>
      <c r="S25">
        <v>11.57</v>
      </c>
      <c r="T25">
        <f>N25*S25</f>
        <v>228.04470000000001</v>
      </c>
    </row>
    <row r="26" spans="1:24" ht="15.6" thickBot="1" x14ac:dyDescent="0.3">
      <c r="A26" s="20" t="s">
        <v>40</v>
      </c>
      <c r="B26" s="21"/>
      <c r="C26" s="33">
        <v>4</v>
      </c>
      <c r="D26" s="21"/>
      <c r="E26" s="22"/>
      <c r="F26" s="21">
        <f t="shared" si="6"/>
        <v>4</v>
      </c>
      <c r="G26" s="23">
        <v>3.22</v>
      </c>
      <c r="H26" s="24" t="s">
        <v>33</v>
      </c>
      <c r="I26" s="25">
        <f t="shared" si="7"/>
        <v>1.2422360248447204</v>
      </c>
      <c r="J26" s="26">
        <v>4</v>
      </c>
      <c r="K26" s="6"/>
      <c r="L26" s="6"/>
      <c r="M26" t="s">
        <v>77</v>
      </c>
      <c r="N26">
        <v>20.92</v>
      </c>
      <c r="O26" s="74">
        <v>30774</v>
      </c>
      <c r="P26" t="s">
        <v>101</v>
      </c>
      <c r="X26" s="57"/>
    </row>
    <row r="27" spans="1:24" ht="15.6" thickBot="1" x14ac:dyDescent="0.3">
      <c r="A27" s="27" t="s">
        <v>40</v>
      </c>
      <c r="B27" s="15"/>
      <c r="C27" s="399">
        <v>26</v>
      </c>
      <c r="D27" s="401"/>
      <c r="E27" s="4"/>
      <c r="F27" s="15">
        <f t="shared" si="6"/>
        <v>26</v>
      </c>
      <c r="G27" s="16">
        <v>5</v>
      </c>
      <c r="H27" s="7" t="s">
        <v>34</v>
      </c>
      <c r="I27" s="19">
        <f t="shared" si="7"/>
        <v>5.2</v>
      </c>
      <c r="J27" s="28">
        <v>4</v>
      </c>
      <c r="K27" s="6"/>
      <c r="L27" s="6"/>
      <c r="M27" t="s">
        <v>78</v>
      </c>
      <c r="N27">
        <v>31.4</v>
      </c>
      <c r="O27" s="74">
        <v>31124</v>
      </c>
      <c r="P27" t="s">
        <v>102</v>
      </c>
    </row>
    <row r="28" spans="1:24" ht="15.6" thickBot="1" x14ac:dyDescent="0.3">
      <c r="A28" s="27" t="s">
        <v>41</v>
      </c>
      <c r="B28" s="15"/>
      <c r="C28" s="4">
        <v>19</v>
      </c>
      <c r="D28" s="35"/>
      <c r="E28" s="4"/>
      <c r="F28" s="15">
        <f t="shared" si="6"/>
        <v>19</v>
      </c>
      <c r="G28" s="16">
        <v>3.22</v>
      </c>
      <c r="H28" s="7" t="s">
        <v>33</v>
      </c>
      <c r="I28" s="19">
        <f t="shared" si="7"/>
        <v>5.9006211180124222</v>
      </c>
      <c r="J28" s="28">
        <v>3.5</v>
      </c>
      <c r="K28" s="6"/>
      <c r="L28" s="6"/>
      <c r="M28" t="s">
        <v>79</v>
      </c>
      <c r="N28">
        <v>8.6</v>
      </c>
      <c r="O28" s="74">
        <v>31452</v>
      </c>
      <c r="P28" t="s">
        <v>103</v>
      </c>
    </row>
    <row r="29" spans="1:24" ht="15.6" thickBot="1" x14ac:dyDescent="0.3">
      <c r="A29" s="20" t="s">
        <v>41</v>
      </c>
      <c r="B29" s="21"/>
      <c r="C29" s="397">
        <v>17</v>
      </c>
      <c r="D29" s="398"/>
      <c r="E29" s="22"/>
      <c r="F29" s="21">
        <f t="shared" si="6"/>
        <v>17</v>
      </c>
      <c r="G29" s="23">
        <v>5</v>
      </c>
      <c r="H29" s="24" t="s">
        <v>34</v>
      </c>
      <c r="I29" s="25">
        <f t="shared" si="7"/>
        <v>3.4</v>
      </c>
      <c r="J29" s="26">
        <v>3.5</v>
      </c>
      <c r="K29" s="6"/>
      <c r="L29" s="6"/>
      <c r="M29" t="s">
        <v>80</v>
      </c>
      <c r="N29">
        <v>43.39</v>
      </c>
      <c r="O29" s="74">
        <v>31863</v>
      </c>
      <c r="P29" t="s">
        <v>105</v>
      </c>
    </row>
    <row r="30" spans="1:24" ht="15.6" thickBot="1" x14ac:dyDescent="0.3">
      <c r="A30" s="20" t="s">
        <v>42</v>
      </c>
      <c r="B30" s="21"/>
      <c r="C30" s="22">
        <v>5</v>
      </c>
      <c r="D30" s="36"/>
      <c r="E30" s="22"/>
      <c r="F30" s="21">
        <f t="shared" si="6"/>
        <v>5</v>
      </c>
      <c r="G30" s="23">
        <v>3.22</v>
      </c>
      <c r="H30" s="24" t="s">
        <v>33</v>
      </c>
      <c r="I30" s="25">
        <f t="shared" si="7"/>
        <v>1.5527950310559004</v>
      </c>
      <c r="J30" s="26">
        <v>3.5</v>
      </c>
      <c r="K30" s="6"/>
      <c r="L30" s="6"/>
      <c r="M30" t="s">
        <v>81</v>
      </c>
      <c r="N30">
        <v>36.549999999999997</v>
      </c>
      <c r="O30" s="74">
        <v>32197</v>
      </c>
      <c r="P30" t="s">
        <v>106</v>
      </c>
    </row>
    <row r="31" spans="1:24" ht="15.6" thickBot="1" x14ac:dyDescent="0.3">
      <c r="A31" s="27" t="s">
        <v>42</v>
      </c>
      <c r="B31" s="15"/>
      <c r="C31" s="399">
        <v>12</v>
      </c>
      <c r="D31" s="401"/>
      <c r="E31" s="4"/>
      <c r="F31" s="15">
        <f t="shared" si="6"/>
        <v>12</v>
      </c>
      <c r="G31" s="16">
        <v>5</v>
      </c>
      <c r="H31" s="7" t="s">
        <v>34</v>
      </c>
      <c r="I31" s="19">
        <f t="shared" si="7"/>
        <v>2.4</v>
      </c>
      <c r="J31" s="28">
        <v>3.5</v>
      </c>
      <c r="K31" s="6"/>
      <c r="L31" s="6"/>
      <c r="M31" t="s">
        <v>82</v>
      </c>
      <c r="N31">
        <v>9.3000000000000007</v>
      </c>
      <c r="O31" s="74">
        <v>32548</v>
      </c>
      <c r="P31" t="s">
        <v>107</v>
      </c>
    </row>
    <row r="32" spans="1:24" ht="15.6" thickBot="1" x14ac:dyDescent="0.3">
      <c r="A32" s="27" t="s">
        <v>43</v>
      </c>
      <c r="B32" s="15"/>
      <c r="C32" s="30">
        <v>44</v>
      </c>
      <c r="D32" s="15"/>
      <c r="E32" s="4"/>
      <c r="F32" s="15">
        <f t="shared" si="6"/>
        <v>44</v>
      </c>
      <c r="G32" s="16">
        <v>3.22</v>
      </c>
      <c r="H32" s="7" t="s">
        <v>33</v>
      </c>
      <c r="I32" s="19">
        <f t="shared" si="7"/>
        <v>13.664596273291925</v>
      </c>
      <c r="J32" s="28">
        <v>3.5</v>
      </c>
      <c r="K32" s="6"/>
      <c r="L32" s="6"/>
      <c r="M32" t="s">
        <v>83</v>
      </c>
      <c r="N32">
        <v>11.96</v>
      </c>
      <c r="O32" s="74">
        <v>32923</v>
      </c>
      <c r="P32" t="s">
        <v>108</v>
      </c>
    </row>
    <row r="33" spans="1:16" ht="15.6" thickBot="1" x14ac:dyDescent="0.3">
      <c r="A33" s="20" t="s">
        <v>43</v>
      </c>
      <c r="B33" s="21"/>
      <c r="C33" s="397">
        <v>39</v>
      </c>
      <c r="D33" s="398"/>
      <c r="E33" s="22"/>
      <c r="F33" s="21">
        <f t="shared" si="6"/>
        <v>39</v>
      </c>
      <c r="G33" s="23">
        <v>5</v>
      </c>
      <c r="H33" s="24" t="s">
        <v>34</v>
      </c>
      <c r="I33" s="25">
        <f t="shared" si="7"/>
        <v>7.8</v>
      </c>
      <c r="J33" s="26"/>
      <c r="K33" s="6"/>
      <c r="L33" s="6"/>
      <c r="M33" t="s">
        <v>84</v>
      </c>
      <c r="N33">
        <v>5.0999999999999996</v>
      </c>
      <c r="O33" s="74">
        <v>33323</v>
      </c>
      <c r="P33" t="s">
        <v>109</v>
      </c>
    </row>
    <row r="34" spans="1:16" ht="15.6" thickBot="1" x14ac:dyDescent="0.3">
      <c r="A34" s="20" t="s">
        <v>44</v>
      </c>
      <c r="B34" s="21"/>
      <c r="C34" s="29">
        <v>19</v>
      </c>
      <c r="D34" s="36"/>
      <c r="E34" s="22"/>
      <c r="F34" s="21">
        <f t="shared" si="6"/>
        <v>19</v>
      </c>
      <c r="G34" s="23">
        <v>3.22</v>
      </c>
      <c r="H34" s="24" t="s">
        <v>33</v>
      </c>
      <c r="I34" s="25">
        <f t="shared" si="7"/>
        <v>5.9006211180124222</v>
      </c>
      <c r="J34" s="26">
        <v>7</v>
      </c>
      <c r="K34" s="6"/>
      <c r="L34" s="6"/>
      <c r="M34" t="s">
        <v>85</v>
      </c>
      <c r="N34">
        <v>17.88</v>
      </c>
      <c r="O34" s="74">
        <v>33705</v>
      </c>
      <c r="P34" t="s">
        <v>109</v>
      </c>
    </row>
    <row r="35" spans="1:16" ht="15.6" thickBot="1" x14ac:dyDescent="0.3">
      <c r="A35" s="27" t="s">
        <v>44</v>
      </c>
      <c r="B35" s="15"/>
      <c r="C35" s="399">
        <v>23</v>
      </c>
      <c r="D35" s="401"/>
      <c r="E35" s="4"/>
      <c r="F35" s="15">
        <f t="shared" si="6"/>
        <v>23</v>
      </c>
      <c r="G35" s="16">
        <v>5</v>
      </c>
      <c r="H35" s="7" t="s">
        <v>34</v>
      </c>
      <c r="I35" s="19">
        <f t="shared" si="7"/>
        <v>4.5999999999999996</v>
      </c>
      <c r="J35" s="28">
        <v>7</v>
      </c>
      <c r="K35" s="6"/>
      <c r="L35" s="6"/>
      <c r="M35" t="s">
        <v>86</v>
      </c>
      <c r="N35">
        <v>8.8000000000000007</v>
      </c>
      <c r="O35" s="74">
        <v>34025</v>
      </c>
      <c r="P35" t="s">
        <v>109</v>
      </c>
    </row>
    <row r="36" spans="1:16" ht="15.6" thickBot="1" x14ac:dyDescent="0.3">
      <c r="A36" s="27" t="s">
        <v>45</v>
      </c>
      <c r="B36" s="15"/>
      <c r="C36" s="399">
        <v>13</v>
      </c>
      <c r="D36" s="401"/>
      <c r="E36" s="4"/>
      <c r="F36" s="15">
        <f t="shared" si="6"/>
        <v>13</v>
      </c>
      <c r="G36" s="16">
        <v>4.87</v>
      </c>
      <c r="H36" s="7" t="s">
        <v>46</v>
      </c>
      <c r="I36" s="19">
        <f t="shared" si="7"/>
        <v>2.6694045174537986</v>
      </c>
      <c r="J36" s="28">
        <v>5</v>
      </c>
      <c r="K36" s="6"/>
      <c r="L36" s="6"/>
      <c r="M36" t="s">
        <v>87</v>
      </c>
      <c r="N36">
        <v>2.0699999999999998</v>
      </c>
      <c r="O36" s="74">
        <v>34421</v>
      </c>
      <c r="P36" t="s">
        <v>109</v>
      </c>
    </row>
    <row r="37" spans="1:16" ht="15.6" thickBot="1" x14ac:dyDescent="0.3">
      <c r="A37" s="20" t="s">
        <v>47</v>
      </c>
      <c r="B37" s="21"/>
      <c r="C37" s="397">
        <v>22</v>
      </c>
      <c r="D37" s="398"/>
      <c r="E37" s="22"/>
      <c r="F37" s="21">
        <f t="shared" si="6"/>
        <v>22</v>
      </c>
      <c r="G37" s="23">
        <v>2.7</v>
      </c>
      <c r="H37" s="24" t="s">
        <v>48</v>
      </c>
      <c r="I37" s="25">
        <f t="shared" si="7"/>
        <v>8.148148148148147</v>
      </c>
      <c r="J37" s="26">
        <v>2</v>
      </c>
      <c r="K37" s="6"/>
      <c r="L37" s="6"/>
      <c r="M37" t="s">
        <v>88</v>
      </c>
      <c r="N37">
        <v>4.38</v>
      </c>
      <c r="O37" s="74">
        <v>34759</v>
      </c>
      <c r="P37" t="s">
        <v>109</v>
      </c>
    </row>
    <row r="38" spans="1:16" ht="15.6" thickBot="1" x14ac:dyDescent="0.3">
      <c r="A38" s="20" t="s">
        <v>49</v>
      </c>
      <c r="B38" s="21"/>
      <c r="C38" s="397">
        <v>164</v>
      </c>
      <c r="D38" s="398"/>
      <c r="E38" s="22"/>
      <c r="F38" s="21">
        <f t="shared" si="6"/>
        <v>164</v>
      </c>
      <c r="G38" s="23">
        <v>3.78</v>
      </c>
      <c r="H38" s="24" t="s">
        <v>50</v>
      </c>
      <c r="I38" s="25">
        <f t="shared" si="7"/>
        <v>43.386243386243386</v>
      </c>
      <c r="J38" s="26">
        <v>5</v>
      </c>
      <c r="K38" s="5"/>
      <c r="L38" s="6"/>
      <c r="M38" t="s">
        <v>89</v>
      </c>
      <c r="N38">
        <v>3.65</v>
      </c>
      <c r="O38" s="74">
        <v>35152</v>
      </c>
      <c r="P38" t="s">
        <v>109</v>
      </c>
    </row>
    <row r="39" spans="1:16" ht="15.6" thickBot="1" x14ac:dyDescent="0.3">
      <c r="A39" s="27" t="s">
        <v>51</v>
      </c>
      <c r="B39" s="399">
        <v>239</v>
      </c>
      <c r="C39" s="400"/>
      <c r="D39" s="401"/>
      <c r="E39" s="4"/>
      <c r="F39" s="15">
        <f t="shared" si="6"/>
        <v>239</v>
      </c>
      <c r="G39" s="16">
        <v>11.57</v>
      </c>
      <c r="H39" s="7" t="s">
        <v>52</v>
      </c>
      <c r="I39" s="19">
        <f t="shared" si="7"/>
        <v>20.656871218668972</v>
      </c>
      <c r="J39" s="28">
        <v>5</v>
      </c>
      <c r="K39" s="5"/>
      <c r="L39" s="6"/>
      <c r="M39" t="s">
        <v>90</v>
      </c>
      <c r="N39">
        <v>2.5</v>
      </c>
      <c r="O39" s="74" t="s">
        <v>110</v>
      </c>
      <c r="P39" t="s">
        <v>110</v>
      </c>
    </row>
    <row r="40" spans="1:16" ht="15.6" thickBot="1" x14ac:dyDescent="0.3">
      <c r="A40" s="27" t="s">
        <v>51</v>
      </c>
      <c r="B40" s="37"/>
      <c r="C40" s="35"/>
      <c r="D40" s="38">
        <v>232</v>
      </c>
      <c r="E40" s="4"/>
      <c r="F40" s="15">
        <f t="shared" si="6"/>
        <v>232</v>
      </c>
      <c r="G40" s="16">
        <v>4.33</v>
      </c>
      <c r="H40" s="7" t="s">
        <v>53</v>
      </c>
      <c r="I40" s="19">
        <f t="shared" si="7"/>
        <v>53.579676674364897</v>
      </c>
      <c r="J40" s="28">
        <v>5</v>
      </c>
      <c r="K40" s="5"/>
      <c r="L40" s="6"/>
      <c r="M40" t="s">
        <v>91</v>
      </c>
      <c r="N40">
        <v>3.77</v>
      </c>
      <c r="O40" s="74">
        <v>35913</v>
      </c>
      <c r="P40" t="s">
        <v>109</v>
      </c>
    </row>
    <row r="41" spans="1:16" ht="15.6" thickBot="1" x14ac:dyDescent="0.3">
      <c r="A41" s="20" t="s">
        <v>54</v>
      </c>
      <c r="B41" s="21"/>
      <c r="C41" s="397">
        <v>212</v>
      </c>
      <c r="D41" s="398"/>
      <c r="E41" s="22"/>
      <c r="F41" s="21">
        <f t="shared" si="6"/>
        <v>212</v>
      </c>
      <c r="G41" s="23">
        <v>4.3899999999999997</v>
      </c>
      <c r="H41" s="24" t="s">
        <v>55</v>
      </c>
      <c r="I41" s="25">
        <f t="shared" si="7"/>
        <v>48.291571753986339</v>
      </c>
      <c r="J41" s="26">
        <v>5</v>
      </c>
      <c r="K41" s="5"/>
      <c r="L41" s="6"/>
      <c r="M41" t="s">
        <v>92</v>
      </c>
      <c r="N41">
        <v>9.31</v>
      </c>
      <c r="O41" s="74">
        <v>36258</v>
      </c>
      <c r="P41" t="s">
        <v>111</v>
      </c>
    </row>
    <row r="42" spans="1:16" ht="15.6" thickBot="1" x14ac:dyDescent="0.3">
      <c r="A42" s="20" t="s">
        <v>56</v>
      </c>
      <c r="B42" s="397">
        <v>151</v>
      </c>
      <c r="C42" s="408"/>
      <c r="D42" s="398"/>
      <c r="E42" s="22"/>
      <c r="F42" s="21">
        <f t="shared" si="6"/>
        <v>151</v>
      </c>
      <c r="G42" s="23">
        <v>11.57</v>
      </c>
      <c r="H42" s="24" t="s">
        <v>52</v>
      </c>
      <c r="I42" s="25">
        <f t="shared" si="7"/>
        <v>13.050993949870355</v>
      </c>
      <c r="J42" s="26">
        <v>5</v>
      </c>
      <c r="K42" s="6"/>
      <c r="L42" s="6"/>
      <c r="M42" t="s">
        <v>93</v>
      </c>
      <c r="N42">
        <v>1.8</v>
      </c>
      <c r="O42" s="74">
        <v>36628</v>
      </c>
      <c r="P42" t="s">
        <v>109</v>
      </c>
    </row>
    <row r="43" spans="1:16" ht="15.6" thickBot="1" x14ac:dyDescent="0.3">
      <c r="A43" s="39" t="s">
        <v>57</v>
      </c>
      <c r="B43" s="32"/>
      <c r="C43" s="409">
        <v>48</v>
      </c>
      <c r="D43" s="410"/>
      <c r="E43" s="38"/>
      <c r="F43" s="15">
        <f t="shared" si="6"/>
        <v>48</v>
      </c>
      <c r="G43" s="16">
        <v>3.68</v>
      </c>
      <c r="H43" s="7" t="s">
        <v>58</v>
      </c>
      <c r="I43" s="19">
        <f>F43/G43</f>
        <v>13.043478260869565</v>
      </c>
      <c r="J43" s="28">
        <v>3</v>
      </c>
      <c r="M43" t="s">
        <v>94</v>
      </c>
      <c r="N43">
        <v>8.0299999999999994</v>
      </c>
      <c r="O43" s="74">
        <v>36963</v>
      </c>
      <c r="P43" t="s">
        <v>109</v>
      </c>
    </row>
    <row r="44" spans="1:16" ht="15.6" thickBot="1" x14ac:dyDescent="0.3">
      <c r="A44" s="27" t="s">
        <v>59</v>
      </c>
      <c r="B44" s="411">
        <v>96</v>
      </c>
      <c r="C44" s="412"/>
      <c r="D44" s="413"/>
      <c r="E44" s="4"/>
      <c r="F44" s="15">
        <f t="shared" si="6"/>
        <v>96</v>
      </c>
      <c r="G44" s="40">
        <v>11.57</v>
      </c>
      <c r="H44" s="41" t="s">
        <v>52</v>
      </c>
      <c r="I44" s="42">
        <f t="shared" si="7"/>
        <v>8.2973206568712179</v>
      </c>
      <c r="J44" s="43">
        <v>5</v>
      </c>
      <c r="M44" t="s">
        <v>95</v>
      </c>
      <c r="N44">
        <v>4.54</v>
      </c>
      <c r="O44" s="74">
        <v>37372</v>
      </c>
      <c r="P44" t="s">
        <v>113</v>
      </c>
    </row>
    <row r="45" spans="1:16" ht="16.2" thickTop="1" thickBot="1" x14ac:dyDescent="0.3">
      <c r="A45" s="44"/>
      <c r="B45" s="45"/>
      <c r="C45" s="45"/>
      <c r="D45" s="45"/>
      <c r="E45" s="45"/>
      <c r="F45" s="46"/>
      <c r="G45" s="19"/>
      <c r="H45" s="4"/>
      <c r="I45" s="47"/>
      <c r="J45" s="48"/>
      <c r="M45" t="s">
        <v>96</v>
      </c>
      <c r="N45">
        <v>3.1</v>
      </c>
      <c r="O45" s="74">
        <v>37734</v>
      </c>
      <c r="P45" t="s">
        <v>113</v>
      </c>
    </row>
    <row r="46" spans="1:16" ht="16.2" thickTop="1" x14ac:dyDescent="0.3">
      <c r="A46" s="49" t="s">
        <v>60</v>
      </c>
      <c r="B46" s="50"/>
      <c r="C46" s="50"/>
      <c r="D46" s="50"/>
      <c r="E46" s="50"/>
      <c r="F46" s="4"/>
      <c r="G46" s="414" t="s">
        <v>61</v>
      </c>
      <c r="H46" s="415"/>
      <c r="I46" s="415"/>
      <c r="J46" s="416"/>
      <c r="M46" t="s">
        <v>97</v>
      </c>
      <c r="N46">
        <v>3.6</v>
      </c>
      <c r="O46" s="74">
        <v>38091</v>
      </c>
      <c r="P46" t="s">
        <v>113</v>
      </c>
    </row>
    <row r="47" spans="1:16" ht="15" x14ac:dyDescent="0.25">
      <c r="A47" s="51" t="s">
        <v>62</v>
      </c>
      <c r="B47" s="5"/>
      <c r="C47" s="5"/>
      <c r="D47" s="5"/>
      <c r="E47" s="5"/>
      <c r="F47" s="4"/>
      <c r="G47" s="402" t="s">
        <v>63</v>
      </c>
      <c r="H47" s="403"/>
      <c r="I47" s="403"/>
      <c r="J47" s="404"/>
      <c r="M47">
        <v>2005</v>
      </c>
      <c r="N47">
        <v>4.5</v>
      </c>
      <c r="O47" s="74">
        <v>38457</v>
      </c>
      <c r="P47" t="s">
        <v>113</v>
      </c>
    </row>
    <row r="48" spans="1:16" ht="15" x14ac:dyDescent="0.25">
      <c r="A48" s="51"/>
      <c r="B48" s="5"/>
      <c r="C48" s="5"/>
      <c r="D48" s="5"/>
      <c r="E48" s="5"/>
      <c r="F48" s="4"/>
      <c r="G48" s="402" t="s">
        <v>64</v>
      </c>
      <c r="H48" s="403"/>
      <c r="I48" s="403"/>
      <c r="J48" s="404"/>
      <c r="M48">
        <v>2006</v>
      </c>
      <c r="N48">
        <v>4.1333333333333337</v>
      </c>
      <c r="O48" s="74">
        <v>38820</v>
      </c>
      <c r="P48" t="s">
        <v>113</v>
      </c>
    </row>
    <row r="49" spans="1:16" ht="15.6" thickBot="1" x14ac:dyDescent="0.3">
      <c r="A49" s="52"/>
      <c r="B49" s="53"/>
      <c r="C49" s="53"/>
      <c r="D49" s="53"/>
      <c r="E49" s="53"/>
      <c r="F49" s="53"/>
      <c r="G49" s="405" t="s">
        <v>65</v>
      </c>
      <c r="H49" s="406"/>
      <c r="I49" s="406"/>
      <c r="J49" s="407"/>
      <c r="M49">
        <v>2007</v>
      </c>
      <c r="N49">
        <v>4</v>
      </c>
      <c r="O49" s="74">
        <v>39192</v>
      </c>
      <c r="P49" t="s">
        <v>113</v>
      </c>
    </row>
    <row r="50" spans="1:16" ht="15.6" thickTop="1" x14ac:dyDescent="0.25">
      <c r="A50" s="4"/>
      <c r="B50" s="4"/>
      <c r="C50" s="4"/>
      <c r="D50" s="4"/>
      <c r="E50" s="4"/>
      <c r="F50" s="4"/>
      <c r="G50" s="19"/>
      <c r="H50" s="6"/>
      <c r="I50" s="47"/>
      <c r="J50" s="54"/>
      <c r="M50">
        <v>2008</v>
      </c>
      <c r="N50">
        <v>1.2</v>
      </c>
      <c r="O50" s="74">
        <v>39515</v>
      </c>
      <c r="P50" t="s">
        <v>113</v>
      </c>
    </row>
    <row r="51" spans="1:16" x14ac:dyDescent="0.25">
      <c r="M51">
        <v>2009</v>
      </c>
      <c r="N51">
        <v>2.5333333333333332</v>
      </c>
      <c r="O51" s="74">
        <v>39930</v>
      </c>
      <c r="P51" t="s">
        <v>113</v>
      </c>
    </row>
    <row r="52" spans="1:16" x14ac:dyDescent="0.25">
      <c r="M52">
        <v>2010</v>
      </c>
      <c r="N52">
        <v>3.6</v>
      </c>
      <c r="O52" s="74">
        <v>40283</v>
      </c>
      <c r="P52" t="s">
        <v>113</v>
      </c>
    </row>
    <row r="53" spans="1:16" x14ac:dyDescent="0.25">
      <c r="M53">
        <v>2011</v>
      </c>
      <c r="N53">
        <v>6.8666666666666663</v>
      </c>
      <c r="O53" s="74"/>
    </row>
    <row r="54" spans="1:16" x14ac:dyDescent="0.25">
      <c r="M54">
        <v>2012</v>
      </c>
      <c r="N54">
        <v>2.8</v>
      </c>
      <c r="O54" s="74"/>
    </row>
    <row r="55" spans="1:16" x14ac:dyDescent="0.25">
      <c r="M55">
        <v>2013</v>
      </c>
      <c r="N55">
        <v>6.2</v>
      </c>
      <c r="O55" s="74"/>
    </row>
    <row r="56" spans="1:16" x14ac:dyDescent="0.25">
      <c r="M56">
        <v>2014</v>
      </c>
      <c r="N56">
        <v>4.5</v>
      </c>
      <c r="O56" s="74"/>
    </row>
    <row r="57" spans="1:16" x14ac:dyDescent="0.25">
      <c r="M57">
        <v>2015</v>
      </c>
      <c r="N57">
        <v>7.2666666666666666</v>
      </c>
      <c r="O57" s="74"/>
    </row>
  </sheetData>
  <mergeCells count="20">
    <mergeCell ref="G4:H4"/>
    <mergeCell ref="C22:D22"/>
    <mergeCell ref="C23:D23"/>
    <mergeCell ref="C27:D27"/>
    <mergeCell ref="C29:D29"/>
    <mergeCell ref="C31:D31"/>
    <mergeCell ref="C33:D33"/>
    <mergeCell ref="C35:D35"/>
    <mergeCell ref="C36:D36"/>
    <mergeCell ref="C37:D37"/>
    <mergeCell ref="C38:D38"/>
    <mergeCell ref="B39:D39"/>
    <mergeCell ref="G48:J48"/>
    <mergeCell ref="G49:J49"/>
    <mergeCell ref="C41:D41"/>
    <mergeCell ref="B42:D42"/>
    <mergeCell ref="C43:D43"/>
    <mergeCell ref="B44:D44"/>
    <mergeCell ref="G46:J46"/>
    <mergeCell ref="G47:J47"/>
  </mergeCells>
  <phoneticPr fontId="2" type="noConversion"/>
  <pageMargins left="0.74803149606299213" right="0.74803149606299213" top="0.98425196850393704" bottom="0.98425196850393704" header="0.51181102362204722" footer="0.51181102362204722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E51"/>
  <sheetViews>
    <sheetView topLeftCell="A15" workbookViewId="0">
      <selection activeCell="Y43" sqref="Y43"/>
    </sheetView>
  </sheetViews>
  <sheetFormatPr defaultColWidth="8.77734375" defaultRowHeight="13.2" x14ac:dyDescent="0.25"/>
  <cols>
    <col min="1" max="1" width="10.44140625" customWidth="1"/>
    <col min="2" max="2" width="3" customWidth="1"/>
    <col min="3" max="3" width="6.44140625" customWidth="1"/>
    <col min="23" max="23" width="13.6640625" customWidth="1"/>
  </cols>
  <sheetData>
    <row r="3" spans="1:31" ht="16.5" customHeight="1" x14ac:dyDescent="0.25">
      <c r="A3" t="s">
        <v>199</v>
      </c>
      <c r="D3" t="s">
        <v>193</v>
      </c>
    </row>
    <row r="4" spans="1:31" ht="18.75" customHeight="1" thickBot="1" x14ac:dyDescent="0.45">
      <c r="C4" s="75" t="s">
        <v>212</v>
      </c>
      <c r="D4" t="s">
        <v>194</v>
      </c>
      <c r="E4" t="s">
        <v>195</v>
      </c>
      <c r="F4" t="s">
        <v>196</v>
      </c>
      <c r="G4" t="s">
        <v>197</v>
      </c>
      <c r="H4" t="s">
        <v>198</v>
      </c>
      <c r="K4" s="207">
        <v>2012</v>
      </c>
      <c r="L4" s="207"/>
      <c r="N4" s="77"/>
      <c r="O4" s="77"/>
    </row>
    <row r="5" spans="1:31" ht="14.25" customHeight="1" thickTop="1" thickBot="1" x14ac:dyDescent="0.3">
      <c r="A5">
        <v>1982</v>
      </c>
      <c r="C5" s="243">
        <v>0</v>
      </c>
      <c r="D5" s="243">
        <v>0.27804076619033136</v>
      </c>
      <c r="E5" s="243">
        <v>0.41019124353906966</v>
      </c>
      <c r="F5" s="243">
        <v>0.28359407722712071</v>
      </c>
      <c r="G5" s="243">
        <v>2.8173913043478261E-2</v>
      </c>
      <c r="H5" s="243">
        <v>0</v>
      </c>
      <c r="K5" s="423" t="s">
        <v>200</v>
      </c>
      <c r="L5" s="424" t="s">
        <v>201</v>
      </c>
      <c r="M5" s="425"/>
      <c r="N5" s="426"/>
      <c r="O5" s="208"/>
      <c r="P5" s="424" t="s">
        <v>202</v>
      </c>
      <c r="Q5" s="425"/>
      <c r="R5" s="425"/>
      <c r="S5" s="425"/>
      <c r="T5" s="426"/>
      <c r="U5" s="427" t="s">
        <v>203</v>
      </c>
      <c r="W5" s="429" t="s">
        <v>204</v>
      </c>
      <c r="Y5" s="75"/>
    </row>
    <row r="6" spans="1:31" ht="14.4" thickTop="1" thickBot="1" x14ac:dyDescent="0.3">
      <c r="A6">
        <v>1983</v>
      </c>
      <c r="C6" s="243">
        <v>0</v>
      </c>
      <c r="D6" s="243">
        <v>0.27804076619033136</v>
      </c>
      <c r="E6" s="243">
        <v>0.41019124353906966</v>
      </c>
      <c r="F6" s="243">
        <v>0.28359407722712071</v>
      </c>
      <c r="G6" s="243">
        <v>2.8173913043478261E-2</v>
      </c>
      <c r="H6" s="243">
        <v>0</v>
      </c>
      <c r="K6" s="421"/>
      <c r="L6" s="209">
        <v>2</v>
      </c>
      <c r="M6" s="210">
        <v>3</v>
      </c>
      <c r="N6" s="211" t="s">
        <v>205</v>
      </c>
      <c r="O6" s="212"/>
      <c r="P6" s="209">
        <v>1</v>
      </c>
      <c r="Q6" s="210">
        <v>2</v>
      </c>
      <c r="R6" s="213">
        <v>3</v>
      </c>
      <c r="S6" s="210">
        <v>4</v>
      </c>
      <c r="T6" s="214" t="s">
        <v>206</v>
      </c>
      <c r="U6" s="433"/>
      <c r="W6" s="429"/>
    </row>
    <row r="7" spans="1:31" ht="14.4" thickTop="1" thickBot="1" x14ac:dyDescent="0.3">
      <c r="A7">
        <v>1984</v>
      </c>
      <c r="C7" s="243">
        <v>0</v>
      </c>
      <c r="D7" s="243">
        <v>0.27804076619033136</v>
      </c>
      <c r="E7" s="243">
        <v>0.41019124353906966</v>
      </c>
      <c r="F7" s="243">
        <v>0.28359407722712071</v>
      </c>
      <c r="G7" s="243">
        <v>2.8173913043478261E-2</v>
      </c>
      <c r="H7" s="243">
        <v>0</v>
      </c>
      <c r="K7" s="215" t="s">
        <v>207</v>
      </c>
      <c r="L7" s="215">
        <v>5</v>
      </c>
      <c r="M7" s="216">
        <v>1</v>
      </c>
      <c r="N7" s="217">
        <f>L7+M7</f>
        <v>6</v>
      </c>
      <c r="O7" s="212"/>
      <c r="P7" s="218"/>
      <c r="Q7" s="216">
        <v>6</v>
      </c>
      <c r="R7" s="219">
        <v>4</v>
      </c>
      <c r="S7" s="216"/>
      <c r="T7" s="220">
        <v>2</v>
      </c>
      <c r="U7" s="221">
        <f>S7+R7+Q7+T7</f>
        <v>12</v>
      </c>
      <c r="W7" s="419">
        <f>L10*L6+M10*M6+Q10*Q6+R10*R6+T10*S6</f>
        <v>4.75</v>
      </c>
      <c r="Y7" s="75"/>
    </row>
    <row r="8" spans="1:31" ht="14.4" thickTop="1" thickBot="1" x14ac:dyDescent="0.3">
      <c r="A8">
        <v>1985</v>
      </c>
      <c r="C8" s="243">
        <v>0</v>
      </c>
      <c r="D8" s="243">
        <v>0.27804076619033136</v>
      </c>
      <c r="E8" s="243">
        <v>0.41019124353906966</v>
      </c>
      <c r="F8" s="243">
        <v>0.28359407722712071</v>
      </c>
      <c r="G8" s="243">
        <v>2.8173913043478261E-2</v>
      </c>
      <c r="H8" s="243">
        <v>0</v>
      </c>
      <c r="K8" s="222" t="s">
        <v>208</v>
      </c>
      <c r="L8" s="222">
        <v>4</v>
      </c>
      <c r="M8" s="223">
        <v>2</v>
      </c>
      <c r="N8" s="224">
        <f>L8+M8</f>
        <v>6</v>
      </c>
      <c r="O8" s="212"/>
      <c r="P8" s="225"/>
      <c r="Q8" s="223">
        <v>8</v>
      </c>
      <c r="R8" s="208">
        <v>4</v>
      </c>
      <c r="S8" s="223"/>
      <c r="T8" s="226"/>
      <c r="U8" s="226">
        <f>S8+R8+Q8+T8</f>
        <v>12</v>
      </c>
      <c r="W8" s="419"/>
    </row>
    <row r="9" spans="1:31" ht="14.4" thickTop="1" thickBot="1" x14ac:dyDescent="0.3">
      <c r="A9">
        <v>1986</v>
      </c>
      <c r="C9" s="243">
        <v>0</v>
      </c>
      <c r="D9" s="243">
        <v>0.27804076619033136</v>
      </c>
      <c r="E9" s="243">
        <v>0.41019124353906966</v>
      </c>
      <c r="F9" s="243">
        <v>0.28359407722712071</v>
      </c>
      <c r="G9" s="243">
        <v>2.8173913043478261E-2</v>
      </c>
      <c r="H9" s="243">
        <v>0</v>
      </c>
      <c r="K9" s="227" t="s">
        <v>209</v>
      </c>
      <c r="L9" s="228">
        <f>SUM(L7:L8)</f>
        <v>9</v>
      </c>
      <c r="M9" s="229">
        <f>SUM(M7:M8)</f>
        <v>3</v>
      </c>
      <c r="N9" s="420">
        <f>L9+M9</f>
        <v>12</v>
      </c>
      <c r="O9" s="230"/>
      <c r="P9" s="228"/>
      <c r="Q9" s="231">
        <f>Q7+Q8</f>
        <v>14</v>
      </c>
      <c r="R9" s="232">
        <f>R7+R8</f>
        <v>8</v>
      </c>
      <c r="S9" s="231"/>
      <c r="T9" s="233">
        <f>T7+T8</f>
        <v>2</v>
      </c>
      <c r="U9" s="422">
        <f>S9+R9+Q9+T9</f>
        <v>24</v>
      </c>
      <c r="W9" s="419"/>
      <c r="Y9" s="75"/>
      <c r="AE9" s="75"/>
    </row>
    <row r="10" spans="1:31" ht="14.4" thickTop="1" thickBot="1" x14ac:dyDescent="0.3">
      <c r="A10">
        <v>1987</v>
      </c>
      <c r="C10" s="243">
        <v>0</v>
      </c>
      <c r="D10" s="243">
        <v>0.27804076619033136</v>
      </c>
      <c r="E10" s="243">
        <v>0.41019124353906966</v>
      </c>
      <c r="F10" s="243">
        <v>0.28359407722712071</v>
      </c>
      <c r="G10" s="243">
        <v>2.8173913043478261E-2</v>
      </c>
      <c r="H10" s="243">
        <v>0</v>
      </c>
      <c r="K10" s="234" t="s">
        <v>210</v>
      </c>
      <c r="L10" s="235">
        <f>L9/N9</f>
        <v>0.75</v>
      </c>
      <c r="M10" s="236">
        <f>M9/N9</f>
        <v>0.25</v>
      </c>
      <c r="N10" s="421"/>
      <c r="O10" s="222"/>
      <c r="P10" s="234"/>
      <c r="Q10" s="237">
        <f>Q9/U9</f>
        <v>0.58333333333333337</v>
      </c>
      <c r="R10" s="238">
        <f>R9/U9</f>
        <v>0.33333333333333331</v>
      </c>
      <c r="S10" s="237"/>
      <c r="T10" s="239">
        <f>T9/U9</f>
        <v>8.3333333333333329E-2</v>
      </c>
      <c r="U10" s="421"/>
      <c r="V10" s="245">
        <f>(((L10*L6)+(M10*M6)))+((Q10*Q6)+(R10*R6)+(T10*R6))</f>
        <v>4.666666666666667</v>
      </c>
      <c r="W10" s="419"/>
      <c r="Y10" s="75"/>
    </row>
    <row r="11" spans="1:31" ht="13.8" thickTop="1" x14ac:dyDescent="0.25">
      <c r="A11">
        <v>1988</v>
      </c>
      <c r="C11" s="243">
        <v>0</v>
      </c>
      <c r="D11" s="243">
        <v>0.27804076619033136</v>
      </c>
      <c r="E11" s="243">
        <v>0.41019124353906966</v>
      </c>
      <c r="F11" s="243">
        <v>0.28359407722712071</v>
      </c>
      <c r="G11" s="243">
        <v>2.8173913043478261E-2</v>
      </c>
      <c r="H11" s="243">
        <v>0</v>
      </c>
      <c r="V11" s="245"/>
    </row>
    <row r="12" spans="1:31" ht="21.6" thickBot="1" x14ac:dyDescent="0.45">
      <c r="A12">
        <v>1989</v>
      </c>
      <c r="C12" s="243">
        <v>0</v>
      </c>
      <c r="D12" s="243">
        <v>0.27804076619033136</v>
      </c>
      <c r="E12" s="243">
        <v>0.41019124353906966</v>
      </c>
      <c r="F12" s="243">
        <v>0.28359407722712071</v>
      </c>
      <c r="G12" s="243">
        <v>2.8173913043478261E-2</v>
      </c>
      <c r="H12" s="243">
        <v>0</v>
      </c>
      <c r="K12" s="207">
        <v>2013</v>
      </c>
      <c r="L12" s="207"/>
      <c r="N12" s="77"/>
      <c r="O12" s="77"/>
      <c r="V12" s="245"/>
    </row>
    <row r="13" spans="1:31" ht="14.4" thickTop="1" thickBot="1" x14ac:dyDescent="0.3">
      <c r="A13">
        <v>1990</v>
      </c>
      <c r="C13" s="243">
        <v>0</v>
      </c>
      <c r="D13" s="243">
        <v>0.27804076619033136</v>
      </c>
      <c r="E13" s="243">
        <v>0.41019124353906966</v>
      </c>
      <c r="F13" s="243">
        <v>0.28359407722712071</v>
      </c>
      <c r="G13" s="243">
        <v>2.8173913043478261E-2</v>
      </c>
      <c r="H13" s="243">
        <v>0</v>
      </c>
      <c r="K13" s="423" t="s">
        <v>200</v>
      </c>
      <c r="L13" s="424" t="s">
        <v>201</v>
      </c>
      <c r="M13" s="425"/>
      <c r="N13" s="426"/>
      <c r="O13" s="208"/>
      <c r="P13" s="424" t="s">
        <v>202</v>
      </c>
      <c r="Q13" s="425"/>
      <c r="R13" s="425"/>
      <c r="S13" s="425"/>
      <c r="T13" s="426"/>
      <c r="U13" s="427" t="s">
        <v>203</v>
      </c>
      <c r="V13" s="245"/>
      <c r="W13" s="429" t="s">
        <v>204</v>
      </c>
    </row>
    <row r="14" spans="1:31" ht="14.4" thickTop="1" thickBot="1" x14ac:dyDescent="0.3">
      <c r="A14">
        <v>1991</v>
      </c>
      <c r="C14" s="243">
        <v>0</v>
      </c>
      <c r="D14" s="243">
        <v>0.27804076619033136</v>
      </c>
      <c r="E14" s="243">
        <v>0.41019124353906966</v>
      </c>
      <c r="F14" s="243">
        <v>0.28359407722712071</v>
      </c>
      <c r="G14" s="243">
        <v>2.8173913043478261E-2</v>
      </c>
      <c r="H14" s="243">
        <v>0</v>
      </c>
      <c r="K14" s="421"/>
      <c r="L14" s="209">
        <v>2</v>
      </c>
      <c r="M14" s="210">
        <v>3</v>
      </c>
      <c r="N14" s="211" t="s">
        <v>205</v>
      </c>
      <c r="O14" s="212"/>
      <c r="P14" s="209">
        <v>1</v>
      </c>
      <c r="Q14" s="210">
        <v>2</v>
      </c>
      <c r="R14" s="213">
        <v>3</v>
      </c>
      <c r="S14" s="210">
        <v>4</v>
      </c>
      <c r="T14" s="214" t="s">
        <v>206</v>
      </c>
      <c r="U14" s="433"/>
      <c r="V14" s="245"/>
      <c r="W14" s="429"/>
    </row>
    <row r="15" spans="1:31" ht="14.4" thickTop="1" thickBot="1" x14ac:dyDescent="0.3">
      <c r="A15">
        <v>1992</v>
      </c>
      <c r="C15" s="243">
        <v>0</v>
      </c>
      <c r="D15" s="243">
        <v>0.27804076619033136</v>
      </c>
      <c r="E15" s="243">
        <v>0.41019124353906966</v>
      </c>
      <c r="F15" s="243">
        <v>0.28359407722712071</v>
      </c>
      <c r="G15" s="243">
        <v>2.8173913043478261E-2</v>
      </c>
      <c r="H15" s="243">
        <v>0</v>
      </c>
      <c r="K15" s="215" t="s">
        <v>207</v>
      </c>
      <c r="L15" s="215">
        <v>2</v>
      </c>
      <c r="M15" s="216">
        <v>5</v>
      </c>
      <c r="N15" s="217">
        <f>L15+M15</f>
        <v>7</v>
      </c>
      <c r="O15" s="212"/>
      <c r="P15" s="218"/>
      <c r="Q15" s="216">
        <v>3</v>
      </c>
      <c r="R15" s="219">
        <v>11</v>
      </c>
      <c r="S15" s="216"/>
      <c r="T15" s="220">
        <v>4</v>
      </c>
      <c r="U15" s="221">
        <f>S15+R15+Q15+T15</f>
        <v>18</v>
      </c>
      <c r="V15" s="245"/>
      <c r="W15" s="419">
        <f>L18*L14+M18*M14+Q18*Q14+R18*R14+T18*S14</f>
        <v>5.7</v>
      </c>
    </row>
    <row r="16" spans="1:31" ht="14.4" thickTop="1" thickBot="1" x14ac:dyDescent="0.3">
      <c r="A16">
        <v>1993</v>
      </c>
      <c r="C16" s="243">
        <v>0</v>
      </c>
      <c r="D16" s="243">
        <v>0.27804076619033136</v>
      </c>
      <c r="E16" s="243">
        <v>0.41019124353906966</v>
      </c>
      <c r="F16" s="243">
        <v>0.28359407722712071</v>
      </c>
      <c r="G16" s="243">
        <v>2.8173913043478261E-2</v>
      </c>
      <c r="H16" s="243">
        <v>0</v>
      </c>
      <c r="K16" s="222" t="s">
        <v>208</v>
      </c>
      <c r="L16" s="222">
        <v>1</v>
      </c>
      <c r="M16" s="223">
        <v>2</v>
      </c>
      <c r="N16" s="224">
        <f>L16+M16</f>
        <v>3</v>
      </c>
      <c r="O16" s="212"/>
      <c r="P16" s="225"/>
      <c r="Q16" s="223">
        <v>1</v>
      </c>
      <c r="R16" s="208">
        <v>14</v>
      </c>
      <c r="S16" s="223">
        <v>1</v>
      </c>
      <c r="T16" s="226">
        <v>3</v>
      </c>
      <c r="U16" s="226">
        <f>S16+R16+Q16+T16</f>
        <v>19</v>
      </c>
      <c r="V16" s="245"/>
      <c r="W16" s="419"/>
    </row>
    <row r="17" spans="1:23" ht="14.4" thickTop="1" thickBot="1" x14ac:dyDescent="0.3">
      <c r="A17">
        <v>1994</v>
      </c>
      <c r="C17" s="243">
        <v>0</v>
      </c>
      <c r="D17" s="243">
        <v>0.27804076619033136</v>
      </c>
      <c r="E17" s="243">
        <v>0.41019124353906966</v>
      </c>
      <c r="F17" s="243">
        <v>0.28359407722712071</v>
      </c>
      <c r="G17" s="243">
        <v>2.8173913043478261E-2</v>
      </c>
      <c r="H17" s="243">
        <v>0</v>
      </c>
      <c r="K17" s="227" t="s">
        <v>209</v>
      </c>
      <c r="L17" s="228">
        <f>SUM(L15:L16)</f>
        <v>3</v>
      </c>
      <c r="M17" s="229">
        <f>SUM(M15:M16)</f>
        <v>7</v>
      </c>
      <c r="N17" s="420">
        <f>L17+M17</f>
        <v>10</v>
      </c>
      <c r="O17" s="230"/>
      <c r="P17" s="228"/>
      <c r="Q17" s="231">
        <f>Q15+Q16</f>
        <v>4</v>
      </c>
      <c r="R17" s="232">
        <f>R15+R16</f>
        <v>25</v>
      </c>
      <c r="S17" s="231">
        <v>1</v>
      </c>
      <c r="T17" s="233">
        <f>T15+T16</f>
        <v>7</v>
      </c>
      <c r="U17" s="422">
        <f>S17+R17+Q17+T17</f>
        <v>37</v>
      </c>
      <c r="V17" s="245"/>
      <c r="W17" s="419"/>
    </row>
    <row r="18" spans="1:23" ht="14.4" thickTop="1" thickBot="1" x14ac:dyDescent="0.3">
      <c r="A18">
        <v>1995</v>
      </c>
      <c r="C18" s="243">
        <v>0</v>
      </c>
      <c r="D18" s="243">
        <v>0.27804076619033136</v>
      </c>
      <c r="E18" s="243">
        <v>0.41019124353906966</v>
      </c>
      <c r="F18" s="243">
        <v>0.28359407722712071</v>
      </c>
      <c r="G18" s="243">
        <v>2.8173913043478261E-2</v>
      </c>
      <c r="H18" s="243">
        <v>0</v>
      </c>
      <c r="K18" s="234" t="s">
        <v>210</v>
      </c>
      <c r="L18" s="235">
        <f>L17/N17</f>
        <v>0.3</v>
      </c>
      <c r="M18" s="236">
        <f>M17/N17</f>
        <v>0.7</v>
      </c>
      <c r="N18" s="421"/>
      <c r="O18" s="222"/>
      <c r="P18" s="234"/>
      <c r="Q18" s="237">
        <f>Q17/U17</f>
        <v>0.10810810810810811</v>
      </c>
      <c r="R18" s="238">
        <f>R17/U17</f>
        <v>0.67567567567567566</v>
      </c>
      <c r="S18" s="240">
        <f>S17/U17</f>
        <v>2.7027027027027029E-2</v>
      </c>
      <c r="T18" s="239">
        <f>T17/U17</f>
        <v>0.1891891891891892</v>
      </c>
      <c r="U18" s="421"/>
      <c r="V18" s="245">
        <f>(((L18*L14)+(M18*M14)))+((Q18*Q14)+(R18*R14)+(T18*R14)+S18*S14)</f>
        <v>5.6189189189189186</v>
      </c>
      <c r="W18" s="419"/>
    </row>
    <row r="19" spans="1:23" ht="13.8" thickTop="1" x14ac:dyDescent="0.25">
      <c r="A19">
        <v>1996</v>
      </c>
      <c r="C19" s="243">
        <v>0</v>
      </c>
      <c r="D19" s="243">
        <v>0.27804076619033136</v>
      </c>
      <c r="E19" s="243">
        <v>0.41019124353906966</v>
      </c>
      <c r="F19" s="243">
        <v>0.28359407722712071</v>
      </c>
      <c r="G19" s="243">
        <v>2.8173913043478261E-2</v>
      </c>
      <c r="H19" s="243">
        <v>0</v>
      </c>
      <c r="V19" s="245"/>
    </row>
    <row r="20" spans="1:23" ht="21.6" thickBot="1" x14ac:dyDescent="0.45">
      <c r="A20">
        <v>1997</v>
      </c>
      <c r="C20" s="243">
        <v>0</v>
      </c>
      <c r="D20" s="243">
        <v>0.27804076619033136</v>
      </c>
      <c r="E20" s="243">
        <v>0.41019124353906966</v>
      </c>
      <c r="F20" s="243">
        <v>0.28359407722712071</v>
      </c>
      <c r="G20" s="243">
        <v>2.8173913043478261E-2</v>
      </c>
      <c r="H20" s="243">
        <v>0</v>
      </c>
      <c r="K20" s="207">
        <v>2014</v>
      </c>
      <c r="L20" s="207"/>
      <c r="N20" s="77"/>
      <c r="O20" s="77"/>
      <c r="V20" s="245"/>
    </row>
    <row r="21" spans="1:23" ht="14.4" thickTop="1" thickBot="1" x14ac:dyDescent="0.3">
      <c r="A21">
        <v>1998</v>
      </c>
      <c r="C21" s="243">
        <v>0</v>
      </c>
      <c r="D21" s="243">
        <v>0.27804076619033136</v>
      </c>
      <c r="E21" s="243">
        <v>0.41019124353906966</v>
      </c>
      <c r="F21" s="243">
        <v>0.28359407722712071</v>
      </c>
      <c r="G21" s="243">
        <v>2.8173913043478261E-2</v>
      </c>
      <c r="H21" s="243">
        <v>0</v>
      </c>
      <c r="K21" s="423" t="s">
        <v>200</v>
      </c>
      <c r="L21" s="424" t="s">
        <v>201</v>
      </c>
      <c r="M21" s="425"/>
      <c r="N21" s="426"/>
      <c r="O21" s="208"/>
      <c r="P21" s="424" t="s">
        <v>202</v>
      </c>
      <c r="Q21" s="425"/>
      <c r="R21" s="425"/>
      <c r="S21" s="425"/>
      <c r="T21" s="426"/>
      <c r="U21" s="427" t="s">
        <v>203</v>
      </c>
      <c r="V21" s="245"/>
      <c r="W21" s="429" t="s">
        <v>204</v>
      </c>
    </row>
    <row r="22" spans="1:23" ht="14.4" thickTop="1" thickBot="1" x14ac:dyDescent="0.3">
      <c r="A22">
        <v>1999</v>
      </c>
      <c r="C22" s="243">
        <v>0</v>
      </c>
      <c r="D22" s="243">
        <v>0.27804076619033136</v>
      </c>
      <c r="E22" s="243">
        <v>0.41019124353906966</v>
      </c>
      <c r="F22" s="243">
        <v>0.28359407722712071</v>
      </c>
      <c r="G22" s="243">
        <v>2.8173913043478261E-2</v>
      </c>
      <c r="H22" s="243">
        <v>0</v>
      </c>
      <c r="K22" s="421"/>
      <c r="L22" s="209">
        <v>2</v>
      </c>
      <c r="M22" s="210">
        <v>3</v>
      </c>
      <c r="N22" s="211" t="s">
        <v>205</v>
      </c>
      <c r="O22" s="212"/>
      <c r="P22" s="209">
        <v>1</v>
      </c>
      <c r="Q22" s="210">
        <v>2</v>
      </c>
      <c r="R22" s="213">
        <v>3</v>
      </c>
      <c r="S22" s="210">
        <v>4</v>
      </c>
      <c r="T22" s="214" t="s">
        <v>206</v>
      </c>
      <c r="U22" s="428"/>
      <c r="V22" s="245"/>
      <c r="W22" s="429"/>
    </row>
    <row r="23" spans="1:23" ht="14.4" thickTop="1" thickBot="1" x14ac:dyDescent="0.3">
      <c r="A23">
        <v>2000</v>
      </c>
      <c r="C23" s="243">
        <v>0</v>
      </c>
      <c r="D23" s="243">
        <v>0.27804076619033136</v>
      </c>
      <c r="E23" s="243">
        <v>0.41019124353906966</v>
      </c>
      <c r="F23" s="243">
        <v>0.28359407722712071</v>
      </c>
      <c r="G23" s="243">
        <v>2.8173913043478261E-2</v>
      </c>
      <c r="H23" s="243">
        <v>0</v>
      </c>
      <c r="K23" s="215" t="s">
        <v>207</v>
      </c>
      <c r="L23" s="215">
        <v>7</v>
      </c>
      <c r="M23" s="216">
        <v>5</v>
      </c>
      <c r="N23" s="217">
        <f>L23+M23</f>
        <v>12</v>
      </c>
      <c r="O23" s="212"/>
      <c r="P23" s="218"/>
      <c r="Q23" s="216">
        <v>11</v>
      </c>
      <c r="R23" s="219">
        <v>5</v>
      </c>
      <c r="S23" s="216"/>
      <c r="T23" s="220">
        <v>3</v>
      </c>
      <c r="U23" s="220">
        <f>S23+R23+Q23+T23</f>
        <v>19</v>
      </c>
      <c r="V23" s="245"/>
      <c r="W23" s="419">
        <f>L26*L22+M26*M22+Q26*Q22+R26*R22+T26*S22</f>
        <v>4.9610389610389607</v>
      </c>
    </row>
    <row r="24" spans="1:23" ht="14.4" thickTop="1" thickBot="1" x14ac:dyDescent="0.3">
      <c r="A24">
        <v>2001</v>
      </c>
      <c r="C24" s="243">
        <v>0</v>
      </c>
      <c r="D24" s="243">
        <v>0.27804076619033136</v>
      </c>
      <c r="E24" s="243">
        <v>0.41019124353906966</v>
      </c>
      <c r="F24" s="243">
        <v>0.28359407722712071</v>
      </c>
      <c r="G24" s="243">
        <v>2.8173913043478261E-2</v>
      </c>
      <c r="H24" s="243">
        <v>0</v>
      </c>
      <c r="K24" s="222" t="s">
        <v>208</v>
      </c>
      <c r="L24" s="222">
        <v>4</v>
      </c>
      <c r="M24" s="223">
        <v>5</v>
      </c>
      <c r="N24" s="224">
        <f>L24+M24</f>
        <v>9</v>
      </c>
      <c r="O24" s="212"/>
      <c r="P24" s="225"/>
      <c r="Q24" s="223">
        <v>10</v>
      </c>
      <c r="R24" s="208">
        <v>3</v>
      </c>
      <c r="S24" s="223"/>
      <c r="T24" s="226">
        <v>1</v>
      </c>
      <c r="U24" s="226">
        <f>S24+R24+Q24+T24</f>
        <v>14</v>
      </c>
      <c r="V24" s="245"/>
      <c r="W24" s="419"/>
    </row>
    <row r="25" spans="1:23" ht="14.4" thickTop="1" thickBot="1" x14ac:dyDescent="0.3">
      <c r="A25">
        <v>2002</v>
      </c>
      <c r="C25" s="243">
        <v>0</v>
      </c>
      <c r="D25" s="243">
        <v>0.27804076619033136</v>
      </c>
      <c r="E25" s="243">
        <v>0.41019124353906966</v>
      </c>
      <c r="F25" s="243">
        <v>0.28359407722712071</v>
      </c>
      <c r="G25" s="243">
        <v>2.8173913043478261E-2</v>
      </c>
      <c r="H25" s="243">
        <v>0</v>
      </c>
      <c r="K25" s="227" t="s">
        <v>209</v>
      </c>
      <c r="L25" s="228">
        <f>SUM(L23:L24)</f>
        <v>11</v>
      </c>
      <c r="M25" s="229">
        <f>SUM(M23:M24)</f>
        <v>10</v>
      </c>
      <c r="N25" s="420">
        <f>L25+M25</f>
        <v>21</v>
      </c>
      <c r="O25" s="230"/>
      <c r="P25" s="228"/>
      <c r="Q25" s="231">
        <f>Q23+Q24</f>
        <v>21</v>
      </c>
      <c r="R25" s="232">
        <f>R23+R24</f>
        <v>8</v>
      </c>
      <c r="S25" s="231"/>
      <c r="T25" s="233">
        <f>T23+T24</f>
        <v>4</v>
      </c>
      <c r="U25" s="422">
        <f>S25+R25+Q25+T25</f>
        <v>33</v>
      </c>
      <c r="V25" s="245"/>
      <c r="W25" s="419"/>
    </row>
    <row r="26" spans="1:23" ht="14.4" thickTop="1" thickBot="1" x14ac:dyDescent="0.3">
      <c r="A26">
        <v>2003</v>
      </c>
      <c r="C26" s="243">
        <v>0</v>
      </c>
      <c r="D26" s="243">
        <v>0.27804076619033136</v>
      </c>
      <c r="E26" s="243">
        <v>0.41019124353906966</v>
      </c>
      <c r="F26" s="243">
        <v>0.28359407722712071</v>
      </c>
      <c r="G26" s="243">
        <v>2.8173913043478261E-2</v>
      </c>
      <c r="H26" s="243">
        <v>0</v>
      </c>
      <c r="K26" s="234" t="s">
        <v>210</v>
      </c>
      <c r="L26" s="235">
        <f>L25/N25</f>
        <v>0.52380952380952384</v>
      </c>
      <c r="M26" s="236">
        <f>M25/N25</f>
        <v>0.47619047619047616</v>
      </c>
      <c r="N26" s="421"/>
      <c r="O26" s="222"/>
      <c r="P26" s="234"/>
      <c r="Q26" s="237">
        <f>Q25/U25</f>
        <v>0.63636363636363635</v>
      </c>
      <c r="R26" s="238">
        <f>R25/U25</f>
        <v>0.24242424242424243</v>
      </c>
      <c r="S26" s="237"/>
      <c r="T26" s="239">
        <f>T25/U25</f>
        <v>0.12121212121212122</v>
      </c>
      <c r="U26" s="421"/>
      <c r="V26" s="245">
        <f>(((L26*L22)+(M26*M22)))+((Q26*Q22)+(R26*R22)+(T26*R22))</f>
        <v>4.8398268398268396</v>
      </c>
      <c r="W26" s="419"/>
    </row>
    <row r="27" spans="1:23" ht="13.8" thickTop="1" x14ac:dyDescent="0.25">
      <c r="A27">
        <v>2004</v>
      </c>
      <c r="C27" s="243">
        <v>0</v>
      </c>
      <c r="D27" s="243">
        <v>0.27804076619033136</v>
      </c>
      <c r="E27" s="243">
        <v>0.41019124353906966</v>
      </c>
      <c r="F27" s="243">
        <v>0.28359407722712071</v>
      </c>
      <c r="G27" s="243">
        <v>2.8173913043478261E-2</v>
      </c>
      <c r="H27" s="243">
        <v>0</v>
      </c>
      <c r="V27" s="245"/>
    </row>
    <row r="28" spans="1:23" ht="21.6" thickBot="1" x14ac:dyDescent="0.45">
      <c r="A28">
        <v>2005</v>
      </c>
      <c r="C28" s="243">
        <v>0</v>
      </c>
      <c r="D28" s="243">
        <v>0.27804076619033136</v>
      </c>
      <c r="E28" s="243">
        <v>0.41019124353906966</v>
      </c>
      <c r="F28" s="243">
        <v>0.28359407722712071</v>
      </c>
      <c r="G28" s="243">
        <v>2.8173913043478261E-2</v>
      </c>
      <c r="H28" s="243">
        <v>0</v>
      </c>
      <c r="K28" s="207">
        <v>2015</v>
      </c>
      <c r="L28" s="207"/>
      <c r="N28" s="77"/>
      <c r="O28" s="77"/>
      <c r="V28" s="245"/>
    </row>
    <row r="29" spans="1:23" ht="14.4" thickTop="1" thickBot="1" x14ac:dyDescent="0.3">
      <c r="A29">
        <v>2006</v>
      </c>
      <c r="C29" s="243">
        <v>0</v>
      </c>
      <c r="D29" s="243">
        <v>0.27804076619033136</v>
      </c>
      <c r="E29" s="243">
        <v>0.41019124353906966</v>
      </c>
      <c r="F29" s="243">
        <v>0.28359407722712071</v>
      </c>
      <c r="G29" s="243">
        <v>2.8173913043478261E-2</v>
      </c>
      <c r="H29" s="243">
        <v>0</v>
      </c>
      <c r="K29" s="423" t="s">
        <v>200</v>
      </c>
      <c r="L29" s="424" t="s">
        <v>201</v>
      </c>
      <c r="M29" s="425"/>
      <c r="N29" s="426"/>
      <c r="O29" s="208"/>
      <c r="P29" s="424" t="s">
        <v>202</v>
      </c>
      <c r="Q29" s="425"/>
      <c r="R29" s="425"/>
      <c r="S29" s="425"/>
      <c r="T29" s="426"/>
      <c r="U29" s="427" t="s">
        <v>203</v>
      </c>
      <c r="V29" s="245"/>
      <c r="W29" s="429" t="s">
        <v>204</v>
      </c>
    </row>
    <row r="30" spans="1:23" ht="14.4" thickTop="1" thickBot="1" x14ac:dyDescent="0.3">
      <c r="A30">
        <v>2007</v>
      </c>
      <c r="C30" s="243">
        <v>0</v>
      </c>
      <c r="D30" s="243">
        <v>0.27804076619033136</v>
      </c>
      <c r="E30" s="243">
        <v>0.41019124353906966</v>
      </c>
      <c r="F30" s="243">
        <v>0.28359407722712071</v>
      </c>
      <c r="G30" s="243">
        <v>2.8173913043478261E-2</v>
      </c>
      <c r="H30" s="243">
        <v>0</v>
      </c>
      <c r="K30" s="421"/>
      <c r="L30" s="209">
        <v>2</v>
      </c>
      <c r="M30" s="210">
        <v>3</v>
      </c>
      <c r="N30" s="211" t="s">
        <v>205</v>
      </c>
      <c r="O30" s="212"/>
      <c r="P30" s="209">
        <v>1</v>
      </c>
      <c r="Q30" s="210">
        <v>2</v>
      </c>
      <c r="R30" s="213">
        <v>3</v>
      </c>
      <c r="S30" s="210">
        <v>4</v>
      </c>
      <c r="T30" s="214" t="s">
        <v>206</v>
      </c>
      <c r="U30" s="428"/>
      <c r="V30" s="245"/>
      <c r="W30" s="429"/>
    </row>
    <row r="31" spans="1:23" ht="13.8" thickTop="1" x14ac:dyDescent="0.25">
      <c r="A31">
        <v>2008</v>
      </c>
      <c r="C31" s="243">
        <v>0</v>
      </c>
      <c r="D31" s="243">
        <v>0.27804076619033136</v>
      </c>
      <c r="E31" s="243">
        <v>0.41019124353906966</v>
      </c>
      <c r="F31" s="243">
        <v>0.28359407722712071</v>
      </c>
      <c r="G31" s="243">
        <v>2.8173913043478261E-2</v>
      </c>
      <c r="H31" s="243">
        <v>0</v>
      </c>
      <c r="K31" s="215" t="s">
        <v>207</v>
      </c>
      <c r="L31" s="215">
        <v>11</v>
      </c>
      <c r="M31" s="216">
        <v>2</v>
      </c>
      <c r="N31" s="217">
        <f>L31+M31</f>
        <v>13</v>
      </c>
      <c r="O31" s="212"/>
      <c r="P31" s="218"/>
      <c r="Q31" s="216">
        <v>8</v>
      </c>
      <c r="R31" s="219">
        <v>8</v>
      </c>
      <c r="S31" s="216"/>
      <c r="T31" s="220">
        <v>1</v>
      </c>
      <c r="U31" s="220">
        <f>S31+R31+Q31+T31</f>
        <v>17</v>
      </c>
      <c r="V31" s="245"/>
      <c r="W31" s="430">
        <f>L34*L30+M34*M30+Q34*Q30+R34*R30+T34*S30</f>
        <v>4.7335423197492155</v>
      </c>
    </row>
    <row r="32" spans="1:23" ht="13.8" thickBot="1" x14ac:dyDescent="0.3">
      <c r="A32">
        <v>2009</v>
      </c>
      <c r="C32" s="243">
        <v>0</v>
      </c>
      <c r="D32" s="243">
        <v>0.27804076619033136</v>
      </c>
      <c r="E32" s="243">
        <v>0.41019124353906966</v>
      </c>
      <c r="F32" s="243">
        <v>0.28359407722712071</v>
      </c>
      <c r="G32" s="243">
        <v>2.8173913043478261E-2</v>
      </c>
      <c r="H32" s="243">
        <v>0</v>
      </c>
      <c r="K32" s="222" t="s">
        <v>208</v>
      </c>
      <c r="L32" s="222">
        <v>7</v>
      </c>
      <c r="M32" s="223">
        <v>2</v>
      </c>
      <c r="N32" s="224">
        <f>L32+M32</f>
        <v>9</v>
      </c>
      <c r="O32" s="212"/>
      <c r="P32" s="225"/>
      <c r="Q32" s="223">
        <v>7</v>
      </c>
      <c r="R32" s="208">
        <v>4</v>
      </c>
      <c r="S32" s="223"/>
      <c r="T32" s="226">
        <v>1</v>
      </c>
      <c r="U32" s="226">
        <f>S32+R32+Q32+T32</f>
        <v>12</v>
      </c>
      <c r="V32" s="245"/>
      <c r="W32" s="431"/>
    </row>
    <row r="33" spans="1:23" ht="14.4" thickTop="1" thickBot="1" x14ac:dyDescent="0.3">
      <c r="A33">
        <v>2010</v>
      </c>
      <c r="C33" s="243">
        <v>0</v>
      </c>
      <c r="D33" s="243">
        <v>0.27804076619033136</v>
      </c>
      <c r="E33" s="243">
        <v>0.41019124353906966</v>
      </c>
      <c r="F33" s="243">
        <v>0.28359407722712071</v>
      </c>
      <c r="G33" s="243">
        <v>2.8173913043478261E-2</v>
      </c>
      <c r="H33" s="243">
        <v>0</v>
      </c>
      <c r="K33" s="227" t="s">
        <v>209</v>
      </c>
      <c r="L33" s="228">
        <f>SUM(L31:L32)</f>
        <v>18</v>
      </c>
      <c r="M33" s="229">
        <f>SUM(M31:M32)</f>
        <v>4</v>
      </c>
      <c r="N33" s="420">
        <f>L33+M33</f>
        <v>22</v>
      </c>
      <c r="O33" s="230"/>
      <c r="P33" s="228"/>
      <c r="Q33" s="231">
        <f>Q31+Q32</f>
        <v>15</v>
      </c>
      <c r="R33" s="232">
        <f>R31+R32</f>
        <v>12</v>
      </c>
      <c r="S33" s="231"/>
      <c r="T33" s="233">
        <f>T31+T32</f>
        <v>2</v>
      </c>
      <c r="U33" s="422">
        <f>S33+R33+Q33+T33</f>
        <v>29</v>
      </c>
      <c r="V33" s="245"/>
      <c r="W33" s="431"/>
    </row>
    <row r="34" spans="1:23" ht="14.4" thickTop="1" thickBot="1" x14ac:dyDescent="0.3">
      <c r="A34">
        <v>2011</v>
      </c>
      <c r="C34" s="243">
        <v>0</v>
      </c>
      <c r="D34" s="243">
        <v>0.27804076619033136</v>
      </c>
      <c r="E34" s="243">
        <v>0.41019124353906966</v>
      </c>
      <c r="F34" s="243">
        <v>0.28359407722712071</v>
      </c>
      <c r="G34" s="243">
        <v>2.8173913043478261E-2</v>
      </c>
      <c r="H34" s="243">
        <v>0</v>
      </c>
      <c r="K34" s="234" t="s">
        <v>210</v>
      </c>
      <c r="L34" s="235">
        <f>L33/N33</f>
        <v>0.81818181818181823</v>
      </c>
      <c r="M34" s="236">
        <f>M33/N33</f>
        <v>0.18181818181818182</v>
      </c>
      <c r="N34" s="421"/>
      <c r="O34" s="222"/>
      <c r="P34" s="234"/>
      <c r="Q34" s="237">
        <f>Q33/U33</f>
        <v>0.51724137931034486</v>
      </c>
      <c r="R34" s="238">
        <f>R33/U33</f>
        <v>0.41379310344827586</v>
      </c>
      <c r="S34" s="237"/>
      <c r="T34" s="239">
        <f>T33/U33</f>
        <v>6.8965517241379309E-2</v>
      </c>
      <c r="U34" s="421"/>
      <c r="V34" s="245">
        <f>(((L34*L30)+(M34*M30)))+((Q34*Q30)+(R34*R30)+(T34*R30))</f>
        <v>4.6645768025078365</v>
      </c>
      <c r="W34" s="432"/>
    </row>
    <row r="35" spans="1:23" ht="13.8" thickTop="1" x14ac:dyDescent="0.25">
      <c r="A35">
        <v>2012</v>
      </c>
      <c r="C35" s="242">
        <v>0</v>
      </c>
      <c r="D35" s="242">
        <f>7/13</f>
        <v>0.53846153846153844</v>
      </c>
      <c r="E35" s="242">
        <f>4.5/13</f>
        <v>0.34615384615384615</v>
      </c>
      <c r="F35" s="242">
        <f>1.5/13</f>
        <v>0.11538461538461539</v>
      </c>
      <c r="G35" s="242">
        <v>0</v>
      </c>
      <c r="H35" s="242">
        <v>0</v>
      </c>
      <c r="V35" s="245"/>
    </row>
    <row r="36" spans="1:23" ht="21.6" thickBot="1" x14ac:dyDescent="0.45">
      <c r="A36">
        <v>2013</v>
      </c>
      <c r="C36" s="242">
        <v>0</v>
      </c>
      <c r="D36" s="242">
        <v>0</v>
      </c>
      <c r="E36" s="242">
        <v>0.13</v>
      </c>
      <c r="F36" s="242">
        <v>0.75</v>
      </c>
      <c r="G36" s="242">
        <v>0.12</v>
      </c>
      <c r="H36" s="242">
        <v>0</v>
      </c>
      <c r="K36" s="207">
        <v>2016</v>
      </c>
      <c r="L36" s="207"/>
      <c r="N36" s="77"/>
      <c r="O36" s="77"/>
      <c r="V36" s="245"/>
    </row>
    <row r="37" spans="1:23" ht="14.4" thickTop="1" thickBot="1" x14ac:dyDescent="0.3">
      <c r="A37">
        <v>2014</v>
      </c>
      <c r="C37" s="242">
        <v>0</v>
      </c>
      <c r="D37" s="242">
        <f>6/23</f>
        <v>0.2608695652173913</v>
      </c>
      <c r="E37" s="242">
        <f>12.52/23</f>
        <v>0.54434782608695653</v>
      </c>
      <c r="F37" s="242">
        <f>4/23</f>
        <v>0.17391304347826086</v>
      </c>
      <c r="G37" s="242">
        <f>0.48/23</f>
        <v>2.0869565217391303E-2</v>
      </c>
      <c r="H37" s="242">
        <v>0</v>
      </c>
      <c r="K37" s="423" t="s">
        <v>200</v>
      </c>
      <c r="L37" s="424" t="s">
        <v>201</v>
      </c>
      <c r="M37" s="425"/>
      <c r="N37" s="426"/>
      <c r="O37" s="208"/>
      <c r="P37" s="424" t="s">
        <v>202</v>
      </c>
      <c r="Q37" s="425"/>
      <c r="R37" s="425"/>
      <c r="S37" s="425"/>
      <c r="T37" s="426"/>
      <c r="U37" s="427" t="s">
        <v>203</v>
      </c>
      <c r="V37" s="245"/>
      <c r="W37" s="429" t="s">
        <v>204</v>
      </c>
    </row>
    <row r="38" spans="1:23" ht="14.4" thickTop="1" thickBot="1" x14ac:dyDescent="0.3">
      <c r="A38">
        <v>2015</v>
      </c>
      <c r="C38" s="242">
        <v>0</v>
      </c>
      <c r="D38" s="242">
        <v>0.36359999999999998</v>
      </c>
      <c r="E38" s="242">
        <v>0.5</v>
      </c>
      <c r="F38" s="242">
        <v>0.13639999999999999</v>
      </c>
      <c r="G38" s="242">
        <v>0</v>
      </c>
      <c r="H38" s="242">
        <v>0</v>
      </c>
      <c r="K38" s="421"/>
      <c r="L38" s="209">
        <v>2</v>
      </c>
      <c r="M38" s="210">
        <v>3</v>
      </c>
      <c r="N38" s="211" t="s">
        <v>205</v>
      </c>
      <c r="O38" s="212"/>
      <c r="P38" s="209">
        <v>1</v>
      </c>
      <c r="Q38" s="210">
        <v>2</v>
      </c>
      <c r="R38" s="213">
        <v>3</v>
      </c>
      <c r="S38" s="210">
        <v>4</v>
      </c>
      <c r="T38" s="214" t="s">
        <v>206</v>
      </c>
      <c r="U38" s="428"/>
      <c r="V38" s="245"/>
      <c r="W38" s="429"/>
    </row>
    <row r="39" spans="1:23" ht="14.4" thickTop="1" thickBot="1" x14ac:dyDescent="0.3">
      <c r="A39">
        <v>2016</v>
      </c>
      <c r="C39" s="242">
        <v>0</v>
      </c>
      <c r="D39" s="242">
        <f>5/22</f>
        <v>0.22727272727272727</v>
      </c>
      <c r="E39" s="242">
        <f>11.67/22</f>
        <v>0.5304545454545454</v>
      </c>
      <c r="F39" s="242">
        <f>5.33/22</f>
        <v>0.24227272727272728</v>
      </c>
      <c r="G39" s="242">
        <v>0</v>
      </c>
      <c r="H39" s="242">
        <v>0</v>
      </c>
      <c r="K39" s="215" t="s">
        <v>207</v>
      </c>
      <c r="L39" s="215">
        <v>6</v>
      </c>
      <c r="M39" s="216">
        <v>5</v>
      </c>
      <c r="N39" s="217">
        <f>L39+M39</f>
        <v>11</v>
      </c>
      <c r="O39" s="212"/>
      <c r="P39" s="218"/>
      <c r="Q39" s="216">
        <v>5</v>
      </c>
      <c r="R39" s="219">
        <v>6</v>
      </c>
      <c r="S39" s="216"/>
      <c r="T39" s="220">
        <v>4</v>
      </c>
      <c r="U39" s="220">
        <f>S39+R39+Q39+T39</f>
        <v>15</v>
      </c>
      <c r="V39" s="245"/>
      <c r="W39" s="419">
        <f>L42*L38+M42*M38+Q42*Q38+R42*R38+T42*S38</f>
        <v>5.0740740740740735</v>
      </c>
    </row>
    <row r="40" spans="1:23" ht="14.4" thickTop="1" thickBot="1" x14ac:dyDescent="0.3">
      <c r="C40" s="244"/>
      <c r="D40" s="244"/>
      <c r="E40" s="244"/>
      <c r="F40" s="244"/>
      <c r="G40" s="244"/>
      <c r="H40" s="244"/>
      <c r="K40" s="222" t="s">
        <v>208</v>
      </c>
      <c r="L40" s="222">
        <v>8</v>
      </c>
      <c r="M40" s="223">
        <v>2</v>
      </c>
      <c r="N40" s="224">
        <f>L40+M40</f>
        <v>10</v>
      </c>
      <c r="O40" s="212"/>
      <c r="P40" s="225"/>
      <c r="Q40" s="223">
        <v>6</v>
      </c>
      <c r="R40" s="208">
        <v>6</v>
      </c>
      <c r="S40" s="223"/>
      <c r="T40" s="226">
        <v>0</v>
      </c>
      <c r="U40" s="226">
        <f>S40+R40+Q40+T40</f>
        <v>12</v>
      </c>
      <c r="V40" s="245"/>
      <c r="W40" s="419"/>
    </row>
    <row r="41" spans="1:23" ht="14.4" thickTop="1" thickBot="1" x14ac:dyDescent="0.3">
      <c r="C41" s="125" t="s">
        <v>213</v>
      </c>
      <c r="D41" s="125"/>
      <c r="E41" s="125"/>
      <c r="F41" s="125"/>
      <c r="G41" s="125"/>
      <c r="H41" s="125"/>
      <c r="K41" s="227" t="s">
        <v>209</v>
      </c>
      <c r="L41" s="228">
        <f>SUM(L39:L40)</f>
        <v>14</v>
      </c>
      <c r="M41" s="229">
        <f>SUM(M39:M40)</f>
        <v>7</v>
      </c>
      <c r="N41" s="420">
        <f>L41+M41</f>
        <v>21</v>
      </c>
      <c r="O41" s="230"/>
      <c r="P41" s="228"/>
      <c r="Q41" s="231">
        <f>Q39+Q40</f>
        <v>11</v>
      </c>
      <c r="R41" s="232">
        <f>R39+R40</f>
        <v>12</v>
      </c>
      <c r="S41" s="231"/>
      <c r="T41" s="233">
        <f>T39+T40</f>
        <v>4</v>
      </c>
      <c r="U41" s="422">
        <f>S41+R41+Q41+T41</f>
        <v>27</v>
      </c>
      <c r="V41" s="245"/>
      <c r="W41" s="419"/>
    </row>
    <row r="42" spans="1:23" ht="14.4" thickTop="1" thickBot="1" x14ac:dyDescent="0.3">
      <c r="C42" s="75" t="s">
        <v>214</v>
      </c>
      <c r="K42" s="234" t="s">
        <v>210</v>
      </c>
      <c r="L42" s="235">
        <f>L41/N41</f>
        <v>0.66666666666666663</v>
      </c>
      <c r="M42" s="236">
        <f>M41/N41</f>
        <v>0.33333333333333331</v>
      </c>
      <c r="N42" s="421"/>
      <c r="O42" s="222"/>
      <c r="P42" s="234"/>
      <c r="Q42" s="237">
        <f>Q41/U41</f>
        <v>0.40740740740740738</v>
      </c>
      <c r="R42" s="238">
        <f>R41/U41</f>
        <v>0.44444444444444442</v>
      </c>
      <c r="S42" s="237"/>
      <c r="T42" s="239">
        <f>T41/U41</f>
        <v>0.14814814814814814</v>
      </c>
      <c r="U42" s="421"/>
      <c r="V42" s="245">
        <f>(((L42*L38)+(M42*M38)))+((Q42*Q38)+(R42*R38)+(T42*R38))</f>
        <v>4.9259259259259256</v>
      </c>
      <c r="W42" s="419"/>
    </row>
    <row r="43" spans="1:23" ht="13.8" thickTop="1" x14ac:dyDescent="0.25">
      <c r="C43" s="75" t="s">
        <v>215</v>
      </c>
      <c r="V43" s="61"/>
    </row>
    <row r="44" spans="1:23" ht="21.6" thickBot="1" x14ac:dyDescent="0.3">
      <c r="K44" s="241" t="s">
        <v>211</v>
      </c>
      <c r="V44" s="61"/>
    </row>
    <row r="45" spans="1:23" ht="14.4" thickTop="1" thickBot="1" x14ac:dyDescent="0.3">
      <c r="K45" s="423" t="s">
        <v>200</v>
      </c>
      <c r="L45" s="424" t="s">
        <v>201</v>
      </c>
      <c r="M45" s="425"/>
      <c r="N45" s="426"/>
      <c r="O45" s="208"/>
      <c r="P45" s="424" t="s">
        <v>202</v>
      </c>
      <c r="Q45" s="425"/>
      <c r="R45" s="425"/>
      <c r="S45" s="425"/>
      <c r="T45" s="426"/>
      <c r="U45" s="427" t="s">
        <v>203</v>
      </c>
      <c r="V45" s="61"/>
      <c r="W45" s="429" t="s">
        <v>204</v>
      </c>
    </row>
    <row r="46" spans="1:23" ht="14.4" thickTop="1" thickBot="1" x14ac:dyDescent="0.3">
      <c r="K46" s="421"/>
      <c r="L46" s="209">
        <v>2</v>
      </c>
      <c r="M46" s="210">
        <v>3</v>
      </c>
      <c r="N46" s="211" t="s">
        <v>205</v>
      </c>
      <c r="O46" s="212"/>
      <c r="P46" s="209">
        <v>1</v>
      </c>
      <c r="Q46" s="210">
        <v>2</v>
      </c>
      <c r="R46" s="213">
        <v>3</v>
      </c>
      <c r="S46" s="210">
        <v>4</v>
      </c>
      <c r="T46" s="214" t="s">
        <v>206</v>
      </c>
      <c r="U46" s="428"/>
      <c r="V46" s="61"/>
      <c r="W46" s="429"/>
    </row>
    <row r="47" spans="1:23" ht="14.4" thickTop="1" thickBot="1" x14ac:dyDescent="0.3">
      <c r="K47" s="215" t="s">
        <v>207</v>
      </c>
      <c r="L47" s="215">
        <f>SUM(L7,L23,L15,L7)</f>
        <v>19</v>
      </c>
      <c r="M47" s="216">
        <f>SUM(M7,M23,M15,M7)</f>
        <v>12</v>
      </c>
      <c r="N47" s="217">
        <f>SUM(N7,N23,N15,N7)</f>
        <v>31</v>
      </c>
      <c r="O47" s="212"/>
      <c r="P47" s="218"/>
      <c r="Q47" s="216">
        <f>SUM(Q7,Q23,Q15,Q7)</f>
        <v>26</v>
      </c>
      <c r="R47" s="219">
        <f>SUM(R7,R23,R15,R7)</f>
        <v>24</v>
      </c>
      <c r="S47" s="216"/>
      <c r="T47" s="220">
        <f>SUM(T7,T23,T15,T7)</f>
        <v>11</v>
      </c>
      <c r="U47" s="220">
        <f>U39+U31+U23+U15+U7</f>
        <v>81</v>
      </c>
      <c r="V47" s="61"/>
      <c r="W47" s="419">
        <f>L50*L46+M50*M46+Q50*Q46+R50*R46+T50*S46</f>
        <v>5.0337984496124033</v>
      </c>
    </row>
    <row r="48" spans="1:23" ht="14.4" thickTop="1" thickBot="1" x14ac:dyDescent="0.3">
      <c r="K48" s="222" t="s">
        <v>208</v>
      </c>
      <c r="L48" s="222">
        <f>SUM(L24,L16,L8)</f>
        <v>9</v>
      </c>
      <c r="M48" s="223">
        <f>SUM(M24,M16,M8)</f>
        <v>9</v>
      </c>
      <c r="N48" s="224">
        <f>SUM(N24,N16,N8)</f>
        <v>18</v>
      </c>
      <c r="O48" s="212"/>
      <c r="P48" s="225"/>
      <c r="Q48" s="223">
        <f>SUM(Q24,Q16,Q8)</f>
        <v>19</v>
      </c>
      <c r="R48" s="208">
        <f>SUM(R24,R16,R8)</f>
        <v>21</v>
      </c>
      <c r="S48" s="223">
        <f>SUM(S24,S16,S8)</f>
        <v>1</v>
      </c>
      <c r="T48" s="226">
        <f>SUM(T24,T16,T8)</f>
        <v>4</v>
      </c>
      <c r="U48" s="226">
        <f>U40+U32+U24+U16+U8</f>
        <v>69</v>
      </c>
      <c r="V48" s="61"/>
      <c r="W48" s="419"/>
    </row>
    <row r="49" spans="11:23" ht="14.4" thickTop="1" thickBot="1" x14ac:dyDescent="0.3">
      <c r="K49" s="227" t="s">
        <v>209</v>
      </c>
      <c r="L49" s="228">
        <f>L41+L33+L25+L17+L9</f>
        <v>55</v>
      </c>
      <c r="M49" s="229">
        <f>M41+M33+M25+M17+M9</f>
        <v>31</v>
      </c>
      <c r="N49" s="420">
        <f>SUM(N25,N17,N9,N33,N41)</f>
        <v>86</v>
      </c>
      <c r="O49" s="230"/>
      <c r="P49" s="228"/>
      <c r="Q49" s="231">
        <f>SUM(Q25,Q17,Q9,Q33,Q41)</f>
        <v>65</v>
      </c>
      <c r="R49" s="232">
        <f>SUM(R25,R17,R9,R33,R41)</f>
        <v>65</v>
      </c>
      <c r="S49" s="231">
        <f>SUM(S25,S17,S9)</f>
        <v>1</v>
      </c>
      <c r="T49" s="233">
        <f>SUM(T25,T17,T9,T33,T41)</f>
        <v>19</v>
      </c>
      <c r="U49" s="422">
        <f>S49+R49+Q49+T49</f>
        <v>150</v>
      </c>
      <c r="V49" s="61"/>
      <c r="W49" s="419"/>
    </row>
    <row r="50" spans="11:23" ht="14.4" thickTop="1" thickBot="1" x14ac:dyDescent="0.3">
      <c r="K50" s="234" t="s">
        <v>210</v>
      </c>
      <c r="L50" s="235">
        <f>L49/N49</f>
        <v>0.63953488372093026</v>
      </c>
      <c r="M50" s="236">
        <f>M49/N49</f>
        <v>0.36046511627906974</v>
      </c>
      <c r="N50" s="421"/>
      <c r="O50" s="222"/>
      <c r="P50" s="234"/>
      <c r="Q50" s="237">
        <f>Q49/U49</f>
        <v>0.43333333333333335</v>
      </c>
      <c r="R50" s="238">
        <f>R49/U49</f>
        <v>0.43333333333333335</v>
      </c>
      <c r="S50" s="237">
        <f>S49/U49</f>
        <v>6.6666666666666671E-3</v>
      </c>
      <c r="T50" s="239">
        <f>T49/U49</f>
        <v>0.12666666666666668</v>
      </c>
      <c r="U50" s="421"/>
      <c r="V50" s="61">
        <f>(((L50*L46)+(M50*M46)))+((Q50*Q46)+(R50*R46)+(T50*R46)+S46*S50)</f>
        <v>4.9337984496124037</v>
      </c>
      <c r="W50" s="419"/>
    </row>
    <row r="51" spans="11:23" ht="13.8" thickTop="1" x14ac:dyDescent="0.25"/>
  </sheetData>
  <mergeCells count="48">
    <mergeCell ref="W15:W18"/>
    <mergeCell ref="N17:N18"/>
    <mergeCell ref="U17:U18"/>
    <mergeCell ref="K5:K6"/>
    <mergeCell ref="L5:N5"/>
    <mergeCell ref="P5:T5"/>
    <mergeCell ref="U5:U6"/>
    <mergeCell ref="W5:W6"/>
    <mergeCell ref="W7:W10"/>
    <mergeCell ref="N9:N10"/>
    <mergeCell ref="U9:U10"/>
    <mergeCell ref="K13:K14"/>
    <mergeCell ref="L13:N13"/>
    <mergeCell ref="P13:T13"/>
    <mergeCell ref="U13:U14"/>
    <mergeCell ref="W13:W14"/>
    <mergeCell ref="W31:W34"/>
    <mergeCell ref="N33:N34"/>
    <mergeCell ref="U33:U34"/>
    <mergeCell ref="K21:K22"/>
    <mergeCell ref="L21:N21"/>
    <mergeCell ref="P21:T21"/>
    <mergeCell ref="U21:U22"/>
    <mergeCell ref="W21:W22"/>
    <mergeCell ref="W23:W26"/>
    <mergeCell ref="N25:N26"/>
    <mergeCell ref="U25:U26"/>
    <mergeCell ref="K29:K30"/>
    <mergeCell ref="L29:N29"/>
    <mergeCell ref="P29:T29"/>
    <mergeCell ref="U29:U30"/>
    <mergeCell ref="W29:W30"/>
    <mergeCell ref="W47:W50"/>
    <mergeCell ref="N49:N50"/>
    <mergeCell ref="U49:U50"/>
    <mergeCell ref="K37:K38"/>
    <mergeCell ref="L37:N37"/>
    <mergeCell ref="P37:T37"/>
    <mergeCell ref="U37:U38"/>
    <mergeCell ref="W37:W38"/>
    <mergeCell ref="W39:W42"/>
    <mergeCell ref="N41:N42"/>
    <mergeCell ref="U41:U42"/>
    <mergeCell ref="K45:K46"/>
    <mergeCell ref="L45:N45"/>
    <mergeCell ref="P45:T45"/>
    <mergeCell ref="U45:U46"/>
    <mergeCell ref="W45:W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EDA7B-D8B7-0C4C-89D0-81729E04E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Data</vt:lpstr>
      <vt:lpstr>Summary Charts</vt:lpstr>
      <vt:lpstr>Solving Unknown Survey Sections</vt:lpstr>
      <vt:lpstr>Percent of Run</vt:lpstr>
      <vt:lpstr>Time and Area Standardization</vt:lpstr>
      <vt:lpstr>Historic Daily flows</vt:lpstr>
      <vt:lpstr>Peak Historic</vt:lpstr>
      <vt:lpstr>raw 2002-2016 Comparison</vt:lpstr>
      <vt:lpstr>March 82-06</vt:lpstr>
      <vt:lpstr>Age Structure</vt:lpstr>
    </vt:vector>
  </TitlesOfParts>
  <Company>BC Conservation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</dc:creator>
  <cp:lastModifiedBy>McCulloch, Mike WLRS:EX</cp:lastModifiedBy>
  <cp:lastPrinted>2019-04-26T19:05:47Z</cp:lastPrinted>
  <dcterms:created xsi:type="dcterms:W3CDTF">2006-02-22T22:21:31Z</dcterms:created>
  <dcterms:modified xsi:type="dcterms:W3CDTF">2025-01-13T20:02:27Z</dcterms:modified>
</cp:coreProperties>
</file>